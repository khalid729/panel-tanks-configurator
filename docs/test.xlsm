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richData/rdrichvalue.xml" ContentType="application/vnd.ms-excel.rdrichvalu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showInkAnnotation="0" updateLinks="always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pnftank-my.sharepoint.com/personal/alaa_a_mnt-sa_com/Documents/Desktop/"/>
    </mc:Choice>
  </mc:AlternateContent>
  <xr:revisionPtr revIDLastSave="0" documentId="8_{B9FD8F75-2768-4FB5-9C2E-2F7D96461A81}" xr6:coauthVersionLast="47" xr6:coauthVersionMax="47" xr10:uidLastSave="{00000000-0000-0000-0000-000000000000}"/>
  <bookViews>
    <workbookView xWindow="-120" yWindow="-120" windowWidth="20730" windowHeight="11160" tabRatio="770" activeTab="1" xr2:uid="{00000000-000D-0000-FFFF-FFFF00000000}"/>
  </bookViews>
  <sheets>
    <sheet name="BASIC_TOOL" sheetId="130" r:id="rId1"/>
    <sheet name="PRINTOUT(BOM)" sheetId="229" r:id="rId2"/>
    <sheet name="PANEL_JOB_ORDER" sheetId="254" state="hidden" r:id="rId3"/>
    <sheet name="PANEL_PACKING" sheetId="255" state="hidden" r:id="rId4"/>
    <sheet name="PANEL_PACKING(PRINT)" sheetId="256" state="hidden" r:id="rId5"/>
    <sheet name="PRINTOUT(COST)" sheetId="183" r:id="rId6"/>
    <sheet name="PRINTOUT(WT)" sheetId="237" r:id="rId7"/>
    <sheet name="TANK PFI" sheetId="235" state="hidden" r:id="rId8"/>
    <sheet name="Panel2" sheetId="251" state="hidden" r:id="rId9"/>
    <sheet name="Panel" sheetId="239" state="hidden" r:id="rId10"/>
    <sheet name="WO_PANEL" sheetId="247" state="hidden" r:id="rId11"/>
    <sheet name="Steel_Skid" sheetId="150" state="hidden" r:id="rId12"/>
    <sheet name="BoltnNuts" sheetId="135" state="hidden" r:id="rId13"/>
    <sheet name="External_Reinforcing" sheetId="231" state="hidden" r:id="rId14"/>
    <sheet name="Internal_Reinforcing" sheetId="230" state="hidden" r:id="rId15"/>
    <sheet name="Exteral_Reinforcing System" sheetId="248" state="hidden" r:id="rId16"/>
    <sheet name="Internal_Tie_rod1" sheetId="169" state="hidden" r:id="rId17"/>
    <sheet name="Fittings" sheetId="232" state="hidden" r:id="rId18"/>
    <sheet name="ETC" sheetId="189" state="hidden" r:id="rId19"/>
    <sheet name="Weight_Table" sheetId="253" r:id="rId20"/>
    <sheet name="Panel_Config" sheetId="257" state="hidden" r:id="rId21"/>
    <sheet name="Steel_Accessories_Config" sheetId="258" r:id="rId22"/>
    <sheet name="PACKING" sheetId="261" state="hidden" r:id="rId23"/>
    <sheet name="0.39" sheetId="225" r:id="rId24"/>
    <sheet name="PACKING(PRINT)" sheetId="262" r:id="rId25"/>
    <sheet name="Sheet3" sheetId="259" state="hidden" r:id="rId26"/>
    <sheet name="Sheet4" sheetId="260" state="hidden" r:id="rId27"/>
    <sheet name="Sheet1" sheetId="249" state="hidden" r:id="rId28"/>
    <sheet name="Reference" sheetId="250" state="hidden" r:id="rId29"/>
    <sheet name="Panel_Cost" sheetId="263" state="hidden" r:id="rId30"/>
    <sheet name="Sheet2" sheetId="252" state="hidden" r:id="rId31"/>
  </sheets>
  <externalReferences>
    <externalReference r:id="rId32"/>
    <externalReference r:id="rId33"/>
  </externalReferences>
  <definedNames>
    <definedName name="_xlnm._FilterDatabase" localSheetId="23" hidden="1">'0.39'!$A$3:$G$3</definedName>
    <definedName name="_xlnm._FilterDatabase" localSheetId="0" hidden="1">BASIC_TOOL!$A$21:$L$37</definedName>
    <definedName name="_xlnm._FilterDatabase" localSheetId="19" hidden="1">Weight_Table!$A$2:$B$403</definedName>
    <definedName name="CS" localSheetId="22">[1]BASIC_TOOL!$U$64</definedName>
    <definedName name="CS" localSheetId="24">[1]BASIC_TOOL!$U$64</definedName>
    <definedName name="CS">BASIC_TOOL!$U$66</definedName>
    <definedName name="H_C" localSheetId="22">[1]BASIC_TOOL!$L$64</definedName>
    <definedName name="H_C" localSheetId="24">[1]BASIC_TOOL!$L$64</definedName>
    <definedName name="H_C">BASIC_TOOL!$L$66</definedName>
    <definedName name="H_F" localSheetId="22">[1]BASIC_TOOL!$M$67</definedName>
    <definedName name="H_F" localSheetId="24">[1]BASIC_TOOL!$M$67</definedName>
    <definedName name="H_F">BASIC_TOOL!$M$69</definedName>
    <definedName name="H_O" localSheetId="22">[1]BASIC_TOOL!$L$67</definedName>
    <definedName name="H_O" localSheetId="24">[1]BASIC_TOOL!$L$67</definedName>
    <definedName name="H_O">BASIC_TOOL!$L$69</definedName>
    <definedName name="L_O" localSheetId="22">[1]BASIC_TOOL!$K$68</definedName>
    <definedName name="L_O" localSheetId="24">[1]BASIC_TOOL!$K$68</definedName>
    <definedName name="L_O">BASIC_TOOL!$K$70</definedName>
    <definedName name="L_O_C" localSheetId="22">[1]BASIC_TOOL!$K$70</definedName>
    <definedName name="L_O_C" localSheetId="24">[1]BASIC_TOOL!$K$70</definedName>
    <definedName name="L_O_C">BASIC_TOOL!$K$72</definedName>
    <definedName name="L_O_F" localSheetId="22">[1]BASIC_TOOL!$K$71</definedName>
    <definedName name="L_O_F" localSheetId="24">[1]BASIC_TOOL!$K$71</definedName>
    <definedName name="L_O_F">BASIC_TOOL!$K$73</definedName>
    <definedName name="L1_C" localSheetId="22">[1]BASIC_TOOL!$D$64</definedName>
    <definedName name="L1_C" localSheetId="24">[1]BASIC_TOOL!$D$64</definedName>
    <definedName name="L1_C">BASIC_TOOL!$D$66</definedName>
    <definedName name="L1_F" localSheetId="22">[1]BASIC_TOOL!$E$67</definedName>
    <definedName name="L1_F" localSheetId="24">[1]BASIC_TOOL!$E$67</definedName>
    <definedName name="L1_F">BASIC_TOOL!$E$69</definedName>
    <definedName name="L1_O" localSheetId="22">[1]BASIC_TOOL!$D$67</definedName>
    <definedName name="L1_O" localSheetId="24">[1]BASIC_TOOL!$D$67</definedName>
    <definedName name="L1_O">BASIC_TOOL!$D$69</definedName>
    <definedName name="L2_C" localSheetId="22">[1]BASIC_TOOL!$F$64</definedName>
    <definedName name="L2_C" localSheetId="24">[1]BASIC_TOOL!$F$64</definedName>
    <definedName name="L2_C">BASIC_TOOL!$F$66</definedName>
    <definedName name="L2_F" localSheetId="22">[1]BASIC_TOOL!$G$67</definedName>
    <definedName name="L2_F" localSheetId="24">[1]BASIC_TOOL!$G$67</definedName>
    <definedName name="L2_F">BASIC_TOOL!$G$69</definedName>
    <definedName name="L2_O" localSheetId="22">[1]BASIC_TOOL!$F$67</definedName>
    <definedName name="L2_O" localSheetId="24">[1]BASIC_TOOL!$F$67</definedName>
    <definedName name="L2_O">BASIC_TOOL!$F$69</definedName>
    <definedName name="L3_C" localSheetId="22">[1]BASIC_TOOL!$H$64</definedName>
    <definedName name="L3_C" localSheetId="24">[1]BASIC_TOOL!$H$64</definedName>
    <definedName name="L3_C">BASIC_TOOL!$H$66</definedName>
    <definedName name="L3_F" localSheetId="22">[1]BASIC_TOOL!$I$67</definedName>
    <definedName name="L3_F" localSheetId="24">[1]BASIC_TOOL!$I$67</definedName>
    <definedName name="L3_F">BASIC_TOOL!$I$69</definedName>
    <definedName name="L3_O" localSheetId="22">[1]BASIC_TOOL!$H$67</definedName>
    <definedName name="L3_O" localSheetId="24">[1]BASIC_TOOL!$H$67</definedName>
    <definedName name="L3_O">BASIC_TOOL!$H$69</definedName>
    <definedName name="L4_C" localSheetId="22">[1]BASIC_TOOL!$J$64</definedName>
    <definedName name="L4_C" localSheetId="24">[1]BASIC_TOOL!$J$64</definedName>
    <definedName name="L4_C">BASIC_TOOL!$J$66</definedName>
    <definedName name="L4_F" localSheetId="22">[1]BASIC_TOOL!$K$67</definedName>
    <definedName name="L4_F" localSheetId="24">[1]BASIC_TOOL!$K$67</definedName>
    <definedName name="L4_F">BASIC_TOOL!$K$69</definedName>
    <definedName name="L4_O" localSheetId="22">[1]BASIC_TOOL!$J$67</definedName>
    <definedName name="L4_O" localSheetId="24">[1]BASIC_TOOL!$J$67</definedName>
    <definedName name="L4_O">BASIC_TOOL!$J$69</definedName>
    <definedName name="N_PA" localSheetId="22">[1]BASIC_TOOL!$K$11</definedName>
    <definedName name="N_PA" localSheetId="24">[1]BASIC_TOOL!$K$11</definedName>
    <definedName name="N_PA">BASIC_TOOL!$K$11</definedName>
    <definedName name="_xlnm.Print_Area" localSheetId="23">'0.39'!$A$1:$G$570</definedName>
    <definedName name="_xlnm.Print_Area" localSheetId="15">'Exteral_Reinforcing System'!$A$1:$Y$40</definedName>
    <definedName name="_xlnm.Print_Area" localSheetId="13">External_Reinforcing!$A$1:$Y$39</definedName>
    <definedName name="_xlnm.Print_Area" localSheetId="24">'PACKING(PRINT)'!$A$1:$G$35</definedName>
    <definedName name="_xlnm.Print_Area" localSheetId="20">Panel_Config!$A$1:$T$112</definedName>
    <definedName name="_xlnm.Print_Area" localSheetId="29">Panel_Cost!$A:$K</definedName>
    <definedName name="_xlnm.Print_Area" localSheetId="2">PANEL_JOB_ORDER!$A$3:$P$47</definedName>
    <definedName name="_xlnm.Print_Area" localSheetId="3">PANEL_PACKING!$E$3:$AF$33</definedName>
    <definedName name="_xlnm.Print_Area" localSheetId="4">'PANEL_PACKING(PRINT)'!$A$1:$H$21</definedName>
    <definedName name="_xlnm.Print_Area" localSheetId="1">'PRINTOUT(BOM)'!$A$3:$L$79</definedName>
    <definedName name="_xlnm.Print_Area" localSheetId="28">Reference!$A:$B</definedName>
    <definedName name="_xlnm.Print_Area" localSheetId="21">Steel_Accessories_Config!$A$1:$BF$139</definedName>
    <definedName name="_xlnm.Print_Area" localSheetId="7">'TANK PFI'!$A$1:$I$63</definedName>
    <definedName name="W_C" localSheetId="22">[1]BASIC_TOOL!$B$64</definedName>
    <definedName name="W_C" localSheetId="24">[1]BASIC_TOOL!$B$64</definedName>
    <definedName name="W_C">BASIC_TOOL!$B$66</definedName>
    <definedName name="W_F" localSheetId="22">[1]BASIC_TOOL!$C$67</definedName>
    <definedName name="W_F" localSheetId="24">[1]BASIC_TOOL!$C$67</definedName>
    <definedName name="W_F">BASIC_TOOL!$C$69</definedName>
    <definedName name="W_O" localSheetId="22">[1]BASIC_TOOL!$B$67</definedName>
    <definedName name="W_O" localSheetId="24">[1]BASIC_TOOL!$B$67</definedName>
    <definedName name="W_O">BASIC_TOOL!$B$69</definedName>
    <definedName name="Z_1B9F3241_14B2_4B33_AFCA_7BB4A191DF6A_.wvu.Cols" localSheetId="23" hidden="1">'0.39'!#REF!,'0.39'!#REF!,'0.39'!#REF!,'0.39'!#REF!</definedName>
    <definedName name="Z_1B9F3241_14B2_4B33_AFCA_7BB4A191DF6A_.wvu.PrintArea" localSheetId="23" hidden="1">'0.39'!$A$1:$D$17</definedName>
    <definedName name="Z_1B9F3241_14B2_4B33_AFCA_7BB4A191DF6A_.wvu.Rows" localSheetId="23" hidden="1">'0.39'!$1:$1</definedName>
    <definedName name="Z_1CBF9B63_A7D0_4272_8E95_CE6B47A966EC_.wvu.PrintArea" localSheetId="23" hidden="1">'0.39'!$A$1:$D$17</definedName>
    <definedName name="Z_36FBD45D_6B66_44C9_9564_620398B2EE97_.wvu.Cols" localSheetId="23" hidden="1">'0.39'!#REF!,'0.39'!#REF!,'0.39'!#REF!,'0.39'!#REF!</definedName>
    <definedName name="Z_36FBD45D_6B66_44C9_9564_620398B2EE97_.wvu.PrintArea" localSheetId="23" hidden="1">'0.39'!$A$1:$D$17</definedName>
    <definedName name="Z_36FBD45D_6B66_44C9_9564_620398B2EE97_.wvu.Rows" localSheetId="23" hidden="1">'0.39'!$1:$1</definedName>
    <definedName name="보강방식">BASIC_TOOL!$E$43:$E$46</definedName>
  </definedNames>
  <calcPr calcId="181029"/>
  <fileRecoveryPr autoRecover="0"/>
</workbook>
</file>

<file path=xl/calcChain.xml><?xml version="1.0" encoding="utf-8"?>
<calcChain xmlns="http://schemas.openxmlformats.org/spreadsheetml/2006/main">
  <c r="A36" i="130" l="1"/>
  <c r="G7" i="225"/>
  <c r="D27" i="183"/>
  <c r="B27" i="183"/>
  <c r="C26" i="183"/>
  <c r="C27" i="183"/>
  <c r="E27" i="183" s="1"/>
  <c r="B26" i="183" l="1"/>
  <c r="D26" i="183" s="1"/>
  <c r="E26" i="183" s="1"/>
  <c r="N34" i="225"/>
  <c r="N35" i="225" s="1"/>
  <c r="I33" i="229"/>
  <c r="M47" i="183" l="1"/>
  <c r="M48" i="183"/>
  <c r="L48" i="183"/>
  <c r="L47" i="183"/>
  <c r="M46" i="183"/>
  <c r="L46" i="183"/>
  <c r="M45" i="183"/>
  <c r="L45" i="183"/>
  <c r="Q35" i="183"/>
  <c r="H11" i="130" l="1"/>
  <c r="E18" i="229"/>
  <c r="E22" i="229"/>
  <c r="R35" i="183"/>
  <c r="G194" i="225"/>
  <c r="G192" i="225"/>
  <c r="G191" i="225"/>
  <c r="G190" i="225"/>
  <c r="G189" i="225"/>
  <c r="G188" i="225"/>
  <c r="AG12" i="135" l="1"/>
  <c r="AC16" i="135"/>
  <c r="AA16" i="135"/>
  <c r="AA17" i="135"/>
  <c r="Y16" i="135"/>
  <c r="G37" i="237" l="1"/>
  <c r="H37" i="237"/>
  <c r="G38" i="237"/>
  <c r="H38" i="237"/>
  <c r="G39" i="237"/>
  <c r="H39" i="237"/>
  <c r="G40" i="237"/>
  <c r="H40" i="237"/>
  <c r="G41" i="237"/>
  <c r="H41" i="237"/>
  <c r="G42" i="237"/>
  <c r="H42" i="237"/>
  <c r="G43" i="237"/>
  <c r="I43" i="237" s="1"/>
  <c r="H43" i="237"/>
  <c r="G44" i="237"/>
  <c r="H44" i="237"/>
  <c r="G45" i="237"/>
  <c r="I45" i="237" s="1"/>
  <c r="H45" i="237"/>
  <c r="G46" i="237"/>
  <c r="H46" i="237"/>
  <c r="G47" i="237"/>
  <c r="H47" i="237"/>
  <c r="H36" i="237"/>
  <c r="Q28" i="237"/>
  <c r="R28" i="237"/>
  <c r="Q29" i="237"/>
  <c r="R29" i="237"/>
  <c r="Q30" i="237"/>
  <c r="R30" i="237"/>
  <c r="Q31" i="237"/>
  <c r="R31" i="237"/>
  <c r="Q32" i="237"/>
  <c r="R32" i="237"/>
  <c r="Q33" i="237"/>
  <c r="R33" i="237"/>
  <c r="Q34" i="237"/>
  <c r="R34" i="237"/>
  <c r="R27" i="237"/>
  <c r="Q27" i="237"/>
  <c r="Q15" i="237"/>
  <c r="R15" i="237"/>
  <c r="Q16" i="237"/>
  <c r="R16" i="237"/>
  <c r="Q17" i="237"/>
  <c r="R17" i="237"/>
  <c r="Q18" i="237"/>
  <c r="R18" i="237"/>
  <c r="Q19" i="237"/>
  <c r="R19" i="237"/>
  <c r="Q20" i="237"/>
  <c r="S20" i="237" s="1"/>
  <c r="R20" i="237"/>
  <c r="Q21" i="237"/>
  <c r="S21" i="237" s="1"/>
  <c r="R21" i="237"/>
  <c r="Q22" i="237"/>
  <c r="S22" i="237" s="1"/>
  <c r="R22" i="237"/>
  <c r="Q14" i="237"/>
  <c r="R14" i="237"/>
  <c r="L15" i="237"/>
  <c r="M15" i="237"/>
  <c r="L16" i="237"/>
  <c r="M16" i="237"/>
  <c r="L17" i="237"/>
  <c r="M17" i="237"/>
  <c r="L18" i="237"/>
  <c r="M18" i="237"/>
  <c r="L19" i="237"/>
  <c r="M19" i="237"/>
  <c r="L20" i="237"/>
  <c r="M20" i="237"/>
  <c r="L21" i="237"/>
  <c r="M21" i="237"/>
  <c r="L22" i="237"/>
  <c r="N22" i="237" s="1"/>
  <c r="M22" i="237"/>
  <c r="L23" i="237"/>
  <c r="N23" i="237" s="1"/>
  <c r="M23" i="237"/>
  <c r="L24" i="237"/>
  <c r="N24" i="237" s="1"/>
  <c r="M24" i="237"/>
  <c r="L25" i="237"/>
  <c r="N25" i="237" s="1"/>
  <c r="M25" i="237"/>
  <c r="L26" i="237"/>
  <c r="N26" i="237" s="1"/>
  <c r="M26" i="237"/>
  <c r="M14" i="237"/>
  <c r="L14" i="237"/>
  <c r="G36" i="237"/>
  <c r="T24" i="237"/>
  <c r="S53" i="237"/>
  <c r="S52" i="237"/>
  <c r="S51" i="237"/>
  <c r="O25" i="237" l="1"/>
  <c r="T21" i="237"/>
  <c r="O23" i="237"/>
  <c r="O26" i="237"/>
  <c r="O22" i="237"/>
  <c r="O24" i="237"/>
  <c r="T22" i="237"/>
  <c r="T20" i="237"/>
  <c r="M1" i="229"/>
  <c r="I61" i="229" l="1"/>
  <c r="I62" i="229"/>
  <c r="I63" i="229"/>
  <c r="I64" i="229"/>
  <c r="I65" i="229"/>
  <c r="I66" i="229"/>
  <c r="I67" i="229"/>
  <c r="I68" i="229"/>
  <c r="I69" i="229"/>
  <c r="I70" i="229"/>
  <c r="I71" i="229"/>
  <c r="I72" i="229"/>
  <c r="I73" i="229"/>
  <c r="I74" i="229"/>
  <c r="I75" i="229"/>
  <c r="I76" i="229"/>
  <c r="I77" i="229"/>
  <c r="A16" i="229"/>
  <c r="A17" i="229"/>
  <c r="A18" i="229"/>
  <c r="A19" i="229"/>
  <c r="A20" i="229"/>
  <c r="A21" i="229"/>
  <c r="A22" i="229"/>
  <c r="A23" i="229"/>
  <c r="A24" i="229"/>
  <c r="A25" i="229"/>
  <c r="A26" i="229"/>
  <c r="A27" i="229"/>
  <c r="A28" i="229"/>
  <c r="A26" i="183" s="1"/>
  <c r="A29" i="229"/>
  <c r="A27" i="183" s="1"/>
  <c r="A30" i="229"/>
  <c r="A31" i="229"/>
  <c r="A32" i="229"/>
  <c r="A33" i="229"/>
  <c r="A34" i="229"/>
  <c r="A35" i="229"/>
  <c r="A36" i="229"/>
  <c r="A37" i="229"/>
  <c r="A38" i="229"/>
  <c r="A39" i="229"/>
  <c r="A40" i="229"/>
  <c r="A41" i="229"/>
  <c r="A42" i="229"/>
  <c r="A43" i="229"/>
  <c r="A44" i="229"/>
  <c r="A45" i="229"/>
  <c r="A46" i="229"/>
  <c r="A47" i="229"/>
  <c r="A48" i="229"/>
  <c r="A49" i="229"/>
  <c r="A50" i="229"/>
  <c r="A51" i="229"/>
  <c r="A52" i="229"/>
  <c r="A53" i="229"/>
  <c r="A54" i="229"/>
  <c r="A55" i="229"/>
  <c r="A56" i="229"/>
  <c r="A57" i="229"/>
  <c r="A58" i="229"/>
  <c r="A59" i="229"/>
  <c r="A60" i="229"/>
  <c r="A61" i="229"/>
  <c r="A62" i="229"/>
  <c r="A63" i="229"/>
  <c r="A64" i="229"/>
  <c r="A65" i="229"/>
  <c r="A66" i="229"/>
  <c r="A67" i="229"/>
  <c r="A68" i="229"/>
  <c r="A69" i="229"/>
  <c r="A70" i="229"/>
  <c r="A71" i="229"/>
  <c r="A72" i="229"/>
  <c r="A73" i="229"/>
  <c r="A74" i="229"/>
  <c r="A75" i="229"/>
  <c r="A76" i="229"/>
  <c r="A15" i="229"/>
  <c r="I60" i="229"/>
  <c r="I55" i="229"/>
  <c r="I56" i="229"/>
  <c r="I57" i="229"/>
  <c r="I54" i="229"/>
  <c r="I53" i="229"/>
  <c r="I52" i="229"/>
  <c r="I51" i="229"/>
  <c r="I50" i="229"/>
  <c r="I49" i="229"/>
  <c r="I48" i="229"/>
  <c r="I47" i="229"/>
  <c r="I46" i="229"/>
  <c r="I45" i="229"/>
  <c r="I44" i="229"/>
  <c r="I43" i="229"/>
  <c r="P34" i="237" s="1"/>
  <c r="I42" i="229"/>
  <c r="P33" i="237" s="1"/>
  <c r="I41" i="229"/>
  <c r="I40" i="229"/>
  <c r="P31" i="237" s="1"/>
  <c r="I39" i="229"/>
  <c r="P30" i="237" s="1"/>
  <c r="I38" i="229"/>
  <c r="P29" i="237" s="1"/>
  <c r="I37" i="229"/>
  <c r="P28" i="237" s="1"/>
  <c r="I36" i="229"/>
  <c r="P27" i="237" s="1"/>
  <c r="I16" i="229"/>
  <c r="P15" i="237" s="1"/>
  <c r="I17" i="229"/>
  <c r="P16" i="237" s="1"/>
  <c r="I18" i="229"/>
  <c r="P17" i="237" s="1"/>
  <c r="I19" i="229"/>
  <c r="P18" i="237" s="1"/>
  <c r="I20" i="229"/>
  <c r="P19" i="237" s="1"/>
  <c r="I21" i="229"/>
  <c r="P20" i="237" s="1"/>
  <c r="I22" i="229"/>
  <c r="P21" i="237" s="1"/>
  <c r="I23" i="229"/>
  <c r="P22" i="237" s="1"/>
  <c r="I24" i="229"/>
  <c r="P23" i="237" s="1"/>
  <c r="I25" i="229"/>
  <c r="I26" i="229"/>
  <c r="I27" i="229"/>
  <c r="I28" i="229"/>
  <c r="I29" i="229"/>
  <c r="I30" i="229"/>
  <c r="I31" i="229"/>
  <c r="I32" i="229"/>
  <c r="I15" i="229"/>
  <c r="E63" i="229"/>
  <c r="E64" i="229"/>
  <c r="E65" i="229"/>
  <c r="E66" i="229"/>
  <c r="E67" i="229"/>
  <c r="E68" i="229"/>
  <c r="E69" i="229"/>
  <c r="E70" i="229"/>
  <c r="K45" i="183" s="1"/>
  <c r="E71" i="229"/>
  <c r="K46" i="183" s="1"/>
  <c r="E72" i="229"/>
  <c r="K47" i="183" s="1"/>
  <c r="E73" i="229"/>
  <c r="K48" i="183" s="1"/>
  <c r="E74" i="229"/>
  <c r="E75" i="229"/>
  <c r="E76" i="229"/>
  <c r="E77" i="229"/>
  <c r="E62" i="229"/>
  <c r="E46" i="229"/>
  <c r="K15" i="237" s="1"/>
  <c r="E47" i="229"/>
  <c r="K16" i="237" s="1"/>
  <c r="E48" i="229"/>
  <c r="K17" i="237" s="1"/>
  <c r="E49" i="229"/>
  <c r="K18" i="237" s="1"/>
  <c r="E50" i="229"/>
  <c r="K19" i="237" s="1"/>
  <c r="E51" i="229"/>
  <c r="K20" i="237" s="1"/>
  <c r="E52" i="229"/>
  <c r="K21" i="237" s="1"/>
  <c r="E53" i="229"/>
  <c r="K22" i="237" s="1"/>
  <c r="E54" i="229"/>
  <c r="K23" i="237" s="1"/>
  <c r="E55" i="229"/>
  <c r="K24" i="237" s="1"/>
  <c r="E56" i="229"/>
  <c r="K25" i="237" s="1"/>
  <c r="E57" i="229"/>
  <c r="K26" i="237" s="1"/>
  <c r="E58" i="229"/>
  <c r="E59" i="229"/>
  <c r="E45" i="229"/>
  <c r="K14" i="237" s="1"/>
  <c r="E33" i="229"/>
  <c r="F37" i="237" s="1"/>
  <c r="E34" i="229"/>
  <c r="F38" i="237" s="1"/>
  <c r="E35" i="229"/>
  <c r="F39" i="237" s="1"/>
  <c r="E36" i="229"/>
  <c r="F40" i="237" s="1"/>
  <c r="E37" i="229"/>
  <c r="F41" i="237" s="1"/>
  <c r="E38" i="229"/>
  <c r="F42" i="237" s="1"/>
  <c r="E39" i="229"/>
  <c r="F43" i="237" s="1"/>
  <c r="E40" i="229"/>
  <c r="F44" i="237" s="1"/>
  <c r="E41" i="229"/>
  <c r="F45" i="237" s="1"/>
  <c r="E42" i="229"/>
  <c r="F46" i="237" s="1"/>
  <c r="E32" i="229"/>
  <c r="F36" i="237" s="1"/>
  <c r="E16" i="229"/>
  <c r="E17" i="229"/>
  <c r="E19" i="229"/>
  <c r="E20" i="229"/>
  <c r="E21" i="229"/>
  <c r="E23" i="229"/>
  <c r="E24" i="229"/>
  <c r="E25" i="229"/>
  <c r="E26" i="229"/>
  <c r="E27" i="229"/>
  <c r="E28" i="229"/>
  <c r="E29" i="229"/>
  <c r="E15" i="229"/>
  <c r="Q122" i="229"/>
  <c r="R122" i="229"/>
  <c r="G123" i="225"/>
  <c r="B346" i="263"/>
  <c r="B345" i="263"/>
  <c r="B344" i="263"/>
  <c r="B343" i="263"/>
  <c r="B342" i="263"/>
  <c r="B341" i="263"/>
  <c r="B340" i="263"/>
  <c r="B339" i="263"/>
  <c r="B338" i="263"/>
  <c r="B337" i="263"/>
  <c r="B336" i="263"/>
  <c r="B335" i="263"/>
  <c r="B334" i="263"/>
  <c r="B333" i="263"/>
  <c r="B332" i="263"/>
  <c r="B331" i="263"/>
  <c r="B330" i="263"/>
  <c r="B329" i="263"/>
  <c r="B328" i="263"/>
  <c r="B327" i="263"/>
  <c r="B326" i="263"/>
  <c r="B325" i="263"/>
  <c r="B324" i="263"/>
  <c r="B323" i="263"/>
  <c r="B322" i="263"/>
  <c r="B321" i="263"/>
  <c r="B320" i="263"/>
  <c r="B319" i="263"/>
  <c r="B318" i="263"/>
  <c r="B317" i="263"/>
  <c r="B316" i="263"/>
  <c r="B315" i="263"/>
  <c r="B314" i="263"/>
  <c r="B313" i="263"/>
  <c r="B312" i="263"/>
  <c r="B311" i="263"/>
  <c r="B310" i="263"/>
  <c r="B309" i="263"/>
  <c r="B308" i="263"/>
  <c r="B307" i="263"/>
  <c r="B306" i="263"/>
  <c r="B305" i="263"/>
  <c r="B304" i="263"/>
  <c r="B303" i="263"/>
  <c r="B302" i="263"/>
  <c r="B301" i="263"/>
  <c r="B300" i="263"/>
  <c r="B299" i="263"/>
  <c r="B298" i="263"/>
  <c r="B297" i="263"/>
  <c r="B296" i="263"/>
  <c r="B295" i="263"/>
  <c r="B294" i="263"/>
  <c r="B293" i="263"/>
  <c r="B292" i="263"/>
  <c r="B291" i="263"/>
  <c r="B290" i="263"/>
  <c r="B289" i="263"/>
  <c r="B288" i="263"/>
  <c r="B287" i="263"/>
  <c r="B286" i="263"/>
  <c r="B285" i="263"/>
  <c r="B284" i="263"/>
  <c r="B283" i="263"/>
  <c r="B282" i="263"/>
  <c r="B281" i="263"/>
  <c r="B280" i="263"/>
  <c r="B279" i="263"/>
  <c r="B278" i="263"/>
  <c r="B277" i="263"/>
  <c r="B276" i="263"/>
  <c r="B275" i="263"/>
  <c r="B274" i="263"/>
  <c r="B273" i="263"/>
  <c r="B272" i="263"/>
  <c r="B271" i="263"/>
  <c r="B270" i="263"/>
  <c r="B269" i="263"/>
  <c r="B268" i="263"/>
  <c r="B267" i="263"/>
  <c r="B266" i="263"/>
  <c r="B265" i="263"/>
  <c r="B264" i="263"/>
  <c r="B263" i="263"/>
  <c r="B262" i="263"/>
  <c r="B261" i="263"/>
  <c r="B260" i="263"/>
  <c r="B259" i="263"/>
  <c r="B258" i="263"/>
  <c r="B257" i="263"/>
  <c r="B256" i="263"/>
  <c r="B255" i="263"/>
  <c r="B254" i="263"/>
  <c r="B253" i="263"/>
  <c r="B252" i="263"/>
  <c r="B251" i="263"/>
  <c r="B250" i="263"/>
  <c r="B249" i="263"/>
  <c r="B248" i="263"/>
  <c r="B247" i="263"/>
  <c r="B246" i="263"/>
  <c r="B245" i="263"/>
  <c r="B244" i="263"/>
  <c r="B243" i="263"/>
  <c r="B242" i="263"/>
  <c r="B241" i="263"/>
  <c r="B240" i="263"/>
  <c r="B239" i="263"/>
  <c r="B238" i="263"/>
  <c r="B237" i="263"/>
  <c r="B236" i="263"/>
  <c r="B235" i="263"/>
  <c r="B234" i="263"/>
  <c r="B233" i="263"/>
  <c r="B232" i="263"/>
  <c r="B231" i="263"/>
  <c r="B230" i="263"/>
  <c r="B229" i="263"/>
  <c r="B228" i="263"/>
  <c r="B227" i="263"/>
  <c r="B226" i="263"/>
  <c r="B225" i="263"/>
  <c r="B224" i="263"/>
  <c r="B223" i="263"/>
  <c r="B222" i="263"/>
  <c r="B221" i="263"/>
  <c r="B220" i="263"/>
  <c r="B219" i="263"/>
  <c r="B218" i="263"/>
  <c r="B217" i="263"/>
  <c r="B216" i="263"/>
  <c r="B215" i="263"/>
  <c r="B214" i="263"/>
  <c r="B213" i="263"/>
  <c r="B212" i="263"/>
  <c r="B211" i="263"/>
  <c r="B210" i="263"/>
  <c r="B209" i="263"/>
  <c r="B208" i="263"/>
  <c r="B207" i="263"/>
  <c r="B206" i="263"/>
  <c r="B205" i="263"/>
  <c r="B204" i="263"/>
  <c r="B203" i="263"/>
  <c r="B202" i="263"/>
  <c r="B201" i="263"/>
  <c r="B200" i="263"/>
  <c r="B199" i="263"/>
  <c r="B198" i="263"/>
  <c r="B197" i="263"/>
  <c r="B196" i="263"/>
  <c r="B195" i="263"/>
  <c r="B194" i="263"/>
  <c r="B193" i="263"/>
  <c r="B192" i="263"/>
  <c r="B191" i="263"/>
  <c r="B190" i="263"/>
  <c r="B189" i="263"/>
  <c r="B188" i="263"/>
  <c r="B187" i="263"/>
  <c r="B186" i="263"/>
  <c r="B185" i="263"/>
  <c r="B184" i="263"/>
  <c r="B183" i="263"/>
  <c r="B182" i="263"/>
  <c r="B181" i="263"/>
  <c r="B180" i="263"/>
  <c r="B179" i="263"/>
  <c r="B178" i="263"/>
  <c r="B177" i="263"/>
  <c r="B176" i="263"/>
  <c r="B175" i="263"/>
  <c r="B174" i="263"/>
  <c r="B173" i="263"/>
  <c r="B172" i="263"/>
  <c r="B171" i="263"/>
  <c r="B170" i="263"/>
  <c r="B169" i="263"/>
  <c r="B168" i="263"/>
  <c r="B167" i="263"/>
  <c r="B166" i="263"/>
  <c r="B165" i="263"/>
  <c r="B164" i="263"/>
  <c r="B163" i="263"/>
  <c r="B162" i="263"/>
  <c r="B161" i="263"/>
  <c r="B160" i="263"/>
  <c r="B159" i="263"/>
  <c r="B158" i="263"/>
  <c r="B157" i="263"/>
  <c r="B156" i="263"/>
  <c r="B155" i="263"/>
  <c r="B154" i="263"/>
  <c r="B153" i="263"/>
  <c r="B152" i="263"/>
  <c r="B151" i="263"/>
  <c r="B150" i="263"/>
  <c r="B149" i="263"/>
  <c r="B148" i="263"/>
  <c r="B147" i="263"/>
  <c r="B146" i="263"/>
  <c r="B145" i="263"/>
  <c r="B144" i="263"/>
  <c r="B143" i="263"/>
  <c r="B142" i="263"/>
  <c r="B141" i="263"/>
  <c r="B140" i="263"/>
  <c r="B139" i="263"/>
  <c r="B138" i="263"/>
  <c r="B137" i="263"/>
  <c r="B136" i="263"/>
  <c r="B135" i="263"/>
  <c r="B134" i="263"/>
  <c r="B133" i="263"/>
  <c r="B132" i="263"/>
  <c r="B131" i="263"/>
  <c r="B130" i="263"/>
  <c r="B129" i="263"/>
  <c r="B128" i="263"/>
  <c r="B127" i="263"/>
  <c r="B126" i="263"/>
  <c r="B125" i="263"/>
  <c r="B124" i="263"/>
  <c r="B123" i="263"/>
  <c r="B122" i="263"/>
  <c r="B121" i="263"/>
  <c r="B120" i="263"/>
  <c r="B119" i="263"/>
  <c r="B118" i="263"/>
  <c r="B117" i="263"/>
  <c r="B116" i="263"/>
  <c r="B115" i="263"/>
  <c r="B114" i="263"/>
  <c r="B113" i="263"/>
  <c r="B112" i="263"/>
  <c r="B111" i="263"/>
  <c r="B110" i="263"/>
  <c r="B109" i="263"/>
  <c r="B108" i="263"/>
  <c r="B107" i="263"/>
  <c r="B106" i="263"/>
  <c r="B105" i="263"/>
  <c r="B104" i="263"/>
  <c r="B103" i="263"/>
  <c r="B102" i="263"/>
  <c r="B101" i="263"/>
  <c r="B100" i="263"/>
  <c r="B99" i="263"/>
  <c r="B98" i="263"/>
  <c r="B97" i="263"/>
  <c r="B96" i="263"/>
  <c r="B95" i="263"/>
  <c r="B94" i="263"/>
  <c r="B93" i="263"/>
  <c r="B92" i="263"/>
  <c r="B91" i="263"/>
  <c r="B90" i="263"/>
  <c r="B89" i="263"/>
  <c r="B88" i="263"/>
  <c r="B87" i="263"/>
  <c r="B86" i="263"/>
  <c r="B85" i="263"/>
  <c r="B84" i="263"/>
  <c r="B83" i="263"/>
  <c r="B82" i="263"/>
  <c r="B81" i="263"/>
  <c r="B80" i="263"/>
  <c r="B79" i="263"/>
  <c r="B78" i="263"/>
  <c r="B77" i="263"/>
  <c r="B76" i="263"/>
  <c r="B75" i="263"/>
  <c r="B74" i="263"/>
  <c r="B73" i="263"/>
  <c r="B72" i="263"/>
  <c r="B71" i="263"/>
  <c r="B70" i="263"/>
  <c r="B69" i="263"/>
  <c r="B68" i="263"/>
  <c r="B67" i="263"/>
  <c r="B66" i="263"/>
  <c r="B65" i="263"/>
  <c r="B64" i="263"/>
  <c r="B63" i="263"/>
  <c r="B62" i="263"/>
  <c r="B61" i="263"/>
  <c r="B60" i="263"/>
  <c r="B59" i="263"/>
  <c r="B58" i="263"/>
  <c r="B57" i="263"/>
  <c r="B56" i="263"/>
  <c r="B55" i="263"/>
  <c r="B54" i="263"/>
  <c r="B53" i="263"/>
  <c r="B52" i="263"/>
  <c r="B51" i="263"/>
  <c r="B50" i="263"/>
  <c r="B49" i="263"/>
  <c r="B48" i="263"/>
  <c r="B47" i="263"/>
  <c r="B46" i="263"/>
  <c r="B45" i="263"/>
  <c r="B44" i="263"/>
  <c r="B43" i="263"/>
  <c r="B42" i="263"/>
  <c r="B41" i="263"/>
  <c r="B40" i="263"/>
  <c r="B39" i="263"/>
  <c r="B38" i="263"/>
  <c r="B37" i="263"/>
  <c r="B36" i="263"/>
  <c r="B35" i="263"/>
  <c r="B34" i="263"/>
  <c r="B33" i="263"/>
  <c r="B32" i="263"/>
  <c r="B31" i="263"/>
  <c r="B30" i="263"/>
  <c r="B29" i="263"/>
  <c r="B28" i="263"/>
  <c r="B27" i="263"/>
  <c r="B26" i="263"/>
  <c r="B25" i="263"/>
  <c r="B24" i="263"/>
  <c r="B23" i="263"/>
  <c r="B22" i="263"/>
  <c r="B21" i="263"/>
  <c r="B20" i="263"/>
  <c r="B19" i="263"/>
  <c r="B18" i="263"/>
  <c r="B17" i="263"/>
  <c r="B16" i="263"/>
  <c r="B15" i="263"/>
  <c r="B14" i="263"/>
  <c r="B13" i="263"/>
  <c r="B12" i="263"/>
  <c r="B11" i="263"/>
  <c r="B10" i="263"/>
  <c r="B9" i="263"/>
  <c r="B8" i="263"/>
  <c r="B7" i="263"/>
  <c r="B6" i="263"/>
  <c r="B5" i="263"/>
  <c r="B4" i="263"/>
  <c r="P32" i="237" l="1"/>
  <c r="P35" i="183"/>
  <c r="B8" i="262"/>
  <c r="B9" i="262"/>
  <c r="B10" i="262"/>
  <c r="B11" i="262"/>
  <c r="C11" i="262" s="1"/>
  <c r="B12" i="262"/>
  <c r="B13" i="262"/>
  <c r="B14" i="262"/>
  <c r="A14" i="262" s="1"/>
  <c r="B15" i="262"/>
  <c r="B16" i="262"/>
  <c r="B17" i="262"/>
  <c r="B25" i="262"/>
  <c r="B26" i="262"/>
  <c r="C26" i="262" s="1"/>
  <c r="B27" i="262"/>
  <c r="B28" i="262"/>
  <c r="B29" i="262"/>
  <c r="B30" i="262"/>
  <c r="C30" i="262" s="1"/>
  <c r="B31" i="262"/>
  <c r="C31" i="262" s="1"/>
  <c r="B32" i="262"/>
  <c r="C32" i="262" s="1"/>
  <c r="B33" i="262"/>
  <c r="B34" i="262"/>
  <c r="C34" i="262" s="1"/>
  <c r="D1003" i="262"/>
  <c r="B1003" i="262"/>
  <c r="A1003" i="262" s="1"/>
  <c r="D1002" i="262"/>
  <c r="B1002" i="262"/>
  <c r="C1002" i="262" s="1"/>
  <c r="D1001" i="262"/>
  <c r="B1001" i="262"/>
  <c r="A1001" i="262" s="1"/>
  <c r="D1000" i="262"/>
  <c r="B1000" i="262"/>
  <c r="C1000" i="262" s="1"/>
  <c r="D999" i="262"/>
  <c r="B999" i="262"/>
  <c r="A999" i="262" s="1"/>
  <c r="D998" i="262"/>
  <c r="B998" i="262"/>
  <c r="C998" i="262" s="1"/>
  <c r="D997" i="262"/>
  <c r="B997" i="262"/>
  <c r="A997" i="262" s="1"/>
  <c r="D996" i="262"/>
  <c r="B996" i="262"/>
  <c r="C996" i="262" s="1"/>
  <c r="D995" i="262"/>
  <c r="B995" i="262"/>
  <c r="A995" i="262" s="1"/>
  <c r="D994" i="262"/>
  <c r="B994" i="262"/>
  <c r="C994" i="262" s="1"/>
  <c r="D993" i="262"/>
  <c r="B993" i="262"/>
  <c r="A993" i="262" s="1"/>
  <c r="D991" i="262"/>
  <c r="B991" i="262"/>
  <c r="D990" i="262"/>
  <c r="C990" i="262"/>
  <c r="B990" i="262"/>
  <c r="E989" i="262"/>
  <c r="B989" i="262"/>
  <c r="D986" i="262"/>
  <c r="B986" i="262"/>
  <c r="C986" i="262" s="1"/>
  <c r="D985" i="262"/>
  <c r="B985" i="262"/>
  <c r="C985" i="262" s="1"/>
  <c r="D984" i="262"/>
  <c r="B984" i="262"/>
  <c r="C984" i="262" s="1"/>
  <c r="D983" i="262"/>
  <c r="B983" i="262"/>
  <c r="C983" i="262" s="1"/>
  <c r="D982" i="262"/>
  <c r="B982" i="262"/>
  <c r="C982" i="262" s="1"/>
  <c r="D981" i="262"/>
  <c r="B981" i="262"/>
  <c r="A981" i="262" s="1"/>
  <c r="D980" i="262"/>
  <c r="B980" i="262"/>
  <c r="C980" i="262" s="1"/>
  <c r="D979" i="262"/>
  <c r="B979" i="262"/>
  <c r="C979" i="262" s="1"/>
  <c r="D978" i="262"/>
  <c r="B978" i="262"/>
  <c r="C978" i="262" s="1"/>
  <c r="D977" i="262"/>
  <c r="B977" i="262"/>
  <c r="C977" i="262" s="1"/>
  <c r="D976" i="262"/>
  <c r="B976" i="262"/>
  <c r="C976" i="262" s="1"/>
  <c r="D974" i="262"/>
  <c r="B974" i="262"/>
  <c r="D973" i="262"/>
  <c r="C973" i="262"/>
  <c r="B973" i="262"/>
  <c r="E972" i="262"/>
  <c r="B972" i="262"/>
  <c r="D969" i="262"/>
  <c r="B969" i="262"/>
  <c r="C969" i="262" s="1"/>
  <c r="D968" i="262"/>
  <c r="B968" i="262"/>
  <c r="D967" i="262"/>
  <c r="B967" i="262"/>
  <c r="A967" i="262" s="1"/>
  <c r="D966" i="262"/>
  <c r="B966" i="262"/>
  <c r="C966" i="262" s="1"/>
  <c r="D965" i="262"/>
  <c r="B965" i="262"/>
  <c r="A965" i="262" s="1"/>
  <c r="D964" i="262"/>
  <c r="B964" i="262"/>
  <c r="C964" i="262" s="1"/>
  <c r="D963" i="262"/>
  <c r="B963" i="262"/>
  <c r="C963" i="262" s="1"/>
  <c r="D962" i="262"/>
  <c r="B962" i="262"/>
  <c r="C962" i="262" s="1"/>
  <c r="D961" i="262"/>
  <c r="B961" i="262"/>
  <c r="C961" i="262" s="1"/>
  <c r="D960" i="262"/>
  <c r="B960" i="262"/>
  <c r="C960" i="262" s="1"/>
  <c r="D959" i="262"/>
  <c r="B959" i="262"/>
  <c r="C959" i="262" s="1"/>
  <c r="D957" i="262"/>
  <c r="B957" i="262"/>
  <c r="D956" i="262"/>
  <c r="C956" i="262"/>
  <c r="B956" i="262"/>
  <c r="E955" i="262"/>
  <c r="B955" i="262"/>
  <c r="D952" i="262"/>
  <c r="C952" i="262"/>
  <c r="A952" i="262"/>
  <c r="D951" i="262"/>
  <c r="C951" i="262"/>
  <c r="A951" i="262"/>
  <c r="D950" i="262"/>
  <c r="C950" i="262"/>
  <c r="A950" i="262"/>
  <c r="D949" i="262"/>
  <c r="C949" i="262"/>
  <c r="A949" i="262"/>
  <c r="D948" i="262"/>
  <c r="C948" i="262"/>
  <c r="A948" i="262"/>
  <c r="D947" i="262"/>
  <c r="C947" i="262"/>
  <c r="A947" i="262"/>
  <c r="D946" i="262"/>
  <c r="C946" i="262"/>
  <c r="A946" i="262"/>
  <c r="D945" i="262"/>
  <c r="C945" i="262"/>
  <c r="A945" i="262"/>
  <c r="D944" i="262"/>
  <c r="C944" i="262"/>
  <c r="A944" i="262"/>
  <c r="D943" i="262"/>
  <c r="C943" i="262"/>
  <c r="A943" i="262"/>
  <c r="D942" i="262"/>
  <c r="C942" i="262"/>
  <c r="A942" i="262"/>
  <c r="D940" i="262"/>
  <c r="B940" i="262"/>
  <c r="D939" i="262"/>
  <c r="C939" i="262"/>
  <c r="B939" i="262"/>
  <c r="E938" i="262"/>
  <c r="B938" i="262"/>
  <c r="D935" i="262"/>
  <c r="C935" i="262"/>
  <c r="A935" i="262"/>
  <c r="D934" i="262"/>
  <c r="C934" i="262"/>
  <c r="A934" i="262"/>
  <c r="D933" i="262"/>
  <c r="C933" i="262"/>
  <c r="A933" i="262"/>
  <c r="D932" i="262"/>
  <c r="C932" i="262"/>
  <c r="A932" i="262"/>
  <c r="D931" i="262"/>
  <c r="C931" i="262"/>
  <c r="A931" i="262"/>
  <c r="D930" i="262"/>
  <c r="C930" i="262"/>
  <c r="A930" i="262"/>
  <c r="D929" i="262"/>
  <c r="C929" i="262"/>
  <c r="A929" i="262"/>
  <c r="D928" i="262"/>
  <c r="C928" i="262"/>
  <c r="A928" i="262"/>
  <c r="D927" i="262"/>
  <c r="C927" i="262"/>
  <c r="A927" i="262"/>
  <c r="D926" i="262"/>
  <c r="C926" i="262"/>
  <c r="A926" i="262"/>
  <c r="D925" i="262"/>
  <c r="C925" i="262"/>
  <c r="A925" i="262"/>
  <c r="D923" i="262"/>
  <c r="B923" i="262"/>
  <c r="D922" i="262"/>
  <c r="C922" i="262"/>
  <c r="B922" i="262"/>
  <c r="E921" i="262"/>
  <c r="B921" i="262"/>
  <c r="D918" i="262"/>
  <c r="B918" i="262"/>
  <c r="C918" i="262" s="1"/>
  <c r="D917" i="262"/>
  <c r="B917" i="262"/>
  <c r="A917" i="262" s="1"/>
  <c r="D916" i="262"/>
  <c r="B916" i="262"/>
  <c r="C916" i="262" s="1"/>
  <c r="D915" i="262"/>
  <c r="B915" i="262"/>
  <c r="A915" i="262" s="1"/>
  <c r="D914" i="262"/>
  <c r="B914" i="262"/>
  <c r="A914" i="262" s="1"/>
  <c r="D913" i="262"/>
  <c r="B913" i="262"/>
  <c r="A913" i="262" s="1"/>
  <c r="D912" i="262"/>
  <c r="B912" i="262"/>
  <c r="C912" i="262" s="1"/>
  <c r="D911" i="262"/>
  <c r="B911" i="262"/>
  <c r="A911" i="262" s="1"/>
  <c r="D910" i="262"/>
  <c r="D919" i="262" s="1"/>
  <c r="B910" i="262"/>
  <c r="C910" i="262" s="1"/>
  <c r="D909" i="262"/>
  <c r="B909" i="262"/>
  <c r="A909" i="262" s="1"/>
  <c r="D908" i="262"/>
  <c r="B908" i="262"/>
  <c r="A908" i="262" s="1"/>
  <c r="D906" i="262"/>
  <c r="B906" i="262"/>
  <c r="D905" i="262"/>
  <c r="C905" i="262"/>
  <c r="B905" i="262"/>
  <c r="E904" i="262"/>
  <c r="D904" i="262"/>
  <c r="B904" i="262"/>
  <c r="D901" i="262"/>
  <c r="B901" i="262"/>
  <c r="C901" i="262" s="1"/>
  <c r="D900" i="262"/>
  <c r="B900" i="262"/>
  <c r="D899" i="262"/>
  <c r="B899" i="262"/>
  <c r="C899" i="262" s="1"/>
  <c r="D898" i="262"/>
  <c r="B898" i="262"/>
  <c r="D897" i="262"/>
  <c r="B897" i="262"/>
  <c r="A897" i="262" s="1"/>
  <c r="D896" i="262"/>
  <c r="B896" i="262"/>
  <c r="D895" i="262"/>
  <c r="B895" i="262"/>
  <c r="A895" i="262" s="1"/>
  <c r="D894" i="262"/>
  <c r="B894" i="262"/>
  <c r="D893" i="262"/>
  <c r="B893" i="262"/>
  <c r="C893" i="262" s="1"/>
  <c r="D892" i="262"/>
  <c r="D902" i="262" s="1"/>
  <c r="B892" i="262"/>
  <c r="D891" i="262"/>
  <c r="B891" i="262"/>
  <c r="C891" i="262" s="1"/>
  <c r="D889" i="262"/>
  <c r="B889" i="262"/>
  <c r="D888" i="262"/>
  <c r="C888" i="262"/>
  <c r="B888" i="262"/>
  <c r="E887" i="262"/>
  <c r="D887" i="262"/>
  <c r="B887" i="262"/>
  <c r="D884" i="262"/>
  <c r="B884" i="262"/>
  <c r="A884" i="262" s="1"/>
  <c r="D883" i="262"/>
  <c r="B883" i="262"/>
  <c r="D882" i="262"/>
  <c r="B882" i="262"/>
  <c r="C882" i="262" s="1"/>
  <c r="D881" i="262"/>
  <c r="B881" i="262"/>
  <c r="C881" i="262" s="1"/>
  <c r="D880" i="262"/>
  <c r="B880" i="262"/>
  <c r="A880" i="262" s="1"/>
  <c r="D879" i="262"/>
  <c r="B879" i="262"/>
  <c r="C879" i="262" s="1"/>
  <c r="D878" i="262"/>
  <c r="B878" i="262"/>
  <c r="C878" i="262" s="1"/>
  <c r="D877" i="262"/>
  <c r="B877" i="262"/>
  <c r="C877" i="262" s="1"/>
  <c r="D876" i="262"/>
  <c r="B876" i="262"/>
  <c r="A876" i="262" s="1"/>
  <c r="D875" i="262"/>
  <c r="B875" i="262"/>
  <c r="D874" i="262"/>
  <c r="B874" i="262"/>
  <c r="C874" i="262" s="1"/>
  <c r="D872" i="262"/>
  <c r="B872" i="262"/>
  <c r="D871" i="262"/>
  <c r="C871" i="262"/>
  <c r="B871" i="262"/>
  <c r="E870" i="262"/>
  <c r="D870" i="262"/>
  <c r="B870" i="262"/>
  <c r="D855" i="262"/>
  <c r="B855" i="262"/>
  <c r="C854" i="262"/>
  <c r="B854" i="262"/>
  <c r="E853" i="262"/>
  <c r="D853" i="262"/>
  <c r="B853" i="262"/>
  <c r="D838" i="262"/>
  <c r="B838" i="262"/>
  <c r="C837" i="262"/>
  <c r="B837" i="262"/>
  <c r="E836" i="262"/>
  <c r="D836" i="262"/>
  <c r="B836" i="262"/>
  <c r="D833" i="262"/>
  <c r="D821" i="262"/>
  <c r="B821" i="262"/>
  <c r="C820" i="262"/>
  <c r="B820" i="262"/>
  <c r="E819" i="262"/>
  <c r="D819" i="262"/>
  <c r="B819" i="262"/>
  <c r="D804" i="262"/>
  <c r="B804" i="262"/>
  <c r="C803" i="262"/>
  <c r="B803" i="262"/>
  <c r="E802" i="262"/>
  <c r="D802" i="262"/>
  <c r="B802" i="262"/>
  <c r="D787" i="262"/>
  <c r="B787" i="262"/>
  <c r="C786" i="262"/>
  <c r="B786" i="262"/>
  <c r="E785" i="262"/>
  <c r="D785" i="262"/>
  <c r="B785" i="262"/>
  <c r="D770" i="262"/>
  <c r="B770" i="262"/>
  <c r="C769" i="262"/>
  <c r="B769" i="262"/>
  <c r="E768" i="262"/>
  <c r="D768" i="262"/>
  <c r="B768" i="262"/>
  <c r="D753" i="262"/>
  <c r="B753" i="262"/>
  <c r="C752" i="262"/>
  <c r="B752" i="262"/>
  <c r="E751" i="262"/>
  <c r="D751" i="262"/>
  <c r="B751" i="262"/>
  <c r="D736" i="262"/>
  <c r="B736" i="262"/>
  <c r="C735" i="262"/>
  <c r="B735" i="262"/>
  <c r="E734" i="262"/>
  <c r="D734" i="262"/>
  <c r="B734" i="262"/>
  <c r="B731" i="262"/>
  <c r="A731" i="262" s="1"/>
  <c r="B730" i="262"/>
  <c r="B729" i="262"/>
  <c r="A729" i="262" s="1"/>
  <c r="B728" i="262"/>
  <c r="B727" i="262"/>
  <c r="B726" i="262"/>
  <c r="C726" i="262" s="1"/>
  <c r="B725" i="262"/>
  <c r="B724" i="262"/>
  <c r="C724" i="262" s="1"/>
  <c r="B723" i="262"/>
  <c r="A723" i="262" s="1"/>
  <c r="B722" i="262"/>
  <c r="B721" i="262"/>
  <c r="A721" i="262" s="1"/>
  <c r="D719" i="262"/>
  <c r="B719" i="262"/>
  <c r="C718" i="262"/>
  <c r="B718" i="262"/>
  <c r="E717" i="262"/>
  <c r="D717" i="262"/>
  <c r="B717" i="262"/>
  <c r="B714" i="262"/>
  <c r="B713" i="262"/>
  <c r="C713" i="262" s="1"/>
  <c r="B712" i="262"/>
  <c r="A712" i="262" s="1"/>
  <c r="B711" i="262"/>
  <c r="C711" i="262" s="1"/>
  <c r="B710" i="262"/>
  <c r="A710" i="262" s="1"/>
  <c r="B709" i="262"/>
  <c r="C709" i="262" s="1"/>
  <c r="B708" i="262"/>
  <c r="A708" i="262" s="1"/>
  <c r="B707" i="262"/>
  <c r="C707" i="262" s="1"/>
  <c r="B706" i="262"/>
  <c r="A706" i="262" s="1"/>
  <c r="B705" i="262"/>
  <c r="A705" i="262" s="1"/>
  <c r="B704" i="262"/>
  <c r="A704" i="262" s="1"/>
  <c r="D702" i="262"/>
  <c r="B702" i="262"/>
  <c r="C701" i="262"/>
  <c r="B701" i="262"/>
  <c r="E700" i="262"/>
  <c r="D700" i="262"/>
  <c r="B700" i="262"/>
  <c r="B697" i="262"/>
  <c r="B696" i="262"/>
  <c r="C696" i="262" s="1"/>
  <c r="B695" i="262"/>
  <c r="B694" i="262"/>
  <c r="C694" i="262" s="1"/>
  <c r="B693" i="262"/>
  <c r="B692" i="262"/>
  <c r="C692" i="262" s="1"/>
  <c r="B691" i="262"/>
  <c r="B690" i="262"/>
  <c r="C690" i="262" s="1"/>
  <c r="B689" i="262"/>
  <c r="B688" i="262"/>
  <c r="A688" i="262" s="1"/>
  <c r="B687" i="262"/>
  <c r="D685" i="262"/>
  <c r="B685" i="262"/>
  <c r="C684" i="262"/>
  <c r="B684" i="262"/>
  <c r="E683" i="262"/>
  <c r="D683" i="262"/>
  <c r="B683" i="262"/>
  <c r="B680" i="262"/>
  <c r="C680" i="262" s="1"/>
  <c r="B679" i="262"/>
  <c r="A679" i="262" s="1"/>
  <c r="B678" i="262"/>
  <c r="C678" i="262" s="1"/>
  <c r="B677" i="262"/>
  <c r="C677" i="262" s="1"/>
  <c r="B676" i="262"/>
  <c r="C676" i="262" s="1"/>
  <c r="B675" i="262"/>
  <c r="C675" i="262" s="1"/>
  <c r="B674" i="262"/>
  <c r="C674" i="262" s="1"/>
  <c r="B673" i="262"/>
  <c r="C673" i="262" s="1"/>
  <c r="B672" i="262"/>
  <c r="C672" i="262" s="1"/>
  <c r="B671" i="262"/>
  <c r="A671" i="262" s="1"/>
  <c r="B670" i="262"/>
  <c r="C670" i="262" s="1"/>
  <c r="D668" i="262"/>
  <c r="B668" i="262"/>
  <c r="C667" i="262"/>
  <c r="B667" i="262"/>
  <c r="E666" i="262"/>
  <c r="D666" i="262"/>
  <c r="B666" i="262"/>
  <c r="B663" i="262"/>
  <c r="C663" i="262" s="1"/>
  <c r="B662" i="262"/>
  <c r="B661" i="262"/>
  <c r="C661" i="262" s="1"/>
  <c r="B660" i="262"/>
  <c r="A660" i="262" s="1"/>
  <c r="B659" i="262"/>
  <c r="C659" i="262" s="1"/>
  <c r="B658" i="262"/>
  <c r="A658" i="262" s="1"/>
  <c r="B657" i="262"/>
  <c r="B656" i="262"/>
  <c r="A656" i="262" s="1"/>
  <c r="B655" i="262"/>
  <c r="C655" i="262" s="1"/>
  <c r="B654" i="262"/>
  <c r="B653" i="262"/>
  <c r="C653" i="262" s="1"/>
  <c r="D651" i="262"/>
  <c r="B651" i="262"/>
  <c r="C650" i="262"/>
  <c r="B650" i="262"/>
  <c r="E649" i="262"/>
  <c r="D649" i="262"/>
  <c r="B649" i="262"/>
  <c r="B646" i="262"/>
  <c r="C646" i="262" s="1"/>
  <c r="B645" i="262"/>
  <c r="A645" i="262" s="1"/>
  <c r="B644" i="262"/>
  <c r="C644" i="262" s="1"/>
  <c r="B643" i="262"/>
  <c r="A643" i="262" s="1"/>
  <c r="B642" i="262"/>
  <c r="C642" i="262" s="1"/>
  <c r="B641" i="262"/>
  <c r="A641" i="262" s="1"/>
  <c r="B640" i="262"/>
  <c r="A640" i="262" s="1"/>
  <c r="B639" i="262"/>
  <c r="B638" i="262"/>
  <c r="C638" i="262" s="1"/>
  <c r="B637" i="262"/>
  <c r="A637" i="262" s="1"/>
  <c r="B636" i="262"/>
  <c r="C636" i="262" s="1"/>
  <c r="D634" i="262"/>
  <c r="B634" i="262"/>
  <c r="C633" i="262"/>
  <c r="B633" i="262"/>
  <c r="E632" i="262"/>
  <c r="D632" i="262"/>
  <c r="B632" i="262"/>
  <c r="B629" i="262"/>
  <c r="C629" i="262" s="1"/>
  <c r="B628" i="262"/>
  <c r="B627" i="262"/>
  <c r="A627" i="262" s="1"/>
  <c r="B626" i="262"/>
  <c r="B625" i="262"/>
  <c r="C625" i="262" s="1"/>
  <c r="B624" i="262"/>
  <c r="B623" i="262"/>
  <c r="A623" i="262" s="1"/>
  <c r="B622" i="262"/>
  <c r="B621" i="262"/>
  <c r="C621" i="262" s="1"/>
  <c r="B620" i="262"/>
  <c r="B619" i="262"/>
  <c r="A619" i="262" s="1"/>
  <c r="D617" i="262"/>
  <c r="B617" i="262"/>
  <c r="C616" i="262"/>
  <c r="B616" i="262"/>
  <c r="E615" i="262"/>
  <c r="D615" i="262"/>
  <c r="B615" i="262"/>
  <c r="B612" i="262"/>
  <c r="A612" i="262" s="1"/>
  <c r="B611" i="262"/>
  <c r="C611" i="262" s="1"/>
  <c r="B610" i="262"/>
  <c r="A610" i="262" s="1"/>
  <c r="B609" i="262"/>
  <c r="C609" i="262" s="1"/>
  <c r="B608" i="262"/>
  <c r="C608" i="262" s="1"/>
  <c r="B607" i="262"/>
  <c r="C607" i="262" s="1"/>
  <c r="B606" i="262"/>
  <c r="C606" i="262" s="1"/>
  <c r="B605" i="262"/>
  <c r="C605" i="262" s="1"/>
  <c r="B604" i="262"/>
  <c r="A604" i="262" s="1"/>
  <c r="B603" i="262"/>
  <c r="C603" i="262" s="1"/>
  <c r="B602" i="262"/>
  <c r="C602" i="262" s="1"/>
  <c r="D600" i="262"/>
  <c r="B600" i="262"/>
  <c r="C599" i="262"/>
  <c r="B599" i="262"/>
  <c r="E598" i="262"/>
  <c r="D598" i="262"/>
  <c r="B598" i="262"/>
  <c r="B595" i="262"/>
  <c r="A595" i="262" s="1"/>
  <c r="B594" i="262"/>
  <c r="C594" i="262" s="1"/>
  <c r="B593" i="262"/>
  <c r="B592" i="262"/>
  <c r="C592" i="262" s="1"/>
  <c r="B591" i="262"/>
  <c r="A591" i="262" s="1"/>
  <c r="B590" i="262"/>
  <c r="C590" i="262" s="1"/>
  <c r="B589" i="262"/>
  <c r="A589" i="262" s="1"/>
  <c r="B588" i="262"/>
  <c r="B587" i="262"/>
  <c r="A587" i="262" s="1"/>
  <c r="B586" i="262"/>
  <c r="C586" i="262" s="1"/>
  <c r="B585" i="262"/>
  <c r="D583" i="262"/>
  <c r="B583" i="262"/>
  <c r="C582" i="262"/>
  <c r="B582" i="262"/>
  <c r="E581" i="262"/>
  <c r="D581" i="262"/>
  <c r="B581" i="262"/>
  <c r="B578" i="262"/>
  <c r="A578" i="262" s="1"/>
  <c r="B577" i="262"/>
  <c r="C577" i="262" s="1"/>
  <c r="B576" i="262"/>
  <c r="A576" i="262" s="1"/>
  <c r="B575" i="262"/>
  <c r="C575" i="262" s="1"/>
  <c r="B574" i="262"/>
  <c r="A574" i="262" s="1"/>
  <c r="B573" i="262"/>
  <c r="C573" i="262" s="1"/>
  <c r="B572" i="262"/>
  <c r="A572" i="262" s="1"/>
  <c r="B571" i="262"/>
  <c r="C571" i="262" s="1"/>
  <c r="B570" i="262"/>
  <c r="B569" i="262"/>
  <c r="A569" i="262" s="1"/>
  <c r="B568" i="262"/>
  <c r="A568" i="262" s="1"/>
  <c r="D566" i="262"/>
  <c r="B566" i="262"/>
  <c r="C565" i="262"/>
  <c r="B565" i="262"/>
  <c r="E564" i="262"/>
  <c r="B564" i="262"/>
  <c r="B561" i="262"/>
  <c r="B560" i="262"/>
  <c r="C560" i="262" s="1"/>
  <c r="B559" i="262"/>
  <c r="B558" i="262"/>
  <c r="A558" i="262" s="1"/>
  <c r="B557" i="262"/>
  <c r="B556" i="262"/>
  <c r="C556" i="262" s="1"/>
  <c r="B555" i="262"/>
  <c r="B554" i="262"/>
  <c r="A554" i="262" s="1"/>
  <c r="B553" i="262"/>
  <c r="B552" i="262"/>
  <c r="C552" i="262" s="1"/>
  <c r="B551" i="262"/>
  <c r="D549" i="262"/>
  <c r="B549" i="262"/>
  <c r="C548" i="262"/>
  <c r="B548" i="262"/>
  <c r="E547" i="262"/>
  <c r="B547" i="262"/>
  <c r="B544" i="262"/>
  <c r="C544" i="262" s="1"/>
  <c r="B543" i="262"/>
  <c r="B542" i="262"/>
  <c r="C542" i="262" s="1"/>
  <c r="B541" i="262"/>
  <c r="B540" i="262"/>
  <c r="C540" i="262" s="1"/>
  <c r="B539" i="262"/>
  <c r="B538" i="262"/>
  <c r="C538" i="262" s="1"/>
  <c r="B537" i="262"/>
  <c r="B536" i="262"/>
  <c r="C536" i="262" s="1"/>
  <c r="B535" i="262"/>
  <c r="B534" i="262"/>
  <c r="C534" i="262" s="1"/>
  <c r="D532" i="262"/>
  <c r="B532" i="262"/>
  <c r="C531" i="262"/>
  <c r="B531" i="262"/>
  <c r="E530" i="262"/>
  <c r="B530" i="262"/>
  <c r="B527" i="262"/>
  <c r="A527" i="262" s="1"/>
  <c r="B526" i="262"/>
  <c r="C526" i="262" s="1"/>
  <c r="B525" i="262"/>
  <c r="C525" i="262" s="1"/>
  <c r="B524" i="262"/>
  <c r="C524" i="262" s="1"/>
  <c r="B523" i="262"/>
  <c r="C523" i="262" s="1"/>
  <c r="B522" i="262"/>
  <c r="C522" i="262" s="1"/>
  <c r="B521" i="262"/>
  <c r="C521" i="262" s="1"/>
  <c r="B520" i="262"/>
  <c r="B519" i="262"/>
  <c r="C519" i="262" s="1"/>
  <c r="B518" i="262"/>
  <c r="C518" i="262" s="1"/>
  <c r="B517" i="262"/>
  <c r="C517" i="262" s="1"/>
  <c r="D515" i="262"/>
  <c r="B515" i="262"/>
  <c r="C514" i="262"/>
  <c r="B514" i="262"/>
  <c r="E513" i="262"/>
  <c r="B513" i="262"/>
  <c r="B510" i="262"/>
  <c r="A510" i="262" s="1"/>
  <c r="B509" i="262"/>
  <c r="C509" i="262" s="1"/>
  <c r="B508" i="262"/>
  <c r="A508" i="262" s="1"/>
  <c r="B507" i="262"/>
  <c r="B506" i="262"/>
  <c r="A506" i="262" s="1"/>
  <c r="B505" i="262"/>
  <c r="C505" i="262" s="1"/>
  <c r="B504" i="262"/>
  <c r="B503" i="262"/>
  <c r="C503" i="262" s="1"/>
  <c r="B502" i="262"/>
  <c r="A502" i="262" s="1"/>
  <c r="B501" i="262"/>
  <c r="C501" i="262" s="1"/>
  <c r="B500" i="262"/>
  <c r="A500" i="262" s="1"/>
  <c r="D498" i="262"/>
  <c r="B498" i="262"/>
  <c r="C497" i="262"/>
  <c r="B497" i="262"/>
  <c r="E496" i="262"/>
  <c r="B496" i="262"/>
  <c r="B493" i="262"/>
  <c r="B492" i="262"/>
  <c r="C492" i="262" s="1"/>
  <c r="B491" i="262"/>
  <c r="A491" i="262" s="1"/>
  <c r="B490" i="262"/>
  <c r="C490" i="262" s="1"/>
  <c r="B489" i="262"/>
  <c r="A489" i="262" s="1"/>
  <c r="B488" i="262"/>
  <c r="C488" i="262" s="1"/>
  <c r="B487" i="262"/>
  <c r="A487" i="262" s="1"/>
  <c r="B486" i="262"/>
  <c r="C486" i="262" s="1"/>
  <c r="B485" i="262"/>
  <c r="A485" i="262" s="1"/>
  <c r="B484" i="262"/>
  <c r="C484" i="262" s="1"/>
  <c r="B483" i="262"/>
  <c r="C483" i="262" s="1"/>
  <c r="D481" i="262"/>
  <c r="B481" i="262"/>
  <c r="C480" i="262"/>
  <c r="B480" i="262"/>
  <c r="E479" i="262"/>
  <c r="B479" i="262"/>
  <c r="B476" i="262"/>
  <c r="A476" i="262" s="1"/>
  <c r="B475" i="262"/>
  <c r="C475" i="262" s="1"/>
  <c r="B474" i="262"/>
  <c r="B473" i="262"/>
  <c r="A473" i="262" s="1"/>
  <c r="B472" i="262"/>
  <c r="A472" i="262" s="1"/>
  <c r="B471" i="262"/>
  <c r="C471" i="262" s="1"/>
  <c r="B470" i="262"/>
  <c r="A470" i="262" s="1"/>
  <c r="B469" i="262"/>
  <c r="C469" i="262" s="1"/>
  <c r="B468" i="262"/>
  <c r="A468" i="262" s="1"/>
  <c r="B467" i="262"/>
  <c r="C467" i="262" s="1"/>
  <c r="B466" i="262"/>
  <c r="A466" i="262" s="1"/>
  <c r="D464" i="262"/>
  <c r="B464" i="262"/>
  <c r="C463" i="262"/>
  <c r="B463" i="262"/>
  <c r="E462" i="262"/>
  <c r="B462" i="262"/>
  <c r="B459" i="262"/>
  <c r="C459" i="262" s="1"/>
  <c r="B458" i="262"/>
  <c r="C458" i="262" s="1"/>
  <c r="B457" i="262"/>
  <c r="C457" i="262" s="1"/>
  <c r="B456" i="262"/>
  <c r="C456" i="262" s="1"/>
  <c r="B455" i="262"/>
  <c r="C455" i="262" s="1"/>
  <c r="B454" i="262"/>
  <c r="C454" i="262" s="1"/>
  <c r="B453" i="262"/>
  <c r="C453" i="262" s="1"/>
  <c r="B452" i="262"/>
  <c r="C452" i="262" s="1"/>
  <c r="B451" i="262"/>
  <c r="C451" i="262" s="1"/>
  <c r="B450" i="262"/>
  <c r="C450" i="262" s="1"/>
  <c r="B449" i="262"/>
  <c r="C449" i="262" s="1"/>
  <c r="D447" i="262"/>
  <c r="B447" i="262"/>
  <c r="C446" i="262"/>
  <c r="B446" i="262"/>
  <c r="E445" i="262"/>
  <c r="B445" i="262"/>
  <c r="B442" i="262"/>
  <c r="A442" i="262" s="1"/>
  <c r="B441" i="262"/>
  <c r="A441" i="262" s="1"/>
  <c r="B440" i="262"/>
  <c r="C440" i="262" s="1"/>
  <c r="B439" i="262"/>
  <c r="C439" i="262" s="1"/>
  <c r="B438" i="262"/>
  <c r="C438" i="262" s="1"/>
  <c r="B437" i="262"/>
  <c r="C437" i="262" s="1"/>
  <c r="B436" i="262"/>
  <c r="C436" i="262" s="1"/>
  <c r="B435" i="262"/>
  <c r="C435" i="262" s="1"/>
  <c r="B434" i="262"/>
  <c r="A434" i="262" s="1"/>
  <c r="B433" i="262"/>
  <c r="C433" i="262" s="1"/>
  <c r="B432" i="262"/>
  <c r="C432" i="262" s="1"/>
  <c r="D430" i="262"/>
  <c r="B430" i="262"/>
  <c r="C429" i="262"/>
  <c r="B429" i="262"/>
  <c r="E428" i="262"/>
  <c r="B428" i="262"/>
  <c r="B425" i="262"/>
  <c r="A425" i="262" s="1"/>
  <c r="B424" i="262"/>
  <c r="A424" i="262" s="1"/>
  <c r="B423" i="262"/>
  <c r="A423" i="262" s="1"/>
  <c r="B422" i="262"/>
  <c r="A422" i="262" s="1"/>
  <c r="B421" i="262"/>
  <c r="C421" i="262" s="1"/>
  <c r="B420" i="262"/>
  <c r="A420" i="262" s="1"/>
  <c r="B419" i="262"/>
  <c r="A419" i="262" s="1"/>
  <c r="B418" i="262"/>
  <c r="A418" i="262" s="1"/>
  <c r="B417" i="262"/>
  <c r="C417" i="262" s="1"/>
  <c r="B416" i="262"/>
  <c r="A416" i="262" s="1"/>
  <c r="B415" i="262"/>
  <c r="A415" i="262" s="1"/>
  <c r="D413" i="262"/>
  <c r="B413" i="262"/>
  <c r="C412" i="262"/>
  <c r="B412" i="262"/>
  <c r="E411" i="262"/>
  <c r="B411" i="262"/>
  <c r="B408" i="262"/>
  <c r="C408" i="262" s="1"/>
  <c r="B407" i="262"/>
  <c r="C407" i="262" s="1"/>
  <c r="B406" i="262"/>
  <c r="C406" i="262" s="1"/>
  <c r="B405" i="262"/>
  <c r="C405" i="262" s="1"/>
  <c r="B404" i="262"/>
  <c r="C404" i="262" s="1"/>
  <c r="B403" i="262"/>
  <c r="C403" i="262" s="1"/>
  <c r="B402" i="262"/>
  <c r="C402" i="262" s="1"/>
  <c r="B401" i="262"/>
  <c r="C401" i="262" s="1"/>
  <c r="B400" i="262"/>
  <c r="C400" i="262" s="1"/>
  <c r="B399" i="262"/>
  <c r="C399" i="262" s="1"/>
  <c r="B398" i="262"/>
  <c r="C398" i="262" s="1"/>
  <c r="D396" i="262"/>
  <c r="B396" i="262"/>
  <c r="C395" i="262"/>
  <c r="B395" i="262"/>
  <c r="E394" i="262"/>
  <c r="B394" i="262"/>
  <c r="B391" i="262"/>
  <c r="C391" i="262" s="1"/>
  <c r="B390" i="262"/>
  <c r="C390" i="262" s="1"/>
  <c r="B389" i="262"/>
  <c r="C389" i="262" s="1"/>
  <c r="B388" i="262"/>
  <c r="C388" i="262" s="1"/>
  <c r="B387" i="262"/>
  <c r="C387" i="262" s="1"/>
  <c r="B386" i="262"/>
  <c r="C386" i="262" s="1"/>
  <c r="B385" i="262"/>
  <c r="C385" i="262" s="1"/>
  <c r="B384" i="262"/>
  <c r="C384" i="262" s="1"/>
  <c r="B383" i="262"/>
  <c r="A383" i="262" s="1"/>
  <c r="B382" i="262"/>
  <c r="C382" i="262" s="1"/>
  <c r="B381" i="262"/>
  <c r="A381" i="262" s="1"/>
  <c r="D379" i="262"/>
  <c r="B379" i="262"/>
  <c r="C378" i="262"/>
  <c r="B378" i="262"/>
  <c r="E377" i="262"/>
  <c r="B377" i="262"/>
  <c r="B374" i="262"/>
  <c r="C374" i="262" s="1"/>
  <c r="B373" i="262"/>
  <c r="C373" i="262" s="1"/>
  <c r="B372" i="262"/>
  <c r="C372" i="262" s="1"/>
  <c r="B371" i="262"/>
  <c r="A371" i="262" s="1"/>
  <c r="B370" i="262"/>
  <c r="A370" i="262" s="1"/>
  <c r="B369" i="262"/>
  <c r="C369" i="262" s="1"/>
  <c r="B368" i="262"/>
  <c r="C368" i="262" s="1"/>
  <c r="B367" i="262"/>
  <c r="C367" i="262" s="1"/>
  <c r="B366" i="262"/>
  <c r="C366" i="262" s="1"/>
  <c r="B365" i="262"/>
  <c r="A365" i="262" s="1"/>
  <c r="B364" i="262"/>
  <c r="A364" i="262" s="1"/>
  <c r="D362" i="262"/>
  <c r="B362" i="262"/>
  <c r="C361" i="262"/>
  <c r="B361" i="262"/>
  <c r="E360" i="262"/>
  <c r="B360" i="262"/>
  <c r="B357" i="262"/>
  <c r="A357" i="262" s="1"/>
  <c r="B356" i="262"/>
  <c r="C356" i="262" s="1"/>
  <c r="B355" i="262"/>
  <c r="A355" i="262" s="1"/>
  <c r="B354" i="262"/>
  <c r="C354" i="262" s="1"/>
  <c r="B353" i="262"/>
  <c r="A353" i="262" s="1"/>
  <c r="B352" i="262"/>
  <c r="C352" i="262" s="1"/>
  <c r="B351" i="262"/>
  <c r="A351" i="262" s="1"/>
  <c r="B350" i="262"/>
  <c r="C350" i="262" s="1"/>
  <c r="B349" i="262"/>
  <c r="A349" i="262" s="1"/>
  <c r="B348" i="262"/>
  <c r="C348" i="262" s="1"/>
  <c r="B347" i="262"/>
  <c r="A347" i="262" s="1"/>
  <c r="D345" i="262"/>
  <c r="B345" i="262"/>
  <c r="C344" i="262"/>
  <c r="B344" i="262"/>
  <c r="E343" i="262"/>
  <c r="B343" i="262"/>
  <c r="B340" i="262"/>
  <c r="A340" i="262" s="1"/>
  <c r="B339" i="262"/>
  <c r="A339" i="262" s="1"/>
  <c r="B338" i="262"/>
  <c r="C338" i="262" s="1"/>
  <c r="B337" i="262"/>
  <c r="C337" i="262" s="1"/>
  <c r="B336" i="262"/>
  <c r="C336" i="262" s="1"/>
  <c r="B335" i="262"/>
  <c r="C335" i="262" s="1"/>
  <c r="B334" i="262"/>
  <c r="C334" i="262" s="1"/>
  <c r="B333" i="262"/>
  <c r="A333" i="262" s="1"/>
  <c r="B332" i="262"/>
  <c r="C332" i="262" s="1"/>
  <c r="B331" i="262"/>
  <c r="A331" i="262" s="1"/>
  <c r="B330" i="262"/>
  <c r="C330" i="262" s="1"/>
  <c r="D328" i="262"/>
  <c r="B328" i="262"/>
  <c r="C327" i="262"/>
  <c r="B327" i="262"/>
  <c r="E326" i="262"/>
  <c r="B326" i="262"/>
  <c r="B323" i="262"/>
  <c r="C323" i="262" s="1"/>
  <c r="B322" i="262"/>
  <c r="C322" i="262" s="1"/>
  <c r="B321" i="262"/>
  <c r="C321" i="262" s="1"/>
  <c r="B320" i="262"/>
  <c r="A320" i="262" s="1"/>
  <c r="B319" i="262"/>
  <c r="C319" i="262" s="1"/>
  <c r="B318" i="262"/>
  <c r="C318" i="262" s="1"/>
  <c r="B317" i="262"/>
  <c r="C317" i="262" s="1"/>
  <c r="B316" i="262"/>
  <c r="C316" i="262" s="1"/>
  <c r="B315" i="262"/>
  <c r="C315" i="262" s="1"/>
  <c r="B314" i="262"/>
  <c r="C314" i="262" s="1"/>
  <c r="B313" i="262"/>
  <c r="C313" i="262" s="1"/>
  <c r="D311" i="262"/>
  <c r="B311" i="262"/>
  <c r="C310" i="262"/>
  <c r="B310" i="262"/>
  <c r="E309" i="262"/>
  <c r="B309" i="262"/>
  <c r="B306" i="262"/>
  <c r="C306" i="262" s="1"/>
  <c r="B305" i="262"/>
  <c r="C305" i="262" s="1"/>
  <c r="B304" i="262"/>
  <c r="C304" i="262" s="1"/>
  <c r="B303" i="262"/>
  <c r="C303" i="262" s="1"/>
  <c r="B302" i="262"/>
  <c r="A302" i="262" s="1"/>
  <c r="B301" i="262"/>
  <c r="C301" i="262" s="1"/>
  <c r="B300" i="262"/>
  <c r="C300" i="262" s="1"/>
  <c r="B299" i="262"/>
  <c r="C299" i="262" s="1"/>
  <c r="B298" i="262"/>
  <c r="C298" i="262" s="1"/>
  <c r="B297" i="262"/>
  <c r="C297" i="262" s="1"/>
  <c r="B296" i="262"/>
  <c r="A296" i="262" s="1"/>
  <c r="D294" i="262"/>
  <c r="B294" i="262"/>
  <c r="C293" i="262"/>
  <c r="B293" i="262"/>
  <c r="E292" i="262"/>
  <c r="B292" i="262"/>
  <c r="B289" i="262"/>
  <c r="C289" i="262" s="1"/>
  <c r="B288" i="262"/>
  <c r="A288" i="262" s="1"/>
  <c r="B287" i="262"/>
  <c r="C287" i="262" s="1"/>
  <c r="B286" i="262"/>
  <c r="A286" i="262" s="1"/>
  <c r="B285" i="262"/>
  <c r="A285" i="262" s="1"/>
  <c r="B284" i="262"/>
  <c r="A284" i="262" s="1"/>
  <c r="B283" i="262"/>
  <c r="C283" i="262" s="1"/>
  <c r="B282" i="262"/>
  <c r="A282" i="262" s="1"/>
  <c r="B281" i="262"/>
  <c r="C281" i="262" s="1"/>
  <c r="B280" i="262"/>
  <c r="A280" i="262" s="1"/>
  <c r="B279" i="262"/>
  <c r="A279" i="262" s="1"/>
  <c r="D277" i="262"/>
  <c r="B277" i="262"/>
  <c r="C276" i="262"/>
  <c r="B276" i="262"/>
  <c r="E275" i="262"/>
  <c r="B275" i="262"/>
  <c r="B272" i="262"/>
  <c r="C272" i="262" s="1"/>
  <c r="B271" i="262"/>
  <c r="C271" i="262" s="1"/>
  <c r="B270" i="262"/>
  <c r="C270" i="262" s="1"/>
  <c r="B269" i="262"/>
  <c r="C269" i="262" s="1"/>
  <c r="B268" i="262"/>
  <c r="C268" i="262" s="1"/>
  <c r="B267" i="262"/>
  <c r="C267" i="262" s="1"/>
  <c r="B266" i="262"/>
  <c r="C266" i="262" s="1"/>
  <c r="B265" i="262"/>
  <c r="C265" i="262" s="1"/>
  <c r="B264" i="262"/>
  <c r="C264" i="262" s="1"/>
  <c r="B263" i="262"/>
  <c r="C263" i="262" s="1"/>
  <c r="B262" i="262"/>
  <c r="C262" i="262" s="1"/>
  <c r="D260" i="262"/>
  <c r="B260" i="262"/>
  <c r="C259" i="262"/>
  <c r="B259" i="262"/>
  <c r="E258" i="262"/>
  <c r="B258" i="262"/>
  <c r="B255" i="262"/>
  <c r="A255" i="262" s="1"/>
  <c r="B254" i="262"/>
  <c r="C254" i="262" s="1"/>
  <c r="B253" i="262"/>
  <c r="C253" i="262" s="1"/>
  <c r="B252" i="262"/>
  <c r="C252" i="262" s="1"/>
  <c r="B251" i="262"/>
  <c r="C251" i="262" s="1"/>
  <c r="B250" i="262"/>
  <c r="C250" i="262" s="1"/>
  <c r="B249" i="262"/>
  <c r="C249" i="262" s="1"/>
  <c r="B248" i="262"/>
  <c r="C248" i="262" s="1"/>
  <c r="B247" i="262"/>
  <c r="C247" i="262" s="1"/>
  <c r="B246" i="262"/>
  <c r="C246" i="262" s="1"/>
  <c r="B245" i="262"/>
  <c r="C245" i="262" s="1"/>
  <c r="D243" i="262"/>
  <c r="B243" i="262"/>
  <c r="C242" i="262"/>
  <c r="B242" i="262"/>
  <c r="E241" i="262"/>
  <c r="B241" i="262"/>
  <c r="B238" i="262"/>
  <c r="A238" i="262" s="1"/>
  <c r="B237" i="262"/>
  <c r="C237" i="262" s="1"/>
  <c r="B236" i="262"/>
  <c r="C236" i="262" s="1"/>
  <c r="B235" i="262"/>
  <c r="C235" i="262" s="1"/>
  <c r="B234" i="262"/>
  <c r="C234" i="262" s="1"/>
  <c r="B233" i="262"/>
  <c r="C233" i="262" s="1"/>
  <c r="B232" i="262"/>
  <c r="C232" i="262" s="1"/>
  <c r="B231" i="262"/>
  <c r="C231" i="262" s="1"/>
  <c r="B230" i="262"/>
  <c r="C230" i="262" s="1"/>
  <c r="B229" i="262"/>
  <c r="C229" i="262" s="1"/>
  <c r="B228" i="262"/>
  <c r="C228" i="262" s="1"/>
  <c r="D226" i="262"/>
  <c r="B226" i="262"/>
  <c r="C225" i="262"/>
  <c r="B225" i="262"/>
  <c r="E224" i="262"/>
  <c r="B224" i="262"/>
  <c r="B221" i="262"/>
  <c r="A221" i="262" s="1"/>
  <c r="B220" i="262"/>
  <c r="C220" i="262" s="1"/>
  <c r="B219" i="262"/>
  <c r="A219" i="262" s="1"/>
  <c r="B218" i="262"/>
  <c r="C218" i="262" s="1"/>
  <c r="B217" i="262"/>
  <c r="A217" i="262" s="1"/>
  <c r="B216" i="262"/>
  <c r="C216" i="262" s="1"/>
  <c r="B215" i="262"/>
  <c r="A215" i="262" s="1"/>
  <c r="B214" i="262"/>
  <c r="C214" i="262" s="1"/>
  <c r="B213" i="262"/>
  <c r="A213" i="262" s="1"/>
  <c r="B212" i="262"/>
  <c r="C212" i="262" s="1"/>
  <c r="B211" i="262"/>
  <c r="A211" i="262" s="1"/>
  <c r="D209" i="262"/>
  <c r="B209" i="262"/>
  <c r="C208" i="262"/>
  <c r="B208" i="262"/>
  <c r="E207" i="262"/>
  <c r="B207" i="262"/>
  <c r="B204" i="262"/>
  <c r="A204" i="262" s="1"/>
  <c r="B203" i="262"/>
  <c r="C203" i="262" s="1"/>
  <c r="B202" i="262"/>
  <c r="C202" i="262" s="1"/>
  <c r="B201" i="262"/>
  <c r="C201" i="262" s="1"/>
  <c r="B200" i="262"/>
  <c r="C200" i="262" s="1"/>
  <c r="B199" i="262"/>
  <c r="A199" i="262" s="1"/>
  <c r="B198" i="262"/>
  <c r="C198" i="262" s="1"/>
  <c r="B197" i="262"/>
  <c r="C197" i="262" s="1"/>
  <c r="B196" i="262"/>
  <c r="C196" i="262" s="1"/>
  <c r="B195" i="262"/>
  <c r="C195" i="262" s="1"/>
  <c r="B194" i="262"/>
  <c r="C194" i="262" s="1"/>
  <c r="D192" i="262"/>
  <c r="B192" i="262"/>
  <c r="C191" i="262"/>
  <c r="B191" i="262"/>
  <c r="E190" i="262"/>
  <c r="B190" i="262"/>
  <c r="B187" i="262"/>
  <c r="C187" i="262" s="1"/>
  <c r="B186" i="262"/>
  <c r="C186" i="262" s="1"/>
  <c r="B185" i="262"/>
  <c r="C185" i="262" s="1"/>
  <c r="B184" i="262"/>
  <c r="C184" i="262" s="1"/>
  <c r="B183" i="262"/>
  <c r="C183" i="262" s="1"/>
  <c r="B182" i="262"/>
  <c r="C182" i="262" s="1"/>
  <c r="B181" i="262"/>
  <c r="C181" i="262" s="1"/>
  <c r="B180" i="262"/>
  <c r="A180" i="262" s="1"/>
  <c r="B179" i="262"/>
  <c r="C179" i="262" s="1"/>
  <c r="B178" i="262"/>
  <c r="C178" i="262" s="1"/>
  <c r="B177" i="262"/>
  <c r="C177" i="262" s="1"/>
  <c r="D175" i="262"/>
  <c r="B175" i="262"/>
  <c r="C174" i="262"/>
  <c r="B174" i="262"/>
  <c r="E173" i="262"/>
  <c r="B173" i="262"/>
  <c r="B170" i="262"/>
  <c r="A170" i="262" s="1"/>
  <c r="B169" i="262"/>
  <c r="C169" i="262" s="1"/>
  <c r="B168" i="262"/>
  <c r="C168" i="262" s="1"/>
  <c r="B167" i="262"/>
  <c r="A167" i="262" s="1"/>
  <c r="B166" i="262"/>
  <c r="C166" i="262" s="1"/>
  <c r="B165" i="262"/>
  <c r="C165" i="262" s="1"/>
  <c r="B164" i="262"/>
  <c r="A164" i="262" s="1"/>
  <c r="B163" i="262"/>
  <c r="C163" i="262" s="1"/>
  <c r="B162" i="262"/>
  <c r="C162" i="262" s="1"/>
  <c r="B161" i="262"/>
  <c r="C161" i="262" s="1"/>
  <c r="B160" i="262"/>
  <c r="C160" i="262" s="1"/>
  <c r="D158" i="262"/>
  <c r="B158" i="262"/>
  <c r="C157" i="262"/>
  <c r="B157" i="262"/>
  <c r="E156" i="262"/>
  <c r="B156" i="262"/>
  <c r="B153" i="262"/>
  <c r="C153" i="262" s="1"/>
  <c r="B152" i="262"/>
  <c r="A152" i="262" s="1"/>
  <c r="B151" i="262"/>
  <c r="A151" i="262" s="1"/>
  <c r="B150" i="262"/>
  <c r="A150" i="262" s="1"/>
  <c r="B149" i="262"/>
  <c r="C149" i="262" s="1"/>
  <c r="B148" i="262"/>
  <c r="A148" i="262" s="1"/>
  <c r="B147" i="262"/>
  <c r="A147" i="262" s="1"/>
  <c r="B146" i="262"/>
  <c r="A146" i="262" s="1"/>
  <c r="B145" i="262"/>
  <c r="A145" i="262" s="1"/>
  <c r="B144" i="262"/>
  <c r="A144" i="262" s="1"/>
  <c r="B143" i="262"/>
  <c r="C143" i="262" s="1"/>
  <c r="D141" i="262"/>
  <c r="B141" i="262"/>
  <c r="C140" i="262"/>
  <c r="B140" i="262"/>
  <c r="E139" i="262"/>
  <c r="B139" i="262"/>
  <c r="B136" i="262"/>
  <c r="C136" i="262" s="1"/>
  <c r="B135" i="262"/>
  <c r="A135" i="262" s="1"/>
  <c r="B134" i="262"/>
  <c r="C134" i="262" s="1"/>
  <c r="B133" i="262"/>
  <c r="A133" i="262" s="1"/>
  <c r="B132" i="262"/>
  <c r="C132" i="262" s="1"/>
  <c r="B131" i="262"/>
  <c r="A131" i="262" s="1"/>
  <c r="B130" i="262"/>
  <c r="C130" i="262" s="1"/>
  <c r="B129" i="262"/>
  <c r="A129" i="262" s="1"/>
  <c r="B128" i="262"/>
  <c r="C128" i="262" s="1"/>
  <c r="B127" i="262"/>
  <c r="A127" i="262" s="1"/>
  <c r="B126" i="262"/>
  <c r="C126" i="262" s="1"/>
  <c r="D124" i="262"/>
  <c r="B124" i="262"/>
  <c r="C123" i="262"/>
  <c r="B123" i="262"/>
  <c r="E122" i="262"/>
  <c r="B122" i="262"/>
  <c r="B119" i="262"/>
  <c r="C119" i="262" s="1"/>
  <c r="B118" i="262"/>
  <c r="C118" i="262" s="1"/>
  <c r="B117" i="262"/>
  <c r="C117" i="262" s="1"/>
  <c r="B116" i="262"/>
  <c r="A116" i="262" s="1"/>
  <c r="B115" i="262"/>
  <c r="C115" i="262" s="1"/>
  <c r="B114" i="262"/>
  <c r="A114" i="262" s="1"/>
  <c r="B113" i="262"/>
  <c r="C113" i="262" s="1"/>
  <c r="B112" i="262"/>
  <c r="C112" i="262" s="1"/>
  <c r="B111" i="262"/>
  <c r="A111" i="262" s="1"/>
  <c r="B110" i="262"/>
  <c r="C110" i="262" s="1"/>
  <c r="B109" i="262"/>
  <c r="C109" i="262" s="1"/>
  <c r="D107" i="262"/>
  <c r="B107" i="262"/>
  <c r="C106" i="262"/>
  <c r="B106" i="262"/>
  <c r="E105" i="262"/>
  <c r="B105" i="262"/>
  <c r="B102" i="262"/>
  <c r="C102" i="262" s="1"/>
  <c r="B101" i="262"/>
  <c r="C101" i="262" s="1"/>
  <c r="B100" i="262"/>
  <c r="C100" i="262" s="1"/>
  <c r="B99" i="262"/>
  <c r="C99" i="262" s="1"/>
  <c r="B98" i="262"/>
  <c r="C98" i="262" s="1"/>
  <c r="B97" i="262"/>
  <c r="C97" i="262" s="1"/>
  <c r="B96" i="262"/>
  <c r="C96" i="262" s="1"/>
  <c r="B95" i="262"/>
  <c r="C95" i="262" s="1"/>
  <c r="B94" i="262"/>
  <c r="C94" i="262" s="1"/>
  <c r="B93" i="262"/>
  <c r="C93" i="262" s="1"/>
  <c r="B92" i="262"/>
  <c r="C92" i="262" s="1"/>
  <c r="D90" i="262"/>
  <c r="B90" i="262"/>
  <c r="C89" i="262"/>
  <c r="B89" i="262"/>
  <c r="E88" i="262"/>
  <c r="B88" i="262"/>
  <c r="B85" i="262"/>
  <c r="C85" i="262" s="1"/>
  <c r="B84" i="262"/>
  <c r="C84" i="262" s="1"/>
  <c r="B83" i="262"/>
  <c r="A83" i="262" s="1"/>
  <c r="B82" i="262"/>
  <c r="A82" i="262" s="1"/>
  <c r="B81" i="262"/>
  <c r="C81" i="262" s="1"/>
  <c r="B80" i="262"/>
  <c r="C80" i="262" s="1"/>
  <c r="B79" i="262"/>
  <c r="C79" i="262" s="1"/>
  <c r="B78" i="262"/>
  <c r="C78" i="262" s="1"/>
  <c r="B77" i="262"/>
  <c r="C77" i="262" s="1"/>
  <c r="B76" i="262"/>
  <c r="C76" i="262" s="1"/>
  <c r="B75" i="262"/>
  <c r="C75" i="262" s="1"/>
  <c r="D73" i="262"/>
  <c r="B73" i="262"/>
  <c r="C72" i="262"/>
  <c r="B72" i="262"/>
  <c r="E71" i="262"/>
  <c r="B71" i="262"/>
  <c r="B68" i="262"/>
  <c r="A68" i="262" s="1"/>
  <c r="B67" i="262"/>
  <c r="C67" i="262" s="1"/>
  <c r="B66" i="262"/>
  <c r="A66" i="262" s="1"/>
  <c r="B65" i="262"/>
  <c r="C65" i="262" s="1"/>
  <c r="B64" i="262"/>
  <c r="A64" i="262" s="1"/>
  <c r="B63" i="262"/>
  <c r="C63" i="262" s="1"/>
  <c r="B62" i="262"/>
  <c r="A62" i="262" s="1"/>
  <c r="B61" i="262"/>
  <c r="C61" i="262" s="1"/>
  <c r="B60" i="262"/>
  <c r="A60" i="262" s="1"/>
  <c r="B59" i="262"/>
  <c r="C59" i="262" s="1"/>
  <c r="B58" i="262"/>
  <c r="A58" i="262" s="1"/>
  <c r="D56" i="262"/>
  <c r="B56" i="262"/>
  <c r="C55" i="262"/>
  <c r="B55" i="262"/>
  <c r="E54" i="262"/>
  <c r="B54" i="262"/>
  <c r="B51" i="262"/>
  <c r="A51" i="262" s="1"/>
  <c r="B50" i="262"/>
  <c r="C50" i="262" s="1"/>
  <c r="B49" i="262"/>
  <c r="C49" i="262" s="1"/>
  <c r="B48" i="262"/>
  <c r="A48" i="262" s="1"/>
  <c r="B47" i="262"/>
  <c r="C47" i="262" s="1"/>
  <c r="B46" i="262"/>
  <c r="C46" i="262" s="1"/>
  <c r="B45" i="262"/>
  <c r="A45" i="262" s="1"/>
  <c r="B44" i="262"/>
  <c r="C44" i="262" s="1"/>
  <c r="B43" i="262"/>
  <c r="C43" i="262" s="1"/>
  <c r="B42" i="262"/>
  <c r="C42" i="262" s="1"/>
  <c r="B41" i="262"/>
  <c r="C41" i="262" s="1"/>
  <c r="D39" i="262"/>
  <c r="B39" i="262"/>
  <c r="C38" i="262"/>
  <c r="B38" i="262"/>
  <c r="E37" i="262"/>
  <c r="B37" i="262"/>
  <c r="C33" i="262"/>
  <c r="C29" i="262"/>
  <c r="C28" i="262"/>
  <c r="C27" i="262"/>
  <c r="C25" i="262"/>
  <c r="B24" i="262"/>
  <c r="C24" i="262" s="1"/>
  <c r="D22" i="262"/>
  <c r="B22" i="262"/>
  <c r="C21" i="262"/>
  <c r="B21" i="262"/>
  <c r="E20" i="262"/>
  <c r="B20" i="262"/>
  <c r="A17" i="262"/>
  <c r="C16" i="262"/>
  <c r="C15" i="262"/>
  <c r="C13" i="262"/>
  <c r="A12" i="262"/>
  <c r="C10" i="262"/>
  <c r="C9" i="262"/>
  <c r="C8" i="262"/>
  <c r="B7" i="262"/>
  <c r="C7" i="262" s="1"/>
  <c r="D5" i="262"/>
  <c r="B5" i="262"/>
  <c r="C4" i="262"/>
  <c r="B4" i="262"/>
  <c r="E3" i="262"/>
  <c r="B3" i="262"/>
  <c r="D1004" i="262"/>
  <c r="D970" i="262"/>
  <c r="CX95" i="261"/>
  <c r="CV95" i="261"/>
  <c r="CT95" i="261"/>
  <c r="CR95" i="261"/>
  <c r="CP95" i="261"/>
  <c r="CN95" i="261"/>
  <c r="CL95" i="261"/>
  <c r="CJ95" i="261"/>
  <c r="CH95" i="261"/>
  <c r="CF95" i="261"/>
  <c r="CD95" i="261"/>
  <c r="CB95" i="261"/>
  <c r="BZ95" i="261"/>
  <c r="BX95" i="261"/>
  <c r="BV95" i="261"/>
  <c r="BT95" i="261"/>
  <c r="BR95" i="261"/>
  <c r="BP95" i="261"/>
  <c r="BN95" i="261"/>
  <c r="BL95" i="261"/>
  <c r="BJ95" i="261"/>
  <c r="BH95" i="261"/>
  <c r="BF95" i="261"/>
  <c r="BD95" i="261"/>
  <c r="BB95" i="261"/>
  <c r="AZ95" i="261"/>
  <c r="AX95" i="261"/>
  <c r="AV95" i="261"/>
  <c r="AT95" i="261"/>
  <c r="AR95" i="261"/>
  <c r="AP95" i="261"/>
  <c r="AN95" i="261"/>
  <c r="AL95" i="261"/>
  <c r="AJ95" i="261"/>
  <c r="AH95" i="261"/>
  <c r="AF95" i="261"/>
  <c r="AD95" i="261"/>
  <c r="AB95" i="261"/>
  <c r="Z95" i="261"/>
  <c r="X95" i="261"/>
  <c r="V95" i="261"/>
  <c r="T95" i="261"/>
  <c r="R95" i="261"/>
  <c r="P95" i="261"/>
  <c r="N95" i="261"/>
  <c r="L95" i="261"/>
  <c r="J95" i="261"/>
  <c r="H95" i="261"/>
  <c r="F95" i="261"/>
  <c r="D95" i="261"/>
  <c r="GZ93" i="261"/>
  <c r="GY93" i="261"/>
  <c r="GX93" i="261"/>
  <c r="GW93" i="261"/>
  <c r="GV93" i="261"/>
  <c r="GU93" i="261"/>
  <c r="GT93" i="261"/>
  <c r="GS93" i="261"/>
  <c r="GR93" i="261"/>
  <c r="GQ93" i="261"/>
  <c r="GP93" i="261"/>
  <c r="GO93" i="261"/>
  <c r="GN93" i="261"/>
  <c r="GM93" i="261"/>
  <c r="GL93" i="261"/>
  <c r="GK93" i="261"/>
  <c r="GJ93" i="261"/>
  <c r="GI93" i="261"/>
  <c r="GH93" i="261"/>
  <c r="GG93" i="261"/>
  <c r="GF93" i="261"/>
  <c r="GE93" i="261"/>
  <c r="GD93" i="261"/>
  <c r="GC93" i="261"/>
  <c r="GB93" i="261"/>
  <c r="GA93" i="261"/>
  <c r="FZ93" i="261"/>
  <c r="FY93" i="261"/>
  <c r="FX93" i="261"/>
  <c r="FW93" i="261"/>
  <c r="FV93" i="261"/>
  <c r="FU93" i="261"/>
  <c r="FT93" i="261"/>
  <c r="FS93" i="261"/>
  <c r="FR93" i="261"/>
  <c r="FQ93" i="261"/>
  <c r="FP93" i="261"/>
  <c r="FO93" i="261"/>
  <c r="FN93" i="261"/>
  <c r="FM93" i="261"/>
  <c r="FL93" i="261"/>
  <c r="FK93" i="261"/>
  <c r="FJ93" i="261"/>
  <c r="FI93" i="261"/>
  <c r="FH93" i="261"/>
  <c r="FG93" i="261"/>
  <c r="FF93" i="261"/>
  <c r="FE93" i="261"/>
  <c r="FD93" i="261"/>
  <c r="FC93" i="261"/>
  <c r="FB93" i="261"/>
  <c r="FA93" i="261"/>
  <c r="EZ93" i="261"/>
  <c r="EY93" i="261"/>
  <c r="EX93" i="261"/>
  <c r="EW93" i="261"/>
  <c r="EV93" i="261"/>
  <c r="EU93" i="261"/>
  <c r="ET93" i="261"/>
  <c r="ES93" i="261"/>
  <c r="ER93" i="261"/>
  <c r="EQ93" i="261"/>
  <c r="EP93" i="261"/>
  <c r="EO93" i="261"/>
  <c r="EN93" i="261"/>
  <c r="EM93" i="261"/>
  <c r="EL93" i="261"/>
  <c r="EK93" i="261"/>
  <c r="EJ93" i="261"/>
  <c r="EI93" i="261"/>
  <c r="EH93" i="261"/>
  <c r="EG93" i="261"/>
  <c r="EF93" i="261"/>
  <c r="EE93" i="261"/>
  <c r="ED93" i="261"/>
  <c r="EC93" i="261"/>
  <c r="EB93" i="261"/>
  <c r="EA93" i="261"/>
  <c r="DZ93" i="261"/>
  <c r="DY93" i="261"/>
  <c r="DX93" i="261"/>
  <c r="DW93" i="261"/>
  <c r="DV93" i="261"/>
  <c r="DU93" i="261"/>
  <c r="DT93" i="261"/>
  <c r="DS93" i="261"/>
  <c r="DR93" i="261"/>
  <c r="DQ93" i="261"/>
  <c r="DP93" i="261"/>
  <c r="DO93" i="261"/>
  <c r="DN93" i="261"/>
  <c r="DM93" i="261"/>
  <c r="DL93" i="261"/>
  <c r="DK93" i="261"/>
  <c r="DJ93" i="261"/>
  <c r="DI93" i="261"/>
  <c r="DH93" i="261"/>
  <c r="DG93" i="261"/>
  <c r="DF93" i="261"/>
  <c r="DE93" i="261"/>
  <c r="DD93" i="261"/>
  <c r="DC93" i="261"/>
  <c r="DB93" i="261"/>
  <c r="DA93" i="261"/>
  <c r="B166" i="253"/>
  <c r="B165" i="253"/>
  <c r="B164" i="253"/>
  <c r="D953" i="262" l="1"/>
  <c r="D885" i="262"/>
  <c r="C914" i="262"/>
  <c r="C880" i="262"/>
  <c r="C911" i="262"/>
  <c r="A977" i="262"/>
  <c r="A901" i="262"/>
  <c r="C895" i="262"/>
  <c r="A877" i="262"/>
  <c r="A910" i="262"/>
  <c r="C884" i="262"/>
  <c r="C995" i="262"/>
  <c r="A878" i="262"/>
  <c r="C876" i="262"/>
  <c r="C917" i="262"/>
  <c r="A966" i="262"/>
  <c r="A874" i="262"/>
  <c r="A882" i="262"/>
  <c r="C897" i="262"/>
  <c r="C915" i="262"/>
  <c r="A979" i="262"/>
  <c r="A636" i="262"/>
  <c r="A916" i="262"/>
  <c r="A983" i="262"/>
  <c r="A893" i="262"/>
  <c r="C908" i="262"/>
  <c r="C967" i="262"/>
  <c r="C993" i="262"/>
  <c r="C637" i="262"/>
  <c r="A961" i="262"/>
  <c r="C913" i="262"/>
  <c r="A918" i="262"/>
  <c r="A963" i="262"/>
  <c r="C965" i="262"/>
  <c r="C981" i="262"/>
  <c r="A984" i="262"/>
  <c r="C999" i="262"/>
  <c r="C909" i="262"/>
  <c r="C1003" i="262"/>
  <c r="C721" i="262"/>
  <c r="A891" i="262"/>
  <c r="A899" i="262"/>
  <c r="A912" i="262"/>
  <c r="A959" i="262"/>
  <c r="A969" i="262"/>
  <c r="A980" i="262"/>
  <c r="A985" i="262"/>
  <c r="C997" i="262"/>
  <c r="A42" i="262"/>
  <c r="A336" i="262"/>
  <c r="A962" i="262"/>
  <c r="C1001" i="262"/>
  <c r="C476" i="262"/>
  <c r="A881" i="262"/>
  <c r="A976" i="262"/>
  <c r="A247" i="262"/>
  <c r="A50" i="262"/>
  <c r="A287" i="262"/>
  <c r="A398" i="262"/>
  <c r="C569" i="262"/>
  <c r="A8" i="262"/>
  <c r="A15" i="262"/>
  <c r="A160" i="262"/>
  <c r="A194" i="262"/>
  <c r="A216" i="262"/>
  <c r="A571" i="262"/>
  <c r="A44" i="262"/>
  <c r="A161" i="262"/>
  <c r="A169" i="262"/>
  <c r="A41" i="262"/>
  <c r="A75" i="262"/>
  <c r="A163" i="262"/>
  <c r="A235" i="262"/>
  <c r="A337" i="262"/>
  <c r="A16" i="262"/>
  <c r="A43" i="262"/>
  <c r="A49" i="262"/>
  <c r="A234" i="262"/>
  <c r="A432" i="262"/>
  <c r="C704" i="262"/>
  <c r="A248" i="262"/>
  <c r="A348" i="262"/>
  <c r="A406" i="262"/>
  <c r="A707" i="262"/>
  <c r="A162" i="262"/>
  <c r="A168" i="262"/>
  <c r="A195" i="262"/>
  <c r="A237" i="262"/>
  <c r="A264" i="262"/>
  <c r="A323" i="262"/>
  <c r="A372" i="262"/>
  <c r="A81" i="262"/>
  <c r="C83" i="262"/>
  <c r="A696" i="262"/>
  <c r="A80" i="262"/>
  <c r="C82" i="262"/>
  <c r="A79" i="262"/>
  <c r="C116" i="262"/>
  <c r="C370" i="262"/>
  <c r="A115" i="262"/>
  <c r="A306" i="262"/>
  <c r="A78" i="262"/>
  <c r="A85" i="262"/>
  <c r="A77" i="262"/>
  <c r="A7" i="262"/>
  <c r="A212" i="262"/>
  <c r="A272" i="262"/>
  <c r="A314" i="262"/>
  <c r="A352" i="262"/>
  <c r="A436" i="262"/>
  <c r="A84" i="262"/>
  <c r="A76" i="262"/>
  <c r="A503" i="262"/>
  <c r="A611" i="262"/>
  <c r="A713" i="262"/>
  <c r="A11" i="262"/>
  <c r="A119" i="262"/>
  <c r="A179" i="262"/>
  <c r="A197" i="262"/>
  <c r="C215" i="262"/>
  <c r="A229" i="262"/>
  <c r="A300" i="262"/>
  <c r="A330" i="262"/>
  <c r="A391" i="262"/>
  <c r="A509" i="262"/>
  <c r="A523" i="262"/>
  <c r="C527" i="262"/>
  <c r="C574" i="262"/>
  <c r="C688" i="262"/>
  <c r="C712" i="262"/>
  <c r="A109" i="262"/>
  <c r="A230" i="262"/>
  <c r="A268" i="262"/>
  <c r="A368" i="262"/>
  <c r="C418" i="262"/>
  <c r="A450" i="262"/>
  <c r="A182" i="262"/>
  <c r="A200" i="262"/>
  <c r="A283" i="262"/>
  <c r="C302" i="262"/>
  <c r="A332" i="262"/>
  <c r="A356" i="262"/>
  <c r="A369" i="262"/>
  <c r="A374" i="262"/>
  <c r="A388" i="262"/>
  <c r="A439" i="262"/>
  <c r="A458" i="262"/>
  <c r="C470" i="262"/>
  <c r="A573" i="262"/>
  <c r="A606" i="262"/>
  <c r="C671" i="262"/>
  <c r="A692" i="262"/>
  <c r="A178" i="262"/>
  <c r="A183" i="262"/>
  <c r="A201" i="262"/>
  <c r="A304" i="262"/>
  <c r="A315" i="262"/>
  <c r="A402" i="262"/>
  <c r="A459" i="262"/>
  <c r="A501" i="262"/>
  <c r="C612" i="262"/>
  <c r="C423" i="262"/>
  <c r="C434" i="262"/>
  <c r="C487" i="262"/>
  <c r="A522" i="262"/>
  <c r="A526" i="262"/>
  <c r="A536" i="262"/>
  <c r="A540" i="262"/>
  <c r="A544" i="262"/>
  <c r="C604" i="262"/>
  <c r="A646" i="262"/>
  <c r="C679" i="262"/>
  <c r="C14" i="262"/>
  <c r="C48" i="262"/>
  <c r="C167" i="262"/>
  <c r="C204" i="262"/>
  <c r="C331" i="262"/>
  <c r="C415" i="262"/>
  <c r="C441" i="262"/>
  <c r="C485" i="262"/>
  <c r="C211" i="262"/>
  <c r="C255" i="262"/>
  <c r="C339" i="262"/>
  <c r="C45" i="262"/>
  <c r="C164" i="262"/>
  <c r="C364" i="262"/>
  <c r="C111" i="262"/>
  <c r="C238" i="262"/>
  <c r="C296" i="262"/>
  <c r="A13" i="262"/>
  <c r="A47" i="262"/>
  <c r="A112" i="262"/>
  <c r="A143" i="262"/>
  <c r="A166" i="262"/>
  <c r="A187" i="262"/>
  <c r="A203" i="262"/>
  <c r="A252" i="262"/>
  <c r="A297" i="262"/>
  <c r="A318" i="262"/>
  <c r="C333" i="262"/>
  <c r="A366" i="262"/>
  <c r="A400" i="262"/>
  <c r="A404" i="262"/>
  <c r="A408" i="262"/>
  <c r="C658" i="262"/>
  <c r="C708" i="262"/>
  <c r="A9" i="262"/>
  <c r="C17" i="262"/>
  <c r="C51" i="262"/>
  <c r="A113" i="262"/>
  <c r="A117" i="262"/>
  <c r="C151" i="262"/>
  <c r="C170" i="262"/>
  <c r="C199" i="262"/>
  <c r="A228" i="262"/>
  <c r="A232" i="262"/>
  <c r="A236" i="262"/>
  <c r="A298" i="262"/>
  <c r="A303" i="262"/>
  <c r="A335" i="262"/>
  <c r="A338" i="262"/>
  <c r="C355" i="262"/>
  <c r="C383" i="262"/>
  <c r="A590" i="262"/>
  <c r="A653" i="262"/>
  <c r="A659" i="262"/>
  <c r="A677" i="262"/>
  <c r="A709" i="262"/>
  <c r="A534" i="262"/>
  <c r="A538" i="262"/>
  <c r="A542" i="262"/>
  <c r="A603" i="262"/>
  <c r="A644" i="262"/>
  <c r="A455" i="262"/>
  <c r="A525" i="262"/>
  <c r="A592" i="262"/>
  <c r="C660" i="262"/>
  <c r="A711" i="262"/>
  <c r="C705" i="262"/>
  <c r="C12" i="262"/>
  <c r="C340" i="262"/>
  <c r="C351" i="262"/>
  <c r="C365" i="262"/>
  <c r="C371" i="262"/>
  <c r="C419" i="262"/>
  <c r="A437" i="262"/>
  <c r="A440" i="262"/>
  <c r="C442" i="262"/>
  <c r="A454" i="262"/>
  <c r="A471" i="262"/>
  <c r="A492" i="262"/>
  <c r="C502" i="262"/>
  <c r="C508" i="262"/>
  <c r="A519" i="262"/>
  <c r="C554" i="262"/>
  <c r="C558" i="262"/>
  <c r="A577" i="262"/>
  <c r="A607" i="262"/>
  <c r="C610" i="262"/>
  <c r="C619" i="262"/>
  <c r="C623" i="262"/>
  <c r="C627" i="262"/>
  <c r="C640" i="262"/>
  <c r="A675" i="262"/>
  <c r="A726" i="262"/>
  <c r="C114" i="262"/>
  <c r="A435" i="262"/>
  <c r="A438" i="262"/>
  <c r="A488" i="262"/>
  <c r="A552" i="262"/>
  <c r="A556" i="262"/>
  <c r="A560" i="262"/>
  <c r="C589" i="262"/>
  <c r="A608" i="262"/>
  <c r="A621" i="262"/>
  <c r="A625" i="262"/>
  <c r="A629" i="262"/>
  <c r="A638" i="262"/>
  <c r="A642" i="262"/>
  <c r="A661" i="262"/>
  <c r="A672" i="262"/>
  <c r="C347" i="262"/>
  <c r="C150" i="262"/>
  <c r="C146" i="262"/>
  <c r="C219" i="262"/>
  <c r="C279" i="262"/>
  <c r="A676" i="262"/>
  <c r="A690" i="262"/>
  <c r="A694" i="262"/>
  <c r="C147" i="262"/>
  <c r="C282" i="262"/>
  <c r="A196" i="262"/>
  <c r="A202" i="262"/>
  <c r="A220" i="262"/>
  <c r="A233" i="262"/>
  <c r="A262" i="262"/>
  <c r="A266" i="262"/>
  <c r="A270" i="262"/>
  <c r="A299" i="262"/>
  <c r="A305" i="262"/>
  <c r="A319" i="262"/>
  <c r="A373" i="262"/>
  <c r="C422" i="262"/>
  <c r="A433" i="262"/>
  <c r="A451" i="262"/>
  <c r="C472" i="262"/>
  <c r="C500" i="262"/>
  <c r="C510" i="262"/>
  <c r="A517" i="262"/>
  <c r="A521" i="262"/>
  <c r="A575" i="262"/>
  <c r="C578" i="262"/>
  <c r="A602" i="262"/>
  <c r="A673" i="262"/>
  <c r="A680" i="262"/>
  <c r="C286" i="262"/>
  <c r="A384" i="262"/>
  <c r="A486" i="262"/>
  <c r="C568" i="262"/>
  <c r="C591" i="262"/>
  <c r="C643" i="262"/>
  <c r="C729" i="262"/>
  <c r="A10" i="262"/>
  <c r="A46" i="262"/>
  <c r="A110" i="262"/>
  <c r="A118" i="262"/>
  <c r="A165" i="262"/>
  <c r="A186" i="262"/>
  <c r="A198" i="262"/>
  <c r="A231" i="262"/>
  <c r="A251" i="262"/>
  <c r="A301" i="262"/>
  <c r="A322" i="262"/>
  <c r="A334" i="262"/>
  <c r="A367" i="262"/>
  <c r="A387" i="262"/>
  <c r="C491" i="262"/>
  <c r="A493" i="262"/>
  <c r="C493" i="262"/>
  <c r="C541" i="262"/>
  <c r="A541" i="262"/>
  <c r="C555" i="262"/>
  <c r="A555" i="262"/>
  <c r="C626" i="262"/>
  <c r="A626" i="262"/>
  <c r="A639" i="262"/>
  <c r="C639" i="262"/>
  <c r="C689" i="262"/>
  <c r="A689" i="262"/>
  <c r="C697" i="262"/>
  <c r="A697" i="262"/>
  <c r="C730" i="262"/>
  <c r="A730" i="262"/>
  <c r="C875" i="262"/>
  <c r="A875" i="262"/>
  <c r="A25" i="262"/>
  <c r="A27" i="262"/>
  <c r="A29" i="262"/>
  <c r="A31" i="262"/>
  <c r="A33" i="262"/>
  <c r="C58" i="262"/>
  <c r="C60" i="262"/>
  <c r="C62" i="262"/>
  <c r="C64" i="262"/>
  <c r="C66" i="262"/>
  <c r="C68" i="262"/>
  <c r="A92" i="262"/>
  <c r="A94" i="262"/>
  <c r="A96" i="262"/>
  <c r="A98" i="262"/>
  <c r="A100" i="262"/>
  <c r="A102" i="262"/>
  <c r="C127" i="262"/>
  <c r="C129" i="262"/>
  <c r="C131" i="262"/>
  <c r="C133" i="262"/>
  <c r="C135" i="262"/>
  <c r="C145" i="262"/>
  <c r="C152" i="262"/>
  <c r="C180" i="262"/>
  <c r="A185" i="262"/>
  <c r="C213" i="262"/>
  <c r="A218" i="262"/>
  <c r="A246" i="262"/>
  <c r="A253" i="262"/>
  <c r="A263" i="262"/>
  <c r="A265" i="262"/>
  <c r="A267" i="262"/>
  <c r="A269" i="262"/>
  <c r="A271" i="262"/>
  <c r="A281" i="262"/>
  <c r="C285" i="262"/>
  <c r="A316" i="262"/>
  <c r="C320" i="262"/>
  <c r="C353" i="262"/>
  <c r="C381" i="262"/>
  <c r="A386" i="262"/>
  <c r="C416" i="262"/>
  <c r="A421" i="262"/>
  <c r="C425" i="262"/>
  <c r="A449" i="262"/>
  <c r="A456" i="262"/>
  <c r="C466" i="262"/>
  <c r="A469" i="262"/>
  <c r="C473" i="262"/>
  <c r="A484" i="262"/>
  <c r="A505" i="262"/>
  <c r="C576" i="262"/>
  <c r="C587" i="262"/>
  <c r="A593" i="262"/>
  <c r="C593" i="262"/>
  <c r="A655" i="262"/>
  <c r="A674" i="262"/>
  <c r="C710" i="262"/>
  <c r="A724" i="262"/>
  <c r="A727" i="262"/>
  <c r="C727" i="262"/>
  <c r="C539" i="262"/>
  <c r="A539" i="262"/>
  <c r="C553" i="262"/>
  <c r="A553" i="262"/>
  <c r="C561" i="262"/>
  <c r="A561" i="262"/>
  <c r="C624" i="262"/>
  <c r="A624" i="262"/>
  <c r="C687" i="262"/>
  <c r="A687" i="262"/>
  <c r="C695" i="262"/>
  <c r="A695" i="262"/>
  <c r="C883" i="262"/>
  <c r="A883" i="262"/>
  <c r="A59" i="262"/>
  <c r="A61" i="262"/>
  <c r="A63" i="262"/>
  <c r="A65" i="262"/>
  <c r="A67" i="262"/>
  <c r="A126" i="262"/>
  <c r="A128" i="262"/>
  <c r="A130" i="262"/>
  <c r="A132" i="262"/>
  <c r="A134" i="262"/>
  <c r="A136" i="262"/>
  <c r="C148" i="262"/>
  <c r="A153" i="262"/>
  <c r="A181" i="262"/>
  <c r="A214" i="262"/>
  <c r="A249" i="262"/>
  <c r="C288" i="262"/>
  <c r="A321" i="262"/>
  <c r="C349" i="262"/>
  <c r="A354" i="262"/>
  <c r="A382" i="262"/>
  <c r="A389" i="262"/>
  <c r="A399" i="262"/>
  <c r="A401" i="262"/>
  <c r="A403" i="262"/>
  <c r="A405" i="262"/>
  <c r="A407" i="262"/>
  <c r="A417" i="262"/>
  <c r="A452" i="262"/>
  <c r="A467" i="262"/>
  <c r="A474" i="262"/>
  <c r="C474" i="262"/>
  <c r="C489" i="262"/>
  <c r="A524" i="262"/>
  <c r="C572" i="262"/>
  <c r="A585" i="262"/>
  <c r="C585" i="262"/>
  <c r="C588" i="262"/>
  <c r="A588" i="262"/>
  <c r="A594" i="262"/>
  <c r="A609" i="262"/>
  <c r="A670" i="262"/>
  <c r="C706" i="262"/>
  <c r="C728" i="262"/>
  <c r="A728" i="262"/>
  <c r="C731" i="262"/>
  <c r="C968" i="262"/>
  <c r="A968" i="262"/>
  <c r="C537" i="262"/>
  <c r="A537" i="262"/>
  <c r="C551" i="262"/>
  <c r="A551" i="262"/>
  <c r="C559" i="262"/>
  <c r="A559" i="262"/>
  <c r="A570" i="262"/>
  <c r="C570" i="262"/>
  <c r="C622" i="262"/>
  <c r="A622" i="262"/>
  <c r="C693" i="262"/>
  <c r="A693" i="262"/>
  <c r="C722" i="262"/>
  <c r="A722" i="262"/>
  <c r="A725" i="262"/>
  <c r="C725" i="262"/>
  <c r="A24" i="262"/>
  <c r="A26" i="262"/>
  <c r="A28" i="262"/>
  <c r="A30" i="262"/>
  <c r="A32" i="262"/>
  <c r="A34" i="262"/>
  <c r="A93" i="262"/>
  <c r="A95" i="262"/>
  <c r="A97" i="262"/>
  <c r="A99" i="262"/>
  <c r="A101" i="262"/>
  <c r="C144" i="262"/>
  <c r="A149" i="262"/>
  <c r="A177" i="262"/>
  <c r="A184" i="262"/>
  <c r="C221" i="262"/>
  <c r="A245" i="262"/>
  <c r="A254" i="262"/>
  <c r="C284" i="262"/>
  <c r="A289" i="262"/>
  <c r="A317" i="262"/>
  <c r="A350" i="262"/>
  <c r="A385" i="262"/>
  <c r="C424" i="262"/>
  <c r="A457" i="262"/>
  <c r="A475" i="262"/>
  <c r="A483" i="262"/>
  <c r="A490" i="262"/>
  <c r="C506" i="262"/>
  <c r="A586" i="262"/>
  <c r="A605" i="262"/>
  <c r="C645" i="262"/>
  <c r="C656" i="262"/>
  <c r="A662" i="262"/>
  <c r="C662" i="262"/>
  <c r="C520" i="262"/>
  <c r="A520" i="262"/>
  <c r="C535" i="262"/>
  <c r="A535" i="262"/>
  <c r="C543" i="262"/>
  <c r="A543" i="262"/>
  <c r="C557" i="262"/>
  <c r="A557" i="262"/>
  <c r="C620" i="262"/>
  <c r="A620" i="262"/>
  <c r="C628" i="262"/>
  <c r="A628" i="262"/>
  <c r="C691" i="262"/>
  <c r="A691" i="262"/>
  <c r="A714" i="262"/>
  <c r="C714" i="262"/>
  <c r="C217" i="262"/>
  <c r="A250" i="262"/>
  <c r="C280" i="262"/>
  <c r="A313" i="262"/>
  <c r="C357" i="262"/>
  <c r="A390" i="262"/>
  <c r="C420" i="262"/>
  <c r="A453" i="262"/>
  <c r="C468" i="262"/>
  <c r="A504" i="262"/>
  <c r="C504" i="262"/>
  <c r="C507" i="262"/>
  <c r="A507" i="262"/>
  <c r="A518" i="262"/>
  <c r="C595" i="262"/>
  <c r="C641" i="262"/>
  <c r="A654" i="262"/>
  <c r="C654" i="262"/>
  <c r="C657" i="262"/>
  <c r="A657" i="262"/>
  <c r="A663" i="262"/>
  <c r="A678" i="262"/>
  <c r="C723" i="262"/>
  <c r="C898" i="262"/>
  <c r="A898" i="262"/>
  <c r="A879" i="262"/>
  <c r="C894" i="262"/>
  <c r="A894" i="262"/>
  <c r="A978" i="262"/>
  <c r="A996" i="262"/>
  <c r="C892" i="262"/>
  <c r="A892" i="262"/>
  <c r="C900" i="262"/>
  <c r="A900" i="262"/>
  <c r="A994" i="262"/>
  <c r="A1002" i="262"/>
  <c r="A964" i="262"/>
  <c r="A986" i="262"/>
  <c r="A1000" i="262"/>
  <c r="C896" i="262"/>
  <c r="A896" i="262"/>
  <c r="A960" i="262"/>
  <c r="A982" i="262"/>
  <c r="A998" i="262"/>
  <c r="D987" i="262"/>
  <c r="D936" i="262"/>
  <c r="G499" i="225" l="1"/>
  <c r="G498" i="225"/>
  <c r="G520" i="225"/>
  <c r="G524" i="225"/>
  <c r="G528" i="225"/>
  <c r="G532" i="225"/>
  <c r="G536" i="225"/>
  <c r="G540" i="225"/>
  <c r="G544" i="225"/>
  <c r="G548" i="225"/>
  <c r="G552" i="225"/>
  <c r="G485" i="225"/>
  <c r="G488" i="225"/>
  <c r="G476" i="225" l="1"/>
  <c r="G475" i="225"/>
  <c r="G487" i="225"/>
  <c r="G486" i="225"/>
  <c r="G508" i="225"/>
  <c r="G507" i="225"/>
  <c r="G516" i="225"/>
  <c r="G519" i="225"/>
  <c r="G518" i="225"/>
  <c r="G517" i="225"/>
  <c r="G523" i="225"/>
  <c r="G522" i="225"/>
  <c r="G521" i="225"/>
  <c r="CZ68" i="261" l="1" a="1"/>
  <c r="CZ68" i="261" s="1"/>
  <c r="D858" i="262" s="1"/>
  <c r="CZ69" i="261" a="1"/>
  <c r="CZ69" i="261" s="1"/>
  <c r="D859" i="262" s="1"/>
  <c r="CZ70" i="261" a="1"/>
  <c r="CZ70" i="261" s="1"/>
  <c r="D860" i="262" s="1"/>
  <c r="CZ71" i="261" a="1"/>
  <c r="CZ71" i="261" s="1"/>
  <c r="D861" i="262" s="1"/>
  <c r="CZ72" i="261" a="1"/>
  <c r="CZ72" i="261" s="1"/>
  <c r="D862" i="262" s="1"/>
  <c r="CZ73" i="261" a="1"/>
  <c r="CZ73" i="261" s="1"/>
  <c r="D863" i="262" s="1"/>
  <c r="CZ74" i="261" a="1"/>
  <c r="CZ74" i="261" s="1"/>
  <c r="D864" i="262" s="1"/>
  <c r="CZ75" i="261" a="1"/>
  <c r="CZ75" i="261" s="1"/>
  <c r="D865" i="262" s="1"/>
  <c r="CZ76" i="261" a="1"/>
  <c r="CZ76" i="261" s="1"/>
  <c r="D866" i="262" s="1"/>
  <c r="CZ77" i="261" a="1"/>
  <c r="CZ77" i="261" s="1"/>
  <c r="D867" i="262" s="1"/>
  <c r="CZ78" i="261" a="1"/>
  <c r="CZ78" i="261" s="1"/>
  <c r="CZ79" i="261" a="1"/>
  <c r="CZ79" i="261" s="1"/>
  <c r="CZ80" i="261" a="1"/>
  <c r="CZ80" i="261" s="1"/>
  <c r="CZ81" i="261" a="1"/>
  <c r="CZ81" i="261" s="1"/>
  <c r="CZ82" i="261" a="1"/>
  <c r="CZ82" i="261" s="1"/>
  <c r="CZ83" i="261" a="1"/>
  <c r="CZ83" i="261" s="1"/>
  <c r="CZ84" i="261" a="1"/>
  <c r="CZ84" i="261" s="1"/>
  <c r="CZ85" i="261" a="1"/>
  <c r="CZ85" i="261" s="1"/>
  <c r="CZ86" i="261" a="1"/>
  <c r="CZ86" i="261" s="1"/>
  <c r="CZ87" i="261" a="1"/>
  <c r="CZ87" i="261" s="1"/>
  <c r="CZ88" i="261" a="1"/>
  <c r="CZ88" i="261" s="1"/>
  <c r="CZ89" i="261" a="1"/>
  <c r="CZ89" i="261" s="1"/>
  <c r="CZ90" i="261" a="1"/>
  <c r="CZ90" i="261" s="1"/>
  <c r="CZ67" i="261" a="1"/>
  <c r="CZ67" i="261" s="1"/>
  <c r="D857" i="262" s="1"/>
  <c r="CY68" i="261" a="1"/>
  <c r="CY68" i="261" s="1"/>
  <c r="B858" i="262" s="1"/>
  <c r="CY69" i="261" a="1"/>
  <c r="CY69" i="261" s="1"/>
  <c r="B859" i="262" s="1"/>
  <c r="CY70" i="261" a="1"/>
  <c r="CY70" i="261" s="1"/>
  <c r="B860" i="262" s="1"/>
  <c r="CY71" i="261" a="1"/>
  <c r="CY71" i="261" s="1"/>
  <c r="B861" i="262" s="1"/>
  <c r="CY72" i="261" a="1"/>
  <c r="CY72" i="261" s="1"/>
  <c r="B862" i="262" s="1"/>
  <c r="CY73" i="261" a="1"/>
  <c r="CY73" i="261" s="1"/>
  <c r="B863" i="262" s="1"/>
  <c r="CY74" i="261" a="1"/>
  <c r="CY74" i="261" s="1"/>
  <c r="B864" i="262" s="1"/>
  <c r="CY75" i="261" a="1"/>
  <c r="CY75" i="261" s="1"/>
  <c r="B865" i="262" s="1"/>
  <c r="CY76" i="261" a="1"/>
  <c r="CY76" i="261" s="1"/>
  <c r="B866" i="262" s="1"/>
  <c r="CY77" i="261" a="1"/>
  <c r="CY77" i="261" s="1"/>
  <c r="B867" i="262" s="1"/>
  <c r="CY78" i="261" a="1"/>
  <c r="CY78" i="261" s="1"/>
  <c r="CY79" i="261" a="1"/>
  <c r="CY79" i="261" s="1"/>
  <c r="CY80" i="261" a="1"/>
  <c r="CY80" i="261" s="1"/>
  <c r="CY81" i="261" a="1"/>
  <c r="CY81" i="261" s="1"/>
  <c r="CY82" i="261" a="1"/>
  <c r="CY82" i="261" s="1"/>
  <c r="CY83" i="261" a="1"/>
  <c r="CY83" i="261" s="1"/>
  <c r="CY84" i="261" a="1"/>
  <c r="CY84" i="261" s="1"/>
  <c r="CY85" i="261" a="1"/>
  <c r="CY85" i="261" s="1"/>
  <c r="CY86" i="261" a="1"/>
  <c r="CY86" i="261" s="1"/>
  <c r="CY87" i="261" a="1"/>
  <c r="CY87" i="261" s="1"/>
  <c r="CY88" i="261" a="1"/>
  <c r="CY88" i="261" s="1"/>
  <c r="CY89" i="261" a="1"/>
  <c r="CY89" i="261" s="1"/>
  <c r="CY90" i="261" a="1"/>
  <c r="CY90" i="261" s="1"/>
  <c r="CY67" i="261" a="1"/>
  <c r="CY67" i="261" s="1"/>
  <c r="B857" i="262" s="1"/>
  <c r="CX68" i="261" a="1"/>
  <c r="CX68" i="261" s="1"/>
  <c r="D841" i="262" s="1"/>
  <c r="CX69" i="261" a="1"/>
  <c r="CX69" i="261" s="1"/>
  <c r="D842" i="262" s="1"/>
  <c r="CX70" i="261" a="1"/>
  <c r="CX70" i="261" s="1"/>
  <c r="D843" i="262" s="1"/>
  <c r="CX71" i="261" a="1"/>
  <c r="CX71" i="261" s="1"/>
  <c r="D844" i="262" s="1"/>
  <c r="CX72" i="261" a="1"/>
  <c r="CX72" i="261" s="1"/>
  <c r="D845" i="262" s="1"/>
  <c r="CX73" i="261" a="1"/>
  <c r="CX73" i="261" s="1"/>
  <c r="D846" i="262" s="1"/>
  <c r="CX74" i="261" a="1"/>
  <c r="CX74" i="261" s="1"/>
  <c r="D847" i="262" s="1"/>
  <c r="CX75" i="261" a="1"/>
  <c r="CX75" i="261" s="1"/>
  <c r="D848" i="262" s="1"/>
  <c r="CX76" i="261" a="1"/>
  <c r="CX76" i="261" s="1"/>
  <c r="D849" i="262" s="1"/>
  <c r="CX77" i="261" a="1"/>
  <c r="CX77" i="261" s="1"/>
  <c r="D850" i="262" s="1"/>
  <c r="CX78" i="261" a="1"/>
  <c r="CX78" i="261" s="1"/>
  <c r="CX79" i="261" a="1"/>
  <c r="CX79" i="261" s="1"/>
  <c r="CX80" i="261" a="1"/>
  <c r="CX80" i="261" s="1"/>
  <c r="CX81" i="261" a="1"/>
  <c r="CX81" i="261" s="1"/>
  <c r="CX82" i="261" a="1"/>
  <c r="CX82" i="261" s="1"/>
  <c r="CX83" i="261" a="1"/>
  <c r="CX83" i="261" s="1"/>
  <c r="CX84" i="261" a="1"/>
  <c r="CX84" i="261" s="1"/>
  <c r="CX85" i="261" a="1"/>
  <c r="CX85" i="261" s="1"/>
  <c r="CX86" i="261" a="1"/>
  <c r="CX86" i="261" s="1"/>
  <c r="CX87" i="261" a="1"/>
  <c r="CX87" i="261" s="1"/>
  <c r="CX88" i="261" a="1"/>
  <c r="CX88" i="261" s="1"/>
  <c r="CX89" i="261" a="1"/>
  <c r="CX89" i="261" s="1"/>
  <c r="CX90" i="261" a="1"/>
  <c r="CX90" i="261" s="1"/>
  <c r="CX67" i="261" a="1"/>
  <c r="CX67" i="261" s="1"/>
  <c r="D840" i="262" s="1"/>
  <c r="CW68" i="261" a="1"/>
  <c r="CW68" i="261" s="1"/>
  <c r="B841" i="262" s="1"/>
  <c r="CW69" i="261" a="1"/>
  <c r="CW69" i="261" s="1"/>
  <c r="B842" i="262" s="1"/>
  <c r="CW70" i="261" a="1"/>
  <c r="CW70" i="261" s="1"/>
  <c r="B843" i="262" s="1"/>
  <c r="CW71" i="261" a="1"/>
  <c r="CW71" i="261" s="1"/>
  <c r="B844" i="262" s="1"/>
  <c r="CW72" i="261" a="1"/>
  <c r="CW72" i="261" s="1"/>
  <c r="B845" i="262" s="1"/>
  <c r="CW73" i="261" a="1"/>
  <c r="CW73" i="261" s="1"/>
  <c r="B846" i="262" s="1"/>
  <c r="CW74" i="261" a="1"/>
  <c r="CW74" i="261" s="1"/>
  <c r="B847" i="262" s="1"/>
  <c r="CW75" i="261" a="1"/>
  <c r="CW75" i="261" s="1"/>
  <c r="B848" i="262" s="1"/>
  <c r="CW76" i="261" a="1"/>
  <c r="CW76" i="261" s="1"/>
  <c r="B849" i="262" s="1"/>
  <c r="CW77" i="261" a="1"/>
  <c r="CW77" i="261" s="1"/>
  <c r="B850" i="262" s="1"/>
  <c r="CW78" i="261" a="1"/>
  <c r="CW78" i="261" s="1"/>
  <c r="CW79" i="261" a="1"/>
  <c r="CW79" i="261" s="1"/>
  <c r="CW80" i="261" a="1"/>
  <c r="CW80" i="261" s="1"/>
  <c r="CW81" i="261" a="1"/>
  <c r="CW81" i="261" s="1"/>
  <c r="CW82" i="261" a="1"/>
  <c r="CW82" i="261" s="1"/>
  <c r="CW83" i="261" a="1"/>
  <c r="CW83" i="261" s="1"/>
  <c r="CW84" i="261" a="1"/>
  <c r="CW84" i="261" s="1"/>
  <c r="CW85" i="261" a="1"/>
  <c r="CW85" i="261" s="1"/>
  <c r="CW86" i="261" a="1"/>
  <c r="CW86" i="261" s="1"/>
  <c r="CW87" i="261" a="1"/>
  <c r="CW87" i="261" s="1"/>
  <c r="CW88" i="261" a="1"/>
  <c r="CW88" i="261" s="1"/>
  <c r="CW89" i="261" a="1"/>
  <c r="CW89" i="261" s="1"/>
  <c r="CW90" i="261" a="1"/>
  <c r="CW90" i="261" s="1"/>
  <c r="CW67" i="261" a="1"/>
  <c r="CW67" i="261" s="1"/>
  <c r="B840" i="262" s="1"/>
  <c r="CV68" i="261" a="1"/>
  <c r="CV68" i="261" s="1"/>
  <c r="D824" i="262" s="1"/>
  <c r="CV69" i="261" a="1"/>
  <c r="CV69" i="261" s="1"/>
  <c r="D825" i="262" s="1"/>
  <c r="CV70" i="261" a="1"/>
  <c r="CV70" i="261" s="1"/>
  <c r="D826" i="262" s="1"/>
  <c r="CV71" i="261" a="1"/>
  <c r="CV71" i="261" s="1"/>
  <c r="D827" i="262" s="1"/>
  <c r="CV72" i="261" a="1"/>
  <c r="CV72" i="261" s="1"/>
  <c r="D828" i="262" s="1"/>
  <c r="CV73" i="261" a="1"/>
  <c r="CV73" i="261" s="1"/>
  <c r="D829" i="262" s="1"/>
  <c r="CV74" i="261" a="1"/>
  <c r="CV74" i="261" s="1"/>
  <c r="D830" i="262" s="1"/>
  <c r="CV75" i="261" a="1"/>
  <c r="CV75" i="261" s="1"/>
  <c r="D831" i="262" s="1"/>
  <c r="CV76" i="261" a="1"/>
  <c r="CV76" i="261" s="1"/>
  <c r="D832" i="262" s="1"/>
  <c r="CV77" i="261" a="1"/>
  <c r="CV77" i="261" s="1"/>
  <c r="CV78" i="261" a="1"/>
  <c r="CV78" i="261" s="1"/>
  <c r="CV79" i="261" a="1"/>
  <c r="CV79" i="261" s="1"/>
  <c r="CV80" i="261" a="1"/>
  <c r="CV80" i="261" s="1"/>
  <c r="CV81" i="261" a="1"/>
  <c r="CV81" i="261" s="1"/>
  <c r="CV82" i="261" a="1"/>
  <c r="CV82" i="261" s="1"/>
  <c r="CV83" i="261" a="1"/>
  <c r="CV83" i="261" s="1"/>
  <c r="CV84" i="261" a="1"/>
  <c r="CV84" i="261" s="1"/>
  <c r="CV85" i="261" a="1"/>
  <c r="CV85" i="261" s="1"/>
  <c r="CV86" i="261" a="1"/>
  <c r="CV86" i="261" s="1"/>
  <c r="CV87" i="261" a="1"/>
  <c r="CV87" i="261" s="1"/>
  <c r="CV88" i="261" a="1"/>
  <c r="CV88" i="261" s="1"/>
  <c r="CV89" i="261" a="1"/>
  <c r="CV89" i="261" s="1"/>
  <c r="CV90" i="261" a="1"/>
  <c r="CV90" i="261" s="1"/>
  <c r="CV67" i="261" a="1"/>
  <c r="CV67" i="261" s="1"/>
  <c r="D823" i="262" s="1"/>
  <c r="CU68" i="261" a="1"/>
  <c r="CU68" i="261" s="1"/>
  <c r="B824" i="262" s="1"/>
  <c r="CU69" i="261" a="1"/>
  <c r="CU69" i="261" s="1"/>
  <c r="B825" i="262" s="1"/>
  <c r="CU70" i="261" a="1"/>
  <c r="CU70" i="261" s="1"/>
  <c r="B826" i="262" s="1"/>
  <c r="CU71" i="261" a="1"/>
  <c r="CU71" i="261" s="1"/>
  <c r="B827" i="262" s="1"/>
  <c r="CU72" i="261" a="1"/>
  <c r="CU72" i="261" s="1"/>
  <c r="B828" i="262" s="1"/>
  <c r="CU73" i="261" a="1"/>
  <c r="CU73" i="261" s="1"/>
  <c r="B829" i="262" s="1"/>
  <c r="CU74" i="261" a="1"/>
  <c r="CU74" i="261" s="1"/>
  <c r="B830" i="262" s="1"/>
  <c r="CU75" i="261" a="1"/>
  <c r="CU75" i="261" s="1"/>
  <c r="B831" i="262" s="1"/>
  <c r="CU76" i="261" a="1"/>
  <c r="CU76" i="261" s="1"/>
  <c r="B832" i="262" s="1"/>
  <c r="CU77" i="261" a="1"/>
  <c r="CU77" i="261" s="1"/>
  <c r="B833" i="262" s="1"/>
  <c r="CU78" i="261" a="1"/>
  <c r="CU78" i="261" s="1"/>
  <c r="CU79" i="261" a="1"/>
  <c r="CU79" i="261" s="1"/>
  <c r="CU80" i="261" a="1"/>
  <c r="CU80" i="261" s="1"/>
  <c r="CU81" i="261" a="1"/>
  <c r="CU81" i="261" s="1"/>
  <c r="CU82" i="261" a="1"/>
  <c r="CU82" i="261" s="1"/>
  <c r="CU83" i="261" a="1"/>
  <c r="CU83" i="261" s="1"/>
  <c r="CU84" i="261" a="1"/>
  <c r="CU84" i="261" s="1"/>
  <c r="CU85" i="261" a="1"/>
  <c r="CU85" i="261" s="1"/>
  <c r="CU86" i="261" a="1"/>
  <c r="CU86" i="261" s="1"/>
  <c r="CU87" i="261" a="1"/>
  <c r="CU87" i="261" s="1"/>
  <c r="CU88" i="261" a="1"/>
  <c r="CU88" i="261" s="1"/>
  <c r="CU89" i="261" a="1"/>
  <c r="CU89" i="261" s="1"/>
  <c r="CU90" i="261" a="1"/>
  <c r="CU90" i="261" s="1"/>
  <c r="CU67" i="261" a="1"/>
  <c r="CU67" i="261" s="1"/>
  <c r="B823" i="262" s="1"/>
  <c r="CT68" i="261" a="1"/>
  <c r="CT68" i="261" s="1"/>
  <c r="D807" i="262" s="1"/>
  <c r="CT69" i="261" a="1"/>
  <c r="CT69" i="261" s="1"/>
  <c r="D808" i="262" s="1"/>
  <c r="CT70" i="261" a="1"/>
  <c r="CT70" i="261" s="1"/>
  <c r="D809" i="262" s="1"/>
  <c r="CT71" i="261" a="1"/>
  <c r="CT71" i="261" s="1"/>
  <c r="D810" i="262" s="1"/>
  <c r="CT72" i="261" a="1"/>
  <c r="CT72" i="261" s="1"/>
  <c r="D811" i="262" s="1"/>
  <c r="CT73" i="261" a="1"/>
  <c r="CT73" i="261" s="1"/>
  <c r="D812" i="262" s="1"/>
  <c r="CT74" i="261" a="1"/>
  <c r="CT74" i="261" s="1"/>
  <c r="D813" i="262" s="1"/>
  <c r="CT75" i="261" a="1"/>
  <c r="CT75" i="261" s="1"/>
  <c r="D814" i="262" s="1"/>
  <c r="CT76" i="261" a="1"/>
  <c r="CT76" i="261" s="1"/>
  <c r="D815" i="262" s="1"/>
  <c r="CT77" i="261" a="1"/>
  <c r="CT77" i="261" s="1"/>
  <c r="D816" i="262" s="1"/>
  <c r="CT78" i="261" a="1"/>
  <c r="CT78" i="261" s="1"/>
  <c r="CT79" i="261" a="1"/>
  <c r="CT79" i="261" s="1"/>
  <c r="CT80" i="261" a="1"/>
  <c r="CT80" i="261" s="1"/>
  <c r="CT81" i="261" a="1"/>
  <c r="CT81" i="261" s="1"/>
  <c r="CT82" i="261" a="1"/>
  <c r="CT82" i="261" s="1"/>
  <c r="CT83" i="261" a="1"/>
  <c r="CT83" i="261" s="1"/>
  <c r="CT84" i="261" a="1"/>
  <c r="CT84" i="261" s="1"/>
  <c r="CT85" i="261" a="1"/>
  <c r="CT85" i="261" s="1"/>
  <c r="CT86" i="261" a="1"/>
  <c r="CT86" i="261" s="1"/>
  <c r="CT87" i="261" a="1"/>
  <c r="CT87" i="261" s="1"/>
  <c r="CT88" i="261" a="1"/>
  <c r="CT88" i="261" s="1"/>
  <c r="CT89" i="261" a="1"/>
  <c r="CT89" i="261" s="1"/>
  <c r="CT90" i="261" a="1"/>
  <c r="CT90" i="261" s="1"/>
  <c r="CS68" i="261" a="1"/>
  <c r="CS68" i="261" s="1"/>
  <c r="B807" i="262" s="1"/>
  <c r="CS69" i="261" a="1"/>
  <c r="CS69" i="261" s="1"/>
  <c r="B808" i="262" s="1"/>
  <c r="CS70" i="261" a="1"/>
  <c r="CS70" i="261" s="1"/>
  <c r="B809" i="262" s="1"/>
  <c r="CS71" i="261" a="1"/>
  <c r="CS71" i="261" s="1"/>
  <c r="B810" i="262" s="1"/>
  <c r="CS72" i="261" a="1"/>
  <c r="CS72" i="261" s="1"/>
  <c r="B811" i="262" s="1"/>
  <c r="CS73" i="261" a="1"/>
  <c r="CS73" i="261" s="1"/>
  <c r="B812" i="262" s="1"/>
  <c r="CS74" i="261" a="1"/>
  <c r="CS74" i="261" s="1"/>
  <c r="B813" i="262" s="1"/>
  <c r="CS75" i="261" a="1"/>
  <c r="CS75" i="261" s="1"/>
  <c r="B814" i="262" s="1"/>
  <c r="CS76" i="261" a="1"/>
  <c r="CS76" i="261" s="1"/>
  <c r="B815" i="262" s="1"/>
  <c r="CS77" i="261" a="1"/>
  <c r="CS77" i="261" s="1"/>
  <c r="B816" i="262" s="1"/>
  <c r="CS78" i="261" a="1"/>
  <c r="CS78" i="261" s="1"/>
  <c r="CS79" i="261" a="1"/>
  <c r="CS79" i="261" s="1"/>
  <c r="CS80" i="261" a="1"/>
  <c r="CS80" i="261" s="1"/>
  <c r="CS81" i="261" a="1"/>
  <c r="CS81" i="261" s="1"/>
  <c r="CS82" i="261" a="1"/>
  <c r="CS82" i="261" s="1"/>
  <c r="CS83" i="261" a="1"/>
  <c r="CS83" i="261" s="1"/>
  <c r="CS84" i="261" a="1"/>
  <c r="CS84" i="261" s="1"/>
  <c r="CS85" i="261" a="1"/>
  <c r="CS85" i="261" s="1"/>
  <c r="CS86" i="261" a="1"/>
  <c r="CS86" i="261" s="1"/>
  <c r="CS87" i="261" a="1"/>
  <c r="CS87" i="261" s="1"/>
  <c r="CS88" i="261" a="1"/>
  <c r="CS88" i="261" s="1"/>
  <c r="CS89" i="261" a="1"/>
  <c r="CS89" i="261" s="1"/>
  <c r="CS90" i="261" a="1"/>
  <c r="CS90" i="261" s="1"/>
  <c r="CT67" i="261" a="1"/>
  <c r="CT67" i="261" s="1"/>
  <c r="D806" i="262" s="1"/>
  <c r="CS67" i="261" a="1"/>
  <c r="CS67" i="261" s="1"/>
  <c r="B806" i="262" s="1"/>
  <c r="CR68" i="261" a="1"/>
  <c r="CR68" i="261" s="1"/>
  <c r="D790" i="262" s="1"/>
  <c r="CR69" i="261" a="1"/>
  <c r="CR69" i="261" s="1"/>
  <c r="D791" i="262" s="1"/>
  <c r="CR70" i="261" a="1"/>
  <c r="CR70" i="261" s="1"/>
  <c r="D792" i="262" s="1"/>
  <c r="CR71" i="261" a="1"/>
  <c r="CR71" i="261" s="1"/>
  <c r="D793" i="262" s="1"/>
  <c r="CR72" i="261" a="1"/>
  <c r="CR72" i="261" s="1"/>
  <c r="D794" i="262" s="1"/>
  <c r="CR73" i="261" a="1"/>
  <c r="CR73" i="261" s="1"/>
  <c r="D795" i="262" s="1"/>
  <c r="CR74" i="261" a="1"/>
  <c r="CR74" i="261" s="1"/>
  <c r="D796" i="262" s="1"/>
  <c r="CR75" i="261" a="1"/>
  <c r="CR75" i="261" s="1"/>
  <c r="D797" i="262" s="1"/>
  <c r="CR76" i="261" a="1"/>
  <c r="CR76" i="261" s="1"/>
  <c r="D798" i="262" s="1"/>
  <c r="CR77" i="261" a="1"/>
  <c r="CR77" i="261" s="1"/>
  <c r="D799" i="262" s="1"/>
  <c r="CR78" i="261" a="1"/>
  <c r="CR78" i="261" s="1"/>
  <c r="CR79" i="261" a="1"/>
  <c r="CR79" i="261" s="1"/>
  <c r="CR80" i="261" a="1"/>
  <c r="CR80" i="261" s="1"/>
  <c r="CR81" i="261" a="1"/>
  <c r="CR81" i="261" s="1"/>
  <c r="CR82" i="261" a="1"/>
  <c r="CR82" i="261" s="1"/>
  <c r="CR83" i="261" a="1"/>
  <c r="CR83" i="261" s="1"/>
  <c r="CR84" i="261" a="1"/>
  <c r="CR84" i="261" s="1"/>
  <c r="CR85" i="261" a="1"/>
  <c r="CR85" i="261" s="1"/>
  <c r="CR86" i="261" a="1"/>
  <c r="CR86" i="261" s="1"/>
  <c r="CR87" i="261" a="1"/>
  <c r="CR87" i="261" s="1"/>
  <c r="CR88" i="261" a="1"/>
  <c r="CR88" i="261" s="1"/>
  <c r="CR89" i="261" a="1"/>
  <c r="CR89" i="261" s="1"/>
  <c r="CR90" i="261" a="1"/>
  <c r="CR90" i="261" s="1"/>
  <c r="CR67" i="261" a="1"/>
  <c r="CR67" i="261" s="1"/>
  <c r="D789" i="262" s="1"/>
  <c r="CQ68" i="261" a="1"/>
  <c r="CQ68" i="261" s="1"/>
  <c r="B790" i="262" s="1"/>
  <c r="CQ69" i="261" a="1"/>
  <c r="CQ69" i="261" s="1"/>
  <c r="B791" i="262" s="1"/>
  <c r="CQ70" i="261" a="1"/>
  <c r="CQ70" i="261" s="1"/>
  <c r="B792" i="262" s="1"/>
  <c r="CQ71" i="261" a="1"/>
  <c r="CQ71" i="261" s="1"/>
  <c r="B793" i="262" s="1"/>
  <c r="CQ72" i="261" a="1"/>
  <c r="CQ72" i="261" s="1"/>
  <c r="B794" i="262" s="1"/>
  <c r="CQ73" i="261" a="1"/>
  <c r="CQ73" i="261" s="1"/>
  <c r="B795" i="262" s="1"/>
  <c r="CQ74" i="261" a="1"/>
  <c r="CQ74" i="261" s="1"/>
  <c r="B796" i="262" s="1"/>
  <c r="CQ75" i="261" a="1"/>
  <c r="CQ75" i="261" s="1"/>
  <c r="B797" i="262" s="1"/>
  <c r="CQ76" i="261" a="1"/>
  <c r="CQ76" i="261" s="1"/>
  <c r="B798" i="262" s="1"/>
  <c r="CQ77" i="261" a="1"/>
  <c r="CQ77" i="261" s="1"/>
  <c r="B799" i="262" s="1"/>
  <c r="CQ78" i="261" a="1"/>
  <c r="CQ78" i="261" s="1"/>
  <c r="CQ79" i="261" a="1"/>
  <c r="CQ79" i="261" s="1"/>
  <c r="CQ80" i="261" a="1"/>
  <c r="CQ80" i="261" s="1"/>
  <c r="CQ81" i="261" a="1"/>
  <c r="CQ81" i="261" s="1"/>
  <c r="CQ82" i="261" a="1"/>
  <c r="CQ82" i="261" s="1"/>
  <c r="CQ83" i="261" a="1"/>
  <c r="CQ83" i="261" s="1"/>
  <c r="CQ84" i="261" a="1"/>
  <c r="CQ84" i="261" s="1"/>
  <c r="CQ85" i="261" a="1"/>
  <c r="CQ85" i="261" s="1"/>
  <c r="CQ86" i="261" a="1"/>
  <c r="CQ86" i="261" s="1"/>
  <c r="CQ87" i="261" a="1"/>
  <c r="CQ87" i="261" s="1"/>
  <c r="CQ88" i="261" a="1"/>
  <c r="CQ88" i="261" s="1"/>
  <c r="CQ89" i="261" a="1"/>
  <c r="CQ89" i="261" s="1"/>
  <c r="CQ90" i="261" a="1"/>
  <c r="CQ90" i="261" s="1"/>
  <c r="CQ67" i="261" a="1"/>
  <c r="CQ67" i="261" s="1"/>
  <c r="B789" i="262" s="1"/>
  <c r="CP68" i="261" a="1"/>
  <c r="CP68" i="261" s="1"/>
  <c r="D773" i="262" s="1"/>
  <c r="CP69" i="261" a="1"/>
  <c r="CP69" i="261" s="1"/>
  <c r="D774" i="262" s="1"/>
  <c r="CP70" i="261" a="1"/>
  <c r="CP70" i="261" s="1"/>
  <c r="D775" i="262" s="1"/>
  <c r="CP71" i="261" a="1"/>
  <c r="CP71" i="261" s="1"/>
  <c r="D776" i="262" s="1"/>
  <c r="CP72" i="261" a="1"/>
  <c r="CP72" i="261" s="1"/>
  <c r="D777" i="262" s="1"/>
  <c r="CP73" i="261" a="1"/>
  <c r="CP73" i="261" s="1"/>
  <c r="D778" i="262" s="1"/>
  <c r="CP74" i="261" a="1"/>
  <c r="CP74" i="261" s="1"/>
  <c r="D779" i="262" s="1"/>
  <c r="CP75" i="261" a="1"/>
  <c r="CP75" i="261" s="1"/>
  <c r="D780" i="262" s="1"/>
  <c r="CP76" i="261" a="1"/>
  <c r="CP76" i="261" s="1"/>
  <c r="D781" i="262" s="1"/>
  <c r="CP77" i="261" a="1"/>
  <c r="CP77" i="261" s="1"/>
  <c r="D782" i="262" s="1"/>
  <c r="CP78" i="261" a="1"/>
  <c r="CP78" i="261" s="1"/>
  <c r="CP79" i="261" a="1"/>
  <c r="CP79" i="261" s="1"/>
  <c r="CP80" i="261" a="1"/>
  <c r="CP80" i="261" s="1"/>
  <c r="CP81" i="261" a="1"/>
  <c r="CP81" i="261" s="1"/>
  <c r="CP82" i="261" a="1"/>
  <c r="CP82" i="261" s="1"/>
  <c r="CP83" i="261" a="1"/>
  <c r="CP83" i="261" s="1"/>
  <c r="CP84" i="261" a="1"/>
  <c r="CP84" i="261" s="1"/>
  <c r="CP85" i="261" a="1"/>
  <c r="CP85" i="261" s="1"/>
  <c r="CP86" i="261" a="1"/>
  <c r="CP86" i="261" s="1"/>
  <c r="CP87" i="261" a="1"/>
  <c r="CP87" i="261" s="1"/>
  <c r="CP88" i="261" a="1"/>
  <c r="CP88" i="261" s="1"/>
  <c r="CP89" i="261" a="1"/>
  <c r="CP89" i="261" s="1"/>
  <c r="CP90" i="261" a="1"/>
  <c r="CP90" i="261" s="1"/>
  <c r="CP67" i="261" a="1"/>
  <c r="CP67" i="261" s="1"/>
  <c r="D772" i="262" s="1"/>
  <c r="CO68" i="261" a="1"/>
  <c r="CO68" i="261" s="1"/>
  <c r="B773" i="262" s="1"/>
  <c r="CO69" i="261" a="1"/>
  <c r="CO69" i="261" s="1"/>
  <c r="B774" i="262" s="1"/>
  <c r="CO70" i="261" a="1"/>
  <c r="CO70" i="261" s="1"/>
  <c r="B775" i="262" s="1"/>
  <c r="CO71" i="261" a="1"/>
  <c r="CO71" i="261" s="1"/>
  <c r="B776" i="262" s="1"/>
  <c r="CO72" i="261" a="1"/>
  <c r="CO72" i="261" s="1"/>
  <c r="B777" i="262" s="1"/>
  <c r="CO73" i="261" a="1"/>
  <c r="CO73" i="261" s="1"/>
  <c r="B778" i="262" s="1"/>
  <c r="CO74" i="261" a="1"/>
  <c r="CO74" i="261" s="1"/>
  <c r="B779" i="262" s="1"/>
  <c r="CO75" i="261" a="1"/>
  <c r="CO75" i="261" s="1"/>
  <c r="B780" i="262" s="1"/>
  <c r="CO76" i="261" a="1"/>
  <c r="CO76" i="261" s="1"/>
  <c r="B781" i="262" s="1"/>
  <c r="CO77" i="261" a="1"/>
  <c r="CO77" i="261" s="1"/>
  <c r="B782" i="262" s="1"/>
  <c r="CO78" i="261" a="1"/>
  <c r="CO78" i="261" s="1"/>
  <c r="CO79" i="261" a="1"/>
  <c r="CO79" i="261" s="1"/>
  <c r="CO80" i="261" a="1"/>
  <c r="CO80" i="261" s="1"/>
  <c r="CO81" i="261" a="1"/>
  <c r="CO81" i="261" s="1"/>
  <c r="CO82" i="261" a="1"/>
  <c r="CO82" i="261" s="1"/>
  <c r="CO83" i="261" a="1"/>
  <c r="CO83" i="261" s="1"/>
  <c r="CO84" i="261" a="1"/>
  <c r="CO84" i="261" s="1"/>
  <c r="CO85" i="261" a="1"/>
  <c r="CO85" i="261" s="1"/>
  <c r="CO86" i="261" a="1"/>
  <c r="CO86" i="261" s="1"/>
  <c r="CO87" i="261" a="1"/>
  <c r="CO87" i="261" s="1"/>
  <c r="CO88" i="261" a="1"/>
  <c r="CO88" i="261" s="1"/>
  <c r="CO89" i="261" a="1"/>
  <c r="CO89" i="261" s="1"/>
  <c r="CO90" i="261" a="1"/>
  <c r="CO90" i="261" s="1"/>
  <c r="CO67" i="261" a="1"/>
  <c r="CO67" i="261" s="1"/>
  <c r="B772" i="262" s="1"/>
  <c r="CN68" i="261" a="1"/>
  <c r="CN68" i="261" s="1"/>
  <c r="D756" i="262" s="1"/>
  <c r="CN69" i="261" a="1"/>
  <c r="CN69" i="261" s="1"/>
  <c r="D757" i="262" s="1"/>
  <c r="CN70" i="261" a="1"/>
  <c r="CN70" i="261" s="1"/>
  <c r="D758" i="262" s="1"/>
  <c r="CN71" i="261" a="1"/>
  <c r="CN71" i="261" s="1"/>
  <c r="D759" i="262" s="1"/>
  <c r="CN72" i="261" a="1"/>
  <c r="CN72" i="261" s="1"/>
  <c r="D760" i="262" s="1"/>
  <c r="CN73" i="261" a="1"/>
  <c r="CN73" i="261" s="1"/>
  <c r="D761" i="262" s="1"/>
  <c r="CN74" i="261" a="1"/>
  <c r="CN74" i="261" s="1"/>
  <c r="D762" i="262" s="1"/>
  <c r="CN75" i="261" a="1"/>
  <c r="CN75" i="261" s="1"/>
  <c r="D763" i="262" s="1"/>
  <c r="CN76" i="261" a="1"/>
  <c r="CN76" i="261" s="1"/>
  <c r="D764" i="262" s="1"/>
  <c r="CN77" i="261" a="1"/>
  <c r="CN77" i="261" s="1"/>
  <c r="D765" i="262" s="1"/>
  <c r="CN78" i="261" a="1"/>
  <c r="CN78" i="261" s="1"/>
  <c r="CN79" i="261" a="1"/>
  <c r="CN79" i="261" s="1"/>
  <c r="CN80" i="261" a="1"/>
  <c r="CN80" i="261" s="1"/>
  <c r="CN81" i="261" a="1"/>
  <c r="CN81" i="261" s="1"/>
  <c r="CN82" i="261" a="1"/>
  <c r="CN82" i="261" s="1"/>
  <c r="CN83" i="261" a="1"/>
  <c r="CN83" i="261" s="1"/>
  <c r="CN84" i="261" a="1"/>
  <c r="CN84" i="261" s="1"/>
  <c r="CN85" i="261" a="1"/>
  <c r="CN85" i="261" s="1"/>
  <c r="CN86" i="261" a="1"/>
  <c r="CN86" i="261" s="1"/>
  <c r="CN87" i="261" a="1"/>
  <c r="CN87" i="261" s="1"/>
  <c r="CN88" i="261" a="1"/>
  <c r="CN88" i="261" s="1"/>
  <c r="CN89" i="261" a="1"/>
  <c r="CN89" i="261" s="1"/>
  <c r="CN90" i="261" a="1"/>
  <c r="CN90" i="261" s="1"/>
  <c r="CN67" i="261" a="1"/>
  <c r="CN67" i="261" s="1"/>
  <c r="D755" i="262" s="1"/>
  <c r="CM68" i="261" a="1"/>
  <c r="CM68" i="261" s="1"/>
  <c r="B756" i="262" s="1"/>
  <c r="CM69" i="261" a="1"/>
  <c r="CM69" i="261" s="1"/>
  <c r="B757" i="262" s="1"/>
  <c r="CM70" i="261" a="1"/>
  <c r="CM70" i="261" s="1"/>
  <c r="B758" i="262" s="1"/>
  <c r="CM71" i="261" a="1"/>
  <c r="CM71" i="261" s="1"/>
  <c r="B759" i="262" s="1"/>
  <c r="CM72" i="261" a="1"/>
  <c r="CM72" i="261" s="1"/>
  <c r="B760" i="262" s="1"/>
  <c r="CM73" i="261" a="1"/>
  <c r="CM73" i="261" s="1"/>
  <c r="B761" i="262" s="1"/>
  <c r="CM74" i="261" a="1"/>
  <c r="CM74" i="261" s="1"/>
  <c r="B762" i="262" s="1"/>
  <c r="CM75" i="261" a="1"/>
  <c r="CM75" i="261" s="1"/>
  <c r="B763" i="262" s="1"/>
  <c r="CM76" i="261" a="1"/>
  <c r="CM76" i="261" s="1"/>
  <c r="B764" i="262" s="1"/>
  <c r="CM77" i="261" a="1"/>
  <c r="CM77" i="261" s="1"/>
  <c r="B765" i="262" s="1"/>
  <c r="CM78" i="261" a="1"/>
  <c r="CM78" i="261" s="1"/>
  <c r="CM79" i="261" a="1"/>
  <c r="CM79" i="261" s="1"/>
  <c r="CM80" i="261" a="1"/>
  <c r="CM80" i="261" s="1"/>
  <c r="CM81" i="261" a="1"/>
  <c r="CM81" i="261" s="1"/>
  <c r="CM82" i="261" a="1"/>
  <c r="CM82" i="261" s="1"/>
  <c r="CM83" i="261" a="1"/>
  <c r="CM83" i="261" s="1"/>
  <c r="CM84" i="261" a="1"/>
  <c r="CM84" i="261" s="1"/>
  <c r="CM85" i="261" a="1"/>
  <c r="CM85" i="261" s="1"/>
  <c r="CM86" i="261" a="1"/>
  <c r="CM86" i="261" s="1"/>
  <c r="CM87" i="261" a="1"/>
  <c r="CM87" i="261" s="1"/>
  <c r="CM88" i="261" a="1"/>
  <c r="CM88" i="261" s="1"/>
  <c r="CM89" i="261" a="1"/>
  <c r="CM89" i="261" s="1"/>
  <c r="CM90" i="261" a="1"/>
  <c r="CM90" i="261" s="1"/>
  <c r="CM67" i="261" a="1"/>
  <c r="CM67" i="261" s="1"/>
  <c r="B755" i="262" s="1"/>
  <c r="CL68" i="261" a="1"/>
  <c r="CL68" i="261" s="1"/>
  <c r="D739" i="262" s="1"/>
  <c r="CL69" i="261" a="1"/>
  <c r="CL69" i="261" s="1"/>
  <c r="D740" i="262" s="1"/>
  <c r="CL70" i="261" a="1"/>
  <c r="CL70" i="261" s="1"/>
  <c r="D741" i="262" s="1"/>
  <c r="CL71" i="261" a="1"/>
  <c r="CL71" i="261" s="1"/>
  <c r="D742" i="262" s="1"/>
  <c r="CL72" i="261" a="1"/>
  <c r="CL72" i="261" s="1"/>
  <c r="D743" i="262" s="1"/>
  <c r="CL73" i="261" a="1"/>
  <c r="CL73" i="261" s="1"/>
  <c r="D744" i="262" s="1"/>
  <c r="CL74" i="261" a="1"/>
  <c r="CL74" i="261" s="1"/>
  <c r="D745" i="262" s="1"/>
  <c r="CL75" i="261" a="1"/>
  <c r="CL75" i="261" s="1"/>
  <c r="D746" i="262" s="1"/>
  <c r="CL76" i="261" a="1"/>
  <c r="CL76" i="261" s="1"/>
  <c r="D747" i="262" s="1"/>
  <c r="CL77" i="261" a="1"/>
  <c r="CL77" i="261" s="1"/>
  <c r="D748" i="262" s="1"/>
  <c r="CL78" i="261" a="1"/>
  <c r="CL78" i="261" s="1"/>
  <c r="CL79" i="261" a="1"/>
  <c r="CL79" i="261" s="1"/>
  <c r="CL80" i="261" a="1"/>
  <c r="CL80" i="261" s="1"/>
  <c r="CL81" i="261" a="1"/>
  <c r="CL81" i="261" s="1"/>
  <c r="CL82" i="261" a="1"/>
  <c r="CL82" i="261" s="1"/>
  <c r="CL83" i="261" a="1"/>
  <c r="CL83" i="261" s="1"/>
  <c r="CL84" i="261" a="1"/>
  <c r="CL84" i="261" s="1"/>
  <c r="CL85" i="261" a="1"/>
  <c r="CL85" i="261" s="1"/>
  <c r="CL86" i="261" a="1"/>
  <c r="CL86" i="261" s="1"/>
  <c r="CL87" i="261" a="1"/>
  <c r="CL87" i="261" s="1"/>
  <c r="CL88" i="261" a="1"/>
  <c r="CL88" i="261" s="1"/>
  <c r="CL89" i="261" a="1"/>
  <c r="CL89" i="261" s="1"/>
  <c r="CL90" i="261" a="1"/>
  <c r="CL90" i="261" s="1"/>
  <c r="CL67" i="261" a="1"/>
  <c r="CL67" i="261" s="1"/>
  <c r="D738" i="262" s="1"/>
  <c r="CK68" i="261" a="1"/>
  <c r="CK68" i="261" s="1"/>
  <c r="B739" i="262" s="1"/>
  <c r="CK69" i="261" a="1"/>
  <c r="CK69" i="261" s="1"/>
  <c r="B740" i="262" s="1"/>
  <c r="CK70" i="261" a="1"/>
  <c r="CK70" i="261" s="1"/>
  <c r="B741" i="262" s="1"/>
  <c r="CK71" i="261" a="1"/>
  <c r="CK71" i="261" s="1"/>
  <c r="B742" i="262" s="1"/>
  <c r="CK72" i="261" a="1"/>
  <c r="CK72" i="261" s="1"/>
  <c r="B743" i="262" s="1"/>
  <c r="CK73" i="261" a="1"/>
  <c r="CK73" i="261" s="1"/>
  <c r="B744" i="262" s="1"/>
  <c r="CK74" i="261" a="1"/>
  <c r="CK74" i="261" s="1"/>
  <c r="B745" i="262" s="1"/>
  <c r="CK75" i="261" a="1"/>
  <c r="CK75" i="261" s="1"/>
  <c r="B746" i="262" s="1"/>
  <c r="CK76" i="261" a="1"/>
  <c r="CK76" i="261" s="1"/>
  <c r="B747" i="262" s="1"/>
  <c r="CK77" i="261" a="1"/>
  <c r="CK77" i="261" s="1"/>
  <c r="B748" i="262" s="1"/>
  <c r="CK78" i="261" a="1"/>
  <c r="CK78" i="261" s="1"/>
  <c r="CK79" i="261" a="1"/>
  <c r="CK79" i="261" s="1"/>
  <c r="CK80" i="261" a="1"/>
  <c r="CK80" i="261" s="1"/>
  <c r="CK81" i="261" a="1"/>
  <c r="CK81" i="261" s="1"/>
  <c r="CK82" i="261" a="1"/>
  <c r="CK82" i="261" s="1"/>
  <c r="CK83" i="261" a="1"/>
  <c r="CK83" i="261" s="1"/>
  <c r="CK84" i="261" a="1"/>
  <c r="CK84" i="261" s="1"/>
  <c r="CK85" i="261" a="1"/>
  <c r="CK85" i="261" s="1"/>
  <c r="CK86" i="261" a="1"/>
  <c r="CK86" i="261" s="1"/>
  <c r="CK87" i="261" a="1"/>
  <c r="CK87" i="261" s="1"/>
  <c r="CK88" i="261" a="1"/>
  <c r="CK88" i="261" s="1"/>
  <c r="CK89" i="261" a="1"/>
  <c r="CK89" i="261" s="1"/>
  <c r="CK90" i="261" a="1"/>
  <c r="CK90" i="261" s="1"/>
  <c r="CK67" i="261" a="1"/>
  <c r="CK67" i="261" s="1"/>
  <c r="B738" i="262" s="1"/>
  <c r="CH68" i="261" a="1"/>
  <c r="CH68" i="261" s="1"/>
  <c r="D705" i="262" s="1"/>
  <c r="CH69" i="261" a="1"/>
  <c r="CH69" i="261" s="1"/>
  <c r="D706" i="262" s="1"/>
  <c r="CH70" i="261" a="1"/>
  <c r="CH70" i="261" s="1"/>
  <c r="D707" i="262" s="1"/>
  <c r="CH71" i="261" a="1"/>
  <c r="CH71" i="261" s="1"/>
  <c r="D708" i="262" s="1"/>
  <c r="CH72" i="261" a="1"/>
  <c r="CH72" i="261" s="1"/>
  <c r="D709" i="262" s="1"/>
  <c r="CH73" i="261" a="1"/>
  <c r="CH73" i="261" s="1"/>
  <c r="D710" i="262" s="1"/>
  <c r="CH74" i="261" a="1"/>
  <c r="CH74" i="261" s="1"/>
  <c r="D711" i="262" s="1"/>
  <c r="CH75" i="261" a="1"/>
  <c r="CH75" i="261" s="1"/>
  <c r="D712" i="262" s="1"/>
  <c r="CH76" i="261" a="1"/>
  <c r="CH76" i="261" s="1"/>
  <c r="D713" i="262" s="1"/>
  <c r="CH77" i="261" a="1"/>
  <c r="CH77" i="261" s="1"/>
  <c r="D714" i="262" s="1"/>
  <c r="CH78" i="261" a="1"/>
  <c r="CH78" i="261" s="1"/>
  <c r="CH79" i="261" a="1"/>
  <c r="CH79" i="261" s="1"/>
  <c r="CH80" i="261" a="1"/>
  <c r="CH80" i="261" s="1"/>
  <c r="CH81" i="261" a="1"/>
  <c r="CH81" i="261" s="1"/>
  <c r="CH82" i="261" a="1"/>
  <c r="CH82" i="261" s="1"/>
  <c r="CH83" i="261" a="1"/>
  <c r="CH83" i="261" s="1"/>
  <c r="CH84" i="261" a="1"/>
  <c r="CH84" i="261" s="1"/>
  <c r="CH85" i="261" a="1"/>
  <c r="CH85" i="261" s="1"/>
  <c r="CH86" i="261" a="1"/>
  <c r="CH86" i="261" s="1"/>
  <c r="CH87" i="261" a="1"/>
  <c r="CH87" i="261" s="1"/>
  <c r="CH88" i="261" a="1"/>
  <c r="CH88" i="261" s="1"/>
  <c r="CH89" i="261" a="1"/>
  <c r="CH89" i="261" s="1"/>
  <c r="CH90" i="261" a="1"/>
  <c r="CH90" i="261" s="1"/>
  <c r="CH67" i="261" a="1"/>
  <c r="CH67" i="261" s="1"/>
  <c r="D704" i="262" s="1"/>
  <c r="CG68" i="261" a="1"/>
  <c r="CG68" i="261" s="1"/>
  <c r="CG69" i="261" a="1"/>
  <c r="CG69" i="261" s="1"/>
  <c r="CG70" i="261" a="1"/>
  <c r="CG70" i="261" s="1"/>
  <c r="CG71" i="261" a="1"/>
  <c r="CG71" i="261" s="1"/>
  <c r="CG72" i="261" a="1"/>
  <c r="CG72" i="261" s="1"/>
  <c r="CG73" i="261" a="1"/>
  <c r="CG73" i="261" s="1"/>
  <c r="CG74" i="261" a="1"/>
  <c r="CG74" i="261" s="1"/>
  <c r="CG75" i="261" a="1"/>
  <c r="CG75" i="261" s="1"/>
  <c r="CG76" i="261" a="1"/>
  <c r="CG76" i="261" s="1"/>
  <c r="CG77" i="261" a="1"/>
  <c r="CG77" i="261" s="1"/>
  <c r="CG78" i="261" a="1"/>
  <c r="CG78" i="261" s="1"/>
  <c r="CG79" i="261" a="1"/>
  <c r="CG79" i="261" s="1"/>
  <c r="CG80" i="261" a="1"/>
  <c r="CG80" i="261" s="1"/>
  <c r="CG81" i="261" a="1"/>
  <c r="CG81" i="261" s="1"/>
  <c r="CG82" i="261" a="1"/>
  <c r="CG82" i="261" s="1"/>
  <c r="CG83" i="261" a="1"/>
  <c r="CG83" i="261" s="1"/>
  <c r="CG84" i="261" a="1"/>
  <c r="CG84" i="261" s="1"/>
  <c r="CG85" i="261" a="1"/>
  <c r="CG85" i="261" s="1"/>
  <c r="CG86" i="261" a="1"/>
  <c r="CG86" i="261" s="1"/>
  <c r="CG87" i="261" a="1"/>
  <c r="CG87" i="261" s="1"/>
  <c r="CG88" i="261" a="1"/>
  <c r="CG88" i="261" s="1"/>
  <c r="CG89" i="261" a="1"/>
  <c r="CG89" i="261" s="1"/>
  <c r="CG90" i="261" a="1"/>
  <c r="CG90" i="261" s="1"/>
  <c r="CG67" i="261" a="1"/>
  <c r="CG67" i="261" s="1"/>
  <c r="CF68" i="261" a="1"/>
  <c r="CF68" i="261" s="1"/>
  <c r="D688" i="262" s="1"/>
  <c r="CF69" i="261" a="1"/>
  <c r="CF69" i="261" s="1"/>
  <c r="D689" i="262" s="1"/>
  <c r="CF70" i="261" a="1"/>
  <c r="CF70" i="261" s="1"/>
  <c r="D690" i="262" s="1"/>
  <c r="CF71" i="261" a="1"/>
  <c r="CF71" i="261" s="1"/>
  <c r="D691" i="262" s="1"/>
  <c r="CF72" i="261" a="1"/>
  <c r="CF72" i="261" s="1"/>
  <c r="D692" i="262" s="1"/>
  <c r="CF73" i="261" a="1"/>
  <c r="CF73" i="261" s="1"/>
  <c r="D693" i="262" s="1"/>
  <c r="CF74" i="261" a="1"/>
  <c r="CF74" i="261" s="1"/>
  <c r="D694" i="262" s="1"/>
  <c r="CF75" i="261" a="1"/>
  <c r="CF75" i="261" s="1"/>
  <c r="D695" i="262" s="1"/>
  <c r="CF76" i="261" a="1"/>
  <c r="CF76" i="261" s="1"/>
  <c r="D696" i="262" s="1"/>
  <c r="CF77" i="261" a="1"/>
  <c r="CF77" i="261" s="1"/>
  <c r="D697" i="262" s="1"/>
  <c r="CF78" i="261" a="1"/>
  <c r="CF78" i="261" s="1"/>
  <c r="CF79" i="261" a="1"/>
  <c r="CF79" i="261" s="1"/>
  <c r="CF80" i="261" a="1"/>
  <c r="CF80" i="261" s="1"/>
  <c r="CF81" i="261" a="1"/>
  <c r="CF81" i="261" s="1"/>
  <c r="CF82" i="261" a="1"/>
  <c r="CF82" i="261" s="1"/>
  <c r="CF83" i="261" a="1"/>
  <c r="CF83" i="261" s="1"/>
  <c r="CF84" i="261" a="1"/>
  <c r="CF84" i="261" s="1"/>
  <c r="CF85" i="261" a="1"/>
  <c r="CF85" i="261" s="1"/>
  <c r="CF86" i="261" a="1"/>
  <c r="CF86" i="261" s="1"/>
  <c r="CF87" i="261" a="1"/>
  <c r="CF87" i="261" s="1"/>
  <c r="CF88" i="261" a="1"/>
  <c r="CF88" i="261" s="1"/>
  <c r="CF89" i="261" a="1"/>
  <c r="CF89" i="261" s="1"/>
  <c r="CF90" i="261" a="1"/>
  <c r="CF90" i="261" s="1"/>
  <c r="CF67" i="261" a="1"/>
  <c r="CF67" i="261" s="1"/>
  <c r="D687" i="262" s="1"/>
  <c r="CE68" i="261" a="1"/>
  <c r="CE68" i="261" s="1"/>
  <c r="CE69" i="261" a="1"/>
  <c r="CE69" i="261" s="1"/>
  <c r="CE70" i="261" a="1"/>
  <c r="CE70" i="261" s="1"/>
  <c r="CE71" i="261" a="1"/>
  <c r="CE71" i="261" s="1"/>
  <c r="CE72" i="261" a="1"/>
  <c r="CE72" i="261" s="1"/>
  <c r="CE73" i="261" a="1"/>
  <c r="CE73" i="261" s="1"/>
  <c r="CE74" i="261" a="1"/>
  <c r="CE74" i="261" s="1"/>
  <c r="CE75" i="261" a="1"/>
  <c r="CE75" i="261" s="1"/>
  <c r="CE76" i="261" a="1"/>
  <c r="CE76" i="261" s="1"/>
  <c r="CE77" i="261" a="1"/>
  <c r="CE77" i="261" s="1"/>
  <c r="CE78" i="261" a="1"/>
  <c r="CE78" i="261" s="1"/>
  <c r="CE79" i="261" a="1"/>
  <c r="CE79" i="261" s="1"/>
  <c r="CE80" i="261" a="1"/>
  <c r="CE80" i="261" s="1"/>
  <c r="CE81" i="261" a="1"/>
  <c r="CE81" i="261" s="1"/>
  <c r="CE82" i="261" a="1"/>
  <c r="CE82" i="261" s="1"/>
  <c r="CE83" i="261" a="1"/>
  <c r="CE83" i="261" s="1"/>
  <c r="CE84" i="261" a="1"/>
  <c r="CE84" i="261" s="1"/>
  <c r="CE85" i="261" a="1"/>
  <c r="CE85" i="261" s="1"/>
  <c r="CE86" i="261" a="1"/>
  <c r="CE86" i="261" s="1"/>
  <c r="CE87" i="261" a="1"/>
  <c r="CE87" i="261" s="1"/>
  <c r="CE88" i="261" a="1"/>
  <c r="CE88" i="261" s="1"/>
  <c r="CE89" i="261" a="1"/>
  <c r="CE89" i="261" s="1"/>
  <c r="CE90" i="261" a="1"/>
  <c r="CE90" i="261" s="1"/>
  <c r="CE67" i="261" a="1"/>
  <c r="CE67" i="261" s="1"/>
  <c r="CD68" i="261" a="1"/>
  <c r="CD68" i="261" s="1"/>
  <c r="D671" i="262" s="1"/>
  <c r="CD69" i="261" a="1"/>
  <c r="CD69" i="261" s="1"/>
  <c r="D672" i="262" s="1"/>
  <c r="CD70" i="261" a="1"/>
  <c r="CD70" i="261" s="1"/>
  <c r="D673" i="262" s="1"/>
  <c r="CD71" i="261" a="1"/>
  <c r="CD71" i="261" s="1"/>
  <c r="D674" i="262" s="1"/>
  <c r="CD72" i="261" a="1"/>
  <c r="CD72" i="261" s="1"/>
  <c r="D675" i="262" s="1"/>
  <c r="CD73" i="261" a="1"/>
  <c r="CD73" i="261" s="1"/>
  <c r="D676" i="262" s="1"/>
  <c r="CD74" i="261" a="1"/>
  <c r="CD74" i="261" s="1"/>
  <c r="D677" i="262" s="1"/>
  <c r="CD75" i="261" a="1"/>
  <c r="CD75" i="261" s="1"/>
  <c r="D678" i="262" s="1"/>
  <c r="CD76" i="261" a="1"/>
  <c r="CD76" i="261" s="1"/>
  <c r="D679" i="262" s="1"/>
  <c r="CD77" i="261" a="1"/>
  <c r="CD77" i="261" s="1"/>
  <c r="D680" i="262" s="1"/>
  <c r="CD78" i="261" a="1"/>
  <c r="CD78" i="261" s="1"/>
  <c r="CD79" i="261" a="1"/>
  <c r="CD79" i="261" s="1"/>
  <c r="CD80" i="261" a="1"/>
  <c r="CD80" i="261" s="1"/>
  <c r="CD81" i="261" a="1"/>
  <c r="CD81" i="261" s="1"/>
  <c r="CD82" i="261" a="1"/>
  <c r="CD82" i="261" s="1"/>
  <c r="CD83" i="261" a="1"/>
  <c r="CD83" i="261" s="1"/>
  <c r="CD84" i="261" a="1"/>
  <c r="CD84" i="261" s="1"/>
  <c r="CD85" i="261" a="1"/>
  <c r="CD85" i="261" s="1"/>
  <c r="CD86" i="261" a="1"/>
  <c r="CD86" i="261" s="1"/>
  <c r="CD87" i="261" a="1"/>
  <c r="CD87" i="261" s="1"/>
  <c r="CD88" i="261" a="1"/>
  <c r="CD88" i="261" s="1"/>
  <c r="CD89" i="261" a="1"/>
  <c r="CD89" i="261" s="1"/>
  <c r="CD90" i="261" a="1"/>
  <c r="CD90" i="261" s="1"/>
  <c r="CC68" i="261" a="1"/>
  <c r="CC68" i="261" s="1"/>
  <c r="CC69" i="261" a="1"/>
  <c r="CC69" i="261" s="1"/>
  <c r="CC70" i="261" a="1"/>
  <c r="CC70" i="261" s="1"/>
  <c r="CC71" i="261" a="1"/>
  <c r="CC71" i="261" s="1"/>
  <c r="CC72" i="261" a="1"/>
  <c r="CC72" i="261" s="1"/>
  <c r="CC73" i="261" a="1"/>
  <c r="CC73" i="261" s="1"/>
  <c r="CC74" i="261" a="1"/>
  <c r="CC74" i="261" s="1"/>
  <c r="CC75" i="261" a="1"/>
  <c r="CC75" i="261" s="1"/>
  <c r="CC76" i="261" a="1"/>
  <c r="CC76" i="261" s="1"/>
  <c r="CC77" i="261" a="1"/>
  <c r="CC77" i="261" s="1"/>
  <c r="CC78" i="261" a="1"/>
  <c r="CC78" i="261" s="1"/>
  <c r="CC79" i="261" a="1"/>
  <c r="CC79" i="261" s="1"/>
  <c r="CC80" i="261" a="1"/>
  <c r="CC80" i="261" s="1"/>
  <c r="CC81" i="261" a="1"/>
  <c r="CC81" i="261" s="1"/>
  <c r="CC82" i="261" a="1"/>
  <c r="CC82" i="261" s="1"/>
  <c r="CC83" i="261" a="1"/>
  <c r="CC83" i="261" s="1"/>
  <c r="CC84" i="261" a="1"/>
  <c r="CC84" i="261" s="1"/>
  <c r="CC85" i="261" a="1"/>
  <c r="CC85" i="261" s="1"/>
  <c r="CC86" i="261" a="1"/>
  <c r="CC86" i="261" s="1"/>
  <c r="CC87" i="261" a="1"/>
  <c r="CC87" i="261" s="1"/>
  <c r="CC88" i="261" a="1"/>
  <c r="CC88" i="261" s="1"/>
  <c r="CC89" i="261" a="1"/>
  <c r="CC89" i="261" s="1"/>
  <c r="CC90" i="261" a="1"/>
  <c r="CC90" i="261" s="1"/>
  <c r="CD67" i="261" a="1"/>
  <c r="CD67" i="261" s="1"/>
  <c r="D670" i="262" s="1"/>
  <c r="CC67" i="261" a="1"/>
  <c r="CC67" i="261" s="1"/>
  <c r="CJ90" i="261" a="1"/>
  <c r="CJ90" i="261" s="1"/>
  <c r="CI90" i="261" a="1"/>
  <c r="CI90" i="261" s="1"/>
  <c r="CJ89" i="261" a="1"/>
  <c r="CJ89" i="261" s="1"/>
  <c r="CI89" i="261" a="1"/>
  <c r="CI89" i="261" s="1"/>
  <c r="CJ88" i="261" a="1"/>
  <c r="CJ88" i="261" s="1"/>
  <c r="CI88" i="261" a="1"/>
  <c r="CI88" i="261" s="1"/>
  <c r="CJ87" i="261" a="1"/>
  <c r="CJ87" i="261" s="1"/>
  <c r="CI87" i="261" a="1"/>
  <c r="CI87" i="261" s="1"/>
  <c r="CJ86" i="261" a="1"/>
  <c r="CJ86" i="261" s="1"/>
  <c r="CI86" i="261" a="1"/>
  <c r="CI86" i="261" s="1"/>
  <c r="CJ85" i="261" a="1"/>
  <c r="CJ85" i="261" s="1"/>
  <c r="CI85" i="261" a="1"/>
  <c r="CI85" i="261" s="1"/>
  <c r="CJ84" i="261" a="1"/>
  <c r="CJ84" i="261" s="1"/>
  <c r="CI84" i="261" a="1"/>
  <c r="CI84" i="261" s="1"/>
  <c r="CJ83" i="261" a="1"/>
  <c r="CJ83" i="261" s="1"/>
  <c r="CI83" i="261" a="1"/>
  <c r="CI83" i="261" s="1"/>
  <c r="CJ82" i="261" a="1"/>
  <c r="CJ82" i="261" s="1"/>
  <c r="CI82" i="261" a="1"/>
  <c r="CI82" i="261" s="1"/>
  <c r="CJ81" i="261" a="1"/>
  <c r="CJ81" i="261" s="1"/>
  <c r="CI81" i="261" a="1"/>
  <c r="CI81" i="261" s="1"/>
  <c r="CJ80" i="261" a="1"/>
  <c r="CJ80" i="261" s="1"/>
  <c r="CI80" i="261" a="1"/>
  <c r="CI80" i="261" s="1"/>
  <c r="CJ79" i="261" a="1"/>
  <c r="CJ79" i="261" s="1"/>
  <c r="CI79" i="261" a="1"/>
  <c r="CI79" i="261" s="1"/>
  <c r="CJ78" i="261" a="1"/>
  <c r="CJ78" i="261" s="1"/>
  <c r="CI78" i="261" a="1"/>
  <c r="CI78" i="261" s="1"/>
  <c r="CJ77" i="261" a="1"/>
  <c r="CJ77" i="261" s="1"/>
  <c r="D731" i="262" s="1"/>
  <c r="CI77" i="261" a="1"/>
  <c r="CI77" i="261" s="1"/>
  <c r="CJ76" i="261" a="1"/>
  <c r="CJ76" i="261" s="1"/>
  <c r="D730" i="262" s="1"/>
  <c r="CI76" i="261" a="1"/>
  <c r="CI76" i="261" s="1"/>
  <c r="CJ75" i="261" a="1"/>
  <c r="CJ75" i="261" s="1"/>
  <c r="D729" i="262" s="1"/>
  <c r="CI75" i="261" a="1"/>
  <c r="CI75" i="261" s="1"/>
  <c r="CJ74" i="261" a="1"/>
  <c r="CJ74" i="261" s="1"/>
  <c r="D728" i="262" s="1"/>
  <c r="CI74" i="261" a="1"/>
  <c r="CI74" i="261" s="1"/>
  <c r="CJ73" i="261" a="1"/>
  <c r="CJ73" i="261" s="1"/>
  <c r="D727" i="262" s="1"/>
  <c r="CI73" i="261" a="1"/>
  <c r="CI73" i="261" s="1"/>
  <c r="CJ72" i="261" a="1"/>
  <c r="CJ72" i="261" s="1"/>
  <c r="D726" i="262" s="1"/>
  <c r="CI72" i="261" a="1"/>
  <c r="CI72" i="261" s="1"/>
  <c r="CJ71" i="261" a="1"/>
  <c r="CJ71" i="261" s="1"/>
  <c r="D725" i="262" s="1"/>
  <c r="CI71" i="261" a="1"/>
  <c r="CI71" i="261" s="1"/>
  <c r="CJ70" i="261" a="1"/>
  <c r="CJ70" i="261" s="1"/>
  <c r="D724" i="262" s="1"/>
  <c r="CI70" i="261" a="1"/>
  <c r="CI70" i="261" s="1"/>
  <c r="CJ69" i="261" a="1"/>
  <c r="CJ69" i="261" s="1"/>
  <c r="D723" i="262" s="1"/>
  <c r="CI69" i="261" a="1"/>
  <c r="CI69" i="261" s="1"/>
  <c r="CJ68" i="261" a="1"/>
  <c r="CJ68" i="261" s="1"/>
  <c r="D722" i="262" s="1"/>
  <c r="CI68" i="261" a="1"/>
  <c r="CI68" i="261" s="1"/>
  <c r="CJ67" i="261" a="1"/>
  <c r="CJ67" i="261" s="1"/>
  <c r="D721" i="262" s="1"/>
  <c r="CI67" i="261" a="1"/>
  <c r="CI67" i="261" s="1"/>
  <c r="CB68" i="261" a="1"/>
  <c r="CB68" i="261" s="1"/>
  <c r="D654" i="262" s="1"/>
  <c r="CB69" i="261" a="1"/>
  <c r="CB69" i="261" s="1"/>
  <c r="D655" i="262" s="1"/>
  <c r="CB70" i="261" a="1"/>
  <c r="CB70" i="261" s="1"/>
  <c r="D656" i="262" s="1"/>
  <c r="CB71" i="261" a="1"/>
  <c r="CB71" i="261" s="1"/>
  <c r="D657" i="262" s="1"/>
  <c r="CB72" i="261" a="1"/>
  <c r="CB72" i="261" s="1"/>
  <c r="D658" i="262" s="1"/>
  <c r="CB73" i="261" a="1"/>
  <c r="CB73" i="261" s="1"/>
  <c r="D659" i="262" s="1"/>
  <c r="CB74" i="261" a="1"/>
  <c r="CB74" i="261" s="1"/>
  <c r="D660" i="262" s="1"/>
  <c r="CB75" i="261" a="1"/>
  <c r="CB75" i="261" s="1"/>
  <c r="D661" i="262" s="1"/>
  <c r="CB76" i="261" a="1"/>
  <c r="CB76" i="261" s="1"/>
  <c r="D662" i="262" s="1"/>
  <c r="CB77" i="261" a="1"/>
  <c r="CB77" i="261" s="1"/>
  <c r="D663" i="262" s="1"/>
  <c r="CB78" i="261" a="1"/>
  <c r="CB78" i="261" s="1"/>
  <c r="CB79" i="261" a="1"/>
  <c r="CB79" i="261" s="1"/>
  <c r="CB80" i="261" a="1"/>
  <c r="CB80" i="261" s="1"/>
  <c r="CB81" i="261" a="1"/>
  <c r="CB81" i="261" s="1"/>
  <c r="CB82" i="261" a="1"/>
  <c r="CB82" i="261" s="1"/>
  <c r="CB83" i="261" a="1"/>
  <c r="CB83" i="261" s="1"/>
  <c r="CB84" i="261" a="1"/>
  <c r="CB84" i="261" s="1"/>
  <c r="CB85" i="261" a="1"/>
  <c r="CB85" i="261" s="1"/>
  <c r="CB86" i="261" a="1"/>
  <c r="CB86" i="261" s="1"/>
  <c r="CB87" i="261" a="1"/>
  <c r="CB87" i="261" s="1"/>
  <c r="CB88" i="261" a="1"/>
  <c r="CB88" i="261" s="1"/>
  <c r="CB89" i="261" a="1"/>
  <c r="CB89" i="261" s="1"/>
  <c r="CB90" i="261" a="1"/>
  <c r="CB90" i="261" s="1"/>
  <c r="CB67" i="261" a="1"/>
  <c r="CB67" i="261" s="1"/>
  <c r="D653" i="262" s="1"/>
  <c r="CA68" i="261" a="1"/>
  <c r="CA68" i="261" s="1"/>
  <c r="CA69" i="261" a="1"/>
  <c r="CA69" i="261" s="1"/>
  <c r="CA70" i="261" a="1"/>
  <c r="CA70" i="261" s="1"/>
  <c r="CA71" i="261" a="1"/>
  <c r="CA71" i="261" s="1"/>
  <c r="CA72" i="261" a="1"/>
  <c r="CA72" i="261" s="1"/>
  <c r="CA73" i="261" a="1"/>
  <c r="CA73" i="261" s="1"/>
  <c r="CA74" i="261" a="1"/>
  <c r="CA74" i="261" s="1"/>
  <c r="CA75" i="261" a="1"/>
  <c r="CA75" i="261" s="1"/>
  <c r="CA76" i="261" a="1"/>
  <c r="CA76" i="261" s="1"/>
  <c r="CA77" i="261" a="1"/>
  <c r="CA77" i="261" s="1"/>
  <c r="CA78" i="261" a="1"/>
  <c r="CA78" i="261" s="1"/>
  <c r="CA79" i="261" a="1"/>
  <c r="CA79" i="261" s="1"/>
  <c r="CA80" i="261" a="1"/>
  <c r="CA80" i="261" s="1"/>
  <c r="CA81" i="261" a="1"/>
  <c r="CA81" i="261" s="1"/>
  <c r="CA82" i="261" a="1"/>
  <c r="CA82" i="261" s="1"/>
  <c r="CA83" i="261" a="1"/>
  <c r="CA83" i="261" s="1"/>
  <c r="CA84" i="261" a="1"/>
  <c r="CA84" i="261" s="1"/>
  <c r="CA85" i="261" a="1"/>
  <c r="CA85" i="261" s="1"/>
  <c r="CA86" i="261" a="1"/>
  <c r="CA86" i="261" s="1"/>
  <c r="CA87" i="261" a="1"/>
  <c r="CA87" i="261" s="1"/>
  <c r="CA88" i="261" a="1"/>
  <c r="CA88" i="261" s="1"/>
  <c r="CA89" i="261" a="1"/>
  <c r="CA89" i="261" s="1"/>
  <c r="CA90" i="261" a="1"/>
  <c r="CA90" i="261" s="1"/>
  <c r="CA67" i="261" a="1"/>
  <c r="CA67" i="261" s="1"/>
  <c r="BZ68" i="261" a="1"/>
  <c r="BZ68" i="261" s="1"/>
  <c r="D637" i="262" s="1"/>
  <c r="BZ69" i="261" a="1"/>
  <c r="BZ69" i="261" s="1"/>
  <c r="D638" i="262" s="1"/>
  <c r="BZ70" i="261" a="1"/>
  <c r="BZ70" i="261" s="1"/>
  <c r="D639" i="262" s="1"/>
  <c r="BZ71" i="261" a="1"/>
  <c r="BZ71" i="261" s="1"/>
  <c r="D640" i="262" s="1"/>
  <c r="BZ72" i="261" a="1"/>
  <c r="BZ72" i="261" s="1"/>
  <c r="D641" i="262" s="1"/>
  <c r="BZ73" i="261" a="1"/>
  <c r="BZ73" i="261" s="1"/>
  <c r="D642" i="262" s="1"/>
  <c r="BZ74" i="261" a="1"/>
  <c r="BZ74" i="261" s="1"/>
  <c r="D643" i="262" s="1"/>
  <c r="BZ75" i="261" a="1"/>
  <c r="BZ75" i="261" s="1"/>
  <c r="D644" i="262" s="1"/>
  <c r="BZ76" i="261" a="1"/>
  <c r="BZ76" i="261" s="1"/>
  <c r="D645" i="262" s="1"/>
  <c r="BZ77" i="261" a="1"/>
  <c r="BZ77" i="261" s="1"/>
  <c r="D646" i="262" s="1"/>
  <c r="BZ78" i="261" a="1"/>
  <c r="BZ78" i="261" s="1"/>
  <c r="BZ79" i="261" a="1"/>
  <c r="BZ79" i="261" s="1"/>
  <c r="BZ80" i="261" a="1"/>
  <c r="BZ80" i="261" s="1"/>
  <c r="BZ81" i="261" a="1"/>
  <c r="BZ81" i="261" s="1"/>
  <c r="BZ82" i="261" a="1"/>
  <c r="BZ82" i="261" s="1"/>
  <c r="BZ83" i="261" a="1"/>
  <c r="BZ83" i="261" s="1"/>
  <c r="BZ84" i="261" a="1"/>
  <c r="BZ84" i="261" s="1"/>
  <c r="BZ85" i="261" a="1"/>
  <c r="BZ85" i="261" s="1"/>
  <c r="BZ86" i="261" a="1"/>
  <c r="BZ86" i="261" s="1"/>
  <c r="BZ87" i="261" a="1"/>
  <c r="BZ87" i="261" s="1"/>
  <c r="BZ88" i="261" a="1"/>
  <c r="BZ88" i="261" s="1"/>
  <c r="BZ89" i="261" a="1"/>
  <c r="BZ89" i="261" s="1"/>
  <c r="BZ90" i="261" a="1"/>
  <c r="BZ90" i="261" s="1"/>
  <c r="BZ67" i="261" a="1"/>
  <c r="BZ67" i="261" s="1"/>
  <c r="D636" i="262" s="1"/>
  <c r="BY68" i="261" a="1"/>
  <c r="BY68" i="261" s="1"/>
  <c r="BY69" i="261" a="1"/>
  <c r="BY69" i="261" s="1"/>
  <c r="BY70" i="261" a="1"/>
  <c r="BY70" i="261" s="1"/>
  <c r="BY71" i="261" a="1"/>
  <c r="BY71" i="261" s="1"/>
  <c r="BY72" i="261" a="1"/>
  <c r="BY72" i="261" s="1"/>
  <c r="BY73" i="261" a="1"/>
  <c r="BY73" i="261" s="1"/>
  <c r="BY74" i="261" a="1"/>
  <c r="BY74" i="261" s="1"/>
  <c r="BY75" i="261" a="1"/>
  <c r="BY75" i="261" s="1"/>
  <c r="BY76" i="261" a="1"/>
  <c r="BY76" i="261" s="1"/>
  <c r="BY77" i="261" a="1"/>
  <c r="BY77" i="261" s="1"/>
  <c r="BY78" i="261" a="1"/>
  <c r="BY78" i="261" s="1"/>
  <c r="BY79" i="261" a="1"/>
  <c r="BY79" i="261" s="1"/>
  <c r="BY80" i="261" a="1"/>
  <c r="BY80" i="261" s="1"/>
  <c r="BY81" i="261" a="1"/>
  <c r="BY81" i="261" s="1"/>
  <c r="BY82" i="261" a="1"/>
  <c r="BY82" i="261" s="1"/>
  <c r="BY83" i="261" a="1"/>
  <c r="BY83" i="261" s="1"/>
  <c r="BY84" i="261" a="1"/>
  <c r="BY84" i="261" s="1"/>
  <c r="BY85" i="261" a="1"/>
  <c r="BY85" i="261" s="1"/>
  <c r="BY86" i="261" a="1"/>
  <c r="BY86" i="261" s="1"/>
  <c r="BY87" i="261" a="1"/>
  <c r="BY87" i="261" s="1"/>
  <c r="BY88" i="261" a="1"/>
  <c r="BY88" i="261" s="1"/>
  <c r="BY89" i="261" a="1"/>
  <c r="BY89" i="261" s="1"/>
  <c r="BY90" i="261" a="1"/>
  <c r="BY90" i="261" s="1"/>
  <c r="BY67" i="261" a="1"/>
  <c r="BY67" i="261" s="1"/>
  <c r="BX68" i="261" a="1"/>
  <c r="BX68" i="261" s="1"/>
  <c r="D620" i="262" s="1"/>
  <c r="BX69" i="261" a="1"/>
  <c r="BX69" i="261" s="1"/>
  <c r="D621" i="262" s="1"/>
  <c r="BX70" i="261" a="1"/>
  <c r="BX70" i="261" s="1"/>
  <c r="D622" i="262" s="1"/>
  <c r="BX71" i="261" a="1"/>
  <c r="BX71" i="261" s="1"/>
  <c r="D623" i="262" s="1"/>
  <c r="BX72" i="261" a="1"/>
  <c r="BX72" i="261" s="1"/>
  <c r="D624" i="262" s="1"/>
  <c r="BX73" i="261" a="1"/>
  <c r="BX73" i="261" s="1"/>
  <c r="D625" i="262" s="1"/>
  <c r="BX74" i="261" a="1"/>
  <c r="BX74" i="261" s="1"/>
  <c r="D626" i="262" s="1"/>
  <c r="BX75" i="261" a="1"/>
  <c r="BX75" i="261" s="1"/>
  <c r="D627" i="262" s="1"/>
  <c r="BX76" i="261" a="1"/>
  <c r="BX76" i="261" s="1"/>
  <c r="D628" i="262" s="1"/>
  <c r="BX77" i="261" a="1"/>
  <c r="BX77" i="261" s="1"/>
  <c r="D629" i="262" s="1"/>
  <c r="BX78" i="261" a="1"/>
  <c r="BX78" i="261" s="1"/>
  <c r="BX79" i="261" a="1"/>
  <c r="BX79" i="261" s="1"/>
  <c r="BX80" i="261" a="1"/>
  <c r="BX80" i="261" s="1"/>
  <c r="BX81" i="261" a="1"/>
  <c r="BX81" i="261" s="1"/>
  <c r="BX82" i="261" a="1"/>
  <c r="BX82" i="261" s="1"/>
  <c r="BX83" i="261" a="1"/>
  <c r="BX83" i="261" s="1"/>
  <c r="BX84" i="261" a="1"/>
  <c r="BX84" i="261" s="1"/>
  <c r="BX85" i="261" a="1"/>
  <c r="BX85" i="261" s="1"/>
  <c r="BX86" i="261" a="1"/>
  <c r="BX86" i="261" s="1"/>
  <c r="BX87" i="261" a="1"/>
  <c r="BX87" i="261" s="1"/>
  <c r="BX88" i="261" a="1"/>
  <c r="BX88" i="261" s="1"/>
  <c r="BX89" i="261" a="1"/>
  <c r="BX89" i="261" s="1"/>
  <c r="BX90" i="261" a="1"/>
  <c r="BX90" i="261" s="1"/>
  <c r="BX67" i="261" a="1"/>
  <c r="BX67" i="261" s="1"/>
  <c r="D619" i="262" s="1"/>
  <c r="BW68" i="261" a="1"/>
  <c r="BW68" i="261" s="1"/>
  <c r="BW69" i="261" a="1"/>
  <c r="BW69" i="261" s="1"/>
  <c r="BW70" i="261" a="1"/>
  <c r="BW70" i="261" s="1"/>
  <c r="BW71" i="261" a="1"/>
  <c r="BW71" i="261" s="1"/>
  <c r="BW72" i="261" a="1"/>
  <c r="BW72" i="261" s="1"/>
  <c r="BW73" i="261" a="1"/>
  <c r="BW73" i="261" s="1"/>
  <c r="BW74" i="261" a="1"/>
  <c r="BW74" i="261" s="1"/>
  <c r="BW75" i="261" a="1"/>
  <c r="BW75" i="261" s="1"/>
  <c r="BW76" i="261" a="1"/>
  <c r="BW76" i="261" s="1"/>
  <c r="BW77" i="261" a="1"/>
  <c r="BW77" i="261" s="1"/>
  <c r="BW78" i="261" a="1"/>
  <c r="BW78" i="261" s="1"/>
  <c r="BW79" i="261" a="1"/>
  <c r="BW79" i="261" s="1"/>
  <c r="BW80" i="261" a="1"/>
  <c r="BW80" i="261" s="1"/>
  <c r="BW81" i="261" a="1"/>
  <c r="BW81" i="261" s="1"/>
  <c r="BW82" i="261" a="1"/>
  <c r="BW82" i="261" s="1"/>
  <c r="BW83" i="261" a="1"/>
  <c r="BW83" i="261" s="1"/>
  <c r="BW84" i="261" a="1"/>
  <c r="BW84" i="261" s="1"/>
  <c r="BW85" i="261" a="1"/>
  <c r="BW85" i="261" s="1"/>
  <c r="BW86" i="261" a="1"/>
  <c r="BW86" i="261" s="1"/>
  <c r="BW87" i="261" a="1"/>
  <c r="BW87" i="261" s="1"/>
  <c r="BW88" i="261" a="1"/>
  <c r="BW88" i="261" s="1"/>
  <c r="BW89" i="261" a="1"/>
  <c r="BW89" i="261" s="1"/>
  <c r="BW90" i="261" a="1"/>
  <c r="BW90" i="261" s="1"/>
  <c r="BW67" i="261" a="1"/>
  <c r="BW67" i="261" s="1"/>
  <c r="BV68" i="261" a="1"/>
  <c r="BV68" i="261" s="1"/>
  <c r="D603" i="262" s="1"/>
  <c r="BV69" i="261" a="1"/>
  <c r="BV69" i="261" s="1"/>
  <c r="D604" i="262" s="1"/>
  <c r="BV70" i="261" a="1"/>
  <c r="BV70" i="261" s="1"/>
  <c r="D605" i="262" s="1"/>
  <c r="BV71" i="261" a="1"/>
  <c r="BV71" i="261" s="1"/>
  <c r="D606" i="262" s="1"/>
  <c r="BV72" i="261" a="1"/>
  <c r="BV72" i="261" s="1"/>
  <c r="D607" i="262" s="1"/>
  <c r="BV73" i="261" a="1"/>
  <c r="BV73" i="261" s="1"/>
  <c r="D608" i="262" s="1"/>
  <c r="BV74" i="261" a="1"/>
  <c r="BV74" i="261" s="1"/>
  <c r="D609" i="262" s="1"/>
  <c r="BV75" i="261" a="1"/>
  <c r="BV75" i="261" s="1"/>
  <c r="D610" i="262" s="1"/>
  <c r="BV76" i="261" a="1"/>
  <c r="BV76" i="261" s="1"/>
  <c r="D611" i="262" s="1"/>
  <c r="BV77" i="261" a="1"/>
  <c r="BV77" i="261" s="1"/>
  <c r="D612" i="262" s="1"/>
  <c r="BV78" i="261" a="1"/>
  <c r="BV78" i="261" s="1"/>
  <c r="BV79" i="261" a="1"/>
  <c r="BV79" i="261" s="1"/>
  <c r="BV80" i="261" a="1"/>
  <c r="BV80" i="261" s="1"/>
  <c r="BV81" i="261" a="1"/>
  <c r="BV81" i="261" s="1"/>
  <c r="BV82" i="261" a="1"/>
  <c r="BV82" i="261" s="1"/>
  <c r="BV83" i="261" a="1"/>
  <c r="BV83" i="261" s="1"/>
  <c r="BV84" i="261" a="1"/>
  <c r="BV84" i="261" s="1"/>
  <c r="BV85" i="261" a="1"/>
  <c r="BV85" i="261" s="1"/>
  <c r="BV86" i="261" a="1"/>
  <c r="BV86" i="261" s="1"/>
  <c r="BV87" i="261" a="1"/>
  <c r="BV87" i="261" s="1"/>
  <c r="BV88" i="261" a="1"/>
  <c r="BV88" i="261" s="1"/>
  <c r="BV89" i="261" a="1"/>
  <c r="BV89" i="261" s="1"/>
  <c r="BV90" i="261" a="1"/>
  <c r="BV90" i="261" s="1"/>
  <c r="BV67" i="261" a="1"/>
  <c r="BV67" i="261" s="1"/>
  <c r="D602" i="262" s="1"/>
  <c r="BU68" i="261" a="1"/>
  <c r="BU68" i="261" s="1"/>
  <c r="BU69" i="261" a="1"/>
  <c r="BU69" i="261" s="1"/>
  <c r="BU70" i="261" a="1"/>
  <c r="BU70" i="261" s="1"/>
  <c r="BU71" i="261" a="1"/>
  <c r="BU71" i="261" s="1"/>
  <c r="BU72" i="261" a="1"/>
  <c r="BU72" i="261" s="1"/>
  <c r="BU73" i="261" a="1"/>
  <c r="BU73" i="261" s="1"/>
  <c r="BU74" i="261" a="1"/>
  <c r="BU74" i="261" s="1"/>
  <c r="BU75" i="261" a="1"/>
  <c r="BU75" i="261" s="1"/>
  <c r="BU76" i="261" a="1"/>
  <c r="BU76" i="261" s="1"/>
  <c r="BU77" i="261" a="1"/>
  <c r="BU77" i="261" s="1"/>
  <c r="BU78" i="261" a="1"/>
  <c r="BU78" i="261" s="1"/>
  <c r="BU79" i="261" a="1"/>
  <c r="BU79" i="261" s="1"/>
  <c r="BU80" i="261" a="1"/>
  <c r="BU80" i="261" s="1"/>
  <c r="BU81" i="261" a="1"/>
  <c r="BU81" i="261" s="1"/>
  <c r="BU82" i="261" a="1"/>
  <c r="BU82" i="261" s="1"/>
  <c r="BU83" i="261" a="1"/>
  <c r="BU83" i="261" s="1"/>
  <c r="BU84" i="261" a="1"/>
  <c r="BU84" i="261" s="1"/>
  <c r="BU85" i="261" a="1"/>
  <c r="BU85" i="261" s="1"/>
  <c r="BU86" i="261" a="1"/>
  <c r="BU86" i="261" s="1"/>
  <c r="BU87" i="261" a="1"/>
  <c r="BU87" i="261" s="1"/>
  <c r="BU88" i="261" a="1"/>
  <c r="BU88" i="261" s="1"/>
  <c r="BU89" i="261" a="1"/>
  <c r="BU89" i="261" s="1"/>
  <c r="BU90" i="261" a="1"/>
  <c r="BU90" i="261" s="1"/>
  <c r="BU67" i="261" a="1"/>
  <c r="BU67" i="261" s="1"/>
  <c r="BT68" i="261" a="1"/>
  <c r="BT68" i="261" s="1"/>
  <c r="D586" i="262" s="1"/>
  <c r="BT69" i="261" a="1"/>
  <c r="BT69" i="261" s="1"/>
  <c r="D587" i="262" s="1"/>
  <c r="BT70" i="261" a="1"/>
  <c r="BT70" i="261" s="1"/>
  <c r="D588" i="262" s="1"/>
  <c r="BT71" i="261" a="1"/>
  <c r="BT71" i="261" s="1"/>
  <c r="D589" i="262" s="1"/>
  <c r="BT72" i="261" a="1"/>
  <c r="BT72" i="261" s="1"/>
  <c r="D590" i="262" s="1"/>
  <c r="BT73" i="261" a="1"/>
  <c r="BT73" i="261" s="1"/>
  <c r="D591" i="262" s="1"/>
  <c r="BT74" i="261" a="1"/>
  <c r="BT74" i="261" s="1"/>
  <c r="D592" i="262" s="1"/>
  <c r="BT75" i="261" a="1"/>
  <c r="BT75" i="261" s="1"/>
  <c r="D593" i="262" s="1"/>
  <c r="BT76" i="261" a="1"/>
  <c r="BT76" i="261" s="1"/>
  <c r="D594" i="262" s="1"/>
  <c r="BT77" i="261" a="1"/>
  <c r="BT77" i="261" s="1"/>
  <c r="D595" i="262" s="1"/>
  <c r="BT78" i="261" a="1"/>
  <c r="BT78" i="261" s="1"/>
  <c r="BT79" i="261" a="1"/>
  <c r="BT79" i="261" s="1"/>
  <c r="BT80" i="261" a="1"/>
  <c r="BT80" i="261" s="1"/>
  <c r="BT81" i="261" a="1"/>
  <c r="BT81" i="261" s="1"/>
  <c r="BT82" i="261" a="1"/>
  <c r="BT82" i="261" s="1"/>
  <c r="BT83" i="261" a="1"/>
  <c r="BT83" i="261" s="1"/>
  <c r="BT84" i="261" a="1"/>
  <c r="BT84" i="261" s="1"/>
  <c r="BT85" i="261" a="1"/>
  <c r="BT85" i="261" s="1"/>
  <c r="BT86" i="261" a="1"/>
  <c r="BT86" i="261" s="1"/>
  <c r="BT87" i="261" a="1"/>
  <c r="BT87" i="261" s="1"/>
  <c r="BT88" i="261" a="1"/>
  <c r="BT88" i="261" s="1"/>
  <c r="BT89" i="261" a="1"/>
  <c r="BT89" i="261" s="1"/>
  <c r="BT90" i="261" a="1"/>
  <c r="BT90" i="261" s="1"/>
  <c r="BT67" i="261" a="1"/>
  <c r="BT67" i="261" s="1"/>
  <c r="D585" i="262" s="1"/>
  <c r="BS68" i="261" a="1"/>
  <c r="BS68" i="261" s="1"/>
  <c r="BS69" i="261" a="1"/>
  <c r="BS69" i="261" s="1"/>
  <c r="BS70" i="261" a="1"/>
  <c r="BS70" i="261" s="1"/>
  <c r="BS71" i="261" a="1"/>
  <c r="BS71" i="261" s="1"/>
  <c r="BS72" i="261" a="1"/>
  <c r="BS72" i="261" s="1"/>
  <c r="BS73" i="261" a="1"/>
  <c r="BS73" i="261" s="1"/>
  <c r="BS74" i="261" a="1"/>
  <c r="BS74" i="261" s="1"/>
  <c r="BS75" i="261" a="1"/>
  <c r="BS75" i="261" s="1"/>
  <c r="BS76" i="261" a="1"/>
  <c r="BS76" i="261" s="1"/>
  <c r="BS77" i="261" a="1"/>
  <c r="BS77" i="261" s="1"/>
  <c r="BS78" i="261" a="1"/>
  <c r="BS78" i="261" s="1"/>
  <c r="BS79" i="261" a="1"/>
  <c r="BS79" i="261" s="1"/>
  <c r="BS80" i="261" a="1"/>
  <c r="BS80" i="261" s="1"/>
  <c r="BS81" i="261" a="1"/>
  <c r="BS81" i="261" s="1"/>
  <c r="BS82" i="261" a="1"/>
  <c r="BS82" i="261" s="1"/>
  <c r="BS83" i="261" a="1"/>
  <c r="BS83" i="261" s="1"/>
  <c r="BS84" i="261" a="1"/>
  <c r="BS84" i="261" s="1"/>
  <c r="BS85" i="261" a="1"/>
  <c r="BS85" i="261" s="1"/>
  <c r="BS86" i="261" a="1"/>
  <c r="BS86" i="261" s="1"/>
  <c r="BS87" i="261" a="1"/>
  <c r="BS87" i="261" s="1"/>
  <c r="BS88" i="261" a="1"/>
  <c r="BS88" i="261" s="1"/>
  <c r="BS89" i="261" a="1"/>
  <c r="BS89" i="261" s="1"/>
  <c r="BS90" i="261" a="1"/>
  <c r="BS90" i="261" s="1"/>
  <c r="BS67" i="261" a="1"/>
  <c r="BS67" i="261" s="1"/>
  <c r="V68" i="261" a="1"/>
  <c r="V68" i="261" s="1"/>
  <c r="D161" i="262" s="1"/>
  <c r="V69" i="261" a="1"/>
  <c r="V69" i="261" s="1"/>
  <c r="D162" i="262" s="1"/>
  <c r="V70" i="261" a="1"/>
  <c r="V70" i="261" s="1"/>
  <c r="D163" i="262" s="1"/>
  <c r="V71" i="261" a="1"/>
  <c r="V71" i="261" s="1"/>
  <c r="D164" i="262" s="1"/>
  <c r="V72" i="261" a="1"/>
  <c r="V72" i="261" s="1"/>
  <c r="D165" i="262" s="1"/>
  <c r="V73" i="261" a="1"/>
  <c r="V73" i="261" s="1"/>
  <c r="D166" i="262" s="1"/>
  <c r="V74" i="261" a="1"/>
  <c r="V74" i="261" s="1"/>
  <c r="D167" i="262" s="1"/>
  <c r="V75" i="261" a="1"/>
  <c r="V75" i="261" s="1"/>
  <c r="D168" i="262" s="1"/>
  <c r="V76" i="261" a="1"/>
  <c r="V76" i="261" s="1"/>
  <c r="D169" i="262" s="1"/>
  <c r="V77" i="261" a="1"/>
  <c r="V77" i="261" s="1"/>
  <c r="D170" i="262" s="1"/>
  <c r="V78" i="261" a="1"/>
  <c r="V78" i="261" s="1"/>
  <c r="V79" i="261" a="1"/>
  <c r="V79" i="261" s="1"/>
  <c r="V80" i="261" a="1"/>
  <c r="V80" i="261" s="1"/>
  <c r="V81" i="261" a="1"/>
  <c r="V81" i="261" s="1"/>
  <c r="V82" i="261" a="1"/>
  <c r="V82" i="261" s="1"/>
  <c r="V83" i="261" a="1"/>
  <c r="V83" i="261" s="1"/>
  <c r="V84" i="261" a="1"/>
  <c r="V84" i="261" s="1"/>
  <c r="V85" i="261" a="1"/>
  <c r="V85" i="261" s="1"/>
  <c r="V86" i="261" a="1"/>
  <c r="V86" i="261" s="1"/>
  <c r="V87" i="261" a="1"/>
  <c r="V87" i="261" s="1"/>
  <c r="V88" i="261" a="1"/>
  <c r="V88" i="261" s="1"/>
  <c r="V89" i="261" a="1"/>
  <c r="V89" i="261" s="1"/>
  <c r="V90" i="261" a="1"/>
  <c r="V90" i="261" s="1"/>
  <c r="V67" i="261" a="1"/>
  <c r="V67" i="261" s="1"/>
  <c r="D160" i="262" s="1"/>
  <c r="BR90" i="261" a="1"/>
  <c r="BR90" i="261" s="1"/>
  <c r="BQ90" i="261" a="1"/>
  <c r="BQ90" i="261" s="1"/>
  <c r="BP90" i="261" a="1"/>
  <c r="BP90" i="261" s="1"/>
  <c r="BO90" i="261" a="1"/>
  <c r="BO90" i="261" s="1"/>
  <c r="BN90" i="261" a="1"/>
  <c r="BN90" i="261" s="1"/>
  <c r="BM90" i="261" a="1"/>
  <c r="BM90" i="261" s="1"/>
  <c r="BL90" i="261" a="1"/>
  <c r="BL90" i="261" s="1"/>
  <c r="BK90" i="261" a="1"/>
  <c r="BK90" i="261" s="1"/>
  <c r="BJ90" i="261" a="1"/>
  <c r="BJ90" i="261" s="1"/>
  <c r="BI90" i="261" a="1"/>
  <c r="BI90" i="261" s="1"/>
  <c r="BH90" i="261" a="1"/>
  <c r="BH90" i="261" s="1"/>
  <c r="BG90" i="261" a="1"/>
  <c r="BG90" i="261" s="1"/>
  <c r="BF90" i="261" a="1"/>
  <c r="BF90" i="261" s="1"/>
  <c r="BE90" i="261" a="1"/>
  <c r="BE90" i="261" s="1"/>
  <c r="BD90" i="261" a="1"/>
  <c r="BD90" i="261" s="1"/>
  <c r="BC90" i="261" a="1"/>
  <c r="BC90" i="261" s="1"/>
  <c r="BB90" i="261" a="1"/>
  <c r="BB90" i="261" s="1"/>
  <c r="BA90" i="261" a="1"/>
  <c r="BA90" i="261" s="1"/>
  <c r="AZ90" i="261" a="1"/>
  <c r="AZ90" i="261" s="1"/>
  <c r="AY90" i="261" a="1"/>
  <c r="AY90" i="261" s="1"/>
  <c r="AX90" i="261" a="1"/>
  <c r="AX90" i="261" s="1"/>
  <c r="AW90" i="261" a="1"/>
  <c r="AW90" i="261" s="1"/>
  <c r="AV90" i="261" a="1"/>
  <c r="AV90" i="261" s="1"/>
  <c r="AU90" i="261" a="1"/>
  <c r="AU90" i="261" s="1"/>
  <c r="AT90" i="261" a="1"/>
  <c r="AT90" i="261" s="1"/>
  <c r="AS90" i="261" a="1"/>
  <c r="AS90" i="261" s="1"/>
  <c r="AR90" i="261" a="1"/>
  <c r="AR90" i="261" s="1"/>
  <c r="AQ90" i="261" a="1"/>
  <c r="AQ90" i="261" s="1"/>
  <c r="AP90" i="261" a="1"/>
  <c r="AP90" i="261" s="1"/>
  <c r="AO90" i="261" a="1"/>
  <c r="AO90" i="261" s="1"/>
  <c r="AN90" i="261" a="1"/>
  <c r="AN90" i="261" s="1"/>
  <c r="AM90" i="261" a="1"/>
  <c r="AM90" i="261" s="1"/>
  <c r="AL90" i="261" a="1"/>
  <c r="AL90" i="261" s="1"/>
  <c r="AK90" i="261" a="1"/>
  <c r="AK90" i="261" s="1"/>
  <c r="AJ90" i="261" a="1"/>
  <c r="AJ90" i="261" s="1"/>
  <c r="AI90" i="261" a="1"/>
  <c r="AI90" i="261" s="1"/>
  <c r="AH90" i="261" a="1"/>
  <c r="AH90" i="261" s="1"/>
  <c r="AG90" i="261" a="1"/>
  <c r="AG90" i="261" s="1"/>
  <c r="AF90" i="261" a="1"/>
  <c r="AF90" i="261" s="1"/>
  <c r="AE90" i="261" a="1"/>
  <c r="AE90" i="261" s="1"/>
  <c r="AD90" i="261" a="1"/>
  <c r="AD90" i="261" s="1"/>
  <c r="AC90" i="261" a="1"/>
  <c r="AC90" i="261" s="1"/>
  <c r="AB90" i="261" a="1"/>
  <c r="AB90" i="261" s="1"/>
  <c r="AA90" i="261" a="1"/>
  <c r="AA90" i="261" s="1"/>
  <c r="Z90" i="261" a="1"/>
  <c r="Z90" i="261" s="1"/>
  <c r="Y90" i="261" a="1"/>
  <c r="Y90" i="261" s="1"/>
  <c r="X90" i="261" a="1"/>
  <c r="X90" i="261" s="1"/>
  <c r="W90" i="261" a="1"/>
  <c r="W90" i="261" s="1"/>
  <c r="R90" i="261" a="1"/>
  <c r="R90" i="261" s="1"/>
  <c r="Q90" i="261" a="1"/>
  <c r="Q90" i="261" s="1"/>
  <c r="C90" i="261" a="1"/>
  <c r="C90" i="261" s="1"/>
  <c r="BR89" i="261" a="1"/>
  <c r="BR89" i="261" s="1"/>
  <c r="BQ89" i="261" a="1"/>
  <c r="BQ89" i="261" s="1"/>
  <c r="BP89" i="261" a="1"/>
  <c r="BP89" i="261" s="1"/>
  <c r="BO89" i="261" a="1"/>
  <c r="BO89" i="261" s="1"/>
  <c r="BN89" i="261" a="1"/>
  <c r="BN89" i="261" s="1"/>
  <c r="BM89" i="261" a="1"/>
  <c r="BM89" i="261" s="1"/>
  <c r="BL89" i="261" a="1"/>
  <c r="BL89" i="261" s="1"/>
  <c r="BK89" i="261" a="1"/>
  <c r="BK89" i="261" s="1"/>
  <c r="BJ89" i="261" a="1"/>
  <c r="BJ89" i="261" s="1"/>
  <c r="BI89" i="261" a="1"/>
  <c r="BI89" i="261" s="1"/>
  <c r="BH89" i="261" a="1"/>
  <c r="BH89" i="261" s="1"/>
  <c r="BG89" i="261" a="1"/>
  <c r="BG89" i="261" s="1"/>
  <c r="BF89" i="261" a="1"/>
  <c r="BF89" i="261" s="1"/>
  <c r="BE89" i="261" a="1"/>
  <c r="BE89" i="261" s="1"/>
  <c r="BD89" i="261" a="1"/>
  <c r="BD89" i="261" s="1"/>
  <c r="BC89" i="261" a="1"/>
  <c r="BC89" i="261" s="1"/>
  <c r="BB89" i="261" a="1"/>
  <c r="BB89" i="261" s="1"/>
  <c r="BA89" i="261" a="1"/>
  <c r="BA89" i="261" s="1"/>
  <c r="AZ89" i="261" a="1"/>
  <c r="AZ89" i="261" s="1"/>
  <c r="AY89" i="261" a="1"/>
  <c r="AY89" i="261" s="1"/>
  <c r="AX89" i="261" a="1"/>
  <c r="AX89" i="261" s="1"/>
  <c r="AW89" i="261" a="1"/>
  <c r="AW89" i="261" s="1"/>
  <c r="AV89" i="261" a="1"/>
  <c r="AV89" i="261" s="1"/>
  <c r="AU89" i="261" a="1"/>
  <c r="AU89" i="261" s="1"/>
  <c r="AT89" i="261" a="1"/>
  <c r="AT89" i="261" s="1"/>
  <c r="AS89" i="261" a="1"/>
  <c r="AS89" i="261" s="1"/>
  <c r="AR89" i="261" a="1"/>
  <c r="AR89" i="261" s="1"/>
  <c r="AQ89" i="261" a="1"/>
  <c r="AQ89" i="261" s="1"/>
  <c r="AP89" i="261" a="1"/>
  <c r="AP89" i="261" s="1"/>
  <c r="AO89" i="261" a="1"/>
  <c r="AO89" i="261" s="1"/>
  <c r="AN89" i="261" a="1"/>
  <c r="AN89" i="261" s="1"/>
  <c r="AM89" i="261" a="1"/>
  <c r="AM89" i="261" s="1"/>
  <c r="AL89" i="261" a="1"/>
  <c r="AL89" i="261" s="1"/>
  <c r="AK89" i="261" a="1"/>
  <c r="AK89" i="261" s="1"/>
  <c r="AJ89" i="261" a="1"/>
  <c r="AJ89" i="261" s="1"/>
  <c r="AI89" i="261" a="1"/>
  <c r="AI89" i="261" s="1"/>
  <c r="AH89" i="261" a="1"/>
  <c r="AH89" i="261" s="1"/>
  <c r="AG89" i="261" a="1"/>
  <c r="AG89" i="261" s="1"/>
  <c r="AF89" i="261" a="1"/>
  <c r="AF89" i="261" s="1"/>
  <c r="AE89" i="261" a="1"/>
  <c r="AE89" i="261" s="1"/>
  <c r="AD89" i="261" a="1"/>
  <c r="AD89" i="261" s="1"/>
  <c r="AC89" i="261" a="1"/>
  <c r="AC89" i="261" s="1"/>
  <c r="AB89" i="261" a="1"/>
  <c r="AB89" i="261" s="1"/>
  <c r="AA89" i="261" a="1"/>
  <c r="AA89" i="261" s="1"/>
  <c r="Z89" i="261" a="1"/>
  <c r="Z89" i="261" s="1"/>
  <c r="Y89" i="261" a="1"/>
  <c r="Y89" i="261" s="1"/>
  <c r="X89" i="261" a="1"/>
  <c r="X89" i="261" s="1"/>
  <c r="W89" i="261" a="1"/>
  <c r="W89" i="261" s="1"/>
  <c r="R89" i="261" a="1"/>
  <c r="R89" i="261" s="1"/>
  <c r="Q89" i="261" a="1"/>
  <c r="Q89" i="261" s="1"/>
  <c r="C89" i="261" a="1"/>
  <c r="C89" i="261" s="1"/>
  <c r="BR88" i="261" a="1"/>
  <c r="BR88" i="261" s="1"/>
  <c r="BQ88" i="261" a="1"/>
  <c r="BQ88" i="261" s="1"/>
  <c r="BP88" i="261" a="1"/>
  <c r="BP88" i="261" s="1"/>
  <c r="BO88" i="261" a="1"/>
  <c r="BO88" i="261" s="1"/>
  <c r="BN88" i="261" a="1"/>
  <c r="BN88" i="261" s="1"/>
  <c r="BM88" i="261" a="1"/>
  <c r="BM88" i="261" s="1"/>
  <c r="BL88" i="261" a="1"/>
  <c r="BL88" i="261" s="1"/>
  <c r="BK88" i="261" a="1"/>
  <c r="BK88" i="261" s="1"/>
  <c r="BJ88" i="261" a="1"/>
  <c r="BJ88" i="261" s="1"/>
  <c r="BI88" i="261" a="1"/>
  <c r="BI88" i="261" s="1"/>
  <c r="BH88" i="261" a="1"/>
  <c r="BH88" i="261" s="1"/>
  <c r="BG88" i="261" a="1"/>
  <c r="BG88" i="261" s="1"/>
  <c r="BF88" i="261" a="1"/>
  <c r="BF88" i="261" s="1"/>
  <c r="BE88" i="261" a="1"/>
  <c r="BE88" i="261" s="1"/>
  <c r="BD88" i="261" a="1"/>
  <c r="BD88" i="261" s="1"/>
  <c r="BC88" i="261" a="1"/>
  <c r="BC88" i="261" s="1"/>
  <c r="BB88" i="261" a="1"/>
  <c r="BB88" i="261" s="1"/>
  <c r="BA88" i="261" a="1"/>
  <c r="BA88" i="261" s="1"/>
  <c r="AZ88" i="261" a="1"/>
  <c r="AZ88" i="261" s="1"/>
  <c r="AY88" i="261" a="1"/>
  <c r="AY88" i="261" s="1"/>
  <c r="AX88" i="261" a="1"/>
  <c r="AX88" i="261" s="1"/>
  <c r="AW88" i="261" a="1"/>
  <c r="AW88" i="261" s="1"/>
  <c r="AV88" i="261" a="1"/>
  <c r="AV88" i="261" s="1"/>
  <c r="AU88" i="261" a="1"/>
  <c r="AU88" i="261" s="1"/>
  <c r="AT88" i="261" a="1"/>
  <c r="AT88" i="261" s="1"/>
  <c r="AS88" i="261" a="1"/>
  <c r="AS88" i="261" s="1"/>
  <c r="AR88" i="261" a="1"/>
  <c r="AR88" i="261" s="1"/>
  <c r="AQ88" i="261" a="1"/>
  <c r="AQ88" i="261" s="1"/>
  <c r="AP88" i="261" a="1"/>
  <c r="AP88" i="261" s="1"/>
  <c r="AO88" i="261" a="1"/>
  <c r="AO88" i="261" s="1"/>
  <c r="AN88" i="261" a="1"/>
  <c r="AN88" i="261" s="1"/>
  <c r="AM88" i="261" a="1"/>
  <c r="AM88" i="261" s="1"/>
  <c r="AL88" i="261" a="1"/>
  <c r="AL88" i="261" s="1"/>
  <c r="AK88" i="261" a="1"/>
  <c r="AK88" i="261" s="1"/>
  <c r="AJ88" i="261" a="1"/>
  <c r="AJ88" i="261" s="1"/>
  <c r="AI88" i="261" a="1"/>
  <c r="AI88" i="261" s="1"/>
  <c r="AH88" i="261" a="1"/>
  <c r="AH88" i="261" s="1"/>
  <c r="AG88" i="261" a="1"/>
  <c r="AG88" i="261" s="1"/>
  <c r="AF88" i="261" a="1"/>
  <c r="AF88" i="261" s="1"/>
  <c r="AE88" i="261" a="1"/>
  <c r="AE88" i="261" s="1"/>
  <c r="AD88" i="261" a="1"/>
  <c r="AD88" i="261" s="1"/>
  <c r="AC88" i="261" a="1"/>
  <c r="AC88" i="261" s="1"/>
  <c r="AB88" i="261" a="1"/>
  <c r="AB88" i="261" s="1"/>
  <c r="AA88" i="261" a="1"/>
  <c r="AA88" i="261" s="1"/>
  <c r="Z88" i="261" a="1"/>
  <c r="Z88" i="261" s="1"/>
  <c r="Y88" i="261" a="1"/>
  <c r="Y88" i="261" s="1"/>
  <c r="X88" i="261" a="1"/>
  <c r="X88" i="261" s="1"/>
  <c r="W88" i="261" a="1"/>
  <c r="W88" i="261" s="1"/>
  <c r="R88" i="261" a="1"/>
  <c r="R88" i="261" s="1"/>
  <c r="Q88" i="261" a="1"/>
  <c r="Q88" i="261" s="1"/>
  <c r="C88" i="261" a="1"/>
  <c r="C88" i="261" s="1"/>
  <c r="BR87" i="261" a="1"/>
  <c r="BR87" i="261" s="1"/>
  <c r="BQ87" i="261" a="1"/>
  <c r="BQ87" i="261" s="1"/>
  <c r="BP87" i="261" a="1"/>
  <c r="BP87" i="261" s="1"/>
  <c r="BO87" i="261" a="1"/>
  <c r="BO87" i="261" s="1"/>
  <c r="BN87" i="261" a="1"/>
  <c r="BN87" i="261" s="1"/>
  <c r="BM87" i="261" a="1"/>
  <c r="BM87" i="261" s="1"/>
  <c r="BL87" i="261" a="1"/>
  <c r="BL87" i="261" s="1"/>
  <c r="BK87" i="261" a="1"/>
  <c r="BK87" i="261" s="1"/>
  <c r="BJ87" i="261" a="1"/>
  <c r="BJ87" i="261" s="1"/>
  <c r="BI87" i="261" a="1"/>
  <c r="BI87" i="261" s="1"/>
  <c r="BH87" i="261" a="1"/>
  <c r="BH87" i="261" s="1"/>
  <c r="BG87" i="261" a="1"/>
  <c r="BG87" i="261" s="1"/>
  <c r="BF87" i="261" a="1"/>
  <c r="BF87" i="261" s="1"/>
  <c r="BE87" i="261" a="1"/>
  <c r="BE87" i="261" s="1"/>
  <c r="BD87" i="261" a="1"/>
  <c r="BD87" i="261" s="1"/>
  <c r="BC87" i="261" a="1"/>
  <c r="BC87" i="261" s="1"/>
  <c r="BB87" i="261" a="1"/>
  <c r="BB87" i="261" s="1"/>
  <c r="BA87" i="261" a="1"/>
  <c r="BA87" i="261" s="1"/>
  <c r="AZ87" i="261" a="1"/>
  <c r="AZ87" i="261" s="1"/>
  <c r="AY87" i="261" a="1"/>
  <c r="AY87" i="261" s="1"/>
  <c r="AX87" i="261" a="1"/>
  <c r="AX87" i="261" s="1"/>
  <c r="AW87" i="261" a="1"/>
  <c r="AW87" i="261" s="1"/>
  <c r="AV87" i="261" a="1"/>
  <c r="AV87" i="261" s="1"/>
  <c r="AU87" i="261" a="1"/>
  <c r="AU87" i="261" s="1"/>
  <c r="AT87" i="261" a="1"/>
  <c r="AT87" i="261" s="1"/>
  <c r="AS87" i="261" a="1"/>
  <c r="AS87" i="261" s="1"/>
  <c r="AR87" i="261" a="1"/>
  <c r="AR87" i="261" s="1"/>
  <c r="AQ87" i="261" a="1"/>
  <c r="AQ87" i="261" s="1"/>
  <c r="AP87" i="261" a="1"/>
  <c r="AP87" i="261" s="1"/>
  <c r="AO87" i="261" a="1"/>
  <c r="AO87" i="261" s="1"/>
  <c r="AN87" i="261" a="1"/>
  <c r="AN87" i="261" s="1"/>
  <c r="AM87" i="261" a="1"/>
  <c r="AM87" i="261" s="1"/>
  <c r="AL87" i="261" a="1"/>
  <c r="AL87" i="261" s="1"/>
  <c r="AK87" i="261" a="1"/>
  <c r="AK87" i="261" s="1"/>
  <c r="AJ87" i="261" a="1"/>
  <c r="AJ87" i="261" s="1"/>
  <c r="AI87" i="261" a="1"/>
  <c r="AI87" i="261" s="1"/>
  <c r="AH87" i="261" a="1"/>
  <c r="AH87" i="261" s="1"/>
  <c r="AG87" i="261" a="1"/>
  <c r="AG87" i="261" s="1"/>
  <c r="AF87" i="261" a="1"/>
  <c r="AF87" i="261" s="1"/>
  <c r="AE87" i="261" a="1"/>
  <c r="AE87" i="261" s="1"/>
  <c r="AD87" i="261" a="1"/>
  <c r="AD87" i="261" s="1"/>
  <c r="AC87" i="261" a="1"/>
  <c r="AC87" i="261" s="1"/>
  <c r="AB87" i="261" a="1"/>
  <c r="AB87" i="261" s="1"/>
  <c r="AA87" i="261" a="1"/>
  <c r="AA87" i="261" s="1"/>
  <c r="Z87" i="261" a="1"/>
  <c r="Z87" i="261" s="1"/>
  <c r="Y87" i="261" a="1"/>
  <c r="Y87" i="261" s="1"/>
  <c r="X87" i="261" a="1"/>
  <c r="X87" i="261" s="1"/>
  <c r="W87" i="261" a="1"/>
  <c r="W87" i="261" s="1"/>
  <c r="R87" i="261" a="1"/>
  <c r="R87" i="261" s="1"/>
  <c r="Q87" i="261" a="1"/>
  <c r="Q87" i="261" s="1"/>
  <c r="C87" i="261" a="1"/>
  <c r="C87" i="261" s="1"/>
  <c r="BR86" i="261" a="1"/>
  <c r="BR86" i="261" s="1"/>
  <c r="BQ86" i="261" a="1"/>
  <c r="BQ86" i="261" s="1"/>
  <c r="BP86" i="261" a="1"/>
  <c r="BP86" i="261" s="1"/>
  <c r="BO86" i="261" a="1"/>
  <c r="BO86" i="261" s="1"/>
  <c r="BN86" i="261" a="1"/>
  <c r="BN86" i="261" s="1"/>
  <c r="BM86" i="261" a="1"/>
  <c r="BM86" i="261" s="1"/>
  <c r="BL86" i="261" a="1"/>
  <c r="BL86" i="261" s="1"/>
  <c r="BK86" i="261" a="1"/>
  <c r="BK86" i="261" s="1"/>
  <c r="BJ86" i="261" a="1"/>
  <c r="BJ86" i="261" s="1"/>
  <c r="BI86" i="261" a="1"/>
  <c r="BI86" i="261" s="1"/>
  <c r="BH86" i="261" a="1"/>
  <c r="BH86" i="261" s="1"/>
  <c r="BG86" i="261" a="1"/>
  <c r="BG86" i="261" s="1"/>
  <c r="BF86" i="261" a="1"/>
  <c r="BF86" i="261" s="1"/>
  <c r="BE86" i="261" a="1"/>
  <c r="BE86" i="261" s="1"/>
  <c r="BD86" i="261" a="1"/>
  <c r="BD86" i="261" s="1"/>
  <c r="BC86" i="261" a="1"/>
  <c r="BC86" i="261" s="1"/>
  <c r="BB86" i="261" a="1"/>
  <c r="BB86" i="261" s="1"/>
  <c r="BA86" i="261" a="1"/>
  <c r="BA86" i="261" s="1"/>
  <c r="AZ86" i="261" a="1"/>
  <c r="AZ86" i="261" s="1"/>
  <c r="AY86" i="261" a="1"/>
  <c r="AY86" i="261" s="1"/>
  <c r="AX86" i="261" a="1"/>
  <c r="AX86" i="261" s="1"/>
  <c r="AW86" i="261" a="1"/>
  <c r="AW86" i="261" s="1"/>
  <c r="AV86" i="261" a="1"/>
  <c r="AV86" i="261" s="1"/>
  <c r="AU86" i="261" a="1"/>
  <c r="AU86" i="261" s="1"/>
  <c r="AT86" i="261" a="1"/>
  <c r="AT86" i="261" s="1"/>
  <c r="AS86" i="261" a="1"/>
  <c r="AS86" i="261" s="1"/>
  <c r="AR86" i="261" a="1"/>
  <c r="AR86" i="261" s="1"/>
  <c r="AQ86" i="261" a="1"/>
  <c r="AQ86" i="261" s="1"/>
  <c r="AP86" i="261" a="1"/>
  <c r="AP86" i="261" s="1"/>
  <c r="AO86" i="261" a="1"/>
  <c r="AO86" i="261" s="1"/>
  <c r="AN86" i="261" a="1"/>
  <c r="AN86" i="261" s="1"/>
  <c r="AM86" i="261" a="1"/>
  <c r="AM86" i="261" s="1"/>
  <c r="AL86" i="261" a="1"/>
  <c r="AL86" i="261" s="1"/>
  <c r="AK86" i="261" a="1"/>
  <c r="AK86" i="261" s="1"/>
  <c r="AJ86" i="261" a="1"/>
  <c r="AJ86" i="261" s="1"/>
  <c r="AI86" i="261" a="1"/>
  <c r="AI86" i="261" s="1"/>
  <c r="AH86" i="261" a="1"/>
  <c r="AH86" i="261" s="1"/>
  <c r="AG86" i="261" a="1"/>
  <c r="AG86" i="261" s="1"/>
  <c r="AF86" i="261" a="1"/>
  <c r="AF86" i="261" s="1"/>
  <c r="AE86" i="261" a="1"/>
  <c r="AE86" i="261" s="1"/>
  <c r="AD86" i="261" a="1"/>
  <c r="AD86" i="261" s="1"/>
  <c r="AC86" i="261" a="1"/>
  <c r="AC86" i="261" s="1"/>
  <c r="AB86" i="261" a="1"/>
  <c r="AB86" i="261" s="1"/>
  <c r="AA86" i="261" a="1"/>
  <c r="AA86" i="261" s="1"/>
  <c r="Z86" i="261" a="1"/>
  <c r="Z86" i="261" s="1"/>
  <c r="Y86" i="261" a="1"/>
  <c r="Y86" i="261" s="1"/>
  <c r="X86" i="261" a="1"/>
  <c r="X86" i="261" s="1"/>
  <c r="W86" i="261" a="1"/>
  <c r="W86" i="261" s="1"/>
  <c r="R86" i="261" a="1"/>
  <c r="R86" i="261" s="1"/>
  <c r="Q86" i="261" a="1"/>
  <c r="Q86" i="261" s="1"/>
  <c r="C86" i="261" a="1"/>
  <c r="C86" i="261" s="1"/>
  <c r="BR85" i="261" a="1"/>
  <c r="BR85" i="261" s="1"/>
  <c r="BQ85" i="261" a="1"/>
  <c r="BQ85" i="261" s="1"/>
  <c r="BP85" i="261" a="1"/>
  <c r="BP85" i="261" s="1"/>
  <c r="BO85" i="261" a="1"/>
  <c r="BO85" i="261" s="1"/>
  <c r="BN85" i="261" a="1"/>
  <c r="BN85" i="261" s="1"/>
  <c r="BM85" i="261" a="1"/>
  <c r="BM85" i="261" s="1"/>
  <c r="BL85" i="261" a="1"/>
  <c r="BL85" i="261" s="1"/>
  <c r="BK85" i="261" a="1"/>
  <c r="BK85" i="261" s="1"/>
  <c r="BJ85" i="261" a="1"/>
  <c r="BJ85" i="261" s="1"/>
  <c r="BI85" i="261" a="1"/>
  <c r="BI85" i="261" s="1"/>
  <c r="BH85" i="261" a="1"/>
  <c r="BH85" i="261" s="1"/>
  <c r="BG85" i="261" a="1"/>
  <c r="BG85" i="261" s="1"/>
  <c r="BF85" i="261" a="1"/>
  <c r="BF85" i="261" s="1"/>
  <c r="BE85" i="261" a="1"/>
  <c r="BE85" i="261" s="1"/>
  <c r="BD85" i="261" a="1"/>
  <c r="BD85" i="261" s="1"/>
  <c r="BC85" i="261" a="1"/>
  <c r="BC85" i="261" s="1"/>
  <c r="BB85" i="261" a="1"/>
  <c r="BB85" i="261" s="1"/>
  <c r="BA85" i="261" a="1"/>
  <c r="BA85" i="261" s="1"/>
  <c r="AZ85" i="261" a="1"/>
  <c r="AZ85" i="261" s="1"/>
  <c r="AY85" i="261" a="1"/>
  <c r="AY85" i="261" s="1"/>
  <c r="AX85" i="261" a="1"/>
  <c r="AX85" i="261" s="1"/>
  <c r="AW85" i="261" a="1"/>
  <c r="AW85" i="261" s="1"/>
  <c r="AV85" i="261" a="1"/>
  <c r="AV85" i="261" s="1"/>
  <c r="AU85" i="261" a="1"/>
  <c r="AU85" i="261" s="1"/>
  <c r="AT85" i="261" a="1"/>
  <c r="AT85" i="261" s="1"/>
  <c r="AS85" i="261" a="1"/>
  <c r="AS85" i="261" s="1"/>
  <c r="AR85" i="261" a="1"/>
  <c r="AR85" i="261" s="1"/>
  <c r="AQ85" i="261" a="1"/>
  <c r="AQ85" i="261" s="1"/>
  <c r="AP85" i="261" a="1"/>
  <c r="AP85" i="261" s="1"/>
  <c r="AO85" i="261" a="1"/>
  <c r="AO85" i="261" s="1"/>
  <c r="AN85" i="261" a="1"/>
  <c r="AN85" i="261" s="1"/>
  <c r="AM85" i="261" a="1"/>
  <c r="AM85" i="261" s="1"/>
  <c r="AL85" i="261" a="1"/>
  <c r="AL85" i="261" s="1"/>
  <c r="AK85" i="261" a="1"/>
  <c r="AK85" i="261" s="1"/>
  <c r="AJ85" i="261" a="1"/>
  <c r="AJ85" i="261" s="1"/>
  <c r="AI85" i="261" a="1"/>
  <c r="AI85" i="261" s="1"/>
  <c r="AH85" i="261" a="1"/>
  <c r="AH85" i="261" s="1"/>
  <c r="AG85" i="261" a="1"/>
  <c r="AG85" i="261" s="1"/>
  <c r="AF85" i="261" a="1"/>
  <c r="AF85" i="261" s="1"/>
  <c r="AE85" i="261" a="1"/>
  <c r="AE85" i="261" s="1"/>
  <c r="AD85" i="261" a="1"/>
  <c r="AD85" i="261" s="1"/>
  <c r="AC85" i="261" a="1"/>
  <c r="AC85" i="261" s="1"/>
  <c r="AB85" i="261" a="1"/>
  <c r="AB85" i="261" s="1"/>
  <c r="AA85" i="261" a="1"/>
  <c r="AA85" i="261" s="1"/>
  <c r="Z85" i="261" a="1"/>
  <c r="Z85" i="261" s="1"/>
  <c r="Y85" i="261" a="1"/>
  <c r="Y85" i="261" s="1"/>
  <c r="X85" i="261" a="1"/>
  <c r="X85" i="261" s="1"/>
  <c r="W85" i="261" a="1"/>
  <c r="W85" i="261" s="1"/>
  <c r="R85" i="261" a="1"/>
  <c r="R85" i="261" s="1"/>
  <c r="Q85" i="261" a="1"/>
  <c r="Q85" i="261" s="1"/>
  <c r="C85" i="261" a="1"/>
  <c r="C85" i="261" s="1"/>
  <c r="BR84" i="261" a="1"/>
  <c r="BR84" i="261" s="1"/>
  <c r="BQ84" i="261" a="1"/>
  <c r="BQ84" i="261" s="1"/>
  <c r="BP84" i="261" a="1"/>
  <c r="BP84" i="261" s="1"/>
  <c r="BO84" i="261" a="1"/>
  <c r="BO84" i="261" s="1"/>
  <c r="BN84" i="261" a="1"/>
  <c r="BN84" i="261" s="1"/>
  <c r="BM84" i="261" a="1"/>
  <c r="BM84" i="261" s="1"/>
  <c r="BL84" i="261" a="1"/>
  <c r="BL84" i="261" s="1"/>
  <c r="BK84" i="261" a="1"/>
  <c r="BK84" i="261" s="1"/>
  <c r="BJ84" i="261" a="1"/>
  <c r="BJ84" i="261" s="1"/>
  <c r="BI84" i="261" a="1"/>
  <c r="BI84" i="261" s="1"/>
  <c r="BH84" i="261" a="1"/>
  <c r="BH84" i="261" s="1"/>
  <c r="BG84" i="261" a="1"/>
  <c r="BG84" i="261" s="1"/>
  <c r="BF84" i="261" a="1"/>
  <c r="BF84" i="261" s="1"/>
  <c r="BE84" i="261" a="1"/>
  <c r="BE84" i="261" s="1"/>
  <c r="BD84" i="261" a="1"/>
  <c r="BD84" i="261" s="1"/>
  <c r="BC84" i="261" a="1"/>
  <c r="BC84" i="261" s="1"/>
  <c r="BB84" i="261" a="1"/>
  <c r="BB84" i="261" s="1"/>
  <c r="BA84" i="261" a="1"/>
  <c r="BA84" i="261" s="1"/>
  <c r="AZ84" i="261" a="1"/>
  <c r="AZ84" i="261" s="1"/>
  <c r="AY84" i="261" a="1"/>
  <c r="AY84" i="261" s="1"/>
  <c r="AX84" i="261" a="1"/>
  <c r="AX84" i="261" s="1"/>
  <c r="AW84" i="261" a="1"/>
  <c r="AW84" i="261" s="1"/>
  <c r="AV84" i="261" a="1"/>
  <c r="AV84" i="261" s="1"/>
  <c r="AU84" i="261" a="1"/>
  <c r="AU84" i="261" s="1"/>
  <c r="AT84" i="261" a="1"/>
  <c r="AT84" i="261" s="1"/>
  <c r="AS84" i="261" a="1"/>
  <c r="AS84" i="261" s="1"/>
  <c r="AR84" i="261" a="1"/>
  <c r="AR84" i="261" s="1"/>
  <c r="AQ84" i="261" a="1"/>
  <c r="AQ84" i="261" s="1"/>
  <c r="AP84" i="261" a="1"/>
  <c r="AP84" i="261" s="1"/>
  <c r="AO84" i="261" a="1"/>
  <c r="AO84" i="261" s="1"/>
  <c r="AN84" i="261" a="1"/>
  <c r="AN84" i="261" s="1"/>
  <c r="AM84" i="261" a="1"/>
  <c r="AM84" i="261" s="1"/>
  <c r="AL84" i="261" a="1"/>
  <c r="AL84" i="261" s="1"/>
  <c r="AK84" i="261" a="1"/>
  <c r="AK84" i="261" s="1"/>
  <c r="AJ84" i="261" a="1"/>
  <c r="AJ84" i="261" s="1"/>
  <c r="AI84" i="261" a="1"/>
  <c r="AI84" i="261" s="1"/>
  <c r="AH84" i="261" a="1"/>
  <c r="AH84" i="261" s="1"/>
  <c r="AG84" i="261" a="1"/>
  <c r="AG84" i="261" s="1"/>
  <c r="AF84" i="261" a="1"/>
  <c r="AF84" i="261" s="1"/>
  <c r="AE84" i="261" a="1"/>
  <c r="AE84" i="261" s="1"/>
  <c r="AD84" i="261" a="1"/>
  <c r="AD84" i="261" s="1"/>
  <c r="AC84" i="261" a="1"/>
  <c r="AC84" i="261" s="1"/>
  <c r="AB84" i="261" a="1"/>
  <c r="AB84" i="261" s="1"/>
  <c r="AA84" i="261" a="1"/>
  <c r="AA84" i="261" s="1"/>
  <c r="Z84" i="261" a="1"/>
  <c r="Z84" i="261" s="1"/>
  <c r="Y84" i="261" a="1"/>
  <c r="Y84" i="261" s="1"/>
  <c r="X84" i="261" a="1"/>
  <c r="X84" i="261" s="1"/>
  <c r="W84" i="261" a="1"/>
  <c r="W84" i="261" s="1"/>
  <c r="R84" i="261" a="1"/>
  <c r="R84" i="261" s="1"/>
  <c r="Q84" i="261" a="1"/>
  <c r="Q84" i="261" s="1"/>
  <c r="C84" i="261" a="1"/>
  <c r="C84" i="261" s="1"/>
  <c r="BR83" i="261" a="1"/>
  <c r="BR83" i="261" s="1"/>
  <c r="BQ83" i="261" a="1"/>
  <c r="BQ83" i="261" s="1"/>
  <c r="BP83" i="261" a="1"/>
  <c r="BP83" i="261" s="1"/>
  <c r="BO83" i="261" a="1"/>
  <c r="BO83" i="261" s="1"/>
  <c r="BN83" i="261" a="1"/>
  <c r="BN83" i="261" s="1"/>
  <c r="BM83" i="261" a="1"/>
  <c r="BM83" i="261" s="1"/>
  <c r="BL83" i="261" a="1"/>
  <c r="BL83" i="261" s="1"/>
  <c r="BK83" i="261" a="1"/>
  <c r="BK83" i="261" s="1"/>
  <c r="BJ83" i="261" a="1"/>
  <c r="BJ83" i="261" s="1"/>
  <c r="BI83" i="261" a="1"/>
  <c r="BI83" i="261" s="1"/>
  <c r="BH83" i="261" a="1"/>
  <c r="BH83" i="261" s="1"/>
  <c r="BG83" i="261" a="1"/>
  <c r="BG83" i="261" s="1"/>
  <c r="BF83" i="261" a="1"/>
  <c r="BF83" i="261" s="1"/>
  <c r="BE83" i="261" a="1"/>
  <c r="BE83" i="261" s="1"/>
  <c r="BD83" i="261" a="1"/>
  <c r="BD83" i="261" s="1"/>
  <c r="BC83" i="261" a="1"/>
  <c r="BC83" i="261" s="1"/>
  <c r="BB83" i="261" a="1"/>
  <c r="BB83" i="261" s="1"/>
  <c r="BA83" i="261" a="1"/>
  <c r="BA83" i="261" s="1"/>
  <c r="AZ83" i="261" a="1"/>
  <c r="AZ83" i="261" s="1"/>
  <c r="AY83" i="261" a="1"/>
  <c r="AY83" i="261" s="1"/>
  <c r="AX83" i="261" a="1"/>
  <c r="AX83" i="261" s="1"/>
  <c r="AW83" i="261" a="1"/>
  <c r="AW83" i="261" s="1"/>
  <c r="AV83" i="261" a="1"/>
  <c r="AV83" i="261" s="1"/>
  <c r="AU83" i="261" a="1"/>
  <c r="AU83" i="261" s="1"/>
  <c r="AT83" i="261" a="1"/>
  <c r="AT83" i="261" s="1"/>
  <c r="AS83" i="261" a="1"/>
  <c r="AS83" i="261" s="1"/>
  <c r="AR83" i="261" a="1"/>
  <c r="AR83" i="261" s="1"/>
  <c r="AQ83" i="261" a="1"/>
  <c r="AQ83" i="261" s="1"/>
  <c r="AP83" i="261" a="1"/>
  <c r="AP83" i="261" s="1"/>
  <c r="AO83" i="261" a="1"/>
  <c r="AO83" i="261" s="1"/>
  <c r="AN83" i="261" a="1"/>
  <c r="AN83" i="261" s="1"/>
  <c r="AM83" i="261" a="1"/>
  <c r="AM83" i="261" s="1"/>
  <c r="AL83" i="261" a="1"/>
  <c r="AL83" i="261" s="1"/>
  <c r="AK83" i="261" a="1"/>
  <c r="AK83" i="261" s="1"/>
  <c r="AJ83" i="261" a="1"/>
  <c r="AJ83" i="261" s="1"/>
  <c r="AI83" i="261" a="1"/>
  <c r="AI83" i="261" s="1"/>
  <c r="AH83" i="261" a="1"/>
  <c r="AH83" i="261" s="1"/>
  <c r="AG83" i="261" a="1"/>
  <c r="AG83" i="261" s="1"/>
  <c r="AF83" i="261" a="1"/>
  <c r="AF83" i="261" s="1"/>
  <c r="AE83" i="261" a="1"/>
  <c r="AE83" i="261" s="1"/>
  <c r="AD83" i="261" a="1"/>
  <c r="AD83" i="261" s="1"/>
  <c r="AC83" i="261" a="1"/>
  <c r="AC83" i="261" s="1"/>
  <c r="AB83" i="261" a="1"/>
  <c r="AB83" i="261" s="1"/>
  <c r="AA83" i="261" a="1"/>
  <c r="AA83" i="261" s="1"/>
  <c r="Z83" i="261" a="1"/>
  <c r="Z83" i="261" s="1"/>
  <c r="Y83" i="261" a="1"/>
  <c r="Y83" i="261" s="1"/>
  <c r="X83" i="261" a="1"/>
  <c r="X83" i="261" s="1"/>
  <c r="W83" i="261" a="1"/>
  <c r="W83" i="261" s="1"/>
  <c r="R83" i="261" a="1"/>
  <c r="R83" i="261" s="1"/>
  <c r="Q83" i="261" a="1"/>
  <c r="Q83" i="261" s="1"/>
  <c r="C83" i="261" a="1"/>
  <c r="C83" i="261" s="1"/>
  <c r="BR82" i="261" a="1"/>
  <c r="BR82" i="261" s="1"/>
  <c r="BQ82" i="261" a="1"/>
  <c r="BQ82" i="261" s="1"/>
  <c r="BP82" i="261" a="1"/>
  <c r="BP82" i="261" s="1"/>
  <c r="BO82" i="261" a="1"/>
  <c r="BO82" i="261" s="1"/>
  <c r="BN82" i="261" a="1"/>
  <c r="BN82" i="261" s="1"/>
  <c r="BM82" i="261" a="1"/>
  <c r="BM82" i="261" s="1"/>
  <c r="BL82" i="261" a="1"/>
  <c r="BL82" i="261" s="1"/>
  <c r="BK82" i="261" a="1"/>
  <c r="BK82" i="261" s="1"/>
  <c r="BJ82" i="261" a="1"/>
  <c r="BJ82" i="261" s="1"/>
  <c r="BI82" i="261" a="1"/>
  <c r="BI82" i="261" s="1"/>
  <c r="BH82" i="261" a="1"/>
  <c r="BH82" i="261" s="1"/>
  <c r="BG82" i="261" a="1"/>
  <c r="BG82" i="261" s="1"/>
  <c r="BF82" i="261" a="1"/>
  <c r="BF82" i="261" s="1"/>
  <c r="BE82" i="261" a="1"/>
  <c r="BE82" i="261" s="1"/>
  <c r="BD82" i="261" a="1"/>
  <c r="BD82" i="261" s="1"/>
  <c r="BC82" i="261" a="1"/>
  <c r="BC82" i="261" s="1"/>
  <c r="BB82" i="261" a="1"/>
  <c r="BB82" i="261" s="1"/>
  <c r="BA82" i="261" a="1"/>
  <c r="BA82" i="261" s="1"/>
  <c r="AZ82" i="261" a="1"/>
  <c r="AZ82" i="261" s="1"/>
  <c r="AY82" i="261" a="1"/>
  <c r="AY82" i="261" s="1"/>
  <c r="AX82" i="261" a="1"/>
  <c r="AX82" i="261" s="1"/>
  <c r="AW82" i="261" a="1"/>
  <c r="AW82" i="261" s="1"/>
  <c r="AV82" i="261" a="1"/>
  <c r="AV82" i="261" s="1"/>
  <c r="AU82" i="261" a="1"/>
  <c r="AU82" i="261" s="1"/>
  <c r="AT82" i="261" a="1"/>
  <c r="AT82" i="261" s="1"/>
  <c r="AS82" i="261" a="1"/>
  <c r="AS82" i="261" s="1"/>
  <c r="AR82" i="261" a="1"/>
  <c r="AR82" i="261" s="1"/>
  <c r="AQ82" i="261" a="1"/>
  <c r="AQ82" i="261" s="1"/>
  <c r="AP82" i="261" a="1"/>
  <c r="AP82" i="261" s="1"/>
  <c r="AO82" i="261" a="1"/>
  <c r="AO82" i="261" s="1"/>
  <c r="AN82" i="261" a="1"/>
  <c r="AN82" i="261" s="1"/>
  <c r="AM82" i="261" a="1"/>
  <c r="AM82" i="261" s="1"/>
  <c r="AL82" i="261" a="1"/>
  <c r="AL82" i="261" s="1"/>
  <c r="AK82" i="261" a="1"/>
  <c r="AK82" i="261" s="1"/>
  <c r="AJ82" i="261" a="1"/>
  <c r="AJ82" i="261" s="1"/>
  <c r="AI82" i="261" a="1"/>
  <c r="AI82" i="261" s="1"/>
  <c r="AH82" i="261" a="1"/>
  <c r="AH82" i="261" s="1"/>
  <c r="AG82" i="261" a="1"/>
  <c r="AG82" i="261" s="1"/>
  <c r="AF82" i="261" a="1"/>
  <c r="AF82" i="261" s="1"/>
  <c r="AE82" i="261" a="1"/>
  <c r="AE82" i="261" s="1"/>
  <c r="AD82" i="261" a="1"/>
  <c r="AD82" i="261" s="1"/>
  <c r="AC82" i="261" a="1"/>
  <c r="AC82" i="261" s="1"/>
  <c r="AB82" i="261" a="1"/>
  <c r="AB82" i="261" s="1"/>
  <c r="AA82" i="261" a="1"/>
  <c r="AA82" i="261" s="1"/>
  <c r="Z82" i="261" a="1"/>
  <c r="Z82" i="261" s="1"/>
  <c r="Y82" i="261" a="1"/>
  <c r="Y82" i="261" s="1"/>
  <c r="X82" i="261" a="1"/>
  <c r="X82" i="261" s="1"/>
  <c r="W82" i="261" a="1"/>
  <c r="W82" i="261" s="1"/>
  <c r="R82" i="261" a="1"/>
  <c r="R82" i="261" s="1"/>
  <c r="Q82" i="261" a="1"/>
  <c r="Q82" i="261" s="1"/>
  <c r="C82" i="261" a="1"/>
  <c r="C82" i="261" s="1"/>
  <c r="BR81" i="261" a="1"/>
  <c r="BR81" i="261" s="1"/>
  <c r="BQ81" i="261" a="1"/>
  <c r="BQ81" i="261" s="1"/>
  <c r="BP81" i="261" a="1"/>
  <c r="BP81" i="261" s="1"/>
  <c r="BO81" i="261" a="1"/>
  <c r="BO81" i="261" s="1"/>
  <c r="BN81" i="261" a="1"/>
  <c r="BN81" i="261" s="1"/>
  <c r="BM81" i="261" a="1"/>
  <c r="BM81" i="261" s="1"/>
  <c r="BL81" i="261" a="1"/>
  <c r="BL81" i="261" s="1"/>
  <c r="BK81" i="261" a="1"/>
  <c r="BK81" i="261" s="1"/>
  <c r="BJ81" i="261" a="1"/>
  <c r="BJ81" i="261" s="1"/>
  <c r="BI81" i="261" a="1"/>
  <c r="BI81" i="261" s="1"/>
  <c r="BH81" i="261" a="1"/>
  <c r="BH81" i="261" s="1"/>
  <c r="BG81" i="261" a="1"/>
  <c r="BG81" i="261" s="1"/>
  <c r="BF81" i="261" a="1"/>
  <c r="BF81" i="261" s="1"/>
  <c r="BE81" i="261" a="1"/>
  <c r="BE81" i="261" s="1"/>
  <c r="BD81" i="261" a="1"/>
  <c r="BD81" i="261" s="1"/>
  <c r="BC81" i="261" a="1"/>
  <c r="BC81" i="261" s="1"/>
  <c r="BB81" i="261" a="1"/>
  <c r="BB81" i="261" s="1"/>
  <c r="BA81" i="261" a="1"/>
  <c r="BA81" i="261" s="1"/>
  <c r="AZ81" i="261" a="1"/>
  <c r="AZ81" i="261" s="1"/>
  <c r="AY81" i="261" a="1"/>
  <c r="AY81" i="261" s="1"/>
  <c r="AX81" i="261" a="1"/>
  <c r="AX81" i="261" s="1"/>
  <c r="AW81" i="261" a="1"/>
  <c r="AW81" i="261" s="1"/>
  <c r="AV81" i="261" a="1"/>
  <c r="AV81" i="261" s="1"/>
  <c r="AU81" i="261" a="1"/>
  <c r="AU81" i="261" s="1"/>
  <c r="AT81" i="261" a="1"/>
  <c r="AT81" i="261" s="1"/>
  <c r="AS81" i="261" a="1"/>
  <c r="AS81" i="261" s="1"/>
  <c r="AR81" i="261" a="1"/>
  <c r="AR81" i="261" s="1"/>
  <c r="AQ81" i="261" a="1"/>
  <c r="AQ81" i="261" s="1"/>
  <c r="AP81" i="261" a="1"/>
  <c r="AP81" i="261" s="1"/>
  <c r="AO81" i="261" a="1"/>
  <c r="AO81" i="261" s="1"/>
  <c r="AN81" i="261" a="1"/>
  <c r="AN81" i="261" s="1"/>
  <c r="AM81" i="261" a="1"/>
  <c r="AM81" i="261" s="1"/>
  <c r="AL81" i="261" a="1"/>
  <c r="AL81" i="261" s="1"/>
  <c r="AK81" i="261" a="1"/>
  <c r="AK81" i="261" s="1"/>
  <c r="AJ81" i="261" a="1"/>
  <c r="AJ81" i="261" s="1"/>
  <c r="AI81" i="261" a="1"/>
  <c r="AI81" i="261" s="1"/>
  <c r="AH81" i="261" a="1"/>
  <c r="AH81" i="261" s="1"/>
  <c r="AG81" i="261" a="1"/>
  <c r="AG81" i="261" s="1"/>
  <c r="AF81" i="261" a="1"/>
  <c r="AF81" i="261" s="1"/>
  <c r="AE81" i="261" a="1"/>
  <c r="AE81" i="261" s="1"/>
  <c r="AD81" i="261" a="1"/>
  <c r="AD81" i="261" s="1"/>
  <c r="AC81" i="261" a="1"/>
  <c r="AC81" i="261" s="1"/>
  <c r="AB81" i="261" a="1"/>
  <c r="AB81" i="261" s="1"/>
  <c r="AA81" i="261" a="1"/>
  <c r="AA81" i="261" s="1"/>
  <c r="Z81" i="261" a="1"/>
  <c r="Z81" i="261" s="1"/>
  <c r="Y81" i="261" a="1"/>
  <c r="Y81" i="261" s="1"/>
  <c r="X81" i="261" a="1"/>
  <c r="X81" i="261" s="1"/>
  <c r="W81" i="261" a="1"/>
  <c r="W81" i="261" s="1"/>
  <c r="R81" i="261" a="1"/>
  <c r="R81" i="261" s="1"/>
  <c r="Q81" i="261" a="1"/>
  <c r="Q81" i="261" s="1"/>
  <c r="C81" i="261" a="1"/>
  <c r="C81" i="261" s="1"/>
  <c r="BR80" i="261" a="1"/>
  <c r="BR80" i="261" s="1"/>
  <c r="BQ80" i="261" a="1"/>
  <c r="BQ80" i="261" s="1"/>
  <c r="BP80" i="261" a="1"/>
  <c r="BP80" i="261" s="1"/>
  <c r="BO80" i="261" a="1"/>
  <c r="BO80" i="261" s="1"/>
  <c r="BN80" i="261" a="1"/>
  <c r="BN80" i="261" s="1"/>
  <c r="BM80" i="261" a="1"/>
  <c r="BM80" i="261" s="1"/>
  <c r="BL80" i="261" a="1"/>
  <c r="BL80" i="261" s="1"/>
  <c r="BK80" i="261" a="1"/>
  <c r="BK80" i="261" s="1"/>
  <c r="BJ80" i="261" a="1"/>
  <c r="BJ80" i="261" s="1"/>
  <c r="BI80" i="261" a="1"/>
  <c r="BI80" i="261" s="1"/>
  <c r="BH80" i="261" a="1"/>
  <c r="BH80" i="261" s="1"/>
  <c r="BG80" i="261" a="1"/>
  <c r="BG80" i="261" s="1"/>
  <c r="BF80" i="261" a="1"/>
  <c r="BF80" i="261" s="1"/>
  <c r="BE80" i="261" a="1"/>
  <c r="BE80" i="261" s="1"/>
  <c r="BD80" i="261" a="1"/>
  <c r="BD80" i="261" s="1"/>
  <c r="BC80" i="261" a="1"/>
  <c r="BC80" i="261" s="1"/>
  <c r="BB80" i="261" a="1"/>
  <c r="BB80" i="261" s="1"/>
  <c r="BA80" i="261" a="1"/>
  <c r="BA80" i="261" s="1"/>
  <c r="AZ80" i="261" a="1"/>
  <c r="AZ80" i="261" s="1"/>
  <c r="AY80" i="261" a="1"/>
  <c r="AY80" i="261" s="1"/>
  <c r="AX80" i="261" a="1"/>
  <c r="AX80" i="261" s="1"/>
  <c r="AW80" i="261" a="1"/>
  <c r="AW80" i="261" s="1"/>
  <c r="AV80" i="261" a="1"/>
  <c r="AV80" i="261" s="1"/>
  <c r="AU80" i="261" a="1"/>
  <c r="AU80" i="261" s="1"/>
  <c r="AT80" i="261" a="1"/>
  <c r="AT80" i="261" s="1"/>
  <c r="AS80" i="261" a="1"/>
  <c r="AS80" i="261" s="1"/>
  <c r="AR80" i="261" a="1"/>
  <c r="AR80" i="261" s="1"/>
  <c r="AQ80" i="261" a="1"/>
  <c r="AQ80" i="261" s="1"/>
  <c r="AP80" i="261" a="1"/>
  <c r="AP80" i="261" s="1"/>
  <c r="AO80" i="261" a="1"/>
  <c r="AO80" i="261" s="1"/>
  <c r="AN80" i="261" a="1"/>
  <c r="AN80" i="261" s="1"/>
  <c r="AM80" i="261" a="1"/>
  <c r="AM80" i="261" s="1"/>
  <c r="AL80" i="261" a="1"/>
  <c r="AL80" i="261" s="1"/>
  <c r="AK80" i="261" a="1"/>
  <c r="AK80" i="261" s="1"/>
  <c r="AJ80" i="261" a="1"/>
  <c r="AJ80" i="261" s="1"/>
  <c r="AI80" i="261" a="1"/>
  <c r="AI80" i="261" s="1"/>
  <c r="AH80" i="261" a="1"/>
  <c r="AH80" i="261" s="1"/>
  <c r="AG80" i="261" a="1"/>
  <c r="AG80" i="261" s="1"/>
  <c r="AF80" i="261" a="1"/>
  <c r="AF80" i="261" s="1"/>
  <c r="AE80" i="261" a="1"/>
  <c r="AE80" i="261" s="1"/>
  <c r="AD80" i="261" a="1"/>
  <c r="AD80" i="261" s="1"/>
  <c r="AC80" i="261" a="1"/>
  <c r="AC80" i="261" s="1"/>
  <c r="AB80" i="261" a="1"/>
  <c r="AB80" i="261" s="1"/>
  <c r="AA80" i="261" a="1"/>
  <c r="AA80" i="261" s="1"/>
  <c r="Z80" i="261" a="1"/>
  <c r="Z80" i="261" s="1"/>
  <c r="Y80" i="261" a="1"/>
  <c r="Y80" i="261" s="1"/>
  <c r="X80" i="261" a="1"/>
  <c r="X80" i="261" s="1"/>
  <c r="W80" i="261" a="1"/>
  <c r="W80" i="261" s="1"/>
  <c r="R80" i="261" a="1"/>
  <c r="R80" i="261" s="1"/>
  <c r="Q80" i="261" a="1"/>
  <c r="Q80" i="261" s="1"/>
  <c r="C80" i="261" a="1"/>
  <c r="C80" i="261" s="1"/>
  <c r="BR79" i="261" a="1"/>
  <c r="BR79" i="261" s="1"/>
  <c r="BQ79" i="261" a="1"/>
  <c r="BQ79" i="261" s="1"/>
  <c r="BP79" i="261" a="1"/>
  <c r="BP79" i="261" s="1"/>
  <c r="BO79" i="261" a="1"/>
  <c r="BO79" i="261" s="1"/>
  <c r="BN79" i="261" a="1"/>
  <c r="BN79" i="261" s="1"/>
  <c r="BM79" i="261" a="1"/>
  <c r="BM79" i="261" s="1"/>
  <c r="BL79" i="261" a="1"/>
  <c r="BL79" i="261" s="1"/>
  <c r="BK79" i="261" a="1"/>
  <c r="BK79" i="261" s="1"/>
  <c r="BJ79" i="261" a="1"/>
  <c r="BJ79" i="261" s="1"/>
  <c r="BI79" i="261" a="1"/>
  <c r="BI79" i="261" s="1"/>
  <c r="BH79" i="261" a="1"/>
  <c r="BH79" i="261" s="1"/>
  <c r="BG79" i="261" a="1"/>
  <c r="BG79" i="261" s="1"/>
  <c r="BF79" i="261" a="1"/>
  <c r="BF79" i="261" s="1"/>
  <c r="BE79" i="261" a="1"/>
  <c r="BE79" i="261" s="1"/>
  <c r="BD79" i="261" a="1"/>
  <c r="BD79" i="261" s="1"/>
  <c r="BC79" i="261" a="1"/>
  <c r="BC79" i="261" s="1"/>
  <c r="BB79" i="261" a="1"/>
  <c r="BB79" i="261" s="1"/>
  <c r="BA79" i="261" a="1"/>
  <c r="BA79" i="261" s="1"/>
  <c r="AZ79" i="261" a="1"/>
  <c r="AZ79" i="261" s="1"/>
  <c r="AY79" i="261" a="1"/>
  <c r="AY79" i="261" s="1"/>
  <c r="AX79" i="261" a="1"/>
  <c r="AX79" i="261" s="1"/>
  <c r="AW79" i="261" a="1"/>
  <c r="AW79" i="261" s="1"/>
  <c r="AV79" i="261" a="1"/>
  <c r="AV79" i="261" s="1"/>
  <c r="AU79" i="261" a="1"/>
  <c r="AU79" i="261" s="1"/>
  <c r="AT79" i="261" a="1"/>
  <c r="AT79" i="261" s="1"/>
  <c r="AS79" i="261" a="1"/>
  <c r="AS79" i="261" s="1"/>
  <c r="AR79" i="261" a="1"/>
  <c r="AR79" i="261" s="1"/>
  <c r="AQ79" i="261" a="1"/>
  <c r="AQ79" i="261" s="1"/>
  <c r="AP79" i="261" a="1"/>
  <c r="AP79" i="261" s="1"/>
  <c r="AO79" i="261" a="1"/>
  <c r="AO79" i="261" s="1"/>
  <c r="AN79" i="261" a="1"/>
  <c r="AN79" i="261" s="1"/>
  <c r="AM79" i="261" a="1"/>
  <c r="AM79" i="261" s="1"/>
  <c r="AL79" i="261" a="1"/>
  <c r="AL79" i="261" s="1"/>
  <c r="AK79" i="261" a="1"/>
  <c r="AK79" i="261" s="1"/>
  <c r="AJ79" i="261" a="1"/>
  <c r="AJ79" i="261" s="1"/>
  <c r="AI79" i="261" a="1"/>
  <c r="AI79" i="261" s="1"/>
  <c r="AH79" i="261" a="1"/>
  <c r="AH79" i="261" s="1"/>
  <c r="AG79" i="261" a="1"/>
  <c r="AG79" i="261" s="1"/>
  <c r="AF79" i="261" a="1"/>
  <c r="AF79" i="261" s="1"/>
  <c r="AE79" i="261" a="1"/>
  <c r="AE79" i="261" s="1"/>
  <c r="AD79" i="261" a="1"/>
  <c r="AD79" i="261" s="1"/>
  <c r="AC79" i="261" a="1"/>
  <c r="AC79" i="261" s="1"/>
  <c r="AB79" i="261" a="1"/>
  <c r="AB79" i="261" s="1"/>
  <c r="AA79" i="261" a="1"/>
  <c r="AA79" i="261" s="1"/>
  <c r="Z79" i="261" a="1"/>
  <c r="Z79" i="261" s="1"/>
  <c r="Y79" i="261" a="1"/>
  <c r="Y79" i="261" s="1"/>
  <c r="X79" i="261" a="1"/>
  <c r="X79" i="261" s="1"/>
  <c r="W79" i="261" a="1"/>
  <c r="W79" i="261" s="1"/>
  <c r="R79" i="261" a="1"/>
  <c r="R79" i="261" s="1"/>
  <c r="Q79" i="261" a="1"/>
  <c r="Q79" i="261" s="1"/>
  <c r="C79" i="261" a="1"/>
  <c r="C79" i="261" s="1"/>
  <c r="BR78" i="261" a="1"/>
  <c r="BR78" i="261" s="1"/>
  <c r="BQ78" i="261" a="1"/>
  <c r="BQ78" i="261" s="1"/>
  <c r="BP78" i="261" a="1"/>
  <c r="BP78" i="261" s="1"/>
  <c r="BO78" i="261" a="1"/>
  <c r="BO78" i="261" s="1"/>
  <c r="BN78" i="261" a="1"/>
  <c r="BN78" i="261" s="1"/>
  <c r="BM78" i="261" a="1"/>
  <c r="BM78" i="261" s="1"/>
  <c r="BL78" i="261" a="1"/>
  <c r="BL78" i="261" s="1"/>
  <c r="BK78" i="261" a="1"/>
  <c r="BK78" i="261" s="1"/>
  <c r="BJ78" i="261" a="1"/>
  <c r="BJ78" i="261" s="1"/>
  <c r="BI78" i="261" a="1"/>
  <c r="BI78" i="261" s="1"/>
  <c r="BH78" i="261" a="1"/>
  <c r="BH78" i="261" s="1"/>
  <c r="BG78" i="261" a="1"/>
  <c r="BG78" i="261" s="1"/>
  <c r="BF78" i="261" a="1"/>
  <c r="BF78" i="261" s="1"/>
  <c r="BE78" i="261" a="1"/>
  <c r="BE78" i="261" s="1"/>
  <c r="BD78" i="261" a="1"/>
  <c r="BD78" i="261" s="1"/>
  <c r="BC78" i="261" a="1"/>
  <c r="BC78" i="261" s="1"/>
  <c r="BB78" i="261" a="1"/>
  <c r="BB78" i="261" s="1"/>
  <c r="BA78" i="261" a="1"/>
  <c r="BA78" i="261" s="1"/>
  <c r="AZ78" i="261" a="1"/>
  <c r="AZ78" i="261" s="1"/>
  <c r="AY78" i="261" a="1"/>
  <c r="AY78" i="261" s="1"/>
  <c r="AX78" i="261" a="1"/>
  <c r="AX78" i="261" s="1"/>
  <c r="AW78" i="261" a="1"/>
  <c r="AW78" i="261" s="1"/>
  <c r="AV78" i="261" a="1"/>
  <c r="AV78" i="261" s="1"/>
  <c r="AU78" i="261" a="1"/>
  <c r="AU78" i="261" s="1"/>
  <c r="AT78" i="261" a="1"/>
  <c r="AT78" i="261" s="1"/>
  <c r="AS78" i="261" a="1"/>
  <c r="AS78" i="261" s="1"/>
  <c r="AR78" i="261" a="1"/>
  <c r="AR78" i="261" s="1"/>
  <c r="AQ78" i="261" a="1"/>
  <c r="AQ78" i="261" s="1"/>
  <c r="AP78" i="261" a="1"/>
  <c r="AP78" i="261" s="1"/>
  <c r="AO78" i="261" a="1"/>
  <c r="AO78" i="261" s="1"/>
  <c r="AN78" i="261" a="1"/>
  <c r="AN78" i="261" s="1"/>
  <c r="AM78" i="261" a="1"/>
  <c r="AM78" i="261" s="1"/>
  <c r="AL78" i="261" a="1"/>
  <c r="AL78" i="261" s="1"/>
  <c r="AK78" i="261" a="1"/>
  <c r="AK78" i="261" s="1"/>
  <c r="AJ78" i="261" a="1"/>
  <c r="AJ78" i="261" s="1"/>
  <c r="AI78" i="261" a="1"/>
  <c r="AI78" i="261" s="1"/>
  <c r="AH78" i="261" a="1"/>
  <c r="AH78" i="261" s="1"/>
  <c r="AG78" i="261" a="1"/>
  <c r="AG78" i="261" s="1"/>
  <c r="AF78" i="261" a="1"/>
  <c r="AF78" i="261" s="1"/>
  <c r="AE78" i="261" a="1"/>
  <c r="AE78" i="261" s="1"/>
  <c r="AD78" i="261" a="1"/>
  <c r="AD78" i="261" s="1"/>
  <c r="AC78" i="261" a="1"/>
  <c r="AC78" i="261" s="1"/>
  <c r="AB78" i="261" a="1"/>
  <c r="AB78" i="261" s="1"/>
  <c r="AA78" i="261" a="1"/>
  <c r="AA78" i="261" s="1"/>
  <c r="Z78" i="261" a="1"/>
  <c r="Z78" i="261" s="1"/>
  <c r="Y78" i="261" a="1"/>
  <c r="Y78" i="261" s="1"/>
  <c r="X78" i="261" a="1"/>
  <c r="X78" i="261" s="1"/>
  <c r="W78" i="261" a="1"/>
  <c r="W78" i="261" s="1"/>
  <c r="R78" i="261" a="1"/>
  <c r="R78" i="261" s="1"/>
  <c r="Q78" i="261" a="1"/>
  <c r="Q78" i="261" s="1"/>
  <c r="C78" i="261" a="1"/>
  <c r="C78" i="261" s="1"/>
  <c r="BR77" i="261" a="1"/>
  <c r="BR77" i="261" s="1"/>
  <c r="D578" i="262" s="1"/>
  <c r="BQ77" i="261" a="1"/>
  <c r="BQ77" i="261" s="1"/>
  <c r="BP77" i="261" a="1"/>
  <c r="BP77" i="261" s="1"/>
  <c r="D561" i="262" s="1"/>
  <c r="BO77" i="261" a="1"/>
  <c r="BO77" i="261" s="1"/>
  <c r="BN77" i="261" a="1"/>
  <c r="BN77" i="261" s="1"/>
  <c r="BM77" i="261" a="1"/>
  <c r="BM77" i="261" s="1"/>
  <c r="BL77" i="261" a="1"/>
  <c r="BL77" i="261" s="1"/>
  <c r="BK77" i="261" a="1"/>
  <c r="BK77" i="261" s="1"/>
  <c r="BJ77" i="261" a="1"/>
  <c r="BJ77" i="261" s="1"/>
  <c r="D510" i="262" s="1"/>
  <c r="BI77" i="261" a="1"/>
  <c r="BI77" i="261" s="1"/>
  <c r="BH77" i="261" a="1"/>
  <c r="BH77" i="261" s="1"/>
  <c r="D493" i="262" s="1"/>
  <c r="BG77" i="261" a="1"/>
  <c r="BG77" i="261" s="1"/>
  <c r="BF77" i="261" a="1"/>
  <c r="BF77" i="261" s="1"/>
  <c r="D476" i="262" s="1"/>
  <c r="BE77" i="261" a="1"/>
  <c r="BE77" i="261" s="1"/>
  <c r="BD77" i="261" a="1"/>
  <c r="BD77" i="261" s="1"/>
  <c r="D459" i="262" s="1"/>
  <c r="BC77" i="261" a="1"/>
  <c r="BC77" i="261" s="1"/>
  <c r="BB77" i="261" a="1"/>
  <c r="BB77" i="261" s="1"/>
  <c r="D442" i="262" s="1"/>
  <c r="BA77" i="261" a="1"/>
  <c r="BA77" i="261" s="1"/>
  <c r="AZ77" i="261" a="1"/>
  <c r="AZ77" i="261" s="1"/>
  <c r="D425" i="262" s="1"/>
  <c r="AY77" i="261" a="1"/>
  <c r="AY77" i="261" s="1"/>
  <c r="AX77" i="261" a="1"/>
  <c r="AX77" i="261" s="1"/>
  <c r="D408" i="262" s="1"/>
  <c r="AW77" i="261" a="1"/>
  <c r="AW77" i="261" s="1"/>
  <c r="AV77" i="261" a="1"/>
  <c r="AV77" i="261" s="1"/>
  <c r="D391" i="262" s="1"/>
  <c r="AU77" i="261" a="1"/>
  <c r="AU77" i="261" s="1"/>
  <c r="AT77" i="261" a="1"/>
  <c r="AT77" i="261" s="1"/>
  <c r="D374" i="262" s="1"/>
  <c r="AS77" i="261" a="1"/>
  <c r="AS77" i="261" s="1"/>
  <c r="AR77" i="261" a="1"/>
  <c r="AR77" i="261" s="1"/>
  <c r="D357" i="262" s="1"/>
  <c r="AQ77" i="261" a="1"/>
  <c r="AQ77" i="261" s="1"/>
  <c r="AP77" i="261" a="1"/>
  <c r="AP77" i="261" s="1"/>
  <c r="D340" i="262" s="1"/>
  <c r="AO77" i="261" a="1"/>
  <c r="AO77" i="261" s="1"/>
  <c r="AN77" i="261" a="1"/>
  <c r="AN77" i="261" s="1"/>
  <c r="D323" i="262" s="1"/>
  <c r="AM77" i="261" a="1"/>
  <c r="AM77" i="261" s="1"/>
  <c r="AL77" i="261" a="1"/>
  <c r="AL77" i="261" s="1"/>
  <c r="D306" i="262" s="1"/>
  <c r="AK77" i="261" a="1"/>
  <c r="AK77" i="261" s="1"/>
  <c r="AJ77" i="261" a="1"/>
  <c r="AJ77" i="261" s="1"/>
  <c r="D289" i="262" s="1"/>
  <c r="AI77" i="261" a="1"/>
  <c r="AI77" i="261" s="1"/>
  <c r="AH77" i="261" a="1"/>
  <c r="AH77" i="261" s="1"/>
  <c r="D272" i="262" s="1"/>
  <c r="AG77" i="261" a="1"/>
  <c r="AG77" i="261" s="1"/>
  <c r="AF77" i="261" a="1"/>
  <c r="AF77" i="261" s="1"/>
  <c r="D255" i="262" s="1"/>
  <c r="AE77" i="261" a="1"/>
  <c r="AE77" i="261" s="1"/>
  <c r="AD77" i="261" a="1"/>
  <c r="AD77" i="261" s="1"/>
  <c r="D238" i="262" s="1"/>
  <c r="AC77" i="261" a="1"/>
  <c r="AC77" i="261" s="1"/>
  <c r="AB77" i="261" a="1"/>
  <c r="AB77" i="261" s="1"/>
  <c r="D221" i="262" s="1"/>
  <c r="AA77" i="261" a="1"/>
  <c r="AA77" i="261" s="1"/>
  <c r="Z77" i="261" a="1"/>
  <c r="Z77" i="261" s="1"/>
  <c r="D204" i="262" s="1"/>
  <c r="Y77" i="261" a="1"/>
  <c r="Y77" i="261" s="1"/>
  <c r="X77" i="261" a="1"/>
  <c r="X77" i="261" s="1"/>
  <c r="D187" i="262" s="1"/>
  <c r="W77" i="261" a="1"/>
  <c r="W77" i="261" s="1"/>
  <c r="R77" i="261" a="1"/>
  <c r="R77" i="261" s="1"/>
  <c r="D136" i="262" s="1"/>
  <c r="Q77" i="261" a="1"/>
  <c r="Q77" i="261" s="1"/>
  <c r="C77" i="261" a="1"/>
  <c r="C77" i="261" s="1"/>
  <c r="BR76" i="261" a="1"/>
  <c r="BR76" i="261" s="1"/>
  <c r="D577" i="262" s="1"/>
  <c r="BQ76" i="261" a="1"/>
  <c r="BQ76" i="261" s="1"/>
  <c r="BP76" i="261" a="1"/>
  <c r="BP76" i="261" s="1"/>
  <c r="D560" i="262" s="1"/>
  <c r="BO76" i="261" a="1"/>
  <c r="BO76" i="261" s="1"/>
  <c r="BN76" i="261" a="1"/>
  <c r="BN76" i="261" s="1"/>
  <c r="BM76" i="261" a="1"/>
  <c r="BM76" i="261" s="1"/>
  <c r="BL76" i="261" a="1"/>
  <c r="BL76" i="261" s="1"/>
  <c r="BK76" i="261" a="1"/>
  <c r="BK76" i="261" s="1"/>
  <c r="BJ76" i="261" a="1"/>
  <c r="BJ76" i="261" s="1"/>
  <c r="D509" i="262" s="1"/>
  <c r="BI76" i="261" a="1"/>
  <c r="BI76" i="261" s="1"/>
  <c r="BH76" i="261" a="1"/>
  <c r="BH76" i="261" s="1"/>
  <c r="D492" i="262" s="1"/>
  <c r="BG76" i="261" a="1"/>
  <c r="BG76" i="261" s="1"/>
  <c r="BF76" i="261" a="1"/>
  <c r="BF76" i="261" s="1"/>
  <c r="D475" i="262" s="1"/>
  <c r="BE76" i="261" a="1"/>
  <c r="BE76" i="261" s="1"/>
  <c r="BD76" i="261" a="1"/>
  <c r="BD76" i="261" s="1"/>
  <c r="D458" i="262" s="1"/>
  <c r="BC76" i="261" a="1"/>
  <c r="BC76" i="261" s="1"/>
  <c r="BB76" i="261" a="1"/>
  <c r="BB76" i="261" s="1"/>
  <c r="D441" i="262" s="1"/>
  <c r="BA76" i="261" a="1"/>
  <c r="BA76" i="261" s="1"/>
  <c r="AZ76" i="261" a="1"/>
  <c r="AZ76" i="261" s="1"/>
  <c r="D424" i="262" s="1"/>
  <c r="AY76" i="261" a="1"/>
  <c r="AY76" i="261" s="1"/>
  <c r="AX76" i="261" a="1"/>
  <c r="AX76" i="261" s="1"/>
  <c r="D407" i="262" s="1"/>
  <c r="AW76" i="261" a="1"/>
  <c r="AW76" i="261" s="1"/>
  <c r="AV76" i="261" a="1"/>
  <c r="AV76" i="261" s="1"/>
  <c r="D390" i="262" s="1"/>
  <c r="AU76" i="261" a="1"/>
  <c r="AU76" i="261" s="1"/>
  <c r="AT76" i="261" a="1"/>
  <c r="AT76" i="261" s="1"/>
  <c r="D373" i="262" s="1"/>
  <c r="AS76" i="261" a="1"/>
  <c r="AS76" i="261" s="1"/>
  <c r="AR76" i="261" a="1"/>
  <c r="AR76" i="261" s="1"/>
  <c r="D356" i="262" s="1"/>
  <c r="AQ76" i="261" a="1"/>
  <c r="AQ76" i="261" s="1"/>
  <c r="AP76" i="261" a="1"/>
  <c r="AP76" i="261" s="1"/>
  <c r="D339" i="262" s="1"/>
  <c r="AO76" i="261" a="1"/>
  <c r="AO76" i="261" s="1"/>
  <c r="AN76" i="261" a="1"/>
  <c r="AN76" i="261" s="1"/>
  <c r="D322" i="262" s="1"/>
  <c r="AM76" i="261" a="1"/>
  <c r="AM76" i="261" s="1"/>
  <c r="AL76" i="261" a="1"/>
  <c r="AL76" i="261" s="1"/>
  <c r="D305" i="262" s="1"/>
  <c r="AK76" i="261" a="1"/>
  <c r="AK76" i="261" s="1"/>
  <c r="AJ76" i="261" a="1"/>
  <c r="AJ76" i="261" s="1"/>
  <c r="D288" i="262" s="1"/>
  <c r="AI76" i="261" a="1"/>
  <c r="AI76" i="261" s="1"/>
  <c r="AH76" i="261" a="1"/>
  <c r="AH76" i="261" s="1"/>
  <c r="D271" i="262" s="1"/>
  <c r="AG76" i="261" a="1"/>
  <c r="AG76" i="261" s="1"/>
  <c r="AF76" i="261" a="1"/>
  <c r="AF76" i="261" s="1"/>
  <c r="D254" i="262" s="1"/>
  <c r="AE76" i="261" a="1"/>
  <c r="AE76" i="261" s="1"/>
  <c r="AD76" i="261" a="1"/>
  <c r="AD76" i="261" s="1"/>
  <c r="D237" i="262" s="1"/>
  <c r="AC76" i="261" a="1"/>
  <c r="AC76" i="261" s="1"/>
  <c r="AB76" i="261" a="1"/>
  <c r="AB76" i="261" s="1"/>
  <c r="D220" i="262" s="1"/>
  <c r="AA76" i="261" a="1"/>
  <c r="AA76" i="261" s="1"/>
  <c r="Z76" i="261" a="1"/>
  <c r="Z76" i="261" s="1"/>
  <c r="D203" i="262" s="1"/>
  <c r="Y76" i="261" a="1"/>
  <c r="Y76" i="261" s="1"/>
  <c r="X76" i="261" a="1"/>
  <c r="X76" i="261" s="1"/>
  <c r="D186" i="262" s="1"/>
  <c r="W76" i="261" a="1"/>
  <c r="W76" i="261" s="1"/>
  <c r="R76" i="261" a="1"/>
  <c r="R76" i="261" s="1"/>
  <c r="D135" i="262" s="1"/>
  <c r="Q76" i="261" a="1"/>
  <c r="Q76" i="261" s="1"/>
  <c r="C76" i="261" a="1"/>
  <c r="C76" i="261" s="1"/>
  <c r="BR75" i="261" a="1"/>
  <c r="BR75" i="261" s="1"/>
  <c r="D576" i="262" s="1"/>
  <c r="BQ75" i="261" a="1"/>
  <c r="BQ75" i="261" s="1"/>
  <c r="BP75" i="261" a="1"/>
  <c r="BP75" i="261" s="1"/>
  <c r="D559" i="262" s="1"/>
  <c r="BO75" i="261" a="1"/>
  <c r="BO75" i="261" s="1"/>
  <c r="BN75" i="261" a="1"/>
  <c r="BN75" i="261" s="1"/>
  <c r="BM75" i="261" a="1"/>
  <c r="BM75" i="261" s="1"/>
  <c r="BL75" i="261" a="1"/>
  <c r="BL75" i="261" s="1"/>
  <c r="BK75" i="261" a="1"/>
  <c r="BK75" i="261" s="1"/>
  <c r="BJ75" i="261" a="1"/>
  <c r="BJ75" i="261" s="1"/>
  <c r="D508" i="262" s="1"/>
  <c r="BI75" i="261" a="1"/>
  <c r="BI75" i="261" s="1"/>
  <c r="BH75" i="261" a="1"/>
  <c r="BH75" i="261" s="1"/>
  <c r="D491" i="262" s="1"/>
  <c r="BG75" i="261" a="1"/>
  <c r="BG75" i="261" s="1"/>
  <c r="BF75" i="261" a="1"/>
  <c r="BF75" i="261" s="1"/>
  <c r="D474" i="262" s="1"/>
  <c r="BE75" i="261" a="1"/>
  <c r="BE75" i="261" s="1"/>
  <c r="BD75" i="261" a="1"/>
  <c r="BD75" i="261" s="1"/>
  <c r="D457" i="262" s="1"/>
  <c r="BC75" i="261" a="1"/>
  <c r="BC75" i="261" s="1"/>
  <c r="BB75" i="261" a="1"/>
  <c r="BB75" i="261" s="1"/>
  <c r="D440" i="262" s="1"/>
  <c r="BA75" i="261" a="1"/>
  <c r="BA75" i="261" s="1"/>
  <c r="AZ75" i="261" a="1"/>
  <c r="AZ75" i="261" s="1"/>
  <c r="D423" i="262" s="1"/>
  <c r="AY75" i="261" a="1"/>
  <c r="AY75" i="261" s="1"/>
  <c r="AX75" i="261" a="1"/>
  <c r="AX75" i="261" s="1"/>
  <c r="D406" i="262" s="1"/>
  <c r="AW75" i="261" a="1"/>
  <c r="AW75" i="261" s="1"/>
  <c r="AV75" i="261" a="1"/>
  <c r="AV75" i="261" s="1"/>
  <c r="D389" i="262" s="1"/>
  <c r="AU75" i="261" a="1"/>
  <c r="AU75" i="261" s="1"/>
  <c r="AT75" i="261" a="1"/>
  <c r="AT75" i="261" s="1"/>
  <c r="D372" i="262" s="1"/>
  <c r="AS75" i="261" a="1"/>
  <c r="AS75" i="261" s="1"/>
  <c r="AR75" i="261" a="1"/>
  <c r="AR75" i="261" s="1"/>
  <c r="D355" i="262" s="1"/>
  <c r="AQ75" i="261" a="1"/>
  <c r="AQ75" i="261" s="1"/>
  <c r="AP75" i="261" a="1"/>
  <c r="AP75" i="261" s="1"/>
  <c r="D338" i="262" s="1"/>
  <c r="AO75" i="261" a="1"/>
  <c r="AO75" i="261" s="1"/>
  <c r="AN75" i="261" a="1"/>
  <c r="AN75" i="261" s="1"/>
  <c r="D321" i="262" s="1"/>
  <c r="AM75" i="261" a="1"/>
  <c r="AM75" i="261" s="1"/>
  <c r="AL75" i="261" a="1"/>
  <c r="AL75" i="261" s="1"/>
  <c r="D304" i="262" s="1"/>
  <c r="AK75" i="261" a="1"/>
  <c r="AK75" i="261" s="1"/>
  <c r="AJ75" i="261" a="1"/>
  <c r="AJ75" i="261" s="1"/>
  <c r="D287" i="262" s="1"/>
  <c r="AI75" i="261" a="1"/>
  <c r="AI75" i="261" s="1"/>
  <c r="AH75" i="261" a="1"/>
  <c r="AH75" i="261" s="1"/>
  <c r="D270" i="262" s="1"/>
  <c r="AG75" i="261" a="1"/>
  <c r="AG75" i="261" s="1"/>
  <c r="AF75" i="261" a="1"/>
  <c r="AF75" i="261" s="1"/>
  <c r="D253" i="262" s="1"/>
  <c r="AE75" i="261" a="1"/>
  <c r="AE75" i="261" s="1"/>
  <c r="AD75" i="261" a="1"/>
  <c r="AD75" i="261" s="1"/>
  <c r="D236" i="262" s="1"/>
  <c r="AC75" i="261" a="1"/>
  <c r="AC75" i="261" s="1"/>
  <c r="AB75" i="261" a="1"/>
  <c r="AB75" i="261" s="1"/>
  <c r="D219" i="262" s="1"/>
  <c r="AA75" i="261" a="1"/>
  <c r="AA75" i="261" s="1"/>
  <c r="Z75" i="261" a="1"/>
  <c r="Z75" i="261" s="1"/>
  <c r="D202" i="262" s="1"/>
  <c r="Y75" i="261" a="1"/>
  <c r="Y75" i="261" s="1"/>
  <c r="X75" i="261" a="1"/>
  <c r="X75" i="261" s="1"/>
  <c r="D185" i="262" s="1"/>
  <c r="W75" i="261" a="1"/>
  <c r="W75" i="261" s="1"/>
  <c r="R75" i="261" a="1"/>
  <c r="R75" i="261" s="1"/>
  <c r="D134" i="262" s="1"/>
  <c r="Q75" i="261" a="1"/>
  <c r="Q75" i="261" s="1"/>
  <c r="C75" i="261" a="1"/>
  <c r="C75" i="261" s="1"/>
  <c r="BR74" i="261" a="1"/>
  <c r="BR74" i="261" s="1"/>
  <c r="D575" i="262" s="1"/>
  <c r="BQ74" i="261" a="1"/>
  <c r="BQ74" i="261" s="1"/>
  <c r="BP74" i="261" a="1"/>
  <c r="BP74" i="261" s="1"/>
  <c r="D558" i="262" s="1"/>
  <c r="BO74" i="261" a="1"/>
  <c r="BO74" i="261" s="1"/>
  <c r="BN74" i="261" a="1"/>
  <c r="BN74" i="261" s="1"/>
  <c r="BM74" i="261" a="1"/>
  <c r="BM74" i="261" s="1"/>
  <c r="BL74" i="261" a="1"/>
  <c r="BL74" i="261" s="1"/>
  <c r="BK74" i="261" a="1"/>
  <c r="BK74" i="261" s="1"/>
  <c r="BJ74" i="261" a="1"/>
  <c r="BJ74" i="261" s="1"/>
  <c r="D507" i="262" s="1"/>
  <c r="BI74" i="261" a="1"/>
  <c r="BI74" i="261" s="1"/>
  <c r="BH74" i="261" a="1"/>
  <c r="BH74" i="261" s="1"/>
  <c r="D490" i="262" s="1"/>
  <c r="BG74" i="261" a="1"/>
  <c r="BG74" i="261" s="1"/>
  <c r="BF74" i="261" a="1"/>
  <c r="BF74" i="261" s="1"/>
  <c r="D473" i="262" s="1"/>
  <c r="BE74" i="261" a="1"/>
  <c r="BE74" i="261" s="1"/>
  <c r="BD74" i="261" a="1"/>
  <c r="BD74" i="261" s="1"/>
  <c r="D456" i="262" s="1"/>
  <c r="BC74" i="261" a="1"/>
  <c r="BC74" i="261" s="1"/>
  <c r="BB74" i="261" a="1"/>
  <c r="BB74" i="261" s="1"/>
  <c r="D439" i="262" s="1"/>
  <c r="BA74" i="261" a="1"/>
  <c r="BA74" i="261" s="1"/>
  <c r="AZ74" i="261" a="1"/>
  <c r="AZ74" i="261" s="1"/>
  <c r="D422" i="262" s="1"/>
  <c r="AY74" i="261" a="1"/>
  <c r="AY74" i="261" s="1"/>
  <c r="AX74" i="261" a="1"/>
  <c r="AX74" i="261" s="1"/>
  <c r="D405" i="262" s="1"/>
  <c r="AW74" i="261" a="1"/>
  <c r="AW74" i="261" s="1"/>
  <c r="AV74" i="261" a="1"/>
  <c r="AV74" i="261" s="1"/>
  <c r="D388" i="262" s="1"/>
  <c r="AU74" i="261" a="1"/>
  <c r="AU74" i="261" s="1"/>
  <c r="AT74" i="261" a="1"/>
  <c r="AT74" i="261" s="1"/>
  <c r="D371" i="262" s="1"/>
  <c r="AS74" i="261" a="1"/>
  <c r="AS74" i="261" s="1"/>
  <c r="AR74" i="261" a="1"/>
  <c r="AR74" i="261" s="1"/>
  <c r="D354" i="262" s="1"/>
  <c r="AQ74" i="261" a="1"/>
  <c r="AQ74" i="261" s="1"/>
  <c r="AP74" i="261" a="1"/>
  <c r="AP74" i="261" s="1"/>
  <c r="D337" i="262" s="1"/>
  <c r="AO74" i="261" a="1"/>
  <c r="AO74" i="261" s="1"/>
  <c r="AN74" i="261" a="1"/>
  <c r="AN74" i="261" s="1"/>
  <c r="D320" i="262" s="1"/>
  <c r="AM74" i="261" a="1"/>
  <c r="AM74" i="261" s="1"/>
  <c r="AL74" i="261" a="1"/>
  <c r="AL74" i="261" s="1"/>
  <c r="D303" i="262" s="1"/>
  <c r="AK74" i="261" a="1"/>
  <c r="AK74" i="261" s="1"/>
  <c r="AJ74" i="261" a="1"/>
  <c r="AJ74" i="261" s="1"/>
  <c r="D286" i="262" s="1"/>
  <c r="AI74" i="261" a="1"/>
  <c r="AI74" i="261" s="1"/>
  <c r="AH74" i="261" a="1"/>
  <c r="AH74" i="261" s="1"/>
  <c r="D269" i="262" s="1"/>
  <c r="AG74" i="261" a="1"/>
  <c r="AG74" i="261" s="1"/>
  <c r="AF74" i="261" a="1"/>
  <c r="AF74" i="261" s="1"/>
  <c r="D252" i="262" s="1"/>
  <c r="AE74" i="261" a="1"/>
  <c r="AE74" i="261" s="1"/>
  <c r="AD74" i="261" a="1"/>
  <c r="AD74" i="261" s="1"/>
  <c r="D235" i="262" s="1"/>
  <c r="AC74" i="261" a="1"/>
  <c r="AC74" i="261" s="1"/>
  <c r="AB74" i="261" a="1"/>
  <c r="AB74" i="261" s="1"/>
  <c r="D218" i="262" s="1"/>
  <c r="AA74" i="261" a="1"/>
  <c r="AA74" i="261" s="1"/>
  <c r="Z74" i="261" a="1"/>
  <c r="Z74" i="261" s="1"/>
  <c r="D201" i="262" s="1"/>
  <c r="Y74" i="261" a="1"/>
  <c r="Y74" i="261" s="1"/>
  <c r="X74" i="261" a="1"/>
  <c r="X74" i="261" s="1"/>
  <c r="D184" i="262" s="1"/>
  <c r="W74" i="261" a="1"/>
  <c r="W74" i="261" s="1"/>
  <c r="R74" i="261" a="1"/>
  <c r="R74" i="261" s="1"/>
  <c r="D133" i="262" s="1"/>
  <c r="Q74" i="261" a="1"/>
  <c r="Q74" i="261" s="1"/>
  <c r="C74" i="261" a="1"/>
  <c r="C74" i="261" s="1"/>
  <c r="BR73" i="261" a="1"/>
  <c r="BR73" i="261" s="1"/>
  <c r="D574" i="262" s="1"/>
  <c r="BQ73" i="261" a="1"/>
  <c r="BQ73" i="261" s="1"/>
  <c r="BP73" i="261" a="1"/>
  <c r="BP73" i="261" s="1"/>
  <c r="D557" i="262" s="1"/>
  <c r="BO73" i="261" a="1"/>
  <c r="BO73" i="261" s="1"/>
  <c r="BN73" i="261" a="1"/>
  <c r="BN73" i="261" s="1"/>
  <c r="BM73" i="261" a="1"/>
  <c r="BM73" i="261" s="1"/>
  <c r="BL73" i="261" a="1"/>
  <c r="BL73" i="261" s="1"/>
  <c r="BK73" i="261" a="1"/>
  <c r="BK73" i="261" s="1"/>
  <c r="BJ73" i="261" a="1"/>
  <c r="BJ73" i="261" s="1"/>
  <c r="D506" i="262" s="1"/>
  <c r="BI73" i="261" a="1"/>
  <c r="BI73" i="261" s="1"/>
  <c r="BH73" i="261" a="1"/>
  <c r="BH73" i="261" s="1"/>
  <c r="D489" i="262" s="1"/>
  <c r="BG73" i="261" a="1"/>
  <c r="BG73" i="261" s="1"/>
  <c r="BF73" i="261" a="1"/>
  <c r="BF73" i="261" s="1"/>
  <c r="D472" i="262" s="1"/>
  <c r="BE73" i="261" a="1"/>
  <c r="BE73" i="261" s="1"/>
  <c r="BD73" i="261" a="1"/>
  <c r="BD73" i="261" s="1"/>
  <c r="D455" i="262" s="1"/>
  <c r="BC73" i="261" a="1"/>
  <c r="BC73" i="261" s="1"/>
  <c r="BB73" i="261" a="1"/>
  <c r="BB73" i="261" s="1"/>
  <c r="D438" i="262" s="1"/>
  <c r="BA73" i="261" a="1"/>
  <c r="BA73" i="261" s="1"/>
  <c r="AZ73" i="261" a="1"/>
  <c r="AZ73" i="261" s="1"/>
  <c r="D421" i="262" s="1"/>
  <c r="AY73" i="261" a="1"/>
  <c r="AY73" i="261" s="1"/>
  <c r="AX73" i="261" a="1"/>
  <c r="AX73" i="261" s="1"/>
  <c r="D404" i="262" s="1"/>
  <c r="AW73" i="261" a="1"/>
  <c r="AW73" i="261" s="1"/>
  <c r="AV73" i="261" a="1"/>
  <c r="AV73" i="261" s="1"/>
  <c r="D387" i="262" s="1"/>
  <c r="AU73" i="261" a="1"/>
  <c r="AU73" i="261" s="1"/>
  <c r="AT73" i="261" a="1"/>
  <c r="AT73" i="261" s="1"/>
  <c r="D370" i="262" s="1"/>
  <c r="AS73" i="261" a="1"/>
  <c r="AS73" i="261" s="1"/>
  <c r="AR73" i="261" a="1"/>
  <c r="AR73" i="261" s="1"/>
  <c r="D353" i="262" s="1"/>
  <c r="AQ73" i="261" a="1"/>
  <c r="AQ73" i="261" s="1"/>
  <c r="AP73" i="261" a="1"/>
  <c r="AP73" i="261" s="1"/>
  <c r="D336" i="262" s="1"/>
  <c r="AO73" i="261" a="1"/>
  <c r="AO73" i="261" s="1"/>
  <c r="AN73" i="261" a="1"/>
  <c r="AN73" i="261" s="1"/>
  <c r="D319" i="262" s="1"/>
  <c r="AM73" i="261" a="1"/>
  <c r="AM73" i="261" s="1"/>
  <c r="AL73" i="261" a="1"/>
  <c r="AL73" i="261" s="1"/>
  <c r="D302" i="262" s="1"/>
  <c r="AK73" i="261" a="1"/>
  <c r="AK73" i="261" s="1"/>
  <c r="AJ73" i="261" a="1"/>
  <c r="AJ73" i="261" s="1"/>
  <c r="D285" i="262" s="1"/>
  <c r="AI73" i="261" a="1"/>
  <c r="AI73" i="261" s="1"/>
  <c r="AH73" i="261" a="1"/>
  <c r="AH73" i="261" s="1"/>
  <c r="D268" i="262" s="1"/>
  <c r="AG73" i="261" a="1"/>
  <c r="AG73" i="261" s="1"/>
  <c r="AF73" i="261" a="1"/>
  <c r="AF73" i="261" s="1"/>
  <c r="D251" i="262" s="1"/>
  <c r="AE73" i="261" a="1"/>
  <c r="AE73" i="261" s="1"/>
  <c r="AD73" i="261" a="1"/>
  <c r="AD73" i="261" s="1"/>
  <c r="D234" i="262" s="1"/>
  <c r="AC73" i="261" a="1"/>
  <c r="AC73" i="261" s="1"/>
  <c r="AB73" i="261" a="1"/>
  <c r="AB73" i="261" s="1"/>
  <c r="D217" i="262" s="1"/>
  <c r="AA73" i="261" a="1"/>
  <c r="AA73" i="261" s="1"/>
  <c r="Z73" i="261" a="1"/>
  <c r="Z73" i="261" s="1"/>
  <c r="D200" i="262" s="1"/>
  <c r="Y73" i="261" a="1"/>
  <c r="Y73" i="261" s="1"/>
  <c r="X73" i="261" a="1"/>
  <c r="X73" i="261" s="1"/>
  <c r="D183" i="262" s="1"/>
  <c r="W73" i="261" a="1"/>
  <c r="W73" i="261" s="1"/>
  <c r="R73" i="261" a="1"/>
  <c r="R73" i="261" s="1"/>
  <c r="D132" i="262" s="1"/>
  <c r="Q73" i="261" a="1"/>
  <c r="Q73" i="261" s="1"/>
  <c r="C73" i="261" a="1"/>
  <c r="C73" i="261" s="1"/>
  <c r="BR72" i="261" a="1"/>
  <c r="BR72" i="261" s="1"/>
  <c r="D573" i="262" s="1"/>
  <c r="BQ72" i="261" a="1"/>
  <c r="BQ72" i="261" s="1"/>
  <c r="BP72" i="261" a="1"/>
  <c r="BP72" i="261" s="1"/>
  <c r="D556" i="262" s="1"/>
  <c r="BO72" i="261" a="1"/>
  <c r="BO72" i="261" s="1"/>
  <c r="BN72" i="261" a="1"/>
  <c r="BN72" i="261" s="1"/>
  <c r="BM72" i="261" a="1"/>
  <c r="BM72" i="261" s="1"/>
  <c r="BL72" i="261" a="1"/>
  <c r="BL72" i="261" s="1"/>
  <c r="BK72" i="261" a="1"/>
  <c r="BK72" i="261" s="1"/>
  <c r="BJ72" i="261" a="1"/>
  <c r="BJ72" i="261" s="1"/>
  <c r="D505" i="262" s="1"/>
  <c r="BI72" i="261" a="1"/>
  <c r="BI72" i="261" s="1"/>
  <c r="BH72" i="261" a="1"/>
  <c r="BH72" i="261" s="1"/>
  <c r="D488" i="262" s="1"/>
  <c r="BG72" i="261" a="1"/>
  <c r="BG72" i="261" s="1"/>
  <c r="BF72" i="261" a="1"/>
  <c r="BF72" i="261" s="1"/>
  <c r="D471" i="262" s="1"/>
  <c r="BE72" i="261" a="1"/>
  <c r="BE72" i="261" s="1"/>
  <c r="BD72" i="261" a="1"/>
  <c r="BD72" i="261" s="1"/>
  <c r="D454" i="262" s="1"/>
  <c r="BC72" i="261" a="1"/>
  <c r="BC72" i="261" s="1"/>
  <c r="BB72" i="261" a="1"/>
  <c r="BB72" i="261" s="1"/>
  <c r="D437" i="262" s="1"/>
  <c r="BA72" i="261" a="1"/>
  <c r="BA72" i="261" s="1"/>
  <c r="AZ72" i="261" a="1"/>
  <c r="AZ72" i="261" s="1"/>
  <c r="D420" i="262" s="1"/>
  <c r="AY72" i="261" a="1"/>
  <c r="AY72" i="261" s="1"/>
  <c r="AX72" i="261" a="1"/>
  <c r="AX72" i="261" s="1"/>
  <c r="D403" i="262" s="1"/>
  <c r="AW72" i="261" a="1"/>
  <c r="AW72" i="261" s="1"/>
  <c r="AV72" i="261" a="1"/>
  <c r="AV72" i="261" s="1"/>
  <c r="D386" i="262" s="1"/>
  <c r="AU72" i="261" a="1"/>
  <c r="AU72" i="261" s="1"/>
  <c r="AT72" i="261" a="1"/>
  <c r="AT72" i="261" s="1"/>
  <c r="D369" i="262" s="1"/>
  <c r="AS72" i="261" a="1"/>
  <c r="AS72" i="261" s="1"/>
  <c r="AR72" i="261" a="1"/>
  <c r="AR72" i="261" s="1"/>
  <c r="D352" i="262" s="1"/>
  <c r="AQ72" i="261" a="1"/>
  <c r="AQ72" i="261" s="1"/>
  <c r="AP72" i="261" a="1"/>
  <c r="AP72" i="261" s="1"/>
  <c r="D335" i="262" s="1"/>
  <c r="AO72" i="261" a="1"/>
  <c r="AO72" i="261" s="1"/>
  <c r="AN72" i="261" a="1"/>
  <c r="AN72" i="261" s="1"/>
  <c r="D318" i="262" s="1"/>
  <c r="AM72" i="261" a="1"/>
  <c r="AM72" i="261" s="1"/>
  <c r="AL72" i="261" a="1"/>
  <c r="AL72" i="261" s="1"/>
  <c r="D301" i="262" s="1"/>
  <c r="AK72" i="261" a="1"/>
  <c r="AK72" i="261" s="1"/>
  <c r="AJ72" i="261" a="1"/>
  <c r="AJ72" i="261" s="1"/>
  <c r="D284" i="262" s="1"/>
  <c r="AI72" i="261" a="1"/>
  <c r="AI72" i="261" s="1"/>
  <c r="AH72" i="261" a="1"/>
  <c r="AH72" i="261" s="1"/>
  <c r="D267" i="262" s="1"/>
  <c r="AG72" i="261" a="1"/>
  <c r="AG72" i="261" s="1"/>
  <c r="AF72" i="261" a="1"/>
  <c r="AF72" i="261" s="1"/>
  <c r="D250" i="262" s="1"/>
  <c r="AE72" i="261" a="1"/>
  <c r="AE72" i="261" s="1"/>
  <c r="AD72" i="261" a="1"/>
  <c r="AD72" i="261" s="1"/>
  <c r="D233" i="262" s="1"/>
  <c r="AC72" i="261" a="1"/>
  <c r="AC72" i="261" s="1"/>
  <c r="AB72" i="261" a="1"/>
  <c r="AB72" i="261" s="1"/>
  <c r="D216" i="262" s="1"/>
  <c r="AA72" i="261" a="1"/>
  <c r="AA72" i="261" s="1"/>
  <c r="Z72" i="261" a="1"/>
  <c r="Z72" i="261" s="1"/>
  <c r="D199" i="262" s="1"/>
  <c r="Y72" i="261" a="1"/>
  <c r="Y72" i="261" s="1"/>
  <c r="X72" i="261" a="1"/>
  <c r="X72" i="261" s="1"/>
  <c r="D182" i="262" s="1"/>
  <c r="W72" i="261" a="1"/>
  <c r="W72" i="261" s="1"/>
  <c r="R72" i="261" a="1"/>
  <c r="R72" i="261" s="1"/>
  <c r="D131" i="262" s="1"/>
  <c r="Q72" i="261" a="1"/>
  <c r="Q72" i="261" s="1"/>
  <c r="C72" i="261" a="1"/>
  <c r="C72" i="261" s="1"/>
  <c r="BR71" i="261" a="1"/>
  <c r="BR71" i="261" s="1"/>
  <c r="D572" i="262" s="1"/>
  <c r="BQ71" i="261" a="1"/>
  <c r="BQ71" i="261" s="1"/>
  <c r="BP71" i="261" a="1"/>
  <c r="BP71" i="261" s="1"/>
  <c r="D555" i="262" s="1"/>
  <c r="BO71" i="261" a="1"/>
  <c r="BO71" i="261" s="1"/>
  <c r="BN71" i="261" a="1"/>
  <c r="BN71" i="261" s="1"/>
  <c r="BM71" i="261" a="1"/>
  <c r="BM71" i="261" s="1"/>
  <c r="BL71" i="261" a="1"/>
  <c r="BL71" i="261" s="1"/>
  <c r="BK71" i="261" a="1"/>
  <c r="BK71" i="261" s="1"/>
  <c r="BJ71" i="261" a="1"/>
  <c r="BJ71" i="261" s="1"/>
  <c r="D504" i="262" s="1"/>
  <c r="BI71" i="261" a="1"/>
  <c r="BI71" i="261" s="1"/>
  <c r="BH71" i="261" a="1"/>
  <c r="BH71" i="261" s="1"/>
  <c r="D487" i="262" s="1"/>
  <c r="BG71" i="261" a="1"/>
  <c r="BG71" i="261" s="1"/>
  <c r="BF71" i="261" a="1"/>
  <c r="BF71" i="261" s="1"/>
  <c r="D470" i="262" s="1"/>
  <c r="BE71" i="261" a="1"/>
  <c r="BE71" i="261" s="1"/>
  <c r="BD71" i="261" a="1"/>
  <c r="BD71" i="261" s="1"/>
  <c r="D453" i="262" s="1"/>
  <c r="BC71" i="261" a="1"/>
  <c r="BC71" i="261" s="1"/>
  <c r="BB71" i="261" a="1"/>
  <c r="BB71" i="261" s="1"/>
  <c r="D436" i="262" s="1"/>
  <c r="BA71" i="261" a="1"/>
  <c r="BA71" i="261" s="1"/>
  <c r="AZ71" i="261" a="1"/>
  <c r="AZ71" i="261" s="1"/>
  <c r="D419" i="262" s="1"/>
  <c r="AY71" i="261" a="1"/>
  <c r="AY71" i="261" s="1"/>
  <c r="AX71" i="261" a="1"/>
  <c r="AX71" i="261" s="1"/>
  <c r="D402" i="262" s="1"/>
  <c r="AW71" i="261" a="1"/>
  <c r="AW71" i="261" s="1"/>
  <c r="AV71" i="261" a="1"/>
  <c r="AV71" i="261" s="1"/>
  <c r="D385" i="262" s="1"/>
  <c r="AU71" i="261" a="1"/>
  <c r="AU71" i="261" s="1"/>
  <c r="AT71" i="261" a="1"/>
  <c r="AT71" i="261" s="1"/>
  <c r="D368" i="262" s="1"/>
  <c r="AS71" i="261" a="1"/>
  <c r="AS71" i="261" s="1"/>
  <c r="AR71" i="261" a="1"/>
  <c r="AR71" i="261" s="1"/>
  <c r="D351" i="262" s="1"/>
  <c r="AQ71" i="261" a="1"/>
  <c r="AQ71" i="261" s="1"/>
  <c r="AP71" i="261" a="1"/>
  <c r="AP71" i="261" s="1"/>
  <c r="D334" i="262" s="1"/>
  <c r="AO71" i="261" a="1"/>
  <c r="AO71" i="261" s="1"/>
  <c r="AN71" i="261" a="1"/>
  <c r="AN71" i="261" s="1"/>
  <c r="D317" i="262" s="1"/>
  <c r="AM71" i="261" a="1"/>
  <c r="AM71" i="261" s="1"/>
  <c r="AL71" i="261" a="1"/>
  <c r="AL71" i="261" s="1"/>
  <c r="D300" i="262" s="1"/>
  <c r="AK71" i="261" a="1"/>
  <c r="AK71" i="261" s="1"/>
  <c r="AJ71" i="261" a="1"/>
  <c r="AJ71" i="261" s="1"/>
  <c r="D283" i="262" s="1"/>
  <c r="AI71" i="261" a="1"/>
  <c r="AI71" i="261" s="1"/>
  <c r="AH71" i="261" a="1"/>
  <c r="AH71" i="261" s="1"/>
  <c r="D266" i="262" s="1"/>
  <c r="AG71" i="261" a="1"/>
  <c r="AG71" i="261" s="1"/>
  <c r="AF71" i="261" a="1"/>
  <c r="AF71" i="261" s="1"/>
  <c r="D249" i="262" s="1"/>
  <c r="AE71" i="261" a="1"/>
  <c r="AE71" i="261" s="1"/>
  <c r="AD71" i="261" a="1"/>
  <c r="AD71" i="261" s="1"/>
  <c r="D232" i="262" s="1"/>
  <c r="AC71" i="261" a="1"/>
  <c r="AC71" i="261" s="1"/>
  <c r="AB71" i="261" a="1"/>
  <c r="AB71" i="261" s="1"/>
  <c r="D215" i="262" s="1"/>
  <c r="AA71" i="261" a="1"/>
  <c r="AA71" i="261" s="1"/>
  <c r="Z71" i="261" a="1"/>
  <c r="Z71" i="261" s="1"/>
  <c r="D198" i="262" s="1"/>
  <c r="Y71" i="261" a="1"/>
  <c r="Y71" i="261" s="1"/>
  <c r="X71" i="261" a="1"/>
  <c r="X71" i="261" s="1"/>
  <c r="D181" i="262" s="1"/>
  <c r="W71" i="261" a="1"/>
  <c r="W71" i="261" s="1"/>
  <c r="R71" i="261" a="1"/>
  <c r="R71" i="261" s="1"/>
  <c r="D130" i="262" s="1"/>
  <c r="Q71" i="261" a="1"/>
  <c r="Q71" i="261" s="1"/>
  <c r="C71" i="261" a="1"/>
  <c r="C71" i="261" s="1"/>
  <c r="BR70" i="261" a="1"/>
  <c r="BR70" i="261" s="1"/>
  <c r="D571" i="262" s="1"/>
  <c r="BQ70" i="261" a="1"/>
  <c r="BQ70" i="261" s="1"/>
  <c r="BP70" i="261" a="1"/>
  <c r="BP70" i="261" s="1"/>
  <c r="D554" i="262" s="1"/>
  <c r="BO70" i="261" a="1"/>
  <c r="BO70" i="261" s="1"/>
  <c r="BN70" i="261" a="1"/>
  <c r="BN70" i="261" s="1"/>
  <c r="BM70" i="261" a="1"/>
  <c r="BM70" i="261" s="1"/>
  <c r="BL70" i="261" a="1"/>
  <c r="BL70" i="261" s="1"/>
  <c r="BK70" i="261" a="1"/>
  <c r="BK70" i="261" s="1"/>
  <c r="BJ70" i="261" a="1"/>
  <c r="BJ70" i="261" s="1"/>
  <c r="D503" i="262" s="1"/>
  <c r="BI70" i="261" a="1"/>
  <c r="BI70" i="261" s="1"/>
  <c r="BH70" i="261" a="1"/>
  <c r="BH70" i="261" s="1"/>
  <c r="D486" i="262" s="1"/>
  <c r="BG70" i="261" a="1"/>
  <c r="BG70" i="261" s="1"/>
  <c r="BF70" i="261" a="1"/>
  <c r="BF70" i="261" s="1"/>
  <c r="D469" i="262" s="1"/>
  <c r="BE70" i="261" a="1"/>
  <c r="BE70" i="261" s="1"/>
  <c r="BD70" i="261" a="1"/>
  <c r="BD70" i="261" s="1"/>
  <c r="D452" i="262" s="1"/>
  <c r="BC70" i="261" a="1"/>
  <c r="BC70" i="261" s="1"/>
  <c r="BB70" i="261" a="1"/>
  <c r="BB70" i="261" s="1"/>
  <c r="D435" i="262" s="1"/>
  <c r="BA70" i="261" a="1"/>
  <c r="BA70" i="261" s="1"/>
  <c r="AZ70" i="261" a="1"/>
  <c r="AZ70" i="261" s="1"/>
  <c r="D418" i="262" s="1"/>
  <c r="AY70" i="261" a="1"/>
  <c r="AY70" i="261" s="1"/>
  <c r="AX70" i="261" a="1"/>
  <c r="AX70" i="261" s="1"/>
  <c r="D401" i="262" s="1"/>
  <c r="AW70" i="261" a="1"/>
  <c r="AW70" i="261" s="1"/>
  <c r="AV70" i="261" a="1"/>
  <c r="AV70" i="261" s="1"/>
  <c r="D384" i="262" s="1"/>
  <c r="AU70" i="261" a="1"/>
  <c r="AU70" i="261" s="1"/>
  <c r="AT70" i="261" a="1"/>
  <c r="AT70" i="261" s="1"/>
  <c r="D367" i="262" s="1"/>
  <c r="AS70" i="261" a="1"/>
  <c r="AS70" i="261" s="1"/>
  <c r="AR70" i="261" a="1"/>
  <c r="AR70" i="261" s="1"/>
  <c r="D350" i="262" s="1"/>
  <c r="AQ70" i="261" a="1"/>
  <c r="AQ70" i="261" s="1"/>
  <c r="AP70" i="261" a="1"/>
  <c r="AP70" i="261" s="1"/>
  <c r="D333" i="262" s="1"/>
  <c r="AO70" i="261" a="1"/>
  <c r="AO70" i="261" s="1"/>
  <c r="AN70" i="261" a="1"/>
  <c r="AN70" i="261" s="1"/>
  <c r="D316" i="262" s="1"/>
  <c r="AM70" i="261" a="1"/>
  <c r="AM70" i="261" s="1"/>
  <c r="AL70" i="261" a="1"/>
  <c r="AL70" i="261" s="1"/>
  <c r="D299" i="262" s="1"/>
  <c r="AK70" i="261" a="1"/>
  <c r="AK70" i="261" s="1"/>
  <c r="AJ70" i="261" a="1"/>
  <c r="AJ70" i="261" s="1"/>
  <c r="D282" i="262" s="1"/>
  <c r="AI70" i="261" a="1"/>
  <c r="AI70" i="261" s="1"/>
  <c r="AH70" i="261" a="1"/>
  <c r="AH70" i="261" s="1"/>
  <c r="D265" i="262" s="1"/>
  <c r="AG70" i="261" a="1"/>
  <c r="AG70" i="261" s="1"/>
  <c r="AF70" i="261" a="1"/>
  <c r="AF70" i="261" s="1"/>
  <c r="D248" i="262" s="1"/>
  <c r="AE70" i="261" a="1"/>
  <c r="AE70" i="261" s="1"/>
  <c r="AD70" i="261" a="1"/>
  <c r="AD70" i="261" s="1"/>
  <c r="D231" i="262" s="1"/>
  <c r="AC70" i="261" a="1"/>
  <c r="AC70" i="261" s="1"/>
  <c r="AB70" i="261" a="1"/>
  <c r="AB70" i="261" s="1"/>
  <c r="D214" i="262" s="1"/>
  <c r="AA70" i="261" a="1"/>
  <c r="AA70" i="261" s="1"/>
  <c r="Z70" i="261" a="1"/>
  <c r="Z70" i="261" s="1"/>
  <c r="D197" i="262" s="1"/>
  <c r="Y70" i="261" a="1"/>
  <c r="Y70" i="261" s="1"/>
  <c r="X70" i="261" a="1"/>
  <c r="X70" i="261" s="1"/>
  <c r="D180" i="262" s="1"/>
  <c r="W70" i="261" a="1"/>
  <c r="W70" i="261" s="1"/>
  <c r="R70" i="261" a="1"/>
  <c r="R70" i="261" s="1"/>
  <c r="D129" i="262" s="1"/>
  <c r="Q70" i="261" a="1"/>
  <c r="Q70" i="261" s="1"/>
  <c r="C70" i="261" a="1"/>
  <c r="C70" i="261" s="1"/>
  <c r="BR69" i="261" a="1"/>
  <c r="BR69" i="261" s="1"/>
  <c r="D570" i="262" s="1"/>
  <c r="BQ69" i="261" a="1"/>
  <c r="BQ69" i="261" s="1"/>
  <c r="BP69" i="261" a="1"/>
  <c r="BP69" i="261" s="1"/>
  <c r="D553" i="262" s="1"/>
  <c r="BO69" i="261" a="1"/>
  <c r="BO69" i="261" s="1"/>
  <c r="BN69" i="261" a="1"/>
  <c r="BN69" i="261" s="1"/>
  <c r="BM69" i="261" a="1"/>
  <c r="BM69" i="261" s="1"/>
  <c r="BL69" i="261" a="1"/>
  <c r="BL69" i="261" s="1"/>
  <c r="BK69" i="261" a="1"/>
  <c r="BK69" i="261" s="1"/>
  <c r="BJ69" i="261" a="1"/>
  <c r="BJ69" i="261" s="1"/>
  <c r="D502" i="262" s="1"/>
  <c r="BI69" i="261" a="1"/>
  <c r="BI69" i="261" s="1"/>
  <c r="BH69" i="261" a="1"/>
  <c r="BH69" i="261" s="1"/>
  <c r="D485" i="262" s="1"/>
  <c r="BG69" i="261" a="1"/>
  <c r="BG69" i="261" s="1"/>
  <c r="BF69" i="261" a="1"/>
  <c r="BF69" i="261" s="1"/>
  <c r="D468" i="262" s="1"/>
  <c r="BE69" i="261" a="1"/>
  <c r="BE69" i="261" s="1"/>
  <c r="BD69" i="261" a="1"/>
  <c r="BD69" i="261" s="1"/>
  <c r="D451" i="262" s="1"/>
  <c r="BC69" i="261" a="1"/>
  <c r="BC69" i="261" s="1"/>
  <c r="BB69" i="261" a="1"/>
  <c r="BB69" i="261" s="1"/>
  <c r="D434" i="262" s="1"/>
  <c r="BA69" i="261" a="1"/>
  <c r="BA69" i="261" s="1"/>
  <c r="AZ69" i="261" a="1"/>
  <c r="AZ69" i="261" s="1"/>
  <c r="D417" i="262" s="1"/>
  <c r="AY69" i="261" a="1"/>
  <c r="AY69" i="261" s="1"/>
  <c r="AX69" i="261" a="1"/>
  <c r="AX69" i="261" s="1"/>
  <c r="D400" i="262" s="1"/>
  <c r="AW69" i="261" a="1"/>
  <c r="AW69" i="261" s="1"/>
  <c r="AV69" i="261" a="1"/>
  <c r="AV69" i="261" s="1"/>
  <c r="D383" i="262" s="1"/>
  <c r="AU69" i="261" a="1"/>
  <c r="AU69" i="261" s="1"/>
  <c r="AT69" i="261" a="1"/>
  <c r="AT69" i="261" s="1"/>
  <c r="D366" i="262" s="1"/>
  <c r="AS69" i="261" a="1"/>
  <c r="AS69" i="261" s="1"/>
  <c r="AR69" i="261" a="1"/>
  <c r="AR69" i="261" s="1"/>
  <c r="D349" i="262" s="1"/>
  <c r="AQ69" i="261" a="1"/>
  <c r="AQ69" i="261" s="1"/>
  <c r="AP69" i="261" a="1"/>
  <c r="AP69" i="261" s="1"/>
  <c r="D332" i="262" s="1"/>
  <c r="AO69" i="261" a="1"/>
  <c r="AO69" i="261" s="1"/>
  <c r="AN69" i="261" a="1"/>
  <c r="AN69" i="261" s="1"/>
  <c r="D315" i="262" s="1"/>
  <c r="AM69" i="261" a="1"/>
  <c r="AM69" i="261" s="1"/>
  <c r="AL69" i="261" a="1"/>
  <c r="AL69" i="261" s="1"/>
  <c r="D298" i="262" s="1"/>
  <c r="AK69" i="261" a="1"/>
  <c r="AK69" i="261" s="1"/>
  <c r="AJ69" i="261" a="1"/>
  <c r="AJ69" i="261" s="1"/>
  <c r="D281" i="262" s="1"/>
  <c r="AI69" i="261" a="1"/>
  <c r="AI69" i="261" s="1"/>
  <c r="AH69" i="261" a="1"/>
  <c r="AH69" i="261" s="1"/>
  <c r="D264" i="262" s="1"/>
  <c r="AG69" i="261" a="1"/>
  <c r="AG69" i="261" s="1"/>
  <c r="AF69" i="261" a="1"/>
  <c r="AF69" i="261" s="1"/>
  <c r="D247" i="262" s="1"/>
  <c r="AE69" i="261" a="1"/>
  <c r="AE69" i="261" s="1"/>
  <c r="AD69" i="261" a="1"/>
  <c r="AD69" i="261" s="1"/>
  <c r="D230" i="262" s="1"/>
  <c r="AC69" i="261" a="1"/>
  <c r="AC69" i="261" s="1"/>
  <c r="AB69" i="261" a="1"/>
  <c r="AB69" i="261" s="1"/>
  <c r="D213" i="262" s="1"/>
  <c r="AA69" i="261" a="1"/>
  <c r="AA69" i="261" s="1"/>
  <c r="Z69" i="261" a="1"/>
  <c r="Z69" i="261" s="1"/>
  <c r="D196" i="262" s="1"/>
  <c r="Y69" i="261" a="1"/>
  <c r="Y69" i="261" s="1"/>
  <c r="X69" i="261" a="1"/>
  <c r="X69" i="261" s="1"/>
  <c r="D179" i="262" s="1"/>
  <c r="W69" i="261" a="1"/>
  <c r="W69" i="261" s="1"/>
  <c r="R69" i="261" a="1"/>
  <c r="R69" i="261" s="1"/>
  <c r="D128" i="262" s="1"/>
  <c r="Q69" i="261" a="1"/>
  <c r="Q69" i="261" s="1"/>
  <c r="C69" i="261" a="1"/>
  <c r="C69" i="261" s="1"/>
  <c r="BR68" i="261" a="1"/>
  <c r="BR68" i="261" s="1"/>
  <c r="D569" i="262" s="1"/>
  <c r="BQ68" i="261" a="1"/>
  <c r="BQ68" i="261" s="1"/>
  <c r="BP68" i="261" a="1"/>
  <c r="BP68" i="261" s="1"/>
  <c r="D552" i="262" s="1"/>
  <c r="BO68" i="261" a="1"/>
  <c r="BO68" i="261" s="1"/>
  <c r="BN68" i="261" a="1"/>
  <c r="BN68" i="261" s="1"/>
  <c r="BM68" i="261" a="1"/>
  <c r="BM68" i="261" s="1"/>
  <c r="BL68" i="261" a="1"/>
  <c r="BL68" i="261" s="1"/>
  <c r="BK68" i="261" a="1"/>
  <c r="BK68" i="261" s="1"/>
  <c r="BJ68" i="261" a="1"/>
  <c r="BJ68" i="261" s="1"/>
  <c r="D501" i="262" s="1"/>
  <c r="BI68" i="261" a="1"/>
  <c r="BI68" i="261" s="1"/>
  <c r="BH68" i="261" a="1"/>
  <c r="BH68" i="261" s="1"/>
  <c r="D484" i="262" s="1"/>
  <c r="BG68" i="261" a="1"/>
  <c r="BG68" i="261" s="1"/>
  <c r="BF68" i="261" a="1"/>
  <c r="BF68" i="261" s="1"/>
  <c r="D467" i="262" s="1"/>
  <c r="BE68" i="261" a="1"/>
  <c r="BE68" i="261" s="1"/>
  <c r="BD68" i="261" a="1"/>
  <c r="BD68" i="261" s="1"/>
  <c r="D450" i="262" s="1"/>
  <c r="BC68" i="261" a="1"/>
  <c r="BC68" i="261" s="1"/>
  <c r="BB68" i="261" a="1"/>
  <c r="BB68" i="261" s="1"/>
  <c r="D433" i="262" s="1"/>
  <c r="BA68" i="261" a="1"/>
  <c r="BA68" i="261" s="1"/>
  <c r="AZ68" i="261" a="1"/>
  <c r="AZ68" i="261" s="1"/>
  <c r="D416" i="262" s="1"/>
  <c r="AY68" i="261" a="1"/>
  <c r="AY68" i="261" s="1"/>
  <c r="AX68" i="261" a="1"/>
  <c r="AX68" i="261" s="1"/>
  <c r="D399" i="262" s="1"/>
  <c r="AW68" i="261" a="1"/>
  <c r="AW68" i="261" s="1"/>
  <c r="AV68" i="261" a="1"/>
  <c r="AV68" i="261" s="1"/>
  <c r="D382" i="262" s="1"/>
  <c r="AU68" i="261" a="1"/>
  <c r="AU68" i="261" s="1"/>
  <c r="AT68" i="261" a="1"/>
  <c r="AT68" i="261" s="1"/>
  <c r="D365" i="262" s="1"/>
  <c r="AS68" i="261" a="1"/>
  <c r="AS68" i="261" s="1"/>
  <c r="AR68" i="261" a="1"/>
  <c r="AR68" i="261" s="1"/>
  <c r="D348" i="262" s="1"/>
  <c r="AQ68" i="261" a="1"/>
  <c r="AQ68" i="261" s="1"/>
  <c r="AP68" i="261" a="1"/>
  <c r="AP68" i="261" s="1"/>
  <c r="D331" i="262" s="1"/>
  <c r="AO68" i="261" a="1"/>
  <c r="AO68" i="261" s="1"/>
  <c r="AN68" i="261" a="1"/>
  <c r="AN68" i="261" s="1"/>
  <c r="D314" i="262" s="1"/>
  <c r="AM68" i="261" a="1"/>
  <c r="AM68" i="261" s="1"/>
  <c r="AL68" i="261" a="1"/>
  <c r="AL68" i="261" s="1"/>
  <c r="D297" i="262" s="1"/>
  <c r="AK68" i="261" a="1"/>
  <c r="AK68" i="261" s="1"/>
  <c r="AJ68" i="261" a="1"/>
  <c r="AJ68" i="261" s="1"/>
  <c r="D280" i="262" s="1"/>
  <c r="AI68" i="261" a="1"/>
  <c r="AI68" i="261" s="1"/>
  <c r="AH68" i="261" a="1"/>
  <c r="AH68" i="261" s="1"/>
  <c r="D263" i="262" s="1"/>
  <c r="AG68" i="261" a="1"/>
  <c r="AG68" i="261" s="1"/>
  <c r="AF68" i="261" a="1"/>
  <c r="AF68" i="261" s="1"/>
  <c r="D246" i="262" s="1"/>
  <c r="AE68" i="261" a="1"/>
  <c r="AE68" i="261" s="1"/>
  <c r="AD68" i="261" a="1"/>
  <c r="AD68" i="261" s="1"/>
  <c r="D229" i="262" s="1"/>
  <c r="AC68" i="261" a="1"/>
  <c r="AC68" i="261" s="1"/>
  <c r="AB68" i="261" a="1"/>
  <c r="AB68" i="261" s="1"/>
  <c r="D212" i="262" s="1"/>
  <c r="AA68" i="261" a="1"/>
  <c r="AA68" i="261" s="1"/>
  <c r="Z68" i="261" a="1"/>
  <c r="Z68" i="261" s="1"/>
  <c r="D195" i="262" s="1"/>
  <c r="Y68" i="261" a="1"/>
  <c r="Y68" i="261" s="1"/>
  <c r="X68" i="261" a="1"/>
  <c r="X68" i="261" s="1"/>
  <c r="D178" i="262" s="1"/>
  <c r="W68" i="261" a="1"/>
  <c r="W68" i="261" s="1"/>
  <c r="R68" i="261" a="1"/>
  <c r="R68" i="261" s="1"/>
  <c r="D127" i="262" s="1"/>
  <c r="Q68" i="261" a="1"/>
  <c r="Q68" i="261" s="1"/>
  <c r="C68" i="261" a="1"/>
  <c r="C68" i="261" s="1"/>
  <c r="BR67" i="261" a="1"/>
  <c r="BR67" i="261" s="1"/>
  <c r="D568" i="262" s="1"/>
  <c r="BQ67" i="261" a="1"/>
  <c r="BQ67" i="261" s="1"/>
  <c r="BP67" i="261" a="1"/>
  <c r="BP67" i="261" s="1"/>
  <c r="D551" i="262" s="1"/>
  <c r="BO67" i="261" a="1"/>
  <c r="BO67" i="261" s="1"/>
  <c r="BN67" i="261" a="1"/>
  <c r="BN67" i="261" s="1"/>
  <c r="D534" i="262" s="1"/>
  <c r="BM67" i="261" a="1"/>
  <c r="BM67" i="261" s="1"/>
  <c r="BL67" i="261" a="1"/>
  <c r="BL67" i="261" s="1"/>
  <c r="D517" i="262" s="1"/>
  <c r="BK67" i="261" a="1"/>
  <c r="BK67" i="261" s="1"/>
  <c r="BJ67" i="261" a="1"/>
  <c r="BJ67" i="261" s="1"/>
  <c r="D500" i="262" s="1"/>
  <c r="BI67" i="261" a="1"/>
  <c r="BI67" i="261" s="1"/>
  <c r="BH67" i="261" a="1"/>
  <c r="BH67" i="261" s="1"/>
  <c r="D483" i="262" s="1"/>
  <c r="BG67" i="261" a="1"/>
  <c r="BG67" i="261" s="1"/>
  <c r="BF67" i="261" a="1"/>
  <c r="BF67" i="261" s="1"/>
  <c r="D466" i="262" s="1"/>
  <c r="BE67" i="261" a="1"/>
  <c r="BE67" i="261" s="1"/>
  <c r="BD67" i="261" a="1"/>
  <c r="BD67" i="261" s="1"/>
  <c r="D449" i="262" s="1"/>
  <c r="BC67" i="261" a="1"/>
  <c r="BC67" i="261" s="1"/>
  <c r="BB67" i="261" a="1"/>
  <c r="BB67" i="261" s="1"/>
  <c r="D432" i="262" s="1"/>
  <c r="BA67" i="261" a="1"/>
  <c r="BA67" i="261" s="1"/>
  <c r="AZ67" i="261" a="1"/>
  <c r="AZ67" i="261" s="1"/>
  <c r="D415" i="262" s="1"/>
  <c r="AY67" i="261" a="1"/>
  <c r="AY67" i="261" s="1"/>
  <c r="AX67" i="261" a="1"/>
  <c r="AX67" i="261" s="1"/>
  <c r="D398" i="262" s="1"/>
  <c r="AW67" i="261" a="1"/>
  <c r="AW67" i="261" s="1"/>
  <c r="AV67" i="261" a="1"/>
  <c r="AV67" i="261" s="1"/>
  <c r="D381" i="262" s="1"/>
  <c r="AU67" i="261" a="1"/>
  <c r="AU67" i="261" s="1"/>
  <c r="AT67" i="261" a="1"/>
  <c r="AT67" i="261" s="1"/>
  <c r="D364" i="262" s="1"/>
  <c r="AS67" i="261" a="1"/>
  <c r="AS67" i="261" s="1"/>
  <c r="AR67" i="261" a="1"/>
  <c r="AR67" i="261" s="1"/>
  <c r="D347" i="262" s="1"/>
  <c r="AQ67" i="261" a="1"/>
  <c r="AQ67" i="261" s="1"/>
  <c r="AP67" i="261" a="1"/>
  <c r="AP67" i="261" s="1"/>
  <c r="D330" i="262" s="1"/>
  <c r="AO67" i="261" a="1"/>
  <c r="AO67" i="261" s="1"/>
  <c r="AN67" i="261" a="1"/>
  <c r="AN67" i="261" s="1"/>
  <c r="D313" i="262" s="1"/>
  <c r="AM67" i="261" a="1"/>
  <c r="AM67" i="261" s="1"/>
  <c r="AL67" i="261" a="1"/>
  <c r="AL67" i="261" s="1"/>
  <c r="D296" i="262" s="1"/>
  <c r="AK67" i="261" a="1"/>
  <c r="AK67" i="261" s="1"/>
  <c r="AJ67" i="261" a="1"/>
  <c r="AJ67" i="261" s="1"/>
  <c r="D279" i="262" s="1"/>
  <c r="AI67" i="261" a="1"/>
  <c r="AI67" i="261" s="1"/>
  <c r="AH67" i="261" a="1"/>
  <c r="AH67" i="261" s="1"/>
  <c r="D262" i="262" s="1"/>
  <c r="AG67" i="261" a="1"/>
  <c r="AG67" i="261" s="1"/>
  <c r="AF67" i="261" a="1"/>
  <c r="AF67" i="261" s="1"/>
  <c r="D245" i="262" s="1"/>
  <c r="AE67" i="261" a="1"/>
  <c r="AE67" i="261" s="1"/>
  <c r="AD67" i="261" a="1"/>
  <c r="AD67" i="261" s="1"/>
  <c r="D228" i="262" s="1"/>
  <c r="AC67" i="261" a="1"/>
  <c r="AC67" i="261" s="1"/>
  <c r="AB67" i="261" a="1"/>
  <c r="AB67" i="261" s="1"/>
  <c r="D211" i="262" s="1"/>
  <c r="AA67" i="261" a="1"/>
  <c r="AA67" i="261" s="1"/>
  <c r="Z67" i="261" a="1"/>
  <c r="Z67" i="261" s="1"/>
  <c r="D194" i="262" s="1"/>
  <c r="Y67" i="261" a="1"/>
  <c r="Y67" i="261" s="1"/>
  <c r="X67" i="261" a="1"/>
  <c r="X67" i="261" s="1"/>
  <c r="D177" i="262" s="1"/>
  <c r="W67" i="261" a="1"/>
  <c r="W67" i="261" s="1"/>
  <c r="R67" i="261" a="1"/>
  <c r="R67" i="261" s="1"/>
  <c r="D126" i="262" s="1"/>
  <c r="Q67" i="261" a="1"/>
  <c r="Q67" i="261" s="1"/>
  <c r="C67" i="261" a="1"/>
  <c r="C67" i="261" s="1"/>
  <c r="U68" i="261" a="1"/>
  <c r="U68" i="261" s="1"/>
  <c r="U69" i="261" a="1"/>
  <c r="U69" i="261" s="1"/>
  <c r="U70" i="261" a="1"/>
  <c r="U70" i="261" s="1"/>
  <c r="U71" i="261" a="1"/>
  <c r="U71" i="261" s="1"/>
  <c r="U72" i="261" a="1"/>
  <c r="U72" i="261" s="1"/>
  <c r="U73" i="261" a="1"/>
  <c r="U73" i="261" s="1"/>
  <c r="U74" i="261" a="1"/>
  <c r="U74" i="261" s="1"/>
  <c r="U75" i="261" a="1"/>
  <c r="U75" i="261" s="1"/>
  <c r="U76" i="261" a="1"/>
  <c r="U76" i="261" s="1"/>
  <c r="U77" i="261" a="1"/>
  <c r="U77" i="261" s="1"/>
  <c r="U78" i="261" a="1"/>
  <c r="U78" i="261" s="1"/>
  <c r="U79" i="261" a="1"/>
  <c r="U79" i="261" s="1"/>
  <c r="U80" i="261" a="1"/>
  <c r="U80" i="261" s="1"/>
  <c r="U81" i="261" a="1"/>
  <c r="U81" i="261" s="1"/>
  <c r="U82" i="261" a="1"/>
  <c r="U82" i="261" s="1"/>
  <c r="U83" i="261" a="1"/>
  <c r="U83" i="261" s="1"/>
  <c r="U84" i="261" a="1"/>
  <c r="U84" i="261" s="1"/>
  <c r="U85" i="261" a="1"/>
  <c r="U85" i="261" s="1"/>
  <c r="U86" i="261" a="1"/>
  <c r="U86" i="261" s="1"/>
  <c r="U87" i="261" a="1"/>
  <c r="U87" i="261" s="1"/>
  <c r="U88" i="261" a="1"/>
  <c r="U88" i="261" s="1"/>
  <c r="U89" i="261" a="1"/>
  <c r="U89" i="261" s="1"/>
  <c r="U90" i="261" a="1"/>
  <c r="U90" i="261" s="1"/>
  <c r="U67" i="261" a="1"/>
  <c r="U67" i="261" s="1"/>
  <c r="T68" i="261" a="1"/>
  <c r="T68" i="261" s="1"/>
  <c r="D144" i="262" s="1"/>
  <c r="T69" i="261" a="1"/>
  <c r="T69" i="261" s="1"/>
  <c r="D145" i="262" s="1"/>
  <c r="T70" i="261" a="1"/>
  <c r="T70" i="261" s="1"/>
  <c r="D146" i="262" s="1"/>
  <c r="T71" i="261" a="1"/>
  <c r="T71" i="261" s="1"/>
  <c r="D147" i="262" s="1"/>
  <c r="T72" i="261" a="1"/>
  <c r="T72" i="261" s="1"/>
  <c r="D148" i="262" s="1"/>
  <c r="T73" i="261" a="1"/>
  <c r="T73" i="261" s="1"/>
  <c r="D149" i="262" s="1"/>
  <c r="T74" i="261" a="1"/>
  <c r="T74" i="261" s="1"/>
  <c r="D150" i="262" s="1"/>
  <c r="T75" i="261" a="1"/>
  <c r="T75" i="261" s="1"/>
  <c r="D151" i="262" s="1"/>
  <c r="T76" i="261" a="1"/>
  <c r="T76" i="261" s="1"/>
  <c r="D152" i="262" s="1"/>
  <c r="T77" i="261" a="1"/>
  <c r="T77" i="261" s="1"/>
  <c r="D153" i="262" s="1"/>
  <c r="T78" i="261" a="1"/>
  <c r="T78" i="261" s="1"/>
  <c r="T79" i="261" a="1"/>
  <c r="T79" i="261" s="1"/>
  <c r="T80" i="261" a="1"/>
  <c r="T80" i="261" s="1"/>
  <c r="T81" i="261" a="1"/>
  <c r="T81" i="261" s="1"/>
  <c r="T82" i="261" a="1"/>
  <c r="T82" i="261" s="1"/>
  <c r="T83" i="261" a="1"/>
  <c r="T83" i="261" s="1"/>
  <c r="T84" i="261" a="1"/>
  <c r="T84" i="261" s="1"/>
  <c r="T85" i="261" a="1"/>
  <c r="T85" i="261" s="1"/>
  <c r="T86" i="261" a="1"/>
  <c r="T86" i="261" s="1"/>
  <c r="T87" i="261" a="1"/>
  <c r="T87" i="261" s="1"/>
  <c r="T88" i="261" a="1"/>
  <c r="T88" i="261" s="1"/>
  <c r="T89" i="261" a="1"/>
  <c r="T89" i="261" s="1"/>
  <c r="T90" i="261" a="1"/>
  <c r="T90" i="261" s="1"/>
  <c r="T67" i="261" a="1"/>
  <c r="T67" i="261" s="1"/>
  <c r="D143" i="262" s="1"/>
  <c r="S68" i="261" a="1"/>
  <c r="S68" i="261" s="1"/>
  <c r="S69" i="261" a="1"/>
  <c r="S69" i="261" s="1"/>
  <c r="S70" i="261" a="1"/>
  <c r="S70" i="261" s="1"/>
  <c r="S71" i="261" a="1"/>
  <c r="S71" i="261" s="1"/>
  <c r="S72" i="261" a="1"/>
  <c r="S72" i="261" s="1"/>
  <c r="S73" i="261" a="1"/>
  <c r="S73" i="261" s="1"/>
  <c r="S74" i="261" a="1"/>
  <c r="S74" i="261" s="1"/>
  <c r="S75" i="261" a="1"/>
  <c r="S75" i="261" s="1"/>
  <c r="S76" i="261" a="1"/>
  <c r="S76" i="261" s="1"/>
  <c r="S77" i="261" a="1"/>
  <c r="S77" i="261" s="1"/>
  <c r="S78" i="261" a="1"/>
  <c r="S78" i="261" s="1"/>
  <c r="S79" i="261" a="1"/>
  <c r="S79" i="261" s="1"/>
  <c r="S80" i="261" a="1"/>
  <c r="S80" i="261" s="1"/>
  <c r="S81" i="261" a="1"/>
  <c r="S81" i="261" s="1"/>
  <c r="S82" i="261" a="1"/>
  <c r="S82" i="261" s="1"/>
  <c r="S83" i="261" a="1"/>
  <c r="S83" i="261" s="1"/>
  <c r="S84" i="261" a="1"/>
  <c r="S84" i="261" s="1"/>
  <c r="S85" i="261" a="1"/>
  <c r="S85" i="261" s="1"/>
  <c r="S86" i="261" a="1"/>
  <c r="S86" i="261" s="1"/>
  <c r="S87" i="261" a="1"/>
  <c r="S87" i="261" s="1"/>
  <c r="S88" i="261" a="1"/>
  <c r="S88" i="261" s="1"/>
  <c r="S89" i="261" a="1"/>
  <c r="S89" i="261" s="1"/>
  <c r="S90" i="261" a="1"/>
  <c r="S90" i="261" s="1"/>
  <c r="S67" i="261" a="1"/>
  <c r="S67" i="261" s="1"/>
  <c r="D68" i="261" a="1"/>
  <c r="D68" i="261" s="1"/>
  <c r="D8" i="262" s="1"/>
  <c r="D69" i="261" a="1"/>
  <c r="D69" i="261" s="1"/>
  <c r="D9" i="262" s="1"/>
  <c r="D70" i="261" a="1"/>
  <c r="D70" i="261" s="1"/>
  <c r="D10" i="262" s="1"/>
  <c r="D71" i="261" a="1"/>
  <c r="D71" i="261" s="1"/>
  <c r="D11" i="262" s="1"/>
  <c r="D72" i="261" a="1"/>
  <c r="D72" i="261" s="1"/>
  <c r="D12" i="262" s="1"/>
  <c r="D73" i="261" a="1"/>
  <c r="D73" i="261" s="1"/>
  <c r="D13" i="262" s="1"/>
  <c r="D74" i="261" a="1"/>
  <c r="D74" i="261" s="1"/>
  <c r="D14" i="262" s="1"/>
  <c r="D75" i="261" a="1"/>
  <c r="D75" i="261" s="1"/>
  <c r="D15" i="262" s="1"/>
  <c r="D76" i="261" a="1"/>
  <c r="D76" i="261" s="1"/>
  <c r="D16" i="262" s="1"/>
  <c r="D77" i="261" a="1"/>
  <c r="D77" i="261" s="1"/>
  <c r="D17" i="262" s="1"/>
  <c r="D78" i="261" a="1"/>
  <c r="D78" i="261" s="1"/>
  <c r="D79" i="261" a="1"/>
  <c r="D79" i="261" s="1"/>
  <c r="D80" i="261" a="1"/>
  <c r="D80" i="261" s="1"/>
  <c r="D81" i="261" a="1"/>
  <c r="D81" i="261" s="1"/>
  <c r="D82" i="261" a="1"/>
  <c r="D82" i="261" s="1"/>
  <c r="D83" i="261" a="1"/>
  <c r="D83" i="261" s="1"/>
  <c r="D84" i="261" a="1"/>
  <c r="D84" i="261" s="1"/>
  <c r="D85" i="261" a="1"/>
  <c r="D85" i="261" s="1"/>
  <c r="D86" i="261" a="1"/>
  <c r="D86" i="261" s="1"/>
  <c r="D87" i="261" a="1"/>
  <c r="D87" i="261" s="1"/>
  <c r="D88" i="261" a="1"/>
  <c r="D88" i="261" s="1"/>
  <c r="D89" i="261" a="1"/>
  <c r="D89" i="261" s="1"/>
  <c r="D90" i="261" a="1"/>
  <c r="D90" i="261" s="1"/>
  <c r="D67" i="261" a="1"/>
  <c r="D67" i="261" s="1"/>
  <c r="D7" i="262" s="1"/>
  <c r="L68" i="261" a="1"/>
  <c r="L68" i="261" s="1"/>
  <c r="D76" i="262" s="1"/>
  <c r="L69" i="261" a="1"/>
  <c r="L69" i="261" s="1"/>
  <c r="D77" i="262" s="1"/>
  <c r="L70" i="261" a="1"/>
  <c r="L70" i="261" s="1"/>
  <c r="D78" i="262" s="1"/>
  <c r="L71" i="261" a="1"/>
  <c r="L71" i="261" s="1"/>
  <c r="D79" i="262" s="1"/>
  <c r="L72" i="261" a="1"/>
  <c r="L72" i="261" s="1"/>
  <c r="D80" i="262" s="1"/>
  <c r="L73" i="261" a="1"/>
  <c r="L73" i="261" s="1"/>
  <c r="D81" i="262" s="1"/>
  <c r="L74" i="261" a="1"/>
  <c r="L74" i="261" s="1"/>
  <c r="D82" i="262" s="1"/>
  <c r="L75" i="261" a="1"/>
  <c r="L75" i="261" s="1"/>
  <c r="D83" i="262" s="1"/>
  <c r="L76" i="261" a="1"/>
  <c r="L76" i="261" s="1"/>
  <c r="D84" i="262" s="1"/>
  <c r="L77" i="261" a="1"/>
  <c r="L77" i="261" s="1"/>
  <c r="D85" i="262" s="1"/>
  <c r="L78" i="261" a="1"/>
  <c r="L78" i="261" s="1"/>
  <c r="L79" i="261" a="1"/>
  <c r="L79" i="261" s="1"/>
  <c r="L80" i="261" a="1"/>
  <c r="L80" i="261" s="1"/>
  <c r="L81" i="261" a="1"/>
  <c r="L81" i="261" s="1"/>
  <c r="L82" i="261" a="1"/>
  <c r="L82" i="261" s="1"/>
  <c r="L83" i="261" a="1"/>
  <c r="L83" i="261" s="1"/>
  <c r="L84" i="261" a="1"/>
  <c r="L84" i="261" s="1"/>
  <c r="L85" i="261" a="1"/>
  <c r="L85" i="261" s="1"/>
  <c r="L86" i="261" a="1"/>
  <c r="L86" i="261" s="1"/>
  <c r="L87" i="261" a="1"/>
  <c r="L87" i="261" s="1"/>
  <c r="L88" i="261" a="1"/>
  <c r="L88" i="261" s="1"/>
  <c r="L89" i="261" a="1"/>
  <c r="L89" i="261" s="1"/>
  <c r="L90" i="261" a="1"/>
  <c r="L90" i="261" s="1"/>
  <c r="L67" i="261" a="1"/>
  <c r="L67" i="261" s="1"/>
  <c r="D75" i="262" s="1"/>
  <c r="P68" i="261" a="1"/>
  <c r="P68" i="261" s="1"/>
  <c r="D110" i="262" s="1"/>
  <c r="P69" i="261" a="1"/>
  <c r="P69" i="261" s="1"/>
  <c r="D111" i="262" s="1"/>
  <c r="P70" i="261" a="1"/>
  <c r="P70" i="261" s="1"/>
  <c r="D112" i="262" s="1"/>
  <c r="P71" i="261" a="1"/>
  <c r="P71" i="261" s="1"/>
  <c r="D113" i="262" s="1"/>
  <c r="P72" i="261" a="1"/>
  <c r="P72" i="261" s="1"/>
  <c r="D114" i="262" s="1"/>
  <c r="P73" i="261" a="1"/>
  <c r="P73" i="261" s="1"/>
  <c r="D115" i="262" s="1"/>
  <c r="P74" i="261" a="1"/>
  <c r="P74" i="261" s="1"/>
  <c r="D116" i="262" s="1"/>
  <c r="P75" i="261" a="1"/>
  <c r="P75" i="261" s="1"/>
  <c r="D117" i="262" s="1"/>
  <c r="P76" i="261" a="1"/>
  <c r="P76" i="261" s="1"/>
  <c r="D118" i="262" s="1"/>
  <c r="P77" i="261" a="1"/>
  <c r="P77" i="261" s="1"/>
  <c r="D119" i="262" s="1"/>
  <c r="P78" i="261" a="1"/>
  <c r="P78" i="261" s="1"/>
  <c r="P79" i="261" a="1"/>
  <c r="P79" i="261" s="1"/>
  <c r="P80" i="261" a="1"/>
  <c r="P80" i="261" s="1"/>
  <c r="P81" i="261" a="1"/>
  <c r="P81" i="261" s="1"/>
  <c r="P82" i="261" a="1"/>
  <c r="P82" i="261" s="1"/>
  <c r="P83" i="261" a="1"/>
  <c r="P83" i="261" s="1"/>
  <c r="P84" i="261" a="1"/>
  <c r="P84" i="261" s="1"/>
  <c r="P85" i="261" a="1"/>
  <c r="P85" i="261" s="1"/>
  <c r="P86" i="261" a="1"/>
  <c r="P86" i="261" s="1"/>
  <c r="P87" i="261" a="1"/>
  <c r="P87" i="261" s="1"/>
  <c r="P88" i="261" a="1"/>
  <c r="P88" i="261" s="1"/>
  <c r="P89" i="261" a="1"/>
  <c r="P89" i="261" s="1"/>
  <c r="P90" i="261" a="1"/>
  <c r="P90" i="261" s="1"/>
  <c r="P67" i="261" a="1"/>
  <c r="P67" i="261" s="1"/>
  <c r="D109" i="262" s="1"/>
  <c r="O68" i="261" a="1"/>
  <c r="O68" i="261" s="1"/>
  <c r="O69" i="261" a="1"/>
  <c r="O69" i="261" s="1"/>
  <c r="O70" i="261" a="1"/>
  <c r="O70" i="261" s="1"/>
  <c r="O71" i="261" a="1"/>
  <c r="O71" i="261" s="1"/>
  <c r="O72" i="261" a="1"/>
  <c r="O72" i="261" s="1"/>
  <c r="O73" i="261" a="1"/>
  <c r="O73" i="261" s="1"/>
  <c r="O74" i="261" a="1"/>
  <c r="O74" i="261" s="1"/>
  <c r="O75" i="261" a="1"/>
  <c r="O75" i="261" s="1"/>
  <c r="O76" i="261" a="1"/>
  <c r="O76" i="261" s="1"/>
  <c r="O77" i="261" a="1"/>
  <c r="O77" i="261" s="1"/>
  <c r="O78" i="261" a="1"/>
  <c r="O78" i="261" s="1"/>
  <c r="O79" i="261" a="1"/>
  <c r="O79" i="261" s="1"/>
  <c r="O80" i="261" a="1"/>
  <c r="O80" i="261" s="1"/>
  <c r="O81" i="261" a="1"/>
  <c r="O81" i="261" s="1"/>
  <c r="O82" i="261" a="1"/>
  <c r="O82" i="261" s="1"/>
  <c r="O83" i="261" a="1"/>
  <c r="O83" i="261" s="1"/>
  <c r="O84" i="261" a="1"/>
  <c r="O84" i="261" s="1"/>
  <c r="O85" i="261" a="1"/>
  <c r="O85" i="261" s="1"/>
  <c r="O86" i="261" a="1"/>
  <c r="O86" i="261" s="1"/>
  <c r="O87" i="261" a="1"/>
  <c r="O87" i="261" s="1"/>
  <c r="O88" i="261" a="1"/>
  <c r="O88" i="261" s="1"/>
  <c r="O89" i="261" a="1"/>
  <c r="O89" i="261" s="1"/>
  <c r="O90" i="261" a="1"/>
  <c r="O90" i="261" s="1"/>
  <c r="O67" i="261" a="1"/>
  <c r="O67" i="261" s="1"/>
  <c r="N68" i="261" a="1"/>
  <c r="N68" i="261" s="1"/>
  <c r="D93" i="262" s="1"/>
  <c r="N69" i="261" a="1"/>
  <c r="N69" i="261" s="1"/>
  <c r="D94" i="262" s="1"/>
  <c r="N70" i="261" a="1"/>
  <c r="N70" i="261" s="1"/>
  <c r="D95" i="262" s="1"/>
  <c r="N71" i="261" a="1"/>
  <c r="N71" i="261" s="1"/>
  <c r="D96" i="262" s="1"/>
  <c r="N72" i="261" a="1"/>
  <c r="N72" i="261" s="1"/>
  <c r="D97" i="262" s="1"/>
  <c r="N73" i="261" a="1"/>
  <c r="N73" i="261" s="1"/>
  <c r="D98" i="262" s="1"/>
  <c r="N74" i="261" a="1"/>
  <c r="N74" i="261" s="1"/>
  <c r="D99" i="262" s="1"/>
  <c r="N75" i="261" a="1"/>
  <c r="N75" i="261" s="1"/>
  <c r="D100" i="262" s="1"/>
  <c r="N76" i="261" a="1"/>
  <c r="N76" i="261" s="1"/>
  <c r="D101" i="262" s="1"/>
  <c r="N77" i="261" a="1"/>
  <c r="N77" i="261" s="1"/>
  <c r="D102" i="262" s="1"/>
  <c r="N78" i="261" a="1"/>
  <c r="N78" i="261" s="1"/>
  <c r="N79" i="261" a="1"/>
  <c r="N79" i="261" s="1"/>
  <c r="N80" i="261" a="1"/>
  <c r="N80" i="261" s="1"/>
  <c r="N81" i="261" a="1"/>
  <c r="N81" i="261" s="1"/>
  <c r="N82" i="261" a="1"/>
  <c r="N82" i="261" s="1"/>
  <c r="N83" i="261" a="1"/>
  <c r="N83" i="261" s="1"/>
  <c r="N84" i="261" a="1"/>
  <c r="N84" i="261" s="1"/>
  <c r="N85" i="261" a="1"/>
  <c r="N85" i="261" s="1"/>
  <c r="N86" i="261" a="1"/>
  <c r="N86" i="261" s="1"/>
  <c r="N87" i="261" a="1"/>
  <c r="N87" i="261" s="1"/>
  <c r="N88" i="261" a="1"/>
  <c r="N88" i="261" s="1"/>
  <c r="N89" i="261" a="1"/>
  <c r="N89" i="261" s="1"/>
  <c r="N90" i="261" a="1"/>
  <c r="N90" i="261" s="1"/>
  <c r="N67" i="261" a="1"/>
  <c r="N67" i="261" s="1"/>
  <c r="D92" i="262" s="1"/>
  <c r="M68" i="261" a="1"/>
  <c r="M68" i="261" s="1"/>
  <c r="M69" i="261" a="1"/>
  <c r="M69" i="261" s="1"/>
  <c r="M70" i="261" a="1"/>
  <c r="M70" i="261" s="1"/>
  <c r="M71" i="261" a="1"/>
  <c r="M71" i="261" s="1"/>
  <c r="M72" i="261" a="1"/>
  <c r="M72" i="261" s="1"/>
  <c r="M73" i="261" a="1"/>
  <c r="M73" i="261" s="1"/>
  <c r="M74" i="261" a="1"/>
  <c r="M74" i="261" s="1"/>
  <c r="M75" i="261" a="1"/>
  <c r="M75" i="261" s="1"/>
  <c r="M76" i="261" a="1"/>
  <c r="M76" i="261" s="1"/>
  <c r="M77" i="261" a="1"/>
  <c r="M77" i="261" s="1"/>
  <c r="M78" i="261" a="1"/>
  <c r="M78" i="261" s="1"/>
  <c r="M79" i="261" a="1"/>
  <c r="M79" i="261" s="1"/>
  <c r="M80" i="261" a="1"/>
  <c r="M80" i="261" s="1"/>
  <c r="M81" i="261" a="1"/>
  <c r="M81" i="261" s="1"/>
  <c r="M82" i="261" a="1"/>
  <c r="M82" i="261" s="1"/>
  <c r="M83" i="261" a="1"/>
  <c r="M83" i="261" s="1"/>
  <c r="M84" i="261" a="1"/>
  <c r="M84" i="261" s="1"/>
  <c r="M85" i="261" a="1"/>
  <c r="M85" i="261" s="1"/>
  <c r="M86" i="261" a="1"/>
  <c r="M86" i="261" s="1"/>
  <c r="M87" i="261" a="1"/>
  <c r="M87" i="261" s="1"/>
  <c r="M88" i="261" a="1"/>
  <c r="M88" i="261" s="1"/>
  <c r="M89" i="261" a="1"/>
  <c r="M89" i="261" s="1"/>
  <c r="M90" i="261" a="1"/>
  <c r="M90" i="261" s="1"/>
  <c r="M67" i="261" a="1"/>
  <c r="M67" i="261" s="1"/>
  <c r="K68" i="261" a="1"/>
  <c r="K68" i="261" s="1"/>
  <c r="K69" i="261" a="1"/>
  <c r="K69" i="261" s="1"/>
  <c r="K70" i="261" a="1"/>
  <c r="K70" i="261" s="1"/>
  <c r="K71" i="261" a="1"/>
  <c r="K71" i="261" s="1"/>
  <c r="K72" i="261" a="1"/>
  <c r="K72" i="261" s="1"/>
  <c r="K73" i="261" a="1"/>
  <c r="K73" i="261" s="1"/>
  <c r="K74" i="261" a="1"/>
  <c r="K74" i="261" s="1"/>
  <c r="K75" i="261" a="1"/>
  <c r="K75" i="261" s="1"/>
  <c r="K76" i="261" a="1"/>
  <c r="K76" i="261" s="1"/>
  <c r="K77" i="261" a="1"/>
  <c r="K77" i="261" s="1"/>
  <c r="K78" i="261" a="1"/>
  <c r="K78" i="261" s="1"/>
  <c r="K79" i="261" a="1"/>
  <c r="K79" i="261" s="1"/>
  <c r="K80" i="261" a="1"/>
  <c r="K80" i="261" s="1"/>
  <c r="K81" i="261" a="1"/>
  <c r="K81" i="261" s="1"/>
  <c r="K82" i="261" a="1"/>
  <c r="K82" i="261" s="1"/>
  <c r="K83" i="261" a="1"/>
  <c r="K83" i="261" s="1"/>
  <c r="K84" i="261" a="1"/>
  <c r="K84" i="261" s="1"/>
  <c r="K85" i="261" a="1"/>
  <c r="K85" i="261" s="1"/>
  <c r="K86" i="261" a="1"/>
  <c r="K86" i="261" s="1"/>
  <c r="K87" i="261" a="1"/>
  <c r="K87" i="261" s="1"/>
  <c r="K88" i="261" a="1"/>
  <c r="K88" i="261" s="1"/>
  <c r="K89" i="261" a="1"/>
  <c r="K89" i="261" s="1"/>
  <c r="K90" i="261" a="1"/>
  <c r="K90" i="261" s="1"/>
  <c r="K67" i="261" a="1"/>
  <c r="K67" i="261" s="1"/>
  <c r="J68" i="261" a="1"/>
  <c r="J68" i="261" s="1"/>
  <c r="D59" i="262" s="1"/>
  <c r="J69" i="261" a="1"/>
  <c r="J69" i="261" s="1"/>
  <c r="D60" i="262" s="1"/>
  <c r="J70" i="261" a="1"/>
  <c r="J70" i="261" s="1"/>
  <c r="D61" i="262" s="1"/>
  <c r="J71" i="261" a="1"/>
  <c r="J71" i="261" s="1"/>
  <c r="D62" i="262" s="1"/>
  <c r="J72" i="261" a="1"/>
  <c r="J72" i="261" s="1"/>
  <c r="D63" i="262" s="1"/>
  <c r="J73" i="261" a="1"/>
  <c r="J73" i="261" s="1"/>
  <c r="D64" i="262" s="1"/>
  <c r="J74" i="261" a="1"/>
  <c r="J74" i="261" s="1"/>
  <c r="D65" i="262" s="1"/>
  <c r="J75" i="261" a="1"/>
  <c r="J75" i="261" s="1"/>
  <c r="D66" i="262" s="1"/>
  <c r="J76" i="261" a="1"/>
  <c r="J76" i="261" s="1"/>
  <c r="D67" i="262" s="1"/>
  <c r="J77" i="261" a="1"/>
  <c r="J77" i="261" s="1"/>
  <c r="D68" i="262" s="1"/>
  <c r="J78" i="261" a="1"/>
  <c r="J78" i="261" s="1"/>
  <c r="J79" i="261" a="1"/>
  <c r="J79" i="261" s="1"/>
  <c r="J80" i="261" a="1"/>
  <c r="J80" i="261" s="1"/>
  <c r="J81" i="261" a="1"/>
  <c r="J81" i="261" s="1"/>
  <c r="J82" i="261" a="1"/>
  <c r="J82" i="261" s="1"/>
  <c r="J83" i="261" a="1"/>
  <c r="J83" i="261" s="1"/>
  <c r="J84" i="261" a="1"/>
  <c r="J84" i="261" s="1"/>
  <c r="J85" i="261" a="1"/>
  <c r="J85" i="261" s="1"/>
  <c r="J86" i="261" a="1"/>
  <c r="J86" i="261" s="1"/>
  <c r="J87" i="261" a="1"/>
  <c r="J87" i="261" s="1"/>
  <c r="J88" i="261" a="1"/>
  <c r="J88" i="261" s="1"/>
  <c r="J89" i="261" a="1"/>
  <c r="J89" i="261" s="1"/>
  <c r="J90" i="261" a="1"/>
  <c r="J90" i="261" s="1"/>
  <c r="J67" i="261" a="1"/>
  <c r="J67" i="261" s="1"/>
  <c r="D58" i="262" s="1"/>
  <c r="I68" i="261" a="1"/>
  <c r="I68" i="261" s="1"/>
  <c r="I69" i="261" a="1"/>
  <c r="I69" i="261" s="1"/>
  <c r="I70" i="261" a="1"/>
  <c r="I70" i="261" s="1"/>
  <c r="I71" i="261" a="1"/>
  <c r="I71" i="261" s="1"/>
  <c r="I72" i="261" a="1"/>
  <c r="I72" i="261" s="1"/>
  <c r="I73" i="261" a="1"/>
  <c r="I73" i="261" s="1"/>
  <c r="I74" i="261" a="1"/>
  <c r="I74" i="261" s="1"/>
  <c r="I75" i="261" a="1"/>
  <c r="I75" i="261" s="1"/>
  <c r="I76" i="261" a="1"/>
  <c r="I76" i="261" s="1"/>
  <c r="I77" i="261" a="1"/>
  <c r="I77" i="261" s="1"/>
  <c r="I78" i="261" a="1"/>
  <c r="I78" i="261" s="1"/>
  <c r="I79" i="261" a="1"/>
  <c r="I79" i="261" s="1"/>
  <c r="I80" i="261" a="1"/>
  <c r="I80" i="261" s="1"/>
  <c r="I81" i="261" a="1"/>
  <c r="I81" i="261" s="1"/>
  <c r="I82" i="261" a="1"/>
  <c r="I82" i="261" s="1"/>
  <c r="I83" i="261" a="1"/>
  <c r="I83" i="261" s="1"/>
  <c r="I84" i="261" a="1"/>
  <c r="I84" i="261" s="1"/>
  <c r="I85" i="261" a="1"/>
  <c r="I85" i="261" s="1"/>
  <c r="I86" i="261" a="1"/>
  <c r="I86" i="261" s="1"/>
  <c r="I87" i="261" a="1"/>
  <c r="I87" i="261" s="1"/>
  <c r="I88" i="261" a="1"/>
  <c r="I88" i="261" s="1"/>
  <c r="I89" i="261" a="1"/>
  <c r="I89" i="261" s="1"/>
  <c r="I90" i="261" a="1"/>
  <c r="I90" i="261" s="1"/>
  <c r="I67" i="261" a="1"/>
  <c r="I67" i="261" s="1"/>
  <c r="H68" i="261" a="1"/>
  <c r="H68" i="261" s="1"/>
  <c r="D42" i="262" s="1"/>
  <c r="H69" i="261" a="1"/>
  <c r="H69" i="261" s="1"/>
  <c r="D43" i="262" s="1"/>
  <c r="H70" i="261" a="1"/>
  <c r="H70" i="261" s="1"/>
  <c r="D44" i="262" s="1"/>
  <c r="H71" i="261" a="1"/>
  <c r="H71" i="261" s="1"/>
  <c r="D45" i="262" s="1"/>
  <c r="H72" i="261" a="1"/>
  <c r="H72" i="261" s="1"/>
  <c r="D46" i="262" s="1"/>
  <c r="H73" i="261" a="1"/>
  <c r="H73" i="261" s="1"/>
  <c r="D47" i="262" s="1"/>
  <c r="H74" i="261" a="1"/>
  <c r="H74" i="261" s="1"/>
  <c r="D48" i="262" s="1"/>
  <c r="H75" i="261" a="1"/>
  <c r="H75" i="261" s="1"/>
  <c r="D49" i="262" s="1"/>
  <c r="H76" i="261" a="1"/>
  <c r="H76" i="261" s="1"/>
  <c r="D50" i="262" s="1"/>
  <c r="H77" i="261" a="1"/>
  <c r="H77" i="261" s="1"/>
  <c r="D51" i="262" s="1"/>
  <c r="H78" i="261" a="1"/>
  <c r="H78" i="261" s="1"/>
  <c r="H79" i="261" a="1"/>
  <c r="H79" i="261" s="1"/>
  <c r="H80" i="261" a="1"/>
  <c r="H80" i="261" s="1"/>
  <c r="H81" i="261" a="1"/>
  <c r="H81" i="261" s="1"/>
  <c r="H82" i="261" a="1"/>
  <c r="H82" i="261" s="1"/>
  <c r="H83" i="261" a="1"/>
  <c r="H83" i="261" s="1"/>
  <c r="H84" i="261" a="1"/>
  <c r="H84" i="261" s="1"/>
  <c r="H85" i="261" a="1"/>
  <c r="H85" i="261" s="1"/>
  <c r="H86" i="261" a="1"/>
  <c r="H86" i="261" s="1"/>
  <c r="H87" i="261" a="1"/>
  <c r="H87" i="261" s="1"/>
  <c r="H88" i="261" a="1"/>
  <c r="H88" i="261" s="1"/>
  <c r="H89" i="261" a="1"/>
  <c r="H89" i="261" s="1"/>
  <c r="H90" i="261" a="1"/>
  <c r="H90" i="261" s="1"/>
  <c r="G68" i="261" a="1"/>
  <c r="G68" i="261" s="1"/>
  <c r="G69" i="261" a="1"/>
  <c r="G69" i="261" s="1"/>
  <c r="G70" i="261" a="1"/>
  <c r="G70" i="261" s="1"/>
  <c r="G71" i="261" a="1"/>
  <c r="G71" i="261" s="1"/>
  <c r="G72" i="261" a="1"/>
  <c r="G72" i="261" s="1"/>
  <c r="G73" i="261" a="1"/>
  <c r="G73" i="261" s="1"/>
  <c r="G74" i="261" a="1"/>
  <c r="G74" i="261" s="1"/>
  <c r="G75" i="261" a="1"/>
  <c r="G75" i="261" s="1"/>
  <c r="G76" i="261" a="1"/>
  <c r="G76" i="261" s="1"/>
  <c r="G77" i="261" a="1"/>
  <c r="G77" i="261" s="1"/>
  <c r="G78" i="261" a="1"/>
  <c r="G78" i="261" s="1"/>
  <c r="G79" i="261" a="1"/>
  <c r="G79" i="261" s="1"/>
  <c r="G80" i="261" a="1"/>
  <c r="G80" i="261" s="1"/>
  <c r="G81" i="261" a="1"/>
  <c r="G81" i="261" s="1"/>
  <c r="G82" i="261" a="1"/>
  <c r="G82" i="261" s="1"/>
  <c r="G83" i="261" a="1"/>
  <c r="G83" i="261" s="1"/>
  <c r="G84" i="261" a="1"/>
  <c r="G84" i="261" s="1"/>
  <c r="G85" i="261" a="1"/>
  <c r="G85" i="261" s="1"/>
  <c r="G86" i="261" a="1"/>
  <c r="G86" i="261" s="1"/>
  <c r="G87" i="261" a="1"/>
  <c r="G87" i="261" s="1"/>
  <c r="G88" i="261" a="1"/>
  <c r="G88" i="261" s="1"/>
  <c r="G89" i="261" a="1"/>
  <c r="G89" i="261" s="1"/>
  <c r="G90" i="261" a="1"/>
  <c r="G90" i="261" s="1"/>
  <c r="H67" i="261" a="1"/>
  <c r="H67" i="261" s="1"/>
  <c r="D41" i="262" s="1"/>
  <c r="G67" i="261" a="1"/>
  <c r="G67" i="261" s="1"/>
  <c r="D519" i="262" l="1"/>
  <c r="D536" i="262"/>
  <c r="D535" i="262"/>
  <c r="D518" i="262"/>
  <c r="D137" i="262"/>
  <c r="D307" i="262"/>
  <c r="D239" i="262"/>
  <c r="D188" i="262"/>
  <c r="D256" i="262"/>
  <c r="D324" i="262"/>
  <c r="D443" i="262"/>
  <c r="D511" i="262"/>
  <c r="D579" i="262"/>
  <c r="D205" i="262"/>
  <c r="D273" i="262"/>
  <c r="D341" i="262"/>
  <c r="D732" i="262"/>
  <c r="D523" i="262"/>
  <c r="D540" i="262"/>
  <c r="C738" i="262"/>
  <c r="A738" i="262"/>
  <c r="A746" i="262"/>
  <c r="C746" i="262"/>
  <c r="C755" i="262"/>
  <c r="A755" i="262"/>
  <c r="C763" i="262"/>
  <c r="A763" i="262"/>
  <c r="C772" i="262"/>
  <c r="A772" i="262"/>
  <c r="A780" i="262"/>
  <c r="C780" i="262"/>
  <c r="C789" i="262"/>
  <c r="A789" i="262"/>
  <c r="C797" i="262"/>
  <c r="A797" i="262"/>
  <c r="C806" i="262"/>
  <c r="A806" i="262"/>
  <c r="C815" i="262"/>
  <c r="A815" i="262"/>
  <c r="A807" i="262"/>
  <c r="C807" i="262"/>
  <c r="A823" i="262"/>
  <c r="C823" i="262"/>
  <c r="C831" i="262"/>
  <c r="A831" i="262"/>
  <c r="A840" i="262"/>
  <c r="C840" i="262"/>
  <c r="A848" i="262"/>
  <c r="C848" i="262"/>
  <c r="A857" i="262"/>
  <c r="C857" i="262"/>
  <c r="A865" i="262"/>
  <c r="C865" i="262"/>
  <c r="D358" i="262"/>
  <c r="D426" i="262"/>
  <c r="D494" i="262"/>
  <c r="D562" i="262"/>
  <c r="D526" i="262"/>
  <c r="D543" i="262"/>
  <c r="C745" i="262"/>
  <c r="A745" i="262"/>
  <c r="C762" i="262"/>
  <c r="A762" i="262"/>
  <c r="A779" i="262"/>
  <c r="C779" i="262"/>
  <c r="A796" i="262"/>
  <c r="C796" i="262"/>
  <c r="C814" i="262"/>
  <c r="A814" i="262"/>
  <c r="C830" i="262"/>
  <c r="A830" i="262"/>
  <c r="C847" i="262"/>
  <c r="A847" i="262"/>
  <c r="C864" i="262"/>
  <c r="A864" i="262"/>
  <c r="D538" i="262"/>
  <c r="D521" i="262"/>
  <c r="C744" i="262"/>
  <c r="A744" i="262"/>
  <c r="C761" i="262"/>
  <c r="A761" i="262"/>
  <c r="C778" i="262"/>
  <c r="A778" i="262"/>
  <c r="C795" i="262"/>
  <c r="A795" i="262"/>
  <c r="C813" i="262"/>
  <c r="A813" i="262"/>
  <c r="C829" i="262"/>
  <c r="A829" i="262"/>
  <c r="A846" i="262"/>
  <c r="C846" i="262"/>
  <c r="A863" i="262"/>
  <c r="C863" i="262"/>
  <c r="D541" i="262"/>
  <c r="D524" i="262"/>
  <c r="C743" i="262"/>
  <c r="A743" i="262"/>
  <c r="C760" i="262"/>
  <c r="A760" i="262"/>
  <c r="A777" i="262"/>
  <c r="C777" i="262"/>
  <c r="C794" i="262"/>
  <c r="A794" i="262"/>
  <c r="C812" i="262"/>
  <c r="A812" i="262"/>
  <c r="A828" i="262"/>
  <c r="C828" i="262"/>
  <c r="C845" i="262"/>
  <c r="A845" i="262"/>
  <c r="A862" i="262"/>
  <c r="C862" i="262"/>
  <c r="D544" i="262"/>
  <c r="D527" i="262"/>
  <c r="C742" i="262"/>
  <c r="A742" i="262"/>
  <c r="A759" i="262"/>
  <c r="C759" i="262"/>
  <c r="C776" i="262"/>
  <c r="A776" i="262"/>
  <c r="C793" i="262"/>
  <c r="A793" i="262"/>
  <c r="C811" i="262"/>
  <c r="A811" i="262"/>
  <c r="C827" i="262"/>
  <c r="A827" i="262"/>
  <c r="A844" i="262"/>
  <c r="C844" i="262"/>
  <c r="A861" i="262"/>
  <c r="C861" i="262"/>
  <c r="D392" i="262"/>
  <c r="D460" i="262"/>
  <c r="D539" i="262"/>
  <c r="D522" i="262"/>
  <c r="D596" i="262"/>
  <c r="D613" i="262"/>
  <c r="D630" i="262"/>
  <c r="D664" i="262"/>
  <c r="D681" i="262"/>
  <c r="D698" i="262"/>
  <c r="D715" i="262"/>
  <c r="C741" i="262"/>
  <c r="A741" i="262"/>
  <c r="D749" i="262"/>
  <c r="A758" i="262"/>
  <c r="C758" i="262"/>
  <c r="D766" i="262"/>
  <c r="A775" i="262"/>
  <c r="C775" i="262"/>
  <c r="D783" i="262"/>
  <c r="A792" i="262"/>
  <c r="C792" i="262"/>
  <c r="D800" i="262"/>
  <c r="A810" i="262"/>
  <c r="C810" i="262"/>
  <c r="D817" i="262"/>
  <c r="C826" i="262"/>
  <c r="A826" i="262"/>
  <c r="D834" i="262"/>
  <c r="C843" i="262"/>
  <c r="A843" i="262"/>
  <c r="D851" i="262"/>
  <c r="A860" i="262"/>
  <c r="C860" i="262"/>
  <c r="D868" i="262"/>
  <c r="D52" i="262"/>
  <c r="D69" i="262"/>
  <c r="D103" i="262"/>
  <c r="D120" i="262"/>
  <c r="D86" i="262"/>
  <c r="D18" i="262"/>
  <c r="D154" i="262"/>
  <c r="D222" i="262"/>
  <c r="D290" i="262"/>
  <c r="D525" i="262"/>
  <c r="D542" i="262"/>
  <c r="D171" i="262"/>
  <c r="C748" i="262"/>
  <c r="A748" i="262"/>
  <c r="C740" i="262"/>
  <c r="A740" i="262"/>
  <c r="C765" i="262"/>
  <c r="A765" i="262"/>
  <c r="C757" i="262"/>
  <c r="A757" i="262"/>
  <c r="A782" i="262"/>
  <c r="C782" i="262"/>
  <c r="C774" i="262"/>
  <c r="A774" i="262"/>
  <c r="C799" i="262"/>
  <c r="A799" i="262"/>
  <c r="C791" i="262"/>
  <c r="A791" i="262"/>
  <c r="A809" i="262"/>
  <c r="C809" i="262"/>
  <c r="C833" i="262"/>
  <c r="A833" i="262"/>
  <c r="A825" i="262"/>
  <c r="C825" i="262"/>
  <c r="A850" i="262"/>
  <c r="C850" i="262"/>
  <c r="A842" i="262"/>
  <c r="C842" i="262"/>
  <c r="A867" i="262"/>
  <c r="C867" i="262"/>
  <c r="A859" i="262"/>
  <c r="C859" i="262"/>
  <c r="D409" i="262"/>
  <c r="D477" i="262"/>
  <c r="D520" i="262"/>
  <c r="D537" i="262"/>
  <c r="C747" i="262"/>
  <c r="A747" i="262"/>
  <c r="C739" i="262"/>
  <c r="A739" i="262"/>
  <c r="C764" i="262"/>
  <c r="A764" i="262"/>
  <c r="C756" i="262"/>
  <c r="A756" i="262"/>
  <c r="A781" i="262"/>
  <c r="C781" i="262"/>
  <c r="A773" i="262"/>
  <c r="C773" i="262"/>
  <c r="A798" i="262"/>
  <c r="C798" i="262"/>
  <c r="A790" i="262"/>
  <c r="C790" i="262"/>
  <c r="C816" i="262"/>
  <c r="A816" i="262"/>
  <c r="C808" i="262"/>
  <c r="A808" i="262"/>
  <c r="C832" i="262"/>
  <c r="A832" i="262"/>
  <c r="C824" i="262"/>
  <c r="A824" i="262"/>
  <c r="C849" i="262"/>
  <c r="A849" i="262"/>
  <c r="C841" i="262"/>
  <c r="A841" i="262"/>
  <c r="A866" i="262"/>
  <c r="C866" i="262"/>
  <c r="C858" i="262"/>
  <c r="A858" i="262"/>
  <c r="CY63" i="261"/>
  <c r="CY93" i="261" s="1"/>
  <c r="CZ63" i="261"/>
  <c r="CZ93" i="261" s="1"/>
  <c r="E68" i="261" a="1"/>
  <c r="E68" i="261" s="1"/>
  <c r="E69" i="261" a="1"/>
  <c r="E69" i="261" s="1"/>
  <c r="E70" i="261" a="1"/>
  <c r="E70" i="261" s="1"/>
  <c r="E71" i="261" a="1"/>
  <c r="E71" i="261" s="1"/>
  <c r="E72" i="261" a="1"/>
  <c r="E72" i="261" s="1"/>
  <c r="E73" i="261" a="1"/>
  <c r="E73" i="261" s="1"/>
  <c r="E74" i="261" a="1"/>
  <c r="E74" i="261" s="1"/>
  <c r="E75" i="261" a="1"/>
  <c r="E75" i="261" s="1"/>
  <c r="E76" i="261" a="1"/>
  <c r="E76" i="261" s="1"/>
  <c r="E77" i="261" a="1"/>
  <c r="E77" i="261" s="1"/>
  <c r="E78" i="261" a="1"/>
  <c r="E78" i="261" s="1"/>
  <c r="E79" i="261" a="1"/>
  <c r="E79" i="261" s="1"/>
  <c r="E80" i="261" a="1"/>
  <c r="E80" i="261" s="1"/>
  <c r="E81" i="261" a="1"/>
  <c r="E81" i="261" s="1"/>
  <c r="E82" i="261" a="1"/>
  <c r="E82" i="261" s="1"/>
  <c r="E83" i="261" a="1"/>
  <c r="E83" i="261" s="1"/>
  <c r="E84" i="261" a="1"/>
  <c r="E84" i="261" s="1"/>
  <c r="E85" i="261" a="1"/>
  <c r="E85" i="261" s="1"/>
  <c r="E86" i="261" a="1"/>
  <c r="E86" i="261" s="1"/>
  <c r="E87" i="261" a="1"/>
  <c r="E87" i="261" s="1"/>
  <c r="E88" i="261" a="1"/>
  <c r="E88" i="261" s="1"/>
  <c r="E89" i="261" a="1"/>
  <c r="E89" i="261" s="1"/>
  <c r="E90" i="261" a="1"/>
  <c r="E90" i="261" s="1"/>
  <c r="E67" i="261" a="1"/>
  <c r="E67" i="261" s="1"/>
  <c r="F68" i="261" a="1"/>
  <c r="F68" i="261" s="1"/>
  <c r="D25" i="262" s="1"/>
  <c r="F69" i="261" a="1"/>
  <c r="F69" i="261" s="1"/>
  <c r="D26" i="262" s="1"/>
  <c r="F70" i="261" a="1"/>
  <c r="F70" i="261" s="1"/>
  <c r="D27" i="262" s="1"/>
  <c r="F71" i="261" a="1"/>
  <c r="F71" i="261" s="1"/>
  <c r="D28" i="262" s="1"/>
  <c r="F72" i="261" a="1"/>
  <c r="F72" i="261" s="1"/>
  <c r="D29" i="262" s="1"/>
  <c r="F73" i="261" a="1"/>
  <c r="F73" i="261" s="1"/>
  <c r="D30" i="262" s="1"/>
  <c r="F74" i="261" a="1"/>
  <c r="F74" i="261" s="1"/>
  <c r="D31" i="262" s="1"/>
  <c r="F75" i="261" a="1"/>
  <c r="F75" i="261" s="1"/>
  <c r="D32" i="262" s="1"/>
  <c r="F76" i="261" a="1"/>
  <c r="F76" i="261" s="1"/>
  <c r="D33" i="262" s="1"/>
  <c r="F77" i="261" a="1"/>
  <c r="F77" i="261" s="1"/>
  <c r="D34" i="262" s="1"/>
  <c r="F78" i="261" a="1"/>
  <c r="F78" i="261" s="1"/>
  <c r="F79" i="261" a="1"/>
  <c r="F79" i="261" s="1"/>
  <c r="F80" i="261" a="1"/>
  <c r="F80" i="261" s="1"/>
  <c r="F81" i="261" a="1"/>
  <c r="F81" i="261" s="1"/>
  <c r="F82" i="261" a="1"/>
  <c r="F82" i="261" s="1"/>
  <c r="F83" i="261" a="1"/>
  <c r="F83" i="261" s="1"/>
  <c r="F84" i="261" a="1"/>
  <c r="F84" i="261" s="1"/>
  <c r="F85" i="261" a="1"/>
  <c r="F85" i="261" s="1"/>
  <c r="F86" i="261" a="1"/>
  <c r="F86" i="261" s="1"/>
  <c r="F87" i="261" a="1"/>
  <c r="F87" i="261" s="1"/>
  <c r="F88" i="261" a="1"/>
  <c r="F88" i="261" s="1"/>
  <c r="F89" i="261" a="1"/>
  <c r="F89" i="261" s="1"/>
  <c r="F90" i="261" a="1"/>
  <c r="F90" i="261" s="1"/>
  <c r="F67" i="261" a="1"/>
  <c r="F67" i="261" s="1"/>
  <c r="D24" i="262" s="1"/>
  <c r="D50" i="261"/>
  <c r="F50" i="261" s="1"/>
  <c r="H50" i="261" s="1"/>
  <c r="J50" i="261" s="1"/>
  <c r="L50" i="261" s="1"/>
  <c r="N50" i="261" s="1"/>
  <c r="P50" i="261" s="1"/>
  <c r="R50" i="261" s="1"/>
  <c r="T50" i="261" s="1"/>
  <c r="V50" i="261" s="1"/>
  <c r="X50" i="261" s="1"/>
  <c r="Z50" i="261" s="1"/>
  <c r="AB50" i="261" s="1"/>
  <c r="AD50" i="261" s="1"/>
  <c r="AF50" i="261" s="1"/>
  <c r="AH50" i="261" s="1"/>
  <c r="AJ50" i="261" s="1"/>
  <c r="AL50" i="261" s="1"/>
  <c r="AN50" i="261" s="1"/>
  <c r="AP50" i="261" s="1"/>
  <c r="AR50" i="261" s="1"/>
  <c r="AT50" i="261" s="1"/>
  <c r="AV50" i="261" s="1"/>
  <c r="AX50" i="261" s="1"/>
  <c r="AZ50" i="261" s="1"/>
  <c r="BB50" i="261" s="1"/>
  <c r="BD50" i="261" s="1"/>
  <c r="BF50" i="261" s="1"/>
  <c r="BH50" i="261" s="1"/>
  <c r="BJ50" i="261" s="1"/>
  <c r="BL50" i="261" s="1"/>
  <c r="BN50" i="261" s="1"/>
  <c r="BP50" i="261" s="1"/>
  <c r="BR50" i="261" s="1"/>
  <c r="BT50" i="261" s="1"/>
  <c r="BV50" i="261" s="1"/>
  <c r="BX50" i="261" s="1"/>
  <c r="BZ50" i="261" s="1"/>
  <c r="CB50" i="261" s="1"/>
  <c r="CD50" i="261" s="1"/>
  <c r="CF50" i="261" s="1"/>
  <c r="CH50" i="261" s="1"/>
  <c r="CJ50" i="261" s="1"/>
  <c r="CL50" i="261" s="1"/>
  <c r="CN50" i="261" s="1"/>
  <c r="CP50" i="261" s="1"/>
  <c r="CR50" i="261" s="1"/>
  <c r="CT50" i="261" s="1"/>
  <c r="CV50" i="261" s="1"/>
  <c r="CX50" i="261" s="1"/>
  <c r="CZ50" i="261" s="1"/>
  <c r="DB50" i="261" s="1"/>
  <c r="DD50" i="261" s="1"/>
  <c r="DF50" i="261" s="1"/>
  <c r="DH50" i="261" s="1"/>
  <c r="DJ50" i="261" s="1"/>
  <c r="DL50" i="261" s="1"/>
  <c r="DN50" i="261" s="1"/>
  <c r="DP50" i="261" s="1"/>
  <c r="DR50" i="261" s="1"/>
  <c r="DT50" i="261" s="1"/>
  <c r="DV50" i="261" s="1"/>
  <c r="DX50" i="261" s="1"/>
  <c r="DZ50" i="261" s="1"/>
  <c r="EB50" i="261" s="1"/>
  <c r="ED50" i="261" s="1"/>
  <c r="EF50" i="261" s="1"/>
  <c r="EH50" i="261" s="1"/>
  <c r="EJ50" i="261" s="1"/>
  <c r="EL50" i="261" s="1"/>
  <c r="EN50" i="261" s="1"/>
  <c r="EP50" i="261" s="1"/>
  <c r="ER50" i="261" s="1"/>
  <c r="ET50" i="261" s="1"/>
  <c r="EV50" i="261" s="1"/>
  <c r="EX50" i="261" s="1"/>
  <c r="EZ50" i="261" s="1"/>
  <c r="FB50" i="261" s="1"/>
  <c r="FD50" i="261" s="1"/>
  <c r="FF50" i="261" s="1"/>
  <c r="FH50" i="261" s="1"/>
  <c r="FJ50" i="261" s="1"/>
  <c r="FL50" i="261" s="1"/>
  <c r="FN50" i="261" s="1"/>
  <c r="FP50" i="261" s="1"/>
  <c r="FR50" i="261" s="1"/>
  <c r="FT50" i="261" s="1"/>
  <c r="FV50" i="261" s="1"/>
  <c r="FX50" i="261" s="1"/>
  <c r="FZ50" i="261" s="1"/>
  <c r="D51" i="261"/>
  <c r="F51" i="261" s="1"/>
  <c r="H51" i="261" s="1"/>
  <c r="J51" i="261" s="1"/>
  <c r="L51" i="261" s="1"/>
  <c r="N51" i="261" s="1"/>
  <c r="P51" i="261" s="1"/>
  <c r="R51" i="261" s="1"/>
  <c r="T51" i="261" s="1"/>
  <c r="V51" i="261" s="1"/>
  <c r="X51" i="261" s="1"/>
  <c r="Z51" i="261" s="1"/>
  <c r="AB51" i="261" s="1"/>
  <c r="AD51" i="261" s="1"/>
  <c r="AF51" i="261" s="1"/>
  <c r="AH51" i="261" s="1"/>
  <c r="AJ51" i="261" s="1"/>
  <c r="AL51" i="261" s="1"/>
  <c r="AN51" i="261" s="1"/>
  <c r="AP51" i="261" s="1"/>
  <c r="AR51" i="261" s="1"/>
  <c r="AT51" i="261" s="1"/>
  <c r="AV51" i="261" s="1"/>
  <c r="AX51" i="261" s="1"/>
  <c r="AZ51" i="261" s="1"/>
  <c r="BB51" i="261" s="1"/>
  <c r="BD51" i="261" s="1"/>
  <c r="BF51" i="261" s="1"/>
  <c r="BH51" i="261" s="1"/>
  <c r="BJ51" i="261" s="1"/>
  <c r="BL51" i="261" s="1"/>
  <c r="BN51" i="261" s="1"/>
  <c r="BP51" i="261" s="1"/>
  <c r="BR51" i="261" s="1"/>
  <c r="BT51" i="261" s="1"/>
  <c r="BV51" i="261" s="1"/>
  <c r="BX51" i="261" s="1"/>
  <c r="BZ51" i="261" s="1"/>
  <c r="CB51" i="261" s="1"/>
  <c r="CD51" i="261" s="1"/>
  <c r="CF51" i="261" s="1"/>
  <c r="CH51" i="261" s="1"/>
  <c r="CJ51" i="261" s="1"/>
  <c r="CL51" i="261" s="1"/>
  <c r="CN51" i="261" s="1"/>
  <c r="CP51" i="261" s="1"/>
  <c r="CR51" i="261" s="1"/>
  <c r="CT51" i="261" s="1"/>
  <c r="CV51" i="261" s="1"/>
  <c r="CX51" i="261" s="1"/>
  <c r="CZ51" i="261" s="1"/>
  <c r="DB51" i="261" s="1"/>
  <c r="DD51" i="261" s="1"/>
  <c r="DF51" i="261" s="1"/>
  <c r="DH51" i="261" s="1"/>
  <c r="DJ51" i="261" s="1"/>
  <c r="DL51" i="261" s="1"/>
  <c r="DN51" i="261" s="1"/>
  <c r="DP51" i="261" s="1"/>
  <c r="DR51" i="261" s="1"/>
  <c r="DT51" i="261" s="1"/>
  <c r="DV51" i="261" s="1"/>
  <c r="DX51" i="261" s="1"/>
  <c r="DZ51" i="261" s="1"/>
  <c r="EB51" i="261" s="1"/>
  <c r="ED51" i="261" s="1"/>
  <c r="EF51" i="261" s="1"/>
  <c r="EH51" i="261" s="1"/>
  <c r="EJ51" i="261" s="1"/>
  <c r="EL51" i="261" s="1"/>
  <c r="EN51" i="261" s="1"/>
  <c r="EP51" i="261" s="1"/>
  <c r="ER51" i="261" s="1"/>
  <c r="ET51" i="261" s="1"/>
  <c r="EV51" i="261" s="1"/>
  <c r="EX51" i="261" s="1"/>
  <c r="EZ51" i="261" s="1"/>
  <c r="FB51" i="261" s="1"/>
  <c r="FD51" i="261" s="1"/>
  <c r="FF51" i="261" s="1"/>
  <c r="FH51" i="261" s="1"/>
  <c r="FJ51" i="261" s="1"/>
  <c r="FL51" i="261" s="1"/>
  <c r="FN51" i="261" s="1"/>
  <c r="FP51" i="261" s="1"/>
  <c r="FR51" i="261" s="1"/>
  <c r="FT51" i="261" s="1"/>
  <c r="FV51" i="261" s="1"/>
  <c r="FX51" i="261" s="1"/>
  <c r="FZ51" i="261" s="1"/>
  <c r="D52" i="261"/>
  <c r="F52" i="261" s="1"/>
  <c r="H52" i="261" s="1"/>
  <c r="J52" i="261" s="1"/>
  <c r="L52" i="261" s="1"/>
  <c r="N52" i="261" s="1"/>
  <c r="P52" i="261" s="1"/>
  <c r="R52" i="261" s="1"/>
  <c r="T52" i="261" s="1"/>
  <c r="V52" i="261" s="1"/>
  <c r="X52" i="261" s="1"/>
  <c r="Z52" i="261" s="1"/>
  <c r="AB52" i="261" s="1"/>
  <c r="AD52" i="261" s="1"/>
  <c r="AF52" i="261" s="1"/>
  <c r="AH52" i="261" s="1"/>
  <c r="AJ52" i="261" s="1"/>
  <c r="AL52" i="261" s="1"/>
  <c r="AN52" i="261" s="1"/>
  <c r="AP52" i="261" s="1"/>
  <c r="AR52" i="261" s="1"/>
  <c r="AT52" i="261" s="1"/>
  <c r="AV52" i="261" s="1"/>
  <c r="AX52" i="261" s="1"/>
  <c r="AZ52" i="261" s="1"/>
  <c r="BB52" i="261" s="1"/>
  <c r="BD52" i="261" s="1"/>
  <c r="BF52" i="261" s="1"/>
  <c r="BH52" i="261" s="1"/>
  <c r="BJ52" i="261" s="1"/>
  <c r="BL52" i="261" s="1"/>
  <c r="BN52" i="261" s="1"/>
  <c r="BP52" i="261" s="1"/>
  <c r="BR52" i="261" s="1"/>
  <c r="BT52" i="261" s="1"/>
  <c r="BV52" i="261" s="1"/>
  <c r="BX52" i="261" s="1"/>
  <c r="BZ52" i="261" s="1"/>
  <c r="CB52" i="261" s="1"/>
  <c r="CD52" i="261" s="1"/>
  <c r="CF52" i="261" s="1"/>
  <c r="CH52" i="261" s="1"/>
  <c r="CJ52" i="261" s="1"/>
  <c r="CL52" i="261" s="1"/>
  <c r="CN52" i="261" s="1"/>
  <c r="CP52" i="261" s="1"/>
  <c r="CR52" i="261" s="1"/>
  <c r="CT52" i="261" s="1"/>
  <c r="CV52" i="261" s="1"/>
  <c r="CX52" i="261" s="1"/>
  <c r="CZ52" i="261" s="1"/>
  <c r="DB52" i="261" s="1"/>
  <c r="DD52" i="261" s="1"/>
  <c r="DF52" i="261" s="1"/>
  <c r="DH52" i="261" s="1"/>
  <c r="DJ52" i="261" s="1"/>
  <c r="DL52" i="261" s="1"/>
  <c r="DN52" i="261" s="1"/>
  <c r="DP52" i="261" s="1"/>
  <c r="DR52" i="261" s="1"/>
  <c r="DT52" i="261" s="1"/>
  <c r="DV52" i="261" s="1"/>
  <c r="DX52" i="261" s="1"/>
  <c r="DZ52" i="261" s="1"/>
  <c r="EB52" i="261" s="1"/>
  <c r="ED52" i="261" s="1"/>
  <c r="EF52" i="261" s="1"/>
  <c r="EH52" i="261" s="1"/>
  <c r="EJ52" i="261" s="1"/>
  <c r="EL52" i="261" s="1"/>
  <c r="EN52" i="261" s="1"/>
  <c r="EP52" i="261" s="1"/>
  <c r="ER52" i="261" s="1"/>
  <c r="ET52" i="261" s="1"/>
  <c r="EV52" i="261" s="1"/>
  <c r="EX52" i="261" s="1"/>
  <c r="EZ52" i="261" s="1"/>
  <c r="FB52" i="261" s="1"/>
  <c r="FD52" i="261" s="1"/>
  <c r="FF52" i="261" s="1"/>
  <c r="FH52" i="261" s="1"/>
  <c r="FJ52" i="261" s="1"/>
  <c r="FL52" i="261" s="1"/>
  <c r="FN52" i="261" s="1"/>
  <c r="FP52" i="261" s="1"/>
  <c r="FR52" i="261" s="1"/>
  <c r="FT52" i="261" s="1"/>
  <c r="FV52" i="261" s="1"/>
  <c r="FX52" i="261" s="1"/>
  <c r="FZ52" i="261" s="1"/>
  <c r="D53" i="261"/>
  <c r="F53" i="261" s="1"/>
  <c r="H53" i="261" s="1"/>
  <c r="J53" i="261" s="1"/>
  <c r="L53" i="261" s="1"/>
  <c r="N53" i="261" s="1"/>
  <c r="P53" i="261" s="1"/>
  <c r="R53" i="261" s="1"/>
  <c r="T53" i="261" s="1"/>
  <c r="V53" i="261" s="1"/>
  <c r="X53" i="261" s="1"/>
  <c r="Z53" i="261" s="1"/>
  <c r="AB53" i="261" s="1"/>
  <c r="AD53" i="261" s="1"/>
  <c r="AF53" i="261" s="1"/>
  <c r="AH53" i="261" s="1"/>
  <c r="AJ53" i="261" s="1"/>
  <c r="AL53" i="261" s="1"/>
  <c r="AN53" i="261" s="1"/>
  <c r="AP53" i="261" s="1"/>
  <c r="AR53" i="261" s="1"/>
  <c r="AT53" i="261" s="1"/>
  <c r="AV53" i="261" s="1"/>
  <c r="AX53" i="261" s="1"/>
  <c r="AZ53" i="261" s="1"/>
  <c r="BB53" i="261" s="1"/>
  <c r="BD53" i="261" s="1"/>
  <c r="BF53" i="261" s="1"/>
  <c r="BH53" i="261" s="1"/>
  <c r="BJ53" i="261" s="1"/>
  <c r="BL53" i="261" s="1"/>
  <c r="BN53" i="261" s="1"/>
  <c r="BP53" i="261" s="1"/>
  <c r="BR53" i="261" s="1"/>
  <c r="BT53" i="261" s="1"/>
  <c r="BV53" i="261" s="1"/>
  <c r="BX53" i="261" s="1"/>
  <c r="BZ53" i="261" s="1"/>
  <c r="CB53" i="261" s="1"/>
  <c r="CD53" i="261" s="1"/>
  <c r="CF53" i="261" s="1"/>
  <c r="CH53" i="261" s="1"/>
  <c r="CJ53" i="261" s="1"/>
  <c r="CL53" i="261" s="1"/>
  <c r="CN53" i="261" s="1"/>
  <c r="CP53" i="261" s="1"/>
  <c r="CR53" i="261" s="1"/>
  <c r="CT53" i="261" s="1"/>
  <c r="CV53" i="261" s="1"/>
  <c r="CX53" i="261" s="1"/>
  <c r="CZ53" i="261" s="1"/>
  <c r="DB53" i="261" s="1"/>
  <c r="DD53" i="261" s="1"/>
  <c r="DF53" i="261" s="1"/>
  <c r="DH53" i="261" s="1"/>
  <c r="DJ53" i="261" s="1"/>
  <c r="DL53" i="261" s="1"/>
  <c r="DN53" i="261" s="1"/>
  <c r="DP53" i="261" s="1"/>
  <c r="DR53" i="261" s="1"/>
  <c r="DT53" i="261" s="1"/>
  <c r="DV53" i="261" s="1"/>
  <c r="DX53" i="261" s="1"/>
  <c r="DZ53" i="261" s="1"/>
  <c r="EB53" i="261" s="1"/>
  <c r="ED53" i="261" s="1"/>
  <c r="EF53" i="261" s="1"/>
  <c r="EH53" i="261" s="1"/>
  <c r="EJ53" i="261" s="1"/>
  <c r="EL53" i="261" s="1"/>
  <c r="EN53" i="261" s="1"/>
  <c r="EP53" i="261" s="1"/>
  <c r="ER53" i="261" s="1"/>
  <c r="ET53" i="261" s="1"/>
  <c r="EV53" i="261" s="1"/>
  <c r="EX53" i="261" s="1"/>
  <c r="EZ53" i="261" s="1"/>
  <c r="FB53" i="261" s="1"/>
  <c r="FD53" i="261" s="1"/>
  <c r="FF53" i="261" s="1"/>
  <c r="FH53" i="261" s="1"/>
  <c r="FJ53" i="261" s="1"/>
  <c r="FL53" i="261" s="1"/>
  <c r="FN53" i="261" s="1"/>
  <c r="FP53" i="261" s="1"/>
  <c r="FR53" i="261" s="1"/>
  <c r="FT53" i="261" s="1"/>
  <c r="FV53" i="261" s="1"/>
  <c r="FX53" i="261" s="1"/>
  <c r="FZ53" i="261" s="1"/>
  <c r="D54" i="261"/>
  <c r="F54" i="261" s="1"/>
  <c r="H54" i="261" s="1"/>
  <c r="J54" i="261" s="1"/>
  <c r="L54" i="261" s="1"/>
  <c r="N54" i="261" s="1"/>
  <c r="P54" i="261" s="1"/>
  <c r="R54" i="261" s="1"/>
  <c r="T54" i="261" s="1"/>
  <c r="V54" i="261" s="1"/>
  <c r="X54" i="261" s="1"/>
  <c r="Z54" i="261" s="1"/>
  <c r="AB54" i="261" s="1"/>
  <c r="AD54" i="261" s="1"/>
  <c r="AF54" i="261" s="1"/>
  <c r="AH54" i="261" s="1"/>
  <c r="AJ54" i="261" s="1"/>
  <c r="AL54" i="261" s="1"/>
  <c r="AN54" i="261" s="1"/>
  <c r="AP54" i="261" s="1"/>
  <c r="AR54" i="261" s="1"/>
  <c r="AT54" i="261" s="1"/>
  <c r="AV54" i="261" s="1"/>
  <c r="AX54" i="261" s="1"/>
  <c r="AZ54" i="261" s="1"/>
  <c r="BB54" i="261" s="1"/>
  <c r="BD54" i="261" s="1"/>
  <c r="BF54" i="261" s="1"/>
  <c r="BH54" i="261" s="1"/>
  <c r="BJ54" i="261" s="1"/>
  <c r="BL54" i="261" s="1"/>
  <c r="BN54" i="261" s="1"/>
  <c r="BP54" i="261" s="1"/>
  <c r="BR54" i="261" s="1"/>
  <c r="BT54" i="261" s="1"/>
  <c r="BV54" i="261" s="1"/>
  <c r="BX54" i="261" s="1"/>
  <c r="BZ54" i="261" s="1"/>
  <c r="CB54" i="261" s="1"/>
  <c r="CD54" i="261" s="1"/>
  <c r="CF54" i="261" s="1"/>
  <c r="CH54" i="261" s="1"/>
  <c r="CJ54" i="261" s="1"/>
  <c r="CL54" i="261" s="1"/>
  <c r="CN54" i="261" s="1"/>
  <c r="CP54" i="261" s="1"/>
  <c r="CR54" i="261" s="1"/>
  <c r="CT54" i="261" s="1"/>
  <c r="CV54" i="261" s="1"/>
  <c r="CX54" i="261" s="1"/>
  <c r="CZ54" i="261" s="1"/>
  <c r="DB54" i="261" s="1"/>
  <c r="DD54" i="261" s="1"/>
  <c r="DF54" i="261" s="1"/>
  <c r="DH54" i="261" s="1"/>
  <c r="DJ54" i="261" s="1"/>
  <c r="DL54" i="261" s="1"/>
  <c r="DN54" i="261" s="1"/>
  <c r="DP54" i="261" s="1"/>
  <c r="DR54" i="261" s="1"/>
  <c r="DT54" i="261" s="1"/>
  <c r="DV54" i="261" s="1"/>
  <c r="DX54" i="261" s="1"/>
  <c r="DZ54" i="261" s="1"/>
  <c r="EB54" i="261" s="1"/>
  <c r="ED54" i="261" s="1"/>
  <c r="EF54" i="261" s="1"/>
  <c r="EH54" i="261" s="1"/>
  <c r="EJ54" i="261" s="1"/>
  <c r="EL54" i="261" s="1"/>
  <c r="EN54" i="261" s="1"/>
  <c r="EP54" i="261" s="1"/>
  <c r="ER54" i="261" s="1"/>
  <c r="ET54" i="261" s="1"/>
  <c r="EV54" i="261" s="1"/>
  <c r="EX54" i="261" s="1"/>
  <c r="EZ54" i="261" s="1"/>
  <c r="FB54" i="261" s="1"/>
  <c r="FD54" i="261" s="1"/>
  <c r="FF54" i="261" s="1"/>
  <c r="FH54" i="261" s="1"/>
  <c r="FJ54" i="261" s="1"/>
  <c r="FL54" i="261" s="1"/>
  <c r="FN54" i="261" s="1"/>
  <c r="FP54" i="261" s="1"/>
  <c r="FR54" i="261" s="1"/>
  <c r="FT54" i="261" s="1"/>
  <c r="FV54" i="261" s="1"/>
  <c r="FX54" i="261" s="1"/>
  <c r="FZ54" i="261" s="1"/>
  <c r="D55" i="261"/>
  <c r="F55" i="261" s="1"/>
  <c r="H55" i="261" s="1"/>
  <c r="J55" i="261" s="1"/>
  <c r="L55" i="261" s="1"/>
  <c r="N55" i="261" s="1"/>
  <c r="P55" i="261" s="1"/>
  <c r="R55" i="261" s="1"/>
  <c r="T55" i="261" s="1"/>
  <c r="V55" i="261" s="1"/>
  <c r="X55" i="261" s="1"/>
  <c r="Z55" i="261" s="1"/>
  <c r="AB55" i="261" s="1"/>
  <c r="AD55" i="261" s="1"/>
  <c r="AF55" i="261" s="1"/>
  <c r="AH55" i="261" s="1"/>
  <c r="AJ55" i="261" s="1"/>
  <c r="AL55" i="261" s="1"/>
  <c r="AN55" i="261" s="1"/>
  <c r="AP55" i="261" s="1"/>
  <c r="AR55" i="261" s="1"/>
  <c r="AT55" i="261" s="1"/>
  <c r="AV55" i="261" s="1"/>
  <c r="AX55" i="261" s="1"/>
  <c r="AZ55" i="261" s="1"/>
  <c r="BB55" i="261" s="1"/>
  <c r="BD55" i="261" s="1"/>
  <c r="BF55" i="261" s="1"/>
  <c r="BH55" i="261" s="1"/>
  <c r="BJ55" i="261" s="1"/>
  <c r="BL55" i="261" s="1"/>
  <c r="BN55" i="261" s="1"/>
  <c r="BP55" i="261" s="1"/>
  <c r="BR55" i="261" s="1"/>
  <c r="BT55" i="261" s="1"/>
  <c r="BV55" i="261" s="1"/>
  <c r="BX55" i="261" s="1"/>
  <c r="BZ55" i="261" s="1"/>
  <c r="CB55" i="261" s="1"/>
  <c r="CD55" i="261" s="1"/>
  <c r="CF55" i="261" s="1"/>
  <c r="CH55" i="261" s="1"/>
  <c r="CJ55" i="261" s="1"/>
  <c r="CL55" i="261" s="1"/>
  <c r="CN55" i="261" s="1"/>
  <c r="CP55" i="261" s="1"/>
  <c r="CR55" i="261" s="1"/>
  <c r="CT55" i="261" s="1"/>
  <c r="CV55" i="261" s="1"/>
  <c r="CX55" i="261" s="1"/>
  <c r="CZ55" i="261" s="1"/>
  <c r="DB55" i="261" s="1"/>
  <c r="DD55" i="261" s="1"/>
  <c r="DF55" i="261" s="1"/>
  <c r="DH55" i="261" s="1"/>
  <c r="DJ55" i="261" s="1"/>
  <c r="DL55" i="261" s="1"/>
  <c r="DN55" i="261" s="1"/>
  <c r="DP55" i="261" s="1"/>
  <c r="DR55" i="261" s="1"/>
  <c r="DT55" i="261" s="1"/>
  <c r="DV55" i="261" s="1"/>
  <c r="DX55" i="261" s="1"/>
  <c r="DZ55" i="261" s="1"/>
  <c r="EB55" i="261" s="1"/>
  <c r="ED55" i="261" s="1"/>
  <c r="EF55" i="261" s="1"/>
  <c r="EH55" i="261" s="1"/>
  <c r="EJ55" i="261" s="1"/>
  <c r="EL55" i="261" s="1"/>
  <c r="EN55" i="261" s="1"/>
  <c r="EP55" i="261" s="1"/>
  <c r="ER55" i="261" s="1"/>
  <c r="ET55" i="261" s="1"/>
  <c r="EV55" i="261" s="1"/>
  <c r="EX55" i="261" s="1"/>
  <c r="EZ55" i="261" s="1"/>
  <c r="FB55" i="261" s="1"/>
  <c r="FD55" i="261" s="1"/>
  <c r="FF55" i="261" s="1"/>
  <c r="FH55" i="261" s="1"/>
  <c r="FJ55" i="261" s="1"/>
  <c r="FL55" i="261" s="1"/>
  <c r="FN55" i="261" s="1"/>
  <c r="FP55" i="261" s="1"/>
  <c r="FR55" i="261" s="1"/>
  <c r="FT55" i="261" s="1"/>
  <c r="FV55" i="261" s="1"/>
  <c r="FX55" i="261" s="1"/>
  <c r="FZ55" i="261" s="1"/>
  <c r="D56" i="261"/>
  <c r="F56" i="261" s="1"/>
  <c r="H56" i="261" s="1"/>
  <c r="J56" i="261" s="1"/>
  <c r="L56" i="261" s="1"/>
  <c r="N56" i="261" s="1"/>
  <c r="P56" i="261" s="1"/>
  <c r="R56" i="261" s="1"/>
  <c r="T56" i="261" s="1"/>
  <c r="V56" i="261" s="1"/>
  <c r="X56" i="261" s="1"/>
  <c r="Z56" i="261" s="1"/>
  <c r="AB56" i="261" s="1"/>
  <c r="AD56" i="261" s="1"/>
  <c r="AF56" i="261" s="1"/>
  <c r="AH56" i="261" s="1"/>
  <c r="AJ56" i="261" s="1"/>
  <c r="AL56" i="261" s="1"/>
  <c r="AN56" i="261" s="1"/>
  <c r="AP56" i="261" s="1"/>
  <c r="AR56" i="261" s="1"/>
  <c r="AT56" i="261" s="1"/>
  <c r="AV56" i="261" s="1"/>
  <c r="AX56" i="261" s="1"/>
  <c r="AZ56" i="261" s="1"/>
  <c r="BB56" i="261" s="1"/>
  <c r="BD56" i="261" s="1"/>
  <c r="BF56" i="261" s="1"/>
  <c r="BH56" i="261" s="1"/>
  <c r="BJ56" i="261" s="1"/>
  <c r="BL56" i="261" s="1"/>
  <c r="BN56" i="261" s="1"/>
  <c r="BP56" i="261" s="1"/>
  <c r="BR56" i="261" s="1"/>
  <c r="BT56" i="261" s="1"/>
  <c r="BV56" i="261" s="1"/>
  <c r="BX56" i="261" s="1"/>
  <c r="BZ56" i="261" s="1"/>
  <c r="CB56" i="261" s="1"/>
  <c r="CD56" i="261" s="1"/>
  <c r="CF56" i="261" s="1"/>
  <c r="CH56" i="261" s="1"/>
  <c r="CJ56" i="261" s="1"/>
  <c r="CL56" i="261" s="1"/>
  <c r="CN56" i="261" s="1"/>
  <c r="CP56" i="261" s="1"/>
  <c r="CR56" i="261" s="1"/>
  <c r="CT56" i="261" s="1"/>
  <c r="CV56" i="261" s="1"/>
  <c r="CX56" i="261" s="1"/>
  <c r="CZ56" i="261" s="1"/>
  <c r="DB56" i="261" s="1"/>
  <c r="DD56" i="261" s="1"/>
  <c r="DF56" i="261" s="1"/>
  <c r="DH56" i="261" s="1"/>
  <c r="DJ56" i="261" s="1"/>
  <c r="DL56" i="261" s="1"/>
  <c r="DN56" i="261" s="1"/>
  <c r="DP56" i="261" s="1"/>
  <c r="DR56" i="261" s="1"/>
  <c r="DT56" i="261" s="1"/>
  <c r="DV56" i="261" s="1"/>
  <c r="DX56" i="261" s="1"/>
  <c r="DZ56" i="261" s="1"/>
  <c r="EB56" i="261" s="1"/>
  <c r="ED56" i="261" s="1"/>
  <c r="EF56" i="261" s="1"/>
  <c r="EH56" i="261" s="1"/>
  <c r="EJ56" i="261" s="1"/>
  <c r="EL56" i="261" s="1"/>
  <c r="EN56" i="261" s="1"/>
  <c r="EP56" i="261" s="1"/>
  <c r="ER56" i="261" s="1"/>
  <c r="ET56" i="261" s="1"/>
  <c r="EV56" i="261" s="1"/>
  <c r="EX56" i="261" s="1"/>
  <c r="EZ56" i="261" s="1"/>
  <c r="FB56" i="261" s="1"/>
  <c r="FD56" i="261" s="1"/>
  <c r="FF56" i="261" s="1"/>
  <c r="FH56" i="261" s="1"/>
  <c r="FJ56" i="261" s="1"/>
  <c r="FL56" i="261" s="1"/>
  <c r="FN56" i="261" s="1"/>
  <c r="FP56" i="261" s="1"/>
  <c r="FR56" i="261" s="1"/>
  <c r="FT56" i="261" s="1"/>
  <c r="FV56" i="261" s="1"/>
  <c r="FX56" i="261" s="1"/>
  <c r="FZ56" i="261" s="1"/>
  <c r="D57" i="261"/>
  <c r="F57" i="261" s="1"/>
  <c r="H57" i="261" s="1"/>
  <c r="J57" i="261" s="1"/>
  <c r="L57" i="261" s="1"/>
  <c r="N57" i="261" s="1"/>
  <c r="P57" i="261" s="1"/>
  <c r="R57" i="261" s="1"/>
  <c r="T57" i="261" s="1"/>
  <c r="V57" i="261" s="1"/>
  <c r="X57" i="261" s="1"/>
  <c r="Z57" i="261" s="1"/>
  <c r="AB57" i="261" s="1"/>
  <c r="AD57" i="261" s="1"/>
  <c r="AF57" i="261" s="1"/>
  <c r="AH57" i="261" s="1"/>
  <c r="AJ57" i="261" s="1"/>
  <c r="AL57" i="261" s="1"/>
  <c r="AN57" i="261" s="1"/>
  <c r="AP57" i="261" s="1"/>
  <c r="AR57" i="261" s="1"/>
  <c r="AT57" i="261" s="1"/>
  <c r="AV57" i="261" s="1"/>
  <c r="AX57" i="261" s="1"/>
  <c r="AZ57" i="261" s="1"/>
  <c r="BB57" i="261" s="1"/>
  <c r="BD57" i="261" s="1"/>
  <c r="BF57" i="261" s="1"/>
  <c r="BH57" i="261" s="1"/>
  <c r="BJ57" i="261" s="1"/>
  <c r="BL57" i="261" s="1"/>
  <c r="BN57" i="261" s="1"/>
  <c r="BP57" i="261" s="1"/>
  <c r="BR57" i="261" s="1"/>
  <c r="BT57" i="261" s="1"/>
  <c r="BV57" i="261" s="1"/>
  <c r="BX57" i="261" s="1"/>
  <c r="BZ57" i="261" s="1"/>
  <c r="CB57" i="261" s="1"/>
  <c r="CD57" i="261" s="1"/>
  <c r="CF57" i="261" s="1"/>
  <c r="CH57" i="261" s="1"/>
  <c r="CJ57" i="261" s="1"/>
  <c r="CL57" i="261" s="1"/>
  <c r="CN57" i="261" s="1"/>
  <c r="CP57" i="261" s="1"/>
  <c r="CR57" i="261" s="1"/>
  <c r="CT57" i="261" s="1"/>
  <c r="CV57" i="261" s="1"/>
  <c r="CX57" i="261" s="1"/>
  <c r="CZ57" i="261" s="1"/>
  <c r="DB57" i="261" s="1"/>
  <c r="DD57" i="261" s="1"/>
  <c r="DF57" i="261" s="1"/>
  <c r="DH57" i="261" s="1"/>
  <c r="DJ57" i="261" s="1"/>
  <c r="DL57" i="261" s="1"/>
  <c r="DN57" i="261" s="1"/>
  <c r="DP57" i="261" s="1"/>
  <c r="DR57" i="261" s="1"/>
  <c r="DT57" i="261" s="1"/>
  <c r="DV57" i="261" s="1"/>
  <c r="DX57" i="261" s="1"/>
  <c r="DZ57" i="261" s="1"/>
  <c r="EB57" i="261" s="1"/>
  <c r="ED57" i="261" s="1"/>
  <c r="EF57" i="261" s="1"/>
  <c r="EH57" i="261" s="1"/>
  <c r="EJ57" i="261" s="1"/>
  <c r="EL57" i="261" s="1"/>
  <c r="EN57" i="261" s="1"/>
  <c r="EP57" i="261" s="1"/>
  <c r="ER57" i="261" s="1"/>
  <c r="ET57" i="261" s="1"/>
  <c r="EV57" i="261" s="1"/>
  <c r="EX57" i="261" s="1"/>
  <c r="EZ57" i="261" s="1"/>
  <c r="FB57" i="261" s="1"/>
  <c r="FD57" i="261" s="1"/>
  <c r="FF57" i="261" s="1"/>
  <c r="FH57" i="261" s="1"/>
  <c r="FJ57" i="261" s="1"/>
  <c r="FL57" i="261" s="1"/>
  <c r="FN57" i="261" s="1"/>
  <c r="FP57" i="261" s="1"/>
  <c r="FR57" i="261" s="1"/>
  <c r="FT57" i="261" s="1"/>
  <c r="FV57" i="261" s="1"/>
  <c r="FX57" i="261" s="1"/>
  <c r="FZ57" i="261" s="1"/>
  <c r="D58" i="261"/>
  <c r="F58" i="261" s="1"/>
  <c r="H58" i="261" s="1"/>
  <c r="J58" i="261" s="1"/>
  <c r="L58" i="261" s="1"/>
  <c r="N58" i="261" s="1"/>
  <c r="P58" i="261" s="1"/>
  <c r="R58" i="261" s="1"/>
  <c r="T58" i="261" s="1"/>
  <c r="V58" i="261" s="1"/>
  <c r="X58" i="261" s="1"/>
  <c r="Z58" i="261" s="1"/>
  <c r="AB58" i="261" s="1"/>
  <c r="AD58" i="261" s="1"/>
  <c r="AF58" i="261" s="1"/>
  <c r="AH58" i="261" s="1"/>
  <c r="AJ58" i="261" s="1"/>
  <c r="AL58" i="261" s="1"/>
  <c r="AN58" i="261" s="1"/>
  <c r="AP58" i="261" s="1"/>
  <c r="AR58" i="261" s="1"/>
  <c r="AT58" i="261" s="1"/>
  <c r="AV58" i="261" s="1"/>
  <c r="AX58" i="261" s="1"/>
  <c r="AZ58" i="261" s="1"/>
  <c r="BB58" i="261" s="1"/>
  <c r="BD58" i="261" s="1"/>
  <c r="BF58" i="261" s="1"/>
  <c r="BH58" i="261" s="1"/>
  <c r="BJ58" i="261" s="1"/>
  <c r="BL58" i="261" s="1"/>
  <c r="BN58" i="261" s="1"/>
  <c r="BP58" i="261" s="1"/>
  <c r="BR58" i="261" s="1"/>
  <c r="BT58" i="261" s="1"/>
  <c r="BV58" i="261" s="1"/>
  <c r="BX58" i="261" s="1"/>
  <c r="BZ58" i="261" s="1"/>
  <c r="CB58" i="261" s="1"/>
  <c r="CD58" i="261" s="1"/>
  <c r="CF58" i="261" s="1"/>
  <c r="CH58" i="261" s="1"/>
  <c r="CJ58" i="261" s="1"/>
  <c r="CL58" i="261" s="1"/>
  <c r="CN58" i="261" s="1"/>
  <c r="CP58" i="261" s="1"/>
  <c r="CR58" i="261" s="1"/>
  <c r="CT58" i="261" s="1"/>
  <c r="CV58" i="261" s="1"/>
  <c r="CX58" i="261" s="1"/>
  <c r="CZ58" i="261" s="1"/>
  <c r="DB58" i="261" s="1"/>
  <c r="DD58" i="261" s="1"/>
  <c r="DF58" i="261" s="1"/>
  <c r="DH58" i="261" s="1"/>
  <c r="DJ58" i="261" s="1"/>
  <c r="DL58" i="261" s="1"/>
  <c r="DN58" i="261" s="1"/>
  <c r="DP58" i="261" s="1"/>
  <c r="DR58" i="261" s="1"/>
  <c r="DT58" i="261" s="1"/>
  <c r="DV58" i="261" s="1"/>
  <c r="DX58" i="261" s="1"/>
  <c r="DZ58" i="261" s="1"/>
  <c r="EB58" i="261" s="1"/>
  <c r="ED58" i="261" s="1"/>
  <c r="EF58" i="261" s="1"/>
  <c r="EH58" i="261" s="1"/>
  <c r="EJ58" i="261" s="1"/>
  <c r="EL58" i="261" s="1"/>
  <c r="EN58" i="261" s="1"/>
  <c r="EP58" i="261" s="1"/>
  <c r="ER58" i="261" s="1"/>
  <c r="ET58" i="261" s="1"/>
  <c r="EV58" i="261" s="1"/>
  <c r="EX58" i="261" s="1"/>
  <c r="EZ58" i="261" s="1"/>
  <c r="FB58" i="261" s="1"/>
  <c r="FD58" i="261" s="1"/>
  <c r="FF58" i="261" s="1"/>
  <c r="FH58" i="261" s="1"/>
  <c r="FJ58" i="261" s="1"/>
  <c r="FL58" i="261" s="1"/>
  <c r="FN58" i="261" s="1"/>
  <c r="FP58" i="261" s="1"/>
  <c r="FR58" i="261" s="1"/>
  <c r="FT58" i="261" s="1"/>
  <c r="FV58" i="261" s="1"/>
  <c r="FX58" i="261" s="1"/>
  <c r="FZ58" i="261" s="1"/>
  <c r="D59" i="261"/>
  <c r="F59" i="261" s="1"/>
  <c r="H59" i="261" s="1"/>
  <c r="J59" i="261" s="1"/>
  <c r="L59" i="261" s="1"/>
  <c r="N59" i="261" s="1"/>
  <c r="P59" i="261" s="1"/>
  <c r="R59" i="261" s="1"/>
  <c r="T59" i="261" s="1"/>
  <c r="V59" i="261" s="1"/>
  <c r="X59" i="261" s="1"/>
  <c r="Z59" i="261" s="1"/>
  <c r="AB59" i="261" s="1"/>
  <c r="AD59" i="261" s="1"/>
  <c r="AF59" i="261" s="1"/>
  <c r="AH59" i="261" s="1"/>
  <c r="AJ59" i="261" s="1"/>
  <c r="AL59" i="261" s="1"/>
  <c r="AN59" i="261" s="1"/>
  <c r="AP59" i="261" s="1"/>
  <c r="AR59" i="261" s="1"/>
  <c r="AT59" i="261" s="1"/>
  <c r="AV59" i="261" s="1"/>
  <c r="AX59" i="261" s="1"/>
  <c r="AZ59" i="261" s="1"/>
  <c r="BB59" i="261" s="1"/>
  <c r="BD59" i="261" s="1"/>
  <c r="BF59" i="261" s="1"/>
  <c r="BH59" i="261" s="1"/>
  <c r="BJ59" i="261" s="1"/>
  <c r="BL59" i="261" s="1"/>
  <c r="BN59" i="261" s="1"/>
  <c r="BP59" i="261" s="1"/>
  <c r="BR59" i="261" s="1"/>
  <c r="BT59" i="261" s="1"/>
  <c r="BV59" i="261" s="1"/>
  <c r="BX59" i="261" s="1"/>
  <c r="BZ59" i="261" s="1"/>
  <c r="CB59" i="261" s="1"/>
  <c r="CD59" i="261" s="1"/>
  <c r="CF59" i="261" s="1"/>
  <c r="CH59" i="261" s="1"/>
  <c r="CJ59" i="261" s="1"/>
  <c r="CL59" i="261" s="1"/>
  <c r="CN59" i="261" s="1"/>
  <c r="CP59" i="261" s="1"/>
  <c r="CR59" i="261" s="1"/>
  <c r="CT59" i="261" s="1"/>
  <c r="CV59" i="261" s="1"/>
  <c r="CX59" i="261" s="1"/>
  <c r="CZ59" i="261" s="1"/>
  <c r="DB59" i="261" s="1"/>
  <c r="DD59" i="261" s="1"/>
  <c r="DF59" i="261" s="1"/>
  <c r="DH59" i="261" s="1"/>
  <c r="DJ59" i="261" s="1"/>
  <c r="DL59" i="261" s="1"/>
  <c r="DN59" i="261" s="1"/>
  <c r="DP59" i="261" s="1"/>
  <c r="DR59" i="261" s="1"/>
  <c r="DT59" i="261" s="1"/>
  <c r="DV59" i="261" s="1"/>
  <c r="DX59" i="261" s="1"/>
  <c r="DZ59" i="261" s="1"/>
  <c r="EB59" i="261" s="1"/>
  <c r="ED59" i="261" s="1"/>
  <c r="EF59" i="261" s="1"/>
  <c r="EH59" i="261" s="1"/>
  <c r="EJ59" i="261" s="1"/>
  <c r="EL59" i="261" s="1"/>
  <c r="EN59" i="261" s="1"/>
  <c r="EP59" i="261" s="1"/>
  <c r="ER59" i="261" s="1"/>
  <c r="ET59" i="261" s="1"/>
  <c r="EV59" i="261" s="1"/>
  <c r="EX59" i="261" s="1"/>
  <c r="EZ59" i="261" s="1"/>
  <c r="FB59" i="261" s="1"/>
  <c r="FD59" i="261" s="1"/>
  <c r="FF59" i="261" s="1"/>
  <c r="FH59" i="261" s="1"/>
  <c r="FJ59" i="261" s="1"/>
  <c r="FL59" i="261" s="1"/>
  <c r="FN59" i="261" s="1"/>
  <c r="FP59" i="261" s="1"/>
  <c r="FR59" i="261" s="1"/>
  <c r="FT59" i="261" s="1"/>
  <c r="FV59" i="261" s="1"/>
  <c r="FX59" i="261" s="1"/>
  <c r="FZ59" i="261" s="1"/>
  <c r="D60" i="261"/>
  <c r="F60" i="261" s="1"/>
  <c r="H60" i="261" s="1"/>
  <c r="J60" i="261" s="1"/>
  <c r="L60" i="261" s="1"/>
  <c r="N60" i="261" s="1"/>
  <c r="P60" i="261" s="1"/>
  <c r="R60" i="261" s="1"/>
  <c r="T60" i="261" s="1"/>
  <c r="V60" i="261" s="1"/>
  <c r="X60" i="261" s="1"/>
  <c r="Z60" i="261" s="1"/>
  <c r="AB60" i="261" s="1"/>
  <c r="AD60" i="261" s="1"/>
  <c r="AF60" i="261" s="1"/>
  <c r="AH60" i="261" s="1"/>
  <c r="AJ60" i="261" s="1"/>
  <c r="AL60" i="261" s="1"/>
  <c r="AN60" i="261" s="1"/>
  <c r="AP60" i="261" s="1"/>
  <c r="AR60" i="261" s="1"/>
  <c r="AT60" i="261" s="1"/>
  <c r="AV60" i="261" s="1"/>
  <c r="AX60" i="261" s="1"/>
  <c r="AZ60" i="261" s="1"/>
  <c r="BB60" i="261" s="1"/>
  <c r="BD60" i="261" s="1"/>
  <c r="BF60" i="261" s="1"/>
  <c r="BH60" i="261" s="1"/>
  <c r="BJ60" i="261" s="1"/>
  <c r="BL60" i="261" s="1"/>
  <c r="BN60" i="261" s="1"/>
  <c r="BP60" i="261" s="1"/>
  <c r="BR60" i="261" s="1"/>
  <c r="BT60" i="261" s="1"/>
  <c r="BV60" i="261" s="1"/>
  <c r="BX60" i="261" s="1"/>
  <c r="BZ60" i="261" s="1"/>
  <c r="CB60" i="261" s="1"/>
  <c r="CD60" i="261" s="1"/>
  <c r="CF60" i="261" s="1"/>
  <c r="CH60" i="261" s="1"/>
  <c r="CJ60" i="261" s="1"/>
  <c r="CL60" i="261" s="1"/>
  <c r="CN60" i="261" s="1"/>
  <c r="CP60" i="261" s="1"/>
  <c r="CR60" i="261" s="1"/>
  <c r="CT60" i="261" s="1"/>
  <c r="CV60" i="261" s="1"/>
  <c r="CX60" i="261" s="1"/>
  <c r="CZ60" i="261" s="1"/>
  <c r="DB60" i="261" s="1"/>
  <c r="DD60" i="261" s="1"/>
  <c r="DF60" i="261" s="1"/>
  <c r="DH60" i="261" s="1"/>
  <c r="DJ60" i="261" s="1"/>
  <c r="DL60" i="261" s="1"/>
  <c r="DN60" i="261" s="1"/>
  <c r="DP60" i="261" s="1"/>
  <c r="DR60" i="261" s="1"/>
  <c r="DT60" i="261" s="1"/>
  <c r="DV60" i="261" s="1"/>
  <c r="DX60" i="261" s="1"/>
  <c r="DZ60" i="261" s="1"/>
  <c r="EB60" i="261" s="1"/>
  <c r="ED60" i="261" s="1"/>
  <c r="EF60" i="261" s="1"/>
  <c r="EH60" i="261" s="1"/>
  <c r="EJ60" i="261" s="1"/>
  <c r="EL60" i="261" s="1"/>
  <c r="EN60" i="261" s="1"/>
  <c r="EP60" i="261" s="1"/>
  <c r="ER60" i="261" s="1"/>
  <c r="ET60" i="261" s="1"/>
  <c r="EV60" i="261" s="1"/>
  <c r="EX60" i="261" s="1"/>
  <c r="EZ60" i="261" s="1"/>
  <c r="FB60" i="261" s="1"/>
  <c r="FD60" i="261" s="1"/>
  <c r="FF60" i="261" s="1"/>
  <c r="FH60" i="261" s="1"/>
  <c r="FJ60" i="261" s="1"/>
  <c r="FL60" i="261" s="1"/>
  <c r="FN60" i="261" s="1"/>
  <c r="FP60" i="261" s="1"/>
  <c r="FR60" i="261" s="1"/>
  <c r="FT60" i="261" s="1"/>
  <c r="FV60" i="261" s="1"/>
  <c r="FX60" i="261" s="1"/>
  <c r="FZ60" i="261" s="1"/>
  <c r="D35" i="261"/>
  <c r="F35" i="261" s="1"/>
  <c r="D36" i="261"/>
  <c r="F36" i="261" s="1"/>
  <c r="D37" i="261"/>
  <c r="F37" i="261" s="1"/>
  <c r="D38" i="261"/>
  <c r="F38" i="261" s="1"/>
  <c r="H38" i="261" s="1"/>
  <c r="J38" i="261" s="1"/>
  <c r="L38" i="261" s="1"/>
  <c r="N38" i="261" s="1"/>
  <c r="P38" i="261" s="1"/>
  <c r="R38" i="261" s="1"/>
  <c r="T38" i="261" s="1"/>
  <c r="V38" i="261" s="1"/>
  <c r="X38" i="261" s="1"/>
  <c r="Z38" i="261" s="1"/>
  <c r="AB38" i="261" s="1"/>
  <c r="AD38" i="261" s="1"/>
  <c r="AF38" i="261" s="1"/>
  <c r="AH38" i="261" s="1"/>
  <c r="AJ38" i="261" s="1"/>
  <c r="AL38" i="261" s="1"/>
  <c r="AN38" i="261" s="1"/>
  <c r="AP38" i="261" s="1"/>
  <c r="AR38" i="261" s="1"/>
  <c r="AT38" i="261" s="1"/>
  <c r="AV38" i="261" s="1"/>
  <c r="AX38" i="261" s="1"/>
  <c r="AZ38" i="261" s="1"/>
  <c r="BB38" i="261" s="1"/>
  <c r="BD38" i="261" s="1"/>
  <c r="BF38" i="261" s="1"/>
  <c r="BH38" i="261" s="1"/>
  <c r="BJ38" i="261" s="1"/>
  <c r="BL38" i="261" s="1"/>
  <c r="BN38" i="261" s="1"/>
  <c r="BP38" i="261" s="1"/>
  <c r="BR38" i="261" s="1"/>
  <c r="BT38" i="261" s="1"/>
  <c r="BV38" i="261" s="1"/>
  <c r="BX38" i="261" s="1"/>
  <c r="BZ38" i="261" s="1"/>
  <c r="CB38" i="261" s="1"/>
  <c r="CD38" i="261" s="1"/>
  <c r="CF38" i="261" s="1"/>
  <c r="CH38" i="261" s="1"/>
  <c r="CJ38" i="261" s="1"/>
  <c r="CL38" i="261" s="1"/>
  <c r="CN38" i="261" s="1"/>
  <c r="CP38" i="261" s="1"/>
  <c r="CR38" i="261" s="1"/>
  <c r="CT38" i="261" s="1"/>
  <c r="CV38" i="261" s="1"/>
  <c r="CX38" i="261" s="1"/>
  <c r="CZ38" i="261" s="1"/>
  <c r="DB38" i="261" s="1"/>
  <c r="DD38" i="261" s="1"/>
  <c r="DF38" i="261" s="1"/>
  <c r="DH38" i="261" s="1"/>
  <c r="DJ38" i="261" s="1"/>
  <c r="DL38" i="261" s="1"/>
  <c r="DN38" i="261" s="1"/>
  <c r="DP38" i="261" s="1"/>
  <c r="DR38" i="261" s="1"/>
  <c r="DT38" i="261" s="1"/>
  <c r="DV38" i="261" s="1"/>
  <c r="DX38" i="261" s="1"/>
  <c r="DZ38" i="261" s="1"/>
  <c r="EB38" i="261" s="1"/>
  <c r="ED38" i="261" s="1"/>
  <c r="EF38" i="261" s="1"/>
  <c r="EH38" i="261" s="1"/>
  <c r="EJ38" i="261" s="1"/>
  <c r="EL38" i="261" s="1"/>
  <c r="EN38" i="261" s="1"/>
  <c r="EP38" i="261" s="1"/>
  <c r="ER38" i="261" s="1"/>
  <c r="ET38" i="261" s="1"/>
  <c r="EV38" i="261" s="1"/>
  <c r="EX38" i="261" s="1"/>
  <c r="EZ38" i="261" s="1"/>
  <c r="FB38" i="261" s="1"/>
  <c r="FD38" i="261" s="1"/>
  <c r="FF38" i="261" s="1"/>
  <c r="FH38" i="261" s="1"/>
  <c r="FJ38" i="261" s="1"/>
  <c r="FL38" i="261" s="1"/>
  <c r="FN38" i="261" s="1"/>
  <c r="FP38" i="261" s="1"/>
  <c r="FR38" i="261" s="1"/>
  <c r="FT38" i="261" s="1"/>
  <c r="FV38" i="261" s="1"/>
  <c r="FX38" i="261" s="1"/>
  <c r="FZ38" i="261" s="1"/>
  <c r="D39" i="261"/>
  <c r="F39" i="261" s="1"/>
  <c r="H39" i="261" s="1"/>
  <c r="J39" i="261" s="1"/>
  <c r="L39" i="261" s="1"/>
  <c r="N39" i="261" s="1"/>
  <c r="P39" i="261" s="1"/>
  <c r="R39" i="261" s="1"/>
  <c r="T39" i="261" s="1"/>
  <c r="V39" i="261" s="1"/>
  <c r="X39" i="261" s="1"/>
  <c r="Z39" i="261" s="1"/>
  <c r="AB39" i="261" s="1"/>
  <c r="AD39" i="261" s="1"/>
  <c r="AF39" i="261" s="1"/>
  <c r="AH39" i="261" s="1"/>
  <c r="AJ39" i="261" s="1"/>
  <c r="AL39" i="261" s="1"/>
  <c r="AN39" i="261" s="1"/>
  <c r="AP39" i="261" s="1"/>
  <c r="AR39" i="261" s="1"/>
  <c r="AT39" i="261" s="1"/>
  <c r="AV39" i="261" s="1"/>
  <c r="AX39" i="261" s="1"/>
  <c r="AZ39" i="261" s="1"/>
  <c r="BB39" i="261" s="1"/>
  <c r="BD39" i="261" s="1"/>
  <c r="BF39" i="261" s="1"/>
  <c r="BH39" i="261" s="1"/>
  <c r="BJ39" i="261" s="1"/>
  <c r="BL39" i="261" s="1"/>
  <c r="BN39" i="261" s="1"/>
  <c r="BP39" i="261" s="1"/>
  <c r="BR39" i="261" s="1"/>
  <c r="BT39" i="261" s="1"/>
  <c r="BV39" i="261" s="1"/>
  <c r="BX39" i="261" s="1"/>
  <c r="BZ39" i="261" s="1"/>
  <c r="CB39" i="261" s="1"/>
  <c r="CD39" i="261" s="1"/>
  <c r="CF39" i="261" s="1"/>
  <c r="CH39" i="261" s="1"/>
  <c r="CJ39" i="261" s="1"/>
  <c r="CL39" i="261" s="1"/>
  <c r="CN39" i="261" s="1"/>
  <c r="CP39" i="261" s="1"/>
  <c r="CR39" i="261" s="1"/>
  <c r="CT39" i="261" s="1"/>
  <c r="CV39" i="261" s="1"/>
  <c r="CX39" i="261" s="1"/>
  <c r="CZ39" i="261" s="1"/>
  <c r="DB39" i="261" s="1"/>
  <c r="DD39" i="261" s="1"/>
  <c r="DF39" i="261" s="1"/>
  <c r="DH39" i="261" s="1"/>
  <c r="DJ39" i="261" s="1"/>
  <c r="DL39" i="261" s="1"/>
  <c r="DN39" i="261" s="1"/>
  <c r="DP39" i="261" s="1"/>
  <c r="DR39" i="261" s="1"/>
  <c r="DT39" i="261" s="1"/>
  <c r="DV39" i="261" s="1"/>
  <c r="DX39" i="261" s="1"/>
  <c r="DZ39" i="261" s="1"/>
  <c r="EB39" i="261" s="1"/>
  <c r="ED39" i="261" s="1"/>
  <c r="EF39" i="261" s="1"/>
  <c r="EH39" i="261" s="1"/>
  <c r="EJ39" i="261" s="1"/>
  <c r="EL39" i="261" s="1"/>
  <c r="EN39" i="261" s="1"/>
  <c r="EP39" i="261" s="1"/>
  <c r="ER39" i="261" s="1"/>
  <c r="ET39" i="261" s="1"/>
  <c r="EV39" i="261" s="1"/>
  <c r="EX39" i="261" s="1"/>
  <c r="EZ39" i="261" s="1"/>
  <c r="FB39" i="261" s="1"/>
  <c r="FD39" i="261" s="1"/>
  <c r="FF39" i="261" s="1"/>
  <c r="FH39" i="261" s="1"/>
  <c r="FJ39" i="261" s="1"/>
  <c r="FL39" i="261" s="1"/>
  <c r="FN39" i="261" s="1"/>
  <c r="FP39" i="261" s="1"/>
  <c r="FR39" i="261" s="1"/>
  <c r="FT39" i="261" s="1"/>
  <c r="FV39" i="261" s="1"/>
  <c r="FX39" i="261" s="1"/>
  <c r="FZ39" i="261" s="1"/>
  <c r="D40" i="261"/>
  <c r="F40" i="261" s="1"/>
  <c r="H40" i="261" s="1"/>
  <c r="J40" i="261" s="1"/>
  <c r="L40" i="261" s="1"/>
  <c r="N40" i="261" s="1"/>
  <c r="P40" i="261" s="1"/>
  <c r="R40" i="261" s="1"/>
  <c r="T40" i="261" s="1"/>
  <c r="V40" i="261" s="1"/>
  <c r="X40" i="261" s="1"/>
  <c r="Z40" i="261" s="1"/>
  <c r="AB40" i="261" s="1"/>
  <c r="AD40" i="261" s="1"/>
  <c r="AF40" i="261" s="1"/>
  <c r="AH40" i="261" s="1"/>
  <c r="AJ40" i="261" s="1"/>
  <c r="AL40" i="261" s="1"/>
  <c r="AN40" i="261" s="1"/>
  <c r="AP40" i="261" s="1"/>
  <c r="AR40" i="261" s="1"/>
  <c r="AT40" i="261" s="1"/>
  <c r="AV40" i="261" s="1"/>
  <c r="AX40" i="261" s="1"/>
  <c r="AZ40" i="261" s="1"/>
  <c r="BB40" i="261" s="1"/>
  <c r="BD40" i="261" s="1"/>
  <c r="BF40" i="261" s="1"/>
  <c r="BH40" i="261" s="1"/>
  <c r="BJ40" i="261" s="1"/>
  <c r="BL40" i="261" s="1"/>
  <c r="BN40" i="261" s="1"/>
  <c r="BP40" i="261" s="1"/>
  <c r="BR40" i="261" s="1"/>
  <c r="BT40" i="261" s="1"/>
  <c r="BV40" i="261" s="1"/>
  <c r="BX40" i="261" s="1"/>
  <c r="BZ40" i="261" s="1"/>
  <c r="CB40" i="261" s="1"/>
  <c r="CD40" i="261" s="1"/>
  <c r="CF40" i="261" s="1"/>
  <c r="CH40" i="261" s="1"/>
  <c r="CJ40" i="261" s="1"/>
  <c r="CL40" i="261" s="1"/>
  <c r="CN40" i="261" s="1"/>
  <c r="CP40" i="261" s="1"/>
  <c r="CR40" i="261" s="1"/>
  <c r="CT40" i="261" s="1"/>
  <c r="CV40" i="261" s="1"/>
  <c r="CX40" i="261" s="1"/>
  <c r="CZ40" i="261" s="1"/>
  <c r="DB40" i="261" s="1"/>
  <c r="DD40" i="261" s="1"/>
  <c r="DF40" i="261" s="1"/>
  <c r="DH40" i="261" s="1"/>
  <c r="DJ40" i="261" s="1"/>
  <c r="DL40" i="261" s="1"/>
  <c r="DN40" i="261" s="1"/>
  <c r="DP40" i="261" s="1"/>
  <c r="DR40" i="261" s="1"/>
  <c r="DT40" i="261" s="1"/>
  <c r="DV40" i="261" s="1"/>
  <c r="DX40" i="261" s="1"/>
  <c r="DZ40" i="261" s="1"/>
  <c r="EB40" i="261" s="1"/>
  <c r="ED40" i="261" s="1"/>
  <c r="EF40" i="261" s="1"/>
  <c r="EH40" i="261" s="1"/>
  <c r="EJ40" i="261" s="1"/>
  <c r="EL40" i="261" s="1"/>
  <c r="EN40" i="261" s="1"/>
  <c r="EP40" i="261" s="1"/>
  <c r="ER40" i="261" s="1"/>
  <c r="ET40" i="261" s="1"/>
  <c r="EV40" i="261" s="1"/>
  <c r="EX40" i="261" s="1"/>
  <c r="EZ40" i="261" s="1"/>
  <c r="FB40" i="261" s="1"/>
  <c r="FD40" i="261" s="1"/>
  <c r="FF40" i="261" s="1"/>
  <c r="FH40" i="261" s="1"/>
  <c r="FJ40" i="261" s="1"/>
  <c r="FL40" i="261" s="1"/>
  <c r="FN40" i="261" s="1"/>
  <c r="FP40" i="261" s="1"/>
  <c r="FR40" i="261" s="1"/>
  <c r="FT40" i="261" s="1"/>
  <c r="FV40" i="261" s="1"/>
  <c r="FX40" i="261" s="1"/>
  <c r="FZ40" i="261" s="1"/>
  <c r="D41" i="261"/>
  <c r="F41" i="261" s="1"/>
  <c r="H41" i="261" s="1"/>
  <c r="J41" i="261" s="1"/>
  <c r="L41" i="261" s="1"/>
  <c r="N41" i="261" s="1"/>
  <c r="P41" i="261" s="1"/>
  <c r="R41" i="261" s="1"/>
  <c r="T41" i="261" s="1"/>
  <c r="V41" i="261" s="1"/>
  <c r="X41" i="261" s="1"/>
  <c r="Z41" i="261" s="1"/>
  <c r="AB41" i="261" s="1"/>
  <c r="AD41" i="261" s="1"/>
  <c r="AF41" i="261" s="1"/>
  <c r="AH41" i="261" s="1"/>
  <c r="AJ41" i="261" s="1"/>
  <c r="AL41" i="261" s="1"/>
  <c r="AN41" i="261" s="1"/>
  <c r="AP41" i="261" s="1"/>
  <c r="AR41" i="261" s="1"/>
  <c r="AT41" i="261" s="1"/>
  <c r="AV41" i="261" s="1"/>
  <c r="AX41" i="261" s="1"/>
  <c r="AZ41" i="261" s="1"/>
  <c r="BB41" i="261" s="1"/>
  <c r="BD41" i="261" s="1"/>
  <c r="BF41" i="261" s="1"/>
  <c r="BH41" i="261" s="1"/>
  <c r="BJ41" i="261" s="1"/>
  <c r="BL41" i="261" s="1"/>
  <c r="BN41" i="261" s="1"/>
  <c r="BP41" i="261" s="1"/>
  <c r="BR41" i="261" s="1"/>
  <c r="BT41" i="261" s="1"/>
  <c r="BV41" i="261" s="1"/>
  <c r="BX41" i="261" s="1"/>
  <c r="BZ41" i="261" s="1"/>
  <c r="CB41" i="261" s="1"/>
  <c r="CD41" i="261" s="1"/>
  <c r="CF41" i="261" s="1"/>
  <c r="CH41" i="261" s="1"/>
  <c r="CJ41" i="261" s="1"/>
  <c r="CL41" i="261" s="1"/>
  <c r="CN41" i="261" s="1"/>
  <c r="CP41" i="261" s="1"/>
  <c r="CR41" i="261" s="1"/>
  <c r="CT41" i="261" s="1"/>
  <c r="CV41" i="261" s="1"/>
  <c r="CX41" i="261" s="1"/>
  <c r="CZ41" i="261" s="1"/>
  <c r="DB41" i="261" s="1"/>
  <c r="DD41" i="261" s="1"/>
  <c r="DF41" i="261" s="1"/>
  <c r="DH41" i="261" s="1"/>
  <c r="DJ41" i="261" s="1"/>
  <c r="DL41" i="261" s="1"/>
  <c r="DN41" i="261" s="1"/>
  <c r="DP41" i="261" s="1"/>
  <c r="DR41" i="261" s="1"/>
  <c r="DT41" i="261" s="1"/>
  <c r="DV41" i="261" s="1"/>
  <c r="DX41" i="261" s="1"/>
  <c r="DZ41" i="261" s="1"/>
  <c r="EB41" i="261" s="1"/>
  <c r="ED41" i="261" s="1"/>
  <c r="EF41" i="261" s="1"/>
  <c r="EH41" i="261" s="1"/>
  <c r="EJ41" i="261" s="1"/>
  <c r="EL41" i="261" s="1"/>
  <c r="EN41" i="261" s="1"/>
  <c r="EP41" i="261" s="1"/>
  <c r="ER41" i="261" s="1"/>
  <c r="ET41" i="261" s="1"/>
  <c r="EV41" i="261" s="1"/>
  <c r="EX41" i="261" s="1"/>
  <c r="EZ41" i="261" s="1"/>
  <c r="FB41" i="261" s="1"/>
  <c r="FD41" i="261" s="1"/>
  <c r="FF41" i="261" s="1"/>
  <c r="FH41" i="261" s="1"/>
  <c r="FJ41" i="261" s="1"/>
  <c r="FL41" i="261" s="1"/>
  <c r="FN41" i="261" s="1"/>
  <c r="FP41" i="261" s="1"/>
  <c r="FR41" i="261" s="1"/>
  <c r="FT41" i="261" s="1"/>
  <c r="FV41" i="261" s="1"/>
  <c r="FX41" i="261" s="1"/>
  <c r="FZ41" i="261" s="1"/>
  <c r="D42" i="261"/>
  <c r="F42" i="261" s="1"/>
  <c r="H42" i="261" s="1"/>
  <c r="J42" i="261" s="1"/>
  <c r="L42" i="261" s="1"/>
  <c r="N42" i="261" s="1"/>
  <c r="P42" i="261" s="1"/>
  <c r="R42" i="261" s="1"/>
  <c r="T42" i="261" s="1"/>
  <c r="V42" i="261" s="1"/>
  <c r="X42" i="261" s="1"/>
  <c r="Z42" i="261" s="1"/>
  <c r="AB42" i="261" s="1"/>
  <c r="AD42" i="261" s="1"/>
  <c r="AF42" i="261" s="1"/>
  <c r="AH42" i="261" s="1"/>
  <c r="AJ42" i="261" s="1"/>
  <c r="AL42" i="261" s="1"/>
  <c r="AN42" i="261" s="1"/>
  <c r="AP42" i="261" s="1"/>
  <c r="AR42" i="261" s="1"/>
  <c r="AT42" i="261" s="1"/>
  <c r="AV42" i="261" s="1"/>
  <c r="AX42" i="261" s="1"/>
  <c r="AZ42" i="261" s="1"/>
  <c r="BB42" i="261" s="1"/>
  <c r="BD42" i="261" s="1"/>
  <c r="BF42" i="261" s="1"/>
  <c r="BH42" i="261" s="1"/>
  <c r="BJ42" i="261" s="1"/>
  <c r="BL42" i="261" s="1"/>
  <c r="BN42" i="261" s="1"/>
  <c r="BP42" i="261" s="1"/>
  <c r="BR42" i="261" s="1"/>
  <c r="BT42" i="261" s="1"/>
  <c r="BV42" i="261" s="1"/>
  <c r="BX42" i="261" s="1"/>
  <c r="BZ42" i="261" s="1"/>
  <c r="CB42" i="261" s="1"/>
  <c r="CD42" i="261" s="1"/>
  <c r="CF42" i="261" s="1"/>
  <c r="CH42" i="261" s="1"/>
  <c r="CJ42" i="261" s="1"/>
  <c r="CL42" i="261" s="1"/>
  <c r="CN42" i="261" s="1"/>
  <c r="CP42" i="261" s="1"/>
  <c r="CR42" i="261" s="1"/>
  <c r="CT42" i="261" s="1"/>
  <c r="CV42" i="261" s="1"/>
  <c r="CX42" i="261" s="1"/>
  <c r="CZ42" i="261" s="1"/>
  <c r="DB42" i="261" s="1"/>
  <c r="DD42" i="261" s="1"/>
  <c r="DF42" i="261" s="1"/>
  <c r="DH42" i="261" s="1"/>
  <c r="DJ42" i="261" s="1"/>
  <c r="DL42" i="261" s="1"/>
  <c r="DN42" i="261" s="1"/>
  <c r="DP42" i="261" s="1"/>
  <c r="DR42" i="261" s="1"/>
  <c r="DT42" i="261" s="1"/>
  <c r="DV42" i="261" s="1"/>
  <c r="DX42" i="261" s="1"/>
  <c r="DZ42" i="261" s="1"/>
  <c r="EB42" i="261" s="1"/>
  <c r="ED42" i="261" s="1"/>
  <c r="EF42" i="261" s="1"/>
  <c r="EH42" i="261" s="1"/>
  <c r="EJ42" i="261" s="1"/>
  <c r="EL42" i="261" s="1"/>
  <c r="EN42" i="261" s="1"/>
  <c r="EP42" i="261" s="1"/>
  <c r="ER42" i="261" s="1"/>
  <c r="ET42" i="261" s="1"/>
  <c r="EV42" i="261" s="1"/>
  <c r="EX42" i="261" s="1"/>
  <c r="EZ42" i="261" s="1"/>
  <c r="FB42" i="261" s="1"/>
  <c r="FD42" i="261" s="1"/>
  <c r="FF42" i="261" s="1"/>
  <c r="FH42" i="261" s="1"/>
  <c r="FJ42" i="261" s="1"/>
  <c r="FL42" i="261" s="1"/>
  <c r="FN42" i="261" s="1"/>
  <c r="FP42" i="261" s="1"/>
  <c r="FR42" i="261" s="1"/>
  <c r="FT42" i="261" s="1"/>
  <c r="FV42" i="261" s="1"/>
  <c r="FX42" i="261" s="1"/>
  <c r="FZ42" i="261" s="1"/>
  <c r="D43" i="261"/>
  <c r="F43" i="261" s="1"/>
  <c r="H43" i="261" s="1"/>
  <c r="J43" i="261" s="1"/>
  <c r="L43" i="261" s="1"/>
  <c r="N43" i="261" s="1"/>
  <c r="P43" i="261" s="1"/>
  <c r="R43" i="261" s="1"/>
  <c r="T43" i="261" s="1"/>
  <c r="V43" i="261" s="1"/>
  <c r="X43" i="261" s="1"/>
  <c r="Z43" i="261" s="1"/>
  <c r="AB43" i="261" s="1"/>
  <c r="AD43" i="261" s="1"/>
  <c r="AF43" i="261" s="1"/>
  <c r="AH43" i="261" s="1"/>
  <c r="AJ43" i="261" s="1"/>
  <c r="AL43" i="261" s="1"/>
  <c r="AN43" i="261" s="1"/>
  <c r="AP43" i="261" s="1"/>
  <c r="AR43" i="261" s="1"/>
  <c r="AT43" i="261" s="1"/>
  <c r="AV43" i="261" s="1"/>
  <c r="AX43" i="261" s="1"/>
  <c r="AZ43" i="261" s="1"/>
  <c r="BB43" i="261" s="1"/>
  <c r="BD43" i="261" s="1"/>
  <c r="BF43" i="261" s="1"/>
  <c r="BH43" i="261" s="1"/>
  <c r="BJ43" i="261" s="1"/>
  <c r="BL43" i="261" s="1"/>
  <c r="BN43" i="261" s="1"/>
  <c r="BP43" i="261" s="1"/>
  <c r="BR43" i="261" s="1"/>
  <c r="BT43" i="261" s="1"/>
  <c r="BV43" i="261" s="1"/>
  <c r="BX43" i="261" s="1"/>
  <c r="BZ43" i="261" s="1"/>
  <c r="CB43" i="261" s="1"/>
  <c r="CD43" i="261" s="1"/>
  <c r="CF43" i="261" s="1"/>
  <c r="CH43" i="261" s="1"/>
  <c r="CJ43" i="261" s="1"/>
  <c r="CL43" i="261" s="1"/>
  <c r="CN43" i="261" s="1"/>
  <c r="CP43" i="261" s="1"/>
  <c r="CR43" i="261" s="1"/>
  <c r="CT43" i="261" s="1"/>
  <c r="CV43" i="261" s="1"/>
  <c r="CX43" i="261" s="1"/>
  <c r="CZ43" i="261" s="1"/>
  <c r="DB43" i="261" s="1"/>
  <c r="DD43" i="261" s="1"/>
  <c r="DF43" i="261" s="1"/>
  <c r="DH43" i="261" s="1"/>
  <c r="DJ43" i="261" s="1"/>
  <c r="DL43" i="261" s="1"/>
  <c r="DN43" i="261" s="1"/>
  <c r="DP43" i="261" s="1"/>
  <c r="DR43" i="261" s="1"/>
  <c r="DT43" i="261" s="1"/>
  <c r="DV43" i="261" s="1"/>
  <c r="DX43" i="261" s="1"/>
  <c r="DZ43" i="261" s="1"/>
  <c r="EB43" i="261" s="1"/>
  <c r="ED43" i="261" s="1"/>
  <c r="EF43" i="261" s="1"/>
  <c r="EH43" i="261" s="1"/>
  <c r="EJ43" i="261" s="1"/>
  <c r="EL43" i="261" s="1"/>
  <c r="EN43" i="261" s="1"/>
  <c r="EP43" i="261" s="1"/>
  <c r="ER43" i="261" s="1"/>
  <c r="ET43" i="261" s="1"/>
  <c r="EV43" i="261" s="1"/>
  <c r="EX43" i="261" s="1"/>
  <c r="EZ43" i="261" s="1"/>
  <c r="FB43" i="261" s="1"/>
  <c r="FD43" i="261" s="1"/>
  <c r="FF43" i="261" s="1"/>
  <c r="FH43" i="261" s="1"/>
  <c r="FJ43" i="261" s="1"/>
  <c r="FL43" i="261" s="1"/>
  <c r="FN43" i="261" s="1"/>
  <c r="FP43" i="261" s="1"/>
  <c r="FR43" i="261" s="1"/>
  <c r="FT43" i="261" s="1"/>
  <c r="FV43" i="261" s="1"/>
  <c r="FX43" i="261" s="1"/>
  <c r="FZ43" i="261" s="1"/>
  <c r="D44" i="261"/>
  <c r="F44" i="261" s="1"/>
  <c r="H44" i="261" s="1"/>
  <c r="J44" i="261" s="1"/>
  <c r="L44" i="261" s="1"/>
  <c r="N44" i="261" s="1"/>
  <c r="P44" i="261" s="1"/>
  <c r="R44" i="261" s="1"/>
  <c r="T44" i="261" s="1"/>
  <c r="V44" i="261" s="1"/>
  <c r="X44" i="261" s="1"/>
  <c r="Z44" i="261" s="1"/>
  <c r="AB44" i="261" s="1"/>
  <c r="AD44" i="261" s="1"/>
  <c r="AF44" i="261" s="1"/>
  <c r="AH44" i="261" s="1"/>
  <c r="AJ44" i="261" s="1"/>
  <c r="AL44" i="261" s="1"/>
  <c r="AN44" i="261" s="1"/>
  <c r="AP44" i="261" s="1"/>
  <c r="AR44" i="261" s="1"/>
  <c r="AT44" i="261" s="1"/>
  <c r="AV44" i="261" s="1"/>
  <c r="AX44" i="261" s="1"/>
  <c r="AZ44" i="261" s="1"/>
  <c r="BB44" i="261" s="1"/>
  <c r="BD44" i="261" s="1"/>
  <c r="BF44" i="261" s="1"/>
  <c r="BH44" i="261" s="1"/>
  <c r="BJ44" i="261" s="1"/>
  <c r="BL44" i="261" s="1"/>
  <c r="BN44" i="261" s="1"/>
  <c r="BP44" i="261" s="1"/>
  <c r="BR44" i="261" s="1"/>
  <c r="BT44" i="261" s="1"/>
  <c r="BV44" i="261" s="1"/>
  <c r="BX44" i="261" s="1"/>
  <c r="BZ44" i="261" s="1"/>
  <c r="CB44" i="261" s="1"/>
  <c r="CD44" i="261" s="1"/>
  <c r="CF44" i="261" s="1"/>
  <c r="CH44" i="261" s="1"/>
  <c r="CJ44" i="261" s="1"/>
  <c r="CL44" i="261" s="1"/>
  <c r="CN44" i="261" s="1"/>
  <c r="CP44" i="261" s="1"/>
  <c r="CR44" i="261" s="1"/>
  <c r="CT44" i="261" s="1"/>
  <c r="CV44" i="261" s="1"/>
  <c r="CX44" i="261" s="1"/>
  <c r="CZ44" i="261" s="1"/>
  <c r="DB44" i="261" s="1"/>
  <c r="DD44" i="261" s="1"/>
  <c r="DF44" i="261" s="1"/>
  <c r="DH44" i="261" s="1"/>
  <c r="DJ44" i="261" s="1"/>
  <c r="DL44" i="261" s="1"/>
  <c r="DN44" i="261" s="1"/>
  <c r="DP44" i="261" s="1"/>
  <c r="DR44" i="261" s="1"/>
  <c r="DT44" i="261" s="1"/>
  <c r="DV44" i="261" s="1"/>
  <c r="DX44" i="261" s="1"/>
  <c r="DZ44" i="261" s="1"/>
  <c r="EB44" i="261" s="1"/>
  <c r="ED44" i="261" s="1"/>
  <c r="EF44" i="261" s="1"/>
  <c r="EH44" i="261" s="1"/>
  <c r="EJ44" i="261" s="1"/>
  <c r="EL44" i="261" s="1"/>
  <c r="EN44" i="261" s="1"/>
  <c r="EP44" i="261" s="1"/>
  <c r="ER44" i="261" s="1"/>
  <c r="ET44" i="261" s="1"/>
  <c r="EV44" i="261" s="1"/>
  <c r="EX44" i="261" s="1"/>
  <c r="EZ44" i="261" s="1"/>
  <c r="FB44" i="261" s="1"/>
  <c r="FD44" i="261" s="1"/>
  <c r="FF44" i="261" s="1"/>
  <c r="FH44" i="261" s="1"/>
  <c r="FJ44" i="261" s="1"/>
  <c r="FL44" i="261" s="1"/>
  <c r="FN44" i="261" s="1"/>
  <c r="FP44" i="261" s="1"/>
  <c r="FR44" i="261" s="1"/>
  <c r="FT44" i="261" s="1"/>
  <c r="FV44" i="261" s="1"/>
  <c r="FX44" i="261" s="1"/>
  <c r="FZ44" i="261" s="1"/>
  <c r="D45" i="261"/>
  <c r="F45" i="261" s="1"/>
  <c r="H45" i="261" s="1"/>
  <c r="J45" i="261" s="1"/>
  <c r="L45" i="261" s="1"/>
  <c r="N45" i="261" s="1"/>
  <c r="P45" i="261" s="1"/>
  <c r="R45" i="261" s="1"/>
  <c r="T45" i="261" s="1"/>
  <c r="V45" i="261" s="1"/>
  <c r="X45" i="261" s="1"/>
  <c r="Z45" i="261" s="1"/>
  <c r="AB45" i="261" s="1"/>
  <c r="AD45" i="261" s="1"/>
  <c r="AF45" i="261" s="1"/>
  <c r="AH45" i="261" s="1"/>
  <c r="AJ45" i="261" s="1"/>
  <c r="AL45" i="261" s="1"/>
  <c r="AN45" i="261" s="1"/>
  <c r="AP45" i="261" s="1"/>
  <c r="AR45" i="261" s="1"/>
  <c r="AT45" i="261" s="1"/>
  <c r="AV45" i="261" s="1"/>
  <c r="AX45" i="261" s="1"/>
  <c r="AZ45" i="261" s="1"/>
  <c r="BB45" i="261" s="1"/>
  <c r="BD45" i="261" s="1"/>
  <c r="BF45" i="261" s="1"/>
  <c r="BH45" i="261" s="1"/>
  <c r="BJ45" i="261" s="1"/>
  <c r="BL45" i="261" s="1"/>
  <c r="BN45" i="261" s="1"/>
  <c r="BP45" i="261" s="1"/>
  <c r="BR45" i="261" s="1"/>
  <c r="BT45" i="261" s="1"/>
  <c r="BV45" i="261" s="1"/>
  <c r="BX45" i="261" s="1"/>
  <c r="BZ45" i="261" s="1"/>
  <c r="CB45" i="261" s="1"/>
  <c r="CD45" i="261" s="1"/>
  <c r="CF45" i="261" s="1"/>
  <c r="CH45" i="261" s="1"/>
  <c r="CJ45" i="261" s="1"/>
  <c r="CL45" i="261" s="1"/>
  <c r="CN45" i="261" s="1"/>
  <c r="CP45" i="261" s="1"/>
  <c r="CR45" i="261" s="1"/>
  <c r="CT45" i="261" s="1"/>
  <c r="CV45" i="261" s="1"/>
  <c r="CX45" i="261" s="1"/>
  <c r="CZ45" i="261" s="1"/>
  <c r="DB45" i="261" s="1"/>
  <c r="DD45" i="261" s="1"/>
  <c r="DF45" i="261" s="1"/>
  <c r="DH45" i="261" s="1"/>
  <c r="DJ45" i="261" s="1"/>
  <c r="DL45" i="261" s="1"/>
  <c r="DN45" i="261" s="1"/>
  <c r="DP45" i="261" s="1"/>
  <c r="DR45" i="261" s="1"/>
  <c r="DT45" i="261" s="1"/>
  <c r="DV45" i="261" s="1"/>
  <c r="DX45" i="261" s="1"/>
  <c r="DZ45" i="261" s="1"/>
  <c r="EB45" i="261" s="1"/>
  <c r="ED45" i="261" s="1"/>
  <c r="EF45" i="261" s="1"/>
  <c r="EH45" i="261" s="1"/>
  <c r="EJ45" i="261" s="1"/>
  <c r="EL45" i="261" s="1"/>
  <c r="EN45" i="261" s="1"/>
  <c r="EP45" i="261" s="1"/>
  <c r="ER45" i="261" s="1"/>
  <c r="ET45" i="261" s="1"/>
  <c r="EV45" i="261" s="1"/>
  <c r="EX45" i="261" s="1"/>
  <c r="EZ45" i="261" s="1"/>
  <c r="FB45" i="261" s="1"/>
  <c r="FD45" i="261" s="1"/>
  <c r="FF45" i="261" s="1"/>
  <c r="FH45" i="261" s="1"/>
  <c r="FJ45" i="261" s="1"/>
  <c r="FL45" i="261" s="1"/>
  <c r="FN45" i="261" s="1"/>
  <c r="FP45" i="261" s="1"/>
  <c r="FR45" i="261" s="1"/>
  <c r="FT45" i="261" s="1"/>
  <c r="FV45" i="261" s="1"/>
  <c r="FX45" i="261" s="1"/>
  <c r="FZ45" i="261" s="1"/>
  <c r="D46" i="261"/>
  <c r="F46" i="261" s="1"/>
  <c r="H46" i="261" s="1"/>
  <c r="J46" i="261" s="1"/>
  <c r="L46" i="261" s="1"/>
  <c r="N46" i="261" s="1"/>
  <c r="P46" i="261" s="1"/>
  <c r="R46" i="261" s="1"/>
  <c r="T46" i="261" s="1"/>
  <c r="V46" i="261" s="1"/>
  <c r="X46" i="261" s="1"/>
  <c r="Z46" i="261" s="1"/>
  <c r="AB46" i="261" s="1"/>
  <c r="AD46" i="261" s="1"/>
  <c r="AF46" i="261" s="1"/>
  <c r="AH46" i="261" s="1"/>
  <c r="AJ46" i="261" s="1"/>
  <c r="AL46" i="261" s="1"/>
  <c r="AN46" i="261" s="1"/>
  <c r="AP46" i="261" s="1"/>
  <c r="AR46" i="261" s="1"/>
  <c r="AT46" i="261" s="1"/>
  <c r="AV46" i="261" s="1"/>
  <c r="AX46" i="261" s="1"/>
  <c r="AZ46" i="261" s="1"/>
  <c r="BB46" i="261" s="1"/>
  <c r="BD46" i="261" s="1"/>
  <c r="BF46" i="261" s="1"/>
  <c r="BH46" i="261" s="1"/>
  <c r="BJ46" i="261" s="1"/>
  <c r="BL46" i="261" s="1"/>
  <c r="BN46" i="261" s="1"/>
  <c r="BP46" i="261" s="1"/>
  <c r="BR46" i="261" s="1"/>
  <c r="BT46" i="261" s="1"/>
  <c r="BV46" i="261" s="1"/>
  <c r="BX46" i="261" s="1"/>
  <c r="BZ46" i="261" s="1"/>
  <c r="CB46" i="261" s="1"/>
  <c r="CD46" i="261" s="1"/>
  <c r="CF46" i="261" s="1"/>
  <c r="CH46" i="261" s="1"/>
  <c r="CJ46" i="261" s="1"/>
  <c r="CL46" i="261" s="1"/>
  <c r="CN46" i="261" s="1"/>
  <c r="CP46" i="261" s="1"/>
  <c r="CR46" i="261" s="1"/>
  <c r="CT46" i="261" s="1"/>
  <c r="CV46" i="261" s="1"/>
  <c r="CX46" i="261" s="1"/>
  <c r="CZ46" i="261" s="1"/>
  <c r="DB46" i="261" s="1"/>
  <c r="DD46" i="261" s="1"/>
  <c r="DF46" i="261" s="1"/>
  <c r="DH46" i="261" s="1"/>
  <c r="DJ46" i="261" s="1"/>
  <c r="DL46" i="261" s="1"/>
  <c r="DN46" i="261" s="1"/>
  <c r="DP46" i="261" s="1"/>
  <c r="DR46" i="261" s="1"/>
  <c r="DT46" i="261" s="1"/>
  <c r="DV46" i="261" s="1"/>
  <c r="DX46" i="261" s="1"/>
  <c r="DZ46" i="261" s="1"/>
  <c r="EB46" i="261" s="1"/>
  <c r="ED46" i="261" s="1"/>
  <c r="EF46" i="261" s="1"/>
  <c r="EH46" i="261" s="1"/>
  <c r="EJ46" i="261" s="1"/>
  <c r="EL46" i="261" s="1"/>
  <c r="EN46" i="261" s="1"/>
  <c r="EP46" i="261" s="1"/>
  <c r="ER46" i="261" s="1"/>
  <c r="ET46" i="261" s="1"/>
  <c r="EV46" i="261" s="1"/>
  <c r="EX46" i="261" s="1"/>
  <c r="EZ46" i="261" s="1"/>
  <c r="FB46" i="261" s="1"/>
  <c r="FD46" i="261" s="1"/>
  <c r="FF46" i="261" s="1"/>
  <c r="FH46" i="261" s="1"/>
  <c r="FJ46" i="261" s="1"/>
  <c r="FL46" i="261" s="1"/>
  <c r="FN46" i="261" s="1"/>
  <c r="FP46" i="261" s="1"/>
  <c r="FR46" i="261" s="1"/>
  <c r="FT46" i="261" s="1"/>
  <c r="FV46" i="261" s="1"/>
  <c r="FX46" i="261" s="1"/>
  <c r="FZ46" i="261" s="1"/>
  <c r="D47" i="261"/>
  <c r="F47" i="261" s="1"/>
  <c r="H47" i="261" s="1"/>
  <c r="J47" i="261" s="1"/>
  <c r="L47" i="261" s="1"/>
  <c r="N47" i="261" s="1"/>
  <c r="P47" i="261" s="1"/>
  <c r="R47" i="261" s="1"/>
  <c r="T47" i="261" s="1"/>
  <c r="V47" i="261" s="1"/>
  <c r="X47" i="261" s="1"/>
  <c r="Z47" i="261" s="1"/>
  <c r="AB47" i="261" s="1"/>
  <c r="AD47" i="261" s="1"/>
  <c r="AF47" i="261" s="1"/>
  <c r="AH47" i="261" s="1"/>
  <c r="AJ47" i="261" s="1"/>
  <c r="AL47" i="261" s="1"/>
  <c r="AN47" i="261" s="1"/>
  <c r="AP47" i="261" s="1"/>
  <c r="AR47" i="261" s="1"/>
  <c r="AT47" i="261" s="1"/>
  <c r="AV47" i="261" s="1"/>
  <c r="AX47" i="261" s="1"/>
  <c r="AZ47" i="261" s="1"/>
  <c r="BB47" i="261" s="1"/>
  <c r="BD47" i="261" s="1"/>
  <c r="BF47" i="261" s="1"/>
  <c r="BH47" i="261" s="1"/>
  <c r="BJ47" i="261" s="1"/>
  <c r="BL47" i="261" s="1"/>
  <c r="BN47" i="261" s="1"/>
  <c r="BP47" i="261" s="1"/>
  <c r="BR47" i="261" s="1"/>
  <c r="BT47" i="261" s="1"/>
  <c r="BV47" i="261" s="1"/>
  <c r="BX47" i="261" s="1"/>
  <c r="BZ47" i="261" s="1"/>
  <c r="CB47" i="261" s="1"/>
  <c r="CD47" i="261" s="1"/>
  <c r="CF47" i="261" s="1"/>
  <c r="CH47" i="261" s="1"/>
  <c r="CJ47" i="261" s="1"/>
  <c r="CL47" i="261" s="1"/>
  <c r="CN47" i="261" s="1"/>
  <c r="CP47" i="261" s="1"/>
  <c r="CR47" i="261" s="1"/>
  <c r="CT47" i="261" s="1"/>
  <c r="CV47" i="261" s="1"/>
  <c r="CX47" i="261" s="1"/>
  <c r="CZ47" i="261" s="1"/>
  <c r="DB47" i="261" s="1"/>
  <c r="DD47" i="261" s="1"/>
  <c r="DF47" i="261" s="1"/>
  <c r="DH47" i="261" s="1"/>
  <c r="DJ47" i="261" s="1"/>
  <c r="DL47" i="261" s="1"/>
  <c r="DN47" i="261" s="1"/>
  <c r="DP47" i="261" s="1"/>
  <c r="DR47" i="261" s="1"/>
  <c r="DT47" i="261" s="1"/>
  <c r="DV47" i="261" s="1"/>
  <c r="DX47" i="261" s="1"/>
  <c r="DZ47" i="261" s="1"/>
  <c r="EB47" i="261" s="1"/>
  <c r="ED47" i="261" s="1"/>
  <c r="EF47" i="261" s="1"/>
  <c r="EH47" i="261" s="1"/>
  <c r="EJ47" i="261" s="1"/>
  <c r="EL47" i="261" s="1"/>
  <c r="EN47" i="261" s="1"/>
  <c r="EP47" i="261" s="1"/>
  <c r="ER47" i="261" s="1"/>
  <c r="ET47" i="261" s="1"/>
  <c r="EV47" i="261" s="1"/>
  <c r="EX47" i="261" s="1"/>
  <c r="EZ47" i="261" s="1"/>
  <c r="FB47" i="261" s="1"/>
  <c r="FD47" i="261" s="1"/>
  <c r="FF47" i="261" s="1"/>
  <c r="FH47" i="261" s="1"/>
  <c r="FJ47" i="261" s="1"/>
  <c r="FL47" i="261" s="1"/>
  <c r="FN47" i="261" s="1"/>
  <c r="FP47" i="261" s="1"/>
  <c r="FR47" i="261" s="1"/>
  <c r="FT47" i="261" s="1"/>
  <c r="FV47" i="261" s="1"/>
  <c r="FX47" i="261" s="1"/>
  <c r="FZ47" i="261" s="1"/>
  <c r="D48" i="261"/>
  <c r="F48" i="261" s="1"/>
  <c r="H48" i="261" s="1"/>
  <c r="J48" i="261" s="1"/>
  <c r="L48" i="261" s="1"/>
  <c r="N48" i="261" s="1"/>
  <c r="P48" i="261" s="1"/>
  <c r="R48" i="261" s="1"/>
  <c r="T48" i="261" s="1"/>
  <c r="V48" i="261" s="1"/>
  <c r="X48" i="261" s="1"/>
  <c r="Z48" i="261" s="1"/>
  <c r="AB48" i="261" s="1"/>
  <c r="AD48" i="261" s="1"/>
  <c r="AF48" i="261" s="1"/>
  <c r="AH48" i="261" s="1"/>
  <c r="AJ48" i="261" s="1"/>
  <c r="AL48" i="261" s="1"/>
  <c r="AN48" i="261" s="1"/>
  <c r="AP48" i="261" s="1"/>
  <c r="AR48" i="261" s="1"/>
  <c r="AT48" i="261" s="1"/>
  <c r="AV48" i="261" s="1"/>
  <c r="AX48" i="261" s="1"/>
  <c r="AZ48" i="261" s="1"/>
  <c r="BB48" i="261" s="1"/>
  <c r="BD48" i="261" s="1"/>
  <c r="BF48" i="261" s="1"/>
  <c r="BH48" i="261" s="1"/>
  <c r="BJ48" i="261" s="1"/>
  <c r="BL48" i="261" s="1"/>
  <c r="BN48" i="261" s="1"/>
  <c r="BP48" i="261" s="1"/>
  <c r="BR48" i="261" s="1"/>
  <c r="BT48" i="261" s="1"/>
  <c r="BV48" i="261" s="1"/>
  <c r="BX48" i="261" s="1"/>
  <c r="BZ48" i="261" s="1"/>
  <c r="CB48" i="261" s="1"/>
  <c r="CD48" i="261" s="1"/>
  <c r="CF48" i="261" s="1"/>
  <c r="CH48" i="261" s="1"/>
  <c r="CJ48" i="261" s="1"/>
  <c r="CL48" i="261" s="1"/>
  <c r="CN48" i="261" s="1"/>
  <c r="CP48" i="261" s="1"/>
  <c r="CR48" i="261" s="1"/>
  <c r="CT48" i="261" s="1"/>
  <c r="CV48" i="261" s="1"/>
  <c r="CX48" i="261" s="1"/>
  <c r="CZ48" i="261" s="1"/>
  <c r="DB48" i="261" s="1"/>
  <c r="DD48" i="261" s="1"/>
  <c r="DF48" i="261" s="1"/>
  <c r="DH48" i="261" s="1"/>
  <c r="DJ48" i="261" s="1"/>
  <c r="DL48" i="261" s="1"/>
  <c r="DN48" i="261" s="1"/>
  <c r="DP48" i="261" s="1"/>
  <c r="DR48" i="261" s="1"/>
  <c r="DT48" i="261" s="1"/>
  <c r="DV48" i="261" s="1"/>
  <c r="DX48" i="261" s="1"/>
  <c r="DZ48" i="261" s="1"/>
  <c r="EB48" i="261" s="1"/>
  <c r="ED48" i="261" s="1"/>
  <c r="EF48" i="261" s="1"/>
  <c r="EH48" i="261" s="1"/>
  <c r="EJ48" i="261" s="1"/>
  <c r="EL48" i="261" s="1"/>
  <c r="EN48" i="261" s="1"/>
  <c r="EP48" i="261" s="1"/>
  <c r="ER48" i="261" s="1"/>
  <c r="ET48" i="261" s="1"/>
  <c r="EV48" i="261" s="1"/>
  <c r="EX48" i="261" s="1"/>
  <c r="EZ48" i="261" s="1"/>
  <c r="FB48" i="261" s="1"/>
  <c r="FD48" i="261" s="1"/>
  <c r="FF48" i="261" s="1"/>
  <c r="FH48" i="261" s="1"/>
  <c r="FJ48" i="261" s="1"/>
  <c r="FL48" i="261" s="1"/>
  <c r="FN48" i="261" s="1"/>
  <c r="FP48" i="261" s="1"/>
  <c r="FR48" i="261" s="1"/>
  <c r="FT48" i="261" s="1"/>
  <c r="FV48" i="261" s="1"/>
  <c r="FX48" i="261" s="1"/>
  <c r="FZ48" i="261" s="1"/>
  <c r="D49" i="261"/>
  <c r="F49" i="261" s="1"/>
  <c r="H49" i="261" s="1"/>
  <c r="J49" i="261" s="1"/>
  <c r="L49" i="261" s="1"/>
  <c r="N49" i="261" s="1"/>
  <c r="P49" i="261" s="1"/>
  <c r="R49" i="261" s="1"/>
  <c r="T49" i="261" s="1"/>
  <c r="V49" i="261" s="1"/>
  <c r="X49" i="261" s="1"/>
  <c r="Z49" i="261" s="1"/>
  <c r="AB49" i="261" s="1"/>
  <c r="AD49" i="261" s="1"/>
  <c r="AF49" i="261" s="1"/>
  <c r="AH49" i="261" s="1"/>
  <c r="AJ49" i="261" s="1"/>
  <c r="AL49" i="261" s="1"/>
  <c r="AN49" i="261" s="1"/>
  <c r="AP49" i="261" s="1"/>
  <c r="AR49" i="261" s="1"/>
  <c r="AT49" i="261" s="1"/>
  <c r="AV49" i="261" s="1"/>
  <c r="AX49" i="261" s="1"/>
  <c r="AZ49" i="261" s="1"/>
  <c r="BB49" i="261" s="1"/>
  <c r="BD49" i="261" s="1"/>
  <c r="BF49" i="261" s="1"/>
  <c r="BH49" i="261" s="1"/>
  <c r="BJ49" i="261" s="1"/>
  <c r="BL49" i="261" s="1"/>
  <c r="BN49" i="261" s="1"/>
  <c r="BP49" i="261" s="1"/>
  <c r="BR49" i="261" s="1"/>
  <c r="BT49" i="261" s="1"/>
  <c r="BV49" i="261" s="1"/>
  <c r="BX49" i="261" s="1"/>
  <c r="BZ49" i="261" s="1"/>
  <c r="CB49" i="261" s="1"/>
  <c r="CD49" i="261" s="1"/>
  <c r="CF49" i="261" s="1"/>
  <c r="CH49" i="261" s="1"/>
  <c r="CJ49" i="261" s="1"/>
  <c r="CL49" i="261" s="1"/>
  <c r="CN49" i="261" s="1"/>
  <c r="CP49" i="261" s="1"/>
  <c r="CR49" i="261" s="1"/>
  <c r="CT49" i="261" s="1"/>
  <c r="CV49" i="261" s="1"/>
  <c r="CX49" i="261" s="1"/>
  <c r="CZ49" i="261" s="1"/>
  <c r="DB49" i="261" s="1"/>
  <c r="DD49" i="261" s="1"/>
  <c r="DF49" i="261" s="1"/>
  <c r="DH49" i="261" s="1"/>
  <c r="DJ49" i="261" s="1"/>
  <c r="DL49" i="261" s="1"/>
  <c r="DN49" i="261" s="1"/>
  <c r="DP49" i="261" s="1"/>
  <c r="DR49" i="261" s="1"/>
  <c r="DT49" i="261" s="1"/>
  <c r="DV49" i="261" s="1"/>
  <c r="DX49" i="261" s="1"/>
  <c r="DZ49" i="261" s="1"/>
  <c r="EB49" i="261" s="1"/>
  <c r="ED49" i="261" s="1"/>
  <c r="EF49" i="261" s="1"/>
  <c r="EH49" i="261" s="1"/>
  <c r="EJ49" i="261" s="1"/>
  <c r="EL49" i="261" s="1"/>
  <c r="EN49" i="261" s="1"/>
  <c r="EP49" i="261" s="1"/>
  <c r="ER49" i="261" s="1"/>
  <c r="ET49" i="261" s="1"/>
  <c r="EV49" i="261" s="1"/>
  <c r="EX49" i="261" s="1"/>
  <c r="EZ49" i="261" s="1"/>
  <c r="FB49" i="261" s="1"/>
  <c r="FD49" i="261" s="1"/>
  <c r="FF49" i="261" s="1"/>
  <c r="FH49" i="261" s="1"/>
  <c r="FJ49" i="261" s="1"/>
  <c r="FL49" i="261" s="1"/>
  <c r="FN49" i="261" s="1"/>
  <c r="FP49" i="261" s="1"/>
  <c r="FR49" i="261" s="1"/>
  <c r="FT49" i="261" s="1"/>
  <c r="FV49" i="261" s="1"/>
  <c r="FX49" i="261" s="1"/>
  <c r="FZ49" i="261" s="1"/>
  <c r="D545" i="262" l="1"/>
  <c r="D528" i="262"/>
  <c r="D35" i="262"/>
  <c r="GY1" i="261"/>
  <c r="GW1" i="261"/>
  <c r="GU1" i="261"/>
  <c r="GS1" i="261"/>
  <c r="GQ1" i="261"/>
  <c r="GO1" i="261"/>
  <c r="GM1" i="261"/>
  <c r="GK1" i="261"/>
  <c r="GI1" i="261"/>
  <c r="GG1" i="261"/>
  <c r="GE1" i="261"/>
  <c r="GC1" i="261"/>
  <c r="GA1" i="261"/>
  <c r="FY1" i="261"/>
  <c r="FW1" i="261"/>
  <c r="FU1" i="261"/>
  <c r="FS1" i="261"/>
  <c r="FQ1" i="261"/>
  <c r="FO1" i="261"/>
  <c r="FM1" i="261"/>
  <c r="FK1" i="261"/>
  <c r="FI1" i="261"/>
  <c r="FG1" i="261"/>
  <c r="FE1" i="261"/>
  <c r="FC1" i="261"/>
  <c r="FA1" i="261"/>
  <c r="EY1" i="261"/>
  <c r="EW1" i="261"/>
  <c r="EU1" i="261"/>
  <c r="ES1" i="261"/>
  <c r="EQ1" i="261"/>
  <c r="EO1" i="261"/>
  <c r="EM1" i="261"/>
  <c r="EK1" i="261"/>
  <c r="EI1" i="261"/>
  <c r="EG1" i="261"/>
  <c r="EE1" i="261"/>
  <c r="EC1" i="261"/>
  <c r="EA1" i="261"/>
  <c r="DY1" i="261"/>
  <c r="DW1" i="261"/>
  <c r="DU1" i="261"/>
  <c r="DS1" i="261"/>
  <c r="DQ1" i="261"/>
  <c r="DO1" i="261"/>
  <c r="DM1" i="261"/>
  <c r="DK1" i="261"/>
  <c r="DI1" i="261"/>
  <c r="DG1" i="261"/>
  <c r="DE1" i="261"/>
  <c r="DC1" i="261"/>
  <c r="DA1" i="261"/>
  <c r="CY1" i="261"/>
  <c r="CW1" i="261"/>
  <c r="CX65" i="261" l="1"/>
  <c r="CV65" i="261"/>
  <c r="CT65" i="261"/>
  <c r="CR65" i="261"/>
  <c r="CP65" i="261"/>
  <c r="CN65" i="261"/>
  <c r="CL65" i="261"/>
  <c r="CJ65" i="261"/>
  <c r="CH65" i="261"/>
  <c r="CF65" i="261"/>
  <c r="CD65" i="261"/>
  <c r="CB65" i="261"/>
  <c r="BZ65" i="261"/>
  <c r="BX65" i="261"/>
  <c r="BV65" i="261"/>
  <c r="BT65" i="261"/>
  <c r="CX63" i="261"/>
  <c r="CX93" i="261" s="1"/>
  <c r="CW63" i="261"/>
  <c r="CW93" i="261" s="1"/>
  <c r="CV63" i="261"/>
  <c r="CV93" i="261" s="1"/>
  <c r="CU63" i="261"/>
  <c r="CU93" i="261" s="1"/>
  <c r="CT63" i="261"/>
  <c r="CT93" i="261" s="1"/>
  <c r="CS63" i="261"/>
  <c r="CS93" i="261" s="1"/>
  <c r="CR63" i="261"/>
  <c r="CR93" i="261" s="1"/>
  <c r="CQ63" i="261"/>
  <c r="CQ93" i="261" s="1"/>
  <c r="CP63" i="261"/>
  <c r="CP93" i="261" s="1"/>
  <c r="CO63" i="261"/>
  <c r="CO93" i="261" s="1"/>
  <c r="CN63" i="261"/>
  <c r="CN93" i="261" s="1"/>
  <c r="CM63" i="261"/>
  <c r="CM93" i="261" s="1"/>
  <c r="CL63" i="261"/>
  <c r="CL93" i="261" s="1"/>
  <c r="CK63" i="261"/>
  <c r="CK93" i="261" s="1"/>
  <c r="CJ63" i="261"/>
  <c r="CJ93" i="261" s="1"/>
  <c r="CI63" i="261"/>
  <c r="CI93" i="261" s="1"/>
  <c r="CH63" i="261"/>
  <c r="CH93" i="261" s="1"/>
  <c r="CG63" i="261"/>
  <c r="CG93" i="261" s="1"/>
  <c r="CF63" i="261"/>
  <c r="CF93" i="261" s="1"/>
  <c r="CE63" i="261"/>
  <c r="CE93" i="261" s="1"/>
  <c r="CD63" i="261"/>
  <c r="CD93" i="261" s="1"/>
  <c r="CC63" i="261"/>
  <c r="CC93" i="261" s="1"/>
  <c r="CB63" i="261"/>
  <c r="CB93" i="261" s="1"/>
  <c r="CA63" i="261"/>
  <c r="CA93" i="261" s="1"/>
  <c r="BZ63" i="261"/>
  <c r="BZ93" i="261" s="1"/>
  <c r="BY63" i="261"/>
  <c r="BY93" i="261" s="1"/>
  <c r="BX63" i="261"/>
  <c r="BX93" i="261" s="1"/>
  <c r="BW63" i="261"/>
  <c r="BW93" i="261" s="1"/>
  <c r="BV63" i="261"/>
  <c r="BV93" i="261" s="1"/>
  <c r="BU63" i="261"/>
  <c r="BU93" i="261" s="1"/>
  <c r="BT63" i="261"/>
  <c r="BT93" i="261" s="1"/>
  <c r="BS63" i="261"/>
  <c r="BS93" i="261" s="1"/>
  <c r="H37" i="261"/>
  <c r="J37" i="261" s="1"/>
  <c r="L37" i="261" s="1"/>
  <c r="N37" i="261" s="1"/>
  <c r="P37" i="261" s="1"/>
  <c r="R37" i="261" s="1"/>
  <c r="T37" i="261" s="1"/>
  <c r="V37" i="261" s="1"/>
  <c r="X37" i="261" s="1"/>
  <c r="Z37" i="261" s="1"/>
  <c r="AB37" i="261" s="1"/>
  <c r="AD37" i="261" s="1"/>
  <c r="AF37" i="261" s="1"/>
  <c r="AH37" i="261" s="1"/>
  <c r="AJ37" i="261" s="1"/>
  <c r="AL37" i="261" s="1"/>
  <c r="AN37" i="261" s="1"/>
  <c r="AP37" i="261" s="1"/>
  <c r="AR37" i="261" s="1"/>
  <c r="AT37" i="261" s="1"/>
  <c r="AV37" i="261" s="1"/>
  <c r="AX37" i="261" s="1"/>
  <c r="AZ37" i="261" s="1"/>
  <c r="BB37" i="261" s="1"/>
  <c r="BD37" i="261" s="1"/>
  <c r="BF37" i="261" s="1"/>
  <c r="BH37" i="261" s="1"/>
  <c r="BJ37" i="261" s="1"/>
  <c r="BL37" i="261" s="1"/>
  <c r="BN37" i="261" s="1"/>
  <c r="BP37" i="261" s="1"/>
  <c r="BR37" i="261" s="1"/>
  <c r="BT37" i="261" s="1"/>
  <c r="BV37" i="261" s="1"/>
  <c r="BX37" i="261" s="1"/>
  <c r="BZ37" i="261" s="1"/>
  <c r="CB37" i="261" s="1"/>
  <c r="CD37" i="261" s="1"/>
  <c r="CF37" i="261" s="1"/>
  <c r="CH37" i="261" s="1"/>
  <c r="CJ37" i="261" s="1"/>
  <c r="CL37" i="261" s="1"/>
  <c r="CN37" i="261" s="1"/>
  <c r="CP37" i="261" s="1"/>
  <c r="CR37" i="261" s="1"/>
  <c r="CT37" i="261" s="1"/>
  <c r="CV37" i="261" s="1"/>
  <c r="CX37" i="261" s="1"/>
  <c r="CZ37" i="261" s="1"/>
  <c r="DB37" i="261" s="1"/>
  <c r="DD37" i="261" s="1"/>
  <c r="DF37" i="261" s="1"/>
  <c r="DH37" i="261" s="1"/>
  <c r="DJ37" i="261" s="1"/>
  <c r="DL37" i="261" s="1"/>
  <c r="DN37" i="261" s="1"/>
  <c r="DP37" i="261" s="1"/>
  <c r="DR37" i="261" s="1"/>
  <c r="DT37" i="261" s="1"/>
  <c r="DV37" i="261" s="1"/>
  <c r="DX37" i="261" s="1"/>
  <c r="DZ37" i="261" s="1"/>
  <c r="EB37" i="261" s="1"/>
  <c r="ED37" i="261" s="1"/>
  <c r="EF37" i="261" s="1"/>
  <c r="EH37" i="261" s="1"/>
  <c r="EJ37" i="261" s="1"/>
  <c r="EL37" i="261" s="1"/>
  <c r="EN37" i="261" s="1"/>
  <c r="EP37" i="261" s="1"/>
  <c r="ER37" i="261" s="1"/>
  <c r="ET37" i="261" s="1"/>
  <c r="EV37" i="261" s="1"/>
  <c r="EX37" i="261" s="1"/>
  <c r="EZ37" i="261" s="1"/>
  <c r="FB37" i="261" s="1"/>
  <c r="FD37" i="261" s="1"/>
  <c r="FF37" i="261" s="1"/>
  <c r="FH37" i="261" s="1"/>
  <c r="FJ37" i="261" s="1"/>
  <c r="FL37" i="261" s="1"/>
  <c r="FN37" i="261" s="1"/>
  <c r="FP37" i="261" s="1"/>
  <c r="FR37" i="261" s="1"/>
  <c r="FT37" i="261" s="1"/>
  <c r="FV37" i="261" s="1"/>
  <c r="FX37" i="261" s="1"/>
  <c r="FZ37" i="261" s="1"/>
  <c r="GB37" i="261" s="1"/>
  <c r="GD37" i="261" s="1"/>
  <c r="GF37" i="261" s="1"/>
  <c r="GH37" i="261" s="1"/>
  <c r="GJ37" i="261" s="1"/>
  <c r="GL37" i="261" s="1"/>
  <c r="GN37" i="261" s="1"/>
  <c r="GP37" i="261" s="1"/>
  <c r="GR37" i="261" s="1"/>
  <c r="GT37" i="261" s="1"/>
  <c r="GV37" i="261" s="1"/>
  <c r="GX37" i="261" s="1"/>
  <c r="GZ37" i="261" s="1"/>
  <c r="H36" i="261"/>
  <c r="J36" i="261" s="1"/>
  <c r="L36" i="261" s="1"/>
  <c r="N36" i="261" s="1"/>
  <c r="P36" i="261" s="1"/>
  <c r="R36" i="261" s="1"/>
  <c r="T36" i="261" s="1"/>
  <c r="V36" i="261" s="1"/>
  <c r="X36" i="261" s="1"/>
  <c r="Z36" i="261" s="1"/>
  <c r="AB36" i="261" s="1"/>
  <c r="AD36" i="261" s="1"/>
  <c r="AF36" i="261" s="1"/>
  <c r="AH36" i="261" s="1"/>
  <c r="AJ36" i="261" s="1"/>
  <c r="AL36" i="261" s="1"/>
  <c r="AN36" i="261" s="1"/>
  <c r="AP36" i="261" s="1"/>
  <c r="AR36" i="261" s="1"/>
  <c r="AT36" i="261" s="1"/>
  <c r="AV36" i="261" s="1"/>
  <c r="AX36" i="261" s="1"/>
  <c r="AZ36" i="261" s="1"/>
  <c r="BB36" i="261" s="1"/>
  <c r="BD36" i="261" s="1"/>
  <c r="BF36" i="261" s="1"/>
  <c r="BH36" i="261" s="1"/>
  <c r="BJ36" i="261" s="1"/>
  <c r="BL36" i="261" s="1"/>
  <c r="BN36" i="261" s="1"/>
  <c r="BP36" i="261" s="1"/>
  <c r="BR36" i="261" s="1"/>
  <c r="BT36" i="261" s="1"/>
  <c r="BV36" i="261" s="1"/>
  <c r="BX36" i="261" s="1"/>
  <c r="BZ36" i="261" s="1"/>
  <c r="CB36" i="261" s="1"/>
  <c r="CD36" i="261" s="1"/>
  <c r="CF36" i="261" s="1"/>
  <c r="CH36" i="261" s="1"/>
  <c r="CJ36" i="261" s="1"/>
  <c r="CL36" i="261" s="1"/>
  <c r="CN36" i="261" s="1"/>
  <c r="CP36" i="261" s="1"/>
  <c r="CR36" i="261" s="1"/>
  <c r="CT36" i="261" s="1"/>
  <c r="CV36" i="261" s="1"/>
  <c r="CX36" i="261" s="1"/>
  <c r="CZ36" i="261" s="1"/>
  <c r="DB36" i="261" s="1"/>
  <c r="DD36" i="261" s="1"/>
  <c r="DF36" i="261" s="1"/>
  <c r="DH36" i="261" s="1"/>
  <c r="DJ36" i="261" s="1"/>
  <c r="DL36" i="261" s="1"/>
  <c r="DN36" i="261" s="1"/>
  <c r="DP36" i="261" s="1"/>
  <c r="DR36" i="261" s="1"/>
  <c r="DT36" i="261" s="1"/>
  <c r="DV36" i="261" s="1"/>
  <c r="DX36" i="261" s="1"/>
  <c r="DZ36" i="261" s="1"/>
  <c r="EB36" i="261" s="1"/>
  <c r="ED36" i="261" s="1"/>
  <c r="EF36" i="261" s="1"/>
  <c r="EH36" i="261" s="1"/>
  <c r="EJ36" i="261" s="1"/>
  <c r="EL36" i="261" s="1"/>
  <c r="EN36" i="261" s="1"/>
  <c r="EP36" i="261" s="1"/>
  <c r="ER36" i="261" s="1"/>
  <c r="ET36" i="261" s="1"/>
  <c r="EV36" i="261" s="1"/>
  <c r="EX36" i="261" s="1"/>
  <c r="EZ36" i="261" s="1"/>
  <c r="FB36" i="261" s="1"/>
  <c r="FD36" i="261" s="1"/>
  <c r="FF36" i="261" s="1"/>
  <c r="FH36" i="261" s="1"/>
  <c r="FJ36" i="261" s="1"/>
  <c r="FL36" i="261" s="1"/>
  <c r="FN36" i="261" s="1"/>
  <c r="FP36" i="261" s="1"/>
  <c r="FR36" i="261" s="1"/>
  <c r="FT36" i="261" s="1"/>
  <c r="FV36" i="261" s="1"/>
  <c r="FX36" i="261" s="1"/>
  <c r="FZ36" i="261" s="1"/>
  <c r="GB36" i="261" s="1"/>
  <c r="GD36" i="261" s="1"/>
  <c r="GF36" i="261" s="1"/>
  <c r="GH36" i="261" s="1"/>
  <c r="GJ36" i="261" s="1"/>
  <c r="GL36" i="261" s="1"/>
  <c r="GN36" i="261" s="1"/>
  <c r="GP36" i="261" s="1"/>
  <c r="GR36" i="261" s="1"/>
  <c r="GT36" i="261" s="1"/>
  <c r="GV36" i="261" s="1"/>
  <c r="GX36" i="261" s="1"/>
  <c r="GZ36" i="261" s="1"/>
  <c r="H35" i="261"/>
  <c r="J35" i="261" s="1"/>
  <c r="L35" i="261" s="1"/>
  <c r="N35" i="261" s="1"/>
  <c r="P35" i="261" s="1"/>
  <c r="R35" i="261" s="1"/>
  <c r="T35" i="261" s="1"/>
  <c r="V35" i="261" s="1"/>
  <c r="X35" i="261" s="1"/>
  <c r="Z35" i="261" s="1"/>
  <c r="AB35" i="261" s="1"/>
  <c r="AD35" i="261" s="1"/>
  <c r="AF35" i="261" s="1"/>
  <c r="AH35" i="261" s="1"/>
  <c r="AJ35" i="261" s="1"/>
  <c r="AL35" i="261" s="1"/>
  <c r="AN35" i="261" s="1"/>
  <c r="AP35" i="261" s="1"/>
  <c r="AR35" i="261" s="1"/>
  <c r="AT35" i="261" s="1"/>
  <c r="AV35" i="261" s="1"/>
  <c r="AX35" i="261" s="1"/>
  <c r="AZ35" i="261" s="1"/>
  <c r="BB35" i="261" s="1"/>
  <c r="BD35" i="261" s="1"/>
  <c r="BF35" i="261" s="1"/>
  <c r="BH35" i="261" s="1"/>
  <c r="BJ35" i="261" s="1"/>
  <c r="BL35" i="261" s="1"/>
  <c r="BN35" i="261" s="1"/>
  <c r="BP35" i="261" s="1"/>
  <c r="BR35" i="261" s="1"/>
  <c r="BT35" i="261" s="1"/>
  <c r="BV35" i="261" s="1"/>
  <c r="BX35" i="261" s="1"/>
  <c r="BZ35" i="261" s="1"/>
  <c r="CB35" i="261" s="1"/>
  <c r="CD35" i="261" s="1"/>
  <c r="CF35" i="261" s="1"/>
  <c r="CH35" i="261" s="1"/>
  <c r="CJ35" i="261" s="1"/>
  <c r="CL35" i="261" s="1"/>
  <c r="CN35" i="261" s="1"/>
  <c r="CP35" i="261" s="1"/>
  <c r="CR35" i="261" s="1"/>
  <c r="CT35" i="261" s="1"/>
  <c r="CV35" i="261" s="1"/>
  <c r="CX35" i="261" s="1"/>
  <c r="CZ35" i="261" s="1"/>
  <c r="DB35" i="261" s="1"/>
  <c r="DD35" i="261" s="1"/>
  <c r="DF35" i="261" s="1"/>
  <c r="DH35" i="261" s="1"/>
  <c r="DJ35" i="261" s="1"/>
  <c r="DL35" i="261" s="1"/>
  <c r="DN35" i="261" s="1"/>
  <c r="DP35" i="261" s="1"/>
  <c r="DR35" i="261" s="1"/>
  <c r="DT35" i="261" s="1"/>
  <c r="DV35" i="261" s="1"/>
  <c r="DX35" i="261" s="1"/>
  <c r="DZ35" i="261" s="1"/>
  <c r="EB35" i="261" s="1"/>
  <c r="ED35" i="261" s="1"/>
  <c r="EF35" i="261" s="1"/>
  <c r="EH35" i="261" s="1"/>
  <c r="EJ35" i="261" s="1"/>
  <c r="EL35" i="261" s="1"/>
  <c r="EN35" i="261" s="1"/>
  <c r="EP35" i="261" s="1"/>
  <c r="ER35" i="261" s="1"/>
  <c r="ET35" i="261" s="1"/>
  <c r="EV35" i="261" s="1"/>
  <c r="EX35" i="261" s="1"/>
  <c r="EZ35" i="261" s="1"/>
  <c r="FB35" i="261" s="1"/>
  <c r="FD35" i="261" s="1"/>
  <c r="FF35" i="261" s="1"/>
  <c r="FH35" i="261" s="1"/>
  <c r="FJ35" i="261" s="1"/>
  <c r="FL35" i="261" s="1"/>
  <c r="FN35" i="261" s="1"/>
  <c r="FP35" i="261" s="1"/>
  <c r="FR35" i="261" s="1"/>
  <c r="FT35" i="261" s="1"/>
  <c r="FV35" i="261" s="1"/>
  <c r="FX35" i="261" s="1"/>
  <c r="FZ35" i="261" s="1"/>
  <c r="GB35" i="261" s="1"/>
  <c r="GD35" i="261" s="1"/>
  <c r="GF35" i="261" s="1"/>
  <c r="GH35" i="261" s="1"/>
  <c r="GJ35" i="261" s="1"/>
  <c r="GL35" i="261" s="1"/>
  <c r="GN35" i="261" s="1"/>
  <c r="GP35" i="261" s="1"/>
  <c r="GR35" i="261" s="1"/>
  <c r="GT35" i="261" s="1"/>
  <c r="GV35" i="261" s="1"/>
  <c r="GX35" i="261" s="1"/>
  <c r="GZ35" i="261" s="1"/>
  <c r="D34" i="261"/>
  <c r="D33" i="261"/>
  <c r="F33" i="261" s="1"/>
  <c r="H33" i="261" s="1"/>
  <c r="J33" i="261" s="1"/>
  <c r="L33" i="261" s="1"/>
  <c r="N33" i="261" s="1"/>
  <c r="P33" i="261" s="1"/>
  <c r="R33" i="261" s="1"/>
  <c r="T33" i="261" s="1"/>
  <c r="V33" i="261" s="1"/>
  <c r="X33" i="261" s="1"/>
  <c r="Z33" i="261" s="1"/>
  <c r="AB33" i="261" s="1"/>
  <c r="AD33" i="261" s="1"/>
  <c r="AF33" i="261" s="1"/>
  <c r="AH33" i="261" s="1"/>
  <c r="AJ33" i="261" s="1"/>
  <c r="AL33" i="261" s="1"/>
  <c r="AN33" i="261" s="1"/>
  <c r="AP33" i="261" s="1"/>
  <c r="AR33" i="261" s="1"/>
  <c r="AT33" i="261" s="1"/>
  <c r="AV33" i="261" s="1"/>
  <c r="AX33" i="261" s="1"/>
  <c r="AZ33" i="261" s="1"/>
  <c r="BB33" i="261" s="1"/>
  <c r="BD33" i="261" s="1"/>
  <c r="BF33" i="261" s="1"/>
  <c r="BH33" i="261" s="1"/>
  <c r="BJ33" i="261" s="1"/>
  <c r="BL33" i="261" s="1"/>
  <c r="BN33" i="261" s="1"/>
  <c r="BP33" i="261" s="1"/>
  <c r="BR33" i="261" s="1"/>
  <c r="BT33" i="261" s="1"/>
  <c r="BV33" i="261" s="1"/>
  <c r="BX33" i="261" s="1"/>
  <c r="BZ33" i="261" s="1"/>
  <c r="CB33" i="261" s="1"/>
  <c r="CD33" i="261" s="1"/>
  <c r="CF33" i="261" s="1"/>
  <c r="CH33" i="261" s="1"/>
  <c r="CJ33" i="261" s="1"/>
  <c r="CL33" i="261" s="1"/>
  <c r="CN33" i="261" s="1"/>
  <c r="CP33" i="261" s="1"/>
  <c r="CR33" i="261" s="1"/>
  <c r="CT33" i="261" s="1"/>
  <c r="CV33" i="261" s="1"/>
  <c r="CX33" i="261" s="1"/>
  <c r="CZ33" i="261" s="1"/>
  <c r="DB33" i="261" s="1"/>
  <c r="DD33" i="261" s="1"/>
  <c r="DF33" i="261" s="1"/>
  <c r="DH33" i="261" s="1"/>
  <c r="DJ33" i="261" s="1"/>
  <c r="DL33" i="261" s="1"/>
  <c r="DN33" i="261" s="1"/>
  <c r="DP33" i="261" s="1"/>
  <c r="DR33" i="261" s="1"/>
  <c r="DT33" i="261" s="1"/>
  <c r="DV33" i="261" s="1"/>
  <c r="DX33" i="261" s="1"/>
  <c r="DZ33" i="261" s="1"/>
  <c r="EB33" i="261" s="1"/>
  <c r="ED33" i="261" s="1"/>
  <c r="EF33" i="261" s="1"/>
  <c r="EH33" i="261" s="1"/>
  <c r="EJ33" i="261" s="1"/>
  <c r="EL33" i="261" s="1"/>
  <c r="EN33" i="261" s="1"/>
  <c r="EP33" i="261" s="1"/>
  <c r="ER33" i="261" s="1"/>
  <c r="ET33" i="261" s="1"/>
  <c r="EV33" i="261" s="1"/>
  <c r="EX33" i="261" s="1"/>
  <c r="EZ33" i="261" s="1"/>
  <c r="FB33" i="261" s="1"/>
  <c r="FD33" i="261" s="1"/>
  <c r="FF33" i="261" s="1"/>
  <c r="FH33" i="261" s="1"/>
  <c r="FJ33" i="261" s="1"/>
  <c r="FL33" i="261" s="1"/>
  <c r="FN33" i="261" s="1"/>
  <c r="FP33" i="261" s="1"/>
  <c r="FR33" i="261" s="1"/>
  <c r="FT33" i="261" s="1"/>
  <c r="FV33" i="261" s="1"/>
  <c r="FX33" i="261" s="1"/>
  <c r="FZ33" i="261" s="1"/>
  <c r="GB33" i="261" s="1"/>
  <c r="GD33" i="261" s="1"/>
  <c r="GF33" i="261" s="1"/>
  <c r="GH33" i="261" s="1"/>
  <c r="GJ33" i="261" s="1"/>
  <c r="GL33" i="261" s="1"/>
  <c r="GN33" i="261" s="1"/>
  <c r="GP33" i="261" s="1"/>
  <c r="GR33" i="261" s="1"/>
  <c r="GT33" i="261" s="1"/>
  <c r="GV33" i="261" s="1"/>
  <c r="GX33" i="261" s="1"/>
  <c r="GZ33" i="261" s="1"/>
  <c r="D32" i="261"/>
  <c r="F32" i="261" s="1"/>
  <c r="H32" i="261" s="1"/>
  <c r="J32" i="261" s="1"/>
  <c r="L32" i="261" s="1"/>
  <c r="N32" i="261" s="1"/>
  <c r="P32" i="261" s="1"/>
  <c r="R32" i="261" s="1"/>
  <c r="T32" i="261" s="1"/>
  <c r="V32" i="261" s="1"/>
  <c r="X32" i="261" s="1"/>
  <c r="Z32" i="261" s="1"/>
  <c r="AB32" i="261" s="1"/>
  <c r="AD32" i="261" s="1"/>
  <c r="AF32" i="261" s="1"/>
  <c r="AH32" i="261" s="1"/>
  <c r="AJ32" i="261" s="1"/>
  <c r="AL32" i="261" s="1"/>
  <c r="AN32" i="261" s="1"/>
  <c r="AP32" i="261" s="1"/>
  <c r="AR32" i="261" s="1"/>
  <c r="AT32" i="261" s="1"/>
  <c r="AV32" i="261" s="1"/>
  <c r="AX32" i="261" s="1"/>
  <c r="AZ32" i="261" s="1"/>
  <c r="BB32" i="261" s="1"/>
  <c r="BD32" i="261" s="1"/>
  <c r="BF32" i="261" s="1"/>
  <c r="BH32" i="261" s="1"/>
  <c r="BJ32" i="261" s="1"/>
  <c r="BL32" i="261" s="1"/>
  <c r="BN32" i="261" s="1"/>
  <c r="BP32" i="261" s="1"/>
  <c r="BR32" i="261" s="1"/>
  <c r="BT32" i="261" s="1"/>
  <c r="BV32" i="261" s="1"/>
  <c r="BX32" i="261" s="1"/>
  <c r="BZ32" i="261" s="1"/>
  <c r="CB32" i="261" s="1"/>
  <c r="CD32" i="261" s="1"/>
  <c r="CF32" i="261" s="1"/>
  <c r="CH32" i="261" s="1"/>
  <c r="CJ32" i="261" s="1"/>
  <c r="CL32" i="261" s="1"/>
  <c r="CN32" i="261" s="1"/>
  <c r="CP32" i="261" s="1"/>
  <c r="CR32" i="261" s="1"/>
  <c r="CT32" i="261" s="1"/>
  <c r="CV32" i="261" s="1"/>
  <c r="CX32" i="261" s="1"/>
  <c r="CZ32" i="261" s="1"/>
  <c r="DB32" i="261" s="1"/>
  <c r="DD32" i="261" s="1"/>
  <c r="DF32" i="261" s="1"/>
  <c r="DH32" i="261" s="1"/>
  <c r="DJ32" i="261" s="1"/>
  <c r="DL32" i="261" s="1"/>
  <c r="DN32" i="261" s="1"/>
  <c r="DP32" i="261" s="1"/>
  <c r="DR32" i="261" s="1"/>
  <c r="DT32" i="261" s="1"/>
  <c r="DV32" i="261" s="1"/>
  <c r="DX32" i="261" s="1"/>
  <c r="DZ32" i="261" s="1"/>
  <c r="EB32" i="261" s="1"/>
  <c r="ED32" i="261" s="1"/>
  <c r="EF32" i="261" s="1"/>
  <c r="EH32" i="261" s="1"/>
  <c r="EJ32" i="261" s="1"/>
  <c r="EL32" i="261" s="1"/>
  <c r="EN32" i="261" s="1"/>
  <c r="EP32" i="261" s="1"/>
  <c r="ER32" i="261" s="1"/>
  <c r="ET32" i="261" s="1"/>
  <c r="EV32" i="261" s="1"/>
  <c r="EX32" i="261" s="1"/>
  <c r="EZ32" i="261" s="1"/>
  <c r="FB32" i="261" s="1"/>
  <c r="FD32" i="261" s="1"/>
  <c r="FF32" i="261" s="1"/>
  <c r="FH32" i="261" s="1"/>
  <c r="FJ32" i="261" s="1"/>
  <c r="FL32" i="261" s="1"/>
  <c r="FN32" i="261" s="1"/>
  <c r="FP32" i="261" s="1"/>
  <c r="FR32" i="261" s="1"/>
  <c r="FT32" i="261" s="1"/>
  <c r="FV32" i="261" s="1"/>
  <c r="FX32" i="261" s="1"/>
  <c r="FZ32" i="261" s="1"/>
  <c r="GB32" i="261" s="1"/>
  <c r="GD32" i="261" s="1"/>
  <c r="GF32" i="261" s="1"/>
  <c r="GH32" i="261" s="1"/>
  <c r="GJ32" i="261" s="1"/>
  <c r="GL32" i="261" s="1"/>
  <c r="GN32" i="261" s="1"/>
  <c r="GP32" i="261" s="1"/>
  <c r="GR32" i="261" s="1"/>
  <c r="GT32" i="261" s="1"/>
  <c r="GV32" i="261" s="1"/>
  <c r="GX32" i="261" s="1"/>
  <c r="GZ32" i="261" s="1"/>
  <c r="D31" i="261"/>
  <c r="F31" i="261" s="1"/>
  <c r="H31" i="261" s="1"/>
  <c r="J31" i="261" s="1"/>
  <c r="L31" i="261" s="1"/>
  <c r="N31" i="261" s="1"/>
  <c r="P31" i="261" s="1"/>
  <c r="R31" i="261" s="1"/>
  <c r="T31" i="261" s="1"/>
  <c r="V31" i="261" s="1"/>
  <c r="X31" i="261" s="1"/>
  <c r="Z31" i="261" s="1"/>
  <c r="AB31" i="261" s="1"/>
  <c r="AD31" i="261" s="1"/>
  <c r="AF31" i="261" s="1"/>
  <c r="AH31" i="261" s="1"/>
  <c r="AJ31" i="261" s="1"/>
  <c r="AL31" i="261" s="1"/>
  <c r="AN31" i="261" s="1"/>
  <c r="AP31" i="261" s="1"/>
  <c r="AR31" i="261" s="1"/>
  <c r="AT31" i="261" s="1"/>
  <c r="AV31" i="261" s="1"/>
  <c r="AX31" i="261" s="1"/>
  <c r="AZ31" i="261" s="1"/>
  <c r="BB31" i="261" s="1"/>
  <c r="BD31" i="261" s="1"/>
  <c r="BF31" i="261" s="1"/>
  <c r="BH31" i="261" s="1"/>
  <c r="BJ31" i="261" s="1"/>
  <c r="BL31" i="261" s="1"/>
  <c r="BN31" i="261" s="1"/>
  <c r="BP31" i="261" s="1"/>
  <c r="BR31" i="261" s="1"/>
  <c r="BT31" i="261" s="1"/>
  <c r="BV31" i="261" s="1"/>
  <c r="BX31" i="261" s="1"/>
  <c r="BZ31" i="261" s="1"/>
  <c r="CB31" i="261" s="1"/>
  <c r="CD31" i="261" s="1"/>
  <c r="CF31" i="261" s="1"/>
  <c r="CH31" i="261" s="1"/>
  <c r="CJ31" i="261" s="1"/>
  <c r="CL31" i="261" s="1"/>
  <c r="CN31" i="261" s="1"/>
  <c r="CP31" i="261" s="1"/>
  <c r="CR31" i="261" s="1"/>
  <c r="CT31" i="261" s="1"/>
  <c r="CV31" i="261" s="1"/>
  <c r="CX31" i="261" s="1"/>
  <c r="CZ31" i="261" s="1"/>
  <c r="DB31" i="261" s="1"/>
  <c r="DD31" i="261" s="1"/>
  <c r="DF31" i="261" s="1"/>
  <c r="DH31" i="261" s="1"/>
  <c r="DJ31" i="261" s="1"/>
  <c r="DL31" i="261" s="1"/>
  <c r="DN31" i="261" s="1"/>
  <c r="DP31" i="261" s="1"/>
  <c r="DR31" i="261" s="1"/>
  <c r="DT31" i="261" s="1"/>
  <c r="DV31" i="261" s="1"/>
  <c r="DX31" i="261" s="1"/>
  <c r="DZ31" i="261" s="1"/>
  <c r="EB31" i="261" s="1"/>
  <c r="ED31" i="261" s="1"/>
  <c r="EF31" i="261" s="1"/>
  <c r="EH31" i="261" s="1"/>
  <c r="EJ31" i="261" s="1"/>
  <c r="EL31" i="261" s="1"/>
  <c r="EN31" i="261" s="1"/>
  <c r="EP31" i="261" s="1"/>
  <c r="ER31" i="261" s="1"/>
  <c r="ET31" i="261" s="1"/>
  <c r="EV31" i="261" s="1"/>
  <c r="EX31" i="261" s="1"/>
  <c r="EZ31" i="261" s="1"/>
  <c r="FB31" i="261" s="1"/>
  <c r="FD31" i="261" s="1"/>
  <c r="FF31" i="261" s="1"/>
  <c r="FH31" i="261" s="1"/>
  <c r="FJ31" i="261" s="1"/>
  <c r="FL31" i="261" s="1"/>
  <c r="FN31" i="261" s="1"/>
  <c r="FP31" i="261" s="1"/>
  <c r="FR31" i="261" s="1"/>
  <c r="FT31" i="261" s="1"/>
  <c r="FV31" i="261" s="1"/>
  <c r="FX31" i="261" s="1"/>
  <c r="FZ31" i="261" s="1"/>
  <c r="GB31" i="261" s="1"/>
  <c r="GD31" i="261" s="1"/>
  <c r="GF31" i="261" s="1"/>
  <c r="GH31" i="261" s="1"/>
  <c r="GJ31" i="261" s="1"/>
  <c r="GL31" i="261" s="1"/>
  <c r="GN31" i="261" s="1"/>
  <c r="GP31" i="261" s="1"/>
  <c r="GR31" i="261" s="1"/>
  <c r="GT31" i="261" s="1"/>
  <c r="GV31" i="261" s="1"/>
  <c r="GX31" i="261" s="1"/>
  <c r="GZ31" i="261" s="1"/>
  <c r="D30" i="261"/>
  <c r="F30" i="261" s="1"/>
  <c r="H30" i="261" s="1"/>
  <c r="J30" i="261" s="1"/>
  <c r="L30" i="261" s="1"/>
  <c r="N30" i="261" s="1"/>
  <c r="P30" i="261" s="1"/>
  <c r="R30" i="261" s="1"/>
  <c r="T30" i="261" s="1"/>
  <c r="V30" i="261" s="1"/>
  <c r="X30" i="261" s="1"/>
  <c r="Z30" i="261" s="1"/>
  <c r="AB30" i="261" s="1"/>
  <c r="AD30" i="261" s="1"/>
  <c r="AF30" i="261" s="1"/>
  <c r="AH30" i="261" s="1"/>
  <c r="AJ30" i="261" s="1"/>
  <c r="AL30" i="261" s="1"/>
  <c r="AN30" i="261" s="1"/>
  <c r="AP30" i="261" s="1"/>
  <c r="AR30" i="261" s="1"/>
  <c r="AT30" i="261" s="1"/>
  <c r="AV30" i="261" s="1"/>
  <c r="AX30" i="261" s="1"/>
  <c r="AZ30" i="261" s="1"/>
  <c r="BB30" i="261" s="1"/>
  <c r="BD30" i="261" s="1"/>
  <c r="BF30" i="261" s="1"/>
  <c r="BH30" i="261" s="1"/>
  <c r="BJ30" i="261" s="1"/>
  <c r="BL30" i="261" s="1"/>
  <c r="BN30" i="261" s="1"/>
  <c r="BP30" i="261" s="1"/>
  <c r="BR30" i="261" s="1"/>
  <c r="BT30" i="261" s="1"/>
  <c r="BV30" i="261" s="1"/>
  <c r="BX30" i="261" s="1"/>
  <c r="BZ30" i="261" s="1"/>
  <c r="CB30" i="261" s="1"/>
  <c r="CD30" i="261" s="1"/>
  <c r="CF30" i="261" s="1"/>
  <c r="CH30" i="261" s="1"/>
  <c r="CJ30" i="261" s="1"/>
  <c r="CL30" i="261" s="1"/>
  <c r="CN30" i="261" s="1"/>
  <c r="CP30" i="261" s="1"/>
  <c r="CR30" i="261" s="1"/>
  <c r="CT30" i="261" s="1"/>
  <c r="CV30" i="261" s="1"/>
  <c r="CX30" i="261" s="1"/>
  <c r="CZ30" i="261" s="1"/>
  <c r="DB30" i="261" s="1"/>
  <c r="DD30" i="261" s="1"/>
  <c r="DF30" i="261" s="1"/>
  <c r="DH30" i="261" s="1"/>
  <c r="DJ30" i="261" s="1"/>
  <c r="DL30" i="261" s="1"/>
  <c r="DN30" i="261" s="1"/>
  <c r="DP30" i="261" s="1"/>
  <c r="DR30" i="261" s="1"/>
  <c r="DT30" i="261" s="1"/>
  <c r="DV30" i="261" s="1"/>
  <c r="DX30" i="261" s="1"/>
  <c r="DZ30" i="261" s="1"/>
  <c r="EB30" i="261" s="1"/>
  <c r="ED30" i="261" s="1"/>
  <c r="EF30" i="261" s="1"/>
  <c r="EH30" i="261" s="1"/>
  <c r="EJ30" i="261" s="1"/>
  <c r="EL30" i="261" s="1"/>
  <c r="EN30" i="261" s="1"/>
  <c r="EP30" i="261" s="1"/>
  <c r="ER30" i="261" s="1"/>
  <c r="ET30" i="261" s="1"/>
  <c r="EV30" i="261" s="1"/>
  <c r="EX30" i="261" s="1"/>
  <c r="EZ30" i="261" s="1"/>
  <c r="FB30" i="261" s="1"/>
  <c r="FD30" i="261" s="1"/>
  <c r="FF30" i="261" s="1"/>
  <c r="FH30" i="261" s="1"/>
  <c r="FJ30" i="261" s="1"/>
  <c r="FL30" i="261" s="1"/>
  <c r="FN30" i="261" s="1"/>
  <c r="FP30" i="261" s="1"/>
  <c r="FR30" i="261" s="1"/>
  <c r="FT30" i="261" s="1"/>
  <c r="FV30" i="261" s="1"/>
  <c r="FX30" i="261" s="1"/>
  <c r="FZ30" i="261" s="1"/>
  <c r="GB30" i="261" s="1"/>
  <c r="GD30" i="261" s="1"/>
  <c r="GF30" i="261" s="1"/>
  <c r="GH30" i="261" s="1"/>
  <c r="GJ30" i="261" s="1"/>
  <c r="GL30" i="261" s="1"/>
  <c r="GN30" i="261" s="1"/>
  <c r="GP30" i="261" s="1"/>
  <c r="GR30" i="261" s="1"/>
  <c r="GT30" i="261" s="1"/>
  <c r="GV30" i="261" s="1"/>
  <c r="GX30" i="261" s="1"/>
  <c r="GZ30" i="261" s="1"/>
  <c r="D29" i="261"/>
  <c r="F29" i="261" s="1"/>
  <c r="H29" i="261" s="1"/>
  <c r="J29" i="261" s="1"/>
  <c r="L29" i="261" s="1"/>
  <c r="N29" i="261" s="1"/>
  <c r="P29" i="261" s="1"/>
  <c r="R29" i="261" s="1"/>
  <c r="T29" i="261" s="1"/>
  <c r="V29" i="261" s="1"/>
  <c r="X29" i="261" s="1"/>
  <c r="Z29" i="261" s="1"/>
  <c r="AB29" i="261" s="1"/>
  <c r="AD29" i="261" s="1"/>
  <c r="AF29" i="261" s="1"/>
  <c r="AH29" i="261" s="1"/>
  <c r="AJ29" i="261" s="1"/>
  <c r="AL29" i="261" s="1"/>
  <c r="AN29" i="261" s="1"/>
  <c r="AP29" i="261" s="1"/>
  <c r="AR29" i="261" s="1"/>
  <c r="AT29" i="261" s="1"/>
  <c r="AV29" i="261" s="1"/>
  <c r="AX29" i="261" s="1"/>
  <c r="AZ29" i="261" s="1"/>
  <c r="BB29" i="261" s="1"/>
  <c r="BD29" i="261" s="1"/>
  <c r="BF29" i="261" s="1"/>
  <c r="BH29" i="261" s="1"/>
  <c r="BJ29" i="261" s="1"/>
  <c r="BL29" i="261" s="1"/>
  <c r="BN29" i="261" s="1"/>
  <c r="BP29" i="261" s="1"/>
  <c r="BR29" i="261" s="1"/>
  <c r="BT29" i="261" s="1"/>
  <c r="BV29" i="261" s="1"/>
  <c r="BX29" i="261" s="1"/>
  <c r="BZ29" i="261" s="1"/>
  <c r="CB29" i="261" s="1"/>
  <c r="CD29" i="261" s="1"/>
  <c r="CF29" i="261" s="1"/>
  <c r="CH29" i="261" s="1"/>
  <c r="CJ29" i="261" s="1"/>
  <c r="CL29" i="261" s="1"/>
  <c r="CN29" i="261" s="1"/>
  <c r="CP29" i="261" s="1"/>
  <c r="CR29" i="261" s="1"/>
  <c r="CT29" i="261" s="1"/>
  <c r="CV29" i="261" s="1"/>
  <c r="CX29" i="261" s="1"/>
  <c r="CZ29" i="261" s="1"/>
  <c r="DB29" i="261" s="1"/>
  <c r="DD29" i="261" s="1"/>
  <c r="DF29" i="261" s="1"/>
  <c r="DH29" i="261" s="1"/>
  <c r="DJ29" i="261" s="1"/>
  <c r="DL29" i="261" s="1"/>
  <c r="DN29" i="261" s="1"/>
  <c r="DP29" i="261" s="1"/>
  <c r="DR29" i="261" s="1"/>
  <c r="DT29" i="261" s="1"/>
  <c r="DV29" i="261" s="1"/>
  <c r="DX29" i="261" s="1"/>
  <c r="DZ29" i="261" s="1"/>
  <c r="EB29" i="261" s="1"/>
  <c r="ED29" i="261" s="1"/>
  <c r="EF29" i="261" s="1"/>
  <c r="EH29" i="261" s="1"/>
  <c r="EJ29" i="261" s="1"/>
  <c r="EL29" i="261" s="1"/>
  <c r="EN29" i="261" s="1"/>
  <c r="EP29" i="261" s="1"/>
  <c r="ER29" i="261" s="1"/>
  <c r="ET29" i="261" s="1"/>
  <c r="EV29" i="261" s="1"/>
  <c r="EX29" i="261" s="1"/>
  <c r="EZ29" i="261" s="1"/>
  <c r="FB29" i="261" s="1"/>
  <c r="FD29" i="261" s="1"/>
  <c r="FF29" i="261" s="1"/>
  <c r="FH29" i="261" s="1"/>
  <c r="FJ29" i="261" s="1"/>
  <c r="FL29" i="261" s="1"/>
  <c r="FN29" i="261" s="1"/>
  <c r="FP29" i="261" s="1"/>
  <c r="FR29" i="261" s="1"/>
  <c r="FT29" i="261" s="1"/>
  <c r="FV29" i="261" s="1"/>
  <c r="FX29" i="261" s="1"/>
  <c r="FZ29" i="261" s="1"/>
  <c r="GB29" i="261" s="1"/>
  <c r="GD29" i="261" s="1"/>
  <c r="GF29" i="261" s="1"/>
  <c r="GH29" i="261" s="1"/>
  <c r="GJ29" i="261" s="1"/>
  <c r="GL29" i="261" s="1"/>
  <c r="GN29" i="261" s="1"/>
  <c r="GP29" i="261" s="1"/>
  <c r="GR29" i="261" s="1"/>
  <c r="GT29" i="261" s="1"/>
  <c r="GV29" i="261" s="1"/>
  <c r="GX29" i="261" s="1"/>
  <c r="GZ29" i="261" s="1"/>
  <c r="D28" i="261"/>
  <c r="F28" i="261" s="1"/>
  <c r="H28" i="261" s="1"/>
  <c r="J28" i="261" s="1"/>
  <c r="L28" i="261" s="1"/>
  <c r="N28" i="261" s="1"/>
  <c r="P28" i="261" s="1"/>
  <c r="R28" i="261" s="1"/>
  <c r="T28" i="261" s="1"/>
  <c r="V28" i="261" s="1"/>
  <c r="X28" i="261" s="1"/>
  <c r="Z28" i="261" s="1"/>
  <c r="AB28" i="261" s="1"/>
  <c r="AD28" i="261" s="1"/>
  <c r="AF28" i="261" s="1"/>
  <c r="AH28" i="261" s="1"/>
  <c r="AJ28" i="261" s="1"/>
  <c r="AL28" i="261" s="1"/>
  <c r="AN28" i="261" s="1"/>
  <c r="AP28" i="261" s="1"/>
  <c r="AR28" i="261" s="1"/>
  <c r="AT28" i="261" s="1"/>
  <c r="AV28" i="261" s="1"/>
  <c r="AX28" i="261" s="1"/>
  <c r="AZ28" i="261" s="1"/>
  <c r="BB28" i="261" s="1"/>
  <c r="BD28" i="261" s="1"/>
  <c r="BF28" i="261" s="1"/>
  <c r="BH28" i="261" s="1"/>
  <c r="BJ28" i="261" s="1"/>
  <c r="BL28" i="261" s="1"/>
  <c r="BN28" i="261" s="1"/>
  <c r="BP28" i="261" s="1"/>
  <c r="BR28" i="261" s="1"/>
  <c r="BT28" i="261" s="1"/>
  <c r="BV28" i="261" s="1"/>
  <c r="BX28" i="261" s="1"/>
  <c r="BZ28" i="261" s="1"/>
  <c r="CB28" i="261" s="1"/>
  <c r="CD28" i="261" s="1"/>
  <c r="CF28" i="261" s="1"/>
  <c r="CH28" i="261" s="1"/>
  <c r="CJ28" i="261" s="1"/>
  <c r="CL28" i="261" s="1"/>
  <c r="CN28" i="261" s="1"/>
  <c r="CP28" i="261" s="1"/>
  <c r="CR28" i="261" s="1"/>
  <c r="CT28" i="261" s="1"/>
  <c r="CV28" i="261" s="1"/>
  <c r="CX28" i="261" s="1"/>
  <c r="CZ28" i="261" s="1"/>
  <c r="DB28" i="261" s="1"/>
  <c r="DD28" i="261" s="1"/>
  <c r="DF28" i="261" s="1"/>
  <c r="DH28" i="261" s="1"/>
  <c r="DJ28" i="261" s="1"/>
  <c r="DL28" i="261" s="1"/>
  <c r="DN28" i="261" s="1"/>
  <c r="DP28" i="261" s="1"/>
  <c r="DR28" i="261" s="1"/>
  <c r="DT28" i="261" s="1"/>
  <c r="DV28" i="261" s="1"/>
  <c r="DX28" i="261" s="1"/>
  <c r="DZ28" i="261" s="1"/>
  <c r="EB28" i="261" s="1"/>
  <c r="ED28" i="261" s="1"/>
  <c r="EF28" i="261" s="1"/>
  <c r="EH28" i="261" s="1"/>
  <c r="EJ28" i="261" s="1"/>
  <c r="EL28" i="261" s="1"/>
  <c r="EN28" i="261" s="1"/>
  <c r="EP28" i="261" s="1"/>
  <c r="ER28" i="261" s="1"/>
  <c r="ET28" i="261" s="1"/>
  <c r="EV28" i="261" s="1"/>
  <c r="EX28" i="261" s="1"/>
  <c r="EZ28" i="261" s="1"/>
  <c r="FB28" i="261" s="1"/>
  <c r="FD28" i="261" s="1"/>
  <c r="FF28" i="261" s="1"/>
  <c r="FH28" i="261" s="1"/>
  <c r="FJ28" i="261" s="1"/>
  <c r="FL28" i="261" s="1"/>
  <c r="FN28" i="261" s="1"/>
  <c r="FP28" i="261" s="1"/>
  <c r="FR28" i="261" s="1"/>
  <c r="FT28" i="261" s="1"/>
  <c r="FV28" i="261" s="1"/>
  <c r="FX28" i="261" s="1"/>
  <c r="FZ28" i="261" s="1"/>
  <c r="GB28" i="261" s="1"/>
  <c r="GD28" i="261" s="1"/>
  <c r="GF28" i="261" s="1"/>
  <c r="GH28" i="261" s="1"/>
  <c r="GJ28" i="261" s="1"/>
  <c r="GL28" i="261" s="1"/>
  <c r="GN28" i="261" s="1"/>
  <c r="GP28" i="261" s="1"/>
  <c r="GR28" i="261" s="1"/>
  <c r="GT28" i="261" s="1"/>
  <c r="GV28" i="261" s="1"/>
  <c r="GX28" i="261" s="1"/>
  <c r="GZ28" i="261" s="1"/>
  <c r="D27" i="261"/>
  <c r="F27" i="261" s="1"/>
  <c r="H27" i="261" s="1"/>
  <c r="J27" i="261" s="1"/>
  <c r="L27" i="261" s="1"/>
  <c r="N27" i="261" s="1"/>
  <c r="P27" i="261" s="1"/>
  <c r="R27" i="261" s="1"/>
  <c r="T27" i="261" s="1"/>
  <c r="V27" i="261" s="1"/>
  <c r="X27" i="261" s="1"/>
  <c r="Z27" i="261" s="1"/>
  <c r="AB27" i="261" s="1"/>
  <c r="AD27" i="261" s="1"/>
  <c r="AF27" i="261" s="1"/>
  <c r="AH27" i="261" s="1"/>
  <c r="AJ27" i="261" s="1"/>
  <c r="AL27" i="261" s="1"/>
  <c r="AN27" i="261" s="1"/>
  <c r="AP27" i="261" s="1"/>
  <c r="AR27" i="261" s="1"/>
  <c r="AT27" i="261" s="1"/>
  <c r="AV27" i="261" s="1"/>
  <c r="AX27" i="261" s="1"/>
  <c r="AZ27" i="261" s="1"/>
  <c r="BB27" i="261" s="1"/>
  <c r="BD27" i="261" s="1"/>
  <c r="BF27" i="261" s="1"/>
  <c r="BH27" i="261" s="1"/>
  <c r="BJ27" i="261" s="1"/>
  <c r="BL27" i="261" s="1"/>
  <c r="BN27" i="261" s="1"/>
  <c r="BP27" i="261" s="1"/>
  <c r="BR27" i="261" s="1"/>
  <c r="BT27" i="261" s="1"/>
  <c r="BV27" i="261" s="1"/>
  <c r="BX27" i="261" s="1"/>
  <c r="BZ27" i="261" s="1"/>
  <c r="CB27" i="261" s="1"/>
  <c r="CD27" i="261" s="1"/>
  <c r="CF27" i="261" s="1"/>
  <c r="CH27" i="261" s="1"/>
  <c r="CJ27" i="261" s="1"/>
  <c r="CL27" i="261" s="1"/>
  <c r="CN27" i="261" s="1"/>
  <c r="CP27" i="261" s="1"/>
  <c r="CR27" i="261" s="1"/>
  <c r="CT27" i="261" s="1"/>
  <c r="CV27" i="261" s="1"/>
  <c r="CX27" i="261" s="1"/>
  <c r="CZ27" i="261" s="1"/>
  <c r="DB27" i="261" s="1"/>
  <c r="DD27" i="261" s="1"/>
  <c r="DF27" i="261" s="1"/>
  <c r="DH27" i="261" s="1"/>
  <c r="DJ27" i="261" s="1"/>
  <c r="DL27" i="261" s="1"/>
  <c r="DN27" i="261" s="1"/>
  <c r="DP27" i="261" s="1"/>
  <c r="DR27" i="261" s="1"/>
  <c r="DT27" i="261" s="1"/>
  <c r="DV27" i="261" s="1"/>
  <c r="DX27" i="261" s="1"/>
  <c r="DZ27" i="261" s="1"/>
  <c r="EB27" i="261" s="1"/>
  <c r="ED27" i="261" s="1"/>
  <c r="EF27" i="261" s="1"/>
  <c r="EH27" i="261" s="1"/>
  <c r="EJ27" i="261" s="1"/>
  <c r="EL27" i="261" s="1"/>
  <c r="EN27" i="261" s="1"/>
  <c r="EP27" i="261" s="1"/>
  <c r="ER27" i="261" s="1"/>
  <c r="ET27" i="261" s="1"/>
  <c r="EV27" i="261" s="1"/>
  <c r="EX27" i="261" s="1"/>
  <c r="EZ27" i="261" s="1"/>
  <c r="FB27" i="261" s="1"/>
  <c r="FD27" i="261" s="1"/>
  <c r="FF27" i="261" s="1"/>
  <c r="FH27" i="261" s="1"/>
  <c r="FJ27" i="261" s="1"/>
  <c r="FL27" i="261" s="1"/>
  <c r="FN27" i="261" s="1"/>
  <c r="FP27" i="261" s="1"/>
  <c r="FR27" i="261" s="1"/>
  <c r="FT27" i="261" s="1"/>
  <c r="FV27" i="261" s="1"/>
  <c r="FX27" i="261" s="1"/>
  <c r="FZ27" i="261" s="1"/>
  <c r="GB27" i="261" s="1"/>
  <c r="GD27" i="261" s="1"/>
  <c r="GF27" i="261" s="1"/>
  <c r="GH27" i="261" s="1"/>
  <c r="GJ27" i="261" s="1"/>
  <c r="GL27" i="261" s="1"/>
  <c r="GN27" i="261" s="1"/>
  <c r="GP27" i="261" s="1"/>
  <c r="GR27" i="261" s="1"/>
  <c r="GT27" i="261" s="1"/>
  <c r="GV27" i="261" s="1"/>
  <c r="GX27" i="261" s="1"/>
  <c r="GZ27" i="261" s="1"/>
  <c r="D26" i="261"/>
  <c r="F26" i="261" s="1"/>
  <c r="H26" i="261" s="1"/>
  <c r="J26" i="261" s="1"/>
  <c r="L26" i="261" s="1"/>
  <c r="N26" i="261" s="1"/>
  <c r="P26" i="261" s="1"/>
  <c r="R26" i="261" s="1"/>
  <c r="T26" i="261" s="1"/>
  <c r="V26" i="261" s="1"/>
  <c r="X26" i="261" s="1"/>
  <c r="Z26" i="261" s="1"/>
  <c r="AB26" i="261" s="1"/>
  <c r="AD26" i="261" s="1"/>
  <c r="AF26" i="261" s="1"/>
  <c r="AH26" i="261" s="1"/>
  <c r="AJ26" i="261" s="1"/>
  <c r="AL26" i="261" s="1"/>
  <c r="AN26" i="261" s="1"/>
  <c r="AP26" i="261" s="1"/>
  <c r="AR26" i="261" s="1"/>
  <c r="AT26" i="261" s="1"/>
  <c r="AV26" i="261" s="1"/>
  <c r="AX26" i="261" s="1"/>
  <c r="AZ26" i="261" s="1"/>
  <c r="BB26" i="261" s="1"/>
  <c r="BD26" i="261" s="1"/>
  <c r="BF26" i="261" s="1"/>
  <c r="BH26" i="261" s="1"/>
  <c r="BJ26" i="261" s="1"/>
  <c r="BL26" i="261" s="1"/>
  <c r="BN26" i="261" s="1"/>
  <c r="BP26" i="261" s="1"/>
  <c r="BR26" i="261" s="1"/>
  <c r="BT26" i="261" s="1"/>
  <c r="BV26" i="261" s="1"/>
  <c r="BX26" i="261" s="1"/>
  <c r="BZ26" i="261" s="1"/>
  <c r="CB26" i="261" s="1"/>
  <c r="CD26" i="261" s="1"/>
  <c r="CF26" i="261" s="1"/>
  <c r="CH26" i="261" s="1"/>
  <c r="CJ26" i="261" s="1"/>
  <c r="CL26" i="261" s="1"/>
  <c r="CN26" i="261" s="1"/>
  <c r="CP26" i="261" s="1"/>
  <c r="CR26" i="261" s="1"/>
  <c r="CT26" i="261" s="1"/>
  <c r="CV26" i="261" s="1"/>
  <c r="CX26" i="261" s="1"/>
  <c r="CZ26" i="261" s="1"/>
  <c r="DB26" i="261" s="1"/>
  <c r="DD26" i="261" s="1"/>
  <c r="DF26" i="261" s="1"/>
  <c r="DH26" i="261" s="1"/>
  <c r="DJ26" i="261" s="1"/>
  <c r="DL26" i="261" s="1"/>
  <c r="DN26" i="261" s="1"/>
  <c r="DP26" i="261" s="1"/>
  <c r="DR26" i="261" s="1"/>
  <c r="DT26" i="261" s="1"/>
  <c r="DV26" i="261" s="1"/>
  <c r="DX26" i="261" s="1"/>
  <c r="DZ26" i="261" s="1"/>
  <c r="EB26" i="261" s="1"/>
  <c r="ED26" i="261" s="1"/>
  <c r="EF26" i="261" s="1"/>
  <c r="EH26" i="261" s="1"/>
  <c r="EJ26" i="261" s="1"/>
  <c r="EL26" i="261" s="1"/>
  <c r="EN26" i="261" s="1"/>
  <c r="EP26" i="261" s="1"/>
  <c r="ER26" i="261" s="1"/>
  <c r="ET26" i="261" s="1"/>
  <c r="EV26" i="261" s="1"/>
  <c r="EX26" i="261" s="1"/>
  <c r="EZ26" i="261" s="1"/>
  <c r="FB26" i="261" s="1"/>
  <c r="FD26" i="261" s="1"/>
  <c r="FF26" i="261" s="1"/>
  <c r="FH26" i="261" s="1"/>
  <c r="FJ26" i="261" s="1"/>
  <c r="FL26" i="261" s="1"/>
  <c r="FN26" i="261" s="1"/>
  <c r="FP26" i="261" s="1"/>
  <c r="FR26" i="261" s="1"/>
  <c r="FT26" i="261" s="1"/>
  <c r="FV26" i="261" s="1"/>
  <c r="FX26" i="261" s="1"/>
  <c r="FZ26" i="261" s="1"/>
  <c r="GB26" i="261" s="1"/>
  <c r="GD26" i="261" s="1"/>
  <c r="GF26" i="261" s="1"/>
  <c r="GH26" i="261" s="1"/>
  <c r="GJ26" i="261" s="1"/>
  <c r="GL26" i="261" s="1"/>
  <c r="GN26" i="261" s="1"/>
  <c r="GP26" i="261" s="1"/>
  <c r="GR26" i="261" s="1"/>
  <c r="GT26" i="261" s="1"/>
  <c r="GV26" i="261" s="1"/>
  <c r="GX26" i="261" s="1"/>
  <c r="GZ26" i="261" s="1"/>
  <c r="D25" i="261"/>
  <c r="F25" i="261" s="1"/>
  <c r="H25" i="261" s="1"/>
  <c r="J25" i="261" s="1"/>
  <c r="L25" i="261" s="1"/>
  <c r="N25" i="261" s="1"/>
  <c r="P25" i="261" s="1"/>
  <c r="R25" i="261" s="1"/>
  <c r="T25" i="261" s="1"/>
  <c r="V25" i="261" s="1"/>
  <c r="X25" i="261" s="1"/>
  <c r="Z25" i="261" s="1"/>
  <c r="AB25" i="261" s="1"/>
  <c r="AD25" i="261" s="1"/>
  <c r="AF25" i="261" s="1"/>
  <c r="AH25" i="261" s="1"/>
  <c r="AJ25" i="261" s="1"/>
  <c r="AL25" i="261" s="1"/>
  <c r="AN25" i="261" s="1"/>
  <c r="AP25" i="261" s="1"/>
  <c r="AR25" i="261" s="1"/>
  <c r="AT25" i="261" s="1"/>
  <c r="AV25" i="261" s="1"/>
  <c r="AX25" i="261" s="1"/>
  <c r="AZ25" i="261" s="1"/>
  <c r="BB25" i="261" s="1"/>
  <c r="BD25" i="261" s="1"/>
  <c r="BF25" i="261" s="1"/>
  <c r="BH25" i="261" s="1"/>
  <c r="BJ25" i="261" s="1"/>
  <c r="BL25" i="261" s="1"/>
  <c r="BN25" i="261" s="1"/>
  <c r="BP25" i="261" s="1"/>
  <c r="BR25" i="261" s="1"/>
  <c r="BT25" i="261" s="1"/>
  <c r="BV25" i="261" s="1"/>
  <c r="BX25" i="261" s="1"/>
  <c r="BZ25" i="261" s="1"/>
  <c r="CB25" i="261" s="1"/>
  <c r="CD25" i="261" s="1"/>
  <c r="CF25" i="261" s="1"/>
  <c r="CH25" i="261" s="1"/>
  <c r="CJ25" i="261" s="1"/>
  <c r="CL25" i="261" s="1"/>
  <c r="CN25" i="261" s="1"/>
  <c r="CP25" i="261" s="1"/>
  <c r="CR25" i="261" s="1"/>
  <c r="CT25" i="261" s="1"/>
  <c r="CV25" i="261" s="1"/>
  <c r="CX25" i="261" s="1"/>
  <c r="CZ25" i="261" s="1"/>
  <c r="DB25" i="261" s="1"/>
  <c r="DD25" i="261" s="1"/>
  <c r="DF25" i="261" s="1"/>
  <c r="DH25" i="261" s="1"/>
  <c r="DJ25" i="261" s="1"/>
  <c r="DL25" i="261" s="1"/>
  <c r="DN25" i="261" s="1"/>
  <c r="DP25" i="261" s="1"/>
  <c r="DR25" i="261" s="1"/>
  <c r="DT25" i="261" s="1"/>
  <c r="DV25" i="261" s="1"/>
  <c r="DX25" i="261" s="1"/>
  <c r="DZ25" i="261" s="1"/>
  <c r="EB25" i="261" s="1"/>
  <c r="ED25" i="261" s="1"/>
  <c r="EF25" i="261" s="1"/>
  <c r="EH25" i="261" s="1"/>
  <c r="EJ25" i="261" s="1"/>
  <c r="EL25" i="261" s="1"/>
  <c r="EN25" i="261" s="1"/>
  <c r="EP25" i="261" s="1"/>
  <c r="ER25" i="261" s="1"/>
  <c r="ET25" i="261" s="1"/>
  <c r="EV25" i="261" s="1"/>
  <c r="EX25" i="261" s="1"/>
  <c r="EZ25" i="261" s="1"/>
  <c r="FB25" i="261" s="1"/>
  <c r="FD25" i="261" s="1"/>
  <c r="FF25" i="261" s="1"/>
  <c r="FH25" i="261" s="1"/>
  <c r="FJ25" i="261" s="1"/>
  <c r="FL25" i="261" s="1"/>
  <c r="FN25" i="261" s="1"/>
  <c r="FP25" i="261" s="1"/>
  <c r="FR25" i="261" s="1"/>
  <c r="FT25" i="261" s="1"/>
  <c r="FV25" i="261" s="1"/>
  <c r="FX25" i="261" s="1"/>
  <c r="FZ25" i="261" s="1"/>
  <c r="GB25" i="261" s="1"/>
  <c r="GD25" i="261" s="1"/>
  <c r="GF25" i="261" s="1"/>
  <c r="GH25" i="261" s="1"/>
  <c r="GJ25" i="261" s="1"/>
  <c r="GL25" i="261" s="1"/>
  <c r="GN25" i="261" s="1"/>
  <c r="GP25" i="261" s="1"/>
  <c r="GR25" i="261" s="1"/>
  <c r="GT25" i="261" s="1"/>
  <c r="GV25" i="261" s="1"/>
  <c r="GX25" i="261" s="1"/>
  <c r="GZ25" i="261" s="1"/>
  <c r="D24" i="261"/>
  <c r="F24" i="261" s="1"/>
  <c r="H24" i="261" s="1"/>
  <c r="J24" i="261" s="1"/>
  <c r="L24" i="261" s="1"/>
  <c r="N24" i="261" s="1"/>
  <c r="P24" i="261" s="1"/>
  <c r="R24" i="261" s="1"/>
  <c r="T24" i="261" s="1"/>
  <c r="V24" i="261" s="1"/>
  <c r="X24" i="261" s="1"/>
  <c r="Z24" i="261" s="1"/>
  <c r="AB24" i="261" s="1"/>
  <c r="AD24" i="261" s="1"/>
  <c r="AF24" i="261" s="1"/>
  <c r="AH24" i="261" s="1"/>
  <c r="AJ24" i="261" s="1"/>
  <c r="AL24" i="261" s="1"/>
  <c r="AN24" i="261" s="1"/>
  <c r="AP24" i="261" s="1"/>
  <c r="AR24" i="261" s="1"/>
  <c r="AT24" i="261" s="1"/>
  <c r="AV24" i="261" s="1"/>
  <c r="AX24" i="261" s="1"/>
  <c r="AZ24" i="261" s="1"/>
  <c r="BB24" i="261" s="1"/>
  <c r="BD24" i="261" s="1"/>
  <c r="BF24" i="261" s="1"/>
  <c r="BH24" i="261" s="1"/>
  <c r="BJ24" i="261" s="1"/>
  <c r="BL24" i="261" s="1"/>
  <c r="BN24" i="261" s="1"/>
  <c r="BP24" i="261" s="1"/>
  <c r="BR24" i="261" s="1"/>
  <c r="BT24" i="261" s="1"/>
  <c r="BV24" i="261" s="1"/>
  <c r="BX24" i="261" s="1"/>
  <c r="BZ24" i="261" s="1"/>
  <c r="CB24" i="261" s="1"/>
  <c r="CD24" i="261" s="1"/>
  <c r="CF24" i="261" s="1"/>
  <c r="CH24" i="261" s="1"/>
  <c r="CJ24" i="261" s="1"/>
  <c r="CL24" i="261" s="1"/>
  <c r="CN24" i="261" s="1"/>
  <c r="CP24" i="261" s="1"/>
  <c r="CR24" i="261" s="1"/>
  <c r="CT24" i="261" s="1"/>
  <c r="CV24" i="261" s="1"/>
  <c r="CX24" i="261" s="1"/>
  <c r="CZ24" i="261" s="1"/>
  <c r="DB24" i="261" s="1"/>
  <c r="DD24" i="261" s="1"/>
  <c r="DF24" i="261" s="1"/>
  <c r="DH24" i="261" s="1"/>
  <c r="DJ24" i="261" s="1"/>
  <c r="DL24" i="261" s="1"/>
  <c r="DN24" i="261" s="1"/>
  <c r="DP24" i="261" s="1"/>
  <c r="DR24" i="261" s="1"/>
  <c r="DT24" i="261" s="1"/>
  <c r="DV24" i="261" s="1"/>
  <c r="DX24" i="261" s="1"/>
  <c r="DZ24" i="261" s="1"/>
  <c r="EB24" i="261" s="1"/>
  <c r="ED24" i="261" s="1"/>
  <c r="EF24" i="261" s="1"/>
  <c r="EH24" i="261" s="1"/>
  <c r="EJ24" i="261" s="1"/>
  <c r="EL24" i="261" s="1"/>
  <c r="EN24" i="261" s="1"/>
  <c r="EP24" i="261" s="1"/>
  <c r="ER24" i="261" s="1"/>
  <c r="ET24" i="261" s="1"/>
  <c r="EV24" i="261" s="1"/>
  <c r="EX24" i="261" s="1"/>
  <c r="EZ24" i="261" s="1"/>
  <c r="FB24" i="261" s="1"/>
  <c r="FD24" i="261" s="1"/>
  <c r="FF24" i="261" s="1"/>
  <c r="FH24" i="261" s="1"/>
  <c r="FJ24" i="261" s="1"/>
  <c r="FL24" i="261" s="1"/>
  <c r="FN24" i="261" s="1"/>
  <c r="FP24" i="261" s="1"/>
  <c r="FR24" i="261" s="1"/>
  <c r="FT24" i="261" s="1"/>
  <c r="FV24" i="261" s="1"/>
  <c r="FX24" i="261" s="1"/>
  <c r="FZ24" i="261" s="1"/>
  <c r="GB24" i="261" s="1"/>
  <c r="GD24" i="261" s="1"/>
  <c r="GF24" i="261" s="1"/>
  <c r="GH24" i="261" s="1"/>
  <c r="GJ24" i="261" s="1"/>
  <c r="GL24" i="261" s="1"/>
  <c r="GN24" i="261" s="1"/>
  <c r="GP24" i="261" s="1"/>
  <c r="GR24" i="261" s="1"/>
  <c r="GT24" i="261" s="1"/>
  <c r="GV24" i="261" s="1"/>
  <c r="GX24" i="261" s="1"/>
  <c r="GZ24" i="261" s="1"/>
  <c r="D23" i="261"/>
  <c r="F23" i="261" s="1"/>
  <c r="H23" i="261" s="1"/>
  <c r="J23" i="261" s="1"/>
  <c r="L23" i="261" s="1"/>
  <c r="N23" i="261" s="1"/>
  <c r="P23" i="261" s="1"/>
  <c r="R23" i="261" s="1"/>
  <c r="T23" i="261" s="1"/>
  <c r="V23" i="261" s="1"/>
  <c r="X23" i="261" s="1"/>
  <c r="Z23" i="261" s="1"/>
  <c r="AB23" i="261" s="1"/>
  <c r="AD23" i="261" s="1"/>
  <c r="AF23" i="261" s="1"/>
  <c r="AH23" i="261" s="1"/>
  <c r="AJ23" i="261" s="1"/>
  <c r="AL23" i="261" s="1"/>
  <c r="AN23" i="261" s="1"/>
  <c r="AP23" i="261" s="1"/>
  <c r="AR23" i="261" s="1"/>
  <c r="AT23" i="261" s="1"/>
  <c r="AV23" i="261" s="1"/>
  <c r="AX23" i="261" s="1"/>
  <c r="AZ23" i="261" s="1"/>
  <c r="BB23" i="261" s="1"/>
  <c r="BD23" i="261" s="1"/>
  <c r="BF23" i="261" s="1"/>
  <c r="BH23" i="261" s="1"/>
  <c r="BJ23" i="261" s="1"/>
  <c r="BL23" i="261" s="1"/>
  <c r="BN23" i="261" s="1"/>
  <c r="BP23" i="261" s="1"/>
  <c r="BR23" i="261" s="1"/>
  <c r="BT23" i="261" s="1"/>
  <c r="BV23" i="261" s="1"/>
  <c r="BX23" i="261" s="1"/>
  <c r="BZ23" i="261" s="1"/>
  <c r="CB23" i="261" s="1"/>
  <c r="CD23" i="261" s="1"/>
  <c r="CF23" i="261" s="1"/>
  <c r="CH23" i="261" s="1"/>
  <c r="CJ23" i="261" s="1"/>
  <c r="CL23" i="261" s="1"/>
  <c r="CN23" i="261" s="1"/>
  <c r="CP23" i="261" s="1"/>
  <c r="CR23" i="261" s="1"/>
  <c r="CT23" i="261" s="1"/>
  <c r="CV23" i="261" s="1"/>
  <c r="CX23" i="261" s="1"/>
  <c r="CZ23" i="261" s="1"/>
  <c r="DB23" i="261" s="1"/>
  <c r="DD23" i="261" s="1"/>
  <c r="DF23" i="261" s="1"/>
  <c r="DH23" i="261" s="1"/>
  <c r="DJ23" i="261" s="1"/>
  <c r="DL23" i="261" s="1"/>
  <c r="DN23" i="261" s="1"/>
  <c r="DP23" i="261" s="1"/>
  <c r="DR23" i="261" s="1"/>
  <c r="DT23" i="261" s="1"/>
  <c r="DV23" i="261" s="1"/>
  <c r="DX23" i="261" s="1"/>
  <c r="DZ23" i="261" s="1"/>
  <c r="EB23" i="261" s="1"/>
  <c r="ED23" i="261" s="1"/>
  <c r="EF23" i="261" s="1"/>
  <c r="EH23" i="261" s="1"/>
  <c r="EJ23" i="261" s="1"/>
  <c r="EL23" i="261" s="1"/>
  <c r="EN23" i="261" s="1"/>
  <c r="EP23" i="261" s="1"/>
  <c r="ER23" i="261" s="1"/>
  <c r="ET23" i="261" s="1"/>
  <c r="EV23" i="261" s="1"/>
  <c r="EX23" i="261" s="1"/>
  <c r="EZ23" i="261" s="1"/>
  <c r="FB23" i="261" s="1"/>
  <c r="FD23" i="261" s="1"/>
  <c r="FF23" i="261" s="1"/>
  <c r="FH23" i="261" s="1"/>
  <c r="FJ23" i="261" s="1"/>
  <c r="FL23" i="261" s="1"/>
  <c r="FN23" i="261" s="1"/>
  <c r="FP23" i="261" s="1"/>
  <c r="FR23" i="261" s="1"/>
  <c r="FT23" i="261" s="1"/>
  <c r="FV23" i="261" s="1"/>
  <c r="FX23" i="261" s="1"/>
  <c r="FZ23" i="261" s="1"/>
  <c r="GB23" i="261" s="1"/>
  <c r="GD23" i="261" s="1"/>
  <c r="GF23" i="261" s="1"/>
  <c r="GH23" i="261" s="1"/>
  <c r="GJ23" i="261" s="1"/>
  <c r="GL23" i="261" s="1"/>
  <c r="GN23" i="261" s="1"/>
  <c r="GP23" i="261" s="1"/>
  <c r="GR23" i="261" s="1"/>
  <c r="GT23" i="261" s="1"/>
  <c r="GV23" i="261" s="1"/>
  <c r="GX23" i="261" s="1"/>
  <c r="GZ23" i="261" s="1"/>
  <c r="D22" i="261"/>
  <c r="F22" i="261" s="1"/>
  <c r="H22" i="261" s="1"/>
  <c r="J22" i="261" s="1"/>
  <c r="L22" i="261" s="1"/>
  <c r="N22" i="261" s="1"/>
  <c r="P22" i="261" s="1"/>
  <c r="R22" i="261" s="1"/>
  <c r="T22" i="261" s="1"/>
  <c r="V22" i="261" s="1"/>
  <c r="X22" i="261" s="1"/>
  <c r="Z22" i="261" s="1"/>
  <c r="AB22" i="261" s="1"/>
  <c r="AD22" i="261" s="1"/>
  <c r="AF22" i="261" s="1"/>
  <c r="AH22" i="261" s="1"/>
  <c r="AJ22" i="261" s="1"/>
  <c r="AL22" i="261" s="1"/>
  <c r="AN22" i="261" s="1"/>
  <c r="AP22" i="261" s="1"/>
  <c r="AR22" i="261" s="1"/>
  <c r="AT22" i="261" s="1"/>
  <c r="AV22" i="261" s="1"/>
  <c r="AX22" i="261" s="1"/>
  <c r="AZ22" i="261" s="1"/>
  <c r="BB22" i="261" s="1"/>
  <c r="BD22" i="261" s="1"/>
  <c r="BF22" i="261" s="1"/>
  <c r="BH22" i="261" s="1"/>
  <c r="BJ22" i="261" s="1"/>
  <c r="BL22" i="261" s="1"/>
  <c r="BN22" i="261" s="1"/>
  <c r="BP22" i="261" s="1"/>
  <c r="BR22" i="261" s="1"/>
  <c r="BT22" i="261" s="1"/>
  <c r="BV22" i="261" s="1"/>
  <c r="BX22" i="261" s="1"/>
  <c r="BZ22" i="261" s="1"/>
  <c r="CB22" i="261" s="1"/>
  <c r="CD22" i="261" s="1"/>
  <c r="CF22" i="261" s="1"/>
  <c r="CH22" i="261" s="1"/>
  <c r="CJ22" i="261" s="1"/>
  <c r="CL22" i="261" s="1"/>
  <c r="CN22" i="261" s="1"/>
  <c r="CP22" i="261" s="1"/>
  <c r="CR22" i="261" s="1"/>
  <c r="CT22" i="261" s="1"/>
  <c r="CV22" i="261" s="1"/>
  <c r="CX22" i="261" s="1"/>
  <c r="CZ22" i="261" s="1"/>
  <c r="DB22" i="261" s="1"/>
  <c r="DD22" i="261" s="1"/>
  <c r="DF22" i="261" s="1"/>
  <c r="DH22" i="261" s="1"/>
  <c r="DJ22" i="261" s="1"/>
  <c r="DL22" i="261" s="1"/>
  <c r="DN22" i="261" s="1"/>
  <c r="DP22" i="261" s="1"/>
  <c r="DR22" i="261" s="1"/>
  <c r="DT22" i="261" s="1"/>
  <c r="DV22" i="261" s="1"/>
  <c r="DX22" i="261" s="1"/>
  <c r="DZ22" i="261" s="1"/>
  <c r="EB22" i="261" s="1"/>
  <c r="ED22" i="261" s="1"/>
  <c r="EF22" i="261" s="1"/>
  <c r="EH22" i="261" s="1"/>
  <c r="EJ22" i="261" s="1"/>
  <c r="EL22" i="261" s="1"/>
  <c r="EN22" i="261" s="1"/>
  <c r="EP22" i="261" s="1"/>
  <c r="ER22" i="261" s="1"/>
  <c r="ET22" i="261" s="1"/>
  <c r="EV22" i="261" s="1"/>
  <c r="EX22" i="261" s="1"/>
  <c r="EZ22" i="261" s="1"/>
  <c r="FB22" i="261" s="1"/>
  <c r="FD22" i="261" s="1"/>
  <c r="FF22" i="261" s="1"/>
  <c r="FH22" i="261" s="1"/>
  <c r="FJ22" i="261" s="1"/>
  <c r="FL22" i="261" s="1"/>
  <c r="FN22" i="261" s="1"/>
  <c r="FP22" i="261" s="1"/>
  <c r="FR22" i="261" s="1"/>
  <c r="FT22" i="261" s="1"/>
  <c r="FV22" i="261" s="1"/>
  <c r="FX22" i="261" s="1"/>
  <c r="FZ22" i="261" s="1"/>
  <c r="GB22" i="261" s="1"/>
  <c r="GD22" i="261" s="1"/>
  <c r="GF22" i="261" s="1"/>
  <c r="GH22" i="261" s="1"/>
  <c r="GJ22" i="261" s="1"/>
  <c r="GL22" i="261" s="1"/>
  <c r="GN22" i="261" s="1"/>
  <c r="GP22" i="261" s="1"/>
  <c r="GR22" i="261" s="1"/>
  <c r="GT22" i="261" s="1"/>
  <c r="GV22" i="261" s="1"/>
  <c r="GX22" i="261" s="1"/>
  <c r="GZ22" i="261" s="1"/>
  <c r="D21" i="261"/>
  <c r="F21" i="261" s="1"/>
  <c r="H21" i="261" s="1"/>
  <c r="J21" i="261" s="1"/>
  <c r="L21" i="261" s="1"/>
  <c r="N21" i="261" s="1"/>
  <c r="P21" i="261" s="1"/>
  <c r="R21" i="261" s="1"/>
  <c r="T21" i="261" s="1"/>
  <c r="V21" i="261" s="1"/>
  <c r="X21" i="261" s="1"/>
  <c r="Z21" i="261" s="1"/>
  <c r="AB21" i="261" s="1"/>
  <c r="AD21" i="261" s="1"/>
  <c r="AF21" i="261" s="1"/>
  <c r="AH21" i="261" s="1"/>
  <c r="AJ21" i="261" s="1"/>
  <c r="AL21" i="261" s="1"/>
  <c r="AN21" i="261" s="1"/>
  <c r="AP21" i="261" s="1"/>
  <c r="AR21" i="261" s="1"/>
  <c r="AT21" i="261" s="1"/>
  <c r="AV21" i="261" s="1"/>
  <c r="AX21" i="261" s="1"/>
  <c r="AZ21" i="261" s="1"/>
  <c r="BB21" i="261" s="1"/>
  <c r="BD21" i="261" s="1"/>
  <c r="BF21" i="261" s="1"/>
  <c r="BH21" i="261" s="1"/>
  <c r="BJ21" i="261" s="1"/>
  <c r="BL21" i="261" s="1"/>
  <c r="BN21" i="261" s="1"/>
  <c r="BP21" i="261" s="1"/>
  <c r="BR21" i="261" s="1"/>
  <c r="BT21" i="261" s="1"/>
  <c r="BV21" i="261" s="1"/>
  <c r="BX21" i="261" s="1"/>
  <c r="BZ21" i="261" s="1"/>
  <c r="CB21" i="261" s="1"/>
  <c r="CD21" i="261" s="1"/>
  <c r="CF21" i="261" s="1"/>
  <c r="CH21" i="261" s="1"/>
  <c r="CJ21" i="261" s="1"/>
  <c r="CL21" i="261" s="1"/>
  <c r="CN21" i="261" s="1"/>
  <c r="CP21" i="261" s="1"/>
  <c r="CR21" i="261" s="1"/>
  <c r="CT21" i="261" s="1"/>
  <c r="CV21" i="261" s="1"/>
  <c r="CX21" i="261" s="1"/>
  <c r="CZ21" i="261" s="1"/>
  <c r="DB21" i="261" s="1"/>
  <c r="DD21" i="261" s="1"/>
  <c r="DF21" i="261" s="1"/>
  <c r="DH21" i="261" s="1"/>
  <c r="DJ21" i="261" s="1"/>
  <c r="DL21" i="261" s="1"/>
  <c r="DN21" i="261" s="1"/>
  <c r="DP21" i="261" s="1"/>
  <c r="DR21" i="261" s="1"/>
  <c r="DT21" i="261" s="1"/>
  <c r="DV21" i="261" s="1"/>
  <c r="DX21" i="261" s="1"/>
  <c r="DZ21" i="261" s="1"/>
  <c r="EB21" i="261" s="1"/>
  <c r="ED21" i="261" s="1"/>
  <c r="EF21" i="261" s="1"/>
  <c r="EH21" i="261" s="1"/>
  <c r="EJ21" i="261" s="1"/>
  <c r="EL21" i="261" s="1"/>
  <c r="EN21" i="261" s="1"/>
  <c r="EP21" i="261" s="1"/>
  <c r="ER21" i="261" s="1"/>
  <c r="ET21" i="261" s="1"/>
  <c r="EV21" i="261" s="1"/>
  <c r="EX21" i="261" s="1"/>
  <c r="EZ21" i="261" s="1"/>
  <c r="FB21" i="261" s="1"/>
  <c r="FD21" i="261" s="1"/>
  <c r="FF21" i="261" s="1"/>
  <c r="FH21" i="261" s="1"/>
  <c r="FJ21" i="261" s="1"/>
  <c r="FL21" i="261" s="1"/>
  <c r="FN21" i="261" s="1"/>
  <c r="FP21" i="261" s="1"/>
  <c r="FR21" i="261" s="1"/>
  <c r="FT21" i="261" s="1"/>
  <c r="FV21" i="261" s="1"/>
  <c r="FX21" i="261" s="1"/>
  <c r="FZ21" i="261" s="1"/>
  <c r="GB21" i="261" s="1"/>
  <c r="GD21" i="261" s="1"/>
  <c r="GF21" i="261" s="1"/>
  <c r="GH21" i="261" s="1"/>
  <c r="GJ21" i="261" s="1"/>
  <c r="GL21" i="261" s="1"/>
  <c r="GN21" i="261" s="1"/>
  <c r="GP21" i="261" s="1"/>
  <c r="GR21" i="261" s="1"/>
  <c r="GT21" i="261" s="1"/>
  <c r="GV21" i="261" s="1"/>
  <c r="GX21" i="261" s="1"/>
  <c r="GZ21" i="261" s="1"/>
  <c r="D20" i="261"/>
  <c r="F20" i="261" s="1"/>
  <c r="H20" i="261" s="1"/>
  <c r="J20" i="261" s="1"/>
  <c r="L20" i="261" s="1"/>
  <c r="N20" i="261" s="1"/>
  <c r="P20" i="261" s="1"/>
  <c r="R20" i="261" s="1"/>
  <c r="T20" i="261" s="1"/>
  <c r="V20" i="261" s="1"/>
  <c r="X20" i="261" s="1"/>
  <c r="Z20" i="261" s="1"/>
  <c r="AB20" i="261" s="1"/>
  <c r="AD20" i="261" s="1"/>
  <c r="AF20" i="261" s="1"/>
  <c r="AH20" i="261" s="1"/>
  <c r="AJ20" i="261" s="1"/>
  <c r="AL20" i="261" s="1"/>
  <c r="AN20" i="261" s="1"/>
  <c r="AP20" i="261" s="1"/>
  <c r="AR20" i="261" s="1"/>
  <c r="AT20" i="261" s="1"/>
  <c r="AV20" i="261" s="1"/>
  <c r="AX20" i="261" s="1"/>
  <c r="AZ20" i="261" s="1"/>
  <c r="BB20" i="261" s="1"/>
  <c r="BD20" i="261" s="1"/>
  <c r="BF20" i="261" s="1"/>
  <c r="BH20" i="261" s="1"/>
  <c r="BJ20" i="261" s="1"/>
  <c r="BL20" i="261" s="1"/>
  <c r="BN20" i="261" s="1"/>
  <c r="BP20" i="261" s="1"/>
  <c r="BR20" i="261" s="1"/>
  <c r="BT20" i="261" s="1"/>
  <c r="BV20" i="261" s="1"/>
  <c r="BX20" i="261" s="1"/>
  <c r="BZ20" i="261" s="1"/>
  <c r="CB20" i="261" s="1"/>
  <c r="CD20" i="261" s="1"/>
  <c r="CF20" i="261" s="1"/>
  <c r="CH20" i="261" s="1"/>
  <c r="CJ20" i="261" s="1"/>
  <c r="CL20" i="261" s="1"/>
  <c r="CN20" i="261" s="1"/>
  <c r="CP20" i="261" s="1"/>
  <c r="CR20" i="261" s="1"/>
  <c r="CT20" i="261" s="1"/>
  <c r="CV20" i="261" s="1"/>
  <c r="CX20" i="261" s="1"/>
  <c r="CZ20" i="261" s="1"/>
  <c r="DB20" i="261" s="1"/>
  <c r="DD20" i="261" s="1"/>
  <c r="DF20" i="261" s="1"/>
  <c r="DH20" i="261" s="1"/>
  <c r="DJ20" i="261" s="1"/>
  <c r="DL20" i="261" s="1"/>
  <c r="DN20" i="261" s="1"/>
  <c r="DP20" i="261" s="1"/>
  <c r="DR20" i="261" s="1"/>
  <c r="DT20" i="261" s="1"/>
  <c r="DV20" i="261" s="1"/>
  <c r="DX20" i="261" s="1"/>
  <c r="DZ20" i="261" s="1"/>
  <c r="EB20" i="261" s="1"/>
  <c r="ED20" i="261" s="1"/>
  <c r="EF20" i="261" s="1"/>
  <c r="EH20" i="261" s="1"/>
  <c r="EJ20" i="261" s="1"/>
  <c r="EL20" i="261" s="1"/>
  <c r="EN20" i="261" s="1"/>
  <c r="EP20" i="261" s="1"/>
  <c r="ER20" i="261" s="1"/>
  <c r="ET20" i="261" s="1"/>
  <c r="EV20" i="261" s="1"/>
  <c r="EX20" i="261" s="1"/>
  <c r="EZ20" i="261" s="1"/>
  <c r="FB20" i="261" s="1"/>
  <c r="FD20" i="261" s="1"/>
  <c r="FF20" i="261" s="1"/>
  <c r="FH20" i="261" s="1"/>
  <c r="FJ20" i="261" s="1"/>
  <c r="FL20" i="261" s="1"/>
  <c r="FN20" i="261" s="1"/>
  <c r="FP20" i="261" s="1"/>
  <c r="FR20" i="261" s="1"/>
  <c r="FT20" i="261" s="1"/>
  <c r="FV20" i="261" s="1"/>
  <c r="FX20" i="261" s="1"/>
  <c r="FZ20" i="261" s="1"/>
  <c r="GB20" i="261" s="1"/>
  <c r="GD20" i="261" s="1"/>
  <c r="GF20" i="261" s="1"/>
  <c r="GH20" i="261" s="1"/>
  <c r="GJ20" i="261" s="1"/>
  <c r="GL20" i="261" s="1"/>
  <c r="GN20" i="261" s="1"/>
  <c r="GP20" i="261" s="1"/>
  <c r="GR20" i="261" s="1"/>
  <c r="GT20" i="261" s="1"/>
  <c r="GV20" i="261" s="1"/>
  <c r="GX20" i="261" s="1"/>
  <c r="GZ20" i="261" s="1"/>
  <c r="D19" i="261"/>
  <c r="F19" i="261" s="1"/>
  <c r="H19" i="261" s="1"/>
  <c r="J19" i="261" s="1"/>
  <c r="L19" i="261" s="1"/>
  <c r="N19" i="261" s="1"/>
  <c r="P19" i="261" s="1"/>
  <c r="R19" i="261" s="1"/>
  <c r="T19" i="261" s="1"/>
  <c r="V19" i="261" s="1"/>
  <c r="X19" i="261" s="1"/>
  <c r="Z19" i="261" s="1"/>
  <c r="AB19" i="261" s="1"/>
  <c r="AD19" i="261" s="1"/>
  <c r="AF19" i="261" s="1"/>
  <c r="AH19" i="261" s="1"/>
  <c r="AJ19" i="261" s="1"/>
  <c r="AL19" i="261" s="1"/>
  <c r="AN19" i="261" s="1"/>
  <c r="AP19" i="261" s="1"/>
  <c r="AR19" i="261" s="1"/>
  <c r="AT19" i="261" s="1"/>
  <c r="AV19" i="261" s="1"/>
  <c r="AX19" i="261" s="1"/>
  <c r="AZ19" i="261" s="1"/>
  <c r="BB19" i="261" s="1"/>
  <c r="BD19" i="261" s="1"/>
  <c r="BF19" i="261" s="1"/>
  <c r="BH19" i="261" s="1"/>
  <c r="BJ19" i="261" s="1"/>
  <c r="BL19" i="261" s="1"/>
  <c r="BN19" i="261" s="1"/>
  <c r="BP19" i="261" s="1"/>
  <c r="BR19" i="261" s="1"/>
  <c r="BT19" i="261" s="1"/>
  <c r="BV19" i="261" s="1"/>
  <c r="BX19" i="261" s="1"/>
  <c r="BZ19" i="261" s="1"/>
  <c r="CB19" i="261" s="1"/>
  <c r="CD19" i="261" s="1"/>
  <c r="CF19" i="261" s="1"/>
  <c r="CH19" i="261" s="1"/>
  <c r="CJ19" i="261" s="1"/>
  <c r="CL19" i="261" s="1"/>
  <c r="CN19" i="261" s="1"/>
  <c r="CP19" i="261" s="1"/>
  <c r="CR19" i="261" s="1"/>
  <c r="CT19" i="261" s="1"/>
  <c r="CV19" i="261" s="1"/>
  <c r="CX19" i="261" s="1"/>
  <c r="CZ19" i="261" s="1"/>
  <c r="DB19" i="261" s="1"/>
  <c r="DD19" i="261" s="1"/>
  <c r="DF19" i="261" s="1"/>
  <c r="DH19" i="261" s="1"/>
  <c r="DJ19" i="261" s="1"/>
  <c r="DL19" i="261" s="1"/>
  <c r="DN19" i="261" s="1"/>
  <c r="DP19" i="261" s="1"/>
  <c r="DR19" i="261" s="1"/>
  <c r="DT19" i="261" s="1"/>
  <c r="DV19" i="261" s="1"/>
  <c r="DX19" i="261" s="1"/>
  <c r="DZ19" i="261" s="1"/>
  <c r="EB19" i="261" s="1"/>
  <c r="ED19" i="261" s="1"/>
  <c r="EF19" i="261" s="1"/>
  <c r="EH19" i="261" s="1"/>
  <c r="EJ19" i="261" s="1"/>
  <c r="EL19" i="261" s="1"/>
  <c r="EN19" i="261" s="1"/>
  <c r="EP19" i="261" s="1"/>
  <c r="ER19" i="261" s="1"/>
  <c r="ET19" i="261" s="1"/>
  <c r="EV19" i="261" s="1"/>
  <c r="EX19" i="261" s="1"/>
  <c r="EZ19" i="261" s="1"/>
  <c r="FB19" i="261" s="1"/>
  <c r="FD19" i="261" s="1"/>
  <c r="FF19" i="261" s="1"/>
  <c r="FH19" i="261" s="1"/>
  <c r="FJ19" i="261" s="1"/>
  <c r="FL19" i="261" s="1"/>
  <c r="FN19" i="261" s="1"/>
  <c r="FP19" i="261" s="1"/>
  <c r="FR19" i="261" s="1"/>
  <c r="FT19" i="261" s="1"/>
  <c r="FV19" i="261" s="1"/>
  <c r="FX19" i="261" s="1"/>
  <c r="FZ19" i="261" s="1"/>
  <c r="GB19" i="261" s="1"/>
  <c r="GD19" i="261" s="1"/>
  <c r="GF19" i="261" s="1"/>
  <c r="GH19" i="261" s="1"/>
  <c r="GJ19" i="261" s="1"/>
  <c r="GL19" i="261" s="1"/>
  <c r="GN19" i="261" s="1"/>
  <c r="GP19" i="261" s="1"/>
  <c r="GR19" i="261" s="1"/>
  <c r="GT19" i="261" s="1"/>
  <c r="GV19" i="261" s="1"/>
  <c r="GX19" i="261" s="1"/>
  <c r="GZ19" i="261" s="1"/>
  <c r="D18" i="261"/>
  <c r="F18" i="261" s="1"/>
  <c r="H18" i="261" s="1"/>
  <c r="J18" i="261" s="1"/>
  <c r="L18" i="261" s="1"/>
  <c r="N18" i="261" s="1"/>
  <c r="P18" i="261" s="1"/>
  <c r="R18" i="261" s="1"/>
  <c r="T18" i="261" s="1"/>
  <c r="V18" i="261" s="1"/>
  <c r="X18" i="261" s="1"/>
  <c r="Z18" i="261" s="1"/>
  <c r="AB18" i="261" s="1"/>
  <c r="AD18" i="261" s="1"/>
  <c r="AF18" i="261" s="1"/>
  <c r="AH18" i="261" s="1"/>
  <c r="AJ18" i="261" s="1"/>
  <c r="AL18" i="261" s="1"/>
  <c r="AN18" i="261" s="1"/>
  <c r="AP18" i="261" s="1"/>
  <c r="AR18" i="261" s="1"/>
  <c r="AT18" i="261" s="1"/>
  <c r="AV18" i="261" s="1"/>
  <c r="AX18" i="261" s="1"/>
  <c r="AZ18" i="261" s="1"/>
  <c r="BB18" i="261" s="1"/>
  <c r="BD18" i="261" s="1"/>
  <c r="BF18" i="261" s="1"/>
  <c r="BH18" i="261" s="1"/>
  <c r="BJ18" i="261" s="1"/>
  <c r="BL18" i="261" s="1"/>
  <c r="BN18" i="261" s="1"/>
  <c r="BP18" i="261" s="1"/>
  <c r="BR18" i="261" s="1"/>
  <c r="BT18" i="261" s="1"/>
  <c r="BV18" i="261" s="1"/>
  <c r="BX18" i="261" s="1"/>
  <c r="BZ18" i="261" s="1"/>
  <c r="CB18" i="261" s="1"/>
  <c r="CD18" i="261" s="1"/>
  <c r="CF18" i="261" s="1"/>
  <c r="CH18" i="261" s="1"/>
  <c r="CJ18" i="261" s="1"/>
  <c r="CL18" i="261" s="1"/>
  <c r="CN18" i="261" s="1"/>
  <c r="CP18" i="261" s="1"/>
  <c r="CR18" i="261" s="1"/>
  <c r="CT18" i="261" s="1"/>
  <c r="CV18" i="261" s="1"/>
  <c r="CX18" i="261" s="1"/>
  <c r="CZ18" i="261" s="1"/>
  <c r="DB18" i="261" s="1"/>
  <c r="DD18" i="261" s="1"/>
  <c r="DF18" i="261" s="1"/>
  <c r="DH18" i="261" s="1"/>
  <c r="DJ18" i="261" s="1"/>
  <c r="DL18" i="261" s="1"/>
  <c r="DN18" i="261" s="1"/>
  <c r="DP18" i="261" s="1"/>
  <c r="DR18" i="261" s="1"/>
  <c r="DT18" i="261" s="1"/>
  <c r="DV18" i="261" s="1"/>
  <c r="DX18" i="261" s="1"/>
  <c r="DZ18" i="261" s="1"/>
  <c r="EB18" i="261" s="1"/>
  <c r="ED18" i="261" s="1"/>
  <c r="EF18" i="261" s="1"/>
  <c r="EH18" i="261" s="1"/>
  <c r="EJ18" i="261" s="1"/>
  <c r="EL18" i="261" s="1"/>
  <c r="EN18" i="261" s="1"/>
  <c r="EP18" i="261" s="1"/>
  <c r="ER18" i="261" s="1"/>
  <c r="ET18" i="261" s="1"/>
  <c r="EV18" i="261" s="1"/>
  <c r="EX18" i="261" s="1"/>
  <c r="EZ18" i="261" s="1"/>
  <c r="FB18" i="261" s="1"/>
  <c r="FD18" i="261" s="1"/>
  <c r="FF18" i="261" s="1"/>
  <c r="FH18" i="261" s="1"/>
  <c r="FJ18" i="261" s="1"/>
  <c r="FL18" i="261" s="1"/>
  <c r="FN18" i="261" s="1"/>
  <c r="FP18" i="261" s="1"/>
  <c r="FR18" i="261" s="1"/>
  <c r="FT18" i="261" s="1"/>
  <c r="FV18" i="261" s="1"/>
  <c r="FX18" i="261" s="1"/>
  <c r="FZ18" i="261" s="1"/>
  <c r="GB18" i="261" s="1"/>
  <c r="GD18" i="261" s="1"/>
  <c r="GF18" i="261" s="1"/>
  <c r="GH18" i="261" s="1"/>
  <c r="GJ18" i="261" s="1"/>
  <c r="GL18" i="261" s="1"/>
  <c r="GN18" i="261" s="1"/>
  <c r="GP18" i="261" s="1"/>
  <c r="GR18" i="261" s="1"/>
  <c r="GT18" i="261" s="1"/>
  <c r="GV18" i="261" s="1"/>
  <c r="GX18" i="261" s="1"/>
  <c r="GZ18" i="261" s="1"/>
  <c r="D17" i="261"/>
  <c r="F17" i="261" s="1"/>
  <c r="H17" i="261" s="1"/>
  <c r="J17" i="261" s="1"/>
  <c r="L17" i="261" s="1"/>
  <c r="N17" i="261" s="1"/>
  <c r="P17" i="261" s="1"/>
  <c r="R17" i="261" s="1"/>
  <c r="T17" i="261" s="1"/>
  <c r="V17" i="261" s="1"/>
  <c r="X17" i="261" s="1"/>
  <c r="Z17" i="261" s="1"/>
  <c r="AB17" i="261" s="1"/>
  <c r="AD17" i="261" s="1"/>
  <c r="AF17" i="261" s="1"/>
  <c r="AH17" i="261" s="1"/>
  <c r="AJ17" i="261" s="1"/>
  <c r="AL17" i="261" s="1"/>
  <c r="AN17" i="261" s="1"/>
  <c r="AP17" i="261" s="1"/>
  <c r="AR17" i="261" s="1"/>
  <c r="AT17" i="261" s="1"/>
  <c r="AV17" i="261" s="1"/>
  <c r="AX17" i="261" s="1"/>
  <c r="AZ17" i="261" s="1"/>
  <c r="BB17" i="261" s="1"/>
  <c r="BD17" i="261" s="1"/>
  <c r="BF17" i="261" s="1"/>
  <c r="BH17" i="261" s="1"/>
  <c r="BJ17" i="261" s="1"/>
  <c r="BL17" i="261" s="1"/>
  <c r="BN17" i="261" s="1"/>
  <c r="BP17" i="261" s="1"/>
  <c r="BR17" i="261" s="1"/>
  <c r="BT17" i="261" s="1"/>
  <c r="BV17" i="261" s="1"/>
  <c r="BX17" i="261" s="1"/>
  <c r="BZ17" i="261" s="1"/>
  <c r="CB17" i="261" s="1"/>
  <c r="CD17" i="261" s="1"/>
  <c r="CF17" i="261" s="1"/>
  <c r="CH17" i="261" s="1"/>
  <c r="CJ17" i="261" s="1"/>
  <c r="CL17" i="261" s="1"/>
  <c r="CN17" i="261" s="1"/>
  <c r="CP17" i="261" s="1"/>
  <c r="CR17" i="261" s="1"/>
  <c r="CT17" i="261" s="1"/>
  <c r="CV17" i="261" s="1"/>
  <c r="CX17" i="261" s="1"/>
  <c r="CZ17" i="261" s="1"/>
  <c r="DB17" i="261" s="1"/>
  <c r="DD17" i="261" s="1"/>
  <c r="DF17" i="261" s="1"/>
  <c r="DH17" i="261" s="1"/>
  <c r="DJ17" i="261" s="1"/>
  <c r="DL17" i="261" s="1"/>
  <c r="DN17" i="261" s="1"/>
  <c r="DP17" i="261" s="1"/>
  <c r="DR17" i="261" s="1"/>
  <c r="DT17" i="261" s="1"/>
  <c r="DV17" i="261" s="1"/>
  <c r="DX17" i="261" s="1"/>
  <c r="DZ17" i="261" s="1"/>
  <c r="EB17" i="261" s="1"/>
  <c r="ED17" i="261" s="1"/>
  <c r="EF17" i="261" s="1"/>
  <c r="EH17" i="261" s="1"/>
  <c r="EJ17" i="261" s="1"/>
  <c r="EL17" i="261" s="1"/>
  <c r="EN17" i="261" s="1"/>
  <c r="EP17" i="261" s="1"/>
  <c r="ER17" i="261" s="1"/>
  <c r="ET17" i="261" s="1"/>
  <c r="EV17" i="261" s="1"/>
  <c r="EX17" i="261" s="1"/>
  <c r="EZ17" i="261" s="1"/>
  <c r="FB17" i="261" s="1"/>
  <c r="FD17" i="261" s="1"/>
  <c r="FF17" i="261" s="1"/>
  <c r="FH17" i="261" s="1"/>
  <c r="FJ17" i="261" s="1"/>
  <c r="FL17" i="261" s="1"/>
  <c r="FN17" i="261" s="1"/>
  <c r="FP17" i="261" s="1"/>
  <c r="FR17" i="261" s="1"/>
  <c r="FT17" i="261" s="1"/>
  <c r="FV17" i="261" s="1"/>
  <c r="FX17" i="261" s="1"/>
  <c r="FZ17" i="261" s="1"/>
  <c r="GB17" i="261" s="1"/>
  <c r="GD17" i="261" s="1"/>
  <c r="GF17" i="261" s="1"/>
  <c r="GH17" i="261" s="1"/>
  <c r="GJ17" i="261" s="1"/>
  <c r="GL17" i="261" s="1"/>
  <c r="GN17" i="261" s="1"/>
  <c r="GP17" i="261" s="1"/>
  <c r="GR17" i="261" s="1"/>
  <c r="GT17" i="261" s="1"/>
  <c r="GV17" i="261" s="1"/>
  <c r="GX17" i="261" s="1"/>
  <c r="GZ17" i="261" s="1"/>
  <c r="D16" i="261"/>
  <c r="F16" i="261" s="1"/>
  <c r="H16" i="261" s="1"/>
  <c r="J16" i="261" s="1"/>
  <c r="L16" i="261" s="1"/>
  <c r="N16" i="261" s="1"/>
  <c r="P16" i="261" s="1"/>
  <c r="R16" i="261" s="1"/>
  <c r="T16" i="261" s="1"/>
  <c r="V16" i="261" s="1"/>
  <c r="X16" i="261" s="1"/>
  <c r="Z16" i="261" s="1"/>
  <c r="AB16" i="261" s="1"/>
  <c r="AD16" i="261" s="1"/>
  <c r="AF16" i="261" s="1"/>
  <c r="AH16" i="261" s="1"/>
  <c r="AJ16" i="261" s="1"/>
  <c r="AL16" i="261" s="1"/>
  <c r="AN16" i="261" s="1"/>
  <c r="AP16" i="261" s="1"/>
  <c r="AR16" i="261" s="1"/>
  <c r="AT16" i="261" s="1"/>
  <c r="AV16" i="261" s="1"/>
  <c r="AX16" i="261" s="1"/>
  <c r="AZ16" i="261" s="1"/>
  <c r="BB16" i="261" s="1"/>
  <c r="BD16" i="261" s="1"/>
  <c r="BF16" i="261" s="1"/>
  <c r="BH16" i="261" s="1"/>
  <c r="BJ16" i="261" s="1"/>
  <c r="BL16" i="261" s="1"/>
  <c r="BN16" i="261" s="1"/>
  <c r="BP16" i="261" s="1"/>
  <c r="BR16" i="261" s="1"/>
  <c r="BT16" i="261" s="1"/>
  <c r="BV16" i="261" s="1"/>
  <c r="BX16" i="261" s="1"/>
  <c r="BZ16" i="261" s="1"/>
  <c r="CB16" i="261" s="1"/>
  <c r="CD16" i="261" s="1"/>
  <c r="CF16" i="261" s="1"/>
  <c r="CH16" i="261" s="1"/>
  <c r="CJ16" i="261" s="1"/>
  <c r="CL16" i="261" s="1"/>
  <c r="CN16" i="261" s="1"/>
  <c r="CP16" i="261" s="1"/>
  <c r="CR16" i="261" s="1"/>
  <c r="CT16" i="261" s="1"/>
  <c r="CV16" i="261" s="1"/>
  <c r="CX16" i="261" s="1"/>
  <c r="CZ16" i="261" s="1"/>
  <c r="DB16" i="261" s="1"/>
  <c r="DD16" i="261" s="1"/>
  <c r="DF16" i="261" s="1"/>
  <c r="DH16" i="261" s="1"/>
  <c r="DJ16" i="261" s="1"/>
  <c r="DL16" i="261" s="1"/>
  <c r="DN16" i="261" s="1"/>
  <c r="DP16" i="261" s="1"/>
  <c r="DR16" i="261" s="1"/>
  <c r="DT16" i="261" s="1"/>
  <c r="DV16" i="261" s="1"/>
  <c r="DX16" i="261" s="1"/>
  <c r="DZ16" i="261" s="1"/>
  <c r="EB16" i="261" s="1"/>
  <c r="ED16" i="261" s="1"/>
  <c r="EF16" i="261" s="1"/>
  <c r="EH16" i="261" s="1"/>
  <c r="EJ16" i="261" s="1"/>
  <c r="EL16" i="261" s="1"/>
  <c r="EN16" i="261" s="1"/>
  <c r="EP16" i="261" s="1"/>
  <c r="ER16" i="261" s="1"/>
  <c r="ET16" i="261" s="1"/>
  <c r="EV16" i="261" s="1"/>
  <c r="EX16" i="261" s="1"/>
  <c r="EZ16" i="261" s="1"/>
  <c r="FB16" i="261" s="1"/>
  <c r="FD16" i="261" s="1"/>
  <c r="FF16" i="261" s="1"/>
  <c r="FH16" i="261" s="1"/>
  <c r="FJ16" i="261" s="1"/>
  <c r="FL16" i="261" s="1"/>
  <c r="FN16" i="261" s="1"/>
  <c r="FP16" i="261" s="1"/>
  <c r="FR16" i="261" s="1"/>
  <c r="FT16" i="261" s="1"/>
  <c r="FV16" i="261" s="1"/>
  <c r="FX16" i="261" s="1"/>
  <c r="FZ16" i="261" s="1"/>
  <c r="GB16" i="261" s="1"/>
  <c r="GD16" i="261" s="1"/>
  <c r="GF16" i="261" s="1"/>
  <c r="GH16" i="261" s="1"/>
  <c r="GJ16" i="261" s="1"/>
  <c r="GL16" i="261" s="1"/>
  <c r="GN16" i="261" s="1"/>
  <c r="GP16" i="261" s="1"/>
  <c r="GR16" i="261" s="1"/>
  <c r="GT16" i="261" s="1"/>
  <c r="GV16" i="261" s="1"/>
  <c r="GX16" i="261" s="1"/>
  <c r="GZ16" i="261" s="1"/>
  <c r="D15" i="261"/>
  <c r="F15" i="261" s="1"/>
  <c r="H15" i="261" s="1"/>
  <c r="J15" i="261" s="1"/>
  <c r="L15" i="261" s="1"/>
  <c r="N15" i="261" s="1"/>
  <c r="P15" i="261" s="1"/>
  <c r="R15" i="261" s="1"/>
  <c r="T15" i="261" s="1"/>
  <c r="V15" i="261" s="1"/>
  <c r="X15" i="261" s="1"/>
  <c r="Z15" i="261" s="1"/>
  <c r="AB15" i="261" s="1"/>
  <c r="AD15" i="261" s="1"/>
  <c r="AF15" i="261" s="1"/>
  <c r="AH15" i="261" s="1"/>
  <c r="AJ15" i="261" s="1"/>
  <c r="AL15" i="261" s="1"/>
  <c r="AN15" i="261" s="1"/>
  <c r="AP15" i="261" s="1"/>
  <c r="AR15" i="261" s="1"/>
  <c r="AT15" i="261" s="1"/>
  <c r="AV15" i="261" s="1"/>
  <c r="AX15" i="261" s="1"/>
  <c r="AZ15" i="261" s="1"/>
  <c r="BB15" i="261" s="1"/>
  <c r="BD15" i="261" s="1"/>
  <c r="BF15" i="261" s="1"/>
  <c r="BH15" i="261" s="1"/>
  <c r="BJ15" i="261" s="1"/>
  <c r="BL15" i="261" s="1"/>
  <c r="BN15" i="261" s="1"/>
  <c r="BP15" i="261" s="1"/>
  <c r="BR15" i="261" s="1"/>
  <c r="BT15" i="261" s="1"/>
  <c r="BV15" i="261" s="1"/>
  <c r="BX15" i="261" s="1"/>
  <c r="BZ15" i="261" s="1"/>
  <c r="CB15" i="261" s="1"/>
  <c r="CD15" i="261" s="1"/>
  <c r="CF15" i="261" s="1"/>
  <c r="CH15" i="261" s="1"/>
  <c r="CJ15" i="261" s="1"/>
  <c r="CL15" i="261" s="1"/>
  <c r="CN15" i="261" s="1"/>
  <c r="CP15" i="261" s="1"/>
  <c r="CR15" i="261" s="1"/>
  <c r="CT15" i="261" s="1"/>
  <c r="CV15" i="261" s="1"/>
  <c r="CX15" i="261" s="1"/>
  <c r="CZ15" i="261" s="1"/>
  <c r="DB15" i="261" s="1"/>
  <c r="DD15" i="261" s="1"/>
  <c r="DF15" i="261" s="1"/>
  <c r="DH15" i="261" s="1"/>
  <c r="DJ15" i="261" s="1"/>
  <c r="DL15" i="261" s="1"/>
  <c r="DN15" i="261" s="1"/>
  <c r="DP15" i="261" s="1"/>
  <c r="DR15" i="261" s="1"/>
  <c r="DT15" i="261" s="1"/>
  <c r="DV15" i="261" s="1"/>
  <c r="DX15" i="261" s="1"/>
  <c r="DZ15" i="261" s="1"/>
  <c r="EB15" i="261" s="1"/>
  <c r="ED15" i="261" s="1"/>
  <c r="EF15" i="261" s="1"/>
  <c r="EH15" i="261" s="1"/>
  <c r="EJ15" i="261" s="1"/>
  <c r="EL15" i="261" s="1"/>
  <c r="EN15" i="261" s="1"/>
  <c r="EP15" i="261" s="1"/>
  <c r="ER15" i="261" s="1"/>
  <c r="ET15" i="261" s="1"/>
  <c r="EV15" i="261" s="1"/>
  <c r="EX15" i="261" s="1"/>
  <c r="EZ15" i="261" s="1"/>
  <c r="FB15" i="261" s="1"/>
  <c r="FD15" i="261" s="1"/>
  <c r="FF15" i="261" s="1"/>
  <c r="FH15" i="261" s="1"/>
  <c r="FJ15" i="261" s="1"/>
  <c r="FL15" i="261" s="1"/>
  <c r="FN15" i="261" s="1"/>
  <c r="FP15" i="261" s="1"/>
  <c r="FR15" i="261" s="1"/>
  <c r="FT15" i="261" s="1"/>
  <c r="FV15" i="261" s="1"/>
  <c r="FX15" i="261" s="1"/>
  <c r="FZ15" i="261" s="1"/>
  <c r="GB15" i="261" s="1"/>
  <c r="GD15" i="261" s="1"/>
  <c r="GF15" i="261" s="1"/>
  <c r="GH15" i="261" s="1"/>
  <c r="GJ15" i="261" s="1"/>
  <c r="GL15" i="261" s="1"/>
  <c r="GN15" i="261" s="1"/>
  <c r="GP15" i="261" s="1"/>
  <c r="GR15" i="261" s="1"/>
  <c r="GT15" i="261" s="1"/>
  <c r="GV15" i="261" s="1"/>
  <c r="GX15" i="261" s="1"/>
  <c r="GZ15" i="261" s="1"/>
  <c r="D14" i="261"/>
  <c r="F14" i="261" s="1"/>
  <c r="H14" i="261" s="1"/>
  <c r="J14" i="261" s="1"/>
  <c r="L14" i="261" s="1"/>
  <c r="N14" i="261" s="1"/>
  <c r="P14" i="261" s="1"/>
  <c r="R14" i="261" s="1"/>
  <c r="T14" i="261" s="1"/>
  <c r="V14" i="261" s="1"/>
  <c r="X14" i="261" s="1"/>
  <c r="Z14" i="261" s="1"/>
  <c r="AB14" i="261" s="1"/>
  <c r="AD14" i="261" s="1"/>
  <c r="AF14" i="261" s="1"/>
  <c r="AH14" i="261" s="1"/>
  <c r="AJ14" i="261" s="1"/>
  <c r="AL14" i="261" s="1"/>
  <c r="AN14" i="261" s="1"/>
  <c r="AP14" i="261" s="1"/>
  <c r="AR14" i="261" s="1"/>
  <c r="AT14" i="261" s="1"/>
  <c r="AV14" i="261" s="1"/>
  <c r="AX14" i="261" s="1"/>
  <c r="AZ14" i="261" s="1"/>
  <c r="BB14" i="261" s="1"/>
  <c r="BD14" i="261" s="1"/>
  <c r="BF14" i="261" s="1"/>
  <c r="BH14" i="261" s="1"/>
  <c r="BJ14" i="261" s="1"/>
  <c r="BL14" i="261" s="1"/>
  <c r="BN14" i="261" s="1"/>
  <c r="BP14" i="261" s="1"/>
  <c r="BR14" i="261" s="1"/>
  <c r="BT14" i="261" s="1"/>
  <c r="BV14" i="261" s="1"/>
  <c r="BX14" i="261" s="1"/>
  <c r="BZ14" i="261" s="1"/>
  <c r="CB14" i="261" s="1"/>
  <c r="CD14" i="261" s="1"/>
  <c r="CF14" i="261" s="1"/>
  <c r="CH14" i="261" s="1"/>
  <c r="CJ14" i="261" s="1"/>
  <c r="CL14" i="261" s="1"/>
  <c r="CN14" i="261" s="1"/>
  <c r="CP14" i="261" s="1"/>
  <c r="CR14" i="261" s="1"/>
  <c r="CT14" i="261" s="1"/>
  <c r="CV14" i="261" s="1"/>
  <c r="CX14" i="261" s="1"/>
  <c r="CZ14" i="261" s="1"/>
  <c r="DB14" i="261" s="1"/>
  <c r="DD14" i="261" s="1"/>
  <c r="DF14" i="261" s="1"/>
  <c r="DH14" i="261" s="1"/>
  <c r="DJ14" i="261" s="1"/>
  <c r="DL14" i="261" s="1"/>
  <c r="DN14" i="261" s="1"/>
  <c r="DP14" i="261" s="1"/>
  <c r="DR14" i="261" s="1"/>
  <c r="DT14" i="261" s="1"/>
  <c r="DV14" i="261" s="1"/>
  <c r="DX14" i="261" s="1"/>
  <c r="DZ14" i="261" s="1"/>
  <c r="EB14" i="261" s="1"/>
  <c r="ED14" i="261" s="1"/>
  <c r="EF14" i="261" s="1"/>
  <c r="EH14" i="261" s="1"/>
  <c r="EJ14" i="261" s="1"/>
  <c r="EL14" i="261" s="1"/>
  <c r="EN14" i="261" s="1"/>
  <c r="EP14" i="261" s="1"/>
  <c r="ER14" i="261" s="1"/>
  <c r="ET14" i="261" s="1"/>
  <c r="EV14" i="261" s="1"/>
  <c r="EX14" i="261" s="1"/>
  <c r="EZ14" i="261" s="1"/>
  <c r="FB14" i="261" s="1"/>
  <c r="FD14" i="261" s="1"/>
  <c r="FF14" i="261" s="1"/>
  <c r="FH14" i="261" s="1"/>
  <c r="FJ14" i="261" s="1"/>
  <c r="FL14" i="261" s="1"/>
  <c r="FN14" i="261" s="1"/>
  <c r="FP14" i="261" s="1"/>
  <c r="FR14" i="261" s="1"/>
  <c r="FT14" i="261" s="1"/>
  <c r="FV14" i="261" s="1"/>
  <c r="FX14" i="261" s="1"/>
  <c r="FZ14" i="261" s="1"/>
  <c r="GB14" i="261" s="1"/>
  <c r="GD14" i="261" s="1"/>
  <c r="GF14" i="261" s="1"/>
  <c r="GH14" i="261" s="1"/>
  <c r="GJ14" i="261" s="1"/>
  <c r="GL14" i="261" s="1"/>
  <c r="GN14" i="261" s="1"/>
  <c r="GP14" i="261" s="1"/>
  <c r="GR14" i="261" s="1"/>
  <c r="GT14" i="261" s="1"/>
  <c r="GV14" i="261" s="1"/>
  <c r="GX14" i="261" s="1"/>
  <c r="GZ14" i="261" s="1"/>
  <c r="D13" i="261"/>
  <c r="F13" i="261" s="1"/>
  <c r="H13" i="261" s="1"/>
  <c r="J13" i="261" s="1"/>
  <c r="L13" i="261" s="1"/>
  <c r="N13" i="261" s="1"/>
  <c r="P13" i="261" s="1"/>
  <c r="R13" i="261" s="1"/>
  <c r="T13" i="261" s="1"/>
  <c r="V13" i="261" s="1"/>
  <c r="X13" i="261" s="1"/>
  <c r="Z13" i="261" s="1"/>
  <c r="AB13" i="261" s="1"/>
  <c r="AD13" i="261" s="1"/>
  <c r="AF13" i="261" s="1"/>
  <c r="AH13" i="261" s="1"/>
  <c r="AJ13" i="261" s="1"/>
  <c r="AL13" i="261" s="1"/>
  <c r="AN13" i="261" s="1"/>
  <c r="AP13" i="261" s="1"/>
  <c r="AR13" i="261" s="1"/>
  <c r="AT13" i="261" s="1"/>
  <c r="AV13" i="261" s="1"/>
  <c r="AX13" i="261" s="1"/>
  <c r="AZ13" i="261" s="1"/>
  <c r="BB13" i="261" s="1"/>
  <c r="BD13" i="261" s="1"/>
  <c r="BF13" i="261" s="1"/>
  <c r="BH13" i="261" s="1"/>
  <c r="BJ13" i="261" s="1"/>
  <c r="BL13" i="261" s="1"/>
  <c r="BN13" i="261" s="1"/>
  <c r="BP13" i="261" s="1"/>
  <c r="BR13" i="261" s="1"/>
  <c r="BT13" i="261" s="1"/>
  <c r="BV13" i="261" s="1"/>
  <c r="BX13" i="261" s="1"/>
  <c r="BZ13" i="261" s="1"/>
  <c r="CB13" i="261" s="1"/>
  <c r="CD13" i="261" s="1"/>
  <c r="CF13" i="261" s="1"/>
  <c r="CH13" i="261" s="1"/>
  <c r="CJ13" i="261" s="1"/>
  <c r="CL13" i="261" s="1"/>
  <c r="CN13" i="261" s="1"/>
  <c r="CP13" i="261" s="1"/>
  <c r="CR13" i="261" s="1"/>
  <c r="CT13" i="261" s="1"/>
  <c r="CV13" i="261" s="1"/>
  <c r="CX13" i="261" s="1"/>
  <c r="CZ13" i="261" s="1"/>
  <c r="DB13" i="261" s="1"/>
  <c r="DD13" i="261" s="1"/>
  <c r="DF13" i="261" s="1"/>
  <c r="DH13" i="261" s="1"/>
  <c r="DJ13" i="261" s="1"/>
  <c r="DL13" i="261" s="1"/>
  <c r="DN13" i="261" s="1"/>
  <c r="DP13" i="261" s="1"/>
  <c r="DR13" i="261" s="1"/>
  <c r="DT13" i="261" s="1"/>
  <c r="DV13" i="261" s="1"/>
  <c r="DX13" i="261" s="1"/>
  <c r="DZ13" i="261" s="1"/>
  <c r="EB13" i="261" s="1"/>
  <c r="ED13" i="261" s="1"/>
  <c r="EF13" i="261" s="1"/>
  <c r="EH13" i="261" s="1"/>
  <c r="EJ13" i="261" s="1"/>
  <c r="EL13" i="261" s="1"/>
  <c r="EN13" i="261" s="1"/>
  <c r="EP13" i="261" s="1"/>
  <c r="ER13" i="261" s="1"/>
  <c r="ET13" i="261" s="1"/>
  <c r="EV13" i="261" s="1"/>
  <c r="EX13" i="261" s="1"/>
  <c r="EZ13" i="261" s="1"/>
  <c r="FB13" i="261" s="1"/>
  <c r="FD13" i="261" s="1"/>
  <c r="FF13" i="261" s="1"/>
  <c r="FH13" i="261" s="1"/>
  <c r="FJ13" i="261" s="1"/>
  <c r="FL13" i="261" s="1"/>
  <c r="FN13" i="261" s="1"/>
  <c r="FP13" i="261" s="1"/>
  <c r="FR13" i="261" s="1"/>
  <c r="FT13" i="261" s="1"/>
  <c r="FV13" i="261" s="1"/>
  <c r="FX13" i="261" s="1"/>
  <c r="FZ13" i="261" s="1"/>
  <c r="GB13" i="261" s="1"/>
  <c r="GD13" i="261" s="1"/>
  <c r="GF13" i="261" s="1"/>
  <c r="GH13" i="261" s="1"/>
  <c r="GJ13" i="261" s="1"/>
  <c r="GL13" i="261" s="1"/>
  <c r="GN13" i="261" s="1"/>
  <c r="GP13" i="261" s="1"/>
  <c r="GR13" i="261" s="1"/>
  <c r="GT13" i="261" s="1"/>
  <c r="GV13" i="261" s="1"/>
  <c r="GX13" i="261" s="1"/>
  <c r="GZ13" i="261" s="1"/>
  <c r="D12" i="261"/>
  <c r="F12" i="261" s="1"/>
  <c r="H12" i="261" s="1"/>
  <c r="J12" i="261" s="1"/>
  <c r="L12" i="261" s="1"/>
  <c r="N12" i="261" s="1"/>
  <c r="P12" i="261" s="1"/>
  <c r="R12" i="261" s="1"/>
  <c r="T12" i="261" s="1"/>
  <c r="V12" i="261" s="1"/>
  <c r="X12" i="261" s="1"/>
  <c r="Z12" i="261" s="1"/>
  <c r="AB12" i="261" s="1"/>
  <c r="AD12" i="261" s="1"/>
  <c r="AF12" i="261" s="1"/>
  <c r="AH12" i="261" s="1"/>
  <c r="AJ12" i="261" s="1"/>
  <c r="AL12" i="261" s="1"/>
  <c r="AN12" i="261" s="1"/>
  <c r="AP12" i="261" s="1"/>
  <c r="AR12" i="261" s="1"/>
  <c r="AT12" i="261" s="1"/>
  <c r="AV12" i="261" s="1"/>
  <c r="AX12" i="261" s="1"/>
  <c r="AZ12" i="261" s="1"/>
  <c r="BB12" i="261" s="1"/>
  <c r="BD12" i="261" s="1"/>
  <c r="BF12" i="261" s="1"/>
  <c r="BH12" i="261" s="1"/>
  <c r="BJ12" i="261" s="1"/>
  <c r="BL12" i="261" s="1"/>
  <c r="BN12" i="261" s="1"/>
  <c r="BP12" i="261" s="1"/>
  <c r="BR12" i="261" s="1"/>
  <c r="BT12" i="261" s="1"/>
  <c r="BV12" i="261" s="1"/>
  <c r="BX12" i="261" s="1"/>
  <c r="BZ12" i="261" s="1"/>
  <c r="CB12" i="261" s="1"/>
  <c r="CD12" i="261" s="1"/>
  <c r="CF12" i="261" s="1"/>
  <c r="CH12" i="261" s="1"/>
  <c r="CJ12" i="261" s="1"/>
  <c r="CL12" i="261" s="1"/>
  <c r="CN12" i="261" s="1"/>
  <c r="CP12" i="261" s="1"/>
  <c r="CR12" i="261" s="1"/>
  <c r="CT12" i="261" s="1"/>
  <c r="CV12" i="261" s="1"/>
  <c r="CX12" i="261" s="1"/>
  <c r="CZ12" i="261" s="1"/>
  <c r="DB12" i="261" s="1"/>
  <c r="DD12" i="261" s="1"/>
  <c r="DF12" i="261" s="1"/>
  <c r="DH12" i="261" s="1"/>
  <c r="DJ12" i="261" s="1"/>
  <c r="DL12" i="261" s="1"/>
  <c r="DN12" i="261" s="1"/>
  <c r="DP12" i="261" s="1"/>
  <c r="DR12" i="261" s="1"/>
  <c r="DT12" i="261" s="1"/>
  <c r="DV12" i="261" s="1"/>
  <c r="DX12" i="261" s="1"/>
  <c r="DZ12" i="261" s="1"/>
  <c r="EB12" i="261" s="1"/>
  <c r="ED12" i="261" s="1"/>
  <c r="EF12" i="261" s="1"/>
  <c r="EH12" i="261" s="1"/>
  <c r="EJ12" i="261" s="1"/>
  <c r="EL12" i="261" s="1"/>
  <c r="EN12" i="261" s="1"/>
  <c r="EP12" i="261" s="1"/>
  <c r="ER12" i="261" s="1"/>
  <c r="ET12" i="261" s="1"/>
  <c r="EV12" i="261" s="1"/>
  <c r="EX12" i="261" s="1"/>
  <c r="EZ12" i="261" s="1"/>
  <c r="FB12" i="261" s="1"/>
  <c r="FD12" i="261" s="1"/>
  <c r="FF12" i="261" s="1"/>
  <c r="FH12" i="261" s="1"/>
  <c r="FJ12" i="261" s="1"/>
  <c r="FL12" i="261" s="1"/>
  <c r="FN12" i="261" s="1"/>
  <c r="FP12" i="261" s="1"/>
  <c r="FR12" i="261" s="1"/>
  <c r="FT12" i="261" s="1"/>
  <c r="FV12" i="261" s="1"/>
  <c r="FX12" i="261" s="1"/>
  <c r="FZ12" i="261" s="1"/>
  <c r="GB12" i="261" s="1"/>
  <c r="GD12" i="261" s="1"/>
  <c r="GF12" i="261" s="1"/>
  <c r="GH12" i="261" s="1"/>
  <c r="GJ12" i="261" s="1"/>
  <c r="GL12" i="261" s="1"/>
  <c r="GN12" i="261" s="1"/>
  <c r="GP12" i="261" s="1"/>
  <c r="GR12" i="261" s="1"/>
  <c r="GT12" i="261" s="1"/>
  <c r="GV12" i="261" s="1"/>
  <c r="GX12" i="261" s="1"/>
  <c r="GZ12" i="261" s="1"/>
  <c r="D11" i="261"/>
  <c r="F11" i="261" s="1"/>
  <c r="H11" i="261" s="1"/>
  <c r="J11" i="261" s="1"/>
  <c r="L11" i="261" s="1"/>
  <c r="N11" i="261" s="1"/>
  <c r="P11" i="261" s="1"/>
  <c r="R11" i="261" s="1"/>
  <c r="T11" i="261" s="1"/>
  <c r="V11" i="261" s="1"/>
  <c r="X11" i="261" s="1"/>
  <c r="Z11" i="261" s="1"/>
  <c r="AB11" i="261" s="1"/>
  <c r="AD11" i="261" s="1"/>
  <c r="AF11" i="261" s="1"/>
  <c r="AH11" i="261" s="1"/>
  <c r="AJ11" i="261" s="1"/>
  <c r="AL11" i="261" s="1"/>
  <c r="AN11" i="261" s="1"/>
  <c r="AP11" i="261" s="1"/>
  <c r="AR11" i="261" s="1"/>
  <c r="AT11" i="261" s="1"/>
  <c r="AV11" i="261" s="1"/>
  <c r="AX11" i="261" s="1"/>
  <c r="AZ11" i="261" s="1"/>
  <c r="BB11" i="261" s="1"/>
  <c r="BD11" i="261" s="1"/>
  <c r="BF11" i="261" s="1"/>
  <c r="BH11" i="261" s="1"/>
  <c r="BJ11" i="261" s="1"/>
  <c r="BL11" i="261" s="1"/>
  <c r="BN11" i="261" s="1"/>
  <c r="BP11" i="261" s="1"/>
  <c r="BR11" i="261" s="1"/>
  <c r="BT11" i="261" s="1"/>
  <c r="BV11" i="261" s="1"/>
  <c r="BX11" i="261" s="1"/>
  <c r="BZ11" i="261" s="1"/>
  <c r="CB11" i="261" s="1"/>
  <c r="CD11" i="261" s="1"/>
  <c r="CF11" i="261" s="1"/>
  <c r="CH11" i="261" s="1"/>
  <c r="CJ11" i="261" s="1"/>
  <c r="CL11" i="261" s="1"/>
  <c r="CN11" i="261" s="1"/>
  <c r="CP11" i="261" s="1"/>
  <c r="CR11" i="261" s="1"/>
  <c r="CT11" i="261" s="1"/>
  <c r="CV11" i="261" s="1"/>
  <c r="CX11" i="261" s="1"/>
  <c r="CZ11" i="261" s="1"/>
  <c r="DB11" i="261" s="1"/>
  <c r="DD11" i="261" s="1"/>
  <c r="DF11" i="261" s="1"/>
  <c r="DH11" i="261" s="1"/>
  <c r="DJ11" i="261" s="1"/>
  <c r="DL11" i="261" s="1"/>
  <c r="DN11" i="261" s="1"/>
  <c r="DP11" i="261" s="1"/>
  <c r="DR11" i="261" s="1"/>
  <c r="DT11" i="261" s="1"/>
  <c r="DV11" i="261" s="1"/>
  <c r="DX11" i="261" s="1"/>
  <c r="DZ11" i="261" s="1"/>
  <c r="EB11" i="261" s="1"/>
  <c r="ED11" i="261" s="1"/>
  <c r="EF11" i="261" s="1"/>
  <c r="EH11" i="261" s="1"/>
  <c r="EJ11" i="261" s="1"/>
  <c r="EL11" i="261" s="1"/>
  <c r="EN11" i="261" s="1"/>
  <c r="EP11" i="261" s="1"/>
  <c r="ER11" i="261" s="1"/>
  <c r="ET11" i="261" s="1"/>
  <c r="EV11" i="261" s="1"/>
  <c r="EX11" i="261" s="1"/>
  <c r="EZ11" i="261" s="1"/>
  <c r="FB11" i="261" s="1"/>
  <c r="FD11" i="261" s="1"/>
  <c r="FF11" i="261" s="1"/>
  <c r="FH11" i="261" s="1"/>
  <c r="FJ11" i="261" s="1"/>
  <c r="FL11" i="261" s="1"/>
  <c r="FN11" i="261" s="1"/>
  <c r="FP11" i="261" s="1"/>
  <c r="FR11" i="261" s="1"/>
  <c r="FT11" i="261" s="1"/>
  <c r="FV11" i="261" s="1"/>
  <c r="FX11" i="261" s="1"/>
  <c r="FZ11" i="261" s="1"/>
  <c r="GB11" i="261" s="1"/>
  <c r="GD11" i="261" s="1"/>
  <c r="GF11" i="261" s="1"/>
  <c r="GH11" i="261" s="1"/>
  <c r="GJ11" i="261" s="1"/>
  <c r="GL11" i="261" s="1"/>
  <c r="GN11" i="261" s="1"/>
  <c r="GP11" i="261" s="1"/>
  <c r="GR11" i="261" s="1"/>
  <c r="GT11" i="261" s="1"/>
  <c r="GV11" i="261" s="1"/>
  <c r="GX11" i="261" s="1"/>
  <c r="GZ11" i="261" s="1"/>
  <c r="D10" i="261"/>
  <c r="F10" i="261" s="1"/>
  <c r="H10" i="261" s="1"/>
  <c r="J10" i="261" s="1"/>
  <c r="L10" i="261" s="1"/>
  <c r="N10" i="261" s="1"/>
  <c r="P10" i="261" s="1"/>
  <c r="R10" i="261" s="1"/>
  <c r="T10" i="261" s="1"/>
  <c r="V10" i="261" s="1"/>
  <c r="X10" i="261" s="1"/>
  <c r="Z10" i="261" s="1"/>
  <c r="AB10" i="261" s="1"/>
  <c r="AD10" i="261" s="1"/>
  <c r="AF10" i="261" s="1"/>
  <c r="AH10" i="261" s="1"/>
  <c r="AJ10" i="261" s="1"/>
  <c r="AL10" i="261" s="1"/>
  <c r="AN10" i="261" s="1"/>
  <c r="AP10" i="261" s="1"/>
  <c r="AR10" i="261" s="1"/>
  <c r="AT10" i="261" s="1"/>
  <c r="AV10" i="261" s="1"/>
  <c r="AX10" i="261" s="1"/>
  <c r="AZ10" i="261" s="1"/>
  <c r="BB10" i="261" s="1"/>
  <c r="BD10" i="261" s="1"/>
  <c r="BF10" i="261" s="1"/>
  <c r="BH10" i="261" s="1"/>
  <c r="BJ10" i="261" s="1"/>
  <c r="BL10" i="261" s="1"/>
  <c r="BN10" i="261" s="1"/>
  <c r="BP10" i="261" s="1"/>
  <c r="BR10" i="261" s="1"/>
  <c r="BT10" i="261" s="1"/>
  <c r="BV10" i="261" s="1"/>
  <c r="BX10" i="261" s="1"/>
  <c r="BZ10" i="261" s="1"/>
  <c r="CB10" i="261" s="1"/>
  <c r="CD10" i="261" s="1"/>
  <c r="CF10" i="261" s="1"/>
  <c r="CH10" i="261" s="1"/>
  <c r="CJ10" i="261" s="1"/>
  <c r="CL10" i="261" s="1"/>
  <c r="CN10" i="261" s="1"/>
  <c r="CP10" i="261" s="1"/>
  <c r="CR10" i="261" s="1"/>
  <c r="CT10" i="261" s="1"/>
  <c r="CV10" i="261" s="1"/>
  <c r="CX10" i="261" s="1"/>
  <c r="CZ10" i="261" s="1"/>
  <c r="DB10" i="261" s="1"/>
  <c r="DD10" i="261" s="1"/>
  <c r="DF10" i="261" s="1"/>
  <c r="DH10" i="261" s="1"/>
  <c r="DJ10" i="261" s="1"/>
  <c r="DL10" i="261" s="1"/>
  <c r="DN10" i="261" s="1"/>
  <c r="DP10" i="261" s="1"/>
  <c r="DR10" i="261" s="1"/>
  <c r="DT10" i="261" s="1"/>
  <c r="DV10" i="261" s="1"/>
  <c r="DX10" i="261" s="1"/>
  <c r="DZ10" i="261" s="1"/>
  <c r="EB10" i="261" s="1"/>
  <c r="ED10" i="261" s="1"/>
  <c r="EF10" i="261" s="1"/>
  <c r="EH10" i="261" s="1"/>
  <c r="EJ10" i="261" s="1"/>
  <c r="EL10" i="261" s="1"/>
  <c r="EN10" i="261" s="1"/>
  <c r="EP10" i="261" s="1"/>
  <c r="ER10" i="261" s="1"/>
  <c r="ET10" i="261" s="1"/>
  <c r="EV10" i="261" s="1"/>
  <c r="EX10" i="261" s="1"/>
  <c r="EZ10" i="261" s="1"/>
  <c r="FB10" i="261" s="1"/>
  <c r="FD10" i="261" s="1"/>
  <c r="FF10" i="261" s="1"/>
  <c r="FH10" i="261" s="1"/>
  <c r="FJ10" i="261" s="1"/>
  <c r="FL10" i="261" s="1"/>
  <c r="FN10" i="261" s="1"/>
  <c r="FP10" i="261" s="1"/>
  <c r="FR10" i="261" s="1"/>
  <c r="FT10" i="261" s="1"/>
  <c r="FV10" i="261" s="1"/>
  <c r="FX10" i="261" s="1"/>
  <c r="FZ10" i="261" s="1"/>
  <c r="GB10" i="261" s="1"/>
  <c r="GD10" i="261" s="1"/>
  <c r="GF10" i="261" s="1"/>
  <c r="GH10" i="261" s="1"/>
  <c r="GJ10" i="261" s="1"/>
  <c r="GL10" i="261" s="1"/>
  <c r="GN10" i="261" s="1"/>
  <c r="GP10" i="261" s="1"/>
  <c r="GR10" i="261" s="1"/>
  <c r="GT10" i="261" s="1"/>
  <c r="GV10" i="261" s="1"/>
  <c r="GX10" i="261" s="1"/>
  <c r="GZ10" i="261" s="1"/>
  <c r="D9" i="261"/>
  <c r="F9" i="261" s="1"/>
  <c r="H9" i="261" s="1"/>
  <c r="J9" i="261" s="1"/>
  <c r="L9" i="261" s="1"/>
  <c r="N9" i="261" s="1"/>
  <c r="P9" i="261" s="1"/>
  <c r="R9" i="261" s="1"/>
  <c r="T9" i="261" s="1"/>
  <c r="V9" i="261" s="1"/>
  <c r="X9" i="261" s="1"/>
  <c r="Z9" i="261" s="1"/>
  <c r="AB9" i="261" s="1"/>
  <c r="AD9" i="261" s="1"/>
  <c r="AF9" i="261" s="1"/>
  <c r="AH9" i="261" s="1"/>
  <c r="AJ9" i="261" s="1"/>
  <c r="AL9" i="261" s="1"/>
  <c r="AN9" i="261" s="1"/>
  <c r="AP9" i="261" s="1"/>
  <c r="AR9" i="261" s="1"/>
  <c r="AT9" i="261" s="1"/>
  <c r="AV9" i="261" s="1"/>
  <c r="AX9" i="261" s="1"/>
  <c r="AZ9" i="261" s="1"/>
  <c r="BB9" i="261" s="1"/>
  <c r="BD9" i="261" s="1"/>
  <c r="BF9" i="261" s="1"/>
  <c r="BH9" i="261" s="1"/>
  <c r="BJ9" i="261" s="1"/>
  <c r="BL9" i="261" s="1"/>
  <c r="BN9" i="261" s="1"/>
  <c r="BP9" i="261" s="1"/>
  <c r="BR9" i="261" s="1"/>
  <c r="BT9" i="261" s="1"/>
  <c r="BV9" i="261" s="1"/>
  <c r="BX9" i="261" s="1"/>
  <c r="BZ9" i="261" s="1"/>
  <c r="CB9" i="261" s="1"/>
  <c r="CD9" i="261" s="1"/>
  <c r="CF9" i="261" s="1"/>
  <c r="CH9" i="261" s="1"/>
  <c r="CJ9" i="261" s="1"/>
  <c r="CL9" i="261" s="1"/>
  <c r="CN9" i="261" s="1"/>
  <c r="CP9" i="261" s="1"/>
  <c r="CR9" i="261" s="1"/>
  <c r="CT9" i="261" s="1"/>
  <c r="CV9" i="261" s="1"/>
  <c r="CX9" i="261" s="1"/>
  <c r="CZ9" i="261" s="1"/>
  <c r="DB9" i="261" s="1"/>
  <c r="DD9" i="261" s="1"/>
  <c r="DF9" i="261" s="1"/>
  <c r="DH9" i="261" s="1"/>
  <c r="DJ9" i="261" s="1"/>
  <c r="DL9" i="261" s="1"/>
  <c r="DN9" i="261" s="1"/>
  <c r="DP9" i="261" s="1"/>
  <c r="DR9" i="261" s="1"/>
  <c r="DT9" i="261" s="1"/>
  <c r="DV9" i="261" s="1"/>
  <c r="DX9" i="261" s="1"/>
  <c r="DZ9" i="261" s="1"/>
  <c r="EB9" i="261" s="1"/>
  <c r="ED9" i="261" s="1"/>
  <c r="EF9" i="261" s="1"/>
  <c r="EH9" i="261" s="1"/>
  <c r="EJ9" i="261" s="1"/>
  <c r="EL9" i="261" s="1"/>
  <c r="EN9" i="261" s="1"/>
  <c r="EP9" i="261" s="1"/>
  <c r="ER9" i="261" s="1"/>
  <c r="ET9" i="261" s="1"/>
  <c r="EV9" i="261" s="1"/>
  <c r="EX9" i="261" s="1"/>
  <c r="EZ9" i="261" s="1"/>
  <c r="FB9" i="261" s="1"/>
  <c r="FD9" i="261" s="1"/>
  <c r="FF9" i="261" s="1"/>
  <c r="FH9" i="261" s="1"/>
  <c r="FJ9" i="261" s="1"/>
  <c r="FL9" i="261" s="1"/>
  <c r="FN9" i="261" s="1"/>
  <c r="FP9" i="261" s="1"/>
  <c r="FR9" i="261" s="1"/>
  <c r="FT9" i="261" s="1"/>
  <c r="FV9" i="261" s="1"/>
  <c r="FX9" i="261" s="1"/>
  <c r="FZ9" i="261" s="1"/>
  <c r="GB9" i="261" s="1"/>
  <c r="GD9" i="261" s="1"/>
  <c r="GF9" i="261" s="1"/>
  <c r="GH9" i="261" s="1"/>
  <c r="GJ9" i="261" s="1"/>
  <c r="GL9" i="261" s="1"/>
  <c r="GN9" i="261" s="1"/>
  <c r="GP9" i="261" s="1"/>
  <c r="GR9" i="261" s="1"/>
  <c r="GT9" i="261" s="1"/>
  <c r="GV9" i="261" s="1"/>
  <c r="GX9" i="261" s="1"/>
  <c r="GZ9" i="261" s="1"/>
  <c r="D8" i="261"/>
  <c r="F8" i="261" s="1"/>
  <c r="H8" i="261" s="1"/>
  <c r="J8" i="261" s="1"/>
  <c r="L8" i="261" s="1"/>
  <c r="N8" i="261" s="1"/>
  <c r="P8" i="261" s="1"/>
  <c r="R8" i="261" s="1"/>
  <c r="T8" i="261" s="1"/>
  <c r="V8" i="261" s="1"/>
  <c r="X8" i="261" s="1"/>
  <c r="Z8" i="261" s="1"/>
  <c r="AB8" i="261" s="1"/>
  <c r="AD8" i="261" s="1"/>
  <c r="AF8" i="261" s="1"/>
  <c r="AH8" i="261" s="1"/>
  <c r="AJ8" i="261" s="1"/>
  <c r="AL8" i="261" s="1"/>
  <c r="AN8" i="261" s="1"/>
  <c r="AP8" i="261" s="1"/>
  <c r="AR8" i="261" s="1"/>
  <c r="AT8" i="261" s="1"/>
  <c r="AV8" i="261" s="1"/>
  <c r="AX8" i="261" s="1"/>
  <c r="AZ8" i="261" s="1"/>
  <c r="BB8" i="261" s="1"/>
  <c r="BD8" i="261" s="1"/>
  <c r="BF8" i="261" s="1"/>
  <c r="BH8" i="261" s="1"/>
  <c r="BJ8" i="261" s="1"/>
  <c r="BL8" i="261" s="1"/>
  <c r="BN8" i="261" s="1"/>
  <c r="BP8" i="261" s="1"/>
  <c r="BR8" i="261" s="1"/>
  <c r="BT8" i="261" s="1"/>
  <c r="BV8" i="261" s="1"/>
  <c r="BX8" i="261" s="1"/>
  <c r="BZ8" i="261" s="1"/>
  <c r="CB8" i="261" s="1"/>
  <c r="CD8" i="261" s="1"/>
  <c r="CF8" i="261" s="1"/>
  <c r="CH8" i="261" s="1"/>
  <c r="CJ8" i="261" s="1"/>
  <c r="CL8" i="261" s="1"/>
  <c r="CN8" i="261" s="1"/>
  <c r="CP8" i="261" s="1"/>
  <c r="CR8" i="261" s="1"/>
  <c r="CT8" i="261" s="1"/>
  <c r="CV8" i="261" s="1"/>
  <c r="CX8" i="261" s="1"/>
  <c r="CZ8" i="261" s="1"/>
  <c r="DB8" i="261" s="1"/>
  <c r="DD8" i="261" s="1"/>
  <c r="DF8" i="261" s="1"/>
  <c r="DH8" i="261" s="1"/>
  <c r="DJ8" i="261" s="1"/>
  <c r="DL8" i="261" s="1"/>
  <c r="DN8" i="261" s="1"/>
  <c r="DP8" i="261" s="1"/>
  <c r="DR8" i="261" s="1"/>
  <c r="DT8" i="261" s="1"/>
  <c r="DV8" i="261" s="1"/>
  <c r="DX8" i="261" s="1"/>
  <c r="DZ8" i="261" s="1"/>
  <c r="EB8" i="261" s="1"/>
  <c r="ED8" i="261" s="1"/>
  <c r="EF8" i="261" s="1"/>
  <c r="EH8" i="261" s="1"/>
  <c r="EJ8" i="261" s="1"/>
  <c r="EL8" i="261" s="1"/>
  <c r="EN8" i="261" s="1"/>
  <c r="EP8" i="261" s="1"/>
  <c r="ER8" i="261" s="1"/>
  <c r="ET8" i="261" s="1"/>
  <c r="EV8" i="261" s="1"/>
  <c r="EX8" i="261" s="1"/>
  <c r="EZ8" i="261" s="1"/>
  <c r="FB8" i="261" s="1"/>
  <c r="FD8" i="261" s="1"/>
  <c r="FF8" i="261" s="1"/>
  <c r="FH8" i="261" s="1"/>
  <c r="FJ8" i="261" s="1"/>
  <c r="FL8" i="261" s="1"/>
  <c r="FN8" i="261" s="1"/>
  <c r="FP8" i="261" s="1"/>
  <c r="FR8" i="261" s="1"/>
  <c r="FT8" i="261" s="1"/>
  <c r="FV8" i="261" s="1"/>
  <c r="FX8" i="261" s="1"/>
  <c r="FZ8" i="261" s="1"/>
  <c r="GB8" i="261" s="1"/>
  <c r="GD8" i="261" s="1"/>
  <c r="GF8" i="261" s="1"/>
  <c r="GH8" i="261" s="1"/>
  <c r="GJ8" i="261" s="1"/>
  <c r="GL8" i="261" s="1"/>
  <c r="GN8" i="261" s="1"/>
  <c r="GP8" i="261" s="1"/>
  <c r="GR8" i="261" s="1"/>
  <c r="GT8" i="261" s="1"/>
  <c r="GV8" i="261" s="1"/>
  <c r="GX8" i="261" s="1"/>
  <c r="GZ8" i="261" s="1"/>
  <c r="D7" i="261"/>
  <c r="F7" i="261" s="1"/>
  <c r="H7" i="261" s="1"/>
  <c r="J7" i="261" s="1"/>
  <c r="L7" i="261" s="1"/>
  <c r="N7" i="261" s="1"/>
  <c r="P7" i="261" s="1"/>
  <c r="R7" i="261" s="1"/>
  <c r="T7" i="261" s="1"/>
  <c r="V7" i="261" s="1"/>
  <c r="X7" i="261" s="1"/>
  <c r="Z7" i="261" s="1"/>
  <c r="AB7" i="261" s="1"/>
  <c r="AD7" i="261" s="1"/>
  <c r="AF7" i="261" s="1"/>
  <c r="AH7" i="261" s="1"/>
  <c r="AJ7" i="261" s="1"/>
  <c r="AL7" i="261" s="1"/>
  <c r="AN7" i="261" s="1"/>
  <c r="AP7" i="261" s="1"/>
  <c r="AR7" i="261" s="1"/>
  <c r="AT7" i="261" s="1"/>
  <c r="AV7" i="261" s="1"/>
  <c r="AX7" i="261" s="1"/>
  <c r="AZ7" i="261" s="1"/>
  <c r="BB7" i="261" s="1"/>
  <c r="BD7" i="261" s="1"/>
  <c r="BF7" i="261" s="1"/>
  <c r="BH7" i="261" s="1"/>
  <c r="BJ7" i="261" s="1"/>
  <c r="BL7" i="261" s="1"/>
  <c r="BN7" i="261" s="1"/>
  <c r="BP7" i="261" s="1"/>
  <c r="BR7" i="261" s="1"/>
  <c r="BT7" i="261" s="1"/>
  <c r="BV7" i="261" s="1"/>
  <c r="BX7" i="261" s="1"/>
  <c r="BZ7" i="261" s="1"/>
  <c r="CB7" i="261" s="1"/>
  <c r="CD7" i="261" s="1"/>
  <c r="CF7" i="261" s="1"/>
  <c r="CH7" i="261" s="1"/>
  <c r="CJ7" i="261" s="1"/>
  <c r="CL7" i="261" s="1"/>
  <c r="CN7" i="261" s="1"/>
  <c r="CP7" i="261" s="1"/>
  <c r="CR7" i="261" s="1"/>
  <c r="CT7" i="261" s="1"/>
  <c r="CV7" i="261" s="1"/>
  <c r="CX7" i="261" s="1"/>
  <c r="CZ7" i="261" s="1"/>
  <c r="DB7" i="261" s="1"/>
  <c r="DD7" i="261" s="1"/>
  <c r="DF7" i="261" s="1"/>
  <c r="DH7" i="261" s="1"/>
  <c r="DJ7" i="261" s="1"/>
  <c r="DL7" i="261" s="1"/>
  <c r="DN7" i="261" s="1"/>
  <c r="DP7" i="261" s="1"/>
  <c r="DR7" i="261" s="1"/>
  <c r="DT7" i="261" s="1"/>
  <c r="DV7" i="261" s="1"/>
  <c r="DX7" i="261" s="1"/>
  <c r="DZ7" i="261" s="1"/>
  <c r="EB7" i="261" s="1"/>
  <c r="ED7" i="261" s="1"/>
  <c r="EF7" i="261" s="1"/>
  <c r="EH7" i="261" s="1"/>
  <c r="EJ7" i="261" s="1"/>
  <c r="EL7" i="261" s="1"/>
  <c r="EN7" i="261" s="1"/>
  <c r="EP7" i="261" s="1"/>
  <c r="ER7" i="261" s="1"/>
  <c r="ET7" i="261" s="1"/>
  <c r="EV7" i="261" s="1"/>
  <c r="EX7" i="261" s="1"/>
  <c r="EZ7" i="261" s="1"/>
  <c r="FB7" i="261" s="1"/>
  <c r="FD7" i="261" s="1"/>
  <c r="FF7" i="261" s="1"/>
  <c r="FH7" i="261" s="1"/>
  <c r="FJ7" i="261" s="1"/>
  <c r="FL7" i="261" s="1"/>
  <c r="FN7" i="261" s="1"/>
  <c r="FP7" i="261" s="1"/>
  <c r="FR7" i="261" s="1"/>
  <c r="FT7" i="261" s="1"/>
  <c r="FV7" i="261" s="1"/>
  <c r="FX7" i="261" s="1"/>
  <c r="FZ7" i="261" s="1"/>
  <c r="GB7" i="261" s="1"/>
  <c r="GD7" i="261" s="1"/>
  <c r="GF7" i="261" s="1"/>
  <c r="GH7" i="261" s="1"/>
  <c r="GJ7" i="261" s="1"/>
  <c r="GL7" i="261" s="1"/>
  <c r="GN7" i="261" s="1"/>
  <c r="GP7" i="261" s="1"/>
  <c r="GR7" i="261" s="1"/>
  <c r="GT7" i="261" s="1"/>
  <c r="GV7" i="261" s="1"/>
  <c r="GX7" i="261" s="1"/>
  <c r="GZ7" i="261" s="1"/>
  <c r="D6" i="261"/>
  <c r="F6" i="261" s="1"/>
  <c r="H6" i="261" s="1"/>
  <c r="J6" i="261" s="1"/>
  <c r="L6" i="261" s="1"/>
  <c r="N6" i="261" s="1"/>
  <c r="P6" i="261" s="1"/>
  <c r="R6" i="261" s="1"/>
  <c r="T6" i="261" s="1"/>
  <c r="V6" i="261" s="1"/>
  <c r="X6" i="261" s="1"/>
  <c r="Z6" i="261" s="1"/>
  <c r="AB6" i="261" s="1"/>
  <c r="AD6" i="261" s="1"/>
  <c r="AF6" i="261" s="1"/>
  <c r="AH6" i="261" s="1"/>
  <c r="AJ6" i="261" s="1"/>
  <c r="AL6" i="261" s="1"/>
  <c r="AN6" i="261" s="1"/>
  <c r="AP6" i="261" s="1"/>
  <c r="AR6" i="261" s="1"/>
  <c r="AT6" i="261" s="1"/>
  <c r="AV6" i="261" s="1"/>
  <c r="AX6" i="261" s="1"/>
  <c r="AZ6" i="261" s="1"/>
  <c r="BB6" i="261" s="1"/>
  <c r="BD6" i="261" s="1"/>
  <c r="BF6" i="261" s="1"/>
  <c r="BH6" i="261" s="1"/>
  <c r="BJ6" i="261" s="1"/>
  <c r="BL6" i="261" s="1"/>
  <c r="BN6" i="261" s="1"/>
  <c r="BP6" i="261" s="1"/>
  <c r="BR6" i="261" s="1"/>
  <c r="BT6" i="261" s="1"/>
  <c r="BV6" i="261" s="1"/>
  <c r="BX6" i="261" s="1"/>
  <c r="BZ6" i="261" s="1"/>
  <c r="CB6" i="261" s="1"/>
  <c r="CD6" i="261" s="1"/>
  <c r="CF6" i="261" s="1"/>
  <c r="CH6" i="261" s="1"/>
  <c r="CJ6" i="261" s="1"/>
  <c r="CL6" i="261" s="1"/>
  <c r="CN6" i="261" s="1"/>
  <c r="CP6" i="261" s="1"/>
  <c r="CR6" i="261" s="1"/>
  <c r="CT6" i="261" s="1"/>
  <c r="CV6" i="261" s="1"/>
  <c r="CX6" i="261" s="1"/>
  <c r="CZ6" i="261" s="1"/>
  <c r="DB6" i="261" s="1"/>
  <c r="DD6" i="261" s="1"/>
  <c r="DF6" i="261" s="1"/>
  <c r="DH6" i="261" s="1"/>
  <c r="DJ6" i="261" s="1"/>
  <c r="DL6" i="261" s="1"/>
  <c r="DN6" i="261" s="1"/>
  <c r="DP6" i="261" s="1"/>
  <c r="DR6" i="261" s="1"/>
  <c r="DT6" i="261" s="1"/>
  <c r="DV6" i="261" s="1"/>
  <c r="DX6" i="261" s="1"/>
  <c r="DZ6" i="261" s="1"/>
  <c r="EB6" i="261" s="1"/>
  <c r="ED6" i="261" s="1"/>
  <c r="EF6" i="261" s="1"/>
  <c r="EH6" i="261" s="1"/>
  <c r="EJ6" i="261" s="1"/>
  <c r="EL6" i="261" s="1"/>
  <c r="EN6" i="261" s="1"/>
  <c r="EP6" i="261" s="1"/>
  <c r="ER6" i="261" s="1"/>
  <c r="ET6" i="261" s="1"/>
  <c r="EV6" i="261" s="1"/>
  <c r="EX6" i="261" s="1"/>
  <c r="EZ6" i="261" s="1"/>
  <c r="FB6" i="261" s="1"/>
  <c r="FD6" i="261" s="1"/>
  <c r="FF6" i="261" s="1"/>
  <c r="FH6" i="261" s="1"/>
  <c r="FJ6" i="261" s="1"/>
  <c r="FL6" i="261" s="1"/>
  <c r="FN6" i="261" s="1"/>
  <c r="FP6" i="261" s="1"/>
  <c r="FR6" i="261" s="1"/>
  <c r="FT6" i="261" s="1"/>
  <c r="FV6" i="261" s="1"/>
  <c r="FX6" i="261" s="1"/>
  <c r="FZ6" i="261" s="1"/>
  <c r="GB6" i="261" s="1"/>
  <c r="GD6" i="261" s="1"/>
  <c r="GF6" i="261" s="1"/>
  <c r="GH6" i="261" s="1"/>
  <c r="GJ6" i="261" s="1"/>
  <c r="GL6" i="261" s="1"/>
  <c r="GN6" i="261" s="1"/>
  <c r="GP6" i="261" s="1"/>
  <c r="GR6" i="261" s="1"/>
  <c r="GT6" i="261" s="1"/>
  <c r="GV6" i="261" s="1"/>
  <c r="GX6" i="261" s="1"/>
  <c r="GZ6" i="261" s="1"/>
  <c r="D5" i="261"/>
  <c r="D4" i="261"/>
  <c r="F4" i="261" s="1"/>
  <c r="B2" i="261"/>
  <c r="CU1" i="261"/>
  <c r="CS1" i="261"/>
  <c r="CQ1" i="261"/>
  <c r="CO1" i="261"/>
  <c r="CM1" i="261"/>
  <c r="CK1" i="261"/>
  <c r="CI1" i="261"/>
  <c r="CG1" i="261"/>
  <c r="CE1" i="261"/>
  <c r="CC1" i="261"/>
  <c r="CA1" i="261"/>
  <c r="BY1" i="261"/>
  <c r="BW1" i="261"/>
  <c r="BU1" i="261"/>
  <c r="BS1" i="261"/>
  <c r="BQ1" i="261"/>
  <c r="BO1" i="261"/>
  <c r="BM1" i="261"/>
  <c r="BK1" i="261"/>
  <c r="BI1" i="261"/>
  <c r="BG1" i="261"/>
  <c r="BE1" i="261"/>
  <c r="BC1" i="261"/>
  <c r="BA1" i="261"/>
  <c r="AY1" i="261"/>
  <c r="AW1" i="261"/>
  <c r="AU1" i="261"/>
  <c r="AS1" i="261"/>
  <c r="AQ1" i="261"/>
  <c r="AO1" i="261"/>
  <c r="AM1" i="261"/>
  <c r="AK1" i="261"/>
  <c r="AI1" i="261"/>
  <c r="AG1" i="261"/>
  <c r="AE1" i="261"/>
  <c r="AC1" i="261"/>
  <c r="AA1" i="261"/>
  <c r="Y1" i="261"/>
  <c r="W1" i="261"/>
  <c r="U1" i="261"/>
  <c r="S1" i="261"/>
  <c r="Q1" i="261"/>
  <c r="O1" i="261"/>
  <c r="M1" i="261"/>
  <c r="K1" i="261"/>
  <c r="I1" i="261"/>
  <c r="G1" i="261"/>
  <c r="E1" i="261"/>
  <c r="C1" i="261"/>
  <c r="F34" i="261" l="1"/>
  <c r="H34" i="261" s="1"/>
  <c r="J34" i="261" s="1"/>
  <c r="L34" i="261" s="1"/>
  <c r="N34" i="261" s="1"/>
  <c r="P34" i="261" s="1"/>
  <c r="R34" i="261" s="1"/>
  <c r="T34" i="261" s="1"/>
  <c r="V34" i="261" s="1"/>
  <c r="X34" i="261" s="1"/>
  <c r="Z34" i="261" s="1"/>
  <c r="AB34" i="261" s="1"/>
  <c r="AD34" i="261" s="1"/>
  <c r="AF34" i="261" s="1"/>
  <c r="AH34" i="261" s="1"/>
  <c r="AJ34" i="261" s="1"/>
  <c r="AL34" i="261" s="1"/>
  <c r="AN34" i="261" s="1"/>
  <c r="AP34" i="261" s="1"/>
  <c r="AR34" i="261" s="1"/>
  <c r="AT34" i="261" s="1"/>
  <c r="AV34" i="261" s="1"/>
  <c r="AX34" i="261" s="1"/>
  <c r="AZ34" i="261" s="1"/>
  <c r="BB34" i="261" s="1"/>
  <c r="BD34" i="261" s="1"/>
  <c r="BF34" i="261" s="1"/>
  <c r="BH34" i="261" s="1"/>
  <c r="BJ34" i="261" s="1"/>
  <c r="BL34" i="261" s="1"/>
  <c r="BN34" i="261" s="1"/>
  <c r="BP34" i="261" s="1"/>
  <c r="BR34" i="261" s="1"/>
  <c r="BT34" i="261" s="1"/>
  <c r="BV34" i="261" s="1"/>
  <c r="BX34" i="261" s="1"/>
  <c r="BZ34" i="261" s="1"/>
  <c r="CB34" i="261" s="1"/>
  <c r="CD34" i="261" s="1"/>
  <c r="CF34" i="261" s="1"/>
  <c r="CH34" i="261" s="1"/>
  <c r="CJ34" i="261" s="1"/>
  <c r="CL34" i="261" s="1"/>
  <c r="CN34" i="261" s="1"/>
  <c r="CP34" i="261" s="1"/>
  <c r="CR34" i="261" s="1"/>
  <c r="CT34" i="261" s="1"/>
  <c r="CV34" i="261" s="1"/>
  <c r="CX34" i="261" s="1"/>
  <c r="CZ34" i="261" s="1"/>
  <c r="DB34" i="261" s="1"/>
  <c r="DD34" i="261" s="1"/>
  <c r="DF34" i="261" s="1"/>
  <c r="DH34" i="261" s="1"/>
  <c r="DJ34" i="261" s="1"/>
  <c r="DL34" i="261" s="1"/>
  <c r="DN34" i="261" s="1"/>
  <c r="DP34" i="261" s="1"/>
  <c r="DR34" i="261" s="1"/>
  <c r="DT34" i="261" s="1"/>
  <c r="DV34" i="261" s="1"/>
  <c r="DX34" i="261" s="1"/>
  <c r="DZ34" i="261" s="1"/>
  <c r="EB34" i="261" s="1"/>
  <c r="ED34" i="261" s="1"/>
  <c r="EF34" i="261" s="1"/>
  <c r="EH34" i="261" s="1"/>
  <c r="EJ34" i="261" s="1"/>
  <c r="EL34" i="261" s="1"/>
  <c r="EN34" i="261" s="1"/>
  <c r="EP34" i="261" s="1"/>
  <c r="ER34" i="261" s="1"/>
  <c r="ET34" i="261" s="1"/>
  <c r="EV34" i="261" s="1"/>
  <c r="EX34" i="261" s="1"/>
  <c r="EZ34" i="261" s="1"/>
  <c r="FB34" i="261" s="1"/>
  <c r="FD34" i="261" s="1"/>
  <c r="FF34" i="261" s="1"/>
  <c r="FH34" i="261" s="1"/>
  <c r="FJ34" i="261" s="1"/>
  <c r="FL34" i="261" s="1"/>
  <c r="FN34" i="261" s="1"/>
  <c r="FP34" i="261" s="1"/>
  <c r="FR34" i="261" s="1"/>
  <c r="FT34" i="261" s="1"/>
  <c r="FV34" i="261" s="1"/>
  <c r="FX34" i="261" s="1"/>
  <c r="FZ34" i="261" s="1"/>
  <c r="GB34" i="261" s="1"/>
  <c r="GD34" i="261" s="1"/>
  <c r="GF34" i="261" s="1"/>
  <c r="GH34" i="261" s="1"/>
  <c r="GJ34" i="261" s="1"/>
  <c r="GL34" i="261" s="1"/>
  <c r="GN34" i="261" s="1"/>
  <c r="GP34" i="261" s="1"/>
  <c r="GR34" i="261" s="1"/>
  <c r="GT34" i="261" s="1"/>
  <c r="GV34" i="261" s="1"/>
  <c r="GX34" i="261" s="1"/>
  <c r="GZ34" i="261" s="1"/>
  <c r="G63" i="261"/>
  <c r="G93" i="261" s="1"/>
  <c r="D65" i="261"/>
  <c r="D3" i="262" s="1"/>
  <c r="F65" i="261"/>
  <c r="D20" i="262" s="1"/>
  <c r="H65" i="261"/>
  <c r="D37" i="262" s="1"/>
  <c r="L65" i="261"/>
  <c r="D71" i="262" s="1"/>
  <c r="P65" i="261"/>
  <c r="D105" i="262" s="1"/>
  <c r="N65" i="261"/>
  <c r="D88" i="262" s="1"/>
  <c r="T65" i="261"/>
  <c r="D139" i="262" s="1"/>
  <c r="V65" i="261"/>
  <c r="D156" i="262" s="1"/>
  <c r="X65" i="261"/>
  <c r="D173" i="262" s="1"/>
  <c r="J65" i="261"/>
  <c r="D54" i="262" s="1"/>
  <c r="R65" i="261"/>
  <c r="D122" i="262" s="1"/>
  <c r="Z65" i="261"/>
  <c r="D190" i="262" s="1"/>
  <c r="E63" i="261"/>
  <c r="E93" i="261" s="1"/>
  <c r="Q63" i="261"/>
  <c r="Q93" i="261" s="1"/>
  <c r="BQ63" i="261"/>
  <c r="BQ93" i="261" s="1"/>
  <c r="BK63" i="261"/>
  <c r="BK93" i="261" s="1"/>
  <c r="BE63" i="261"/>
  <c r="BE93" i="261" s="1"/>
  <c r="BD65" i="261"/>
  <c r="D445" i="262" s="1"/>
  <c r="AW63" i="261"/>
  <c r="AW93" i="261" s="1"/>
  <c r="AX65" i="261"/>
  <c r="D394" i="262" s="1"/>
  <c r="AS63" i="261"/>
  <c r="AS93" i="261" s="1"/>
  <c r="AO63" i="261"/>
  <c r="AO93" i="261" s="1"/>
  <c r="AN65" i="261"/>
  <c r="D309" i="262" s="1"/>
  <c r="AK63" i="261"/>
  <c r="AK93" i="261" s="1"/>
  <c r="AG63" i="261"/>
  <c r="AG93" i="261" s="1"/>
  <c r="AH65" i="261"/>
  <c r="D258" i="262" s="1"/>
  <c r="AE63" i="261"/>
  <c r="AE93" i="261" s="1"/>
  <c r="U63" i="261"/>
  <c r="U93" i="261" s="1"/>
  <c r="M63" i="261"/>
  <c r="M93" i="261" s="1"/>
  <c r="I63" i="261"/>
  <c r="I93" i="261" s="1"/>
  <c r="AU63" i="261"/>
  <c r="AU93" i="261" s="1"/>
  <c r="BM63" i="261"/>
  <c r="BM93" i="261" s="1"/>
  <c r="BN65" i="261"/>
  <c r="D530" i="262" s="1"/>
  <c r="BI63" i="261"/>
  <c r="BI93" i="261" s="1"/>
  <c r="P63" i="261"/>
  <c r="P93" i="261" s="1"/>
  <c r="X63" i="261"/>
  <c r="X93" i="261" s="1"/>
  <c r="AV63" i="261"/>
  <c r="AV93" i="261" s="1"/>
  <c r="AL63" i="261"/>
  <c r="AL93" i="261" s="1"/>
  <c r="AP65" i="261"/>
  <c r="D326" i="262" s="1"/>
  <c r="BF65" i="261"/>
  <c r="D462" i="262" s="1"/>
  <c r="D63" i="261"/>
  <c r="D93" i="261" s="1"/>
  <c r="L63" i="261"/>
  <c r="L93" i="261" s="1"/>
  <c r="T63" i="261"/>
  <c r="T93" i="261" s="1"/>
  <c r="AB63" i="261"/>
  <c r="AB93" i="261" s="1"/>
  <c r="AZ63" i="261"/>
  <c r="AZ93" i="261" s="1"/>
  <c r="V63" i="261"/>
  <c r="V93" i="261" s="1"/>
  <c r="BB63" i="261"/>
  <c r="BB93" i="261" s="1"/>
  <c r="N63" i="261"/>
  <c r="N93" i="261" s="1"/>
  <c r="AT63" i="261"/>
  <c r="AT93" i="261" s="1"/>
  <c r="F63" i="261"/>
  <c r="F93" i="261" s="1"/>
  <c r="AT65" i="261"/>
  <c r="D360" i="262" s="1"/>
  <c r="BR65" i="261"/>
  <c r="D564" i="262" s="1"/>
  <c r="AL65" i="261"/>
  <c r="D292" i="262" s="1"/>
  <c r="BJ65" i="261"/>
  <c r="D496" i="262" s="1"/>
  <c r="Y63" i="261"/>
  <c r="Y93" i="261" s="1"/>
  <c r="AD65" i="261"/>
  <c r="D224" i="262" s="1"/>
  <c r="BB65" i="261"/>
  <c r="D428" i="262" s="1"/>
  <c r="AC63" i="261"/>
  <c r="AC93" i="261" s="1"/>
  <c r="BA63" i="261"/>
  <c r="BA93" i="261" s="1"/>
  <c r="AF65" i="261"/>
  <c r="D241" i="262" s="1"/>
  <c r="AM63" i="261"/>
  <c r="AM93" i="261" s="1"/>
  <c r="AV65" i="261"/>
  <c r="D377" i="262" s="1"/>
  <c r="BC63" i="261"/>
  <c r="BC93" i="261" s="1"/>
  <c r="BL65" i="261"/>
  <c r="D513" i="262" s="1"/>
  <c r="BR63" i="261"/>
  <c r="BR93" i="261" s="1"/>
  <c r="BJ63" i="261"/>
  <c r="BJ93" i="261" s="1"/>
  <c r="H4" i="261"/>
  <c r="D3" i="261"/>
  <c r="F5" i="261"/>
  <c r="H5" i="261" s="1"/>
  <c r="J5" i="261" s="1"/>
  <c r="L5" i="261" s="1"/>
  <c r="N5" i="261" s="1"/>
  <c r="P5" i="261" s="1"/>
  <c r="R5" i="261" s="1"/>
  <c r="T5" i="261" s="1"/>
  <c r="V5" i="261" s="1"/>
  <c r="X5" i="261" s="1"/>
  <c r="Z5" i="261" s="1"/>
  <c r="AB5" i="261" s="1"/>
  <c r="AD5" i="261" s="1"/>
  <c r="AF5" i="261" s="1"/>
  <c r="AH5" i="261" s="1"/>
  <c r="AJ5" i="261" s="1"/>
  <c r="AL5" i="261" s="1"/>
  <c r="AN5" i="261" s="1"/>
  <c r="AP5" i="261" s="1"/>
  <c r="AR5" i="261" s="1"/>
  <c r="AT5" i="261" s="1"/>
  <c r="AV5" i="261" s="1"/>
  <c r="AX5" i="261" s="1"/>
  <c r="AZ5" i="261" s="1"/>
  <c r="BB5" i="261" s="1"/>
  <c r="BD5" i="261" s="1"/>
  <c r="BF5" i="261" s="1"/>
  <c r="BH5" i="261" s="1"/>
  <c r="BJ5" i="261" s="1"/>
  <c r="BL5" i="261" s="1"/>
  <c r="BN5" i="261" s="1"/>
  <c r="BP5" i="261" s="1"/>
  <c r="BR5" i="261" s="1"/>
  <c r="BT5" i="261" s="1"/>
  <c r="BV5" i="261" s="1"/>
  <c r="BX5" i="261" s="1"/>
  <c r="BZ5" i="261" s="1"/>
  <c r="CB5" i="261" s="1"/>
  <c r="CD5" i="261" s="1"/>
  <c r="CF5" i="261" s="1"/>
  <c r="CH5" i="261" s="1"/>
  <c r="CJ5" i="261" s="1"/>
  <c r="CL5" i="261" s="1"/>
  <c r="CN5" i="261" s="1"/>
  <c r="CP5" i="261" s="1"/>
  <c r="CR5" i="261" s="1"/>
  <c r="CT5" i="261" s="1"/>
  <c r="CV5" i="261" s="1"/>
  <c r="CX5" i="261" s="1"/>
  <c r="CZ5" i="261" s="1"/>
  <c r="DB5" i="261" s="1"/>
  <c r="DD5" i="261" s="1"/>
  <c r="DF5" i="261" s="1"/>
  <c r="DH5" i="261" s="1"/>
  <c r="DJ5" i="261" s="1"/>
  <c r="DL5" i="261" s="1"/>
  <c r="DN5" i="261" s="1"/>
  <c r="DP5" i="261" s="1"/>
  <c r="DR5" i="261" s="1"/>
  <c r="DT5" i="261" s="1"/>
  <c r="DV5" i="261" s="1"/>
  <c r="DX5" i="261" s="1"/>
  <c r="DZ5" i="261" s="1"/>
  <c r="EB5" i="261" s="1"/>
  <c r="ED5" i="261" s="1"/>
  <c r="EF5" i="261" s="1"/>
  <c r="EH5" i="261" s="1"/>
  <c r="EJ5" i="261" s="1"/>
  <c r="EL5" i="261" s="1"/>
  <c r="EN5" i="261" s="1"/>
  <c r="EP5" i="261" s="1"/>
  <c r="ER5" i="261" s="1"/>
  <c r="ET5" i="261" s="1"/>
  <c r="EV5" i="261" s="1"/>
  <c r="EX5" i="261" s="1"/>
  <c r="EZ5" i="261" s="1"/>
  <c r="FB5" i="261" s="1"/>
  <c r="FD5" i="261" s="1"/>
  <c r="FF5" i="261" s="1"/>
  <c r="FH5" i="261" s="1"/>
  <c r="FJ5" i="261" s="1"/>
  <c r="FL5" i="261" s="1"/>
  <c r="FN5" i="261" s="1"/>
  <c r="FP5" i="261" s="1"/>
  <c r="FR5" i="261" s="1"/>
  <c r="FT5" i="261" s="1"/>
  <c r="FV5" i="261" s="1"/>
  <c r="FX5" i="261" s="1"/>
  <c r="FZ5" i="261" s="1"/>
  <c r="GB5" i="261" s="1"/>
  <c r="GD5" i="261" s="1"/>
  <c r="GF5" i="261" s="1"/>
  <c r="GH5" i="261" s="1"/>
  <c r="GJ5" i="261" s="1"/>
  <c r="GL5" i="261" s="1"/>
  <c r="GN5" i="261" s="1"/>
  <c r="GP5" i="261" s="1"/>
  <c r="GR5" i="261" s="1"/>
  <c r="GT5" i="261" s="1"/>
  <c r="GV5" i="261" s="1"/>
  <c r="GX5" i="261" s="1"/>
  <c r="GZ5" i="261" s="1"/>
  <c r="O63" i="261"/>
  <c r="O93" i="261" s="1"/>
  <c r="W63" i="261"/>
  <c r="W93" i="261" s="1"/>
  <c r="K63" i="261"/>
  <c r="K93" i="261" s="1"/>
  <c r="S63" i="261"/>
  <c r="S93" i="261" s="1"/>
  <c r="AB65" i="261"/>
  <c r="D207" i="262" s="1"/>
  <c r="AA63" i="261"/>
  <c r="AA93" i="261" s="1"/>
  <c r="AJ65" i="261"/>
  <c r="D275" i="262" s="1"/>
  <c r="AI63" i="261"/>
  <c r="AI93" i="261" s="1"/>
  <c r="AR65" i="261"/>
  <c r="D343" i="262" s="1"/>
  <c r="AQ63" i="261"/>
  <c r="AQ93" i="261" s="1"/>
  <c r="AZ65" i="261"/>
  <c r="D411" i="262" s="1"/>
  <c r="AY63" i="261"/>
  <c r="AY93" i="261" s="1"/>
  <c r="BH65" i="261"/>
  <c r="D479" i="262" s="1"/>
  <c r="BG63" i="261"/>
  <c r="BG93" i="261" s="1"/>
  <c r="BP65" i="261"/>
  <c r="BO63" i="261"/>
  <c r="BO93" i="261" s="1"/>
  <c r="AJ63" i="261"/>
  <c r="AJ93" i="261" s="1"/>
  <c r="AR63" i="261"/>
  <c r="AR93" i="261" s="1"/>
  <c r="BH63" i="261"/>
  <c r="BH93" i="261" s="1"/>
  <c r="BP63" i="261"/>
  <c r="BP93" i="261" s="1"/>
  <c r="H63" i="261"/>
  <c r="H93" i="261" s="1"/>
  <c r="AF63" i="261"/>
  <c r="AF93" i="261" s="1"/>
  <c r="AN63" i="261"/>
  <c r="AN93" i="261" s="1"/>
  <c r="BD63" i="261"/>
  <c r="BD93" i="261" s="1"/>
  <c r="BL63" i="261"/>
  <c r="BL93" i="261" s="1"/>
  <c r="AD63" i="261"/>
  <c r="AD93" i="261" s="1"/>
  <c r="J63" i="261"/>
  <c r="J93" i="261" s="1"/>
  <c r="R63" i="261"/>
  <c r="R93" i="261" s="1"/>
  <c r="Z63" i="261"/>
  <c r="Z93" i="261" s="1"/>
  <c r="AH63" i="261"/>
  <c r="AH93" i="261" s="1"/>
  <c r="AP63" i="261"/>
  <c r="AP93" i="261" s="1"/>
  <c r="AX63" i="261"/>
  <c r="AX93" i="261" s="1"/>
  <c r="BF63" i="261"/>
  <c r="BF93" i="261" s="1"/>
  <c r="BN63" i="261"/>
  <c r="BN93" i="261" s="1"/>
  <c r="C63" i="261" l="1"/>
  <c r="H3" i="261"/>
  <c r="J4" i="261"/>
  <c r="F3" i="261"/>
  <c r="G530" i="262" l="1"/>
  <c r="G360" i="262"/>
  <c r="G496" i="262"/>
  <c r="G479" i="262"/>
  <c r="G411" i="262"/>
  <c r="G564" i="262"/>
  <c r="G513" i="262"/>
  <c r="G377" i="262"/>
  <c r="G394" i="262"/>
  <c r="G445" i="262"/>
  <c r="G428" i="262"/>
  <c r="C93" i="261"/>
  <c r="G462" i="262"/>
  <c r="G54" i="262"/>
  <c r="G547" i="262"/>
  <c r="G37" i="262"/>
  <c r="H1" i="262"/>
  <c r="J3" i="261"/>
  <c r="L4" i="261"/>
  <c r="G955" i="262" l="1"/>
  <c r="G802" i="262"/>
  <c r="G768" i="262"/>
  <c r="G683" i="262"/>
  <c r="G649" i="262"/>
  <c r="G615" i="262"/>
  <c r="G989" i="262"/>
  <c r="G938" i="262"/>
  <c r="G904" i="262"/>
  <c r="G870" i="262"/>
  <c r="G734" i="262"/>
  <c r="G581" i="262"/>
  <c r="G921" i="262"/>
  <c r="G785" i="262"/>
  <c r="G343" i="262"/>
  <c r="G224" i="262"/>
  <c r="G207" i="262"/>
  <c r="G122" i="262"/>
  <c r="G836" i="262"/>
  <c r="G751" i="262"/>
  <c r="G717" i="262"/>
  <c r="G275" i="262"/>
  <c r="G972" i="262"/>
  <c r="G887" i="262"/>
  <c r="G853" i="262"/>
  <c r="G819" i="262"/>
  <c r="G666" i="262"/>
  <c r="G632" i="262"/>
  <c r="G241" i="262"/>
  <c r="G598" i="262"/>
  <c r="G258" i="262"/>
  <c r="G139" i="262"/>
  <c r="G71" i="262"/>
  <c r="G3" i="262"/>
  <c r="G326" i="262"/>
  <c r="G190" i="262"/>
  <c r="G292" i="262"/>
  <c r="G309" i="262"/>
  <c r="G156" i="262"/>
  <c r="G88" i="262"/>
  <c r="G20" i="262"/>
  <c r="G700" i="262"/>
  <c r="G105" i="262"/>
  <c r="G173" i="262"/>
  <c r="N4" i="261"/>
  <c r="L3" i="261"/>
  <c r="P4" i="261" l="1"/>
  <c r="N3" i="261"/>
  <c r="P3" i="261" l="1"/>
  <c r="R4" i="261"/>
  <c r="T4" i="261" l="1"/>
  <c r="R3" i="261"/>
  <c r="T3" i="261" l="1"/>
  <c r="V4" i="261"/>
  <c r="V3" i="261" l="1"/>
  <c r="X4" i="261"/>
  <c r="Z4" i="261" l="1"/>
  <c r="X3" i="261"/>
  <c r="Z3" i="261" l="1"/>
  <c r="AB4" i="261"/>
  <c r="AD4" i="261" l="1"/>
  <c r="AB3" i="261"/>
  <c r="AF4" i="261" l="1"/>
  <c r="AD3" i="261"/>
  <c r="AF3" i="261" l="1"/>
  <c r="AH4" i="261"/>
  <c r="AJ4" i="261" l="1"/>
  <c r="AH3" i="261"/>
  <c r="AJ3" i="261" l="1"/>
  <c r="AL4" i="261"/>
  <c r="AL3" i="261" l="1"/>
  <c r="AN4" i="261"/>
  <c r="AP4" i="261" l="1"/>
  <c r="AR4" i="261" s="1"/>
  <c r="AT4" i="261" s="1"/>
  <c r="AV4" i="261" s="1"/>
  <c r="AX4" i="261" s="1"/>
  <c r="AZ4" i="261" s="1"/>
  <c r="BB4" i="261" s="1"/>
  <c r="BD4" i="261" s="1"/>
  <c r="BF4" i="261" s="1"/>
  <c r="BH4" i="261" s="1"/>
  <c r="BJ4" i="261" s="1"/>
  <c r="BL4" i="261" s="1"/>
  <c r="BN4" i="261" s="1"/>
  <c r="BP4" i="261" s="1"/>
  <c r="BR4" i="261" s="1"/>
  <c r="BT4" i="261" s="1"/>
  <c r="BV4" i="261" s="1"/>
  <c r="BX4" i="261" s="1"/>
  <c r="BZ4" i="261" s="1"/>
  <c r="CB4" i="261" s="1"/>
  <c r="CD4" i="261" s="1"/>
  <c r="CF4" i="261" s="1"/>
  <c r="CH4" i="261" s="1"/>
  <c r="CJ4" i="261" s="1"/>
  <c r="CL4" i="261" s="1"/>
  <c r="CN4" i="261" s="1"/>
  <c r="CP4" i="261" s="1"/>
  <c r="CR4" i="261" s="1"/>
  <c r="CT4" i="261" s="1"/>
  <c r="CV4" i="261" s="1"/>
  <c r="CX4" i="261" s="1"/>
  <c r="CZ4" i="261" s="1"/>
  <c r="DB4" i="261" s="1"/>
  <c r="DD4" i="261" s="1"/>
  <c r="DF4" i="261" s="1"/>
  <c r="DH4" i="261" s="1"/>
  <c r="DJ4" i="261" s="1"/>
  <c r="DL4" i="261" s="1"/>
  <c r="DN4" i="261" s="1"/>
  <c r="DP4" i="261" s="1"/>
  <c r="DR4" i="261" s="1"/>
  <c r="DT4" i="261" s="1"/>
  <c r="DV4" i="261" s="1"/>
  <c r="DX4" i="261" s="1"/>
  <c r="DZ4" i="261" s="1"/>
  <c r="EB4" i="261" s="1"/>
  <c r="ED4" i="261" s="1"/>
  <c r="EF4" i="261" s="1"/>
  <c r="EH4" i="261" s="1"/>
  <c r="EJ4" i="261" s="1"/>
  <c r="EL4" i="261" s="1"/>
  <c r="EN4" i="261" s="1"/>
  <c r="EP4" i="261" s="1"/>
  <c r="ER4" i="261" s="1"/>
  <c r="ET4" i="261" s="1"/>
  <c r="EV4" i="261" s="1"/>
  <c r="EX4" i="261" s="1"/>
  <c r="EZ4" i="261" s="1"/>
  <c r="FB4" i="261" s="1"/>
  <c r="FD4" i="261" s="1"/>
  <c r="FF4" i="261" s="1"/>
  <c r="FH4" i="261" s="1"/>
  <c r="FJ4" i="261" s="1"/>
  <c r="FL4" i="261" s="1"/>
  <c r="FN4" i="261" s="1"/>
  <c r="FP4" i="261" s="1"/>
  <c r="FR4" i="261" s="1"/>
  <c r="FT4" i="261" s="1"/>
  <c r="FV4" i="261" s="1"/>
  <c r="FX4" i="261" s="1"/>
  <c r="FZ4" i="261" s="1"/>
  <c r="GB4" i="261" s="1"/>
  <c r="GD4" i="261" s="1"/>
  <c r="GF4" i="261" s="1"/>
  <c r="GH4" i="261" s="1"/>
  <c r="GJ4" i="261" s="1"/>
  <c r="GL4" i="261" s="1"/>
  <c r="GN4" i="261" s="1"/>
  <c r="GP4" i="261" s="1"/>
  <c r="GR4" i="261" s="1"/>
  <c r="GT4" i="261" s="1"/>
  <c r="GV4" i="261" s="1"/>
  <c r="GX4" i="261" s="1"/>
  <c r="GZ4" i="261" s="1"/>
  <c r="AN3" i="261"/>
  <c r="B50" i="259" l="1"/>
  <c r="B49" i="259"/>
  <c r="B48" i="259"/>
  <c r="B47" i="259"/>
  <c r="B46" i="259"/>
  <c r="B45" i="259"/>
  <c r="B44" i="259"/>
  <c r="B43" i="259"/>
  <c r="B42" i="259"/>
  <c r="B41" i="259"/>
  <c r="B40" i="259"/>
  <c r="B39" i="259"/>
  <c r="B38" i="259"/>
  <c r="B37" i="259"/>
  <c r="B36" i="259"/>
  <c r="B35" i="259"/>
  <c r="B34" i="259"/>
  <c r="B33" i="259"/>
  <c r="B32" i="259"/>
  <c r="B31" i="259"/>
  <c r="B30" i="259"/>
  <c r="B29" i="259"/>
  <c r="B28" i="259"/>
  <c r="B27" i="259"/>
  <c r="B26" i="259"/>
  <c r="B25" i="259"/>
  <c r="B24" i="259"/>
  <c r="B23" i="259"/>
  <c r="B22" i="259"/>
  <c r="B21" i="259"/>
  <c r="B20" i="259"/>
  <c r="B19" i="259"/>
  <c r="B18" i="259"/>
  <c r="B17" i="259"/>
  <c r="B16" i="259"/>
  <c r="B15" i="259"/>
  <c r="B14" i="259"/>
  <c r="B13" i="259"/>
  <c r="B12" i="259"/>
  <c r="B7" i="259"/>
  <c r="B6" i="259"/>
  <c r="B11" i="259"/>
  <c r="B10" i="259"/>
  <c r="B9" i="259"/>
  <c r="B8" i="259"/>
  <c r="B5" i="259"/>
  <c r="B4" i="259"/>
  <c r="B3" i="259"/>
  <c r="B1" i="259"/>
  <c r="AB10" i="239" l="1"/>
  <c r="AB11" i="239"/>
  <c r="AB18" i="239"/>
  <c r="AB19" i="239"/>
  <c r="AB55" i="239"/>
  <c r="AB55" i="251"/>
  <c r="AB10" i="251"/>
  <c r="AB11" i="251"/>
  <c r="AB18" i="251"/>
  <c r="AB19" i="251"/>
  <c r="G186" i="225" l="1"/>
  <c r="P24" i="230"/>
  <c r="B12" i="254" l="1"/>
  <c r="B13" i="254"/>
  <c r="B14" i="254"/>
  <c r="B15" i="254"/>
  <c r="B16" i="254"/>
  <c r="B17" i="254"/>
  <c r="B18" i="254"/>
  <c r="B19" i="254"/>
  <c r="B20" i="254"/>
  <c r="B21" i="254"/>
  <c r="B22" i="254"/>
  <c r="B23" i="254"/>
  <c r="B24" i="254"/>
  <c r="B25" i="254"/>
  <c r="B26" i="254"/>
  <c r="B27" i="254"/>
  <c r="B28" i="254"/>
  <c r="B29" i="254"/>
  <c r="B30" i="254"/>
  <c r="B31" i="254"/>
  <c r="B32" i="254"/>
  <c r="B33" i="254"/>
  <c r="B34" i="254"/>
  <c r="B35" i="254"/>
  <c r="B36" i="254"/>
  <c r="B37" i="254"/>
  <c r="B38" i="254"/>
  <c r="B39" i="254"/>
  <c r="B40" i="254"/>
  <c r="B41" i="254"/>
  <c r="B42" i="254"/>
  <c r="B43" i="254"/>
  <c r="B44" i="254"/>
  <c r="B45" i="254"/>
  <c r="B46" i="254"/>
  <c r="D12" i="254"/>
  <c r="D13" i="254"/>
  <c r="D14" i="254"/>
  <c r="D15" i="254"/>
  <c r="D16" i="254"/>
  <c r="D17" i="254"/>
  <c r="D18" i="254"/>
  <c r="D19" i="254"/>
  <c r="D20" i="254"/>
  <c r="D21" i="254"/>
  <c r="D22" i="254"/>
  <c r="D23" i="254"/>
  <c r="D24" i="254"/>
  <c r="D25" i="254"/>
  <c r="D26" i="254"/>
  <c r="D27" i="254"/>
  <c r="D28" i="254"/>
  <c r="D29" i="254"/>
  <c r="D30" i="254"/>
  <c r="D31" i="254"/>
  <c r="D32" i="254"/>
  <c r="D33" i="254"/>
  <c r="D34" i="254"/>
  <c r="D35" i="254"/>
  <c r="D36" i="254"/>
  <c r="D37" i="254"/>
  <c r="D38" i="254"/>
  <c r="D39" i="254"/>
  <c r="D40" i="254"/>
  <c r="D41" i="254"/>
  <c r="D42" i="254"/>
  <c r="D43" i="254"/>
  <c r="D44" i="254"/>
  <c r="D45" i="254"/>
  <c r="D46" i="254"/>
  <c r="C12" i="254"/>
  <c r="F12" i="254" s="1"/>
  <c r="C13" i="254"/>
  <c r="F13" i="254" s="1"/>
  <c r="C14" i="254"/>
  <c r="F14" i="254" s="1"/>
  <c r="C15" i="254"/>
  <c r="F15" i="254" s="1"/>
  <c r="C16" i="254"/>
  <c r="F16" i="254" s="1"/>
  <c r="C17" i="254"/>
  <c r="F17" i="254" s="1"/>
  <c r="C18" i="254"/>
  <c r="F18" i="254" s="1"/>
  <c r="C19" i="254"/>
  <c r="F19" i="254" s="1"/>
  <c r="C20" i="254"/>
  <c r="F20" i="254" s="1"/>
  <c r="C21" i="254"/>
  <c r="F21" i="254" s="1"/>
  <c r="C22" i="254"/>
  <c r="F22" i="254" s="1"/>
  <c r="C23" i="254"/>
  <c r="F23" i="254" s="1"/>
  <c r="C24" i="254"/>
  <c r="F24" i="254" s="1"/>
  <c r="C25" i="254"/>
  <c r="F25" i="254" s="1"/>
  <c r="C26" i="254"/>
  <c r="F26" i="254" s="1"/>
  <c r="C27" i="254"/>
  <c r="F27" i="254" s="1"/>
  <c r="C28" i="254"/>
  <c r="F28" i="254" s="1"/>
  <c r="C29" i="254"/>
  <c r="F29" i="254" s="1"/>
  <c r="C30" i="254"/>
  <c r="F30" i="254" s="1"/>
  <c r="C31" i="254"/>
  <c r="F31" i="254" s="1"/>
  <c r="C32" i="254"/>
  <c r="F32" i="254" s="1"/>
  <c r="C33" i="254"/>
  <c r="F33" i="254" s="1"/>
  <c r="C34" i="254"/>
  <c r="F34" i="254" s="1"/>
  <c r="C35" i="254"/>
  <c r="F35" i="254" s="1"/>
  <c r="C36" i="254"/>
  <c r="F36" i="254" s="1"/>
  <c r="C37" i="254"/>
  <c r="F37" i="254" s="1"/>
  <c r="C38" i="254"/>
  <c r="F38" i="254" s="1"/>
  <c r="C39" i="254"/>
  <c r="F39" i="254" s="1"/>
  <c r="C40" i="254"/>
  <c r="F40" i="254" s="1"/>
  <c r="C41" i="254"/>
  <c r="F41" i="254" s="1"/>
  <c r="C42" i="254"/>
  <c r="F42" i="254" s="1"/>
  <c r="C43" i="254"/>
  <c r="F43" i="254" s="1"/>
  <c r="C44" i="254"/>
  <c r="F44" i="254" s="1"/>
  <c r="C45" i="254"/>
  <c r="F45" i="254" s="1"/>
  <c r="C46" i="254"/>
  <c r="F46" i="254" s="1"/>
  <c r="K42" i="254" l="1"/>
  <c r="H43" i="254"/>
  <c r="M44" i="254"/>
  <c r="J45" i="254"/>
  <c r="G46" i="254"/>
  <c r="K32" i="254"/>
  <c r="H33" i="254"/>
  <c r="M34" i="254"/>
  <c r="J35" i="254"/>
  <c r="G36" i="254"/>
  <c r="L37" i="254"/>
  <c r="I38" i="254"/>
  <c r="K40" i="254"/>
  <c r="N43" i="254" l="1"/>
  <c r="G41" i="254"/>
  <c r="H46" i="254"/>
  <c r="O43" i="254"/>
  <c r="M41" i="254"/>
  <c r="K45" i="254"/>
  <c r="I45" i="254"/>
  <c r="I43" i="254"/>
  <c r="P45" i="254"/>
  <c r="P46" i="254"/>
  <c r="H45" i="254"/>
  <c r="G43" i="254"/>
  <c r="N46" i="254"/>
  <c r="N44" i="254"/>
  <c r="M46" i="254"/>
  <c r="L44" i="254"/>
  <c r="O41" i="254"/>
  <c r="K44" i="254"/>
  <c r="L41" i="254"/>
  <c r="J42" i="254"/>
  <c r="I42" i="254"/>
  <c r="L46" i="254"/>
  <c r="O45" i="254"/>
  <c r="G45" i="254"/>
  <c r="J44" i="254"/>
  <c r="M43" i="254"/>
  <c r="P42" i="254"/>
  <c r="H42" i="254"/>
  <c r="K41" i="254"/>
  <c r="K46" i="254"/>
  <c r="N45" i="254"/>
  <c r="I44" i="254"/>
  <c r="L43" i="254"/>
  <c r="O42" i="254"/>
  <c r="G42" i="254"/>
  <c r="J41" i="254"/>
  <c r="J46" i="254"/>
  <c r="M45" i="254"/>
  <c r="P44" i="254"/>
  <c r="H44" i="254"/>
  <c r="K43" i="254"/>
  <c r="N42" i="254"/>
  <c r="I41" i="254"/>
  <c r="I46" i="254"/>
  <c r="L45" i="254"/>
  <c r="O44" i="254"/>
  <c r="G44" i="254"/>
  <c r="J43" i="254"/>
  <c r="M42" i="254"/>
  <c r="P41" i="254"/>
  <c r="H41" i="254"/>
  <c r="L42" i="254"/>
  <c r="O46" i="254"/>
  <c r="P43" i="254"/>
  <c r="N41" i="254"/>
  <c r="N36" i="254"/>
  <c r="K37" i="254"/>
  <c r="I35" i="254"/>
  <c r="L34" i="254"/>
  <c r="O33" i="254"/>
  <c r="J40" i="254"/>
  <c r="G33" i="254"/>
  <c r="M39" i="254"/>
  <c r="J32" i="254"/>
  <c r="M31" i="254"/>
  <c r="I40" i="254"/>
  <c r="L39" i="254"/>
  <c r="O38" i="254"/>
  <c r="G38" i="254"/>
  <c r="J37" i="254"/>
  <c r="M36" i="254"/>
  <c r="P35" i="254"/>
  <c r="H35" i="254"/>
  <c r="K34" i="254"/>
  <c r="N33" i="254"/>
  <c r="I32" i="254"/>
  <c r="L31" i="254"/>
  <c r="P40" i="254"/>
  <c r="H40" i="254"/>
  <c r="K39" i="254"/>
  <c r="N38" i="254"/>
  <c r="I37" i="254"/>
  <c r="L36" i="254"/>
  <c r="O35" i="254"/>
  <c r="G35" i="254"/>
  <c r="J34" i="254"/>
  <c r="M33" i="254"/>
  <c r="P32" i="254"/>
  <c r="H32" i="254"/>
  <c r="K31" i="254"/>
  <c r="P38" i="254"/>
  <c r="O40" i="254"/>
  <c r="G40" i="254"/>
  <c r="J39" i="254"/>
  <c r="M38" i="254"/>
  <c r="P37" i="254"/>
  <c r="H37" i="254"/>
  <c r="K36" i="254"/>
  <c r="N35" i="254"/>
  <c r="I34" i="254"/>
  <c r="L33" i="254"/>
  <c r="O32" i="254"/>
  <c r="G32" i="254"/>
  <c r="J31" i="254"/>
  <c r="N40" i="254"/>
  <c r="I39" i="254"/>
  <c r="L38" i="254"/>
  <c r="O37" i="254"/>
  <c r="G37" i="254"/>
  <c r="J36" i="254"/>
  <c r="M35" i="254"/>
  <c r="P34" i="254"/>
  <c r="H34" i="254"/>
  <c r="K33" i="254"/>
  <c r="N32" i="254"/>
  <c r="I31" i="254"/>
  <c r="M40" i="254"/>
  <c r="P39" i="254"/>
  <c r="H39" i="254"/>
  <c r="K38" i="254"/>
  <c r="N37" i="254"/>
  <c r="I36" i="254"/>
  <c r="L35" i="254"/>
  <c r="O34" i="254"/>
  <c r="G34" i="254"/>
  <c r="J33" i="254"/>
  <c r="M32" i="254"/>
  <c r="P31" i="254"/>
  <c r="H31" i="254"/>
  <c r="H38" i="254"/>
  <c r="L40" i="254"/>
  <c r="O39" i="254"/>
  <c r="G39" i="254"/>
  <c r="J38" i="254"/>
  <c r="M37" i="254"/>
  <c r="P36" i="254"/>
  <c r="H36" i="254"/>
  <c r="K35" i="254"/>
  <c r="N34" i="254"/>
  <c r="I33" i="254"/>
  <c r="L32" i="254"/>
  <c r="O31" i="254"/>
  <c r="G31" i="254"/>
  <c r="N39" i="254"/>
  <c r="O36" i="254"/>
  <c r="P33" i="254"/>
  <c r="N31" i="254"/>
  <c r="H86" i="256"/>
  <c r="D84" i="256"/>
  <c r="G83" i="256"/>
  <c r="D83" i="256"/>
  <c r="G82" i="256"/>
  <c r="D82" i="256"/>
  <c r="H81" i="256"/>
  <c r="G81" i="256"/>
  <c r="D81" i="256"/>
  <c r="C25" i="256" a="1"/>
  <c r="C25" i="256" s="1"/>
  <c r="H105" i="256" l="1"/>
  <c r="F105" i="256"/>
  <c r="H104" i="256"/>
  <c r="F104" i="256"/>
  <c r="E104" i="256"/>
  <c r="H103" i="256"/>
  <c r="F103" i="256"/>
  <c r="E103" i="256"/>
  <c r="H102" i="256"/>
  <c r="F102" i="256"/>
  <c r="E102" i="256"/>
  <c r="H101" i="256"/>
  <c r="F101" i="256"/>
  <c r="E101" i="256"/>
  <c r="H100" i="256"/>
  <c r="F100" i="256"/>
  <c r="F99" i="256"/>
  <c r="F98" i="256"/>
  <c r="F97" i="256"/>
  <c r="F62" i="255" a="1"/>
  <c r="F62" i="255" s="1"/>
  <c r="F63" i="255" a="1"/>
  <c r="F63" i="255" s="1"/>
  <c r="F64" i="255" a="1"/>
  <c r="F64" i="255" s="1"/>
  <c r="F65" i="255" a="1"/>
  <c r="F65" i="255" s="1"/>
  <c r="F66" i="255" a="1"/>
  <c r="F66" i="255" s="1"/>
  <c r="F67" i="255" a="1"/>
  <c r="F67" i="255" s="1"/>
  <c r="F68" i="255" a="1"/>
  <c r="F68" i="255" s="1"/>
  <c r="F69" i="255" a="1"/>
  <c r="F69" i="255" s="1"/>
  <c r="F70" i="255" a="1"/>
  <c r="F70" i="255" s="1"/>
  <c r="F71" i="255" a="1"/>
  <c r="F71" i="255" s="1"/>
  <c r="F72" i="255" a="1"/>
  <c r="F72" i="255" s="1"/>
  <c r="F73" i="255" a="1"/>
  <c r="F73" i="255" s="1"/>
  <c r="F74" i="255" a="1"/>
  <c r="F74" i="255" s="1"/>
  <c r="F75" i="255" a="1"/>
  <c r="F75" i="255" s="1"/>
  <c r="F76" i="255" a="1"/>
  <c r="F76" i="255" s="1"/>
  <c r="F77" i="255" a="1"/>
  <c r="F77" i="255" s="1"/>
  <c r="F78" i="255" a="1"/>
  <c r="F78" i="255" s="1"/>
  <c r="F79" i="255" a="1"/>
  <c r="F79" i="255" s="1"/>
  <c r="F80" i="255" a="1"/>
  <c r="F80" i="255" s="1"/>
  <c r="F81" i="255" a="1"/>
  <c r="F81" i="255" s="1"/>
  <c r="F82" i="255" a="1"/>
  <c r="F82" i="255" s="1"/>
  <c r="F83" i="255" a="1"/>
  <c r="F83" i="255" s="1"/>
  <c r="F84" i="255" a="1"/>
  <c r="F84" i="255" s="1"/>
  <c r="F85" i="255" a="1"/>
  <c r="F85" i="255" s="1"/>
  <c r="F86" i="255" a="1"/>
  <c r="F86" i="255" s="1"/>
  <c r="F87" i="255" a="1"/>
  <c r="F87" i="255" s="1"/>
  <c r="F88" i="255" a="1"/>
  <c r="F88" i="255" s="1"/>
  <c r="F89" i="255" a="1"/>
  <c r="F89" i="255" s="1"/>
  <c r="F90" i="255" a="1"/>
  <c r="F90" i="255" s="1"/>
  <c r="F91" i="255" a="1"/>
  <c r="F91" i="255" s="1"/>
  <c r="F92" i="255" a="1"/>
  <c r="F92" i="255" s="1"/>
  <c r="F93" i="255" a="1"/>
  <c r="F93" i="255" s="1"/>
  <c r="F94" i="255" a="1"/>
  <c r="F94" i="255" s="1"/>
  <c r="F95" i="255" a="1"/>
  <c r="F95" i="255" s="1"/>
  <c r="F96" i="255" a="1"/>
  <c r="F96" i="255" s="1"/>
  <c r="F97" i="255" a="1"/>
  <c r="F97" i="255" s="1"/>
  <c r="F98" i="255" a="1"/>
  <c r="F98" i="255" s="1"/>
  <c r="F99" i="255" a="1"/>
  <c r="F99" i="255" s="1"/>
  <c r="F100" i="255" a="1"/>
  <c r="F100" i="255" s="1"/>
  <c r="F101" i="255" a="1"/>
  <c r="F101" i="255" s="1"/>
  <c r="F102" i="255" a="1"/>
  <c r="F102" i="255" s="1"/>
  <c r="F103" i="255" a="1"/>
  <c r="F103" i="255" s="1"/>
  <c r="F104" i="255" a="1"/>
  <c r="F104" i="255" s="1"/>
  <c r="F105" i="255" a="1"/>
  <c r="F105" i="255" s="1"/>
  <c r="F106" i="255" a="1"/>
  <c r="F106" i="255" s="1"/>
  <c r="F107" i="255" a="1"/>
  <c r="F107" i="255" s="1"/>
  <c r="F108" i="255" a="1"/>
  <c r="F108" i="255" s="1"/>
  <c r="F109" i="255" a="1"/>
  <c r="F109" i="255" s="1"/>
  <c r="F110" i="255" a="1"/>
  <c r="F110" i="255" s="1"/>
  <c r="F111" i="255" a="1"/>
  <c r="F111" i="255" s="1"/>
  <c r="F112" i="255" a="1"/>
  <c r="F112" i="255" s="1"/>
  <c r="F113" i="255" a="1"/>
  <c r="F113" i="255" s="1"/>
  <c r="F114" i="255" a="1"/>
  <c r="F114" i="255" s="1"/>
  <c r="F115" i="255" a="1"/>
  <c r="F115" i="255" s="1"/>
  <c r="F116" i="255" a="1"/>
  <c r="F116" i="255" s="1"/>
  <c r="F117" i="255" a="1"/>
  <c r="F117" i="255" s="1"/>
  <c r="F118" i="255" a="1"/>
  <c r="F118" i="255" s="1"/>
  <c r="F119" i="255" a="1"/>
  <c r="F119" i="255" s="1"/>
  <c r="F120" i="255" a="1"/>
  <c r="F120" i="255" s="1"/>
  <c r="F121" i="255" a="1"/>
  <c r="F121" i="255" s="1"/>
  <c r="F122" i="255" a="1"/>
  <c r="F122" i="255" s="1"/>
  <c r="F123" i="255" a="1"/>
  <c r="F123" i="255" s="1"/>
  <c r="K17" i="255"/>
  <c r="K18" i="255"/>
  <c r="I33" i="255"/>
  <c r="Q33" i="255"/>
  <c r="R33" i="255"/>
  <c r="S33" i="255"/>
  <c r="T33" i="255"/>
  <c r="U33" i="255"/>
  <c r="W33" i="255"/>
  <c r="X33" i="255"/>
  <c r="Y33" i="255"/>
  <c r="Z33" i="255"/>
  <c r="AA33" i="255"/>
  <c r="AB33" i="255"/>
  <c r="AC33" i="255"/>
  <c r="AD33" i="255"/>
  <c r="M10" i="255"/>
  <c r="N10" i="255" s="1"/>
  <c r="O10" i="255" s="1"/>
  <c r="P10" i="255" s="1"/>
  <c r="Q10" i="255" s="1"/>
  <c r="R10" i="255" s="1"/>
  <c r="S10" i="255" s="1"/>
  <c r="T10" i="255" s="1"/>
  <c r="U10" i="255" s="1"/>
  <c r="V10" i="255" s="1"/>
  <c r="W10" i="255" s="1"/>
  <c r="X10" i="255" s="1"/>
  <c r="Y10" i="255" s="1"/>
  <c r="Z10" i="255" s="1"/>
  <c r="AA10" i="255" s="1"/>
  <c r="AB10" i="255" s="1"/>
  <c r="AC10" i="255" s="1"/>
  <c r="AD10" i="255" s="1"/>
  <c r="AE10" i="255" s="1"/>
  <c r="D5" i="256"/>
  <c r="F21" i="256"/>
  <c r="F20" i="256"/>
  <c r="F19" i="256"/>
  <c r="F18" i="256"/>
  <c r="H7" i="256"/>
  <c r="G2" i="256"/>
  <c r="G3" i="256"/>
  <c r="F22" i="256"/>
  <c r="F23" i="256"/>
  <c r="F24" i="256"/>
  <c r="F25" i="256"/>
  <c r="F26" i="256"/>
  <c r="H26" i="256"/>
  <c r="H25" i="256"/>
  <c r="E25" i="256"/>
  <c r="H24" i="256"/>
  <c r="E24" i="256"/>
  <c r="H23" i="256"/>
  <c r="E23" i="256"/>
  <c r="H22" i="256"/>
  <c r="E22" i="256"/>
  <c r="H21" i="256"/>
  <c r="B20" i="256"/>
  <c r="G4" i="256"/>
  <c r="D3" i="256"/>
  <c r="H2" i="256"/>
  <c r="D2" i="256"/>
  <c r="K12" i="255"/>
  <c r="K13" i="255"/>
  <c r="K14" i="255"/>
  <c r="K15" i="255"/>
  <c r="K16" i="255"/>
  <c r="K11" i="255"/>
  <c r="AF33" i="255" l="1"/>
  <c r="H32" i="255"/>
  <c r="G32" i="255"/>
  <c r="AF32" i="255" s="1"/>
  <c r="F32" i="255"/>
  <c r="H31" i="255"/>
  <c r="G31" i="255"/>
  <c r="O31" i="255" s="1"/>
  <c r="F31" i="255"/>
  <c r="H30" i="255"/>
  <c r="G30" i="255"/>
  <c r="O30" i="255" s="1"/>
  <c r="F30" i="255"/>
  <c r="H29" i="255"/>
  <c r="G29" i="255"/>
  <c r="F29" i="255"/>
  <c r="H28" i="255"/>
  <c r="G28" i="255"/>
  <c r="V28" i="255" s="1"/>
  <c r="F28" i="255"/>
  <c r="H27" i="255"/>
  <c r="G27" i="255"/>
  <c r="F27" i="255"/>
  <c r="H26" i="255"/>
  <c r="G26" i="255"/>
  <c r="F26" i="255"/>
  <c r="H25" i="255"/>
  <c r="G25" i="255"/>
  <c r="F25" i="255"/>
  <c r="H24" i="255"/>
  <c r="G24" i="255"/>
  <c r="V24" i="255" s="1"/>
  <c r="F24" i="255"/>
  <c r="H23" i="255"/>
  <c r="G23" i="255"/>
  <c r="F23" i="255"/>
  <c r="H22" i="255"/>
  <c r="G22" i="255"/>
  <c r="F22" i="255"/>
  <c r="H21" i="255"/>
  <c r="G21" i="255"/>
  <c r="AF21" i="255" s="1"/>
  <c r="F21" i="255"/>
  <c r="H20" i="255"/>
  <c r="G20" i="255"/>
  <c r="V20" i="255" s="1"/>
  <c r="F20" i="255"/>
  <c r="H19" i="255"/>
  <c r="G19" i="255"/>
  <c r="F19" i="255"/>
  <c r="H18" i="255"/>
  <c r="J18" i="255" s="1"/>
  <c r="G18" i="255"/>
  <c r="F18" i="255"/>
  <c r="H17" i="255"/>
  <c r="J17" i="255" s="1"/>
  <c r="G17" i="255"/>
  <c r="F17" i="255"/>
  <c r="H16" i="255"/>
  <c r="J16" i="255" s="1"/>
  <c r="G16" i="255"/>
  <c r="F16" i="255"/>
  <c r="H15" i="255"/>
  <c r="J15" i="255" s="1"/>
  <c r="G15" i="255"/>
  <c r="F15" i="255"/>
  <c r="H14" i="255"/>
  <c r="J14" i="255" s="1"/>
  <c r="G14" i="255"/>
  <c r="F14" i="255"/>
  <c r="H13" i="255"/>
  <c r="J13" i="255" s="1"/>
  <c r="G13" i="255"/>
  <c r="F13" i="255"/>
  <c r="H12" i="255"/>
  <c r="J12" i="255" s="1"/>
  <c r="G12" i="255"/>
  <c r="F12" i="255"/>
  <c r="H11" i="255"/>
  <c r="J11" i="255" s="1"/>
  <c r="G11" i="255"/>
  <c r="F11" i="255"/>
  <c r="N8" i="255"/>
  <c r="F8" i="255"/>
  <c r="V6" i="255"/>
  <c r="J6" i="255"/>
  <c r="AF5" i="255"/>
  <c r="V5" i="255"/>
  <c r="J5" i="255"/>
  <c r="K8" i="254"/>
  <c r="G207" i="225"/>
  <c r="G206" i="225"/>
  <c r="N6" i="254"/>
  <c r="P5" i="254"/>
  <c r="N5" i="254"/>
  <c r="F6" i="254"/>
  <c r="F5" i="254"/>
  <c r="B8" i="254"/>
  <c r="P22" i="254"/>
  <c r="D11" i="254"/>
  <c r="D47" i="254" s="1"/>
  <c r="C11" i="254"/>
  <c r="B11" i="254"/>
  <c r="K32" i="255" l="1"/>
  <c r="V19" i="255"/>
  <c r="AE20" i="255"/>
  <c r="V23" i="255"/>
  <c r="AE24" i="255"/>
  <c r="K28" i="255"/>
  <c r="L32" i="255"/>
  <c r="AE19" i="255"/>
  <c r="AF20" i="255"/>
  <c r="AE23" i="255"/>
  <c r="AF24" i="255"/>
  <c r="M32" i="255"/>
  <c r="AF19" i="255"/>
  <c r="AF23" i="255"/>
  <c r="AE32" i="255"/>
  <c r="AE27" i="255"/>
  <c r="J26" i="255"/>
  <c r="K27" i="255"/>
  <c r="AF27" i="255"/>
  <c r="AE28" i="255"/>
  <c r="J30" i="255"/>
  <c r="K31" i="255"/>
  <c r="J27" i="255"/>
  <c r="AF31" i="255"/>
  <c r="AF28" i="255"/>
  <c r="N30" i="255"/>
  <c r="J31" i="255"/>
  <c r="P30" i="255"/>
  <c r="L31" i="255"/>
  <c r="V26" i="255"/>
  <c r="V30" i="255"/>
  <c r="M31" i="255"/>
  <c r="H33" i="255"/>
  <c r="P31" i="255"/>
  <c r="V31" i="255"/>
  <c r="V27" i="255"/>
  <c r="AE31" i="255"/>
  <c r="AE22" i="255"/>
  <c r="K26" i="255"/>
  <c r="AE26" i="255"/>
  <c r="P29" i="255"/>
  <c r="K30" i="255"/>
  <c r="AE30" i="255"/>
  <c r="N32" i="255"/>
  <c r="V21" i="255"/>
  <c r="AF22" i="255"/>
  <c r="J25" i="255"/>
  <c r="V25" i="255"/>
  <c r="AF26" i="255"/>
  <c r="J29" i="255"/>
  <c r="V29" i="255"/>
  <c r="AF30" i="255"/>
  <c r="O32" i="255"/>
  <c r="V22" i="255"/>
  <c r="AE21" i="255"/>
  <c r="K25" i="255"/>
  <c r="AE25" i="255"/>
  <c r="K29" i="255"/>
  <c r="AE29" i="255"/>
  <c r="L30" i="255"/>
  <c r="N31" i="255"/>
  <c r="P32" i="255"/>
  <c r="J24" i="255"/>
  <c r="AF25" i="255"/>
  <c r="J28" i="255"/>
  <c r="AF29" i="255"/>
  <c r="M30" i="255"/>
  <c r="J32" i="255"/>
  <c r="V32" i="255"/>
  <c r="C105" i="256" l="1" a="1"/>
  <c r="C105" i="256" s="1"/>
  <c r="C89" i="256" s="1"/>
  <c r="C109" i="256" a="1"/>
  <c r="C109" i="256" s="1"/>
  <c r="C93" i="256" s="1"/>
  <c r="C113" i="256" a="1"/>
  <c r="C113" i="256" s="1"/>
  <c r="C97" i="256" s="1"/>
  <c r="H97" i="256" s="1"/>
  <c r="E116" i="256" a="1"/>
  <c r="E116" i="256" s="1"/>
  <c r="C120" i="256" a="1"/>
  <c r="C120" i="256" s="1"/>
  <c r="M45" i="256" a="1"/>
  <c r="M45" i="256" s="1"/>
  <c r="O44" i="256" a="1"/>
  <c r="O44" i="256" s="1"/>
  <c r="E105" i="256" a="1"/>
  <c r="E105" i="256" s="1"/>
  <c r="E89" i="256" s="1"/>
  <c r="E109" i="256" a="1"/>
  <c r="E109" i="256" s="1"/>
  <c r="E93" i="256" s="1"/>
  <c r="E113" i="256" a="1"/>
  <c r="E113" i="256" s="1"/>
  <c r="E97" i="256" s="1"/>
  <c r="C117" i="256" a="1"/>
  <c r="C117" i="256" s="1"/>
  <c r="E120" i="256" a="1"/>
  <c r="E120" i="256" s="1"/>
  <c r="O45" i="256" a="1"/>
  <c r="O45" i="256" s="1"/>
  <c r="E115" i="256" a="1"/>
  <c r="E115" i="256" s="1"/>
  <c r="E99" i="256" s="1"/>
  <c r="C106" i="256" a="1"/>
  <c r="C106" i="256" s="1"/>
  <c r="C90" i="256" s="1"/>
  <c r="C110" i="256" a="1"/>
  <c r="C110" i="256" s="1"/>
  <c r="C94" i="256" s="1"/>
  <c r="C114" i="256" a="1"/>
  <c r="C114" i="256" s="1"/>
  <c r="C98" i="256" s="1"/>
  <c r="H98" i="256" s="1"/>
  <c r="E117" i="256" a="1"/>
  <c r="E117" i="256" s="1"/>
  <c r="C121" i="256" a="1"/>
  <c r="C121" i="256" s="1"/>
  <c r="M46" i="256" a="1"/>
  <c r="M46" i="256" s="1"/>
  <c r="M44" i="256" a="1"/>
  <c r="M44" i="256" s="1"/>
  <c r="E112" i="256" a="1"/>
  <c r="E112" i="256" s="1"/>
  <c r="E96" i="256" s="1"/>
  <c r="E106" i="256" a="1"/>
  <c r="E106" i="256" s="1"/>
  <c r="E90" i="256" s="1"/>
  <c r="E110" i="256" a="1"/>
  <c r="E110" i="256" s="1"/>
  <c r="E94" i="256" s="1"/>
  <c r="E114" i="256" a="1"/>
  <c r="E114" i="256" s="1"/>
  <c r="E98" i="256" s="1"/>
  <c r="C118" i="256" a="1"/>
  <c r="C118" i="256" s="1"/>
  <c r="E121" i="256" a="1"/>
  <c r="E121" i="256" s="1"/>
  <c r="O46" i="256" a="1"/>
  <c r="O46" i="256" s="1"/>
  <c r="C119" i="256" a="1"/>
  <c r="C119" i="256" s="1"/>
  <c r="E108" i="256" a="1"/>
  <c r="E108" i="256" s="1"/>
  <c r="E92" i="256" s="1"/>
  <c r="C107" i="256" a="1"/>
  <c r="C107" i="256" s="1"/>
  <c r="C91" i="256" s="1"/>
  <c r="C111" i="256" a="1"/>
  <c r="C111" i="256" s="1"/>
  <c r="C95" i="256" s="1"/>
  <c r="E118" i="256" a="1"/>
  <c r="E118" i="256" s="1"/>
  <c r="M43" i="256" a="1"/>
  <c r="M43" i="256" s="1"/>
  <c r="M47" i="256" a="1"/>
  <c r="M47" i="256" s="1"/>
  <c r="C112" i="256" a="1"/>
  <c r="C112" i="256" s="1"/>
  <c r="C96" i="256" s="1"/>
  <c r="E119" i="256" a="1"/>
  <c r="E119" i="256" s="1"/>
  <c r="E107" i="256" a="1"/>
  <c r="E107" i="256" s="1"/>
  <c r="E91" i="256" s="1"/>
  <c r="E111" i="256" a="1"/>
  <c r="E111" i="256" s="1"/>
  <c r="E95" i="256" s="1"/>
  <c r="C115" i="256" a="1"/>
  <c r="C115" i="256" s="1"/>
  <c r="C99" i="256" s="1"/>
  <c r="H99" i="256" s="1"/>
  <c r="O43" i="256" a="1"/>
  <c r="O43" i="256" s="1"/>
  <c r="O47" i="256" a="1"/>
  <c r="O47" i="256" s="1"/>
  <c r="C108" i="256" a="1"/>
  <c r="C108" i="256" s="1"/>
  <c r="C92" i="256" s="1"/>
  <c r="C116" i="256" a="1"/>
  <c r="C116" i="256" s="1"/>
  <c r="J19" i="256" a="1"/>
  <c r="J19" i="256" s="1"/>
  <c r="E19" i="256" s="1"/>
  <c r="J27" i="256" a="1"/>
  <c r="J27" i="256" s="1"/>
  <c r="I13" i="256" a="1"/>
  <c r="I13" i="256" s="1"/>
  <c r="C13" i="256" s="1"/>
  <c r="I21" i="256" a="1"/>
  <c r="I21" i="256" s="1"/>
  <c r="I28" i="256" a="1"/>
  <c r="I28" i="256" s="1"/>
  <c r="I31" i="256" a="1"/>
  <c r="I31" i="256" s="1"/>
  <c r="J12" i="256" a="1"/>
  <c r="J12" i="256" s="1"/>
  <c r="E12" i="256" s="1"/>
  <c r="J20" i="256" a="1"/>
  <c r="J20" i="256" s="1"/>
  <c r="E20" i="256" s="1"/>
  <c r="J28" i="256" a="1"/>
  <c r="J28" i="256" s="1"/>
  <c r="I14" i="256" a="1"/>
  <c r="I14" i="256" s="1"/>
  <c r="C14" i="256" s="1"/>
  <c r="I22" i="256" a="1"/>
  <c r="I22" i="256" s="1"/>
  <c r="I29" i="256" a="1"/>
  <c r="I29" i="256" s="1"/>
  <c r="J18" i="256" a="1"/>
  <c r="J18" i="256" s="1"/>
  <c r="E18" i="256" s="1"/>
  <c r="I10" i="256" a="1"/>
  <c r="I10" i="256" s="1"/>
  <c r="C10" i="256" s="1"/>
  <c r="J13" i="256" a="1"/>
  <c r="J13" i="256" s="1"/>
  <c r="E13" i="256" s="1"/>
  <c r="J21" i="256" a="1"/>
  <c r="J21" i="256" s="1"/>
  <c r="J29" i="256" a="1"/>
  <c r="J29" i="256" s="1"/>
  <c r="I15" i="256" a="1"/>
  <c r="I15" i="256" s="1"/>
  <c r="C15" i="256" s="1"/>
  <c r="I23" i="256" a="1"/>
  <c r="I23" i="256" s="1"/>
  <c r="I30" i="256" a="1"/>
  <c r="I30" i="256" s="1"/>
  <c r="I11" i="256" a="1"/>
  <c r="I11" i="256" s="1"/>
  <c r="C11" i="256" s="1"/>
  <c r="I27" i="256" a="1"/>
  <c r="I27" i="256" s="1"/>
  <c r="J14" i="256" a="1"/>
  <c r="J14" i="256" s="1"/>
  <c r="E14" i="256" s="1"/>
  <c r="J22" i="256" a="1"/>
  <c r="J22" i="256" s="1"/>
  <c r="J30" i="256" a="1"/>
  <c r="J30" i="256" s="1"/>
  <c r="I16" i="256" a="1"/>
  <c r="I16" i="256" s="1"/>
  <c r="C16" i="256" s="1"/>
  <c r="I24" i="256" a="1"/>
  <c r="I24" i="256" s="1"/>
  <c r="J17" i="256" a="1"/>
  <c r="J17" i="256" s="1"/>
  <c r="E17" i="256" s="1"/>
  <c r="I20" i="256" a="1"/>
  <c r="I20" i="256" s="1"/>
  <c r="C20" i="256" s="1"/>
  <c r="H20" i="256" s="1"/>
  <c r="J15" i="256" a="1"/>
  <c r="J15" i="256" s="1"/>
  <c r="E15" i="256" s="1"/>
  <c r="J23" i="256" a="1"/>
  <c r="J23" i="256" s="1"/>
  <c r="J31" i="256" a="1"/>
  <c r="J31" i="256" s="1"/>
  <c r="I17" i="256" a="1"/>
  <c r="I17" i="256" s="1"/>
  <c r="C17" i="256" s="1"/>
  <c r="I25" i="256" a="1"/>
  <c r="I25" i="256" s="1"/>
  <c r="I32" i="256" a="1"/>
  <c r="I32" i="256" s="1"/>
  <c r="J25" i="256" a="1"/>
  <c r="J25" i="256" s="1"/>
  <c r="J26" i="256" a="1"/>
  <c r="J26" i="256" s="1"/>
  <c r="J16" i="256" a="1"/>
  <c r="J16" i="256" s="1"/>
  <c r="E16" i="256" s="1"/>
  <c r="J24" i="256" a="1"/>
  <c r="J24" i="256" s="1"/>
  <c r="J32" i="256" a="1"/>
  <c r="J32" i="256" s="1"/>
  <c r="I18" i="256" a="1"/>
  <c r="I18" i="256" s="1"/>
  <c r="C18" i="256" s="1"/>
  <c r="H18" i="256" s="1"/>
  <c r="I26" i="256" a="1"/>
  <c r="I26" i="256" s="1"/>
  <c r="J10" i="256" a="1"/>
  <c r="J10" i="256" s="1"/>
  <c r="E10" i="256" s="1"/>
  <c r="I19" i="256" a="1"/>
  <c r="I19" i="256" s="1"/>
  <c r="C19" i="256" s="1"/>
  <c r="H19" i="256" s="1"/>
  <c r="I12" i="256" a="1"/>
  <c r="I12" i="256" s="1"/>
  <c r="C12" i="256" s="1"/>
  <c r="M98" i="256" a="1"/>
  <c r="M98" i="256" s="1"/>
  <c r="M90" i="256" a="1"/>
  <c r="M90" i="256" s="1"/>
  <c r="M82" i="256" a="1"/>
  <c r="M82" i="256" s="1"/>
  <c r="M74" i="256" a="1"/>
  <c r="M74" i="256" s="1"/>
  <c r="M66" i="256" a="1"/>
  <c r="M66" i="256" s="1"/>
  <c r="M58" i="256" a="1"/>
  <c r="M58" i="256" s="1"/>
  <c r="O50" i="256" a="1"/>
  <c r="O50" i="256" s="1"/>
  <c r="B121" i="256" a="1"/>
  <c r="B121" i="256" s="1"/>
  <c r="B108" i="256" a="1"/>
  <c r="B108" i="256" s="1"/>
  <c r="I37" i="256" a="1"/>
  <c r="I37" i="256" s="1"/>
  <c r="I44" i="256" a="1"/>
  <c r="I44" i="256" s="1"/>
  <c r="I52" i="256" a="1"/>
  <c r="I52" i="256" s="1"/>
  <c r="B28" i="256" a="1"/>
  <c r="B28" i="256" s="1"/>
  <c r="B36" i="256" a="1"/>
  <c r="B36" i="256" s="1"/>
  <c r="B44" i="256" a="1"/>
  <c r="B44" i="256" s="1"/>
  <c r="M97" i="256" a="1"/>
  <c r="M97" i="256" s="1"/>
  <c r="M89" i="256" a="1"/>
  <c r="M89" i="256" s="1"/>
  <c r="M81" i="256" a="1"/>
  <c r="M81" i="256" s="1"/>
  <c r="M73" i="256" a="1"/>
  <c r="M73" i="256" s="1"/>
  <c r="M65" i="256" a="1"/>
  <c r="M65" i="256" s="1"/>
  <c r="M57" i="256" a="1"/>
  <c r="M57" i="256" s="1"/>
  <c r="M50" i="256" a="1"/>
  <c r="M50" i="256" s="1"/>
  <c r="L47" i="256" a="1"/>
  <c r="L47" i="256" s="1"/>
  <c r="B118" i="256" a="1"/>
  <c r="B118" i="256" s="1"/>
  <c r="B112" i="256" a="1"/>
  <c r="B112" i="256" s="1"/>
  <c r="B107" i="256" a="1"/>
  <c r="B107" i="256" s="1"/>
  <c r="I38" i="256" a="1"/>
  <c r="I38" i="256" s="1"/>
  <c r="I45" i="256" a="1"/>
  <c r="I45" i="256" s="1"/>
  <c r="I53" i="256" a="1"/>
  <c r="I53" i="256" s="1"/>
  <c r="C76" i="256" a="1"/>
  <c r="C76" i="256" s="1"/>
  <c r="B29" i="256" a="1"/>
  <c r="B29" i="256" s="1"/>
  <c r="B37" i="256" a="1"/>
  <c r="B37" i="256" s="1"/>
  <c r="B45" i="256" a="1"/>
  <c r="B45" i="256" s="1"/>
  <c r="M96" i="256" a="1"/>
  <c r="M96" i="256" s="1"/>
  <c r="M88" i="256" a="1"/>
  <c r="M88" i="256" s="1"/>
  <c r="M80" i="256" a="1"/>
  <c r="M80" i="256" s="1"/>
  <c r="M72" i="256" a="1"/>
  <c r="M72" i="256" s="1"/>
  <c r="M64" i="256" a="1"/>
  <c r="M64" i="256" s="1"/>
  <c r="M56" i="256" a="1"/>
  <c r="M56" i="256" s="1"/>
  <c r="O49" i="256" a="1"/>
  <c r="O49" i="256" s="1"/>
  <c r="L44" i="256" a="1"/>
  <c r="L44" i="256" s="1"/>
  <c r="B115" i="256" a="1"/>
  <c r="B115" i="256" s="1"/>
  <c r="I39" i="256" a="1"/>
  <c r="I39" i="256" s="1"/>
  <c r="I46" i="256" a="1"/>
  <c r="I46" i="256" s="1"/>
  <c r="I54" i="256" a="1"/>
  <c r="I54" i="256" s="1"/>
  <c r="C77" i="256" a="1"/>
  <c r="C77" i="256" s="1"/>
  <c r="B30" i="256" a="1"/>
  <c r="B30" i="256" s="1"/>
  <c r="B38" i="256" a="1"/>
  <c r="B38" i="256" s="1"/>
  <c r="B46" i="256" a="1"/>
  <c r="B46" i="256" s="1"/>
  <c r="M67" i="256" a="1"/>
  <c r="M67" i="256" s="1"/>
  <c r="I59" i="256" a="1"/>
  <c r="I59" i="256" s="1"/>
  <c r="M95" i="256" a="1"/>
  <c r="M95" i="256" s="1"/>
  <c r="M87" i="256" a="1"/>
  <c r="M87" i="256" s="1"/>
  <c r="M79" i="256" a="1"/>
  <c r="M79" i="256" s="1"/>
  <c r="M71" i="256" a="1"/>
  <c r="M71" i="256" s="1"/>
  <c r="M63" i="256" a="1"/>
  <c r="M63" i="256" s="1"/>
  <c r="M55" i="256" a="1"/>
  <c r="M55" i="256" s="1"/>
  <c r="M49" i="256" a="1"/>
  <c r="M49" i="256" s="1"/>
  <c r="B120" i="256" a="1"/>
  <c r="B120" i="256" s="1"/>
  <c r="B111" i="256" a="1"/>
  <c r="B111" i="256" s="1"/>
  <c r="I33" i="256" a="1"/>
  <c r="I33" i="256" s="1"/>
  <c r="I47" i="256" a="1"/>
  <c r="I47" i="256" s="1"/>
  <c r="I55" i="256" a="1"/>
  <c r="I55" i="256" s="1"/>
  <c r="C78" i="256" a="1"/>
  <c r="C78" i="256" s="1"/>
  <c r="B31" i="256" a="1"/>
  <c r="B31" i="256" s="1"/>
  <c r="B39" i="256" a="1"/>
  <c r="B39" i="256" s="1"/>
  <c r="B47" i="256" a="1"/>
  <c r="B47" i="256" s="1"/>
  <c r="M83" i="256" a="1"/>
  <c r="M83" i="256" s="1"/>
  <c r="B109" i="256" a="1"/>
  <c r="B109" i="256" s="1"/>
  <c r="I43" i="256" a="1"/>
  <c r="I43" i="256" s="1"/>
  <c r="B43" i="256" a="1"/>
  <c r="B43" i="256" s="1"/>
  <c r="M102" i="256" a="1"/>
  <c r="M102" i="256" s="1"/>
  <c r="M94" i="256" a="1"/>
  <c r="M94" i="256" s="1"/>
  <c r="M86" i="256" a="1"/>
  <c r="M86" i="256" s="1"/>
  <c r="M78" i="256" a="1"/>
  <c r="M78" i="256" s="1"/>
  <c r="M70" i="256" a="1"/>
  <c r="M70" i="256" s="1"/>
  <c r="M62" i="256" a="1"/>
  <c r="M62" i="256" s="1"/>
  <c r="M54" i="256" a="1"/>
  <c r="M54" i="256" s="1"/>
  <c r="O48" i="256" a="1"/>
  <c r="O48" i="256" s="1"/>
  <c r="L46" i="256" a="1"/>
  <c r="L46" i="256" s="1"/>
  <c r="B117" i="256" a="1"/>
  <c r="B117" i="256" s="1"/>
  <c r="I34" i="256" a="1"/>
  <c r="I34" i="256" s="1"/>
  <c r="I40" i="256" a="1"/>
  <c r="I40" i="256" s="1"/>
  <c r="I48" i="256" a="1"/>
  <c r="I48" i="256" s="1"/>
  <c r="I56" i="256" a="1"/>
  <c r="I56" i="256" s="1"/>
  <c r="C79" i="256" a="1"/>
  <c r="C79" i="256" s="1"/>
  <c r="J33" i="256" a="1"/>
  <c r="J33" i="256" s="1"/>
  <c r="B32" i="256" a="1"/>
  <c r="B32" i="256" s="1"/>
  <c r="B40" i="256" a="1"/>
  <c r="B40" i="256" s="1"/>
  <c r="B48" i="256" a="1"/>
  <c r="B48" i="256" s="1"/>
  <c r="M75" i="256" a="1"/>
  <c r="M75" i="256" s="1"/>
  <c r="I51" i="256" a="1"/>
  <c r="I51" i="256" s="1"/>
  <c r="M101" i="256" a="1"/>
  <c r="M101" i="256" s="1"/>
  <c r="M93" i="256" a="1"/>
  <c r="M93" i="256" s="1"/>
  <c r="M85" i="256" a="1"/>
  <c r="M85" i="256" s="1"/>
  <c r="M77" i="256" a="1"/>
  <c r="M77" i="256" s="1"/>
  <c r="M69" i="256" a="1"/>
  <c r="M69" i="256" s="1"/>
  <c r="M61" i="256" a="1"/>
  <c r="M61" i="256" s="1"/>
  <c r="M53" i="256" a="1"/>
  <c r="M53" i="256" s="1"/>
  <c r="M48" i="256" a="1"/>
  <c r="M48" i="256" s="1"/>
  <c r="L43" i="256" a="1"/>
  <c r="L43" i="256" s="1"/>
  <c r="B114" i="256" a="1"/>
  <c r="B114" i="256" s="1"/>
  <c r="B110" i="256" a="1"/>
  <c r="B110" i="256" s="1"/>
  <c r="I35" i="256" a="1"/>
  <c r="I35" i="256" s="1"/>
  <c r="I41" i="256" a="1"/>
  <c r="I41" i="256" s="1"/>
  <c r="I49" i="256" a="1"/>
  <c r="I49" i="256" s="1"/>
  <c r="I57" i="256" a="1"/>
  <c r="I57" i="256" s="1"/>
  <c r="J34" i="256" a="1"/>
  <c r="J34" i="256" s="1"/>
  <c r="B33" i="256" a="1"/>
  <c r="B33" i="256" s="1"/>
  <c r="B41" i="256" a="1"/>
  <c r="B41" i="256" s="1"/>
  <c r="M91" i="256" a="1"/>
  <c r="M91" i="256" s="1"/>
  <c r="M51" i="256" a="1"/>
  <c r="M51" i="256" s="1"/>
  <c r="B116" i="256" a="1"/>
  <c r="B116" i="256" s="1"/>
  <c r="J11" i="256" a="1"/>
  <c r="J11" i="256" s="1"/>
  <c r="E11" i="256" s="1"/>
  <c r="M100" i="256" a="1"/>
  <c r="M100" i="256" s="1"/>
  <c r="M92" i="256" a="1"/>
  <c r="M92" i="256" s="1"/>
  <c r="M84" i="256" a="1"/>
  <c r="M84" i="256" s="1"/>
  <c r="M76" i="256" a="1"/>
  <c r="M76" i="256" s="1"/>
  <c r="M68" i="256" a="1"/>
  <c r="M68" i="256" s="1"/>
  <c r="M60" i="256" a="1"/>
  <c r="M60" i="256" s="1"/>
  <c r="M52" i="256" a="1"/>
  <c r="M52" i="256" s="1"/>
  <c r="L48" i="256" a="1"/>
  <c r="L48" i="256" s="1"/>
  <c r="B119" i="256" a="1"/>
  <c r="B119" i="256" s="1"/>
  <c r="I42" i="256" a="1"/>
  <c r="I42" i="256" s="1"/>
  <c r="I50" i="256" a="1"/>
  <c r="I50" i="256" s="1"/>
  <c r="I58" i="256" a="1"/>
  <c r="I58" i="256" s="1"/>
  <c r="B34" i="256" a="1"/>
  <c r="B34" i="256" s="1"/>
  <c r="B42" i="256" a="1"/>
  <c r="B42" i="256" s="1"/>
  <c r="M99" i="256" a="1"/>
  <c r="M99" i="256" s="1"/>
  <c r="M59" i="256" a="1"/>
  <c r="M59" i="256" s="1"/>
  <c r="L45" i="256" a="1"/>
  <c r="L45" i="256" s="1"/>
  <c r="B113" i="256" a="1"/>
  <c r="B113" i="256" s="1"/>
  <c r="I36" i="256" a="1"/>
  <c r="I36" i="256" s="1"/>
  <c r="B35" i="256" a="1"/>
  <c r="B35" i="256" s="1"/>
  <c r="K22" i="255"/>
  <c r="J22" i="255" s="1"/>
  <c r="N33" i="255"/>
  <c r="K24" i="255"/>
  <c r="O33" i="255"/>
  <c r="K19" i="255"/>
  <c r="L33" i="255"/>
  <c r="F61" i="255" s="1" a="1"/>
  <c r="F61" i="255" s="1"/>
  <c r="P33" i="255"/>
  <c r="V33" i="255"/>
  <c r="K20" i="255"/>
  <c r="J20" i="255" s="1"/>
  <c r="K23" i="255"/>
  <c r="J23" i="255" s="1"/>
  <c r="AE33" i="255"/>
  <c r="K21" i="255"/>
  <c r="J21" i="255" s="1"/>
  <c r="M33" i="255"/>
  <c r="P12" i="254"/>
  <c r="P13" i="254"/>
  <c r="P14" i="254"/>
  <c r="P15" i="254"/>
  <c r="P16" i="254"/>
  <c r="P17" i="254"/>
  <c r="P18" i="254"/>
  <c r="P19" i="254"/>
  <c r="P20" i="254"/>
  <c r="P21" i="254"/>
  <c r="P23" i="254"/>
  <c r="P24" i="254"/>
  <c r="P25" i="254"/>
  <c r="P26" i="254"/>
  <c r="P27" i="254"/>
  <c r="P28" i="254"/>
  <c r="P29" i="254"/>
  <c r="P30" i="254"/>
  <c r="P47" i="254"/>
  <c r="P48" i="254"/>
  <c r="P49" i="254"/>
  <c r="P50" i="254"/>
  <c r="P51" i="254"/>
  <c r="P52" i="254"/>
  <c r="P11" i="254"/>
  <c r="O12" i="254"/>
  <c r="O13" i="254"/>
  <c r="O14" i="254"/>
  <c r="O15" i="254"/>
  <c r="O16" i="254"/>
  <c r="O17" i="254"/>
  <c r="O18" i="254"/>
  <c r="O19" i="254"/>
  <c r="O20" i="254"/>
  <c r="O21" i="254"/>
  <c r="O22" i="254"/>
  <c r="O23" i="254"/>
  <c r="O24" i="254"/>
  <c r="O25" i="254"/>
  <c r="O26" i="254"/>
  <c r="O27" i="254"/>
  <c r="O28" i="254"/>
  <c r="O29" i="254"/>
  <c r="O30" i="254"/>
  <c r="O47" i="254"/>
  <c r="O48" i="254"/>
  <c r="O49" i="254"/>
  <c r="O50" i="254"/>
  <c r="O51" i="254"/>
  <c r="O52" i="254"/>
  <c r="O11" i="254"/>
  <c r="M12" i="254"/>
  <c r="M13" i="254"/>
  <c r="M14" i="254"/>
  <c r="M15" i="254"/>
  <c r="M16" i="254"/>
  <c r="M17" i="254"/>
  <c r="M18" i="254"/>
  <c r="M19" i="254"/>
  <c r="M20" i="254"/>
  <c r="M21" i="254"/>
  <c r="M22" i="254"/>
  <c r="M23" i="254"/>
  <c r="M24" i="254"/>
  <c r="M25" i="254"/>
  <c r="M26" i="254"/>
  <c r="M27" i="254"/>
  <c r="M28" i="254"/>
  <c r="M29" i="254"/>
  <c r="M30" i="254"/>
  <c r="M47" i="254"/>
  <c r="M48" i="254"/>
  <c r="M49" i="254"/>
  <c r="M50" i="254"/>
  <c r="M51" i="254"/>
  <c r="M52" i="254"/>
  <c r="N12" i="254"/>
  <c r="N13" i="254"/>
  <c r="N14" i="254"/>
  <c r="N15" i="254"/>
  <c r="N16" i="254"/>
  <c r="N17" i="254"/>
  <c r="N18" i="254"/>
  <c r="N19" i="254"/>
  <c r="N20" i="254"/>
  <c r="N21" i="254"/>
  <c r="N22" i="254"/>
  <c r="N23" i="254"/>
  <c r="N24" i="254"/>
  <c r="N25" i="254"/>
  <c r="N26" i="254"/>
  <c r="N27" i="254"/>
  <c r="N28" i="254"/>
  <c r="N29" i="254"/>
  <c r="N30" i="254"/>
  <c r="N47" i="254"/>
  <c r="N48" i="254"/>
  <c r="N49" i="254"/>
  <c r="N50" i="254"/>
  <c r="N51" i="254"/>
  <c r="N52" i="254"/>
  <c r="N11" i="254"/>
  <c r="M11" i="254"/>
  <c r="L12" i="254"/>
  <c r="L13" i="254"/>
  <c r="L14" i="254"/>
  <c r="L15" i="254"/>
  <c r="L16" i="254"/>
  <c r="L17" i="254"/>
  <c r="L18" i="254"/>
  <c r="L19" i="254"/>
  <c r="L20" i="254"/>
  <c r="L21" i="254"/>
  <c r="L22" i="254"/>
  <c r="L23" i="254"/>
  <c r="L24" i="254"/>
  <c r="L25" i="254"/>
  <c r="L26" i="254"/>
  <c r="L27" i="254"/>
  <c r="L28" i="254"/>
  <c r="L29" i="254"/>
  <c r="L30" i="254"/>
  <c r="L47" i="254"/>
  <c r="L48" i="254"/>
  <c r="L49" i="254"/>
  <c r="L50" i="254"/>
  <c r="L51" i="254"/>
  <c r="L52" i="254"/>
  <c r="L11" i="254"/>
  <c r="K12" i="254"/>
  <c r="K13" i="254"/>
  <c r="K14" i="254"/>
  <c r="K15" i="254"/>
  <c r="K16" i="254"/>
  <c r="K17" i="254"/>
  <c r="K18" i="254"/>
  <c r="K19" i="254"/>
  <c r="K20" i="254"/>
  <c r="K21" i="254"/>
  <c r="K22" i="254"/>
  <c r="K23" i="254"/>
  <c r="K24" i="254"/>
  <c r="K25" i="254"/>
  <c r="K26" i="254"/>
  <c r="K27" i="254"/>
  <c r="K28" i="254"/>
  <c r="K29" i="254"/>
  <c r="K30" i="254"/>
  <c r="K47" i="254"/>
  <c r="K48" i="254"/>
  <c r="K49" i="254"/>
  <c r="K50" i="254"/>
  <c r="K51" i="254"/>
  <c r="K52" i="254"/>
  <c r="K11" i="254"/>
  <c r="J12" i="254"/>
  <c r="J13" i="254"/>
  <c r="J14" i="254"/>
  <c r="J15" i="254"/>
  <c r="J16" i="254"/>
  <c r="J17" i="254"/>
  <c r="J18" i="254"/>
  <c r="J19" i="254"/>
  <c r="J20" i="254"/>
  <c r="J21" i="254"/>
  <c r="J22" i="254"/>
  <c r="J23" i="254"/>
  <c r="J24" i="254"/>
  <c r="J25" i="254"/>
  <c r="J26" i="254"/>
  <c r="J27" i="254"/>
  <c r="J28" i="254"/>
  <c r="J29" i="254"/>
  <c r="J30" i="254"/>
  <c r="J47" i="254"/>
  <c r="J48" i="254"/>
  <c r="J49" i="254"/>
  <c r="J50" i="254"/>
  <c r="J51" i="254"/>
  <c r="J52" i="254"/>
  <c r="J11" i="254"/>
  <c r="I12" i="254"/>
  <c r="I13" i="254"/>
  <c r="I14" i="254"/>
  <c r="I15" i="254"/>
  <c r="I16" i="254"/>
  <c r="I17" i="254"/>
  <c r="I18" i="254"/>
  <c r="I19" i="254"/>
  <c r="I20" i="254"/>
  <c r="I21" i="254"/>
  <c r="I22" i="254"/>
  <c r="I23" i="254"/>
  <c r="I24" i="254"/>
  <c r="I25" i="254"/>
  <c r="I26" i="254"/>
  <c r="I27" i="254"/>
  <c r="I28" i="254"/>
  <c r="I29" i="254"/>
  <c r="I30" i="254"/>
  <c r="I47" i="254"/>
  <c r="I48" i="254"/>
  <c r="I49" i="254"/>
  <c r="I50" i="254"/>
  <c r="I51" i="254"/>
  <c r="I52" i="254"/>
  <c r="I11" i="254"/>
  <c r="H12" i="254"/>
  <c r="H13" i="254"/>
  <c r="H14" i="254"/>
  <c r="H15" i="254"/>
  <c r="H16" i="254"/>
  <c r="H17" i="254"/>
  <c r="H18" i="254"/>
  <c r="H19" i="254"/>
  <c r="H20" i="254"/>
  <c r="H21" i="254"/>
  <c r="H22" i="254"/>
  <c r="H23" i="254"/>
  <c r="H24" i="254"/>
  <c r="H25" i="254"/>
  <c r="H26" i="254"/>
  <c r="H27" i="254"/>
  <c r="H28" i="254"/>
  <c r="H29" i="254"/>
  <c r="H30" i="254"/>
  <c r="H47" i="254"/>
  <c r="H48" i="254"/>
  <c r="H49" i="254"/>
  <c r="H50" i="254"/>
  <c r="H51" i="254"/>
  <c r="H52" i="254"/>
  <c r="H11" i="254"/>
  <c r="G12" i="254"/>
  <c r="G13" i="254"/>
  <c r="G14" i="254"/>
  <c r="G15" i="254"/>
  <c r="G16" i="254"/>
  <c r="G17" i="254"/>
  <c r="G18" i="254"/>
  <c r="G19" i="254"/>
  <c r="G20" i="254"/>
  <c r="G21" i="254"/>
  <c r="G22" i="254"/>
  <c r="G23" i="254"/>
  <c r="G24" i="254"/>
  <c r="G25" i="254"/>
  <c r="G26" i="254"/>
  <c r="G27" i="254"/>
  <c r="G28" i="254"/>
  <c r="G29" i="254"/>
  <c r="G30" i="254"/>
  <c r="G47" i="254"/>
  <c r="G48" i="254"/>
  <c r="G49" i="254"/>
  <c r="G50" i="254"/>
  <c r="G51" i="254"/>
  <c r="G52" i="254"/>
  <c r="G11" i="254"/>
  <c r="F47" i="254"/>
  <c r="F48" i="254"/>
  <c r="F49" i="254"/>
  <c r="F50" i="254"/>
  <c r="F51" i="254"/>
  <c r="F52" i="254"/>
  <c r="F11" i="254"/>
  <c r="E100" i="256" l="1"/>
  <c r="E21" i="256"/>
  <c r="F57" i="255" a="1"/>
  <c r="F57" i="255" s="1"/>
  <c r="F49" i="255" a="1"/>
  <c r="F49" i="255" s="1"/>
  <c r="F56" i="255" a="1"/>
  <c r="F56" i="255" s="1"/>
  <c r="F54" i="255" a="1"/>
  <c r="F54" i="255" s="1"/>
  <c r="F52" i="255" a="1"/>
  <c r="F52" i="255" s="1"/>
  <c r="F53" i="255" a="1"/>
  <c r="F53" i="255" s="1"/>
  <c r="F50" i="255" a="1"/>
  <c r="F50" i="255" s="1"/>
  <c r="F59" i="255" a="1"/>
  <c r="F59" i="255" s="1"/>
  <c r="F60" i="255" a="1"/>
  <c r="F60" i="255" s="1"/>
  <c r="F51" i="255" a="1"/>
  <c r="F51" i="255" s="1"/>
  <c r="F55" i="255" a="1"/>
  <c r="F55" i="255" s="1"/>
  <c r="F48" i="255" a="1"/>
  <c r="F48" i="255" s="1"/>
  <c r="F58" i="255" a="1"/>
  <c r="F58" i="255" s="1"/>
  <c r="J19" i="255"/>
  <c r="J33" i="255" s="1"/>
  <c r="K33" i="255"/>
  <c r="L148" i="254"/>
  <c r="K148" i="254"/>
  <c r="J148" i="254"/>
  <c r="L147" i="254"/>
  <c r="K147" i="254"/>
  <c r="J147" i="254"/>
  <c r="S146" i="254"/>
  <c r="R146" i="254"/>
  <c r="L146" i="254"/>
  <c r="K146" i="254"/>
  <c r="J146" i="254"/>
  <c r="S145" i="254"/>
  <c r="R145" i="254"/>
  <c r="L145" i="254"/>
  <c r="K145" i="254"/>
  <c r="J145" i="254"/>
  <c r="L144" i="254"/>
  <c r="K144" i="254"/>
  <c r="J144" i="254"/>
  <c r="L143" i="254"/>
  <c r="K143" i="254"/>
  <c r="J143" i="254"/>
  <c r="L142" i="254"/>
  <c r="K142" i="254"/>
  <c r="J142" i="254"/>
  <c r="L141" i="254"/>
  <c r="K141" i="254"/>
  <c r="J141" i="254"/>
  <c r="L140" i="254"/>
  <c r="K140" i="254"/>
  <c r="J140" i="254"/>
  <c r="N139" i="254"/>
  <c r="B103" i="254"/>
  <c r="G102" i="254"/>
  <c r="B102" i="254"/>
  <c r="B100" i="254"/>
  <c r="I99" i="254"/>
  <c r="F99" i="254"/>
  <c r="I98" i="254"/>
  <c r="F98" i="254"/>
  <c r="G578" i="225" l="1"/>
  <c r="G577" i="225"/>
  <c r="G315" i="225"/>
  <c r="G314" i="225"/>
  <c r="G313" i="225"/>
  <c r="G312" i="225"/>
  <c r="G311" i="225"/>
  <c r="G310" i="225"/>
  <c r="G309" i="225"/>
  <c r="G308" i="225"/>
  <c r="G307" i="225"/>
  <c r="G306" i="225"/>
  <c r="G305" i="225"/>
  <c r="G304" i="225"/>
  <c r="G303" i="225"/>
  <c r="G302" i="225"/>
  <c r="S14" i="237" s="1"/>
  <c r="T14" i="237" s="1"/>
  <c r="G301" i="225"/>
  <c r="G300" i="225"/>
  <c r="G299" i="225"/>
  <c r="G298" i="225"/>
  <c r="G297" i="225"/>
  <c r="G296" i="225"/>
  <c r="G295" i="225"/>
  <c r="G294" i="225"/>
  <c r="G293" i="225"/>
  <c r="G292" i="225"/>
  <c r="G291" i="225"/>
  <c r="G290" i="225"/>
  <c r="G289" i="225"/>
  <c r="G288" i="225"/>
  <c r="G287" i="225"/>
  <c r="G286" i="225"/>
  <c r="G285" i="225"/>
  <c r="G284" i="225"/>
  <c r="G283" i="225"/>
  <c r="G282" i="225"/>
  <c r="G281" i="225"/>
  <c r="G280" i="225"/>
  <c r="S15" i="237" s="1"/>
  <c r="T15" i="237" s="1"/>
  <c r="G279" i="225"/>
  <c r="G278" i="225"/>
  <c r="G277" i="225"/>
  <c r="G276" i="225"/>
  <c r="G275" i="225"/>
  <c r="G274" i="225"/>
  <c r="G273" i="225"/>
  <c r="G272" i="225"/>
  <c r="S16" i="237" s="1"/>
  <c r="T16" i="237" s="1"/>
  <c r="G271" i="225"/>
  <c r="G270" i="225"/>
  <c r="G268" i="225"/>
  <c r="G269" i="225"/>
  <c r="G267" i="225"/>
  <c r="G266" i="225"/>
  <c r="G265" i="225"/>
  <c r="G264" i="225"/>
  <c r="G263" i="225"/>
  <c r="G262" i="225"/>
  <c r="G261" i="225"/>
  <c r="G260" i="225"/>
  <c r="G259" i="225"/>
  <c r="G258" i="225"/>
  <c r="G257" i="225"/>
  <c r="G256" i="225"/>
  <c r="G255" i="225"/>
  <c r="G254" i="225"/>
  <c r="G253" i="225"/>
  <c r="G252" i="225"/>
  <c r="G251" i="225"/>
  <c r="G250" i="225"/>
  <c r="G249" i="225"/>
  <c r="G248" i="225"/>
  <c r="G247" i="225"/>
  <c r="G246" i="225"/>
  <c r="G245" i="225"/>
  <c r="G244" i="225"/>
  <c r="G243" i="225"/>
  <c r="G242" i="225"/>
  <c r="G241" i="225"/>
  <c r="G240" i="225"/>
  <c r="G239" i="225"/>
  <c r="G238" i="225"/>
  <c r="G237" i="225"/>
  <c r="G236" i="225"/>
  <c r="G235" i="225"/>
  <c r="G234" i="225"/>
  <c r="G233" i="225"/>
  <c r="G232" i="225"/>
  <c r="G231" i="225"/>
  <c r="G230" i="225"/>
  <c r="G229" i="225"/>
  <c r="G228" i="225"/>
  <c r="G227" i="225"/>
  <c r="G226" i="225"/>
  <c r="G225" i="225"/>
  <c r="G224" i="225"/>
  <c r="G137" i="225"/>
  <c r="G136" i="225"/>
  <c r="G185" i="225"/>
  <c r="G184" i="225"/>
  <c r="G183" i="225"/>
  <c r="N18" i="237" s="1"/>
  <c r="O18" i="237" s="1"/>
  <c r="G182" i="225"/>
  <c r="G181" i="225"/>
  <c r="G178" i="225"/>
  <c r="G177" i="225"/>
  <c r="G176" i="225"/>
  <c r="G175" i="225"/>
  <c r="G174" i="225"/>
  <c r="G173" i="225"/>
  <c r="G172" i="225"/>
  <c r="G170" i="225"/>
  <c r="G171" i="225"/>
  <c r="G169" i="225"/>
  <c r="G148" i="225" l="1"/>
  <c r="G83" i="225"/>
  <c r="G218" i="225"/>
  <c r="G221" i="225"/>
  <c r="G214" i="225"/>
  <c r="G152" i="225"/>
  <c r="N19" i="237" s="1"/>
  <c r="O19" i="237" s="1"/>
  <c r="G193" i="225"/>
  <c r="G215" i="225"/>
  <c r="G112" i="225"/>
  <c r="G120" i="225" l="1"/>
  <c r="G89" i="225"/>
  <c r="G84" i="225"/>
  <c r="G107" i="225"/>
  <c r="G92" i="225"/>
  <c r="G125" i="225"/>
  <c r="G128" i="225"/>
  <c r="G216" i="225"/>
  <c r="G480" i="225"/>
  <c r="G132" i="225"/>
  <c r="G513" i="225"/>
  <c r="G549" i="225"/>
  <c r="G41" i="225"/>
  <c r="G108" i="225"/>
  <c r="G327" i="225"/>
  <c r="G155" i="225"/>
  <c r="G179" i="225"/>
  <c r="G198" i="225"/>
  <c r="G118" i="225"/>
  <c r="S17" i="237"/>
  <c r="T17" i="237" s="1"/>
  <c r="G117" i="225"/>
  <c r="G205" i="225"/>
  <c r="G319" i="225"/>
  <c r="G76" i="225"/>
  <c r="G133" i="225"/>
  <c r="G10" i="225"/>
  <c r="G51" i="225"/>
  <c r="G24" i="225"/>
  <c r="G12" i="225"/>
  <c r="G138" i="225"/>
  <c r="G58" i="225"/>
  <c r="G28" i="225"/>
  <c r="G161" i="225"/>
  <c r="G150" i="225"/>
  <c r="G100" i="225"/>
  <c r="G547" i="225"/>
  <c r="G25" i="225"/>
  <c r="G514" i="225"/>
  <c r="G551" i="225"/>
  <c r="G526" i="225"/>
  <c r="G63" i="225"/>
  <c r="G13" i="225"/>
  <c r="G30" i="225"/>
  <c r="G27" i="225"/>
  <c r="G222" i="225"/>
  <c r="S27" i="237" s="1"/>
  <c r="T27" i="237" s="1"/>
  <c r="I42" i="237"/>
  <c r="G208" i="225"/>
  <c r="I37" i="237" s="1"/>
  <c r="G53" i="225"/>
  <c r="G139" i="225"/>
  <c r="N17" i="237" s="1"/>
  <c r="O17" i="237" s="1"/>
  <c r="G168" i="225"/>
  <c r="G17" i="225"/>
  <c r="G44" i="225"/>
  <c r="G60" i="225"/>
  <c r="G151" i="225"/>
  <c r="G156" i="225"/>
  <c r="G69" i="225"/>
  <c r="G77" i="225"/>
  <c r="G85" i="225"/>
  <c r="G93" i="225"/>
  <c r="G101" i="225"/>
  <c r="G109" i="225"/>
  <c r="G119" i="225"/>
  <c r="G113" i="225"/>
  <c r="G134" i="225"/>
  <c r="G219" i="225"/>
  <c r="G482" i="225"/>
  <c r="G320" i="225"/>
  <c r="G515" i="225"/>
  <c r="G525" i="225"/>
  <c r="G530" i="225"/>
  <c r="G61" i="225"/>
  <c r="G64" i="225"/>
  <c r="G14" i="225"/>
  <c r="G32" i="225"/>
  <c r="G29" i="225"/>
  <c r="G223" i="225"/>
  <c r="G199" i="225"/>
  <c r="I41" i="237" s="1"/>
  <c r="G209" i="225"/>
  <c r="I39" i="237" s="1"/>
  <c r="G55" i="225"/>
  <c r="G18" i="225"/>
  <c r="G46" i="225"/>
  <c r="G140" i="225"/>
  <c r="G149" i="225"/>
  <c r="G162" i="225"/>
  <c r="G70" i="225"/>
  <c r="G78" i="225"/>
  <c r="G86" i="225"/>
  <c r="G94" i="225"/>
  <c r="G102" i="225"/>
  <c r="G110" i="225"/>
  <c r="G131" i="225"/>
  <c r="G135" i="225"/>
  <c r="G321" i="225"/>
  <c r="G527" i="225"/>
  <c r="G529" i="225"/>
  <c r="G534" i="225"/>
  <c r="G62" i="225"/>
  <c r="G65" i="225"/>
  <c r="G15" i="225"/>
  <c r="G34" i="225"/>
  <c r="G31" i="225"/>
  <c r="G579" i="225"/>
  <c r="S31" i="237" s="1"/>
  <c r="T31" i="237" s="1"/>
  <c r="G200" i="225"/>
  <c r="I44" i="237" s="1"/>
  <c r="G210" i="225"/>
  <c r="G57" i="225"/>
  <c r="G144" i="225"/>
  <c r="N15" i="237" s="1"/>
  <c r="O15" i="237" s="1"/>
  <c r="G19" i="225"/>
  <c r="S28" i="237" s="1"/>
  <c r="T28" i="237" s="1"/>
  <c r="G48" i="225"/>
  <c r="S29" i="237" s="1"/>
  <c r="T29" i="237" s="1"/>
  <c r="G141" i="225"/>
  <c r="G163" i="225"/>
  <c r="G212" i="225"/>
  <c r="G71" i="225"/>
  <c r="G79" i="225"/>
  <c r="G87" i="225"/>
  <c r="G95" i="225"/>
  <c r="G104" i="225"/>
  <c r="G111" i="225"/>
  <c r="G121" i="225"/>
  <c r="G127" i="225"/>
  <c r="G220" i="225"/>
  <c r="G326" i="225"/>
  <c r="G483" i="225"/>
  <c r="G472" i="225"/>
  <c r="G484" i="225"/>
  <c r="G322" i="225"/>
  <c r="G421" i="225"/>
  <c r="G509" i="225"/>
  <c r="G531" i="225"/>
  <c r="G533" i="225"/>
  <c r="G538" i="225"/>
  <c r="G6" i="225"/>
  <c r="G66" i="225"/>
  <c r="G16" i="225"/>
  <c r="G36" i="225"/>
  <c r="G33" i="225"/>
  <c r="G211" i="225"/>
  <c r="G201" i="225"/>
  <c r="G43" i="225"/>
  <c r="G59" i="225"/>
  <c r="G145" i="225"/>
  <c r="G180" i="225"/>
  <c r="G20" i="225"/>
  <c r="G50" i="225"/>
  <c r="G142" i="225"/>
  <c r="G157" i="225"/>
  <c r="G166" i="225"/>
  <c r="G213" i="225"/>
  <c r="G72" i="225"/>
  <c r="G80" i="225"/>
  <c r="G88" i="225"/>
  <c r="G97" i="225"/>
  <c r="G103" i="225"/>
  <c r="G122" i="225"/>
  <c r="G323" i="225"/>
  <c r="G510" i="225"/>
  <c r="G535" i="225"/>
  <c r="G537" i="225"/>
  <c r="G542" i="225"/>
  <c r="G67" i="225"/>
  <c r="G4" i="225"/>
  <c r="S34" i="237" s="1"/>
  <c r="T34" i="237" s="1"/>
  <c r="G38" i="225"/>
  <c r="G35" i="225"/>
  <c r="G202" i="225"/>
  <c r="G45" i="225"/>
  <c r="G146" i="225"/>
  <c r="N16" i="237" s="1"/>
  <c r="O16" i="237" s="1"/>
  <c r="G316" i="225"/>
  <c r="G21" i="225"/>
  <c r="G52" i="225"/>
  <c r="G143" i="225"/>
  <c r="G158" i="225"/>
  <c r="G167" i="225"/>
  <c r="G73" i="225"/>
  <c r="G82" i="225"/>
  <c r="G96" i="225"/>
  <c r="G105" i="225"/>
  <c r="G114" i="225"/>
  <c r="G124" i="225"/>
  <c r="G129" i="225"/>
  <c r="G477" i="225"/>
  <c r="G474" i="225"/>
  <c r="G478" i="225"/>
  <c r="G324" i="225"/>
  <c r="G511" i="225"/>
  <c r="G539" i="225"/>
  <c r="G541" i="225"/>
  <c r="G546" i="225"/>
  <c r="G8" i="225"/>
  <c r="G68" i="225"/>
  <c r="G5" i="225"/>
  <c r="S33" i="237" s="1"/>
  <c r="T33" i="237" s="1"/>
  <c r="G40" i="225"/>
  <c r="G37" i="225"/>
  <c r="G203" i="225"/>
  <c r="I38" i="237" s="1"/>
  <c r="G47" i="225"/>
  <c r="S30" i="237" s="1"/>
  <c r="T30" i="237" s="1"/>
  <c r="G159" i="225"/>
  <c r="G317" i="225"/>
  <c r="G22" i="225"/>
  <c r="G54" i="225"/>
  <c r="G147" i="225"/>
  <c r="G153" i="225"/>
  <c r="G164" i="225"/>
  <c r="G74" i="225"/>
  <c r="G81" i="225"/>
  <c r="G90" i="225"/>
  <c r="G98" i="225"/>
  <c r="G106" i="225"/>
  <c r="G115" i="225"/>
  <c r="G130" i="225"/>
  <c r="G217" i="225"/>
  <c r="G481" i="225"/>
  <c r="G471" i="225"/>
  <c r="G473" i="225"/>
  <c r="G479" i="225"/>
  <c r="G325" i="225"/>
  <c r="G512" i="225"/>
  <c r="G543" i="225"/>
  <c r="G545" i="225"/>
  <c r="G550" i="225"/>
  <c r="G469" i="225"/>
  <c r="G9" i="225"/>
  <c r="G11" i="225"/>
  <c r="G26" i="225"/>
  <c r="G42" i="225"/>
  <c r="G39" i="225"/>
  <c r="G204" i="225"/>
  <c r="I40" i="237" s="1"/>
  <c r="G49" i="225"/>
  <c r="G160" i="225"/>
  <c r="G318" i="225"/>
  <c r="S19" i="237" s="1"/>
  <c r="T19" i="237" s="1"/>
  <c r="G23" i="225"/>
  <c r="G56" i="225"/>
  <c r="G154" i="225"/>
  <c r="G165" i="225"/>
  <c r="S18" i="237"/>
  <c r="T18" i="237" s="1"/>
  <c r="G75" i="225"/>
  <c r="G91" i="225"/>
  <c r="G99" i="225"/>
  <c r="G116" i="225"/>
  <c r="G126" i="225"/>
  <c r="S32" i="237" l="1"/>
  <c r="T32" i="237" s="1"/>
  <c r="N20" i="237"/>
  <c r="O20" i="237" s="1"/>
  <c r="N21" i="237"/>
  <c r="O21" i="237" s="1"/>
  <c r="O26" i="231"/>
  <c r="O27" i="231"/>
  <c r="O28" i="231"/>
  <c r="O29" i="231"/>
  <c r="O30" i="231"/>
  <c r="O31" i="231"/>
  <c r="O32" i="231"/>
  <c r="O33" i="231"/>
  <c r="M26" i="231"/>
  <c r="M27" i="231"/>
  <c r="M28" i="231"/>
  <c r="M29" i="231"/>
  <c r="M30" i="231"/>
  <c r="M31" i="231"/>
  <c r="M32" i="231"/>
  <c r="M33" i="231"/>
  <c r="I135" i="229"/>
  <c r="I136" i="229"/>
  <c r="I137" i="229"/>
  <c r="I138" i="229"/>
  <c r="I139" i="229"/>
  <c r="I140" i="229"/>
  <c r="I141" i="229"/>
  <c r="I142" i="229"/>
  <c r="I143" i="229"/>
  <c r="K135" i="229"/>
  <c r="K136" i="229"/>
  <c r="K137" i="229"/>
  <c r="K138" i="229"/>
  <c r="K139" i="229"/>
  <c r="K140" i="229"/>
  <c r="K141" i="229"/>
  <c r="K142" i="229"/>
  <c r="K143" i="229"/>
  <c r="J135" i="229"/>
  <c r="J136" i="229"/>
  <c r="J137" i="229"/>
  <c r="J138" i="229"/>
  <c r="J139" i="229"/>
  <c r="J140" i="229"/>
  <c r="J141" i="229"/>
  <c r="J142" i="229"/>
  <c r="J143" i="229"/>
  <c r="AA59" i="251" l="1"/>
  <c r="AB59" i="251" s="1"/>
  <c r="AA54" i="251"/>
  <c r="AA32" i="251"/>
  <c r="AA31" i="251"/>
  <c r="AA30" i="251"/>
  <c r="Y5" i="251"/>
  <c r="S1" i="230" l="1"/>
  <c r="R1" i="230"/>
  <c r="T1" i="231"/>
  <c r="S1" i="231"/>
  <c r="AP38" i="135" l="1"/>
  <c r="C23" i="130" l="1"/>
  <c r="L31" i="231" s="1"/>
  <c r="M24" i="230"/>
  <c r="B15" i="130"/>
  <c r="L28" i="231" l="1"/>
  <c r="L27" i="231"/>
  <c r="L14" i="231"/>
  <c r="L33" i="231"/>
  <c r="L32" i="231"/>
  <c r="L30" i="231"/>
  <c r="L29" i="231"/>
  <c r="AR28" i="135"/>
  <c r="O51" i="248" l="1"/>
  <c r="N51" i="248"/>
  <c r="M51" i="248"/>
  <c r="L51" i="248" s="1"/>
  <c r="K48" i="248"/>
  <c r="K47" i="248"/>
  <c r="K46" i="248"/>
  <c r="K45" i="248"/>
  <c r="K39" i="248"/>
  <c r="K38" i="248"/>
  <c r="K37" i="248"/>
  <c r="K36" i="248"/>
  <c r="B23" i="130" l="1"/>
  <c r="B7" i="169" s="1"/>
  <c r="I26" i="237"/>
  <c r="I27" i="237"/>
  <c r="I28" i="237"/>
  <c r="I29" i="237"/>
  <c r="I30" i="237"/>
  <c r="I31" i="237"/>
  <c r="C7" i="169" l="1"/>
  <c r="M16" i="248"/>
  <c r="L16" i="248" s="1"/>
  <c r="N16" i="248"/>
  <c r="O16" i="248"/>
  <c r="D23" i="130"/>
  <c r="F15" i="237" l="1"/>
  <c r="G15" i="237"/>
  <c r="I15" i="237" s="1"/>
  <c r="H15" i="237"/>
  <c r="F16" i="237"/>
  <c r="G16" i="237"/>
  <c r="I16" i="237" s="1"/>
  <c r="H16" i="237"/>
  <c r="F17" i="237"/>
  <c r="G17" i="237"/>
  <c r="I17" i="237" s="1"/>
  <c r="H17" i="237"/>
  <c r="F18" i="237"/>
  <c r="G18" i="237"/>
  <c r="I18" i="237" s="1"/>
  <c r="H18" i="237"/>
  <c r="F19" i="237"/>
  <c r="G19" i="237"/>
  <c r="I19" i="237" s="1"/>
  <c r="H19" i="237"/>
  <c r="F20" i="237"/>
  <c r="G20" i="237"/>
  <c r="I20" i="237" s="1"/>
  <c r="H20" i="237"/>
  <c r="F21" i="237"/>
  <c r="G21" i="237"/>
  <c r="I21" i="237" s="1"/>
  <c r="H21" i="237"/>
  <c r="F22" i="237"/>
  <c r="G22" i="237"/>
  <c r="I22" i="237" s="1"/>
  <c r="H22" i="237"/>
  <c r="F23" i="237"/>
  <c r="G23" i="237"/>
  <c r="I23" i="237" s="1"/>
  <c r="H23" i="237"/>
  <c r="F24" i="237"/>
  <c r="G24" i="237"/>
  <c r="I24" i="237" s="1"/>
  <c r="H24" i="237"/>
  <c r="F25" i="237"/>
  <c r="G25" i="237"/>
  <c r="I25" i="237" s="1"/>
  <c r="H25" i="237"/>
  <c r="G14" i="237"/>
  <c r="I14" i="237" s="1"/>
  <c r="H14" i="237"/>
  <c r="F14" i="237"/>
  <c r="B14" i="237"/>
  <c r="D14" i="237" s="1"/>
  <c r="C14" i="237"/>
  <c r="B15" i="237"/>
  <c r="D15" i="237" s="1"/>
  <c r="C15" i="237"/>
  <c r="B16" i="237"/>
  <c r="D16" i="237" s="1"/>
  <c r="C16" i="237"/>
  <c r="B17" i="237"/>
  <c r="D17" i="237" s="1"/>
  <c r="C17" i="237"/>
  <c r="B18" i="237"/>
  <c r="D18" i="237" s="1"/>
  <c r="C18" i="237"/>
  <c r="B19" i="237"/>
  <c r="D19" i="237" s="1"/>
  <c r="C19" i="237"/>
  <c r="B20" i="237"/>
  <c r="D20" i="237" s="1"/>
  <c r="C20" i="237"/>
  <c r="B21" i="237"/>
  <c r="D21" i="237" s="1"/>
  <c r="C21" i="237"/>
  <c r="B22" i="237"/>
  <c r="D22" i="237" s="1"/>
  <c r="C22" i="237"/>
  <c r="B23" i="237"/>
  <c r="D23" i="237" s="1"/>
  <c r="C23" i="237"/>
  <c r="B24" i="237"/>
  <c r="D24" i="237" s="1"/>
  <c r="C24" i="237"/>
  <c r="B25" i="237"/>
  <c r="D25" i="237" s="1"/>
  <c r="C25" i="237"/>
  <c r="B26" i="237"/>
  <c r="D26" i="237" s="1"/>
  <c r="C26" i="237"/>
  <c r="B27" i="237"/>
  <c r="D27" i="237" s="1"/>
  <c r="C27" i="237"/>
  <c r="B28" i="237"/>
  <c r="D28" i="237" s="1"/>
  <c r="C28" i="237"/>
  <c r="B29" i="237"/>
  <c r="D29" i="237" s="1"/>
  <c r="C29" i="237"/>
  <c r="B30" i="237"/>
  <c r="D30" i="237" s="1"/>
  <c r="C30" i="237"/>
  <c r="B31" i="237"/>
  <c r="D31" i="237" s="1"/>
  <c r="C31" i="237"/>
  <c r="B32" i="237"/>
  <c r="D32" i="237" s="1"/>
  <c r="C32" i="237"/>
  <c r="B33" i="237"/>
  <c r="D33" i="237" s="1"/>
  <c r="C33" i="237"/>
  <c r="B34" i="237"/>
  <c r="D34" i="237" s="1"/>
  <c r="C34" i="237"/>
  <c r="B35" i="237"/>
  <c r="D35" i="237" s="1"/>
  <c r="C35" i="237"/>
  <c r="B36" i="237"/>
  <c r="D36" i="237" s="1"/>
  <c r="C36" i="237"/>
  <c r="B37" i="237"/>
  <c r="D37" i="237" s="1"/>
  <c r="C37" i="237"/>
  <c r="B38" i="237"/>
  <c r="D38" i="237" s="1"/>
  <c r="C38" i="237"/>
  <c r="B39" i="237"/>
  <c r="D39" i="237" s="1"/>
  <c r="C39" i="237"/>
  <c r="B40" i="237"/>
  <c r="D40" i="237" s="1"/>
  <c r="C40" i="237"/>
  <c r="B41" i="237"/>
  <c r="D41" i="237" s="1"/>
  <c r="C41" i="237"/>
  <c r="B42" i="237"/>
  <c r="D42" i="237" s="1"/>
  <c r="C42" i="237"/>
  <c r="B43" i="237"/>
  <c r="D43" i="237" s="1"/>
  <c r="C43" i="237"/>
  <c r="B44" i="237"/>
  <c r="D44" i="237" s="1"/>
  <c r="C44" i="237"/>
  <c r="B45" i="237"/>
  <c r="D45" i="237" s="1"/>
  <c r="C45" i="237"/>
  <c r="B46" i="237"/>
  <c r="D46" i="237" s="1"/>
  <c r="C46" i="237"/>
  <c r="B47" i="237"/>
  <c r="D47" i="237" s="1"/>
  <c r="C47" i="237"/>
  <c r="B48" i="237"/>
  <c r="D48" i="237" s="1"/>
  <c r="C48" i="237"/>
  <c r="B49" i="237"/>
  <c r="D49" i="237" s="1"/>
  <c r="C49" i="237"/>
  <c r="B50" i="237"/>
  <c r="D50" i="237" s="1"/>
  <c r="C50" i="237"/>
  <c r="B51" i="237"/>
  <c r="D51" i="237" s="1"/>
  <c r="C51" i="237"/>
  <c r="B52" i="237"/>
  <c r="D52" i="237" s="1"/>
  <c r="C52" i="237"/>
  <c r="B53" i="237"/>
  <c r="D53" i="237" s="1"/>
  <c r="C53" i="237"/>
  <c r="A15" i="237"/>
  <c r="A16" i="237"/>
  <c r="A17" i="237"/>
  <c r="A18" i="237"/>
  <c r="A19" i="237"/>
  <c r="A20" i="237"/>
  <c r="A21" i="237"/>
  <c r="A22" i="237"/>
  <c r="A23" i="237"/>
  <c r="A24" i="237"/>
  <c r="A25" i="237"/>
  <c r="A26" i="237"/>
  <c r="A27" i="237"/>
  <c r="A28" i="237"/>
  <c r="A29" i="237"/>
  <c r="A30" i="237"/>
  <c r="A31" i="237"/>
  <c r="A32" i="237"/>
  <c r="A33" i="237"/>
  <c r="A34" i="237"/>
  <c r="A35" i="237"/>
  <c r="A36" i="237"/>
  <c r="A37" i="237"/>
  <c r="A38" i="237"/>
  <c r="A39" i="237"/>
  <c r="A40" i="237"/>
  <c r="A41" i="237"/>
  <c r="A42" i="237"/>
  <c r="A43" i="237"/>
  <c r="A44" i="237"/>
  <c r="A45" i="237"/>
  <c r="A46" i="237"/>
  <c r="A47" i="237"/>
  <c r="A48" i="237"/>
  <c r="A49" i="237"/>
  <c r="A50" i="237"/>
  <c r="A51" i="237"/>
  <c r="A52" i="237"/>
  <c r="A53" i="237"/>
  <c r="A14" i="237"/>
  <c r="Q43" i="183"/>
  <c r="R43" i="183"/>
  <c r="Q44" i="183"/>
  <c r="R44" i="183"/>
  <c r="Q45" i="183"/>
  <c r="R45" i="183"/>
  <c r="Q46" i="183"/>
  <c r="R46" i="183"/>
  <c r="Q47" i="183"/>
  <c r="R47" i="183"/>
  <c r="Q48" i="183"/>
  <c r="R48" i="183"/>
  <c r="Q49" i="183"/>
  <c r="R49" i="183"/>
  <c r="Q50" i="183"/>
  <c r="R50" i="183"/>
  <c r="Q51" i="183"/>
  <c r="R51" i="183"/>
  <c r="Q52" i="183"/>
  <c r="R52" i="183"/>
  <c r="P44" i="183"/>
  <c r="P45" i="183"/>
  <c r="P46" i="183"/>
  <c r="P47" i="183"/>
  <c r="P48" i="183"/>
  <c r="P49" i="183"/>
  <c r="P50" i="183"/>
  <c r="P51" i="183"/>
  <c r="P52" i="183"/>
  <c r="P43" i="183"/>
  <c r="P29" i="183"/>
  <c r="Q29" i="183"/>
  <c r="R29" i="183"/>
  <c r="P30" i="183"/>
  <c r="Q30" i="183"/>
  <c r="R30" i="183"/>
  <c r="P31" i="183"/>
  <c r="Q31" i="183"/>
  <c r="R31" i="183"/>
  <c r="P32" i="183"/>
  <c r="Q32" i="183"/>
  <c r="R32" i="183"/>
  <c r="P33" i="183"/>
  <c r="Q33" i="183"/>
  <c r="R33" i="183"/>
  <c r="P34" i="183"/>
  <c r="Q34" i="183"/>
  <c r="R34" i="183"/>
  <c r="P36" i="183"/>
  <c r="Q36" i="183"/>
  <c r="R36" i="183"/>
  <c r="P37" i="183"/>
  <c r="Q37" i="183"/>
  <c r="R37" i="183"/>
  <c r="Q28" i="183"/>
  <c r="R28" i="183"/>
  <c r="P28" i="183"/>
  <c r="Q13" i="183"/>
  <c r="R13" i="183"/>
  <c r="Q14" i="183"/>
  <c r="R14" i="183"/>
  <c r="Q15" i="183"/>
  <c r="R15" i="183"/>
  <c r="Q16" i="183"/>
  <c r="R16" i="183"/>
  <c r="Q17" i="183"/>
  <c r="R17" i="183"/>
  <c r="Q18" i="183"/>
  <c r="R18" i="183"/>
  <c r="Q19" i="183"/>
  <c r="R19" i="183"/>
  <c r="Q20" i="183"/>
  <c r="R20" i="183"/>
  <c r="Q21" i="183"/>
  <c r="R21" i="183"/>
  <c r="Q22" i="183"/>
  <c r="R22" i="183"/>
  <c r="P14" i="183"/>
  <c r="P15" i="183"/>
  <c r="P16" i="183"/>
  <c r="P17" i="183"/>
  <c r="P18" i="183"/>
  <c r="P19" i="183"/>
  <c r="P20" i="183"/>
  <c r="P21" i="183"/>
  <c r="P22" i="183"/>
  <c r="P13" i="183"/>
  <c r="P14" i="237"/>
  <c r="L35" i="183"/>
  <c r="M35" i="183"/>
  <c r="L36" i="183"/>
  <c r="M36" i="183"/>
  <c r="L37" i="183"/>
  <c r="M37" i="183"/>
  <c r="L38" i="183"/>
  <c r="M38" i="183"/>
  <c r="L39" i="183"/>
  <c r="M39" i="183"/>
  <c r="L40" i="183"/>
  <c r="M40" i="183"/>
  <c r="L41" i="183"/>
  <c r="M41" i="183"/>
  <c r="L42" i="183"/>
  <c r="M42" i="183"/>
  <c r="L43" i="183"/>
  <c r="M43" i="183"/>
  <c r="L44" i="183"/>
  <c r="M44" i="183"/>
  <c r="K36" i="183"/>
  <c r="K37" i="183"/>
  <c r="K38" i="183"/>
  <c r="K39" i="183"/>
  <c r="K40" i="183"/>
  <c r="K41" i="183"/>
  <c r="K42" i="183"/>
  <c r="K43" i="183"/>
  <c r="K44" i="183"/>
  <c r="K35" i="183"/>
  <c r="L13" i="183"/>
  <c r="M13" i="183"/>
  <c r="L14" i="183"/>
  <c r="M14" i="183"/>
  <c r="L15" i="183"/>
  <c r="M15" i="183"/>
  <c r="L16" i="183"/>
  <c r="M16" i="183"/>
  <c r="L17" i="183"/>
  <c r="M17" i="183"/>
  <c r="L18" i="183"/>
  <c r="M18" i="183"/>
  <c r="L19" i="183"/>
  <c r="M19" i="183"/>
  <c r="L20" i="183"/>
  <c r="M20" i="183"/>
  <c r="L21" i="183"/>
  <c r="M21" i="183"/>
  <c r="L22" i="183"/>
  <c r="M22" i="183"/>
  <c r="L23" i="183"/>
  <c r="M23" i="183"/>
  <c r="K14" i="183"/>
  <c r="K15" i="183"/>
  <c r="K16" i="183"/>
  <c r="K17" i="183"/>
  <c r="K18" i="183"/>
  <c r="K19" i="183"/>
  <c r="K20" i="183"/>
  <c r="K21" i="183"/>
  <c r="K22" i="183"/>
  <c r="K23" i="183"/>
  <c r="K13" i="183"/>
  <c r="G37" i="183"/>
  <c r="H37" i="183"/>
  <c r="G38" i="183"/>
  <c r="H38" i="183"/>
  <c r="G39" i="183"/>
  <c r="H39" i="183"/>
  <c r="G40" i="183"/>
  <c r="H40" i="183"/>
  <c r="G41" i="183"/>
  <c r="H41" i="183"/>
  <c r="G42" i="183"/>
  <c r="H42" i="183"/>
  <c r="G43" i="183"/>
  <c r="H43" i="183"/>
  <c r="G44" i="183"/>
  <c r="H44" i="183"/>
  <c r="G45" i="183"/>
  <c r="H45" i="183"/>
  <c r="G46" i="183"/>
  <c r="H46" i="183"/>
  <c r="F38" i="183"/>
  <c r="F39" i="183"/>
  <c r="F40" i="183"/>
  <c r="F41" i="183"/>
  <c r="F42" i="183"/>
  <c r="F43" i="183"/>
  <c r="F44" i="183"/>
  <c r="F45" i="183"/>
  <c r="F46" i="183"/>
  <c r="F37" i="183"/>
  <c r="F14" i="183"/>
  <c r="G14" i="183"/>
  <c r="H14" i="183"/>
  <c r="F15" i="183"/>
  <c r="G15" i="183"/>
  <c r="H15" i="183"/>
  <c r="F16" i="183"/>
  <c r="G16" i="183"/>
  <c r="H16" i="183"/>
  <c r="F17" i="183"/>
  <c r="G17" i="183"/>
  <c r="H17" i="183"/>
  <c r="F18" i="183"/>
  <c r="G18" i="183"/>
  <c r="H18" i="183"/>
  <c r="F19" i="183"/>
  <c r="G19" i="183"/>
  <c r="H19" i="183"/>
  <c r="F20" i="183"/>
  <c r="G20" i="183"/>
  <c r="H20" i="183"/>
  <c r="F21" i="183"/>
  <c r="G21" i="183"/>
  <c r="H21" i="183"/>
  <c r="F22" i="183"/>
  <c r="G22" i="183"/>
  <c r="H22" i="183"/>
  <c r="F23" i="183"/>
  <c r="G23" i="183"/>
  <c r="H23" i="183"/>
  <c r="F24" i="183"/>
  <c r="G24" i="183"/>
  <c r="H24" i="183"/>
  <c r="G13" i="183"/>
  <c r="H13" i="183"/>
  <c r="F13" i="183"/>
  <c r="A14" i="183"/>
  <c r="A15" i="183"/>
  <c r="A16" i="183"/>
  <c r="A17" i="183"/>
  <c r="A18" i="183"/>
  <c r="A19" i="183"/>
  <c r="A20" i="183"/>
  <c r="A21" i="183"/>
  <c r="A22" i="183"/>
  <c r="A23" i="183"/>
  <c r="A24" i="183"/>
  <c r="A25" i="183"/>
  <c r="A28" i="183"/>
  <c r="A29" i="183"/>
  <c r="A30" i="183"/>
  <c r="A31" i="183"/>
  <c r="A32" i="183"/>
  <c r="A33" i="183"/>
  <c r="A34" i="183"/>
  <c r="A35" i="183"/>
  <c r="A36" i="183"/>
  <c r="A37" i="183"/>
  <c r="A38" i="183"/>
  <c r="A39" i="183"/>
  <c r="A40" i="183"/>
  <c r="A41" i="183"/>
  <c r="A42" i="183"/>
  <c r="A43" i="183"/>
  <c r="A44" i="183"/>
  <c r="A45" i="183"/>
  <c r="A46" i="183"/>
  <c r="A47" i="183"/>
  <c r="A48" i="183"/>
  <c r="A49" i="183"/>
  <c r="A50" i="183"/>
  <c r="A51" i="183"/>
  <c r="A52" i="183"/>
  <c r="A53" i="183"/>
  <c r="A54" i="183"/>
  <c r="A13" i="183"/>
  <c r="B14" i="183"/>
  <c r="D14" i="183" s="1"/>
  <c r="C14" i="183"/>
  <c r="B15" i="183"/>
  <c r="D15" i="183" s="1"/>
  <c r="C15" i="183"/>
  <c r="B16" i="183"/>
  <c r="D16" i="183" s="1"/>
  <c r="C16" i="183"/>
  <c r="B17" i="183"/>
  <c r="D17" i="183" s="1"/>
  <c r="C17" i="183"/>
  <c r="B18" i="183"/>
  <c r="D18" i="183" s="1"/>
  <c r="C18" i="183"/>
  <c r="B19" i="183"/>
  <c r="D19" i="183" s="1"/>
  <c r="C19" i="183"/>
  <c r="B20" i="183"/>
  <c r="D20" i="183" s="1"/>
  <c r="C20" i="183"/>
  <c r="B21" i="183"/>
  <c r="D21" i="183" s="1"/>
  <c r="C21" i="183"/>
  <c r="B22" i="183"/>
  <c r="D22" i="183" s="1"/>
  <c r="C22" i="183"/>
  <c r="B23" i="183"/>
  <c r="D23" i="183" s="1"/>
  <c r="C23" i="183"/>
  <c r="B24" i="183"/>
  <c r="D24" i="183" s="1"/>
  <c r="C24" i="183"/>
  <c r="B25" i="183"/>
  <c r="D25" i="183" s="1"/>
  <c r="C25" i="183"/>
  <c r="B28" i="183"/>
  <c r="D28" i="183" s="1"/>
  <c r="C28" i="183"/>
  <c r="B29" i="183"/>
  <c r="D29" i="183" s="1"/>
  <c r="C29" i="183"/>
  <c r="B30" i="183"/>
  <c r="D30" i="183" s="1"/>
  <c r="C30" i="183"/>
  <c r="B31" i="183"/>
  <c r="D31" i="183" s="1"/>
  <c r="C31" i="183"/>
  <c r="B32" i="183"/>
  <c r="D32" i="183" s="1"/>
  <c r="C32" i="183"/>
  <c r="B33" i="183"/>
  <c r="D33" i="183" s="1"/>
  <c r="C33" i="183"/>
  <c r="B34" i="183"/>
  <c r="D34" i="183" s="1"/>
  <c r="C34" i="183"/>
  <c r="B35" i="183"/>
  <c r="D35" i="183" s="1"/>
  <c r="C35" i="183"/>
  <c r="B36" i="183"/>
  <c r="D36" i="183" s="1"/>
  <c r="C36" i="183"/>
  <c r="B37" i="183"/>
  <c r="D37" i="183" s="1"/>
  <c r="C37" i="183"/>
  <c r="B38" i="183"/>
  <c r="D38" i="183" s="1"/>
  <c r="C38" i="183"/>
  <c r="B39" i="183"/>
  <c r="D39" i="183" s="1"/>
  <c r="C39" i="183"/>
  <c r="B40" i="183"/>
  <c r="D40" i="183" s="1"/>
  <c r="C40" i="183"/>
  <c r="B41" i="183"/>
  <c r="D41" i="183" s="1"/>
  <c r="C41" i="183"/>
  <c r="B42" i="183"/>
  <c r="D42" i="183" s="1"/>
  <c r="C42" i="183"/>
  <c r="B43" i="183"/>
  <c r="D43" i="183" s="1"/>
  <c r="C43" i="183"/>
  <c r="B44" i="183"/>
  <c r="D44" i="183" s="1"/>
  <c r="C44" i="183"/>
  <c r="B45" i="183"/>
  <c r="D45" i="183" s="1"/>
  <c r="C45" i="183"/>
  <c r="B46" i="183"/>
  <c r="D46" i="183" s="1"/>
  <c r="C46" i="183"/>
  <c r="B47" i="183"/>
  <c r="D47" i="183" s="1"/>
  <c r="C47" i="183"/>
  <c r="B48" i="183"/>
  <c r="D48" i="183" s="1"/>
  <c r="C48" i="183"/>
  <c r="B49" i="183"/>
  <c r="D49" i="183" s="1"/>
  <c r="C49" i="183"/>
  <c r="B50" i="183"/>
  <c r="D50" i="183" s="1"/>
  <c r="C50" i="183"/>
  <c r="B51" i="183"/>
  <c r="D51" i="183" s="1"/>
  <c r="C51" i="183"/>
  <c r="B52" i="183"/>
  <c r="D52" i="183" s="1"/>
  <c r="C52" i="183"/>
  <c r="B53" i="183"/>
  <c r="D53" i="183" s="1"/>
  <c r="C53" i="183"/>
  <c r="B54" i="183"/>
  <c r="D54" i="183" s="1"/>
  <c r="C54" i="183"/>
  <c r="C13" i="183"/>
  <c r="B13" i="183"/>
  <c r="D13" i="183" s="1"/>
  <c r="C55" i="183" l="1"/>
  <c r="E15" i="130"/>
  <c r="J5" i="232" l="1"/>
  <c r="I5" i="232"/>
  <c r="J4" i="232"/>
  <c r="I4" i="232"/>
  <c r="J3" i="232"/>
  <c r="I3" i="232"/>
  <c r="J2" i="232"/>
  <c r="I2" i="232"/>
  <c r="J1" i="232"/>
  <c r="I1" i="232"/>
  <c r="O24" i="230"/>
  <c r="N24" i="230"/>
  <c r="AA23" i="230"/>
  <c r="AA21" i="230"/>
  <c r="AA20" i="230"/>
  <c r="Z9" i="230"/>
  <c r="CK123" i="169"/>
  <c r="BG123" i="169"/>
  <c r="BH123" i="169" s="1"/>
  <c r="CK122" i="169"/>
  <c r="BG122" i="169"/>
  <c r="BH122" i="169" s="1"/>
  <c r="CK121" i="169"/>
  <c r="BG121" i="169"/>
  <c r="BH121" i="169" s="1"/>
  <c r="CK120" i="169"/>
  <c r="BG120" i="169"/>
  <c r="BH120" i="169" s="1"/>
  <c r="CK119" i="169"/>
  <c r="BG119" i="169"/>
  <c r="BH119" i="169" s="1"/>
  <c r="CK118" i="169"/>
  <c r="BG118" i="169"/>
  <c r="BH118" i="169" s="1"/>
  <c r="CK117" i="169"/>
  <c r="BG117" i="169"/>
  <c r="BH117" i="169" s="1"/>
  <c r="CK116" i="169"/>
  <c r="BG116" i="169"/>
  <c r="BH116" i="169" s="1"/>
  <c r="CK115" i="169"/>
  <c r="BG115" i="169"/>
  <c r="BH115" i="169" s="1"/>
  <c r="CK114" i="169"/>
  <c r="BG114" i="169"/>
  <c r="BH114" i="169" s="1"/>
  <c r="CK113" i="169"/>
  <c r="BG113" i="169"/>
  <c r="BH113" i="169" s="1"/>
  <c r="CK112" i="169"/>
  <c r="BG112" i="169"/>
  <c r="BH112" i="169" s="1"/>
  <c r="CK111" i="169"/>
  <c r="BG111" i="169"/>
  <c r="BH111" i="169" s="1"/>
  <c r="CK110" i="169"/>
  <c r="BG110" i="169"/>
  <c r="BH110" i="169" s="1"/>
  <c r="CK109" i="169"/>
  <c r="BG109" i="169"/>
  <c r="BH109" i="169" s="1"/>
  <c r="CK108" i="169"/>
  <c r="BG108" i="169"/>
  <c r="BH108" i="169" s="1"/>
  <c r="CK107" i="169"/>
  <c r="BG107" i="169"/>
  <c r="BH107" i="169" s="1"/>
  <c r="CK106" i="169"/>
  <c r="BG106" i="169"/>
  <c r="BH106" i="169" s="1"/>
  <c r="CK105" i="169"/>
  <c r="BG105" i="169"/>
  <c r="BH105" i="169" s="1"/>
  <c r="CK104" i="169"/>
  <c r="BG104" i="169"/>
  <c r="BH104" i="169" s="1"/>
  <c r="CK103" i="169"/>
  <c r="BG103" i="169"/>
  <c r="BH103" i="169" s="1"/>
  <c r="CK102" i="169"/>
  <c r="BG102" i="169"/>
  <c r="BH102" i="169" s="1"/>
  <c r="CK101" i="169"/>
  <c r="BG101" i="169"/>
  <c r="BH101" i="169" s="1"/>
  <c r="CK100" i="169"/>
  <c r="BG100" i="169"/>
  <c r="BH100" i="169" s="1"/>
  <c r="CK99" i="169"/>
  <c r="BG99" i="169"/>
  <c r="BH99" i="169" s="1"/>
  <c r="CK98" i="169"/>
  <c r="BG98" i="169"/>
  <c r="BH98" i="169" s="1"/>
  <c r="CK97" i="169"/>
  <c r="BG97" i="169"/>
  <c r="BH97" i="169" s="1"/>
  <c r="CK96" i="169"/>
  <c r="BG96" i="169"/>
  <c r="BH96" i="169" s="1"/>
  <c r="CK95" i="169"/>
  <c r="BG95" i="169"/>
  <c r="BH95" i="169" s="1"/>
  <c r="CK94" i="169"/>
  <c r="BG94" i="169"/>
  <c r="BH94" i="169" s="1"/>
  <c r="CK93" i="169"/>
  <c r="BG93" i="169"/>
  <c r="BH93" i="169" s="1"/>
  <c r="CK92" i="169"/>
  <c r="BG92" i="169"/>
  <c r="BH92" i="169" s="1"/>
  <c r="CK91" i="169"/>
  <c r="BG91" i="169"/>
  <c r="BH91" i="169" s="1"/>
  <c r="CK90" i="169"/>
  <c r="BG90" i="169"/>
  <c r="BH90" i="169" s="1"/>
  <c r="CK89" i="169"/>
  <c r="BG89" i="169"/>
  <c r="BH89" i="169" s="1"/>
  <c r="CK88" i="169"/>
  <c r="BG88" i="169"/>
  <c r="BH88" i="169" s="1"/>
  <c r="CK87" i="169"/>
  <c r="BG87" i="169"/>
  <c r="BH87" i="169" s="1"/>
  <c r="CK86" i="169"/>
  <c r="BG86" i="169"/>
  <c r="BH86" i="169" s="1"/>
  <c r="CK85" i="169"/>
  <c r="BG85" i="169"/>
  <c r="BH85" i="169" s="1"/>
  <c r="CK84" i="169"/>
  <c r="BG84" i="169"/>
  <c r="BH84" i="169" s="1"/>
  <c r="CK83" i="169"/>
  <c r="BG83" i="169"/>
  <c r="BH83" i="169" s="1"/>
  <c r="CK82" i="169"/>
  <c r="BG82" i="169"/>
  <c r="BH82" i="169" s="1"/>
  <c r="CK81" i="169"/>
  <c r="BG81" i="169"/>
  <c r="BH81" i="169" s="1"/>
  <c r="CK80" i="169"/>
  <c r="BG80" i="169"/>
  <c r="BH80" i="169" s="1"/>
  <c r="CK79" i="169"/>
  <c r="BG79" i="169"/>
  <c r="BH79" i="169" s="1"/>
  <c r="CK78" i="169"/>
  <c r="BG78" i="169"/>
  <c r="BH78" i="169" s="1"/>
  <c r="CK77" i="169"/>
  <c r="BG77" i="169"/>
  <c r="BH77" i="169" s="1"/>
  <c r="CK76" i="169"/>
  <c r="BG76" i="169"/>
  <c r="BH76" i="169" s="1"/>
  <c r="CK75" i="169"/>
  <c r="BG75" i="169"/>
  <c r="BH75" i="169" s="1"/>
  <c r="CK74" i="169"/>
  <c r="BG74" i="169"/>
  <c r="BH74" i="169" s="1"/>
  <c r="CK73" i="169"/>
  <c r="BG73" i="169"/>
  <c r="BH73" i="169" s="1"/>
  <c r="CK72" i="169"/>
  <c r="BG72" i="169"/>
  <c r="BH72" i="169" s="1"/>
  <c r="CK71" i="169"/>
  <c r="BG71" i="169"/>
  <c r="BH71" i="169" s="1"/>
  <c r="CK70" i="169"/>
  <c r="BG70" i="169"/>
  <c r="BH70" i="169" s="1"/>
  <c r="CK69" i="169"/>
  <c r="BG69" i="169"/>
  <c r="BH69" i="169" s="1"/>
  <c r="CK68" i="169"/>
  <c r="BG68" i="169"/>
  <c r="BH68" i="169" s="1"/>
  <c r="CK67" i="169"/>
  <c r="BG67" i="169"/>
  <c r="BH67" i="169" s="1"/>
  <c r="CK66" i="169"/>
  <c r="BG66" i="169"/>
  <c r="BH66" i="169" s="1"/>
  <c r="CK65" i="169"/>
  <c r="BG65" i="169"/>
  <c r="BH65" i="169" s="1"/>
  <c r="CK64" i="169"/>
  <c r="BG64" i="169"/>
  <c r="BH64" i="169" s="1"/>
  <c r="CK63" i="169"/>
  <c r="BG63" i="169"/>
  <c r="BH63" i="169" s="1"/>
  <c r="CK62" i="169"/>
  <c r="BG62" i="169"/>
  <c r="BH62" i="169" s="1"/>
  <c r="CK61" i="169"/>
  <c r="BG61" i="169"/>
  <c r="BH61" i="169" s="1"/>
  <c r="CK60" i="169"/>
  <c r="BG60" i="169"/>
  <c r="BH60" i="169" s="1"/>
  <c r="CK59" i="169"/>
  <c r="BG59" i="169"/>
  <c r="BH59" i="169" s="1"/>
  <c r="CK58" i="169"/>
  <c r="BG58" i="169"/>
  <c r="BH58" i="169" s="1"/>
  <c r="CK57" i="169"/>
  <c r="BG57" i="169"/>
  <c r="BH57" i="169" s="1"/>
  <c r="CK56" i="169"/>
  <c r="BG56" i="169"/>
  <c r="BH56" i="169" s="1"/>
  <c r="CK55" i="169"/>
  <c r="BG55" i="169"/>
  <c r="BH55" i="169" s="1"/>
  <c r="CK54" i="169"/>
  <c r="BG54" i="169"/>
  <c r="BH54" i="169" s="1"/>
  <c r="CK53" i="169"/>
  <c r="BG53" i="169"/>
  <c r="BH53" i="169" s="1"/>
  <c r="CK52" i="169"/>
  <c r="BG52" i="169"/>
  <c r="BH52" i="169" s="1"/>
  <c r="CK51" i="169"/>
  <c r="BG51" i="169"/>
  <c r="BH51" i="169" s="1"/>
  <c r="CK50" i="169"/>
  <c r="BG50" i="169"/>
  <c r="BH50" i="169" s="1"/>
  <c r="CK49" i="169"/>
  <c r="BG49" i="169"/>
  <c r="BH49" i="169" s="1"/>
  <c r="CK48" i="169"/>
  <c r="BG48" i="169"/>
  <c r="BH48" i="169" s="1"/>
  <c r="CK47" i="169"/>
  <c r="BG47" i="169"/>
  <c r="BH47" i="169" s="1"/>
  <c r="CK46" i="169"/>
  <c r="BG46" i="169"/>
  <c r="BH46" i="169" s="1"/>
  <c r="CK45" i="169"/>
  <c r="BG45" i="169"/>
  <c r="BH45" i="169" s="1"/>
  <c r="CK44" i="169"/>
  <c r="BG44" i="169"/>
  <c r="BH44" i="169" s="1"/>
  <c r="CK43" i="169"/>
  <c r="BG43" i="169"/>
  <c r="BH43" i="169" s="1"/>
  <c r="CK42" i="169"/>
  <c r="BG42" i="169"/>
  <c r="BH42" i="169" s="1"/>
  <c r="CK41" i="169"/>
  <c r="BG41" i="169"/>
  <c r="BH41" i="169" s="1"/>
  <c r="CK40" i="169"/>
  <c r="BG40" i="169"/>
  <c r="BH40" i="169" s="1"/>
  <c r="CK39" i="169"/>
  <c r="BG39" i="169"/>
  <c r="BH39" i="169" s="1"/>
  <c r="CK38" i="169"/>
  <c r="BG38" i="169"/>
  <c r="BH38" i="169" s="1"/>
  <c r="CK37" i="169"/>
  <c r="BG37" i="169"/>
  <c r="BH37" i="169" s="1"/>
  <c r="CK36" i="169"/>
  <c r="BG36" i="169"/>
  <c r="BH36" i="169" s="1"/>
  <c r="CK35" i="169"/>
  <c r="BG35" i="169"/>
  <c r="BH35" i="169" s="1"/>
  <c r="CK34" i="169"/>
  <c r="BG34" i="169"/>
  <c r="BH34" i="169" s="1"/>
  <c r="CK33" i="169"/>
  <c r="BG33" i="169"/>
  <c r="BH33" i="169" s="1"/>
  <c r="CK32" i="169"/>
  <c r="BG32" i="169"/>
  <c r="BH32" i="169" s="1"/>
  <c r="CK31" i="169"/>
  <c r="BG31" i="169"/>
  <c r="BH31" i="169" s="1"/>
  <c r="CK30" i="169"/>
  <c r="BG30" i="169"/>
  <c r="BH30" i="169" s="1"/>
  <c r="CK29" i="169"/>
  <c r="BG29" i="169"/>
  <c r="BH29" i="169" s="1"/>
  <c r="CK28" i="169"/>
  <c r="BG28" i="169"/>
  <c r="BH28" i="169" s="1"/>
  <c r="CK27" i="169"/>
  <c r="BG27" i="169"/>
  <c r="BH27" i="169" s="1"/>
  <c r="CK26" i="169"/>
  <c r="BG26" i="169"/>
  <c r="BH26" i="169" s="1"/>
  <c r="CK25" i="169"/>
  <c r="BG25" i="169"/>
  <c r="BH25" i="169" s="1"/>
  <c r="BE15" i="169"/>
  <c r="O49" i="248"/>
  <c r="N49" i="248"/>
  <c r="M49" i="248"/>
  <c r="L49" i="248" s="1"/>
  <c r="O22" i="248"/>
  <c r="N22" i="248"/>
  <c r="M22" i="248"/>
  <c r="L22" i="248" s="1"/>
  <c r="O21" i="248"/>
  <c r="N21" i="248"/>
  <c r="M21" i="248"/>
  <c r="L21" i="248" s="1"/>
  <c r="L14" i="248"/>
  <c r="O16" i="231"/>
  <c r="L16" i="231" s="1"/>
  <c r="M16" i="231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H8" i="150"/>
  <c r="AQ38" i="135"/>
  <c r="AR38" i="135" s="1"/>
  <c r="V14" i="135"/>
  <c r="AQ35" i="135"/>
  <c r="AQ34" i="135"/>
  <c r="AR34" i="135" s="1"/>
  <c r="AQ32" i="135"/>
  <c r="AR32" i="135" s="1"/>
  <c r="AQ31" i="135"/>
  <c r="AR31" i="135" s="1"/>
  <c r="AQ29" i="135"/>
  <c r="AR29" i="135" s="1"/>
  <c r="AQ25" i="135"/>
  <c r="AR25" i="135" s="1"/>
  <c r="AE23" i="135"/>
  <c r="AA23" i="135"/>
  <c r="Y23" i="135"/>
  <c r="AA22" i="135"/>
  <c r="Y22" i="135"/>
  <c r="Y21" i="135"/>
  <c r="AQ20" i="135"/>
  <c r="AR20" i="135" s="1"/>
  <c r="AQ18" i="135"/>
  <c r="AR18" i="135" s="1"/>
  <c r="AI11" i="135"/>
  <c r="AI10" i="135"/>
  <c r="AI9" i="135"/>
  <c r="AQ8" i="135"/>
  <c r="AI8" i="135"/>
  <c r="W8" i="135"/>
  <c r="I8" i="135"/>
  <c r="AQ7" i="135"/>
  <c r="AI7" i="135"/>
  <c r="AK6" i="135"/>
  <c r="AI6" i="135"/>
  <c r="AI5" i="135"/>
  <c r="A7" i="247"/>
  <c r="D3" i="247"/>
  <c r="AA59" i="239"/>
  <c r="AB59" i="239" s="1"/>
  <c r="AA54" i="239"/>
  <c r="AA32" i="239"/>
  <c r="AA31" i="239"/>
  <c r="AA30" i="239"/>
  <c r="Y5" i="239"/>
  <c r="E37" i="235"/>
  <c r="E36" i="235"/>
  <c r="A25" i="235"/>
  <c r="F21" i="235"/>
  <c r="E21" i="235"/>
  <c r="H15" i="235"/>
  <c r="D15" i="235"/>
  <c r="I10" i="235"/>
  <c r="C10" i="235"/>
  <c r="N54" i="183"/>
  <c r="N53" i="183"/>
  <c r="N52" i="183"/>
  <c r="N51" i="183"/>
  <c r="N50" i="183"/>
  <c r="N49" i="183"/>
  <c r="N48" i="183"/>
  <c r="O48" i="183" s="1"/>
  <c r="N47" i="183"/>
  <c r="O47" i="183" s="1"/>
  <c r="N46" i="183"/>
  <c r="O46" i="183" s="1"/>
  <c r="N45" i="183"/>
  <c r="O45" i="183" s="1"/>
  <c r="N44" i="183"/>
  <c r="A8" i="183"/>
  <c r="G7" i="183"/>
  <c r="A6" i="183"/>
  <c r="A5" i="183"/>
  <c r="A9" i="237"/>
  <c r="A7" i="237"/>
  <c r="A6" i="237"/>
  <c r="A98" i="229"/>
  <c r="F97" i="229"/>
  <c r="A97" i="229"/>
  <c r="A95" i="229"/>
  <c r="H94" i="229"/>
  <c r="E94" i="229"/>
  <c r="H93" i="229"/>
  <c r="E93" i="229"/>
  <c r="Z67" i="130"/>
  <c r="T66" i="130"/>
  <c r="S66" i="130"/>
  <c r="R66" i="130"/>
  <c r="L66" i="130"/>
  <c r="J66" i="130"/>
  <c r="K66" i="130" s="1"/>
  <c r="K69" i="130" s="1"/>
  <c r="H66" i="130"/>
  <c r="I66" i="130" s="1"/>
  <c r="I69" i="130" s="1"/>
  <c r="F66" i="130"/>
  <c r="D66" i="130"/>
  <c r="B66" i="130"/>
  <c r="B34" i="130"/>
  <c r="G27" i="130"/>
  <c r="E27" i="130"/>
  <c r="B27" i="130"/>
  <c r="H23" i="130"/>
  <c r="AH15" i="169" s="1"/>
  <c r="G23" i="130"/>
  <c r="F23" i="130"/>
  <c r="E23" i="130"/>
  <c r="L7" i="248"/>
  <c r="D15" i="130"/>
  <c r="C15" i="130"/>
  <c r="K11" i="130"/>
  <c r="H6" i="189" s="1"/>
  <c r="I11" i="130"/>
  <c r="G1" i="189"/>
  <c r="D5" i="130"/>
  <c r="B2" i="259" s="1"/>
  <c r="G19" i="232" l="1"/>
  <c r="L10" i="230"/>
  <c r="L9" i="230"/>
  <c r="L8" i="230"/>
  <c r="L11" i="230"/>
  <c r="AA14" i="135"/>
  <c r="AC14" i="135"/>
  <c r="X66" i="251"/>
  <c r="X56" i="251"/>
  <c r="H3" i="189"/>
  <c r="G101" i="254"/>
  <c r="X35" i="251"/>
  <c r="X34" i="251"/>
  <c r="X37" i="251"/>
  <c r="X38" i="251"/>
  <c r="K98" i="254"/>
  <c r="K80" i="251"/>
  <c r="H80" i="251" s="1"/>
  <c r="K75" i="251"/>
  <c r="H75" i="251" s="1"/>
  <c r="K69" i="251"/>
  <c r="H69" i="251" s="1"/>
  <c r="K65" i="251"/>
  <c r="H65" i="251" s="1"/>
  <c r="K60" i="251"/>
  <c r="H60" i="251" s="1"/>
  <c r="K41" i="251"/>
  <c r="H41" i="251" s="1"/>
  <c r="K35" i="251"/>
  <c r="H35" i="251" s="1"/>
  <c r="K14" i="251"/>
  <c r="H14" i="251" s="1"/>
  <c r="K8" i="251"/>
  <c r="H8" i="251" s="1"/>
  <c r="K74" i="251"/>
  <c r="H74" i="251" s="1"/>
  <c r="K50" i="251"/>
  <c r="H50" i="251" s="1"/>
  <c r="K46" i="251"/>
  <c r="H46" i="251" s="1"/>
  <c r="K31" i="251"/>
  <c r="H31" i="251" s="1"/>
  <c r="K26" i="251"/>
  <c r="H26" i="251" s="1"/>
  <c r="K20" i="251"/>
  <c r="H20" i="251" s="1"/>
  <c r="K51" i="251"/>
  <c r="H51" i="251" s="1"/>
  <c r="K15" i="251"/>
  <c r="H15" i="251" s="1"/>
  <c r="K79" i="251"/>
  <c r="H79" i="251" s="1"/>
  <c r="K64" i="251"/>
  <c r="H64" i="251" s="1"/>
  <c r="K45" i="251"/>
  <c r="H45" i="251" s="1"/>
  <c r="K40" i="251"/>
  <c r="H40" i="251" s="1"/>
  <c r="K37" i="251"/>
  <c r="H37" i="251" s="1"/>
  <c r="K34" i="251"/>
  <c r="H34" i="251" s="1"/>
  <c r="K25" i="251"/>
  <c r="H25" i="251" s="1"/>
  <c r="K13" i="251"/>
  <c r="H13" i="251" s="1"/>
  <c r="K7" i="251"/>
  <c r="H7" i="251" s="1"/>
  <c r="K32" i="251"/>
  <c r="H32" i="251" s="1"/>
  <c r="K78" i="251"/>
  <c r="H78" i="251" s="1"/>
  <c r="K73" i="251"/>
  <c r="H73" i="251" s="1"/>
  <c r="K68" i="251"/>
  <c r="H68" i="251" s="1"/>
  <c r="K63" i="251"/>
  <c r="H63" i="251" s="1"/>
  <c r="K54" i="251"/>
  <c r="H54" i="251" s="1"/>
  <c r="K49" i="251"/>
  <c r="H49" i="251" s="1"/>
  <c r="K30" i="251"/>
  <c r="H30" i="251" s="1"/>
  <c r="K24" i="251"/>
  <c r="H24" i="251" s="1"/>
  <c r="K12" i="251"/>
  <c r="H12" i="251" s="1"/>
  <c r="K6" i="251"/>
  <c r="H6" i="251" s="1"/>
  <c r="K21" i="251"/>
  <c r="H21" i="251" s="1"/>
  <c r="K77" i="251"/>
  <c r="H77" i="251" s="1"/>
  <c r="K72" i="251"/>
  <c r="H72" i="251" s="1"/>
  <c r="K58" i="251"/>
  <c r="H58" i="251" s="1"/>
  <c r="K53" i="251"/>
  <c r="H53" i="251" s="1"/>
  <c r="K44" i="251"/>
  <c r="H44" i="251" s="1"/>
  <c r="K39" i="251"/>
  <c r="H39" i="251" s="1"/>
  <c r="K29" i="251"/>
  <c r="H29" i="251" s="1"/>
  <c r="K17" i="251"/>
  <c r="H17" i="251" s="1"/>
  <c r="K47" i="251"/>
  <c r="H47" i="251" s="1"/>
  <c r="K62" i="251"/>
  <c r="H62" i="251" s="1"/>
  <c r="K48" i="251"/>
  <c r="H48" i="251" s="1"/>
  <c r="K43" i="251"/>
  <c r="H43" i="251" s="1"/>
  <c r="K36" i="251"/>
  <c r="H36" i="251" s="1"/>
  <c r="K33" i="251"/>
  <c r="H33" i="251" s="1"/>
  <c r="K23" i="251"/>
  <c r="H23" i="251" s="1"/>
  <c r="K70" i="251"/>
  <c r="H70" i="251" s="1"/>
  <c r="K27" i="251"/>
  <c r="H27" i="251" s="1"/>
  <c r="K76" i="251"/>
  <c r="H76" i="251" s="1"/>
  <c r="K71" i="251"/>
  <c r="H71" i="251" s="1"/>
  <c r="K67" i="251"/>
  <c r="H67" i="251" s="1"/>
  <c r="K61" i="251"/>
  <c r="H61" i="251" s="1"/>
  <c r="K57" i="251"/>
  <c r="H57" i="251" s="1"/>
  <c r="K52" i="251"/>
  <c r="H52" i="251" s="1"/>
  <c r="K42" i="251"/>
  <c r="H42" i="251" s="1"/>
  <c r="K28" i="251"/>
  <c r="H28" i="251" s="1"/>
  <c r="K22" i="251"/>
  <c r="H22" i="251" s="1"/>
  <c r="K16" i="251"/>
  <c r="H16" i="251" s="1"/>
  <c r="K38" i="251"/>
  <c r="H38" i="251" s="1"/>
  <c r="K9" i="251"/>
  <c r="H9" i="251" s="1"/>
  <c r="X17" i="239"/>
  <c r="X21" i="251"/>
  <c r="X61" i="251"/>
  <c r="X46" i="251"/>
  <c r="X47" i="251"/>
  <c r="X6" i="251"/>
  <c r="X7" i="251" s="1"/>
  <c r="X79" i="251"/>
  <c r="X77" i="251"/>
  <c r="X75" i="251"/>
  <c r="X50" i="251"/>
  <c r="X43" i="251"/>
  <c r="X25" i="251"/>
  <c r="X17" i="251"/>
  <c r="X32" i="251"/>
  <c r="X22" i="251"/>
  <c r="X71" i="251"/>
  <c r="X69" i="251"/>
  <c r="X27" i="251"/>
  <c r="X60" i="251"/>
  <c r="X42" i="251"/>
  <c r="X24" i="251"/>
  <c r="X13" i="251"/>
  <c r="X62" i="251"/>
  <c r="X70" i="251"/>
  <c r="X31" i="251"/>
  <c r="X51" i="251"/>
  <c r="X71" i="239"/>
  <c r="X61" i="239"/>
  <c r="X70" i="239"/>
  <c r="X60" i="239"/>
  <c r="X69" i="239"/>
  <c r="X62" i="239"/>
  <c r="L6" i="231"/>
  <c r="K29" i="248"/>
  <c r="K27" i="248"/>
  <c r="L17" i="230"/>
  <c r="K28" i="248"/>
  <c r="L16" i="230"/>
  <c r="L15" i="230"/>
  <c r="L14" i="230"/>
  <c r="L13" i="230"/>
  <c r="L12" i="230"/>
  <c r="K30" i="248"/>
  <c r="H34" i="169"/>
  <c r="H35" i="169"/>
  <c r="K17" i="239"/>
  <c r="H17" i="239" s="1"/>
  <c r="K16" i="239"/>
  <c r="H16" i="239" s="1"/>
  <c r="K54" i="239"/>
  <c r="H54" i="239" s="1"/>
  <c r="K72" i="239"/>
  <c r="H72" i="239" s="1"/>
  <c r="K77" i="239"/>
  <c r="H77" i="239" s="1"/>
  <c r="K57" i="239"/>
  <c r="H57" i="239" s="1"/>
  <c r="K63" i="239"/>
  <c r="H63" i="239" s="1"/>
  <c r="K68" i="239"/>
  <c r="H68" i="239" s="1"/>
  <c r="K78" i="239"/>
  <c r="H78" i="239" s="1"/>
  <c r="K58" i="239"/>
  <c r="H58" i="239" s="1"/>
  <c r="K69" i="239"/>
  <c r="H69" i="239" s="1"/>
  <c r="K73" i="239"/>
  <c r="H73" i="239" s="1"/>
  <c r="K79" i="239"/>
  <c r="H79" i="239" s="1"/>
  <c r="K60" i="239"/>
  <c r="H60" i="239" s="1"/>
  <c r="K64" i="239"/>
  <c r="H64" i="239" s="1"/>
  <c r="K80" i="239"/>
  <c r="H80" i="239" s="1"/>
  <c r="K70" i="239"/>
  <c r="H70" i="239" s="1"/>
  <c r="K74" i="239"/>
  <c r="H74" i="239" s="1"/>
  <c r="K61" i="239"/>
  <c r="H61" i="239" s="1"/>
  <c r="K65" i="239"/>
  <c r="H65" i="239" s="1"/>
  <c r="K53" i="239"/>
  <c r="H53" i="239" s="1"/>
  <c r="K71" i="239"/>
  <c r="H71" i="239" s="1"/>
  <c r="K75" i="239"/>
  <c r="H75" i="239" s="1"/>
  <c r="K52" i="239"/>
  <c r="H52" i="239" s="1"/>
  <c r="K62" i="239"/>
  <c r="H62" i="239" s="1"/>
  <c r="K67" i="239"/>
  <c r="H67" i="239" s="1"/>
  <c r="K76" i="239"/>
  <c r="H76" i="239" s="1"/>
  <c r="M7" i="230"/>
  <c r="X56" i="239"/>
  <c r="X79" i="239"/>
  <c r="X75" i="239"/>
  <c r="X66" i="239"/>
  <c r="X77" i="239"/>
  <c r="K48" i="239"/>
  <c r="H48" i="239" s="1"/>
  <c r="K30" i="239"/>
  <c r="H30" i="239" s="1"/>
  <c r="B6" i="231"/>
  <c r="H10" i="169"/>
  <c r="H17" i="169"/>
  <c r="H25" i="169"/>
  <c r="H33" i="169"/>
  <c r="B6" i="230"/>
  <c r="H18" i="169"/>
  <c r="H30" i="169"/>
  <c r="L7" i="231"/>
  <c r="H12" i="169"/>
  <c r="H19" i="169"/>
  <c r="H27" i="169"/>
  <c r="L20" i="230"/>
  <c r="L19" i="230"/>
  <c r="H13" i="169"/>
  <c r="H32" i="169"/>
  <c r="L24" i="230"/>
  <c r="H20" i="169"/>
  <c r="B6" i="169"/>
  <c r="H14" i="169"/>
  <c r="H21" i="169"/>
  <c r="H29" i="169"/>
  <c r="L21" i="230"/>
  <c r="B6" i="248"/>
  <c r="H15" i="169"/>
  <c r="H22" i="169"/>
  <c r="H26" i="169"/>
  <c r="H11" i="169"/>
  <c r="L6" i="248"/>
  <c r="H23" i="169"/>
  <c r="H31" i="169"/>
  <c r="L22" i="230"/>
  <c r="H9" i="169"/>
  <c r="H16" i="169"/>
  <c r="H24" i="169"/>
  <c r="H28" i="169"/>
  <c r="H36" i="169"/>
  <c r="L18" i="230"/>
  <c r="L23" i="230"/>
  <c r="X13" i="239"/>
  <c r="J69" i="130"/>
  <c r="G21" i="235"/>
  <c r="G25" i="235" s="1"/>
  <c r="K9" i="239"/>
  <c r="H9" i="239" s="1"/>
  <c r="K26" i="239"/>
  <c r="H26" i="239" s="1"/>
  <c r="K44" i="239"/>
  <c r="H44" i="239" s="1"/>
  <c r="E31" i="235"/>
  <c r="K13" i="239"/>
  <c r="H13" i="239" s="1"/>
  <c r="K34" i="239"/>
  <c r="H34" i="239" s="1"/>
  <c r="K37" i="239"/>
  <c r="H37" i="239" s="1"/>
  <c r="K6" i="239"/>
  <c r="H6" i="239" s="1"/>
  <c r="K22" i="239"/>
  <c r="H22" i="239" s="1"/>
  <c r="K41" i="239"/>
  <c r="H41" i="239" s="1"/>
  <c r="E30" i="235"/>
  <c r="K8" i="239"/>
  <c r="H8" i="239" s="1"/>
  <c r="K21" i="239"/>
  <c r="H21" i="239" s="1"/>
  <c r="K29" i="239"/>
  <c r="H29" i="239" s="1"/>
  <c r="K33" i="239"/>
  <c r="H33" i="239" s="1"/>
  <c r="K40" i="239"/>
  <c r="H40" i="239" s="1"/>
  <c r="K47" i="239"/>
  <c r="H47" i="239" s="1"/>
  <c r="K23" i="239"/>
  <c r="H23" i="239" s="1"/>
  <c r="K35" i="239"/>
  <c r="H35" i="239" s="1"/>
  <c r="K24" i="239"/>
  <c r="H24" i="239" s="1"/>
  <c r="K36" i="239"/>
  <c r="H36" i="239" s="1"/>
  <c r="K42" i="239"/>
  <c r="H42" i="239" s="1"/>
  <c r="K12" i="239"/>
  <c r="H12" i="239" s="1"/>
  <c r="K25" i="239"/>
  <c r="H25" i="239" s="1"/>
  <c r="K31" i="239"/>
  <c r="H31" i="239" s="1"/>
  <c r="K43" i="239"/>
  <c r="H43" i="239" s="1"/>
  <c r="K49" i="239"/>
  <c r="H49" i="239" s="1"/>
  <c r="E28" i="235"/>
  <c r="K7" i="239"/>
  <c r="H7" i="239" s="1"/>
  <c r="K14" i="239"/>
  <c r="H14" i="239" s="1"/>
  <c r="K20" i="239"/>
  <c r="H20" i="239" s="1"/>
  <c r="K27" i="239"/>
  <c r="H27" i="239" s="1"/>
  <c r="K32" i="239"/>
  <c r="H32" i="239" s="1"/>
  <c r="K38" i="239"/>
  <c r="H38" i="239" s="1"/>
  <c r="K45" i="239"/>
  <c r="H45" i="239" s="1"/>
  <c r="K50" i="239"/>
  <c r="H50" i="239" s="1"/>
  <c r="E29" i="235"/>
  <c r="K15" i="239"/>
  <c r="H15" i="239" s="1"/>
  <c r="K28" i="239"/>
  <c r="H28" i="239" s="1"/>
  <c r="K39" i="239"/>
  <c r="H39" i="239" s="1"/>
  <c r="K46" i="239"/>
  <c r="H46" i="239" s="1"/>
  <c r="K51" i="239"/>
  <c r="H51" i="239" s="1"/>
  <c r="N2" i="248"/>
  <c r="G8" i="237"/>
  <c r="F96" i="229"/>
  <c r="X31" i="239"/>
  <c r="X21" i="239"/>
  <c r="X22" i="239"/>
  <c r="X32" i="239"/>
  <c r="AA29" i="169"/>
  <c r="AB29" i="169" s="1"/>
  <c r="AC29" i="169" s="1"/>
  <c r="H69" i="130"/>
  <c r="V8" i="169" s="1"/>
  <c r="X24" i="239"/>
  <c r="X38" i="239"/>
  <c r="X25" i="239"/>
  <c r="X37" i="239"/>
  <c r="X6" i="239"/>
  <c r="X27" i="239"/>
  <c r="X34" i="239"/>
  <c r="X35" i="239"/>
  <c r="X42" i="239"/>
  <c r="X43" i="239"/>
  <c r="X46" i="239"/>
  <c r="X47" i="239"/>
  <c r="X50" i="239"/>
  <c r="X51" i="239"/>
  <c r="N2" i="231"/>
  <c r="G66" i="130"/>
  <c r="H6" i="183"/>
  <c r="M66" i="130"/>
  <c r="M69" i="130" s="1"/>
  <c r="D21" i="235"/>
  <c r="M2" i="248"/>
  <c r="E66" i="130"/>
  <c r="E69" i="130" s="1"/>
  <c r="D67" i="130"/>
  <c r="K72" i="130"/>
  <c r="M2" i="231"/>
  <c r="G1" i="232"/>
  <c r="G2" i="232"/>
  <c r="G3" i="232"/>
  <c r="G4" i="232"/>
  <c r="G5" i="232"/>
  <c r="G6" i="232"/>
  <c r="G8" i="232"/>
  <c r="G10" i="232"/>
  <c r="G12" i="232"/>
  <c r="G14" i="232"/>
  <c r="G16" i="232"/>
  <c r="G18" i="232"/>
  <c r="G7" i="232"/>
  <c r="G9" i="232"/>
  <c r="G11" i="232"/>
  <c r="G13" i="232"/>
  <c r="G15" i="232"/>
  <c r="G17" i="232"/>
  <c r="C66" i="130"/>
  <c r="C69" i="130" s="1"/>
  <c r="H1" i="189"/>
  <c r="L2" i="248"/>
  <c r="L2" i="231"/>
  <c r="R12" i="135" a="1"/>
  <c r="R12" i="135" s="1"/>
  <c r="AG11" i="135"/>
  <c r="Y14" i="135"/>
  <c r="AE11" i="135"/>
  <c r="AK9" i="135"/>
  <c r="R9" i="135" a="1"/>
  <c r="R9" i="135" s="1"/>
  <c r="W14" i="135"/>
  <c r="Q46" i="135" a="1"/>
  <c r="Q46" i="135" s="1"/>
  <c r="R44" i="135" a="1"/>
  <c r="R44" i="135" s="1"/>
  <c r="Q42" i="135" a="1"/>
  <c r="Q42" i="135" s="1"/>
  <c r="R40" i="135" a="1"/>
  <c r="R40" i="135" s="1"/>
  <c r="Q47" i="135" a="1"/>
  <c r="Q47" i="135" s="1"/>
  <c r="R45" i="135" a="1"/>
  <c r="R45" i="135" s="1"/>
  <c r="Q43" i="135" a="1"/>
  <c r="Q43" i="135" s="1"/>
  <c r="R41" i="135" a="1"/>
  <c r="R41" i="135" s="1"/>
  <c r="Q39" i="135" a="1"/>
  <c r="Q39" i="135" s="1"/>
  <c r="R37" i="135" a="1"/>
  <c r="R37" i="135" s="1"/>
  <c r="R35" i="135" a="1"/>
  <c r="R35" i="135" s="1"/>
  <c r="R39" i="135" a="1"/>
  <c r="R39" i="135" s="1"/>
  <c r="R36" i="135" a="1"/>
  <c r="R36" i="135" s="1"/>
  <c r="Q33" i="135" a="1"/>
  <c r="Q33" i="135" s="1"/>
  <c r="R32" i="135" a="1"/>
  <c r="R32" i="135" s="1"/>
  <c r="Q31" i="135" a="1"/>
  <c r="Q31" i="135" s="1"/>
  <c r="R43" i="135" a="1"/>
  <c r="R43" i="135" s="1"/>
  <c r="Q40" i="135" a="1"/>
  <c r="Q40" i="135" s="1"/>
  <c r="R38" i="135" a="1"/>
  <c r="R38" i="135" s="1"/>
  <c r="Q36" i="135" a="1"/>
  <c r="Q36" i="135" s="1"/>
  <c r="Q35" i="135" a="1"/>
  <c r="Q35" i="135" s="1"/>
  <c r="Q34" i="135" a="1"/>
  <c r="Q34" i="135" s="1"/>
  <c r="R30" i="135" a="1"/>
  <c r="R30" i="135" s="1"/>
  <c r="R46" i="135" a="1"/>
  <c r="R46" i="135" s="1"/>
  <c r="Q37" i="135" a="1"/>
  <c r="Q37" i="135" s="1"/>
  <c r="R27" i="135" a="1"/>
  <c r="R27" i="135" s="1"/>
  <c r="R24" i="135" a="1"/>
  <c r="R24" i="135" s="1"/>
  <c r="R34" i="135" a="1"/>
  <c r="R34" i="135" s="1"/>
  <c r="R33" i="135" a="1"/>
  <c r="R33" i="135" s="1"/>
  <c r="Q30" i="135" a="1"/>
  <c r="Q30" i="135" s="1"/>
  <c r="Q29" i="135" a="1"/>
  <c r="Q29" i="135" s="1"/>
  <c r="R28" i="135" a="1"/>
  <c r="R28" i="135" s="1"/>
  <c r="Q26" i="135" a="1"/>
  <c r="Q26" i="135" s="1"/>
  <c r="R25" i="135" a="1"/>
  <c r="R25" i="135" s="1"/>
  <c r="R47" i="135" a="1"/>
  <c r="R47" i="135" s="1"/>
  <c r="Q44" i="135" a="1"/>
  <c r="Q44" i="135" s="1"/>
  <c r="R42" i="135" a="1"/>
  <c r="R42" i="135" s="1"/>
  <c r="Q41" i="135" a="1"/>
  <c r="Q41" i="135" s="1"/>
  <c r="R31" i="135" a="1"/>
  <c r="R31" i="135" s="1"/>
  <c r="Q27" i="135" a="1"/>
  <c r="Q27" i="135" s="1"/>
  <c r="Q24" i="135" a="1"/>
  <c r="Q24" i="135" s="1"/>
  <c r="R23" i="135" a="1"/>
  <c r="R23" i="135" s="1"/>
  <c r="Q19" i="135" a="1"/>
  <c r="Q19" i="135" s="1"/>
  <c r="Q45" i="135" a="1"/>
  <c r="Q45" i="135" s="1"/>
  <c r="Q38" i="135" a="1"/>
  <c r="Q38" i="135" s="1"/>
  <c r="Q32" i="135" a="1"/>
  <c r="Q32" i="135" s="1"/>
  <c r="R29" i="135" a="1"/>
  <c r="R29" i="135" s="1"/>
  <c r="Q28" i="135" a="1"/>
  <c r="Q28" i="135" s="1"/>
  <c r="R26" i="135" a="1"/>
  <c r="R26" i="135" s="1"/>
  <c r="Q25" i="135" a="1"/>
  <c r="Q25" i="135" s="1"/>
  <c r="R22" i="135" a="1"/>
  <c r="R22" i="135" s="1"/>
  <c r="R21" i="135" a="1"/>
  <c r="R21" i="135" s="1"/>
  <c r="Q20" i="135" a="1"/>
  <c r="Q20" i="135" s="1"/>
  <c r="Q21" i="135" a="1"/>
  <c r="Q21" i="135" s="1"/>
  <c r="R20" i="135" a="1"/>
  <c r="R20" i="135" s="1"/>
  <c r="Q16" i="135" a="1"/>
  <c r="Q16" i="135" s="1"/>
  <c r="R13" i="135" a="1"/>
  <c r="R13" i="135" s="1"/>
  <c r="R19" i="135" a="1"/>
  <c r="R19" i="135" s="1"/>
  <c r="R18" i="135" a="1"/>
  <c r="R18" i="135" s="1"/>
  <c r="Q17" i="135" a="1"/>
  <c r="Q17" i="135" s="1"/>
  <c r="R15" i="135" a="1"/>
  <c r="R15" i="135" s="1"/>
  <c r="R14" i="135" a="1"/>
  <c r="R14" i="135" s="1"/>
  <c r="Q12" i="135" a="1"/>
  <c r="Q12" i="135" s="1"/>
  <c r="R11" i="135" a="1"/>
  <c r="R11" i="135" s="1"/>
  <c r="R10" i="135" a="1"/>
  <c r="R10" i="135" s="1"/>
  <c r="R8" i="135" a="1"/>
  <c r="R8" i="135" s="1"/>
  <c r="R7" i="135" a="1"/>
  <c r="R7" i="135" s="1"/>
  <c r="Q5" i="135" a="1"/>
  <c r="Q5" i="135" s="1"/>
  <c r="Q23" i="135" a="1"/>
  <c r="Q23" i="135" s="1"/>
  <c r="Q22" i="135" a="1"/>
  <c r="Q22" i="135" s="1"/>
  <c r="R16" i="135" a="1"/>
  <c r="R16" i="135" s="1"/>
  <c r="Q13" i="135" a="1"/>
  <c r="Q13" i="135" s="1"/>
  <c r="Q9" i="135" a="1"/>
  <c r="Q9" i="135" s="1"/>
  <c r="Q6" i="135" a="1"/>
  <c r="Q6" i="135" s="1"/>
  <c r="Q18" i="135" a="1"/>
  <c r="Q18" i="135" s="1"/>
  <c r="R6" i="135" a="1"/>
  <c r="R6" i="135" s="1"/>
  <c r="R5" i="135" a="1"/>
  <c r="R5" i="135" s="1"/>
  <c r="AI4" i="135"/>
  <c r="Q15" i="135" a="1"/>
  <c r="Q15" i="135" s="1"/>
  <c r="Q14" i="135" a="1"/>
  <c r="Q14" i="135" s="1"/>
  <c r="Q10" i="135" a="1"/>
  <c r="Q10" i="135" s="1"/>
  <c r="Q8" i="135" a="1"/>
  <c r="Q8" i="135" s="1"/>
  <c r="Q7" i="135" a="1"/>
  <c r="Q7" i="135" s="1"/>
  <c r="Q11" i="135" a="1"/>
  <c r="Q11" i="135" s="1"/>
  <c r="R17" i="135" a="1"/>
  <c r="R17" i="135" s="1"/>
  <c r="J93" i="229"/>
  <c r="H7" i="237"/>
  <c r="AA13" i="169" l="1"/>
  <c r="AB13" i="169" s="1"/>
  <c r="AC13" i="169" s="1"/>
  <c r="Z8" i="169"/>
  <c r="AA21" i="169"/>
  <c r="X73" i="251"/>
  <c r="X68" i="251"/>
  <c r="X67" i="251"/>
  <c r="X57" i="251"/>
  <c r="X58" i="251"/>
  <c r="X36" i="251"/>
  <c r="X20" i="251"/>
  <c r="X41" i="251"/>
  <c r="X45" i="251"/>
  <c r="X30" i="251"/>
  <c r="X74" i="251"/>
  <c r="X80" i="251"/>
  <c r="X63" i="251"/>
  <c r="X64" i="251"/>
  <c r="X65" i="251"/>
  <c r="X72" i="251"/>
  <c r="X15" i="251"/>
  <c r="X76" i="251"/>
  <c r="X78" i="251"/>
  <c r="X23" i="251"/>
  <c r="X26" i="251"/>
  <c r="X12" i="251"/>
  <c r="X74" i="239"/>
  <c r="X72" i="239"/>
  <c r="X63" i="239"/>
  <c r="X73" i="239"/>
  <c r="R52" i="248"/>
  <c r="N52" i="248" s="1"/>
  <c r="X65" i="239"/>
  <c r="X64" i="239"/>
  <c r="R50" i="248"/>
  <c r="O50" i="248" s="1"/>
  <c r="X80" i="239"/>
  <c r="X78" i="239"/>
  <c r="X67" i="239"/>
  <c r="X76" i="239"/>
  <c r="X57" i="239"/>
  <c r="X68" i="239"/>
  <c r="X58" i="239"/>
  <c r="AA19" i="169"/>
  <c r="AA22" i="169"/>
  <c r="AB22" i="169" s="1"/>
  <c r="AC22" i="169" s="1"/>
  <c r="AA18" i="169"/>
  <c r="AB18" i="169" s="1"/>
  <c r="AC18" i="169" s="1"/>
  <c r="AA30" i="169"/>
  <c r="AB30" i="169" s="1"/>
  <c r="AC30" i="169" s="1"/>
  <c r="AA32" i="169"/>
  <c r="AB32" i="169" s="1"/>
  <c r="AC32" i="169" s="1"/>
  <c r="AA15" i="169"/>
  <c r="AA11" i="169"/>
  <c r="AB11" i="169" s="1"/>
  <c r="AC11" i="169" s="1"/>
  <c r="AA16" i="169"/>
  <c r="AB16" i="169" s="1"/>
  <c r="AC16" i="169" s="1"/>
  <c r="AA10" i="169"/>
  <c r="AB10" i="169" s="1"/>
  <c r="AC10" i="169" s="1"/>
  <c r="AA20" i="169"/>
  <c r="AB20" i="169" s="1"/>
  <c r="AC20" i="169" s="1"/>
  <c r="AA14" i="169"/>
  <c r="AB14" i="169" s="1"/>
  <c r="AC14" i="169" s="1"/>
  <c r="AA24" i="169"/>
  <c r="AB24" i="169" s="1"/>
  <c r="AC24" i="169" s="1"/>
  <c r="X12" i="239"/>
  <c r="AA33" i="169"/>
  <c r="AA12" i="169"/>
  <c r="AB12" i="169" s="1"/>
  <c r="AC12" i="169" s="1"/>
  <c r="AA26" i="169"/>
  <c r="AB26" i="169" s="1"/>
  <c r="AC26" i="169" s="1"/>
  <c r="AA28" i="169"/>
  <c r="AA25" i="169"/>
  <c r="AB25" i="169" s="1"/>
  <c r="AC25" i="169" s="1"/>
  <c r="AA23" i="169"/>
  <c r="AB23" i="169" s="1"/>
  <c r="AC23" i="169" s="1"/>
  <c r="AA27" i="169"/>
  <c r="AA9" i="169"/>
  <c r="AA17" i="169"/>
  <c r="AA31" i="169"/>
  <c r="AB31" i="169" s="1"/>
  <c r="AC31" i="169" s="1"/>
  <c r="X7" i="239"/>
  <c r="M8" i="150"/>
  <c r="AP19" i="135"/>
  <c r="AQ19" i="135" s="1"/>
  <c r="AR19" i="135" s="1"/>
  <c r="M3" i="150"/>
  <c r="X20" i="239"/>
  <c r="X30" i="239"/>
  <c r="X23" i="239"/>
  <c r="X26" i="239"/>
  <c r="X45" i="239"/>
  <c r="W30" i="169"/>
  <c r="X30" i="169" s="1"/>
  <c r="W26" i="169"/>
  <c r="X26" i="169" s="1"/>
  <c r="Y26" i="169" s="1"/>
  <c r="W22" i="169"/>
  <c r="X22" i="169" s="1"/>
  <c r="Y22" i="169" s="1"/>
  <c r="W18" i="169"/>
  <c r="X18" i="169" s="1"/>
  <c r="Y18" i="169" s="1"/>
  <c r="W15" i="169"/>
  <c r="W11" i="169"/>
  <c r="X11" i="169" s="1"/>
  <c r="Y11" i="169" s="1"/>
  <c r="V6" i="169"/>
  <c r="W32" i="169"/>
  <c r="X32" i="169" s="1"/>
  <c r="W28" i="169"/>
  <c r="W24" i="169"/>
  <c r="X24" i="169" s="1"/>
  <c r="Y24" i="169" s="1"/>
  <c r="W20" i="169"/>
  <c r="W16" i="169"/>
  <c r="X16" i="169" s="1"/>
  <c r="Y16" i="169" s="1"/>
  <c r="W13" i="169"/>
  <c r="X13" i="169" s="1"/>
  <c r="Y13" i="169" s="1"/>
  <c r="W33" i="169"/>
  <c r="W29" i="169"/>
  <c r="X29" i="169" s="1"/>
  <c r="Y29" i="169" s="1"/>
  <c r="W25" i="169"/>
  <c r="X25" i="169" s="1"/>
  <c r="Y25" i="169" s="1"/>
  <c r="W21" i="169"/>
  <c r="W17" i="169"/>
  <c r="W14" i="169"/>
  <c r="X14" i="169" s="1"/>
  <c r="Y14" i="169" s="1"/>
  <c r="W10" i="169"/>
  <c r="X10" i="169" s="1"/>
  <c r="Y10" i="169" s="1"/>
  <c r="W31" i="169"/>
  <c r="X31" i="169" s="1"/>
  <c r="W27" i="169"/>
  <c r="W23" i="169"/>
  <c r="X23" i="169" s="1"/>
  <c r="Y23" i="169" s="1"/>
  <c r="W19" i="169"/>
  <c r="W12" i="169"/>
  <c r="X12" i="169" s="1"/>
  <c r="Y12" i="169" s="1"/>
  <c r="W9" i="169"/>
  <c r="X36" i="239"/>
  <c r="X41" i="239"/>
  <c r="F69" i="130"/>
  <c r="R8" i="169" s="1"/>
  <c r="G69" i="130"/>
  <c r="X44" i="239" s="1"/>
  <c r="L69" i="130"/>
  <c r="B69" i="130"/>
  <c r="D69" i="130"/>
  <c r="B19" i="232" a="1"/>
  <c r="B19" i="232" s="1"/>
  <c r="A19" i="232" s="1"/>
  <c r="C18" i="232" a="1"/>
  <c r="C18" i="232" s="1"/>
  <c r="AE122" i="229" s="1"/>
  <c r="B17" i="232" a="1"/>
  <c r="B17" i="232" s="1"/>
  <c r="C16" i="232" a="1"/>
  <c r="C16" i="232" s="1"/>
  <c r="AE120" i="229" s="1"/>
  <c r="B15" i="232" a="1"/>
  <c r="B15" i="232" s="1"/>
  <c r="C14" i="232" a="1"/>
  <c r="C14" i="232" s="1"/>
  <c r="AE118" i="229" s="1"/>
  <c r="B13" i="232" a="1"/>
  <c r="B13" i="232" s="1"/>
  <c r="C12" i="232" a="1"/>
  <c r="C12" i="232" s="1"/>
  <c r="AE116" i="229" s="1"/>
  <c r="B11" i="232" a="1"/>
  <c r="B11" i="232" s="1"/>
  <c r="AD115" i="229" s="1"/>
  <c r="C10" i="232" a="1"/>
  <c r="C10" i="232" s="1"/>
  <c r="AE114" i="229" s="1"/>
  <c r="B9" i="232" a="1"/>
  <c r="B9" i="232" s="1"/>
  <c r="AD113" i="229" s="1"/>
  <c r="C8" i="232" a="1"/>
  <c r="C8" i="232" s="1"/>
  <c r="AE112" i="229" s="1"/>
  <c r="B7" i="232" a="1"/>
  <c r="B7" i="232" s="1"/>
  <c r="AD111" i="229" s="1"/>
  <c r="C6" i="232" a="1"/>
  <c r="C6" i="232" s="1"/>
  <c r="AE110" i="229" s="1"/>
  <c r="C5" i="232" a="1"/>
  <c r="C5" i="232" s="1"/>
  <c r="AE109" i="229" s="1"/>
  <c r="C4" i="232" a="1"/>
  <c r="C4" i="232" s="1"/>
  <c r="AE108" i="229" s="1"/>
  <c r="C3" i="232" a="1"/>
  <c r="C3" i="232" s="1"/>
  <c r="AE107" i="229" s="1"/>
  <c r="C2" i="232" a="1"/>
  <c r="C2" i="232" s="1"/>
  <c r="C1" i="232" a="1"/>
  <c r="C1" i="232" s="1"/>
  <c r="C19" i="232" a="1"/>
  <c r="C19" i="232" s="1"/>
  <c r="B18" i="232" a="1"/>
  <c r="B18" i="232" s="1"/>
  <c r="C17" i="232" a="1"/>
  <c r="C17" i="232" s="1"/>
  <c r="AE121" i="229" s="1"/>
  <c r="B16" i="232" a="1"/>
  <c r="B16" i="232" s="1"/>
  <c r="C15" i="232" a="1"/>
  <c r="C15" i="232" s="1"/>
  <c r="AE119" i="229" s="1"/>
  <c r="B14" i="232" a="1"/>
  <c r="B14" i="232" s="1"/>
  <c r="C13" i="232" a="1"/>
  <c r="C13" i="232" s="1"/>
  <c r="AE117" i="229" s="1"/>
  <c r="B12" i="232" a="1"/>
  <c r="B12" i="232" s="1"/>
  <c r="AD116" i="229" s="1"/>
  <c r="C11" i="232" a="1"/>
  <c r="C11" i="232" s="1"/>
  <c r="AE115" i="229" s="1"/>
  <c r="B10" i="232" a="1"/>
  <c r="B10" i="232" s="1"/>
  <c r="AD114" i="229" s="1"/>
  <c r="C9" i="232" a="1"/>
  <c r="C9" i="232" s="1"/>
  <c r="AE113" i="229" s="1"/>
  <c r="B8" i="232" a="1"/>
  <c r="B8" i="232" s="1"/>
  <c r="AD112" i="229" s="1"/>
  <c r="C7" i="232" a="1"/>
  <c r="C7" i="232" s="1"/>
  <c r="AE111" i="229" s="1"/>
  <c r="B6" i="232" a="1"/>
  <c r="B6" i="232" s="1"/>
  <c r="AD110" i="229" s="1"/>
  <c r="B5" i="232" a="1"/>
  <c r="B5" i="232" s="1"/>
  <c r="AD109" i="229" s="1"/>
  <c r="B4" i="232" a="1"/>
  <c r="B4" i="232" s="1"/>
  <c r="AD108" i="229" s="1"/>
  <c r="B3" i="232" a="1"/>
  <c r="B3" i="232" s="1"/>
  <c r="AD107" i="229" s="1"/>
  <c r="B2" i="232" a="1"/>
  <c r="B2" i="232" s="1"/>
  <c r="B1" i="232" a="1"/>
  <c r="B1" i="232" s="1"/>
  <c r="X9" i="231"/>
  <c r="X9" i="248"/>
  <c r="X15" i="239"/>
  <c r="R4" i="135"/>
  <c r="I40" i="183"/>
  <c r="X8" i="169" l="1"/>
  <c r="X36" i="169" s="1"/>
  <c r="Y12" i="231"/>
  <c r="Y21" i="231"/>
  <c r="AB8" i="169"/>
  <c r="AB36" i="169" s="1"/>
  <c r="O33" i="169"/>
  <c r="O31" i="169"/>
  <c r="O32" i="169"/>
  <c r="A16" i="232"/>
  <c r="AC120" i="229" s="1"/>
  <c r="AD120" i="229"/>
  <c r="A13" i="232"/>
  <c r="AC117" i="229" s="1"/>
  <c r="AD117" i="229"/>
  <c r="A18" i="232"/>
  <c r="AC122" i="229" s="1"/>
  <c r="AD122" i="229"/>
  <c r="A15" i="232"/>
  <c r="AC119" i="229" s="1"/>
  <c r="AD119" i="229"/>
  <c r="A17" i="232"/>
  <c r="AC121" i="229" s="1"/>
  <c r="AD121" i="229"/>
  <c r="A14" i="232"/>
  <c r="AC118" i="229" s="1"/>
  <c r="AD118" i="229"/>
  <c r="X20" i="169"/>
  <c r="Y20" i="169" s="1"/>
  <c r="X15" i="169"/>
  <c r="Y15" i="169" s="1"/>
  <c r="K30" i="169"/>
  <c r="K23" i="169"/>
  <c r="L23" i="169" s="1"/>
  <c r="M23" i="169" s="1"/>
  <c r="O30" i="169"/>
  <c r="W12" i="230"/>
  <c r="Z13" i="230"/>
  <c r="W13" i="230"/>
  <c r="W11" i="230"/>
  <c r="X12" i="230"/>
  <c r="AP15" i="135"/>
  <c r="AQ15" i="135" s="1"/>
  <c r="AR15" i="135" s="1"/>
  <c r="V18" i="230"/>
  <c r="T12" i="231"/>
  <c r="L8" i="169"/>
  <c r="L34" i="169" s="1"/>
  <c r="L35" i="169" s="1"/>
  <c r="U13" i="231"/>
  <c r="V19" i="230"/>
  <c r="P19" i="230" s="1"/>
  <c r="M19" i="230" s="1"/>
  <c r="AD5" i="169"/>
  <c r="O26" i="169"/>
  <c r="O27" i="169"/>
  <c r="O29" i="169"/>
  <c r="O28" i="169"/>
  <c r="K33" i="169"/>
  <c r="L33" i="169" s="1"/>
  <c r="M33" i="169" s="1"/>
  <c r="K25" i="169"/>
  <c r="K17" i="169"/>
  <c r="K19" i="169"/>
  <c r="L19" i="169" s="1"/>
  <c r="M19" i="169" s="1"/>
  <c r="K32" i="169"/>
  <c r="K24" i="169"/>
  <c r="L24" i="169" s="1"/>
  <c r="M24" i="169" s="1"/>
  <c r="K16" i="169"/>
  <c r="L16" i="169" s="1"/>
  <c r="M16" i="169" s="1"/>
  <c r="K27" i="169"/>
  <c r="K31" i="169"/>
  <c r="L31" i="169" s="1"/>
  <c r="M31" i="169" s="1"/>
  <c r="K15" i="169"/>
  <c r="K18" i="169"/>
  <c r="L18" i="169" s="1"/>
  <c r="M18" i="169" s="1"/>
  <c r="K22" i="169"/>
  <c r="K14" i="169"/>
  <c r="L14" i="169" s="1"/>
  <c r="M14" i="169" s="1"/>
  <c r="AP36" i="135"/>
  <c r="AQ36" i="135" s="1"/>
  <c r="AR36" i="135" s="1"/>
  <c r="K29" i="169"/>
  <c r="L29" i="169" s="1"/>
  <c r="M29" i="169" s="1"/>
  <c r="K21" i="169"/>
  <c r="L21" i="169" s="1"/>
  <c r="M21" i="169" s="1"/>
  <c r="K20" i="169"/>
  <c r="K26" i="169"/>
  <c r="K28" i="169"/>
  <c r="M35" i="150"/>
  <c r="B101" i="254"/>
  <c r="M34" i="150"/>
  <c r="M31" i="150"/>
  <c r="M30" i="150"/>
  <c r="M33" i="150"/>
  <c r="M32" i="150"/>
  <c r="M29" i="150"/>
  <c r="P12" i="231"/>
  <c r="Y114" i="251"/>
  <c r="Y106" i="251"/>
  <c r="Y98" i="251"/>
  <c r="Y90" i="251"/>
  <c r="Y82" i="251"/>
  <c r="Y68" i="251"/>
  <c r="Y51" i="251"/>
  <c r="Y42" i="251"/>
  <c r="Y37" i="251"/>
  <c r="Y35" i="251"/>
  <c r="Y113" i="251"/>
  <c r="Y105" i="251"/>
  <c r="Y97" i="251"/>
  <c r="Y89" i="251"/>
  <c r="Y81" i="251"/>
  <c r="Y77" i="251"/>
  <c r="Y74" i="251"/>
  <c r="Y71" i="251"/>
  <c r="Y65" i="251"/>
  <c r="I65" i="251" s="1"/>
  <c r="Y62" i="251"/>
  <c r="Y53" i="251"/>
  <c r="I53" i="251" s="1"/>
  <c r="Y48" i="251"/>
  <c r="I48" i="251" s="1"/>
  <c r="Y45" i="251"/>
  <c r="Y39" i="251"/>
  <c r="I39" i="251" s="1"/>
  <c r="Y30" i="251"/>
  <c r="Y20" i="251"/>
  <c r="Y16" i="251"/>
  <c r="I16" i="251" s="1"/>
  <c r="Y8" i="251"/>
  <c r="I8" i="251" s="1"/>
  <c r="Y33" i="251"/>
  <c r="Y112" i="251"/>
  <c r="Y104" i="251"/>
  <c r="Y96" i="251"/>
  <c r="Y88" i="251"/>
  <c r="Y80" i="251"/>
  <c r="Y59" i="251"/>
  <c r="Y23" i="251"/>
  <c r="I23" i="251" s="1"/>
  <c r="Y12" i="251"/>
  <c r="I12" i="251" s="1"/>
  <c r="Y111" i="251"/>
  <c r="Y103" i="251"/>
  <c r="Y95" i="251"/>
  <c r="Y87" i="251"/>
  <c r="Y70" i="251"/>
  <c r="Y61" i="251"/>
  <c r="Y58" i="251"/>
  <c r="Y56" i="251"/>
  <c r="Y50" i="251"/>
  <c r="Y41" i="251"/>
  <c r="Y34" i="251"/>
  <c r="Y32" i="251"/>
  <c r="Y29" i="251"/>
  <c r="I29" i="251" s="1"/>
  <c r="Y26" i="251"/>
  <c r="I26" i="251" s="1"/>
  <c r="Y15" i="251"/>
  <c r="I15" i="251" s="1"/>
  <c r="Y47" i="251"/>
  <c r="Y38" i="251"/>
  <c r="Y36" i="251"/>
  <c r="Y22" i="251"/>
  <c r="Y7" i="251"/>
  <c r="Y107" i="251"/>
  <c r="Y75" i="251"/>
  <c r="Y66" i="251"/>
  <c r="Y54" i="251"/>
  <c r="I54" i="251" s="1"/>
  <c r="Y46" i="251"/>
  <c r="Y24" i="251"/>
  <c r="Y9" i="251"/>
  <c r="I9" i="251" s="1"/>
  <c r="Y13" i="251"/>
  <c r="Y110" i="251"/>
  <c r="Y102" i="251"/>
  <c r="Y94" i="251"/>
  <c r="Y86" i="251"/>
  <c r="Y76" i="251"/>
  <c r="Y73" i="251"/>
  <c r="Y67" i="251"/>
  <c r="Y64" i="251"/>
  <c r="I64" i="251" s="1"/>
  <c r="Y44" i="251"/>
  <c r="I44" i="251" s="1"/>
  <c r="Y19" i="251"/>
  <c r="Y109" i="251"/>
  <c r="Y101" i="251"/>
  <c r="Y93" i="251"/>
  <c r="Y85" i="251"/>
  <c r="Y79" i="251"/>
  <c r="Y69" i="251"/>
  <c r="Y52" i="251"/>
  <c r="I52" i="251" s="1"/>
  <c r="Y25" i="251"/>
  <c r="Y14" i="251"/>
  <c r="I14" i="251" s="1"/>
  <c r="Y108" i="251"/>
  <c r="Y100" i="251"/>
  <c r="Y92" i="251"/>
  <c r="Y84" i="251"/>
  <c r="Y72" i="251"/>
  <c r="Y63" i="251"/>
  <c r="Y60" i="251"/>
  <c r="X52" i="251"/>
  <c r="X33" i="251" s="1"/>
  <c r="Y49" i="251"/>
  <c r="I49" i="251" s="1"/>
  <c r="Y43" i="251"/>
  <c r="Y40" i="251"/>
  <c r="I40" i="251" s="1"/>
  <c r="Y31" i="251"/>
  <c r="Y28" i="251"/>
  <c r="I28" i="251" s="1"/>
  <c r="Y21" i="251"/>
  <c r="Y17" i="251"/>
  <c r="Y6" i="251"/>
  <c r="Y115" i="251"/>
  <c r="Y99" i="251"/>
  <c r="Y91" i="251"/>
  <c r="Y83" i="251"/>
  <c r="Y78" i="251"/>
  <c r="Y57" i="251"/>
  <c r="Y27" i="251"/>
  <c r="X53" i="251"/>
  <c r="X9" i="251"/>
  <c r="X29" i="251"/>
  <c r="X54" i="251"/>
  <c r="X16" i="251"/>
  <c r="X39" i="251"/>
  <c r="A1" i="251"/>
  <c r="X14" i="251"/>
  <c r="X48" i="251"/>
  <c r="X28" i="251"/>
  <c r="X8" i="251"/>
  <c r="X40" i="251"/>
  <c r="X44" i="251"/>
  <c r="X16" i="230"/>
  <c r="W15" i="230"/>
  <c r="W9" i="230"/>
  <c r="P9" i="230" s="1"/>
  <c r="M9" i="230" s="1"/>
  <c r="M52" i="248"/>
  <c r="L52" i="248" s="1"/>
  <c r="Y12" i="248"/>
  <c r="W8" i="230"/>
  <c r="P8" i="230" s="1"/>
  <c r="O52" i="248"/>
  <c r="S23" i="230"/>
  <c r="Q13" i="231"/>
  <c r="AP21" i="135"/>
  <c r="AQ21" i="135" s="1"/>
  <c r="AR21" i="135" s="1"/>
  <c r="M50" i="248"/>
  <c r="L50" i="248" s="1"/>
  <c r="N50" i="248"/>
  <c r="Y17" i="239"/>
  <c r="Y16" i="239"/>
  <c r="X16" i="239"/>
  <c r="X53" i="239"/>
  <c r="U26" i="248"/>
  <c r="M26" i="248" s="1"/>
  <c r="L26" i="248" s="1"/>
  <c r="U47" i="248"/>
  <c r="U30" i="248"/>
  <c r="U37" i="248"/>
  <c r="U35" i="248"/>
  <c r="U43" i="248"/>
  <c r="U34" i="248"/>
  <c r="U33" i="248"/>
  <c r="U39" i="248"/>
  <c r="U36" i="248"/>
  <c r="U41" i="248"/>
  <c r="U32" i="248"/>
  <c r="U44" i="248"/>
  <c r="U48" i="248"/>
  <c r="U46" i="248"/>
  <c r="U42" i="248"/>
  <c r="U38" i="248"/>
  <c r="U45" i="248"/>
  <c r="X52" i="239"/>
  <c r="X54" i="239"/>
  <c r="Y60" i="239"/>
  <c r="Y68" i="239"/>
  <c r="I68" i="239" s="1"/>
  <c r="Y59" i="239"/>
  <c r="Y65" i="239"/>
  <c r="Y73" i="239"/>
  <c r="Y79" i="239"/>
  <c r="Y57" i="239"/>
  <c r="I57" i="239" s="1"/>
  <c r="Y66" i="239"/>
  <c r="Y71" i="239"/>
  <c r="Y76" i="239"/>
  <c r="I76" i="239" s="1"/>
  <c r="Y52" i="239"/>
  <c r="Y58" i="239"/>
  <c r="I58" i="239" s="1"/>
  <c r="Y61" i="239"/>
  <c r="Y74" i="239"/>
  <c r="Y77" i="239"/>
  <c r="Y80" i="239"/>
  <c r="I80" i="239" s="1"/>
  <c r="Y54" i="239"/>
  <c r="I54" i="239" s="1"/>
  <c r="Y67" i="239"/>
  <c r="I67" i="239" s="1"/>
  <c r="Y64" i="239"/>
  <c r="Y70" i="239"/>
  <c r="Y72" i="239"/>
  <c r="Y78" i="239"/>
  <c r="I78" i="239" s="1"/>
  <c r="Y69" i="239"/>
  <c r="Y56" i="239"/>
  <c r="Y62" i="239"/>
  <c r="Y75" i="239"/>
  <c r="Y63" i="239"/>
  <c r="G2" i="189"/>
  <c r="U28" i="248"/>
  <c r="U27" i="248"/>
  <c r="U29" i="248"/>
  <c r="AA36" i="169"/>
  <c r="AB9" i="169"/>
  <c r="AC9" i="169" s="1"/>
  <c r="AO1" i="135"/>
  <c r="M22" i="150"/>
  <c r="H2" i="189"/>
  <c r="M23" i="150"/>
  <c r="R12" i="231"/>
  <c r="Y26" i="239"/>
  <c r="J26" i="239" s="1"/>
  <c r="AB26" i="239" s="1"/>
  <c r="Y36" i="239"/>
  <c r="I36" i="239" s="1"/>
  <c r="Y98" i="239"/>
  <c r="Y15" i="239"/>
  <c r="I15" i="239" s="1"/>
  <c r="Y84" i="239"/>
  <c r="Y83" i="239"/>
  <c r="Y88" i="239"/>
  <c r="Y81" i="239"/>
  <c r="Y109" i="239"/>
  <c r="S13" i="248"/>
  <c r="G6" i="189"/>
  <c r="Y82" i="239"/>
  <c r="Y97" i="239"/>
  <c r="Y113" i="239"/>
  <c r="AP9" i="135"/>
  <c r="AQ9" i="135" s="1"/>
  <c r="AR9" i="135" s="1"/>
  <c r="Y87" i="239"/>
  <c r="Y24" i="239"/>
  <c r="J24" i="239" s="1"/>
  <c r="AB24" i="239" s="1"/>
  <c r="R18" i="231"/>
  <c r="Y44" i="239"/>
  <c r="I44" i="239" s="1"/>
  <c r="Y50" i="239"/>
  <c r="J50" i="239" s="1"/>
  <c r="AB50" i="239" s="1"/>
  <c r="Y45" i="239"/>
  <c r="I45" i="239" s="1"/>
  <c r="Y53" i="239"/>
  <c r="Y46" i="239"/>
  <c r="I46" i="239" s="1"/>
  <c r="Y49" i="239"/>
  <c r="I49" i="239" s="1"/>
  <c r="Y47" i="239"/>
  <c r="I47" i="239" s="1"/>
  <c r="Y48" i="239"/>
  <c r="I48" i="239" s="1"/>
  <c r="Y51" i="239"/>
  <c r="J51" i="239" s="1"/>
  <c r="AB51" i="239" s="1"/>
  <c r="Y85" i="239"/>
  <c r="Y39" i="239"/>
  <c r="I39" i="239" s="1"/>
  <c r="Q8" i="231"/>
  <c r="M8" i="231" s="1"/>
  <c r="Y31" i="239"/>
  <c r="I31" i="239" s="1"/>
  <c r="Y110" i="239"/>
  <c r="Y111" i="239"/>
  <c r="Y89" i="239"/>
  <c r="Y30" i="239"/>
  <c r="I30" i="239" s="1"/>
  <c r="Y92" i="239"/>
  <c r="Z11" i="230"/>
  <c r="Y9" i="231"/>
  <c r="S11" i="248"/>
  <c r="Q9" i="231"/>
  <c r="X15" i="230"/>
  <c r="AB19" i="169"/>
  <c r="AC19" i="169" s="1"/>
  <c r="Y91" i="239"/>
  <c r="Y103" i="239"/>
  <c r="Y95" i="239"/>
  <c r="Y37" i="239"/>
  <c r="J37" i="239" s="1"/>
  <c r="AB37" i="239" s="1"/>
  <c r="Y23" i="239"/>
  <c r="I23" i="239" s="1"/>
  <c r="Y41" i="239"/>
  <c r="I41" i="239" s="1"/>
  <c r="Y94" i="239"/>
  <c r="Y38" i="239"/>
  <c r="I38" i="239" s="1"/>
  <c r="Y96" i="239"/>
  <c r="S11" i="231"/>
  <c r="R12" i="248"/>
  <c r="U11" i="231"/>
  <c r="S12" i="248"/>
  <c r="R19" i="248"/>
  <c r="O19" i="248" s="1"/>
  <c r="P12" i="248"/>
  <c r="Y102" i="239"/>
  <c r="Y19" i="239"/>
  <c r="Y101" i="239"/>
  <c r="Y27" i="239"/>
  <c r="J27" i="239" s="1"/>
  <c r="AB27" i="239" s="1"/>
  <c r="Y21" i="239"/>
  <c r="I21" i="239" s="1"/>
  <c r="Y43" i="239"/>
  <c r="I43" i="239" s="1"/>
  <c r="Y99" i="239"/>
  <c r="Y7" i="239"/>
  <c r="I7" i="239" s="1"/>
  <c r="Y100" i="239"/>
  <c r="T9" i="231"/>
  <c r="Y86" i="239"/>
  <c r="Y6" i="239"/>
  <c r="J6" i="239" s="1"/>
  <c r="AB6" i="239" s="1"/>
  <c r="Y107" i="239"/>
  <c r="Y28" i="239"/>
  <c r="I28" i="239" s="1"/>
  <c r="Y8" i="239"/>
  <c r="I8" i="239" s="1"/>
  <c r="Y104" i="239"/>
  <c r="T12" i="248"/>
  <c r="Y22" i="239"/>
  <c r="I22" i="239" s="1"/>
  <c r="Y115" i="239"/>
  <c r="Y29" i="239"/>
  <c r="I29" i="239" s="1"/>
  <c r="Y9" i="239"/>
  <c r="I9" i="239" s="1"/>
  <c r="Y108" i="239"/>
  <c r="V22" i="231"/>
  <c r="R18" i="248"/>
  <c r="M18" i="248" s="1"/>
  <c r="L18" i="248" s="1"/>
  <c r="G4" i="189"/>
  <c r="Y93" i="239"/>
  <c r="Y90" i="239"/>
  <c r="Y40" i="239"/>
  <c r="I40" i="239" s="1"/>
  <c r="K1" i="248"/>
  <c r="Y12" i="239"/>
  <c r="I12" i="239" s="1"/>
  <c r="Y25" i="239"/>
  <c r="J25" i="239" s="1"/>
  <c r="AB25" i="239" s="1"/>
  <c r="Y33" i="239"/>
  <c r="I33" i="239" s="1"/>
  <c r="Y106" i="239"/>
  <c r="Q11" i="248"/>
  <c r="R19" i="231"/>
  <c r="M19" i="231" s="1"/>
  <c r="X14" i="230"/>
  <c r="Y13" i="239"/>
  <c r="I13" i="239" s="1"/>
  <c r="Y32" i="239"/>
  <c r="J32" i="239" s="1"/>
  <c r="AB32" i="239" s="1"/>
  <c r="Y114" i="239"/>
  <c r="Y35" i="239"/>
  <c r="I35" i="239" s="1"/>
  <c r="Y42" i="239"/>
  <c r="J42" i="239" s="1"/>
  <c r="AB42" i="239" s="1"/>
  <c r="Y14" i="239"/>
  <c r="I14" i="239" s="1"/>
  <c r="Y34" i="239"/>
  <c r="I34" i="239" s="1"/>
  <c r="Y105" i="239"/>
  <c r="Y20" i="239"/>
  <c r="J20" i="239" s="1"/>
  <c r="AB20" i="239" s="1"/>
  <c r="Y112" i="239"/>
  <c r="S12" i="231"/>
  <c r="Q9" i="248"/>
  <c r="T18" i="230"/>
  <c r="S9" i="231"/>
  <c r="X28" i="239"/>
  <c r="X29" i="239"/>
  <c r="X40" i="239"/>
  <c r="M25" i="150"/>
  <c r="M14" i="150"/>
  <c r="K10" i="169"/>
  <c r="L10" i="169" s="1"/>
  <c r="M10" i="169" s="1"/>
  <c r="K9" i="169"/>
  <c r="J8" i="169"/>
  <c r="M17" i="150"/>
  <c r="A6" i="247"/>
  <c r="M15" i="150"/>
  <c r="AP27" i="135"/>
  <c r="AQ27" i="135" s="1"/>
  <c r="AR27" i="135" s="1"/>
  <c r="M19" i="150"/>
  <c r="M24" i="150"/>
  <c r="K11" i="169"/>
  <c r="L11" i="169" s="1"/>
  <c r="M11" i="169" s="1"/>
  <c r="K12" i="169"/>
  <c r="AG22" i="169"/>
  <c r="R20" i="248"/>
  <c r="O20" i="248" s="1"/>
  <c r="P22" i="230"/>
  <c r="M22" i="230" s="1"/>
  <c r="X13" i="230"/>
  <c r="Q8" i="248"/>
  <c r="O8" i="248" s="1"/>
  <c r="M20" i="150"/>
  <c r="M18" i="150"/>
  <c r="K13" i="169"/>
  <c r="L13" i="169" s="1"/>
  <c r="M13" i="169" s="1"/>
  <c r="S9" i="248"/>
  <c r="U23" i="248"/>
  <c r="M23" i="248" s="1"/>
  <c r="L23" i="248" s="1"/>
  <c r="G3" i="189"/>
  <c r="S23" i="231"/>
  <c r="T9" i="248"/>
  <c r="X17" i="230"/>
  <c r="P17" i="230" s="1"/>
  <c r="M17" i="230" s="1"/>
  <c r="Q12" i="248"/>
  <c r="W36" i="169"/>
  <c r="X9" i="169"/>
  <c r="X48" i="239"/>
  <c r="Q10" i="231"/>
  <c r="M4" i="150"/>
  <c r="AP5" i="135"/>
  <c r="AQ5" i="135" s="1"/>
  <c r="AR5" i="135" s="1"/>
  <c r="X9" i="239"/>
  <c r="AP13" i="135"/>
  <c r="AQ13" i="135" s="1"/>
  <c r="AR13" i="135" s="1"/>
  <c r="U66" i="130"/>
  <c r="N37" i="150" s="1"/>
  <c r="X39" i="239"/>
  <c r="P35" i="231"/>
  <c r="P9" i="231"/>
  <c r="P66" i="248"/>
  <c r="K73" i="130"/>
  <c r="AP39" i="135" s="1"/>
  <c r="O66" i="130"/>
  <c r="AP12" i="135"/>
  <c r="AQ12" i="135" s="1"/>
  <c r="AR12" i="135" s="1"/>
  <c r="U12" i="231"/>
  <c r="AP16" i="135"/>
  <c r="AQ16" i="135" s="1"/>
  <c r="AR16" i="135" s="1"/>
  <c r="AP22" i="135"/>
  <c r="AQ22" i="135" s="1"/>
  <c r="AR22" i="135" s="1"/>
  <c r="P9" i="248"/>
  <c r="Q10" i="248"/>
  <c r="N10" i="248" s="1"/>
  <c r="AP6" i="135"/>
  <c r="AQ6" i="135" s="1"/>
  <c r="AR6" i="135" s="1"/>
  <c r="J9" i="189"/>
  <c r="M13" i="150"/>
  <c r="AP11" i="135"/>
  <c r="AQ11" i="135" s="1"/>
  <c r="AR11" i="135" s="1"/>
  <c r="X8" i="239"/>
  <c r="A96" i="229"/>
  <c r="K1" i="231"/>
  <c r="H6" i="169"/>
  <c r="L1" i="230"/>
  <c r="A8" i="237"/>
  <c r="M28" i="150"/>
  <c r="S33" i="169"/>
  <c r="S29" i="169"/>
  <c r="S25" i="169"/>
  <c r="S21" i="169"/>
  <c r="S17" i="169"/>
  <c r="S12" i="169"/>
  <c r="S32" i="169"/>
  <c r="T32" i="169" s="1"/>
  <c r="U32" i="169" s="1"/>
  <c r="S28" i="169"/>
  <c r="S24" i="169"/>
  <c r="T24" i="169" s="1"/>
  <c r="U24" i="169" s="1"/>
  <c r="S20" i="169"/>
  <c r="S16" i="169"/>
  <c r="S15" i="169"/>
  <c r="S30" i="169"/>
  <c r="T30" i="169" s="1"/>
  <c r="U30" i="169" s="1"/>
  <c r="S26" i="169"/>
  <c r="S22" i="169"/>
  <c r="S18" i="169"/>
  <c r="T18" i="169" s="1"/>
  <c r="U18" i="169" s="1"/>
  <c r="S13" i="169"/>
  <c r="T13" i="169" s="1"/>
  <c r="U13" i="169" s="1"/>
  <c r="S9" i="169"/>
  <c r="T8" i="169"/>
  <c r="T36" i="169" s="1"/>
  <c r="S31" i="169"/>
  <c r="S27" i="169"/>
  <c r="S23" i="169"/>
  <c r="T23" i="169" s="1"/>
  <c r="U23" i="169" s="1"/>
  <c r="S19" i="169"/>
  <c r="S14" i="169"/>
  <c r="S10" i="169"/>
  <c r="T10" i="169" s="1"/>
  <c r="U10" i="169" s="1"/>
  <c r="S11" i="169"/>
  <c r="Q66" i="130"/>
  <c r="X12" i="231"/>
  <c r="A7" i="183"/>
  <c r="A1" i="239"/>
  <c r="C21" i="235"/>
  <c r="N66" i="130"/>
  <c r="AP26" i="135"/>
  <c r="AQ26" i="135" s="1"/>
  <c r="AR26" i="135" s="1"/>
  <c r="R20" i="231"/>
  <c r="Q11" i="231"/>
  <c r="Y9" i="248"/>
  <c r="U25" i="248"/>
  <c r="M25" i="248" s="1"/>
  <c r="L25" i="248" s="1"/>
  <c r="P8" i="169"/>
  <c r="AP37" i="135"/>
  <c r="AQ37" i="135" s="1"/>
  <c r="AR37" i="135" s="1"/>
  <c r="J8" i="189"/>
  <c r="Q12" i="231"/>
  <c r="U24" i="248"/>
  <c r="N24" i="248" s="1"/>
  <c r="AG21" i="169"/>
  <c r="AP10" i="135"/>
  <c r="AQ10" i="135" s="1"/>
  <c r="AR10" i="135" s="1"/>
  <c r="S13" i="231"/>
  <c r="H8" i="189"/>
  <c r="X19" i="169"/>
  <c r="Y19" i="169" s="1"/>
  <c r="X12" i="248"/>
  <c r="O24" i="169"/>
  <c r="P24" i="169" s="1"/>
  <c r="Q24" i="169" s="1"/>
  <c r="O20" i="169"/>
  <c r="O18" i="169"/>
  <c r="P18" i="169" s="1"/>
  <c r="Q18" i="169" s="1"/>
  <c r="O12" i="169"/>
  <c r="O25" i="169"/>
  <c r="O17" i="169"/>
  <c r="O13" i="169"/>
  <c r="P13" i="169" s="1"/>
  <c r="Q13" i="169" s="1"/>
  <c r="O9" i="169"/>
  <c r="K70" i="130"/>
  <c r="O22" i="169"/>
  <c r="O21" i="169"/>
  <c r="P21" i="169" s="1"/>
  <c r="Q21" i="169" s="1"/>
  <c r="O19" i="169"/>
  <c r="P19" i="169" s="1"/>
  <c r="Q19" i="169" s="1"/>
  <c r="O14" i="169"/>
  <c r="P14" i="169" s="1"/>
  <c r="Q14" i="169" s="1"/>
  <c r="O10" i="169"/>
  <c r="P10" i="169" s="1"/>
  <c r="Q10" i="169" s="1"/>
  <c r="N8" i="169"/>
  <c r="O23" i="169"/>
  <c r="P23" i="169" s="1"/>
  <c r="Q23" i="169" s="1"/>
  <c r="O16" i="169"/>
  <c r="P16" i="169" s="1"/>
  <c r="Q16" i="169" s="1"/>
  <c r="O15" i="169"/>
  <c r="O11" i="169"/>
  <c r="P11" i="169" s="1"/>
  <c r="Q11" i="169" s="1"/>
  <c r="A3" i="232"/>
  <c r="AC107" i="229" s="1"/>
  <c r="Q44" i="237"/>
  <c r="S44" i="237" s="1"/>
  <c r="R48" i="237"/>
  <c r="R53" i="183"/>
  <c r="R52" i="237"/>
  <c r="T52" i="237" s="1"/>
  <c r="R45" i="237"/>
  <c r="R49" i="237"/>
  <c r="R53" i="237"/>
  <c r="T53" i="237" s="1"/>
  <c r="R54" i="183"/>
  <c r="A4" i="232"/>
  <c r="AC108" i="229" s="1"/>
  <c r="Q45" i="237"/>
  <c r="S45" i="237" s="1"/>
  <c r="A8" i="232"/>
  <c r="AC112" i="229" s="1"/>
  <c r="Q49" i="237"/>
  <c r="S49" i="237" s="1"/>
  <c r="A12" i="232"/>
  <c r="AC116" i="229" s="1"/>
  <c r="Q54" i="183"/>
  <c r="AE105" i="229"/>
  <c r="R42" i="237"/>
  <c r="R46" i="237"/>
  <c r="A9" i="232"/>
  <c r="AC113" i="229" s="1"/>
  <c r="Q50" i="237"/>
  <c r="S50" i="237" s="1"/>
  <c r="A1" i="232"/>
  <c r="AC105" i="229" s="1"/>
  <c r="AD105" i="229"/>
  <c r="Q42" i="237"/>
  <c r="S42" i="237" s="1"/>
  <c r="A5" i="232"/>
  <c r="AC109" i="229" s="1"/>
  <c r="Q46" i="237"/>
  <c r="S46" i="237" s="1"/>
  <c r="R50" i="237"/>
  <c r="AE106" i="229"/>
  <c r="R43" i="237"/>
  <c r="R47" i="237"/>
  <c r="R51" i="237"/>
  <c r="T51" i="237" s="1"/>
  <c r="A2" i="232"/>
  <c r="AC106" i="229" s="1"/>
  <c r="AD106" i="229"/>
  <c r="Q43" i="237"/>
  <c r="S43" i="237" s="1"/>
  <c r="A6" i="232"/>
  <c r="AC110" i="229" s="1"/>
  <c r="Q47" i="237"/>
  <c r="S47" i="237" s="1"/>
  <c r="A10" i="232"/>
  <c r="AC114" i="229" s="1"/>
  <c r="R44" i="237"/>
  <c r="A7" i="232"/>
  <c r="AC111" i="229" s="1"/>
  <c r="Q48" i="237"/>
  <c r="S48" i="237" s="1"/>
  <c r="A11" i="232"/>
  <c r="AC115" i="229" s="1"/>
  <c r="Q53" i="183"/>
  <c r="X14" i="239"/>
  <c r="AB27" i="169" l="1"/>
  <c r="AC27" i="169" s="1"/>
  <c r="X27" i="169"/>
  <c r="Y27" i="169" s="1"/>
  <c r="L25" i="169"/>
  <c r="M25" i="169" s="1"/>
  <c r="T12" i="169"/>
  <c r="U12" i="169" s="1"/>
  <c r="U10" i="231"/>
  <c r="O10" i="231" s="1"/>
  <c r="L10" i="231" s="1"/>
  <c r="X28" i="169"/>
  <c r="X33" i="169"/>
  <c r="Y33" i="169" s="1"/>
  <c r="AB28" i="169"/>
  <c r="AC28" i="169" s="1"/>
  <c r="AB33" i="169"/>
  <c r="AC33" i="169" s="1"/>
  <c r="AB17" i="169"/>
  <c r="AC17" i="169" s="1"/>
  <c r="U15" i="231"/>
  <c r="AB15" i="169"/>
  <c r="AC15" i="169" s="1"/>
  <c r="X17" i="169"/>
  <c r="Y17" i="169" s="1"/>
  <c r="T31" i="169"/>
  <c r="U31" i="169" s="1"/>
  <c r="T43" i="237"/>
  <c r="T44" i="237"/>
  <c r="T47" i="237"/>
  <c r="T48" i="237"/>
  <c r="T50" i="237"/>
  <c r="T46" i="237"/>
  <c r="T42" i="237"/>
  <c r="T49" i="237"/>
  <c r="T45" i="237"/>
  <c r="AQ39" i="135"/>
  <c r="AR39" i="135" s="1"/>
  <c r="Q23" i="230"/>
  <c r="N23" i="230" s="1"/>
  <c r="P22" i="231"/>
  <c r="AE12" i="135"/>
  <c r="Y15" i="135"/>
  <c r="AC15" i="135"/>
  <c r="AA15" i="135"/>
  <c r="W15" i="135"/>
  <c r="V21" i="230"/>
  <c r="P21" i="230" s="1"/>
  <c r="M21" i="230" s="1"/>
  <c r="T15" i="169"/>
  <c r="U15" i="169" s="1"/>
  <c r="D633" i="262"/>
  <c r="D531" i="262"/>
  <c r="D463" i="262"/>
  <c r="D395" i="262"/>
  <c r="D327" i="262"/>
  <c r="D259" i="262"/>
  <c r="D191" i="262"/>
  <c r="D123" i="262"/>
  <c r="D55" i="262"/>
  <c r="D4" i="262"/>
  <c r="D718" i="262"/>
  <c r="D582" i="262"/>
  <c r="D667" i="262"/>
  <c r="D514" i="262"/>
  <c r="D446" i="262"/>
  <c r="D378" i="262"/>
  <c r="D310" i="262"/>
  <c r="D242" i="262"/>
  <c r="D174" i="262"/>
  <c r="D106" i="262"/>
  <c r="D38" i="262"/>
  <c r="D616" i="262"/>
  <c r="D701" i="262"/>
  <c r="D565" i="262"/>
  <c r="D497" i="262"/>
  <c r="D429" i="262"/>
  <c r="D361" i="262"/>
  <c r="D293" i="262"/>
  <c r="D225" i="262"/>
  <c r="D157" i="262"/>
  <c r="D89" i="262"/>
  <c r="D854" i="262"/>
  <c r="D837" i="262"/>
  <c r="D650" i="262"/>
  <c r="D820" i="262"/>
  <c r="D803" i="262"/>
  <c r="D786" i="262"/>
  <c r="D769" i="262"/>
  <c r="D752" i="262"/>
  <c r="D735" i="262"/>
  <c r="D599" i="262"/>
  <c r="D548" i="262"/>
  <c r="D480" i="262"/>
  <c r="D412" i="262"/>
  <c r="D344" i="262"/>
  <c r="D276" i="262"/>
  <c r="D208" i="262"/>
  <c r="D140" i="262"/>
  <c r="D72" i="262"/>
  <c r="D684" i="262"/>
  <c r="D21" i="262"/>
  <c r="T27" i="169"/>
  <c r="U27" i="169" s="1"/>
  <c r="M36" i="150"/>
  <c r="AP23" i="135" s="1"/>
  <c r="AQ23" i="135" s="1"/>
  <c r="AR23" i="135" s="1"/>
  <c r="J11" i="130"/>
  <c r="T33" i="169"/>
  <c r="U33" i="169" s="1"/>
  <c r="T22" i="169"/>
  <c r="U22" i="169" s="1"/>
  <c r="D4" i="256"/>
  <c r="B7" i="254"/>
  <c r="F7" i="255"/>
  <c r="V20" i="230"/>
  <c r="P20" i="230" s="1"/>
  <c r="M20" i="230" s="1"/>
  <c r="T20" i="169"/>
  <c r="U20" i="169" s="1"/>
  <c r="U22" i="231"/>
  <c r="T17" i="169"/>
  <c r="U17" i="169" s="1"/>
  <c r="T25" i="169"/>
  <c r="U25" i="169" s="1"/>
  <c r="U23" i="231"/>
  <c r="O23" i="231" s="1"/>
  <c r="L23" i="231" s="1"/>
  <c r="L9" i="169"/>
  <c r="M9" i="169" s="1"/>
  <c r="K36" i="169"/>
  <c r="P34" i="169"/>
  <c r="P36" i="169"/>
  <c r="P28" i="169"/>
  <c r="Q28" i="169" s="1"/>
  <c r="L28" i="169"/>
  <c r="M28" i="169" s="1"/>
  <c r="L36" i="169"/>
  <c r="M8" i="230"/>
  <c r="P25" i="169"/>
  <c r="Q25" i="169" s="1"/>
  <c r="T29" i="169"/>
  <c r="U29" i="169" s="1"/>
  <c r="J48" i="251"/>
  <c r="AB48" i="251" s="1"/>
  <c r="P32" i="169"/>
  <c r="Q32" i="169" s="1"/>
  <c r="T28" i="169"/>
  <c r="U28" i="169" s="1"/>
  <c r="J23" i="251"/>
  <c r="AB23" i="251" s="1"/>
  <c r="J12" i="251"/>
  <c r="AB12" i="251" s="1"/>
  <c r="J15" i="251"/>
  <c r="AB15" i="251" s="1"/>
  <c r="M25" i="231"/>
  <c r="J54" i="251"/>
  <c r="AB54" i="251" s="1"/>
  <c r="J14" i="251"/>
  <c r="AB14" i="251" s="1"/>
  <c r="J9" i="251"/>
  <c r="AB9" i="251" s="1"/>
  <c r="J28" i="251"/>
  <c r="AB28" i="251" s="1"/>
  <c r="J29" i="251"/>
  <c r="AB29" i="251" s="1"/>
  <c r="J16" i="251"/>
  <c r="AB16" i="251" s="1"/>
  <c r="I47" i="251"/>
  <c r="J47" i="251"/>
  <c r="AB47" i="251" s="1"/>
  <c r="J56" i="251"/>
  <c r="AB56" i="251" s="1"/>
  <c r="L56" i="251"/>
  <c r="K56" i="251" s="1"/>
  <c r="H56" i="251" s="1"/>
  <c r="I56" i="251"/>
  <c r="J33" i="251"/>
  <c r="AB33" i="251" s="1"/>
  <c r="I33" i="251"/>
  <c r="J53" i="251"/>
  <c r="AB53" i="251" s="1"/>
  <c r="I6" i="251"/>
  <c r="J6" i="251"/>
  <c r="AB6" i="251" s="1"/>
  <c r="J52" i="251"/>
  <c r="AB52" i="251" s="1"/>
  <c r="X49" i="251"/>
  <c r="L66" i="251"/>
  <c r="K66" i="251" s="1"/>
  <c r="H66" i="251" s="1"/>
  <c r="I66" i="251"/>
  <c r="J66" i="251"/>
  <c r="AB66" i="251" s="1"/>
  <c r="I58" i="251"/>
  <c r="J58" i="251"/>
  <c r="AB58" i="251" s="1"/>
  <c r="I62" i="251"/>
  <c r="J62" i="251"/>
  <c r="AB62" i="251" s="1"/>
  <c r="I27" i="251"/>
  <c r="J27" i="251"/>
  <c r="AB27" i="251" s="1"/>
  <c r="I17" i="251"/>
  <c r="J17" i="251"/>
  <c r="AB17" i="251" s="1"/>
  <c r="I60" i="251"/>
  <c r="J60" i="251"/>
  <c r="AB60" i="251" s="1"/>
  <c r="I25" i="251"/>
  <c r="J25" i="251"/>
  <c r="AB25" i="251" s="1"/>
  <c r="I75" i="251"/>
  <c r="J75" i="251"/>
  <c r="AB75" i="251" s="1"/>
  <c r="I61" i="251"/>
  <c r="J61" i="251"/>
  <c r="AB61" i="251" s="1"/>
  <c r="I57" i="251"/>
  <c r="J57" i="251"/>
  <c r="AB57" i="251" s="1"/>
  <c r="I21" i="251"/>
  <c r="J21" i="251"/>
  <c r="AB21" i="251" s="1"/>
  <c r="I63" i="251"/>
  <c r="J63" i="251"/>
  <c r="AB63" i="251" s="1"/>
  <c r="I70" i="251"/>
  <c r="J70" i="251"/>
  <c r="AB70" i="251" s="1"/>
  <c r="I80" i="251"/>
  <c r="J80" i="251"/>
  <c r="AB80" i="251" s="1"/>
  <c r="I20" i="251"/>
  <c r="J20" i="251"/>
  <c r="AB20" i="251" s="1"/>
  <c r="I71" i="251"/>
  <c r="J71" i="251"/>
  <c r="AB71" i="251" s="1"/>
  <c r="I35" i="251"/>
  <c r="J35" i="251"/>
  <c r="AB35" i="251" s="1"/>
  <c r="J26" i="251"/>
  <c r="AB26" i="251" s="1"/>
  <c r="I78" i="251"/>
  <c r="J78" i="251"/>
  <c r="AB78" i="251" s="1"/>
  <c r="I72" i="251"/>
  <c r="J72" i="251"/>
  <c r="AB72" i="251" s="1"/>
  <c r="I69" i="251"/>
  <c r="J69" i="251"/>
  <c r="AB69" i="251" s="1"/>
  <c r="I13" i="251"/>
  <c r="J13" i="251"/>
  <c r="AB13" i="251" s="1"/>
  <c r="I7" i="251"/>
  <c r="J7" i="251"/>
  <c r="AB7" i="251" s="1"/>
  <c r="I32" i="251"/>
  <c r="J32" i="251"/>
  <c r="AB32" i="251" s="1"/>
  <c r="I30" i="251"/>
  <c r="J30" i="251"/>
  <c r="AB30" i="251" s="1"/>
  <c r="I74" i="251"/>
  <c r="J74" i="251"/>
  <c r="AB74" i="251" s="1"/>
  <c r="I37" i="251"/>
  <c r="J37" i="251"/>
  <c r="AB37" i="251" s="1"/>
  <c r="I31" i="251"/>
  <c r="J31" i="251"/>
  <c r="AB31" i="251" s="1"/>
  <c r="I79" i="251"/>
  <c r="J79" i="251"/>
  <c r="AB79" i="251" s="1"/>
  <c r="J67" i="251"/>
  <c r="AB67" i="251" s="1"/>
  <c r="I67" i="251"/>
  <c r="I22" i="251"/>
  <c r="J22" i="251"/>
  <c r="AB22" i="251" s="1"/>
  <c r="I34" i="251"/>
  <c r="J34" i="251"/>
  <c r="AB34" i="251" s="1"/>
  <c r="I77" i="251"/>
  <c r="J77" i="251"/>
  <c r="AB77" i="251" s="1"/>
  <c r="I42" i="251"/>
  <c r="J42" i="251"/>
  <c r="AB42" i="251" s="1"/>
  <c r="I73" i="251"/>
  <c r="J73" i="251"/>
  <c r="AB73" i="251" s="1"/>
  <c r="I24" i="251"/>
  <c r="J24" i="251"/>
  <c r="AB24" i="251" s="1"/>
  <c r="I36" i="251"/>
  <c r="J36" i="251"/>
  <c r="AB36" i="251" s="1"/>
  <c r="I41" i="251"/>
  <c r="J41" i="251"/>
  <c r="AB41" i="251" s="1"/>
  <c r="I45" i="251"/>
  <c r="J45" i="251"/>
  <c r="AB45" i="251" s="1"/>
  <c r="I51" i="251"/>
  <c r="J51" i="251"/>
  <c r="AB51" i="251" s="1"/>
  <c r="J64" i="251"/>
  <c r="AB64" i="251" s="1"/>
  <c r="I43" i="251"/>
  <c r="J43" i="251"/>
  <c r="AB43" i="251" s="1"/>
  <c r="I76" i="251"/>
  <c r="J76" i="251"/>
  <c r="AB76" i="251" s="1"/>
  <c r="I46" i="251"/>
  <c r="J46" i="251"/>
  <c r="AB46" i="251" s="1"/>
  <c r="I38" i="251"/>
  <c r="J38" i="251"/>
  <c r="AB38" i="251" s="1"/>
  <c r="I50" i="251"/>
  <c r="J50" i="251"/>
  <c r="AB50" i="251" s="1"/>
  <c r="I68" i="251"/>
  <c r="J68" i="251"/>
  <c r="AB68" i="251" s="1"/>
  <c r="J65" i="251"/>
  <c r="AB65" i="251" s="1"/>
  <c r="J39" i="251"/>
  <c r="AB39" i="251" s="1"/>
  <c r="J40" i="251"/>
  <c r="AB40" i="251" s="1"/>
  <c r="J44" i="251"/>
  <c r="AB44" i="251" s="1"/>
  <c r="J8" i="251"/>
  <c r="AB8" i="251" s="1"/>
  <c r="P15" i="230"/>
  <c r="M15" i="230" s="1"/>
  <c r="O21" i="231"/>
  <c r="L21" i="231" s="1"/>
  <c r="M21" i="231"/>
  <c r="W9" i="135"/>
  <c r="X33" i="239"/>
  <c r="L30" i="169"/>
  <c r="M30" i="169" s="1"/>
  <c r="P26" i="169"/>
  <c r="Q26" i="169" s="1"/>
  <c r="L26" i="169"/>
  <c r="M26" i="169" s="1"/>
  <c r="R22" i="231"/>
  <c r="P12" i="230"/>
  <c r="M12" i="230" s="1"/>
  <c r="P18" i="230"/>
  <c r="M18" i="230" s="1"/>
  <c r="P11" i="230"/>
  <c r="M11" i="230" s="1"/>
  <c r="P10" i="230"/>
  <c r="M10" i="230" s="1"/>
  <c r="P14" i="230"/>
  <c r="M14" i="230" s="1"/>
  <c r="O16" i="230"/>
  <c r="P16" i="230"/>
  <c r="M16" i="230" s="1"/>
  <c r="P13" i="230"/>
  <c r="M13" i="230" s="1"/>
  <c r="AB22" i="230"/>
  <c r="AP17" i="135"/>
  <c r="AQ17" i="135" s="1"/>
  <c r="AR17" i="135" s="1"/>
  <c r="AG6" i="135" s="1"/>
  <c r="J16" i="239"/>
  <c r="AB16" i="239" s="1"/>
  <c r="I16" i="239"/>
  <c r="I17" i="239"/>
  <c r="J17" i="239"/>
  <c r="AB17" i="239" s="1"/>
  <c r="O46" i="248"/>
  <c r="M46" i="248"/>
  <c r="L46" i="248" s="1"/>
  <c r="N46" i="248"/>
  <c r="M34" i="248"/>
  <c r="L34" i="248" s="1"/>
  <c r="N34" i="248"/>
  <c r="O34" i="248"/>
  <c r="M48" i="248"/>
  <c r="L48" i="248" s="1"/>
  <c r="O48" i="248"/>
  <c r="N48" i="248"/>
  <c r="N43" i="248"/>
  <c r="M43" i="248"/>
  <c r="L43" i="248" s="1"/>
  <c r="O43" i="248"/>
  <c r="M44" i="248"/>
  <c r="L44" i="248" s="1"/>
  <c r="O44" i="248"/>
  <c r="N44" i="248"/>
  <c r="O35" i="248"/>
  <c r="M35" i="248"/>
  <c r="L35" i="248" s="1"/>
  <c r="N35" i="248"/>
  <c r="O32" i="248"/>
  <c r="M32" i="248"/>
  <c r="L32" i="248" s="1"/>
  <c r="N32" i="248"/>
  <c r="N37" i="248"/>
  <c r="O37" i="248"/>
  <c r="M37" i="248"/>
  <c r="L37" i="248" s="1"/>
  <c r="O41" i="248"/>
  <c r="M41" i="248"/>
  <c r="L41" i="248" s="1"/>
  <c r="N41" i="248"/>
  <c r="O45" i="248"/>
  <c r="M45" i="248"/>
  <c r="L45" i="248" s="1"/>
  <c r="N45" i="248"/>
  <c r="M36" i="248"/>
  <c r="L36" i="248" s="1"/>
  <c r="N36" i="248"/>
  <c r="O36" i="248"/>
  <c r="O47" i="248"/>
  <c r="N47" i="248"/>
  <c r="M47" i="248"/>
  <c r="L47" i="248" s="1"/>
  <c r="M38" i="248"/>
  <c r="L38" i="248" s="1"/>
  <c r="N38" i="248"/>
  <c r="O38" i="248"/>
  <c r="O39" i="248"/>
  <c r="M39" i="248"/>
  <c r="L39" i="248" s="1"/>
  <c r="N39" i="248"/>
  <c r="O42" i="248"/>
  <c r="M42" i="248"/>
  <c r="L42" i="248" s="1"/>
  <c r="N42" i="248"/>
  <c r="N33" i="248"/>
  <c r="O33" i="248"/>
  <c r="M33" i="248"/>
  <c r="L33" i="248" s="1"/>
  <c r="J58" i="239"/>
  <c r="AB58" i="239" s="1"/>
  <c r="X49" i="239"/>
  <c r="AB21" i="169"/>
  <c r="AC21" i="169" s="1"/>
  <c r="X21" i="169"/>
  <c r="Y21" i="169" s="1"/>
  <c r="J76" i="239"/>
  <c r="AB76" i="239" s="1"/>
  <c r="I70" i="239"/>
  <c r="J70" i="239"/>
  <c r="AB70" i="239" s="1"/>
  <c r="I65" i="239"/>
  <c r="J65" i="239"/>
  <c r="AB65" i="239" s="1"/>
  <c r="I63" i="239"/>
  <c r="J63" i="239"/>
  <c r="AB63" i="239" s="1"/>
  <c r="I64" i="239"/>
  <c r="J64" i="239"/>
  <c r="AB64" i="239" s="1"/>
  <c r="I52" i="239"/>
  <c r="J52" i="239"/>
  <c r="AB52" i="239" s="1"/>
  <c r="I75" i="239"/>
  <c r="J75" i="239"/>
  <c r="AB75" i="239" s="1"/>
  <c r="I62" i="239"/>
  <c r="J62" i="239"/>
  <c r="AB62" i="239" s="1"/>
  <c r="I71" i="239"/>
  <c r="J71" i="239"/>
  <c r="AB71" i="239" s="1"/>
  <c r="I60" i="239"/>
  <c r="J60" i="239"/>
  <c r="AB60" i="239" s="1"/>
  <c r="I56" i="239"/>
  <c r="L56" i="239"/>
  <c r="K56" i="239" s="1"/>
  <c r="H56" i="239" s="1"/>
  <c r="J56" i="239"/>
  <c r="AB56" i="239" s="1"/>
  <c r="I66" i="239"/>
  <c r="L66" i="239"/>
  <c r="K66" i="239" s="1"/>
  <c r="H66" i="239" s="1"/>
  <c r="J66" i="239"/>
  <c r="AB66" i="239" s="1"/>
  <c r="J80" i="239"/>
  <c r="AB80" i="239" s="1"/>
  <c r="J54" i="239"/>
  <c r="AB54" i="239" s="1"/>
  <c r="I69" i="239"/>
  <c r="J69" i="239"/>
  <c r="AB69" i="239" s="1"/>
  <c r="I77" i="239"/>
  <c r="J77" i="239"/>
  <c r="AB77" i="239" s="1"/>
  <c r="J57" i="239"/>
  <c r="AB57" i="239" s="1"/>
  <c r="I74" i="239"/>
  <c r="J74" i="239"/>
  <c r="AB74" i="239" s="1"/>
  <c r="I79" i="239"/>
  <c r="J79" i="239"/>
  <c r="AB79" i="239" s="1"/>
  <c r="J78" i="239"/>
  <c r="AB78" i="239" s="1"/>
  <c r="J68" i="239"/>
  <c r="AB68" i="239" s="1"/>
  <c r="I72" i="239"/>
  <c r="J72" i="239"/>
  <c r="AB72" i="239" s="1"/>
  <c r="I61" i="239"/>
  <c r="J61" i="239"/>
  <c r="AB61" i="239" s="1"/>
  <c r="I73" i="239"/>
  <c r="J73" i="239"/>
  <c r="AB73" i="239" s="1"/>
  <c r="J67" i="239"/>
  <c r="AB67" i="239" s="1"/>
  <c r="I53" i="239"/>
  <c r="J53" i="239"/>
  <c r="AB53" i="239" s="1"/>
  <c r="O29" i="248"/>
  <c r="N29" i="248"/>
  <c r="M29" i="248"/>
  <c r="L29" i="248" s="1"/>
  <c r="N27" i="248"/>
  <c r="M27" i="248"/>
  <c r="L27" i="248" s="1"/>
  <c r="O27" i="248"/>
  <c r="M28" i="248"/>
  <c r="L28" i="248" s="1"/>
  <c r="O28" i="248"/>
  <c r="N28" i="248"/>
  <c r="M30" i="248"/>
  <c r="L30" i="248" s="1"/>
  <c r="O30" i="248"/>
  <c r="N30" i="248"/>
  <c r="L22" i="169"/>
  <c r="M22" i="169" s="1"/>
  <c r="L15" i="169"/>
  <c r="M15" i="169" s="1"/>
  <c r="L32" i="169"/>
  <c r="M32" i="169" s="1"/>
  <c r="P27" i="169"/>
  <c r="Q27" i="169" s="1"/>
  <c r="L27" i="169"/>
  <c r="M27" i="169" s="1"/>
  <c r="T19" i="169"/>
  <c r="U19" i="169" s="1"/>
  <c r="I19" i="169" s="1"/>
  <c r="J36" i="239"/>
  <c r="AB36" i="239" s="1"/>
  <c r="O18" i="231"/>
  <c r="L18" i="231" s="1"/>
  <c r="P15" i="169"/>
  <c r="Q15" i="169" s="1"/>
  <c r="O8" i="231"/>
  <c r="L8" i="231" s="1"/>
  <c r="T11" i="169"/>
  <c r="U11" i="169" s="1"/>
  <c r="I11" i="169" s="1"/>
  <c r="I24" i="239"/>
  <c r="P12" i="169"/>
  <c r="Q12" i="169" s="1"/>
  <c r="L12" i="169"/>
  <c r="M12" i="169" s="1"/>
  <c r="T14" i="169"/>
  <c r="U14" i="169" s="1"/>
  <c r="I14" i="169" s="1"/>
  <c r="Y8" i="135"/>
  <c r="N23" i="248"/>
  <c r="L20" i="169"/>
  <c r="M20" i="169" s="1"/>
  <c r="O19" i="231"/>
  <c r="L19" i="231" s="1"/>
  <c r="P20" i="169"/>
  <c r="Q20" i="169" s="1"/>
  <c r="O23" i="248"/>
  <c r="U17" i="231"/>
  <c r="M17" i="231" s="1"/>
  <c r="I26" i="239"/>
  <c r="J15" i="239"/>
  <c r="AB15" i="239" s="1"/>
  <c r="I51" i="239"/>
  <c r="O18" i="248"/>
  <c r="J43" i="239"/>
  <c r="AB43" i="239" s="1"/>
  <c r="I37" i="239"/>
  <c r="N18" i="248"/>
  <c r="J46" i="239"/>
  <c r="AB46" i="239" s="1"/>
  <c r="M20" i="248"/>
  <c r="L20" i="248" s="1"/>
  <c r="N20" i="248"/>
  <c r="J45" i="239"/>
  <c r="AB45" i="239" s="1"/>
  <c r="O13" i="230"/>
  <c r="M19" i="248"/>
  <c r="L19" i="248" s="1"/>
  <c r="I42" i="239"/>
  <c r="N19" i="248"/>
  <c r="J29" i="239"/>
  <c r="AB29" i="239" s="1"/>
  <c r="J40" i="239"/>
  <c r="AB40" i="239" s="1"/>
  <c r="J47" i="239"/>
  <c r="AB47" i="239" s="1"/>
  <c r="J44" i="239"/>
  <c r="AB44" i="239" s="1"/>
  <c r="O20" i="231"/>
  <c r="L20" i="231" s="1"/>
  <c r="M20" i="231"/>
  <c r="M18" i="231"/>
  <c r="M11" i="231"/>
  <c r="N9" i="248"/>
  <c r="N26" i="248"/>
  <c r="J48" i="239"/>
  <c r="AB48" i="239" s="1"/>
  <c r="M8" i="248"/>
  <c r="S2" i="231"/>
  <c r="I32" i="239"/>
  <c r="J35" i="239"/>
  <c r="AB35" i="239" s="1"/>
  <c r="I20" i="239"/>
  <c r="J21" i="239"/>
  <c r="AB21" i="239" s="1"/>
  <c r="J30" i="239"/>
  <c r="AB30" i="239" s="1"/>
  <c r="J23" i="239"/>
  <c r="AB23" i="239" s="1"/>
  <c r="J22" i="239"/>
  <c r="AB22" i="239" s="1"/>
  <c r="J7" i="239"/>
  <c r="AB7" i="239" s="1"/>
  <c r="J34" i="239"/>
  <c r="AB34" i="239" s="1"/>
  <c r="J31" i="239"/>
  <c r="AB31" i="239" s="1"/>
  <c r="J9" i="239"/>
  <c r="AB9" i="239" s="1"/>
  <c r="I27" i="239"/>
  <c r="I6" i="239"/>
  <c r="I25" i="239"/>
  <c r="I50" i="239"/>
  <c r="J38" i="239"/>
  <c r="AB38" i="239" s="1"/>
  <c r="J41" i="239"/>
  <c r="AB41" i="239" s="1"/>
  <c r="N16" i="230"/>
  <c r="M11" i="248"/>
  <c r="L11" i="248" s="1"/>
  <c r="O10" i="248"/>
  <c r="O9" i="231"/>
  <c r="L9" i="231" s="1"/>
  <c r="O26" i="248"/>
  <c r="J39" i="239"/>
  <c r="AB39" i="239" s="1"/>
  <c r="J28" i="239"/>
  <c r="AB28" i="239" s="1"/>
  <c r="AA7" i="135"/>
  <c r="J8" i="239"/>
  <c r="AB8" i="239" s="1"/>
  <c r="L17" i="169"/>
  <c r="M17" i="169" s="1"/>
  <c r="AE8" i="135"/>
  <c r="AC13" i="135"/>
  <c r="AK8" i="135"/>
  <c r="AC8" i="135"/>
  <c r="W13" i="135"/>
  <c r="AA11" i="135"/>
  <c r="M9" i="150"/>
  <c r="AP24" i="135" s="1"/>
  <c r="AQ24" i="135" s="1"/>
  <c r="AR24" i="135" s="1"/>
  <c r="M9" i="231"/>
  <c r="AG8" i="135"/>
  <c r="Y13" i="135"/>
  <c r="Y9" i="169"/>
  <c r="O13" i="248"/>
  <c r="M9" i="248"/>
  <c r="O9" i="248"/>
  <c r="T16" i="169"/>
  <c r="U16" i="169" s="1"/>
  <c r="I16" i="169" s="1"/>
  <c r="M2" i="230"/>
  <c r="O24" i="248"/>
  <c r="M10" i="248"/>
  <c r="L10" i="248" s="1"/>
  <c r="M5" i="150"/>
  <c r="O11" i="231"/>
  <c r="L11" i="231" s="1"/>
  <c r="T26" i="169"/>
  <c r="U26" i="169" s="1"/>
  <c r="T21" i="169"/>
  <c r="U21" i="169" s="1"/>
  <c r="Y9" i="135"/>
  <c r="M11" i="150"/>
  <c r="M12" i="150"/>
  <c r="AP14" i="135"/>
  <c r="AQ14" i="135" s="1"/>
  <c r="AR14" i="135" s="1"/>
  <c r="AG7" i="135" s="1"/>
  <c r="AA9" i="135"/>
  <c r="S2" i="248"/>
  <c r="O24" i="231"/>
  <c r="L24" i="231" s="1"/>
  <c r="H5" i="189"/>
  <c r="N12" i="248"/>
  <c r="AC9" i="135"/>
  <c r="I24" i="169"/>
  <c r="M12" i="248"/>
  <c r="N13" i="230"/>
  <c r="O15" i="230"/>
  <c r="N15" i="230"/>
  <c r="N9" i="230"/>
  <c r="O9" i="230"/>
  <c r="N12" i="230"/>
  <c r="O12" i="230"/>
  <c r="T9" i="169"/>
  <c r="S36" i="169"/>
  <c r="N13" i="248"/>
  <c r="M13" i="248"/>
  <c r="L13" i="248" s="1"/>
  <c r="O13" i="231"/>
  <c r="L13" i="231" s="1"/>
  <c r="I13" i="169"/>
  <c r="M24" i="248"/>
  <c r="O25" i="248"/>
  <c r="O11" i="248"/>
  <c r="N25" i="248"/>
  <c r="M12" i="231"/>
  <c r="M13" i="231"/>
  <c r="AA6" i="135"/>
  <c r="O12" i="248"/>
  <c r="P17" i="169"/>
  <c r="Q17" i="169" s="1"/>
  <c r="O12" i="231"/>
  <c r="L12" i="231" s="1"/>
  <c r="I18" i="169"/>
  <c r="I10" i="169"/>
  <c r="I23" i="169"/>
  <c r="P22" i="169"/>
  <c r="Q22" i="169" s="1"/>
  <c r="P29" i="169"/>
  <c r="Q29" i="169" s="1"/>
  <c r="M24" i="231"/>
  <c r="J7" i="189"/>
  <c r="P30" i="169"/>
  <c r="Q30" i="169" s="1"/>
  <c r="O36" i="169"/>
  <c r="P9" i="169"/>
  <c r="Q9" i="169" s="1"/>
  <c r="P31" i="169"/>
  <c r="Q31" i="169" s="1"/>
  <c r="P33" i="169"/>
  <c r="Q33" i="169" s="1"/>
  <c r="S52" i="183"/>
  <c r="T52" i="183" s="1"/>
  <c r="S48" i="183"/>
  <c r="T48" i="183" s="1"/>
  <c r="S44" i="183"/>
  <c r="T44" i="183" s="1"/>
  <c r="S51" i="183"/>
  <c r="T51" i="183" s="1"/>
  <c r="P49" i="237"/>
  <c r="P45" i="237"/>
  <c r="S45" i="183"/>
  <c r="T45" i="183" s="1"/>
  <c r="S53" i="183"/>
  <c r="T53" i="183" s="1"/>
  <c r="P53" i="183"/>
  <c r="S54" i="183"/>
  <c r="T54" i="183" s="1"/>
  <c r="P54" i="183"/>
  <c r="S50" i="183"/>
  <c r="T50" i="183" s="1"/>
  <c r="S46" i="183"/>
  <c r="T46" i="183" s="1"/>
  <c r="S49" i="183"/>
  <c r="T49" i="183" s="1"/>
  <c r="P43" i="237"/>
  <c r="P46" i="237"/>
  <c r="S43" i="183"/>
  <c r="T43" i="183" s="1"/>
  <c r="P50" i="237"/>
  <c r="P44" i="237"/>
  <c r="P48" i="237"/>
  <c r="P47" i="237"/>
  <c r="S47" i="183"/>
  <c r="T47" i="183" s="1"/>
  <c r="P42" i="237"/>
  <c r="J14" i="239"/>
  <c r="AB14" i="239" s="1"/>
  <c r="M10" i="231" l="1"/>
  <c r="I31" i="169"/>
  <c r="P23" i="230"/>
  <c r="M23" i="230" s="1"/>
  <c r="O23" i="230"/>
  <c r="F10" i="230" s="1" a="1"/>
  <c r="F10" i="230" s="1"/>
  <c r="I33" i="169"/>
  <c r="I25" i="169"/>
  <c r="I28" i="169"/>
  <c r="I29" i="169"/>
  <c r="I32" i="169"/>
  <c r="AG9" i="135"/>
  <c r="AE9" i="135"/>
  <c r="W10" i="135"/>
  <c r="Y10" i="135"/>
  <c r="AA10" i="135"/>
  <c r="AC10" i="135"/>
  <c r="O25" i="231"/>
  <c r="L25" i="231" s="1"/>
  <c r="AE6" i="135"/>
  <c r="J49" i="251"/>
  <c r="AB49" i="251" s="1"/>
  <c r="AB5" i="251" s="1"/>
  <c r="W6" i="135"/>
  <c r="AC6" i="135"/>
  <c r="Y6" i="135"/>
  <c r="I30" i="169"/>
  <c r="W5" i="135"/>
  <c r="J33" i="239"/>
  <c r="AB33" i="239" s="1"/>
  <c r="N11" i="230"/>
  <c r="D18" i="230" s="1" a="1"/>
  <c r="D18" i="230" s="1"/>
  <c r="I26" i="169"/>
  <c r="O22" i="231"/>
  <c r="L22" i="231" s="1"/>
  <c r="AP30" i="135" s="1"/>
  <c r="AB20" i="230"/>
  <c r="M22" i="231"/>
  <c r="O15" i="231"/>
  <c r="L15" i="231" s="1"/>
  <c r="M15" i="231"/>
  <c r="AP33" i="135"/>
  <c r="AQ33" i="135" s="1"/>
  <c r="AR33" i="135" s="1"/>
  <c r="AB21" i="230"/>
  <c r="AC5" i="135"/>
  <c r="AG5" i="135"/>
  <c r="AA5" i="135"/>
  <c r="Y5" i="135"/>
  <c r="AK5" i="135"/>
  <c r="AE5" i="135"/>
  <c r="I21" i="169"/>
  <c r="E11" i="248" a="1"/>
  <c r="E11" i="248" s="1"/>
  <c r="C11" i="248" s="1"/>
  <c r="E16" i="248" a="1"/>
  <c r="E16" i="248" s="1"/>
  <c r="C16" i="248" s="1"/>
  <c r="E21" i="248" a="1"/>
  <c r="E21" i="248" s="1"/>
  <c r="C21" i="248" s="1"/>
  <c r="E8" i="248" a="1"/>
  <c r="E8" i="248" s="1"/>
  <c r="C8" i="248" s="1"/>
  <c r="D15" i="248" a="1"/>
  <c r="D15" i="248" s="1"/>
  <c r="B15" i="248" s="1"/>
  <c r="D21" i="248" a="1"/>
  <c r="D21" i="248" s="1"/>
  <c r="B21" i="248" s="1"/>
  <c r="D28" i="248" a="1"/>
  <c r="D28" i="248" s="1"/>
  <c r="B28" i="248" s="1"/>
  <c r="D34" i="248" a="1"/>
  <c r="D34" i="248" s="1"/>
  <c r="B34" i="248" s="1"/>
  <c r="D30" i="248" a="1"/>
  <c r="D30" i="248" s="1"/>
  <c r="B30" i="248" s="1"/>
  <c r="D25" i="248" a="1"/>
  <c r="D25" i="248" s="1"/>
  <c r="B25" i="248" s="1"/>
  <c r="E22" i="248" a="1"/>
  <c r="E22" i="248" s="1"/>
  <c r="C22" i="248" s="1"/>
  <c r="E28" i="248" a="1"/>
  <c r="E28" i="248" s="1"/>
  <c r="C28" i="248" s="1"/>
  <c r="D9" i="248" a="1"/>
  <c r="D9" i="248" s="1"/>
  <c r="B9" i="248" s="1"/>
  <c r="A9" i="248" s="1"/>
  <c r="D16" i="248" a="1"/>
  <c r="D16" i="248" s="1"/>
  <c r="B16" i="248" s="1"/>
  <c r="D22" i="248" a="1"/>
  <c r="D22" i="248" s="1"/>
  <c r="B22" i="248" s="1"/>
  <c r="D8" i="248" a="1"/>
  <c r="D8" i="248" s="1"/>
  <c r="B8" i="248" s="1"/>
  <c r="A8" i="248" s="1"/>
  <c r="D17" i="248" a="1"/>
  <c r="D17" i="248" s="1"/>
  <c r="B17" i="248" s="1"/>
  <c r="E32" i="248" a="1"/>
  <c r="E32" i="248" s="1"/>
  <c r="C32" i="248" s="1"/>
  <c r="E12" i="248" a="1"/>
  <c r="E12" i="248" s="1"/>
  <c r="C12" i="248" s="1"/>
  <c r="E17" i="248" a="1"/>
  <c r="E17" i="248" s="1"/>
  <c r="C17" i="248" s="1"/>
  <c r="E23" i="248" a="1"/>
  <c r="E23" i="248" s="1"/>
  <c r="C23" i="248" s="1"/>
  <c r="E29" i="248" a="1"/>
  <c r="E29" i="248" s="1"/>
  <c r="C29" i="248" s="1"/>
  <c r="D10" i="248" a="1"/>
  <c r="D10" i="248" s="1"/>
  <c r="B10" i="248" s="1"/>
  <c r="A10" i="248" s="1"/>
  <c r="D23" i="248" a="1"/>
  <c r="D23" i="248" s="1"/>
  <c r="B23" i="248" s="1"/>
  <c r="D29" i="248" a="1"/>
  <c r="D29" i="248" s="1"/>
  <c r="B29" i="248" s="1"/>
  <c r="D11" i="248" a="1"/>
  <c r="D11" i="248" s="1"/>
  <c r="B11" i="248" s="1"/>
  <c r="A11" i="248" s="1"/>
  <c r="D26" i="248" a="1"/>
  <c r="D26" i="248" s="1"/>
  <c r="B26" i="248" s="1"/>
  <c r="E18" i="248" a="1"/>
  <c r="E18" i="248" s="1"/>
  <c r="C18" i="248" s="1"/>
  <c r="E30" i="248" a="1"/>
  <c r="E30" i="248" s="1"/>
  <c r="C30" i="248" s="1"/>
  <c r="E13" i="248" a="1"/>
  <c r="E13" i="248" s="1"/>
  <c r="C13" i="248" s="1"/>
  <c r="E19" i="248" a="1"/>
  <c r="E19" i="248" s="1"/>
  <c r="C19" i="248" s="1"/>
  <c r="E24" i="248" a="1"/>
  <c r="E24" i="248" s="1"/>
  <c r="C24" i="248" s="1"/>
  <c r="E31" i="248" a="1"/>
  <c r="E31" i="248" s="1"/>
  <c r="C31" i="248" s="1"/>
  <c r="D12" i="248" a="1"/>
  <c r="D12" i="248" s="1"/>
  <c r="B12" i="248" s="1"/>
  <c r="A12" i="248" s="1"/>
  <c r="D18" i="248" a="1"/>
  <c r="D18" i="248" s="1"/>
  <c r="B18" i="248" s="1"/>
  <c r="D31" i="248" a="1"/>
  <c r="D31" i="248" s="1"/>
  <c r="B31" i="248" s="1"/>
  <c r="D19" i="248" a="1"/>
  <c r="D19" i="248" s="1"/>
  <c r="B19" i="248" s="1"/>
  <c r="E14" i="248" a="1"/>
  <c r="E14" i="248" s="1"/>
  <c r="C14" i="248" s="1"/>
  <c r="E25" i="248" a="1"/>
  <c r="E25" i="248" s="1"/>
  <c r="C25" i="248" s="1"/>
  <c r="E9" i="248" a="1"/>
  <c r="E9" i="248" s="1"/>
  <c r="C9" i="248" s="1"/>
  <c r="E15" i="248" a="1"/>
  <c r="E15" i="248" s="1"/>
  <c r="C15" i="248" s="1"/>
  <c r="E20" i="248" a="1"/>
  <c r="E20" i="248" s="1"/>
  <c r="C20" i="248" s="1"/>
  <c r="E26" i="248" a="1"/>
  <c r="E26" i="248" s="1"/>
  <c r="C26" i="248" s="1"/>
  <c r="E33" i="248" a="1"/>
  <c r="E33" i="248" s="1"/>
  <c r="C33" i="248" s="1"/>
  <c r="D13" i="248" a="1"/>
  <c r="D13" i="248" s="1"/>
  <c r="B13" i="248" s="1"/>
  <c r="A13" i="248" s="1"/>
  <c r="D20" i="248" a="1"/>
  <c r="D20" i="248" s="1"/>
  <c r="B20" i="248" s="1"/>
  <c r="E10" i="248" a="1"/>
  <c r="E10" i="248" s="1"/>
  <c r="C10" i="248" s="1"/>
  <c r="E27" i="248" a="1"/>
  <c r="E27" i="248" s="1"/>
  <c r="C27" i="248" s="1"/>
  <c r="E34" i="248" a="1"/>
  <c r="E34" i="248" s="1"/>
  <c r="C34" i="248" s="1"/>
  <c r="D14" i="248" a="1"/>
  <c r="D14" i="248" s="1"/>
  <c r="B14" i="248" s="1"/>
  <c r="D27" i="248" a="1"/>
  <c r="D27" i="248" s="1"/>
  <c r="B27" i="248" s="1"/>
  <c r="D33" i="248" a="1"/>
  <c r="D33" i="248" s="1"/>
  <c r="B33" i="248" s="1"/>
  <c r="D24" i="248" a="1"/>
  <c r="D24" i="248" s="1"/>
  <c r="B24" i="248" s="1"/>
  <c r="D32" i="248" a="1"/>
  <c r="D32" i="248" s="1"/>
  <c r="B32" i="248" s="1"/>
  <c r="L9" i="248"/>
  <c r="L8" i="248"/>
  <c r="J49" i="239"/>
  <c r="AB49" i="239" s="1"/>
  <c r="X34" i="169"/>
  <c r="Y34" i="169" s="1"/>
  <c r="AB34" i="169"/>
  <c r="AC34" i="169" s="1"/>
  <c r="I22" i="169"/>
  <c r="I15" i="169"/>
  <c r="I27" i="169"/>
  <c r="I12" i="169"/>
  <c r="I20" i="169"/>
  <c r="O17" i="231"/>
  <c r="L17" i="231" s="1"/>
  <c r="M34" i="169"/>
  <c r="I17" i="169"/>
  <c r="M23" i="231"/>
  <c r="W7" i="135"/>
  <c r="AE7" i="135"/>
  <c r="AA8" i="135"/>
  <c r="Y7" i="135"/>
  <c r="AC7" i="135"/>
  <c r="G12" i="150" a="1"/>
  <c r="G12" i="150" s="1"/>
  <c r="F19" i="230" a="1"/>
  <c r="F19" i="230" s="1"/>
  <c r="F9" i="230" a="1"/>
  <c r="F9" i="230" s="1"/>
  <c r="L12" i="248"/>
  <c r="F15" i="230" a="1"/>
  <c r="F15" i="230" s="1"/>
  <c r="E35" i="150" a="1"/>
  <c r="E35" i="150" s="1"/>
  <c r="F24" i="150" a="1"/>
  <c r="F24" i="150" s="1"/>
  <c r="G14" i="230" a="1"/>
  <c r="G14" i="230" s="1"/>
  <c r="G8" i="230" a="1"/>
  <c r="G8" i="230" s="1"/>
  <c r="G13" i="150" a="1"/>
  <c r="G13" i="150" s="1"/>
  <c r="G24" i="230" a="1"/>
  <c r="G24" i="230" s="1"/>
  <c r="F18" i="230" a="1"/>
  <c r="F18" i="230" s="1"/>
  <c r="E12" i="150" a="1"/>
  <c r="E12" i="150" s="1"/>
  <c r="G15" i="230" a="1"/>
  <c r="G15" i="230" s="1"/>
  <c r="F22" i="230" a="1"/>
  <c r="F22" i="230" s="1"/>
  <c r="U9" i="169"/>
  <c r="I9" i="169" s="1"/>
  <c r="T34" i="169"/>
  <c r="L24" i="248"/>
  <c r="G23" i="150" a="1"/>
  <c r="G23" i="150" s="1"/>
  <c r="G21" i="150" a="1"/>
  <c r="G21" i="150" s="1"/>
  <c r="G33" i="150" a="1"/>
  <c r="G33" i="150" s="1"/>
  <c r="C10" i="150" a="1"/>
  <c r="C10" i="150" s="1"/>
  <c r="F33" i="150" a="1"/>
  <c r="F33" i="150" s="1"/>
  <c r="E15" i="150" a="1"/>
  <c r="E15" i="150" s="1"/>
  <c r="G36" i="150" a="1"/>
  <c r="G36" i="150" s="1"/>
  <c r="C33" i="150" a="1"/>
  <c r="C33" i="150" s="1"/>
  <c r="E32" i="150" a="1"/>
  <c r="E32" i="150" s="1"/>
  <c r="F28" i="150" a="1"/>
  <c r="F28" i="150" s="1"/>
  <c r="C35" i="150" a="1"/>
  <c r="C35" i="150" s="1"/>
  <c r="G11" i="150" a="1"/>
  <c r="G11" i="150" s="1"/>
  <c r="F20" i="150" a="1"/>
  <c r="F20" i="150" s="1"/>
  <c r="G22" i="150" a="1"/>
  <c r="G22" i="150" s="1"/>
  <c r="E16" i="150" a="1"/>
  <c r="E16" i="150" s="1"/>
  <c r="G10" i="150" a="1"/>
  <c r="G10" i="150" s="1"/>
  <c r="C32" i="150" a="1"/>
  <c r="C32" i="150" s="1"/>
  <c r="G31" i="150" a="1"/>
  <c r="G31" i="150" s="1"/>
  <c r="C17" i="150" a="1"/>
  <c r="C17" i="150" s="1"/>
  <c r="E19" i="150" a="1"/>
  <c r="E19" i="150" s="1"/>
  <c r="G28" i="150" a="1"/>
  <c r="G28" i="150" s="1"/>
  <c r="F8" i="150" a="1"/>
  <c r="F8" i="150" s="1"/>
  <c r="G34" i="150" a="1"/>
  <c r="G34" i="150" s="1"/>
  <c r="F19" i="150" a="1"/>
  <c r="F19" i="150" s="1"/>
  <c r="F16" i="150" a="1"/>
  <c r="F16" i="150" s="1"/>
  <c r="F30" i="150" a="1"/>
  <c r="F30" i="150" s="1"/>
  <c r="G32" i="150" a="1"/>
  <c r="G32" i="150" s="1"/>
  <c r="F26" i="150" a="1"/>
  <c r="F26" i="150" s="1"/>
  <c r="C8" i="150" a="1"/>
  <c r="C8" i="150" s="1"/>
  <c r="E31" i="150" a="1"/>
  <c r="E31" i="150" s="1"/>
  <c r="C13" i="150" a="1"/>
  <c r="C13" i="150" s="1"/>
  <c r="F11" i="150" a="1"/>
  <c r="F11" i="150" s="1"/>
  <c r="E9" i="150" a="1"/>
  <c r="E9" i="150" s="1"/>
  <c r="C25" i="150" a="1"/>
  <c r="C25" i="150" s="1"/>
  <c r="H32" i="183" s="1"/>
  <c r="E20" i="150" a="1"/>
  <c r="E20" i="150" s="1"/>
  <c r="G16" i="150" a="1"/>
  <c r="G16" i="150" s="1"/>
  <c r="E8" i="150" a="1"/>
  <c r="E8" i="150" s="1"/>
  <c r="F29" i="150" a="1"/>
  <c r="F29" i="150" s="1"/>
  <c r="C22" i="150" a="1"/>
  <c r="C22" i="150" s="1"/>
  <c r="G119" i="229" s="1"/>
  <c r="C9" i="150" a="1"/>
  <c r="C9" i="150" s="1"/>
  <c r="C23" i="150" a="1"/>
  <c r="C23" i="150" s="1"/>
  <c r="G15" i="150" a="1"/>
  <c r="G15" i="150" s="1"/>
  <c r="F14" i="150" a="1"/>
  <c r="F14" i="150" s="1"/>
  <c r="E29" i="150" a="1"/>
  <c r="E29" i="150" s="1"/>
  <c r="C21" i="150" a="1"/>
  <c r="C21" i="150" s="1"/>
  <c r="G118" i="229" s="1"/>
  <c r="F34" i="150" a="1"/>
  <c r="F34" i="150" s="1"/>
  <c r="G35" i="150" a="1"/>
  <c r="G35" i="150" s="1"/>
  <c r="G19" i="150" a="1"/>
  <c r="G19" i="150" s="1"/>
  <c r="F13" i="150" a="1"/>
  <c r="F13" i="150" s="1"/>
  <c r="C11" i="150" a="1"/>
  <c r="C11" i="150" s="1"/>
  <c r="E25" i="150" a="1"/>
  <c r="E25" i="150" s="1"/>
  <c r="E18" i="150" a="1"/>
  <c r="E18" i="150" s="1"/>
  <c r="C36" i="150" a="1"/>
  <c r="C36" i="150" s="1"/>
  <c r="E34" i="150" a="1"/>
  <c r="E34" i="150" s="1"/>
  <c r="F22" i="150" a="1"/>
  <c r="F22" i="150" s="1"/>
  <c r="F21" i="150" a="1"/>
  <c r="F21" i="150" s="1"/>
  <c r="G18" i="150" a="1"/>
  <c r="G18" i="150" s="1"/>
  <c r="E24" i="150" a="1"/>
  <c r="E24" i="150" s="1"/>
  <c r="C27" i="150" a="1"/>
  <c r="C27" i="150" s="1"/>
  <c r="E28" i="150" a="1"/>
  <c r="E28" i="150" s="1"/>
  <c r="C29" i="150" a="1"/>
  <c r="C29" i="150" s="1"/>
  <c r="E14" i="150" a="1"/>
  <c r="E14" i="150" s="1"/>
  <c r="G29" i="150" a="1"/>
  <c r="G29" i="150" s="1"/>
  <c r="E26" i="150" a="1"/>
  <c r="E26" i="150" s="1"/>
  <c r="C20" i="150" a="1"/>
  <c r="C20" i="150" s="1"/>
  <c r="G117" i="229" s="1"/>
  <c r="C12" i="150" a="1"/>
  <c r="C12" i="150" s="1"/>
  <c r="C30" i="150" a="1"/>
  <c r="C30" i="150" s="1"/>
  <c r="C26" i="150" a="1"/>
  <c r="C26" i="150" s="1"/>
  <c r="H33" i="183" s="1"/>
  <c r="H32" i="237" s="1"/>
  <c r="G9" i="150" a="1"/>
  <c r="G9" i="150" s="1"/>
  <c r="G26" i="150" a="1"/>
  <c r="G26" i="150" s="1"/>
  <c r="G20" i="150" a="1"/>
  <c r="G20" i="150" s="1"/>
  <c r="E17" i="150" a="1"/>
  <c r="E17" i="150" s="1"/>
  <c r="G8" i="150" a="1"/>
  <c r="G8" i="150" s="1"/>
  <c r="F31" i="150" a="1"/>
  <c r="F31" i="150" s="1"/>
  <c r="E23" i="150" a="1"/>
  <c r="E23" i="150" s="1"/>
  <c r="E10" i="150" a="1"/>
  <c r="E10" i="150" s="1"/>
  <c r="F23" i="150" a="1"/>
  <c r="F23" i="150" s="1"/>
  <c r="F18" i="150" a="1"/>
  <c r="F18" i="150" s="1"/>
  <c r="C15" i="150" a="1"/>
  <c r="C15" i="150" s="1"/>
  <c r="G30" i="150" a="1"/>
  <c r="G30" i="150" s="1"/>
  <c r="G24" i="150" a="1"/>
  <c r="G24" i="150" s="1"/>
  <c r="F35" i="150" a="1"/>
  <c r="F35" i="150" s="1"/>
  <c r="E36" i="150" a="1"/>
  <c r="E36" i="150" s="1"/>
  <c r="F17" i="150" a="1"/>
  <c r="F17" i="150" s="1"/>
  <c r="F15" i="150" a="1"/>
  <c r="F15" i="150" s="1"/>
  <c r="C14" i="150" a="1"/>
  <c r="C14" i="150" s="1"/>
  <c r="F32" i="150" a="1"/>
  <c r="F32" i="150" s="1"/>
  <c r="C19" i="150" a="1"/>
  <c r="C19" i="150" s="1"/>
  <c r="G116" i="229" s="1"/>
  <c r="F36" i="150" a="1"/>
  <c r="F36" i="150" s="1"/>
  <c r="G25" i="150" a="1"/>
  <c r="G25" i="150" s="1"/>
  <c r="F25" i="150" a="1"/>
  <c r="F25" i="150" s="1"/>
  <c r="C18" i="150" a="1"/>
  <c r="C18" i="150" s="1"/>
  <c r="E11" i="150" a="1"/>
  <c r="E11" i="150" s="1"/>
  <c r="F9" i="150" a="1"/>
  <c r="F9" i="150" s="1"/>
  <c r="C24" i="150" a="1"/>
  <c r="C24" i="150" s="1"/>
  <c r="H31" i="183" s="1"/>
  <c r="C16" i="150" a="1"/>
  <c r="C16" i="150" s="1"/>
  <c r="C34" i="150" a="1"/>
  <c r="C34" i="150" s="1"/>
  <c r="E33" i="150" a="1"/>
  <c r="E33" i="150" s="1"/>
  <c r="G14" i="150" a="1"/>
  <c r="G14" i="150" s="1"/>
  <c r="E30" i="150" a="1"/>
  <c r="E30" i="150" s="1"/>
  <c r="E27" i="150" a="1"/>
  <c r="E27" i="150" s="1"/>
  <c r="E21" i="150" a="1"/>
  <c r="E21" i="150" s="1"/>
  <c r="E13" i="150" a="1"/>
  <c r="E13" i="150" s="1"/>
  <c r="C31" i="150" a="1"/>
  <c r="C31" i="150" s="1"/>
  <c r="F27" i="150" a="1"/>
  <c r="F27" i="150" s="1"/>
  <c r="F12" i="150" a="1"/>
  <c r="F12" i="150" s="1"/>
  <c r="G27" i="150" a="1"/>
  <c r="G27" i="150" s="1"/>
  <c r="E22" i="150" a="1"/>
  <c r="E22" i="150" s="1"/>
  <c r="G17" i="150" a="1"/>
  <c r="G17" i="150" s="1"/>
  <c r="F10" i="150" a="1"/>
  <c r="F10" i="150" s="1"/>
  <c r="C28" i="150" a="1"/>
  <c r="C28" i="150" s="1"/>
  <c r="T54" i="237"/>
  <c r="B63" i="237" s="1"/>
  <c r="F63" i="237" s="1"/>
  <c r="T55" i="183"/>
  <c r="B65" i="183" s="1"/>
  <c r="G65" i="183" s="1"/>
  <c r="G13" i="230" l="1" a="1"/>
  <c r="G13" i="230" s="1"/>
  <c r="G21" i="230" a="1"/>
  <c r="G21" i="230" s="1"/>
  <c r="G22" i="230" a="1"/>
  <c r="G22" i="230" s="1"/>
  <c r="F12" i="230" a="1"/>
  <c r="F12" i="230" s="1"/>
  <c r="F23" i="230" a="1"/>
  <c r="F23" i="230" s="1"/>
  <c r="G11" i="230" a="1"/>
  <c r="G11" i="230" s="1"/>
  <c r="F11" i="230" a="1"/>
  <c r="F11" i="230" s="1"/>
  <c r="G20" i="230" a="1"/>
  <c r="G20" i="230" s="1"/>
  <c r="F16" i="230" a="1"/>
  <c r="F16" i="230" s="1"/>
  <c r="G10" i="230" a="1"/>
  <c r="G10" i="230" s="1"/>
  <c r="F8" i="230" a="1"/>
  <c r="F8" i="230" s="1"/>
  <c r="G12" i="230" a="1"/>
  <c r="G12" i="230" s="1"/>
  <c r="G16" i="230" a="1"/>
  <c r="G16" i="230" s="1"/>
  <c r="F14" i="230" a="1"/>
  <c r="F14" i="230" s="1"/>
  <c r="G17" i="230" a="1"/>
  <c r="G17" i="230" s="1"/>
  <c r="F21" i="230" a="1"/>
  <c r="F21" i="230" s="1"/>
  <c r="F17" i="230" a="1"/>
  <c r="F17" i="230" s="1"/>
  <c r="F20" i="230" a="1"/>
  <c r="F20" i="230" s="1"/>
  <c r="F13" i="230" a="1"/>
  <c r="F13" i="230" s="1"/>
  <c r="F24" i="230" a="1"/>
  <c r="F24" i="230" s="1"/>
  <c r="G23" i="230" a="1"/>
  <c r="G23" i="230" s="1"/>
  <c r="G9" i="230" a="1"/>
  <c r="G9" i="230" s="1"/>
  <c r="G19" i="230" a="1"/>
  <c r="G19" i="230" s="1"/>
  <c r="G18" i="230" a="1"/>
  <c r="G18" i="230" s="1"/>
  <c r="H11" i="230" a="1"/>
  <c r="H11" i="230" s="1"/>
  <c r="B11" i="230" s="1"/>
  <c r="L37" i="237" s="1"/>
  <c r="N37" i="237" s="1"/>
  <c r="AB23" i="230"/>
  <c r="H9" i="230" a="1"/>
  <c r="H9" i="230" s="1"/>
  <c r="B9" i="230" s="1"/>
  <c r="R106" i="229" s="1"/>
  <c r="I9" i="230" a="1"/>
  <c r="I9" i="230" s="1"/>
  <c r="C9" i="230" s="1"/>
  <c r="S106" i="229" s="1"/>
  <c r="I17" i="230" a="1"/>
  <c r="I17" i="230" s="1"/>
  <c r="C17" i="230" s="1"/>
  <c r="S114" i="229" s="1"/>
  <c r="H22" i="230" a="1"/>
  <c r="H22" i="230" s="1"/>
  <c r="B22" i="230" s="1"/>
  <c r="L48" i="237" s="1"/>
  <c r="N48" i="237" s="1"/>
  <c r="I15" i="230" a="1"/>
  <c r="I15" i="230" s="1"/>
  <c r="C15" i="230" s="1"/>
  <c r="S112" i="229" s="1"/>
  <c r="H13" i="230" a="1"/>
  <c r="H13" i="230" s="1"/>
  <c r="B13" i="230" s="1"/>
  <c r="R110" i="229" s="1"/>
  <c r="I14" i="230" a="1"/>
  <c r="I14" i="230" s="1"/>
  <c r="C14" i="230" s="1"/>
  <c r="M40" i="237" s="1"/>
  <c r="H19" i="230" a="1"/>
  <c r="H19" i="230" s="1"/>
  <c r="B19" i="230" s="1"/>
  <c r="A19" i="230" s="1"/>
  <c r="I11" i="230" a="1"/>
  <c r="I11" i="230" s="1"/>
  <c r="C11" i="230" s="1"/>
  <c r="M37" i="237" s="1"/>
  <c r="I19" i="230" a="1"/>
  <c r="I19" i="230" s="1"/>
  <c r="C19" i="230" s="1"/>
  <c r="M45" i="237" s="1"/>
  <c r="I24" i="230" a="1"/>
  <c r="I24" i="230" s="1"/>
  <c r="C24" i="230" s="1"/>
  <c r="H21" i="230" a="1"/>
  <c r="H21" i="230" s="1"/>
  <c r="B21" i="230" s="1"/>
  <c r="L47" i="237" s="1"/>
  <c r="N47" i="237" s="1"/>
  <c r="H24" i="230" a="1"/>
  <c r="H24" i="230" s="1"/>
  <c r="B24" i="230" s="1"/>
  <c r="L50" i="237" s="1"/>
  <c r="N50" i="237" s="1"/>
  <c r="H12" i="230" a="1"/>
  <c r="H12" i="230" s="1"/>
  <c r="B12" i="230" s="1"/>
  <c r="R109" i="229" s="1"/>
  <c r="I23" i="230" a="1"/>
  <c r="I23" i="230" s="1"/>
  <c r="C23" i="230" s="1"/>
  <c r="S120" i="229" s="1"/>
  <c r="H20" i="230" a="1"/>
  <c r="H20" i="230" s="1"/>
  <c r="B20" i="230" s="1"/>
  <c r="L46" i="237" s="1"/>
  <c r="N46" i="237" s="1"/>
  <c r="H14" i="230" a="1"/>
  <c r="H14" i="230" s="1"/>
  <c r="B14" i="230" s="1"/>
  <c r="A14" i="230" s="1"/>
  <c r="H8" i="230" a="1"/>
  <c r="H8" i="230" s="1"/>
  <c r="B8" i="230" s="1"/>
  <c r="A8" i="230" s="1"/>
  <c r="I18" i="230" a="1"/>
  <c r="I18" i="230" s="1"/>
  <c r="C18" i="230" s="1"/>
  <c r="S115" i="229" s="1"/>
  <c r="H16" i="230" a="1"/>
  <c r="H16" i="230" s="1"/>
  <c r="B16" i="230" s="1"/>
  <c r="R113" i="229" s="1"/>
  <c r="I21" i="230" a="1"/>
  <c r="I21" i="230" s="1"/>
  <c r="C21" i="230" s="1"/>
  <c r="S118" i="229" s="1"/>
  <c r="H23" i="230" a="1"/>
  <c r="H23" i="230" s="1"/>
  <c r="B23" i="230" s="1"/>
  <c r="L49" i="237" s="1"/>
  <c r="N49" i="237" s="1"/>
  <c r="I13" i="230" a="1"/>
  <c r="I13" i="230" s="1"/>
  <c r="C13" i="230" s="1"/>
  <c r="M39" i="237" s="1"/>
  <c r="I10" i="230" a="1"/>
  <c r="I10" i="230" s="1"/>
  <c r="C10" i="230" s="1"/>
  <c r="M36" i="237" s="1"/>
  <c r="H18" i="230" a="1"/>
  <c r="H18" i="230" s="1"/>
  <c r="B18" i="230" s="1"/>
  <c r="R115" i="229" s="1"/>
  <c r="I16" i="230" a="1"/>
  <c r="I16" i="230" s="1"/>
  <c r="C16" i="230" s="1"/>
  <c r="S113" i="229" s="1"/>
  <c r="H15" i="230" a="1"/>
  <c r="H15" i="230" s="1"/>
  <c r="B15" i="230" s="1"/>
  <c r="A15" i="230" s="1"/>
  <c r="I12" i="230" a="1"/>
  <c r="I12" i="230" s="1"/>
  <c r="C12" i="230" s="1"/>
  <c r="M38" i="237" s="1"/>
  <c r="I8" i="230" a="1"/>
  <c r="I8" i="230" s="1"/>
  <c r="C8" i="230" s="1"/>
  <c r="S105" i="229" s="1"/>
  <c r="H10" i="230" a="1"/>
  <c r="H10" i="230" s="1"/>
  <c r="B10" i="230" s="1"/>
  <c r="A10" i="230" s="1"/>
  <c r="K36" i="237" s="1"/>
  <c r="H17" i="230" a="1"/>
  <c r="H17" i="230" s="1"/>
  <c r="B17" i="230" s="1"/>
  <c r="R114" i="229" s="1"/>
  <c r="I20" i="230" a="1"/>
  <c r="I20" i="230" s="1"/>
  <c r="C20" i="230" s="1"/>
  <c r="S117" i="229" s="1"/>
  <c r="I22" i="230" a="1"/>
  <c r="I22" i="230" s="1"/>
  <c r="C22" i="230" s="1"/>
  <c r="S119" i="229" s="1"/>
  <c r="Y12" i="135"/>
  <c r="AA13" i="135"/>
  <c r="D9" i="230" a="1"/>
  <c r="D9" i="230" s="1"/>
  <c r="E24" i="230" a="1"/>
  <c r="E24" i="230" s="1"/>
  <c r="H30" i="183"/>
  <c r="G120" i="229"/>
  <c r="B111" i="251" a="1"/>
  <c r="B111" i="251" s="1"/>
  <c r="G109" i="229"/>
  <c r="G108" i="229"/>
  <c r="G106" i="229"/>
  <c r="O44" i="183"/>
  <c r="G110" i="229"/>
  <c r="G112" i="229"/>
  <c r="C47" i="251" a="1"/>
  <c r="C47" i="251" s="1"/>
  <c r="C147" i="229" s="1"/>
  <c r="B90" i="251" a="1"/>
  <c r="B90" i="251" s="1"/>
  <c r="B115" i="251" a="1"/>
  <c r="B115" i="251" s="1"/>
  <c r="B7" i="251" a="1"/>
  <c r="B7" i="251" s="1"/>
  <c r="C111" i="251" a="1"/>
  <c r="C111" i="251" s="1"/>
  <c r="B63" i="251" a="1"/>
  <c r="B63" i="251" s="1"/>
  <c r="B163" i="229" s="1"/>
  <c r="C16" i="251" a="1"/>
  <c r="C16" i="251" s="1"/>
  <c r="C116" i="229" s="1"/>
  <c r="C78" i="251" a="1"/>
  <c r="C78" i="251" s="1"/>
  <c r="B51" i="251" a="1"/>
  <c r="B51" i="251" s="1"/>
  <c r="B151" i="229" s="1"/>
  <c r="B95" i="251" a="1"/>
  <c r="B95" i="251" s="1"/>
  <c r="A9" i="251" a="1"/>
  <c r="A9" i="251" s="1"/>
  <c r="A15" i="251" a="1"/>
  <c r="A15" i="251" s="1"/>
  <c r="C41" i="251" a="1"/>
  <c r="C41" i="251" s="1"/>
  <c r="C141" i="229" s="1"/>
  <c r="A20" i="251" a="1"/>
  <c r="A20" i="251" s="1"/>
  <c r="A95" i="251" a="1"/>
  <c r="A95" i="251" s="1"/>
  <c r="B98" i="251" a="1"/>
  <c r="B98" i="251" s="1"/>
  <c r="C69" i="251" a="1"/>
  <c r="C69" i="251" s="1"/>
  <c r="B10" i="251" a="1"/>
  <c r="B10" i="251" s="1"/>
  <c r="A71" i="251" a="1"/>
  <c r="A71" i="251" s="1"/>
  <c r="B110" i="251" a="1"/>
  <c r="B110" i="251" s="1"/>
  <c r="B33" i="251" a="1"/>
  <c r="B33" i="251" s="1"/>
  <c r="C21" i="251" a="1"/>
  <c r="C21" i="251" s="1"/>
  <c r="C121" i="229" s="1"/>
  <c r="A73" i="251" a="1"/>
  <c r="A73" i="251" s="1"/>
  <c r="B68" i="251" a="1"/>
  <c r="B68" i="251" s="1"/>
  <c r="C51" i="251" a="1"/>
  <c r="C51" i="251" s="1"/>
  <c r="C151" i="229" s="1"/>
  <c r="C91" i="251" a="1"/>
  <c r="C91" i="251" s="1"/>
  <c r="A87" i="251" a="1"/>
  <c r="A87" i="251" s="1"/>
  <c r="C109" i="251" a="1"/>
  <c r="C109" i="251" s="1"/>
  <c r="A7" i="251" a="1"/>
  <c r="A7" i="251" s="1"/>
  <c r="B6" i="251" a="1"/>
  <c r="B6" i="251" s="1"/>
  <c r="B37" i="251" a="1"/>
  <c r="B37" i="251" s="1"/>
  <c r="B137" i="229" s="1"/>
  <c r="B114" i="251" a="1"/>
  <c r="B114" i="251" s="1"/>
  <c r="B80" i="251" a="1"/>
  <c r="B80" i="251" s="1"/>
  <c r="B44" i="251" a="1"/>
  <c r="B44" i="251" s="1"/>
  <c r="B144" i="229" s="1"/>
  <c r="C57" i="251" a="1"/>
  <c r="C57" i="251" s="1"/>
  <c r="C157" i="229" s="1"/>
  <c r="B60" i="251" a="1"/>
  <c r="B60" i="251" s="1"/>
  <c r="B160" i="229" s="1"/>
  <c r="A60" i="251" a="1"/>
  <c r="A60" i="251" s="1"/>
  <c r="A160" i="229" s="1"/>
  <c r="C113" i="251" a="1"/>
  <c r="C113" i="251" s="1"/>
  <c r="C72" i="251" a="1"/>
  <c r="C72" i="251" s="1"/>
  <c r="A86" i="251" a="1"/>
  <c r="A86" i="251" s="1"/>
  <c r="A50" i="251" a="1"/>
  <c r="A50" i="251" s="1"/>
  <c r="A150" i="229" s="1"/>
  <c r="A58" i="251" a="1"/>
  <c r="A58" i="251" s="1"/>
  <c r="A158" i="229" s="1"/>
  <c r="A67" i="251" a="1"/>
  <c r="A67" i="251" s="1"/>
  <c r="A101" i="251" a="1"/>
  <c r="A101" i="251" s="1"/>
  <c r="C58" i="251" a="1"/>
  <c r="C58" i="251" s="1"/>
  <c r="C158" i="229" s="1"/>
  <c r="E10" i="230" a="1"/>
  <c r="E10" i="230" s="1"/>
  <c r="D8" i="230" a="1"/>
  <c r="D8" i="230" s="1"/>
  <c r="E21" i="230" a="1"/>
  <c r="E21" i="230" s="1"/>
  <c r="D13" i="230" a="1"/>
  <c r="D13" i="230" s="1"/>
  <c r="D24" i="230" a="1"/>
  <c r="D24" i="230" s="1"/>
  <c r="D22" i="230" a="1"/>
  <c r="D22" i="230" s="1"/>
  <c r="E14" i="230" a="1"/>
  <c r="E14" i="230" s="1"/>
  <c r="E11" i="230" a="1"/>
  <c r="E11" i="230" s="1"/>
  <c r="D20" i="230" a="1"/>
  <c r="D20" i="230" s="1"/>
  <c r="E15" i="230" a="1"/>
  <c r="E15" i="230" s="1"/>
  <c r="D12" i="230" a="1"/>
  <c r="D12" i="230" s="1"/>
  <c r="E22" i="230" a="1"/>
  <c r="E22" i="230" s="1"/>
  <c r="D16" i="230" a="1"/>
  <c r="D16" i="230" s="1"/>
  <c r="D21" i="230" a="1"/>
  <c r="D21" i="230" s="1"/>
  <c r="E9" i="230" a="1"/>
  <c r="E9" i="230" s="1"/>
  <c r="D19" i="230" a="1"/>
  <c r="D19" i="230" s="1"/>
  <c r="E20" i="230" a="1"/>
  <c r="E20" i="230" s="1"/>
  <c r="E17" i="230" a="1"/>
  <c r="E17" i="230" s="1"/>
  <c r="D23" i="230" a="1"/>
  <c r="D23" i="230" s="1"/>
  <c r="E19" i="230" a="1"/>
  <c r="E19" i="230" s="1"/>
  <c r="D10" i="230" a="1"/>
  <c r="D10" i="230" s="1"/>
  <c r="D15" i="230" a="1"/>
  <c r="D15" i="230" s="1"/>
  <c r="D11" i="230" a="1"/>
  <c r="D11" i="230" s="1"/>
  <c r="D14" i="230" a="1"/>
  <c r="D14" i="230" s="1"/>
  <c r="E12" i="230" a="1"/>
  <c r="E12" i="230" s="1"/>
  <c r="E13" i="230" a="1"/>
  <c r="E13" i="230" s="1"/>
  <c r="E18" i="230" a="1"/>
  <c r="E18" i="230" s="1"/>
  <c r="E23" i="230" a="1"/>
  <c r="E23" i="230" s="1"/>
  <c r="D17" i="230" a="1"/>
  <c r="D17" i="230" s="1"/>
  <c r="A112" i="251" a="1"/>
  <c r="A112" i="251" s="1"/>
  <c r="B62" i="251" a="1"/>
  <c r="B62" i="251" s="1"/>
  <c r="B162" i="229" s="1"/>
  <c r="B100" i="251" a="1"/>
  <c r="B100" i="251" s="1"/>
  <c r="C90" i="251" a="1"/>
  <c r="C90" i="251" s="1"/>
  <c r="B78" i="251" a="1"/>
  <c r="B78" i="251" s="1"/>
  <c r="B19" i="251" a="1"/>
  <c r="B19" i="251" s="1"/>
  <c r="C25" i="251" a="1"/>
  <c r="C25" i="251" s="1"/>
  <c r="C125" i="229" s="1"/>
  <c r="C92" i="251" a="1"/>
  <c r="C92" i="251" s="1"/>
  <c r="B24" i="251" a="1"/>
  <c r="B24" i="251" s="1"/>
  <c r="A17" i="251" a="1"/>
  <c r="A17" i="251" s="1"/>
  <c r="B15" i="251" a="1"/>
  <c r="B15" i="251" s="1"/>
  <c r="A27" i="251" a="1"/>
  <c r="A27" i="251" s="1"/>
  <c r="C88" i="251" a="1"/>
  <c r="C88" i="251" s="1"/>
  <c r="B83" i="251" a="1"/>
  <c r="B83" i="251" s="1"/>
  <c r="B12" i="251" a="1"/>
  <c r="B12" i="251" s="1"/>
  <c r="A53" i="251" a="1"/>
  <c r="A53" i="251" s="1"/>
  <c r="A153" i="229" s="1"/>
  <c r="B112" i="251" a="1"/>
  <c r="B112" i="251" s="1"/>
  <c r="B8" i="251" a="1"/>
  <c r="B8" i="251" s="1"/>
  <c r="B67" i="251" a="1"/>
  <c r="B67" i="251" s="1"/>
  <c r="C84" i="251" a="1"/>
  <c r="C84" i="251" s="1"/>
  <c r="B23" i="251" a="1"/>
  <c r="B23" i="251" s="1"/>
  <c r="C79" i="251" a="1"/>
  <c r="C79" i="251" s="1"/>
  <c r="A75" i="251" a="1"/>
  <c r="A75" i="251" s="1"/>
  <c r="C85" i="251" a="1"/>
  <c r="C85" i="251" s="1"/>
  <c r="C74" i="251" a="1"/>
  <c r="C74" i="251" s="1"/>
  <c r="A94" i="251" a="1"/>
  <c r="A94" i="251" s="1"/>
  <c r="C94" i="251" a="1"/>
  <c r="C94" i="251" s="1"/>
  <c r="B76" i="251" a="1"/>
  <c r="B76" i="251" s="1"/>
  <c r="B87" i="251" a="1"/>
  <c r="B87" i="251" s="1"/>
  <c r="B103" i="251" a="1"/>
  <c r="B103" i="251" s="1"/>
  <c r="C103" i="251" a="1"/>
  <c r="C103" i="251" s="1"/>
  <c r="C28" i="251" a="1"/>
  <c r="C28" i="251" s="1"/>
  <c r="C128" i="229" s="1"/>
  <c r="A42" i="251" a="1"/>
  <c r="A42" i="251" s="1"/>
  <c r="A142" i="229" s="1"/>
  <c r="A81" i="251" a="1"/>
  <c r="A81" i="251" s="1"/>
  <c r="B39" i="251" a="1"/>
  <c r="B39" i="251" s="1"/>
  <c r="B139" i="229" s="1"/>
  <c r="A64" i="251" a="1"/>
  <c r="A64" i="251" s="1"/>
  <c r="A164" i="229" s="1"/>
  <c r="A90" i="251" a="1"/>
  <c r="A90" i="251" s="1"/>
  <c r="C35" i="251" a="1"/>
  <c r="C35" i="251" s="1"/>
  <c r="C135" i="229" s="1"/>
  <c r="B65" i="251" a="1"/>
  <c r="B65" i="251" s="1"/>
  <c r="B165" i="229" s="1"/>
  <c r="C100" i="251" a="1"/>
  <c r="C100" i="251" s="1"/>
  <c r="B26" i="251" a="1"/>
  <c r="B26" i="251" s="1"/>
  <c r="A12" i="251" a="1"/>
  <c r="A12" i="251" s="1"/>
  <c r="C10" i="251" a="1"/>
  <c r="C10" i="251" s="1"/>
  <c r="C110" i="229" s="1"/>
  <c r="C31" i="251" a="1"/>
  <c r="C31" i="251" s="1"/>
  <c r="C131" i="229" s="1"/>
  <c r="B46" i="251" a="1"/>
  <c r="B46" i="251" s="1"/>
  <c r="B146" i="229" s="1"/>
  <c r="B99" i="251" a="1"/>
  <c r="B99" i="251" s="1"/>
  <c r="C24" i="251" a="1"/>
  <c r="C24" i="251" s="1"/>
  <c r="C124" i="229" s="1"/>
  <c r="C104" i="251" a="1"/>
  <c r="C104" i="251" s="1"/>
  <c r="A49" i="251" a="1"/>
  <c r="A49" i="251" s="1"/>
  <c r="A149" i="229" s="1"/>
  <c r="B5" i="251" a="1"/>
  <c r="B5" i="251" s="1"/>
  <c r="A18" i="251" a="1"/>
  <c r="A18" i="251" s="1"/>
  <c r="B57" i="251" a="1"/>
  <c r="B57" i="251" s="1"/>
  <c r="B157" i="229" s="1"/>
  <c r="C110" i="251" a="1"/>
  <c r="C110" i="251" s="1"/>
  <c r="B96" i="251" a="1"/>
  <c r="B96" i="251" s="1"/>
  <c r="B17" i="251" a="1"/>
  <c r="B17" i="251" s="1"/>
  <c r="B108" i="251" a="1"/>
  <c r="B108" i="251" s="1"/>
  <c r="B14" i="251" a="1"/>
  <c r="B14" i="251" s="1"/>
  <c r="A88" i="251" a="1"/>
  <c r="A88" i="251" s="1"/>
  <c r="B27" i="251" a="1"/>
  <c r="B27" i="251" s="1"/>
  <c r="C20" i="251" a="1"/>
  <c r="C20" i="251" s="1"/>
  <c r="C120" i="229" s="1"/>
  <c r="A110" i="251" a="1"/>
  <c r="A110" i="251" s="1"/>
  <c r="B93" i="251" a="1"/>
  <c r="B93" i="251" s="1"/>
  <c r="B21" i="251" a="1"/>
  <c r="B21" i="251" s="1"/>
  <c r="A89" i="251" a="1"/>
  <c r="A89" i="251" s="1"/>
  <c r="B54" i="251" a="1"/>
  <c r="B54" i="251" s="1"/>
  <c r="B154" i="229" s="1"/>
  <c r="B86" i="251" a="1"/>
  <c r="B86" i="251" s="1"/>
  <c r="A91" i="251" a="1"/>
  <c r="A91" i="251" s="1"/>
  <c r="B64" i="251" a="1"/>
  <c r="B64" i="251" s="1"/>
  <c r="B164" i="229" s="1"/>
  <c r="C73" i="251" a="1"/>
  <c r="C73" i="251" s="1"/>
  <c r="A97" i="251" a="1"/>
  <c r="A97" i="251" s="1"/>
  <c r="A40" i="251" a="1"/>
  <c r="A40" i="251" s="1"/>
  <c r="A140" i="229" s="1"/>
  <c r="C49" i="251" a="1"/>
  <c r="C49" i="251" s="1"/>
  <c r="C149" i="229" s="1"/>
  <c r="A102" i="251" a="1"/>
  <c r="A102" i="251" s="1"/>
  <c r="C106" i="251" a="1"/>
  <c r="C106" i="251" s="1"/>
  <c r="A103" i="251" a="1"/>
  <c r="A103" i="251" s="1"/>
  <c r="A98" i="251" a="1"/>
  <c r="A98" i="251" s="1"/>
  <c r="A68" i="251" a="1"/>
  <c r="A68" i="251" s="1"/>
  <c r="C29" i="251" a="1"/>
  <c r="C29" i="251" s="1"/>
  <c r="C129" i="229" s="1"/>
  <c r="A105" i="251" a="1"/>
  <c r="A105" i="251" s="1"/>
  <c r="C19" i="251" a="1"/>
  <c r="C19" i="251" s="1"/>
  <c r="C119" i="229" s="1"/>
  <c r="B31" i="251" a="1"/>
  <c r="B31" i="251" s="1"/>
  <c r="A104" i="251" a="1"/>
  <c r="A104" i="251" s="1"/>
  <c r="B79" i="251" a="1"/>
  <c r="B79" i="251" s="1"/>
  <c r="C62" i="251" a="1"/>
  <c r="C62" i="251" s="1"/>
  <c r="C162" i="229" s="1"/>
  <c r="C56" i="251" a="1"/>
  <c r="C56" i="251" s="1"/>
  <c r="C156" i="229" s="1"/>
  <c r="A41" i="251" a="1"/>
  <c r="A41" i="251" s="1"/>
  <c r="A141" i="229" s="1"/>
  <c r="C70" i="251" a="1"/>
  <c r="C70" i="251" s="1"/>
  <c r="A77" i="251" a="1"/>
  <c r="A77" i="251" s="1"/>
  <c r="A72" i="251" a="1"/>
  <c r="A72" i="251" s="1"/>
  <c r="C64" i="251" a="1"/>
  <c r="C64" i="251" s="1"/>
  <c r="C164" i="229" s="1"/>
  <c r="A35" i="251" a="1"/>
  <c r="A35" i="251" s="1"/>
  <c r="A135" i="229" s="1"/>
  <c r="A70" i="251" a="1"/>
  <c r="A70" i="251" s="1"/>
  <c r="B101" i="251" a="1"/>
  <c r="B101" i="251" s="1"/>
  <c r="B18" i="251" a="1"/>
  <c r="B18" i="251" s="1"/>
  <c r="C83" i="251" a="1"/>
  <c r="C83" i="251" s="1"/>
  <c r="A82" i="251" a="1"/>
  <c r="A82" i="251" s="1"/>
  <c r="C11" i="251" a="1"/>
  <c r="C11" i="251" s="1"/>
  <c r="C111" i="229" s="1"/>
  <c r="C63" i="251" a="1"/>
  <c r="C63" i="251" s="1"/>
  <c r="C163" i="229" s="1"/>
  <c r="C33" i="251" a="1"/>
  <c r="C33" i="251" s="1"/>
  <c r="C133" i="229" s="1"/>
  <c r="B113" i="251" a="1"/>
  <c r="B113" i="251" s="1"/>
  <c r="B71" i="251" a="1"/>
  <c r="B71" i="251" s="1"/>
  <c r="A96" i="251" a="1"/>
  <c r="A96" i="251" s="1"/>
  <c r="C32" i="251" a="1"/>
  <c r="C32" i="251" s="1"/>
  <c r="C132" i="229" s="1"/>
  <c r="A61" i="251" a="1"/>
  <c r="A61" i="251" s="1"/>
  <c r="A161" i="229" s="1"/>
  <c r="B102" i="251" a="1"/>
  <c r="B102" i="251" s="1"/>
  <c r="C114" i="251" a="1"/>
  <c r="C114" i="251" s="1"/>
  <c r="C60" i="251" a="1"/>
  <c r="C60" i="251" s="1"/>
  <c r="C160" i="229" s="1"/>
  <c r="C68" i="251" a="1"/>
  <c r="C68" i="251" s="1"/>
  <c r="A109" i="251" a="1"/>
  <c r="A109" i="251" s="1"/>
  <c r="C102" i="251" a="1"/>
  <c r="C102" i="251" s="1"/>
  <c r="B107" i="251" a="1"/>
  <c r="B107" i="251" s="1"/>
  <c r="B58" i="251" a="1"/>
  <c r="B58" i="251" s="1"/>
  <c r="B158" i="229" s="1"/>
  <c r="C55" i="251" a="1"/>
  <c r="C55" i="251" s="1"/>
  <c r="C155" i="229" s="1"/>
  <c r="B82" i="251" a="1"/>
  <c r="B82" i="251" s="1"/>
  <c r="B28" i="251" a="1"/>
  <c r="B28" i="251" s="1"/>
  <c r="C95" i="251" a="1"/>
  <c r="C95" i="251" s="1"/>
  <c r="C65" i="251" a="1"/>
  <c r="C65" i="251" s="1"/>
  <c r="C165" i="229" s="1"/>
  <c r="C117" i="251" a="1"/>
  <c r="C117" i="251" s="1"/>
  <c r="C23" i="251" a="1"/>
  <c r="C23" i="251" s="1"/>
  <c r="C123" i="229" s="1"/>
  <c r="A11" i="251" a="1"/>
  <c r="A11" i="251" s="1"/>
  <c r="B25" i="251" a="1"/>
  <c r="B25" i="251" s="1"/>
  <c r="A115" i="251" a="1"/>
  <c r="A115" i="251" s="1"/>
  <c r="C107" i="251" a="1"/>
  <c r="C107" i="251" s="1"/>
  <c r="B88" i="251" a="1"/>
  <c r="B88" i="251" s="1"/>
  <c r="C43" i="251" a="1"/>
  <c r="C43" i="251" s="1"/>
  <c r="C143" i="229" s="1"/>
  <c r="A14" i="251" a="1"/>
  <c r="A14" i="251" s="1"/>
  <c r="B105" i="251" a="1"/>
  <c r="B105" i="251" s="1"/>
  <c r="A38" i="251" a="1"/>
  <c r="A38" i="251" s="1"/>
  <c r="A138" i="229" s="1"/>
  <c r="C36" i="251" a="1"/>
  <c r="C36" i="251" s="1"/>
  <c r="C136" i="229" s="1"/>
  <c r="A78" i="251" a="1"/>
  <c r="A78" i="251" s="1"/>
  <c r="C52" i="251" a="1"/>
  <c r="C52" i="251" s="1"/>
  <c r="C152" i="229" s="1"/>
  <c r="A36" i="251" a="1"/>
  <c r="A36" i="251" s="1"/>
  <c r="A136" i="229" s="1"/>
  <c r="A52" i="251" a="1"/>
  <c r="A52" i="251" s="1"/>
  <c r="A152" i="229" s="1"/>
  <c r="B40" i="251" a="1"/>
  <c r="B40" i="251" s="1"/>
  <c r="B140" i="229" s="1"/>
  <c r="C108" i="251" a="1"/>
  <c r="C108" i="251" s="1"/>
  <c r="C50" i="251" a="1"/>
  <c r="C50" i="251" s="1"/>
  <c r="C150" i="229" s="1"/>
  <c r="B50" i="251" a="1"/>
  <c r="B50" i="251" s="1"/>
  <c r="B150" i="229" s="1"/>
  <c r="A116" i="251" a="1"/>
  <c r="A116" i="251" s="1"/>
  <c r="A85" i="251" a="1"/>
  <c r="A85" i="251" s="1"/>
  <c r="A47" i="251" a="1"/>
  <c r="A47" i="251" s="1"/>
  <c r="A147" i="229" s="1"/>
  <c r="B48" i="251" a="1"/>
  <c r="B48" i="251" s="1"/>
  <c r="B148" i="229" s="1"/>
  <c r="C101" i="251" a="1"/>
  <c r="C101" i="251" s="1"/>
  <c r="B81" i="251" a="1"/>
  <c r="B81" i="251" s="1"/>
  <c r="A6" i="251" a="1"/>
  <c r="A6" i="251" s="1"/>
  <c r="C75" i="251" a="1"/>
  <c r="C75" i="251" s="1"/>
  <c r="C42" i="251" a="1"/>
  <c r="C42" i="251" s="1"/>
  <c r="C142" i="229" s="1"/>
  <c r="A19" i="251" a="1"/>
  <c r="A19" i="251" s="1"/>
  <c r="B43" i="251" a="1"/>
  <c r="B43" i="251" s="1"/>
  <c r="B143" i="229" s="1"/>
  <c r="C59" i="251" a="1"/>
  <c r="C59" i="251" s="1"/>
  <c r="C159" i="229" s="1"/>
  <c r="B34" i="251" a="1"/>
  <c r="B34" i="251" s="1"/>
  <c r="B134" i="229" s="1"/>
  <c r="B77" i="251" a="1"/>
  <c r="B77" i="251" s="1"/>
  <c r="A28" i="251" a="1"/>
  <c r="A28" i="251" s="1"/>
  <c r="C8" i="251" a="1"/>
  <c r="C8" i="251" s="1"/>
  <c r="C108" i="229" s="1"/>
  <c r="A83" i="251" a="1"/>
  <c r="A83" i="251" s="1"/>
  <c r="C26" i="251" a="1"/>
  <c r="C26" i="251" s="1"/>
  <c r="C126" i="229" s="1"/>
  <c r="B94" i="251" a="1"/>
  <c r="B94" i="251" s="1"/>
  <c r="C9" i="251" a="1"/>
  <c r="C9" i="251" s="1"/>
  <c r="C109" i="229" s="1"/>
  <c r="B55" i="251" a="1"/>
  <c r="B55" i="251" s="1"/>
  <c r="B155" i="229" s="1"/>
  <c r="A22" i="251" a="1"/>
  <c r="A22" i="251" s="1"/>
  <c r="C67" i="251" a="1"/>
  <c r="C67" i="251" s="1"/>
  <c r="A8" i="251" a="1"/>
  <c r="A8" i="251" s="1"/>
  <c r="A10" i="251" a="1"/>
  <c r="A10" i="251" s="1"/>
  <c r="C46" i="251" a="1"/>
  <c r="C46" i="251" s="1"/>
  <c r="C146" i="229" s="1"/>
  <c r="A13" i="251" a="1"/>
  <c r="A13" i="251" s="1"/>
  <c r="A79" i="251" a="1"/>
  <c r="A79" i="251" s="1"/>
  <c r="C22" i="251" a="1"/>
  <c r="C22" i="251" s="1"/>
  <c r="C122" i="229" s="1"/>
  <c r="B84" i="251" a="1"/>
  <c r="B84" i="251" s="1"/>
  <c r="B30" i="251" a="1"/>
  <c r="B30" i="251" s="1"/>
  <c r="A37" i="251" a="1"/>
  <c r="A37" i="251" s="1"/>
  <c r="A137" i="229" s="1"/>
  <c r="B11" i="251" a="1"/>
  <c r="B11" i="251" s="1"/>
  <c r="C12" i="251" a="1"/>
  <c r="C12" i="251" s="1"/>
  <c r="C112" i="229" s="1"/>
  <c r="A114" i="251" a="1"/>
  <c r="A114" i="251" s="1"/>
  <c r="C13" i="251" a="1"/>
  <c r="C13" i="251" s="1"/>
  <c r="C113" i="229" s="1"/>
  <c r="A55" i="251" a="1"/>
  <c r="A55" i="251" s="1"/>
  <c r="A155" i="229" s="1"/>
  <c r="C37" i="251" a="1"/>
  <c r="C37" i="251" s="1"/>
  <c r="C137" i="229" s="1"/>
  <c r="A31" i="251" a="1"/>
  <c r="A31" i="251" s="1"/>
  <c r="C80" i="251" a="1"/>
  <c r="C80" i="251" s="1"/>
  <c r="A100" i="251" a="1"/>
  <c r="A100" i="251" s="1"/>
  <c r="A56" i="251" a="1"/>
  <c r="A56" i="251" s="1"/>
  <c r="A156" i="229" s="1"/>
  <c r="C44" i="251" a="1"/>
  <c r="C44" i="251" s="1"/>
  <c r="C144" i="229" s="1"/>
  <c r="C61" i="251" a="1"/>
  <c r="C61" i="251" s="1"/>
  <c r="C161" i="229" s="1"/>
  <c r="C71" i="251" a="1"/>
  <c r="C71" i="251" s="1"/>
  <c r="A16" i="251" a="1"/>
  <c r="A16" i="251" s="1"/>
  <c r="A5" i="251" a="1"/>
  <c r="A5" i="251" s="1"/>
  <c r="A48" i="251" a="1"/>
  <c r="A48" i="251" s="1"/>
  <c r="A148" i="229" s="1"/>
  <c r="C39" i="251" a="1"/>
  <c r="C39" i="251" s="1"/>
  <c r="C139" i="229" s="1"/>
  <c r="C40" i="251" a="1"/>
  <c r="C40" i="251" s="1"/>
  <c r="C140" i="229" s="1"/>
  <c r="B35" i="251" a="1"/>
  <c r="B35" i="251" s="1"/>
  <c r="B135" i="229" s="1"/>
  <c r="B61" i="251" a="1"/>
  <c r="B61" i="251" s="1"/>
  <c r="B161" i="229" s="1"/>
  <c r="B36" i="251" a="1"/>
  <c r="B36" i="251" s="1"/>
  <c r="B136" i="229" s="1"/>
  <c r="A113" i="251" a="1"/>
  <c r="A113" i="251" s="1"/>
  <c r="A43" i="251" a="1"/>
  <c r="A43" i="251" s="1"/>
  <c r="A143" i="229" s="1"/>
  <c r="A107" i="251" a="1"/>
  <c r="A107" i="251" s="1"/>
  <c r="B117" i="251" a="1"/>
  <c r="B117" i="251" s="1"/>
  <c r="A92" i="251" a="1"/>
  <c r="A92" i="251" s="1"/>
  <c r="C17" i="251" a="1"/>
  <c r="C17" i="251" s="1"/>
  <c r="C117" i="229" s="1"/>
  <c r="A62" i="251" a="1"/>
  <c r="A62" i="251" s="1"/>
  <c r="A162" i="229" s="1"/>
  <c r="C76" i="251" a="1"/>
  <c r="C76" i="251" s="1"/>
  <c r="C82" i="251" a="1"/>
  <c r="C82" i="251" s="1"/>
  <c r="B91" i="251" a="1"/>
  <c r="B91" i="251" s="1"/>
  <c r="A29" i="251" a="1"/>
  <c r="A29" i="251" s="1"/>
  <c r="C53" i="251" a="1"/>
  <c r="C53" i="251" s="1"/>
  <c r="C153" i="229" s="1"/>
  <c r="C77" i="251" a="1"/>
  <c r="C77" i="251" s="1"/>
  <c r="A57" i="251" a="1"/>
  <c r="A57" i="251" s="1"/>
  <c r="A157" i="229" s="1"/>
  <c r="B56" i="251" a="1"/>
  <c r="B56" i="251" s="1"/>
  <c r="B156" i="229" s="1"/>
  <c r="B29" i="251" a="1"/>
  <c r="B29" i="251" s="1"/>
  <c r="A63" i="251" a="1"/>
  <c r="A63" i="251" s="1"/>
  <c r="A163" i="229" s="1"/>
  <c r="B32" i="251" a="1"/>
  <c r="B32" i="251" s="1"/>
  <c r="C48" i="251" a="1"/>
  <c r="C48" i="251" s="1"/>
  <c r="C148" i="229" s="1"/>
  <c r="C66" i="251" a="1"/>
  <c r="C66" i="251" s="1"/>
  <c r="C166" i="229" s="1"/>
  <c r="C14" i="251" a="1"/>
  <c r="C14" i="251" s="1"/>
  <c r="C114" i="229" s="1"/>
  <c r="B70" i="251" a="1"/>
  <c r="B70" i="251" s="1"/>
  <c r="B45" i="251" a="1"/>
  <c r="B45" i="251" s="1"/>
  <c r="B145" i="229" s="1"/>
  <c r="A74" i="251" a="1"/>
  <c r="A74" i="251" s="1"/>
  <c r="C7" i="251" a="1"/>
  <c r="C7" i="251" s="1"/>
  <c r="C107" i="229" s="1"/>
  <c r="A108" i="251" a="1"/>
  <c r="A108" i="251" s="1"/>
  <c r="C86" i="251" a="1"/>
  <c r="C86" i="251" s="1"/>
  <c r="B85" i="251" a="1"/>
  <c r="B85" i="251" s="1"/>
  <c r="A65" i="251" a="1"/>
  <c r="A65" i="251" s="1"/>
  <c r="A165" i="229" s="1"/>
  <c r="B9" i="251" a="1"/>
  <c r="B9" i="251" s="1"/>
  <c r="B72" i="251" a="1"/>
  <c r="B72" i="251" s="1"/>
  <c r="A44" i="251" a="1"/>
  <c r="A44" i="251" s="1"/>
  <c r="A144" i="229" s="1"/>
  <c r="C116" i="251" a="1"/>
  <c r="C116" i="251" s="1"/>
  <c r="A30" i="251" a="1"/>
  <c r="A30" i="251" s="1"/>
  <c r="C15" i="251" a="1"/>
  <c r="C15" i="251" s="1"/>
  <c r="C115" i="229" s="1"/>
  <c r="B75" i="251" a="1"/>
  <c r="B75" i="251" s="1"/>
  <c r="C99" i="251" a="1"/>
  <c r="C99" i="251" s="1"/>
  <c r="A24" i="251" a="1"/>
  <c r="A24" i="251" s="1"/>
  <c r="B59" i="251" a="1"/>
  <c r="B59" i="251" s="1"/>
  <c r="B159" i="229" s="1"/>
  <c r="A33" i="251" a="1"/>
  <c r="A33" i="251" s="1"/>
  <c r="B42" i="251" a="1"/>
  <c r="B42" i="251" s="1"/>
  <c r="B142" i="229" s="1"/>
  <c r="A76" i="251" a="1"/>
  <c r="A76" i="251" s="1"/>
  <c r="B106" i="251" a="1"/>
  <c r="B106" i="251" s="1"/>
  <c r="B74" i="251" a="1"/>
  <c r="B74" i="251" s="1"/>
  <c r="C54" i="251" a="1"/>
  <c r="C54" i="251" s="1"/>
  <c r="C154" i="229" s="1"/>
  <c r="C27" i="251" a="1"/>
  <c r="C27" i="251" s="1"/>
  <c r="C127" i="229" s="1"/>
  <c r="B22" i="251" a="1"/>
  <c r="B22" i="251" s="1"/>
  <c r="B89" i="251" a="1"/>
  <c r="B89" i="251" s="1"/>
  <c r="B49" i="251" a="1"/>
  <c r="B49" i="251" s="1"/>
  <c r="B149" i="229" s="1"/>
  <c r="B109" i="251" a="1"/>
  <c r="B109" i="251" s="1"/>
  <c r="C34" i="251" a="1"/>
  <c r="C34" i="251" s="1"/>
  <c r="C134" i="229" s="1"/>
  <c r="A84" i="251" a="1"/>
  <c r="A84" i="251" s="1"/>
  <c r="B104" i="251" a="1"/>
  <c r="B104" i="251" s="1"/>
  <c r="C97" i="251" a="1"/>
  <c r="C97" i="251" s="1"/>
  <c r="C6" i="251" a="1"/>
  <c r="C6" i="251" s="1"/>
  <c r="C106" i="229" s="1"/>
  <c r="A46" i="251" a="1"/>
  <c r="A46" i="251" s="1"/>
  <c r="A146" i="229" s="1"/>
  <c r="C89" i="251" a="1"/>
  <c r="C89" i="251" s="1"/>
  <c r="A59" i="251" a="1"/>
  <c r="A59" i="251" s="1"/>
  <c r="A159" i="229" s="1"/>
  <c r="A66" i="251" a="1"/>
  <c r="A66" i="251" s="1"/>
  <c r="B66" i="251" a="1"/>
  <c r="B66" i="251" s="1"/>
  <c r="B166" i="229" s="1"/>
  <c r="C18" i="251" a="1"/>
  <c r="C18" i="251" s="1"/>
  <c r="C118" i="229" s="1"/>
  <c r="C30" i="251" a="1"/>
  <c r="C30" i="251" s="1"/>
  <c r="C130" i="229" s="1"/>
  <c r="C105" i="251" a="1"/>
  <c r="C105" i="251" s="1"/>
  <c r="A34" i="251" a="1"/>
  <c r="A34" i="251" s="1"/>
  <c r="A134" i="229" s="1"/>
  <c r="B38" i="251" a="1"/>
  <c r="B38" i="251" s="1"/>
  <c r="B138" i="229" s="1"/>
  <c r="B16" i="251" a="1"/>
  <c r="B16" i="251" s="1"/>
  <c r="A54" i="251" a="1"/>
  <c r="A54" i="251" s="1"/>
  <c r="A154" i="229" s="1"/>
  <c r="C112" i="251" a="1"/>
  <c r="C112" i="251" s="1"/>
  <c r="B73" i="251" a="1"/>
  <c r="B73" i="251" s="1"/>
  <c r="A93" i="251" a="1"/>
  <c r="A93" i="251" s="1"/>
  <c r="C93" i="251" a="1"/>
  <c r="C93" i="251" s="1"/>
  <c r="B20" i="251" a="1"/>
  <c r="B20" i="251" s="1"/>
  <c r="A45" i="251" a="1"/>
  <c r="A45" i="251" s="1"/>
  <c r="A145" i="229" s="1"/>
  <c r="C115" i="251" a="1"/>
  <c r="C115" i="251" s="1"/>
  <c r="C81" i="251" a="1"/>
  <c r="C81" i="251" s="1"/>
  <c r="A26" i="251" a="1"/>
  <c r="A26" i="251" s="1"/>
  <c r="A23" i="251" a="1"/>
  <c r="A23" i="251" s="1"/>
  <c r="A111" i="251" a="1"/>
  <c r="A111" i="251" s="1"/>
  <c r="A69" i="251" a="1"/>
  <c r="A69" i="251" s="1"/>
  <c r="B52" i="251" a="1"/>
  <c r="B52" i="251" s="1"/>
  <c r="B152" i="229" s="1"/>
  <c r="A25" i="251" a="1"/>
  <c r="A25" i="251" s="1"/>
  <c r="B97" i="251" a="1"/>
  <c r="B97" i="251" s="1"/>
  <c r="A80" i="251" a="1"/>
  <c r="A80" i="251" s="1"/>
  <c r="B69" i="251" a="1"/>
  <c r="B69" i="251" s="1"/>
  <c r="B92" i="251" a="1"/>
  <c r="B92" i="251" s="1"/>
  <c r="C38" i="251" a="1"/>
  <c r="C38" i="251" s="1"/>
  <c r="C138" i="229" s="1"/>
  <c r="B53" i="251" a="1"/>
  <c r="B53" i="251" s="1"/>
  <c r="B153" i="229" s="1"/>
  <c r="A32" i="251" a="1"/>
  <c r="A32" i="251" s="1"/>
  <c r="A21" i="251" a="1"/>
  <c r="A21" i="251" s="1"/>
  <c r="A106" i="251" a="1"/>
  <c r="A106" i="251" s="1"/>
  <c r="A117" i="251" a="1"/>
  <c r="A117" i="251" s="1"/>
  <c r="C98" i="251" a="1"/>
  <c r="C98" i="251" s="1"/>
  <c r="C96" i="251" a="1"/>
  <c r="C96" i="251" s="1"/>
  <c r="B41" i="251" a="1"/>
  <c r="B41" i="251" s="1"/>
  <c r="B141" i="229" s="1"/>
  <c r="A39" i="251" a="1"/>
  <c r="A39" i="251" s="1"/>
  <c r="A139" i="229" s="1"/>
  <c r="C45" i="251" a="1"/>
  <c r="C45" i="251" s="1"/>
  <c r="C145" i="229" s="1"/>
  <c r="B47" i="251" a="1"/>
  <c r="B47" i="251" s="1"/>
  <c r="B147" i="229" s="1"/>
  <c r="B116" i="251" a="1"/>
  <c r="B116" i="251" s="1"/>
  <c r="B13" i="251" a="1"/>
  <c r="B13" i="251" s="1"/>
  <c r="A99" i="251" a="1"/>
  <c r="A99" i="251" s="1"/>
  <c r="C5" i="251" a="1"/>
  <c r="C5" i="251" s="1"/>
  <c r="C105" i="229" s="1"/>
  <c r="C87" i="251" a="1"/>
  <c r="C87" i="251" s="1"/>
  <c r="A51" i="251" a="1"/>
  <c r="A51" i="251" s="1"/>
  <c r="A151" i="229" s="1"/>
  <c r="E8" i="230" a="1"/>
  <c r="E8" i="230" s="1"/>
  <c r="E16" i="230" a="1"/>
  <c r="E16" i="230" s="1"/>
  <c r="AB25" i="230"/>
  <c r="H7" i="189" s="1"/>
  <c r="W12" i="135"/>
  <c r="AC12" i="135"/>
  <c r="D17" i="231" a="1"/>
  <c r="D17" i="231" s="1"/>
  <c r="H10" i="231" a="1"/>
  <c r="H10" i="231" s="1"/>
  <c r="B10" i="231" s="1"/>
  <c r="L26" i="231"/>
  <c r="I25" i="231" a="1"/>
  <c r="I25" i="231" s="1"/>
  <c r="C25" i="231" s="1"/>
  <c r="I21" i="231" a="1"/>
  <c r="I21" i="231" s="1"/>
  <c r="C21" i="231" s="1"/>
  <c r="I32" i="231" a="1"/>
  <c r="I32" i="231" s="1"/>
  <c r="C32" i="231" s="1"/>
  <c r="I27" i="231" a="1"/>
  <c r="I27" i="231" s="1"/>
  <c r="C27" i="231" s="1"/>
  <c r="H20" i="231" a="1"/>
  <c r="H20" i="231" s="1"/>
  <c r="B20" i="231" s="1"/>
  <c r="N117" i="229" s="1"/>
  <c r="I34" i="231" a="1"/>
  <c r="I34" i="231" s="1"/>
  <c r="H8" i="231" a="1"/>
  <c r="H8" i="231" s="1"/>
  <c r="B8" i="231" s="1"/>
  <c r="H14" i="231" a="1"/>
  <c r="H14" i="231" s="1"/>
  <c r="B14" i="231" s="1"/>
  <c r="M36" i="169"/>
  <c r="I8" i="231" a="1"/>
  <c r="I8" i="231" s="1"/>
  <c r="C8" i="231" s="1"/>
  <c r="H23" i="231" a="1"/>
  <c r="H23" i="231" s="1"/>
  <c r="B23" i="231" s="1"/>
  <c r="N120" i="229" s="1"/>
  <c r="H11" i="231" a="1"/>
  <c r="H11" i="231" s="1"/>
  <c r="B11" i="231" s="1"/>
  <c r="H13" i="231" a="1"/>
  <c r="H13" i="231" s="1"/>
  <c r="B13" i="231" s="1"/>
  <c r="H22" i="231" a="1"/>
  <c r="H22" i="231" s="1"/>
  <c r="B22" i="231" s="1"/>
  <c r="N119" i="229" s="1"/>
  <c r="H26" i="231" a="1"/>
  <c r="H26" i="231" s="1"/>
  <c r="B26" i="231" s="1"/>
  <c r="N123" i="229" s="1"/>
  <c r="I29" i="231" a="1"/>
  <c r="I29" i="231" s="1"/>
  <c r="C29" i="231" s="1"/>
  <c r="H27" i="231" a="1"/>
  <c r="H27" i="231" s="1"/>
  <c r="B27" i="231" s="1"/>
  <c r="N124" i="229" s="1"/>
  <c r="I35" i="231" a="1"/>
  <c r="I35" i="231" s="1"/>
  <c r="I26" i="231" a="1"/>
  <c r="I26" i="231" s="1"/>
  <c r="C26" i="231" s="1"/>
  <c r="H12" i="231" a="1"/>
  <c r="H12" i="231" s="1"/>
  <c r="B12" i="231" s="1"/>
  <c r="H32" i="231" a="1"/>
  <c r="H32" i="231" s="1"/>
  <c r="B32" i="231" s="1"/>
  <c r="H9" i="231" a="1"/>
  <c r="H9" i="231" s="1"/>
  <c r="B9" i="231" s="1"/>
  <c r="I10" i="231" a="1"/>
  <c r="I10" i="231" s="1"/>
  <c r="C10" i="231" s="1"/>
  <c r="H29" i="231" a="1"/>
  <c r="H29" i="231" s="1"/>
  <c r="B29" i="231" s="1"/>
  <c r="I23" i="231" a="1"/>
  <c r="I23" i="231" s="1"/>
  <c r="C23" i="231" s="1"/>
  <c r="H21" i="231" a="1"/>
  <c r="H21" i="231" s="1"/>
  <c r="B21" i="231" s="1"/>
  <c r="N118" i="229" s="1"/>
  <c r="H17" i="231" a="1"/>
  <c r="H17" i="231" s="1"/>
  <c r="B17" i="231" s="1"/>
  <c r="H18" i="231" a="1"/>
  <c r="H18" i="231" s="1"/>
  <c r="B18" i="231" s="1"/>
  <c r="I31" i="231" a="1"/>
  <c r="I31" i="231" s="1"/>
  <c r="C31" i="231" s="1"/>
  <c r="I9" i="231" a="1"/>
  <c r="I9" i="231" s="1"/>
  <c r="C9" i="231" s="1"/>
  <c r="I28" i="231" a="1"/>
  <c r="I28" i="231" s="1"/>
  <c r="C28" i="231" s="1"/>
  <c r="I22" i="231" a="1"/>
  <c r="I22" i="231" s="1"/>
  <c r="C22" i="231" s="1"/>
  <c r="I20" i="231" a="1"/>
  <c r="I20" i="231" s="1"/>
  <c r="C20" i="231" s="1"/>
  <c r="H28" i="231" a="1"/>
  <c r="H28" i="231" s="1"/>
  <c r="B28" i="231" s="1"/>
  <c r="I13" i="231" a="1"/>
  <c r="I13" i="231" s="1"/>
  <c r="C13" i="231" s="1"/>
  <c r="I16" i="231" a="1"/>
  <c r="I16" i="231" s="1"/>
  <c r="C16" i="231" s="1"/>
  <c r="I33" i="231" a="1"/>
  <c r="I33" i="231" s="1"/>
  <c r="C33" i="231" s="1"/>
  <c r="I19" i="231" a="1"/>
  <c r="I19" i="231" s="1"/>
  <c r="C19" i="231" s="1"/>
  <c r="I12" i="231" a="1"/>
  <c r="I12" i="231" s="1"/>
  <c r="C12" i="231" s="1"/>
  <c r="H33" i="231" a="1"/>
  <c r="H33" i="231" s="1"/>
  <c r="B33" i="231" s="1"/>
  <c r="H30" i="231" a="1"/>
  <c r="H30" i="231" s="1"/>
  <c r="B30" i="231" s="1"/>
  <c r="I15" i="231" a="1"/>
  <c r="I15" i="231" s="1"/>
  <c r="C15" i="231" s="1"/>
  <c r="H25" i="231" a="1"/>
  <c r="H25" i="231" s="1"/>
  <c r="B25" i="231" s="1"/>
  <c r="N122" i="229" s="1"/>
  <c r="H31" i="231" a="1"/>
  <c r="H31" i="231" s="1"/>
  <c r="B31" i="231" s="1"/>
  <c r="I11" i="231" a="1"/>
  <c r="I11" i="231" s="1"/>
  <c r="C11" i="231" s="1"/>
  <c r="H16" i="231" a="1"/>
  <c r="H16" i="231" s="1"/>
  <c r="B16" i="231" s="1"/>
  <c r="H24" i="231" a="1"/>
  <c r="H24" i="231" s="1"/>
  <c r="B24" i="231" s="1"/>
  <c r="N121" i="229" s="1"/>
  <c r="I30" i="231" a="1"/>
  <c r="I30" i="231" s="1"/>
  <c r="C30" i="231" s="1"/>
  <c r="H19" i="231" a="1"/>
  <c r="H19" i="231" s="1"/>
  <c r="B19" i="231" s="1"/>
  <c r="N116" i="229" s="1"/>
  <c r="H15" i="231" a="1"/>
  <c r="H15" i="231" s="1"/>
  <c r="B15" i="231" s="1"/>
  <c r="I14" i="231" a="1"/>
  <c r="I14" i="231" s="1"/>
  <c r="C14" i="231" s="1"/>
  <c r="I24" i="231" a="1"/>
  <c r="I24" i="231" s="1"/>
  <c r="C24" i="231" s="1"/>
  <c r="I17" i="231" a="1"/>
  <c r="I17" i="231" s="1"/>
  <c r="C17" i="231" s="1"/>
  <c r="I18" i="231" a="1"/>
  <c r="I18" i="231" s="1"/>
  <c r="C18" i="231" s="1"/>
  <c r="X35" i="169"/>
  <c r="AB35" i="169"/>
  <c r="AC36" i="169" s="1"/>
  <c r="A28" i="248"/>
  <c r="A15" i="248"/>
  <c r="A27" i="248"/>
  <c r="A31" i="248"/>
  <c r="A17" i="248"/>
  <c r="A29" i="248"/>
  <c r="A22" i="248"/>
  <c r="A32" i="248"/>
  <c r="A23" i="248"/>
  <c r="A20" i="248"/>
  <c r="A30" i="248"/>
  <c r="A21" i="248"/>
  <c r="A33" i="248"/>
  <c r="A24" i="248"/>
  <c r="A19" i="248"/>
  <c r="A16" i="248"/>
  <c r="A18" i="248"/>
  <c r="A26" i="248"/>
  <c r="A14" i="248"/>
  <c r="A25" i="248"/>
  <c r="F27" i="231" a="1"/>
  <c r="F27" i="231" s="1"/>
  <c r="D34" i="150"/>
  <c r="B34" i="150" s="1"/>
  <c r="A34" i="150" s="1"/>
  <c r="D33" i="150"/>
  <c r="B33" i="150" s="1"/>
  <c r="A33" i="150" s="1"/>
  <c r="D24" i="150"/>
  <c r="B24" i="150" s="1"/>
  <c r="G31" i="183" s="1"/>
  <c r="D23" i="150"/>
  <c r="B23" i="150" s="1"/>
  <c r="F120" i="229" s="1"/>
  <c r="D20" i="150"/>
  <c r="B20" i="150" s="1"/>
  <c r="F117" i="229" s="1"/>
  <c r="D19" i="150"/>
  <c r="B19" i="150" s="1"/>
  <c r="F116" i="229" s="1"/>
  <c r="D21" i="150"/>
  <c r="B21" i="150" s="1"/>
  <c r="F118" i="229" s="1"/>
  <c r="D11" i="150"/>
  <c r="B11" i="150" s="1"/>
  <c r="D8" i="150"/>
  <c r="B8" i="150" s="1"/>
  <c r="D28" i="150"/>
  <c r="B28" i="150" s="1"/>
  <c r="A28" i="150" s="1"/>
  <c r="D13" i="150"/>
  <c r="B13" i="150" s="1"/>
  <c r="D14" i="150"/>
  <c r="B14" i="150" s="1"/>
  <c r="D32" i="150"/>
  <c r="B32" i="150" s="1"/>
  <c r="A32" i="150" s="1"/>
  <c r="D35" i="150"/>
  <c r="B35" i="150" s="1"/>
  <c r="A35" i="150" s="1"/>
  <c r="D31" i="150"/>
  <c r="B31" i="150" s="1"/>
  <c r="A31" i="150" s="1"/>
  <c r="D27" i="150"/>
  <c r="B27" i="150" s="1"/>
  <c r="A27" i="150" s="1"/>
  <c r="D16" i="150"/>
  <c r="B16" i="150" s="1"/>
  <c r="D22" i="150"/>
  <c r="B22" i="150" s="1"/>
  <c r="F119" i="229" s="1"/>
  <c r="D30" i="150"/>
  <c r="B30" i="150" s="1"/>
  <c r="A30" i="150" s="1"/>
  <c r="D10" i="150"/>
  <c r="B10" i="150" s="1"/>
  <c r="D18" i="150"/>
  <c r="B18" i="150" s="1"/>
  <c r="D29" i="150"/>
  <c r="B29" i="150" s="1"/>
  <c r="A29" i="150" s="1"/>
  <c r="D15" i="150"/>
  <c r="B15" i="150" s="1"/>
  <c r="D36" i="150"/>
  <c r="B36" i="150" s="1"/>
  <c r="A36" i="150" s="1"/>
  <c r="D25" i="150"/>
  <c r="B25" i="150" s="1"/>
  <c r="A25" i="150" s="1"/>
  <c r="D12" i="150"/>
  <c r="B12" i="150" s="1"/>
  <c r="D9" i="150"/>
  <c r="B9" i="150" s="1"/>
  <c r="D17" i="150"/>
  <c r="B17" i="150" s="1"/>
  <c r="D26" i="150"/>
  <c r="B26" i="150" s="1"/>
  <c r="G33" i="183" s="1"/>
  <c r="I33" i="183" s="1"/>
  <c r="J33" i="183" s="1"/>
  <c r="E25" i="183"/>
  <c r="E41" i="237"/>
  <c r="N15" i="183"/>
  <c r="F23" i="231" a="1"/>
  <c r="F23" i="231" s="1"/>
  <c r="G25" i="231" a="1"/>
  <c r="G25" i="231" s="1"/>
  <c r="G33" i="231" a="1"/>
  <c r="G33" i="231" s="1"/>
  <c r="L45" i="237"/>
  <c r="E12" i="231" a="1"/>
  <c r="E12" i="231" s="1"/>
  <c r="R112" i="229"/>
  <c r="N41" i="183" s="1"/>
  <c r="D10" i="231" a="1"/>
  <c r="D10" i="231" s="1"/>
  <c r="E9" i="231" a="1"/>
  <c r="E9" i="231" s="1"/>
  <c r="D16" i="231" a="1"/>
  <c r="D16" i="231" s="1"/>
  <c r="D21" i="231" a="1"/>
  <c r="D21" i="231" s="1"/>
  <c r="E28" i="231" a="1"/>
  <c r="E28" i="231" s="1"/>
  <c r="G18" i="231" a="1"/>
  <c r="G18" i="231" s="1"/>
  <c r="F18" i="231" a="1"/>
  <c r="F18" i="231" s="1"/>
  <c r="F33" i="231" a="1"/>
  <c r="F33" i="231" s="1"/>
  <c r="G13" i="231" a="1"/>
  <c r="G13" i="231" s="1"/>
  <c r="F20" i="231" a="1"/>
  <c r="F20" i="231" s="1"/>
  <c r="G21" i="231" a="1"/>
  <c r="G21" i="231" s="1"/>
  <c r="G27" i="231" a="1"/>
  <c r="G27" i="231" s="1"/>
  <c r="G31" i="231" a="1"/>
  <c r="G31" i="231" s="1"/>
  <c r="G20" i="231" a="1"/>
  <c r="G20" i="231" s="1"/>
  <c r="G29" i="231" a="1"/>
  <c r="G29" i="231" s="1"/>
  <c r="F25" i="231" a="1"/>
  <c r="F25" i="231" s="1"/>
  <c r="F10" i="231" a="1"/>
  <c r="F10" i="231" s="1"/>
  <c r="G12" i="231" a="1"/>
  <c r="G12" i="231" s="1"/>
  <c r="F26" i="231" a="1"/>
  <c r="F26" i="231" s="1"/>
  <c r="F19" i="231" a="1"/>
  <c r="F19" i="231" s="1"/>
  <c r="F8" i="231" a="1"/>
  <c r="F8" i="231" s="1"/>
  <c r="F24" i="231" a="1"/>
  <c r="F24" i="231" s="1"/>
  <c r="G30" i="231" a="1"/>
  <c r="G30" i="231" s="1"/>
  <c r="A9" i="230"/>
  <c r="G105" i="229"/>
  <c r="G111" i="229"/>
  <c r="E31" i="183"/>
  <c r="E25" i="237"/>
  <c r="E41" i="183"/>
  <c r="D27" i="231" a="1"/>
  <c r="D27" i="231" s="1"/>
  <c r="D12" i="231" a="1"/>
  <c r="D12" i="231" s="1"/>
  <c r="D9" i="231" a="1"/>
  <c r="D9" i="231" s="1"/>
  <c r="D22" i="231" a="1"/>
  <c r="D22" i="231" s="1"/>
  <c r="E16" i="231" a="1"/>
  <c r="E16" i="231" s="1"/>
  <c r="D26" i="231" a="1"/>
  <c r="D26" i="231" s="1"/>
  <c r="E15" i="231" a="1"/>
  <c r="E15" i="231" s="1"/>
  <c r="D18" i="231" a="1"/>
  <c r="D18" i="231" s="1"/>
  <c r="E24" i="231" a="1"/>
  <c r="E24" i="231" s="1"/>
  <c r="E30" i="231" a="1"/>
  <c r="E30" i="231" s="1"/>
  <c r="D13" i="231" a="1"/>
  <c r="D13" i="231" s="1"/>
  <c r="E32" i="231" a="1"/>
  <c r="E32" i="231" s="1"/>
  <c r="E23" i="231" a="1"/>
  <c r="E23" i="231" s="1"/>
  <c r="D15" i="231" a="1"/>
  <c r="D15" i="231" s="1"/>
  <c r="E14" i="231" a="1"/>
  <c r="E14" i="231" s="1"/>
  <c r="D28" i="231" a="1"/>
  <c r="D28" i="231" s="1"/>
  <c r="D29" i="231" a="1"/>
  <c r="D29" i="231" s="1"/>
  <c r="E29" i="231" a="1"/>
  <c r="E29" i="231" s="1"/>
  <c r="E13" i="231" a="1"/>
  <c r="E13" i="231" s="1"/>
  <c r="D24" i="231" a="1"/>
  <c r="D24" i="231" s="1"/>
  <c r="E18" i="231" a="1"/>
  <c r="E18" i="231" s="1"/>
  <c r="E21" i="231" a="1"/>
  <c r="E21" i="231" s="1"/>
  <c r="D14" i="231" a="1"/>
  <c r="D14" i="231" s="1"/>
  <c r="E27" i="231" a="1"/>
  <c r="E27" i="231" s="1"/>
  <c r="E26" i="231" a="1"/>
  <c r="E26" i="231" s="1"/>
  <c r="D20" i="231" a="1"/>
  <c r="D20" i="231" s="1"/>
  <c r="D30" i="231" a="1"/>
  <c r="D30" i="231" s="1"/>
  <c r="D23" i="231" a="1"/>
  <c r="D23" i="231" s="1"/>
  <c r="D25" i="231" a="1"/>
  <c r="D25" i="231" s="1"/>
  <c r="R108" i="229"/>
  <c r="N37" i="183" s="1"/>
  <c r="E31" i="231" a="1"/>
  <c r="E31" i="231" s="1"/>
  <c r="E19" i="231" a="1"/>
  <c r="E19" i="231" s="1"/>
  <c r="D8" i="231" a="1"/>
  <c r="D8" i="231" s="1"/>
  <c r="D19" i="231" a="1"/>
  <c r="D19" i="231" s="1"/>
  <c r="E25" i="231" a="1"/>
  <c r="E25" i="231" s="1"/>
  <c r="D32" i="231" a="1"/>
  <c r="D32" i="231" s="1"/>
  <c r="E22" i="231" a="1"/>
  <c r="E22" i="231" s="1"/>
  <c r="D31" i="231" a="1"/>
  <c r="D31" i="231" s="1"/>
  <c r="D11" i="231" a="1"/>
  <c r="D11" i="231" s="1"/>
  <c r="E10" i="231" a="1"/>
  <c r="E10" i="231" s="1"/>
  <c r="E33" i="231" a="1"/>
  <c r="E33" i="231" s="1"/>
  <c r="E17" i="231" a="1"/>
  <c r="E17" i="231" s="1"/>
  <c r="E11" i="231" a="1"/>
  <c r="E11" i="231" s="1"/>
  <c r="E8" i="231" a="1"/>
  <c r="E8" i="231" s="1"/>
  <c r="E21" i="183"/>
  <c r="E31" i="237"/>
  <c r="E32" i="237"/>
  <c r="E43" i="183"/>
  <c r="E43" i="237"/>
  <c r="E18" i="183"/>
  <c r="E35" i="237"/>
  <c r="E21" i="237"/>
  <c r="G14" i="231" a="1"/>
  <c r="G14" i="231" s="1"/>
  <c r="F16" i="231" a="1"/>
  <c r="F16" i="231" s="1"/>
  <c r="F30" i="231" a="1"/>
  <c r="F30" i="231" s="1"/>
  <c r="F13" i="231" a="1"/>
  <c r="F13" i="231" s="1"/>
  <c r="F21" i="231" a="1"/>
  <c r="F21" i="231" s="1"/>
  <c r="G8" i="231" a="1"/>
  <c r="G8" i="231" s="1"/>
  <c r="G19" i="231" a="1"/>
  <c r="G19" i="231" s="1"/>
  <c r="G24" i="231" a="1"/>
  <c r="G24" i="231" s="1"/>
  <c r="G113" i="229"/>
  <c r="F28" i="231" a="1"/>
  <c r="F28" i="231" s="1"/>
  <c r="F9" i="231" a="1"/>
  <c r="F9" i="231" s="1"/>
  <c r="F12" i="231" a="1"/>
  <c r="F12" i="231" s="1"/>
  <c r="F11" i="231" a="1"/>
  <c r="F11" i="231" s="1"/>
  <c r="F22" i="231" a="1"/>
  <c r="F22" i="231" s="1"/>
  <c r="G26" i="231" a="1"/>
  <c r="G26" i="231" s="1"/>
  <c r="G22" i="231" a="1"/>
  <c r="G22" i="231" s="1"/>
  <c r="F15" i="231" a="1"/>
  <c r="F15" i="231" s="1"/>
  <c r="D33" i="231" a="1"/>
  <c r="D33" i="231" s="1"/>
  <c r="E20" i="231" a="1"/>
  <c r="E20" i="231" s="1"/>
  <c r="N22" i="183"/>
  <c r="O22" i="183" s="1"/>
  <c r="L35" i="237"/>
  <c r="N35" i="237" s="1"/>
  <c r="A11" i="230"/>
  <c r="N43" i="183"/>
  <c r="M44" i="237"/>
  <c r="M43" i="237"/>
  <c r="G107" i="229"/>
  <c r="L44" i="237"/>
  <c r="N44" i="237" s="1"/>
  <c r="L41" i="237"/>
  <c r="N42" i="183"/>
  <c r="AQ30" i="135"/>
  <c r="AR30" i="135" s="1"/>
  <c r="N20" i="183"/>
  <c r="O20" i="183" s="1"/>
  <c r="F32" i="231" a="1"/>
  <c r="F32" i="231" s="1"/>
  <c r="F31" i="231" a="1"/>
  <c r="F31" i="231" s="1"/>
  <c r="G16" i="231" a="1"/>
  <c r="G16" i="231" s="1"/>
  <c r="G28" i="231" a="1"/>
  <c r="G28" i="231" s="1"/>
  <c r="F17" i="231" a="1"/>
  <c r="F17" i="231" s="1"/>
  <c r="G9" i="231" a="1"/>
  <c r="G9" i="231" s="1"/>
  <c r="G17" i="231" a="1"/>
  <c r="G17" i="231" s="1"/>
  <c r="G15" i="231" a="1"/>
  <c r="G15" i="231" s="1"/>
  <c r="F14" i="231" a="1"/>
  <c r="F14" i="231" s="1"/>
  <c r="G10" i="231" a="1"/>
  <c r="G10" i="231" s="1"/>
  <c r="G11" i="231" a="1"/>
  <c r="G11" i="231" s="1"/>
  <c r="G23" i="231" a="1"/>
  <c r="G23" i="231" s="1"/>
  <c r="F29" i="231" a="1"/>
  <c r="F29" i="231" s="1"/>
  <c r="G32" i="231" a="1"/>
  <c r="G32" i="231" s="1"/>
  <c r="U34" i="169"/>
  <c r="T35" i="169"/>
  <c r="G115" i="229"/>
  <c r="G114" i="229"/>
  <c r="N21" i="183"/>
  <c r="N39" i="183"/>
  <c r="Q34" i="169"/>
  <c r="P35" i="169"/>
  <c r="N35" i="183"/>
  <c r="O35" i="183" s="1"/>
  <c r="N38" i="183"/>
  <c r="N16" i="183"/>
  <c r="M35" i="237" l="1"/>
  <c r="O35" i="237" s="1"/>
  <c r="L34" i="237"/>
  <c r="N34" i="237" s="1"/>
  <c r="R119" i="229"/>
  <c r="L42" i="237"/>
  <c r="N42" i="237" s="1"/>
  <c r="M34" i="237"/>
  <c r="R121" i="229"/>
  <c r="A16" i="230"/>
  <c r="K42" i="237" s="1"/>
  <c r="M53" i="183"/>
  <c r="O53" i="183" s="1"/>
  <c r="A13" i="230"/>
  <c r="Q110" i="229" s="1"/>
  <c r="S111" i="229"/>
  <c r="S109" i="229"/>
  <c r="L43" i="237"/>
  <c r="N43" i="237" s="1"/>
  <c r="O43" i="237" s="1"/>
  <c r="R116" i="229"/>
  <c r="M41" i="237"/>
  <c r="A20" i="230"/>
  <c r="K53" i="183" s="1"/>
  <c r="A22" i="230"/>
  <c r="Q119" i="229" s="1"/>
  <c r="S107" i="229"/>
  <c r="R118" i="229"/>
  <c r="A12" i="230"/>
  <c r="Q109" i="229" s="1"/>
  <c r="L39" i="237"/>
  <c r="N39" i="237" s="1"/>
  <c r="O39" i="237" s="1"/>
  <c r="R107" i="229"/>
  <c r="L38" i="237"/>
  <c r="N38" i="237" s="1"/>
  <c r="O38" i="237" s="1"/>
  <c r="A21" i="230"/>
  <c r="K54" i="183" s="1"/>
  <c r="A24" i="230"/>
  <c r="K50" i="237" s="1"/>
  <c r="S110" i="229"/>
  <c r="S108" i="229"/>
  <c r="R111" i="229"/>
  <c r="N40" i="183" s="1"/>
  <c r="O40" i="183" s="1"/>
  <c r="A18" i="230"/>
  <c r="K44" i="237" s="1"/>
  <c r="L40" i="237"/>
  <c r="N40" i="237" s="1"/>
  <c r="O40" i="237" s="1"/>
  <c r="R105" i="229"/>
  <c r="M42" i="237"/>
  <c r="S116" i="229"/>
  <c r="A17" i="230"/>
  <c r="K43" i="237" s="1"/>
  <c r="L36" i="237"/>
  <c r="N36" i="237" s="1"/>
  <c r="O36" i="237" s="1"/>
  <c r="R120" i="229"/>
  <c r="M54" i="183"/>
  <c r="O54" i="183" s="1"/>
  <c r="A23" i="230"/>
  <c r="K49" i="237" s="1"/>
  <c r="R117" i="229"/>
  <c r="Q116" i="229"/>
  <c r="K45" i="237"/>
  <c r="Q112" i="229"/>
  <c r="K41" i="237"/>
  <c r="Q111" i="229"/>
  <c r="K40" i="237"/>
  <c r="C10" i="189" a="1"/>
  <c r="C10" i="189" s="1"/>
  <c r="AA114" i="229" s="1"/>
  <c r="B22" i="189" a="1"/>
  <c r="B22" i="189" s="1"/>
  <c r="B16" i="189" a="1"/>
  <c r="B16" i="189" s="1"/>
  <c r="B21" i="189" a="1"/>
  <c r="B21" i="189" s="1"/>
  <c r="B10" i="189" a="1"/>
  <c r="B10" i="189" s="1"/>
  <c r="B17" i="189" a="1"/>
  <c r="B17" i="189" s="1"/>
  <c r="C15" i="189" a="1"/>
  <c r="C15" i="189" s="1"/>
  <c r="AA119" i="229" s="1"/>
  <c r="C23" i="189" a="1"/>
  <c r="C23" i="189" s="1"/>
  <c r="B23" i="189" a="1"/>
  <c r="B23" i="189" s="1"/>
  <c r="A23" i="189" s="1"/>
  <c r="C21" i="189" a="1"/>
  <c r="C21" i="189" s="1"/>
  <c r="AA125" i="229" s="1"/>
  <c r="C13" i="189" a="1"/>
  <c r="C13" i="189" s="1"/>
  <c r="AA117" i="229" s="1"/>
  <c r="B18" i="189" a="1"/>
  <c r="B18" i="189" s="1"/>
  <c r="C12" i="189" a="1"/>
  <c r="C12" i="189" s="1"/>
  <c r="AA116" i="229" s="1"/>
  <c r="B20" i="189" a="1"/>
  <c r="B20" i="189" s="1"/>
  <c r="C18" i="189" a="1"/>
  <c r="C18" i="189" s="1"/>
  <c r="AA122" i="229" s="1"/>
  <c r="C24" i="189" a="1"/>
  <c r="C24" i="189" s="1"/>
  <c r="B13" i="189" a="1"/>
  <c r="B13" i="189" s="1"/>
  <c r="C14" i="189" a="1"/>
  <c r="C14" i="189" s="1"/>
  <c r="AA118" i="229" s="1"/>
  <c r="C22" i="189" a="1"/>
  <c r="C22" i="189" s="1"/>
  <c r="AA126" i="229" s="1"/>
  <c r="C19" i="189" a="1"/>
  <c r="C19" i="189" s="1"/>
  <c r="AA123" i="229" s="1"/>
  <c r="C20" i="189" a="1"/>
  <c r="C20" i="189" s="1"/>
  <c r="AA124" i="229" s="1"/>
  <c r="B14" i="189" a="1"/>
  <c r="B14" i="189" s="1"/>
  <c r="B24" i="189" a="1"/>
  <c r="B24" i="189" s="1"/>
  <c r="A24" i="189" s="1"/>
  <c r="B25" i="189" a="1"/>
  <c r="B25" i="189" s="1"/>
  <c r="A25" i="189" s="1"/>
  <c r="C11" i="189" a="1"/>
  <c r="C11" i="189" s="1"/>
  <c r="AA115" i="229" s="1"/>
  <c r="B15" i="189" a="1"/>
  <c r="B15" i="189" s="1"/>
  <c r="B11" i="189" a="1"/>
  <c r="B11" i="189" s="1"/>
  <c r="B19" i="189" a="1"/>
  <c r="B19" i="189" s="1"/>
  <c r="C17" i="189" a="1"/>
  <c r="C17" i="189" s="1"/>
  <c r="AA121" i="229" s="1"/>
  <c r="C16" i="189" a="1"/>
  <c r="C16" i="189" s="1"/>
  <c r="AA120" i="229" s="1"/>
  <c r="C25" i="189" a="1"/>
  <c r="C25" i="189" s="1"/>
  <c r="B12" i="189" a="1"/>
  <c r="B12" i="189" s="1"/>
  <c r="C167" i="229"/>
  <c r="Q107" i="229"/>
  <c r="O37" i="237"/>
  <c r="K34" i="237"/>
  <c r="K35" i="237"/>
  <c r="O115" i="229"/>
  <c r="O116" i="229"/>
  <c r="C146" i="254"/>
  <c r="D143" i="254"/>
  <c r="D135" i="254"/>
  <c r="D132" i="254"/>
  <c r="A124" i="229"/>
  <c r="B129" i="254"/>
  <c r="B109" i="229"/>
  <c r="C114" i="254"/>
  <c r="D122" i="254"/>
  <c r="C140" i="254"/>
  <c r="D149" i="254"/>
  <c r="A113" i="229"/>
  <c r="B118" i="254"/>
  <c r="C148" i="254"/>
  <c r="B152" i="254"/>
  <c r="B141" i="254"/>
  <c r="D125" i="254"/>
  <c r="D136" i="254"/>
  <c r="A127" i="229"/>
  <c r="B132" i="254"/>
  <c r="B106" i="229"/>
  <c r="C111" i="254"/>
  <c r="D126" i="254"/>
  <c r="A120" i="229"/>
  <c r="B125" i="254"/>
  <c r="K37" i="237"/>
  <c r="A15" i="150"/>
  <c r="E112" i="229" s="1"/>
  <c r="O130" i="229"/>
  <c r="D110" i="254"/>
  <c r="A123" i="229"/>
  <c r="B128" i="254"/>
  <c r="D123" i="254"/>
  <c r="D119" i="254"/>
  <c r="D145" i="254"/>
  <c r="D117" i="254"/>
  <c r="D151" i="254"/>
  <c r="D131" i="254"/>
  <c r="A119" i="229"/>
  <c r="B124" i="254"/>
  <c r="D157" i="254"/>
  <c r="B128" i="229"/>
  <c r="C133" i="254"/>
  <c r="D138" i="254"/>
  <c r="B140" i="254"/>
  <c r="B127" i="229"/>
  <c r="C132" i="254"/>
  <c r="A118" i="229"/>
  <c r="B123" i="254"/>
  <c r="D115" i="254"/>
  <c r="C144" i="254"/>
  <c r="B115" i="229"/>
  <c r="C120" i="254"/>
  <c r="A107" i="229"/>
  <c r="B112" i="254"/>
  <c r="B133" i="229"/>
  <c r="C138" i="254"/>
  <c r="D146" i="254"/>
  <c r="O121" i="229"/>
  <c r="O113" i="229"/>
  <c r="N109" i="229"/>
  <c r="A11" i="231"/>
  <c r="O124" i="229"/>
  <c r="A126" i="229"/>
  <c r="B131" i="254"/>
  <c r="D144" i="254"/>
  <c r="B111" i="229"/>
  <c r="C116" i="254"/>
  <c r="A110" i="229"/>
  <c r="B115" i="254"/>
  <c r="D147" i="254"/>
  <c r="B105" i="229"/>
  <c r="C110" i="254"/>
  <c r="A112" i="229"/>
  <c r="B117" i="254"/>
  <c r="B108" i="229"/>
  <c r="C113" i="254"/>
  <c r="A117" i="229"/>
  <c r="B122" i="254"/>
  <c r="A115" i="229"/>
  <c r="B120" i="254"/>
  <c r="B107" i="229"/>
  <c r="C112" i="254"/>
  <c r="O123" i="229"/>
  <c r="B113" i="229"/>
  <c r="C118" i="254"/>
  <c r="D139" i="254"/>
  <c r="D120" i="254"/>
  <c r="D153" i="254"/>
  <c r="A129" i="229"/>
  <c r="B134" i="254"/>
  <c r="B153" i="254"/>
  <c r="B142" i="254"/>
  <c r="A108" i="229"/>
  <c r="B113" i="254"/>
  <c r="D113" i="254"/>
  <c r="C155" i="254"/>
  <c r="D141" i="254"/>
  <c r="B125" i="229"/>
  <c r="C130" i="254"/>
  <c r="D116" i="254"/>
  <c r="B131" i="229"/>
  <c r="C136" i="254"/>
  <c r="B114" i="229"/>
  <c r="C119" i="254"/>
  <c r="B154" i="254"/>
  <c r="B126" i="229"/>
  <c r="C131" i="254"/>
  <c r="B147" i="254"/>
  <c r="B124" i="229"/>
  <c r="C129" i="254"/>
  <c r="A109" i="229"/>
  <c r="B114" i="254"/>
  <c r="F107" i="229"/>
  <c r="O105" i="229"/>
  <c r="O118" i="229"/>
  <c r="B116" i="229"/>
  <c r="C121" i="254"/>
  <c r="A130" i="229"/>
  <c r="B135" i="254"/>
  <c r="B132" i="229"/>
  <c r="C137" i="254"/>
  <c r="B148" i="254"/>
  <c r="A105" i="229"/>
  <c r="B110" i="254"/>
  <c r="A131" i="229"/>
  <c r="B136" i="254"/>
  <c r="B130" i="229"/>
  <c r="C135" i="254"/>
  <c r="A128" i="229"/>
  <c r="B133" i="254"/>
  <c r="A106" i="229"/>
  <c r="B111" i="254"/>
  <c r="D155" i="254"/>
  <c r="B143" i="254"/>
  <c r="A111" i="229"/>
  <c r="B116" i="254"/>
  <c r="D124" i="254"/>
  <c r="D154" i="254"/>
  <c r="D133" i="254"/>
  <c r="C149" i="254"/>
  <c r="B110" i="229"/>
  <c r="C115" i="254"/>
  <c r="O120" i="229"/>
  <c r="C152" i="254"/>
  <c r="A121" i="229"/>
  <c r="B126" i="254"/>
  <c r="A125" i="229"/>
  <c r="B130" i="254"/>
  <c r="B150" i="254"/>
  <c r="C143" i="254"/>
  <c r="C154" i="254"/>
  <c r="C147" i="254"/>
  <c r="D112" i="254"/>
  <c r="A116" i="229"/>
  <c r="B121" i="254"/>
  <c r="D142" i="254"/>
  <c r="A122" i="229"/>
  <c r="B127" i="254"/>
  <c r="D128" i="254"/>
  <c r="D137" i="254"/>
  <c r="B145" i="254"/>
  <c r="B121" i="229"/>
  <c r="C126" i="254"/>
  <c r="B117" i="229"/>
  <c r="C122" i="254"/>
  <c r="D129" i="254"/>
  <c r="B112" i="229"/>
  <c r="C117" i="254"/>
  <c r="D130" i="254"/>
  <c r="B155" i="254"/>
  <c r="D156" i="254"/>
  <c r="C156" i="254"/>
  <c r="D152" i="254"/>
  <c r="D150" i="254"/>
  <c r="A132" i="229"/>
  <c r="B137" i="254"/>
  <c r="C157" i="254"/>
  <c r="B120" i="229"/>
  <c r="C125" i="254"/>
  <c r="B139" i="254"/>
  <c r="B151" i="254"/>
  <c r="A133" i="229"/>
  <c r="B138" i="254"/>
  <c r="B149" i="254"/>
  <c r="B129" i="229"/>
  <c r="C134" i="254"/>
  <c r="C141" i="254"/>
  <c r="D127" i="254"/>
  <c r="C139" i="254"/>
  <c r="C145" i="254"/>
  <c r="A114" i="229"/>
  <c r="B119" i="254"/>
  <c r="B118" i="229"/>
  <c r="C123" i="254"/>
  <c r="B146" i="254"/>
  <c r="D134" i="254"/>
  <c r="D140" i="254"/>
  <c r="B119" i="229"/>
  <c r="C124" i="254"/>
  <c r="O119" i="229"/>
  <c r="A16" i="150"/>
  <c r="E113" i="229" s="1"/>
  <c r="F105" i="229"/>
  <c r="O109" i="229"/>
  <c r="O125" i="229"/>
  <c r="N105" i="229"/>
  <c r="A10" i="231"/>
  <c r="B156" i="254"/>
  <c r="B144" i="254"/>
  <c r="D111" i="254"/>
  <c r="B122" i="229"/>
  <c r="C127" i="254"/>
  <c r="C150" i="254"/>
  <c r="D118" i="254"/>
  <c r="D114" i="254"/>
  <c r="C153" i="254"/>
  <c r="B157" i="254"/>
  <c r="D148" i="254"/>
  <c r="C151" i="254"/>
  <c r="B123" i="229"/>
  <c r="C128" i="254"/>
  <c r="C142" i="254"/>
  <c r="D121" i="254"/>
  <c r="O114" i="229"/>
  <c r="A31" i="231"/>
  <c r="N128" i="229"/>
  <c r="N115" i="229"/>
  <c r="L31" i="183"/>
  <c r="K31" i="183" s="1"/>
  <c r="N129" i="229"/>
  <c r="O111" i="229"/>
  <c r="L25" i="183"/>
  <c r="K25" i="183" s="1"/>
  <c r="O110" i="229"/>
  <c r="N114" i="229"/>
  <c r="A23" i="231"/>
  <c r="M120" i="229" s="1"/>
  <c r="M31" i="183"/>
  <c r="O129" i="229"/>
  <c r="N112" i="229"/>
  <c r="O112" i="229"/>
  <c r="A28" i="231"/>
  <c r="N125" i="229"/>
  <c r="A13" i="231"/>
  <c r="N110" i="229"/>
  <c r="A19" i="231"/>
  <c r="M116" i="229" s="1"/>
  <c r="N127" i="229"/>
  <c r="M24" i="183"/>
  <c r="O117" i="229"/>
  <c r="A27" i="231"/>
  <c r="O122" i="229"/>
  <c r="O128" i="229"/>
  <c r="O127" i="229"/>
  <c r="A33" i="231"/>
  <c r="N130" i="229"/>
  <c r="A29" i="231"/>
  <c r="N126" i="229"/>
  <c r="O126" i="229"/>
  <c r="A14" i="231"/>
  <c r="N111" i="229"/>
  <c r="A24" i="231"/>
  <c r="M121" i="229" s="1"/>
  <c r="A26" i="231"/>
  <c r="N113" i="229"/>
  <c r="A22" i="231"/>
  <c r="M119" i="229" s="1"/>
  <c r="N108" i="229"/>
  <c r="C3" i="251"/>
  <c r="N107" i="229"/>
  <c r="M35" i="169"/>
  <c r="A25" i="231"/>
  <c r="M25" i="183"/>
  <c r="M28" i="183"/>
  <c r="N14" i="237"/>
  <c r="A8" i="231"/>
  <c r="O107" i="229"/>
  <c r="A18" i="231"/>
  <c r="A12" i="231"/>
  <c r="L28" i="183"/>
  <c r="K28" i="183" s="1"/>
  <c r="A16" i="231"/>
  <c r="L24" i="183"/>
  <c r="N24" i="183" s="1"/>
  <c r="A20" i="231"/>
  <c r="M117" i="229" s="1"/>
  <c r="M30" i="183"/>
  <c r="AG10" i="135"/>
  <c r="AC11" i="135"/>
  <c r="W11" i="135"/>
  <c r="AA12" i="135"/>
  <c r="AE10" i="135"/>
  <c r="Y11" i="135"/>
  <c r="AK7" i="135"/>
  <c r="A15" i="231"/>
  <c r="A17" i="231"/>
  <c r="A21" i="231"/>
  <c r="M118" i="229" s="1"/>
  <c r="A30" i="231"/>
  <c r="O108" i="229"/>
  <c r="N106" i="229"/>
  <c r="O106" i="229"/>
  <c r="A9" i="231"/>
  <c r="L29" i="183"/>
  <c r="K29" i="183" s="1"/>
  <c r="M29" i="183"/>
  <c r="L30" i="183"/>
  <c r="N30" i="183" s="1"/>
  <c r="A32" i="231"/>
  <c r="Y36" i="169"/>
  <c r="Y35" i="169"/>
  <c r="AC35" i="169"/>
  <c r="N41" i="237"/>
  <c r="N45" i="237"/>
  <c r="O45" i="237" s="1"/>
  <c r="E46" i="183"/>
  <c r="E30" i="183"/>
  <c r="E30" i="237"/>
  <c r="E34" i="237"/>
  <c r="E45" i="237"/>
  <c r="E36" i="183"/>
  <c r="E35" i="183"/>
  <c r="E29" i="237"/>
  <c r="E40" i="183"/>
  <c r="E39" i="237"/>
  <c r="E22" i="237"/>
  <c r="E49" i="183"/>
  <c r="N19" i="183"/>
  <c r="O19" i="183" s="1"/>
  <c r="N14" i="183"/>
  <c r="O14" i="183" s="1"/>
  <c r="E20" i="237"/>
  <c r="G32" i="183"/>
  <c r="F32" i="183" s="1"/>
  <c r="E28" i="183"/>
  <c r="I43" i="183"/>
  <c r="J43" i="183" s="1"/>
  <c r="Q108" i="229"/>
  <c r="E50" i="183"/>
  <c r="E44" i="237"/>
  <c r="E18" i="237"/>
  <c r="I37" i="183"/>
  <c r="O16" i="183"/>
  <c r="O39" i="183"/>
  <c r="N13" i="183"/>
  <c r="O13" i="183" s="1"/>
  <c r="E51" i="183"/>
  <c r="Q106" i="229"/>
  <c r="A26" i="150"/>
  <c r="E14" i="183"/>
  <c r="E15" i="183"/>
  <c r="N23" i="183"/>
  <c r="O23" i="183" s="1"/>
  <c r="O42" i="183"/>
  <c r="A12" i="150"/>
  <c r="E40" i="237"/>
  <c r="E17" i="183"/>
  <c r="A8" i="150"/>
  <c r="E28" i="237"/>
  <c r="O37" i="183"/>
  <c r="O41" i="183"/>
  <c r="E37" i="237"/>
  <c r="E26" i="237"/>
  <c r="E23" i="237"/>
  <c r="E53" i="183"/>
  <c r="E16" i="237"/>
  <c r="E42" i="183"/>
  <c r="E34" i="183"/>
  <c r="E24" i="237"/>
  <c r="E37" i="183"/>
  <c r="E14" i="237"/>
  <c r="E38" i="183"/>
  <c r="E54" i="183"/>
  <c r="E24" i="183"/>
  <c r="I38" i="183"/>
  <c r="O15" i="183"/>
  <c r="N17" i="183"/>
  <c r="O17" i="183" s="1"/>
  <c r="N36" i="183"/>
  <c r="O36" i="183" s="1"/>
  <c r="J26" i="237"/>
  <c r="A20" i="150"/>
  <c r="E117" i="229" s="1"/>
  <c r="E52" i="183"/>
  <c r="E20" i="183"/>
  <c r="E15" i="237"/>
  <c r="E17" i="237"/>
  <c r="E33" i="183"/>
  <c r="E16" i="183"/>
  <c r="E53" i="237"/>
  <c r="C54" i="237"/>
  <c r="E39" i="183"/>
  <c r="E32" i="183"/>
  <c r="E47" i="183"/>
  <c r="E45" i="183"/>
  <c r="O44" i="237"/>
  <c r="F113" i="229"/>
  <c r="I45" i="183"/>
  <c r="I34" i="169"/>
  <c r="J40" i="183"/>
  <c r="F31" i="183"/>
  <c r="I31" i="183"/>
  <c r="J31" i="183" s="1"/>
  <c r="A24" i="150"/>
  <c r="Q105" i="229"/>
  <c r="N18" i="183"/>
  <c r="O18" i="183" s="1"/>
  <c r="I13" i="183"/>
  <c r="J13" i="183" s="1"/>
  <c r="I21" i="183"/>
  <c r="J21" i="183" s="1"/>
  <c r="I17" i="183"/>
  <c r="J17" i="183" s="1"/>
  <c r="O38" i="183"/>
  <c r="J21" i="237"/>
  <c r="F109" i="229"/>
  <c r="O43" i="183"/>
  <c r="A10" i="150"/>
  <c r="A19" i="150"/>
  <c r="E116" i="229" s="1"/>
  <c r="J24" i="237"/>
  <c r="S32" i="183"/>
  <c r="T32" i="183" s="1"/>
  <c r="F112" i="229"/>
  <c r="J25" i="237"/>
  <c r="U35" i="169"/>
  <c r="U36" i="169"/>
  <c r="A9" i="150"/>
  <c r="F115" i="229"/>
  <c r="O21" i="183"/>
  <c r="S37" i="183"/>
  <c r="S36" i="183"/>
  <c r="J18" i="237"/>
  <c r="A18" i="150"/>
  <c r="J30" i="237"/>
  <c r="I23" i="183"/>
  <c r="J23" i="183" s="1"/>
  <c r="F33" i="183"/>
  <c r="F32" i="237" s="1"/>
  <c r="G32" i="237"/>
  <c r="A23" i="150"/>
  <c r="E120" i="229" s="1"/>
  <c r="G30" i="183"/>
  <c r="F106" i="229"/>
  <c r="F110" i="229"/>
  <c r="A13" i="150"/>
  <c r="F108" i="229"/>
  <c r="A11" i="150"/>
  <c r="A21" i="150"/>
  <c r="E118" i="229" s="1"/>
  <c r="A22" i="150"/>
  <c r="E119" i="229" s="1"/>
  <c r="F114" i="229"/>
  <c r="A17" i="150"/>
  <c r="A14" i="150"/>
  <c r="F111" i="229"/>
  <c r="Q35" i="169"/>
  <c r="Q36" i="169"/>
  <c r="S34" i="183"/>
  <c r="S33" i="183"/>
  <c r="T33" i="183" s="1"/>
  <c r="S31" i="183"/>
  <c r="T31" i="183" s="1"/>
  <c r="O55" i="183" l="1"/>
  <c r="B62" i="183" s="1"/>
  <c r="G62" i="183" s="1"/>
  <c r="O34" i="237"/>
  <c r="Q113" i="229"/>
  <c r="O41" i="237"/>
  <c r="K39" i="237"/>
  <c r="K38" i="237"/>
  <c r="K46" i="237"/>
  <c r="Q117" i="229"/>
  <c r="K48" i="237"/>
  <c r="O42" i="237"/>
  <c r="Q121" i="229"/>
  <c r="K47" i="237"/>
  <c r="Q118" i="229"/>
  <c r="Q120" i="229"/>
  <c r="Q115" i="229"/>
  <c r="Q114" i="229"/>
  <c r="Z116" i="229"/>
  <c r="A12" i="189"/>
  <c r="Y116" i="229" s="1"/>
  <c r="A14" i="189"/>
  <c r="Y118" i="229" s="1"/>
  <c r="Z118" i="229"/>
  <c r="Z124" i="229"/>
  <c r="A20" i="189"/>
  <c r="Y124" i="229" s="1"/>
  <c r="Z121" i="229"/>
  <c r="A17" i="189"/>
  <c r="Y121" i="229" s="1"/>
  <c r="A10" i="189"/>
  <c r="Y114" i="229" s="1"/>
  <c r="Z114" i="229"/>
  <c r="Z123" i="229"/>
  <c r="A19" i="189"/>
  <c r="Y123" i="229" s="1"/>
  <c r="A18" i="189"/>
  <c r="Y122" i="229" s="1"/>
  <c r="Z122" i="229"/>
  <c r="Z125" i="229"/>
  <c r="A21" i="189"/>
  <c r="Y125" i="229" s="1"/>
  <c r="Z115" i="229"/>
  <c r="A11" i="189"/>
  <c r="Y115" i="229" s="1"/>
  <c r="Z120" i="229"/>
  <c r="A16" i="189"/>
  <c r="Y120" i="229" s="1"/>
  <c r="Z119" i="229"/>
  <c r="A15" i="189"/>
  <c r="Y119" i="229" s="1"/>
  <c r="Z126" i="229"/>
  <c r="A22" i="189"/>
  <c r="Y126" i="229" s="1"/>
  <c r="Z117" i="229"/>
  <c r="A13" i="189"/>
  <c r="Y117" i="229" s="1"/>
  <c r="N31" i="183"/>
  <c r="O31" i="183" s="1"/>
  <c r="N25" i="183"/>
  <c r="O25" i="183" s="1"/>
  <c r="M106" i="229"/>
  <c r="M125" i="229"/>
  <c r="M105" i="229"/>
  <c r="M107" i="229"/>
  <c r="E105" i="229"/>
  <c r="M109" i="229"/>
  <c r="M123" i="229"/>
  <c r="E107" i="229"/>
  <c r="E109" i="229"/>
  <c r="M113" i="229"/>
  <c r="M130" i="229"/>
  <c r="M124" i="229"/>
  <c r="M108" i="229"/>
  <c r="M126" i="229"/>
  <c r="M115" i="229"/>
  <c r="O24" i="183"/>
  <c r="M112" i="229"/>
  <c r="M127" i="229"/>
  <c r="M129" i="229"/>
  <c r="M110" i="229"/>
  <c r="M128" i="229"/>
  <c r="M114" i="229"/>
  <c r="M111" i="229"/>
  <c r="M122" i="229"/>
  <c r="N28" i="183"/>
  <c r="O28" i="183" s="1"/>
  <c r="O14" i="237"/>
  <c r="N29" i="183"/>
  <c r="O29" i="183" s="1"/>
  <c r="O30" i="183"/>
  <c r="T35" i="135" a="1"/>
  <c r="T35" i="135" s="1"/>
  <c r="T7" i="135" a="1"/>
  <c r="T7" i="135" s="1"/>
  <c r="T36" i="135" a="1"/>
  <c r="T36" i="135" s="1"/>
  <c r="T11" i="135" a="1"/>
  <c r="T11" i="135" s="1"/>
  <c r="S6" i="135" a="1"/>
  <c r="S6" i="135" s="1"/>
  <c r="S26" i="135" a="1"/>
  <c r="S26" i="135" s="1"/>
  <c r="S30" i="135" a="1"/>
  <c r="S30" i="135" s="1"/>
  <c r="S9" i="135" a="1"/>
  <c r="S9" i="135" s="1"/>
  <c r="S31" i="135" a="1"/>
  <c r="S31" i="135" s="1"/>
  <c r="T8" i="135" a="1"/>
  <c r="T8" i="135" s="1"/>
  <c r="S33" i="135" a="1"/>
  <c r="S33" i="135" s="1"/>
  <c r="S16" i="135" a="1"/>
  <c r="S16" i="135" s="1"/>
  <c r="S40" i="135" a="1"/>
  <c r="S40" i="135" s="1"/>
  <c r="T27" i="135" a="1"/>
  <c r="T27" i="135" s="1"/>
  <c r="T33" i="135" a="1"/>
  <c r="T33" i="135" s="1"/>
  <c r="S23" i="135" a="1"/>
  <c r="S23" i="135" s="1"/>
  <c r="T18" i="135" a="1"/>
  <c r="T18" i="135" s="1"/>
  <c r="S35" i="135" a="1"/>
  <c r="S35" i="135" s="1"/>
  <c r="S12" i="135" a="1"/>
  <c r="S12" i="135" s="1"/>
  <c r="S15" i="135" a="1"/>
  <c r="S15" i="135" s="1"/>
  <c r="S38" i="135" a="1"/>
  <c r="S38" i="135" s="1"/>
  <c r="T6" i="135" a="1"/>
  <c r="T6" i="135" s="1"/>
  <c r="S32" i="135" a="1"/>
  <c r="S32" i="135" s="1"/>
  <c r="T13" i="135" a="1"/>
  <c r="T13" i="135" s="1"/>
  <c r="T24" i="135" a="1"/>
  <c r="T24" i="135" s="1"/>
  <c r="S24" i="135" a="1"/>
  <c r="S24" i="135" s="1"/>
  <c r="T44" i="135" a="1"/>
  <c r="T44" i="135" s="1"/>
  <c r="T43" i="135" a="1"/>
  <c r="T43" i="135" s="1"/>
  <c r="S18" i="135" a="1"/>
  <c r="S18" i="135" s="1"/>
  <c r="T23" i="135" a="1"/>
  <c r="T23" i="135" s="1"/>
  <c r="S5" i="135" a="1"/>
  <c r="S5" i="135" s="1"/>
  <c r="AK4" i="135"/>
  <c r="S27" i="135" a="1"/>
  <c r="S27" i="135" s="1"/>
  <c r="T42" i="135" a="1"/>
  <c r="T42" i="135" s="1"/>
  <c r="T38" i="135" a="1"/>
  <c r="T38" i="135" s="1"/>
  <c r="S39" i="135" a="1"/>
  <c r="S39" i="135" s="1"/>
  <c r="T47" i="135" a="1"/>
  <c r="T47" i="135" s="1"/>
  <c r="T45" i="135" a="1"/>
  <c r="T45" i="135" s="1"/>
  <c r="T34" i="135" a="1"/>
  <c r="T34" i="135" s="1"/>
  <c r="T9" i="135" a="1"/>
  <c r="T9" i="135" s="1"/>
  <c r="T22" i="135" a="1"/>
  <c r="T22" i="135" s="1"/>
  <c r="T14" i="135" a="1"/>
  <c r="T14" i="135" s="1"/>
  <c r="T30" i="135" a="1"/>
  <c r="T30" i="135" s="1"/>
  <c r="S10" i="135" a="1"/>
  <c r="S10" i="135" s="1"/>
  <c r="T41" i="135" a="1"/>
  <c r="T41" i="135" s="1"/>
  <c r="S14" i="135" a="1"/>
  <c r="S14" i="135" s="1"/>
  <c r="S11" i="135" a="1"/>
  <c r="S11" i="135" s="1"/>
  <c r="S25" i="135" a="1"/>
  <c r="S25" i="135" s="1"/>
  <c r="T15" i="135" a="1"/>
  <c r="T15" i="135" s="1"/>
  <c r="T28" i="135" a="1"/>
  <c r="T28" i="135" s="1"/>
  <c r="S37" i="135" a="1"/>
  <c r="S37" i="135" s="1"/>
  <c r="S43" i="135" a="1"/>
  <c r="S43" i="135" s="1"/>
  <c r="T12" i="135" a="1"/>
  <c r="T12" i="135" s="1"/>
  <c r="S8" i="135" a="1"/>
  <c r="S8" i="135" s="1"/>
  <c r="S17" i="135" a="1"/>
  <c r="S17" i="135" s="1"/>
  <c r="T31" i="135" a="1"/>
  <c r="T31" i="135" s="1"/>
  <c r="T21" i="135" a="1"/>
  <c r="T21" i="135" s="1"/>
  <c r="T39" i="135" a="1"/>
  <c r="T39" i="135" s="1"/>
  <c r="T32" i="135" a="1"/>
  <c r="T32" i="135" s="1"/>
  <c r="T29" i="135" a="1"/>
  <c r="T29" i="135" s="1"/>
  <c r="S36" i="135" a="1"/>
  <c r="S36" i="135" s="1"/>
  <c r="S44" i="135" a="1"/>
  <c r="S44" i="135" s="1"/>
  <c r="S21" i="135" a="1"/>
  <c r="S21" i="135" s="1"/>
  <c r="S19" i="135" a="1"/>
  <c r="S19" i="135" s="1"/>
  <c r="T5" i="135" a="1"/>
  <c r="T5" i="135" s="1"/>
  <c r="T17" i="135" a="1"/>
  <c r="T17" i="135" s="1"/>
  <c r="S29" i="135" a="1"/>
  <c r="S29" i="135" s="1"/>
  <c r="S28" i="135" a="1"/>
  <c r="S28" i="135" s="1"/>
  <c r="S42" i="135" a="1"/>
  <c r="S42" i="135" s="1"/>
  <c r="S7" i="135" a="1"/>
  <c r="S7" i="135" s="1"/>
  <c r="T40" i="135" a="1"/>
  <c r="T40" i="135" s="1"/>
  <c r="S20" i="135" a="1"/>
  <c r="S20" i="135" s="1"/>
  <c r="T19" i="135" a="1"/>
  <c r="T19" i="135" s="1"/>
  <c r="T25" i="135" a="1"/>
  <c r="T25" i="135" s="1"/>
  <c r="T46" i="135" a="1"/>
  <c r="T46" i="135" s="1"/>
  <c r="T16" i="135" a="1"/>
  <c r="T16" i="135" s="1"/>
  <c r="S34" i="135" a="1"/>
  <c r="S34" i="135" s="1"/>
  <c r="T26" i="135" a="1"/>
  <c r="T26" i="135" s="1"/>
  <c r="T20" i="135" a="1"/>
  <c r="T20" i="135" s="1"/>
  <c r="T10" i="135" a="1"/>
  <c r="T10" i="135" s="1"/>
  <c r="S13" i="135" a="1"/>
  <c r="S13" i="135" s="1"/>
  <c r="T37" i="135" a="1"/>
  <c r="T37" i="135" s="1"/>
  <c r="S41" i="135" a="1"/>
  <c r="S41" i="135" s="1"/>
  <c r="S22" i="135" a="1"/>
  <c r="S22" i="135" s="1"/>
  <c r="H5" i="135" a="1"/>
  <c r="H5" i="135" s="1"/>
  <c r="G25" i="135" a="1"/>
  <c r="G25" i="135" s="1"/>
  <c r="H20" i="135" a="1"/>
  <c r="H20" i="135" s="1"/>
  <c r="G8" i="135" a="1"/>
  <c r="G8" i="135" s="1"/>
  <c r="G45" i="135" a="1"/>
  <c r="G45" i="135" s="1"/>
  <c r="H29" i="135" a="1"/>
  <c r="H29" i="135" s="1"/>
  <c r="G39" i="135" a="1"/>
  <c r="G39" i="135" s="1"/>
  <c r="H42" i="135" a="1"/>
  <c r="H42" i="135" s="1"/>
  <c r="G40" i="135" a="1"/>
  <c r="G40" i="135" s="1"/>
  <c r="H17" i="135" a="1"/>
  <c r="H17" i="135" s="1"/>
  <c r="G37" i="135" a="1"/>
  <c r="G37" i="135" s="1"/>
  <c r="G43" i="135" a="1"/>
  <c r="G43" i="135" s="1"/>
  <c r="H14" i="135" a="1"/>
  <c r="H14" i="135" s="1"/>
  <c r="G18" i="135" a="1"/>
  <c r="G18" i="135" s="1"/>
  <c r="G36" i="135" a="1"/>
  <c r="G36" i="135" s="1"/>
  <c r="H9" i="135" a="1"/>
  <c r="H9" i="135" s="1"/>
  <c r="G41" i="135" a="1"/>
  <c r="G41" i="135" s="1"/>
  <c r="G26" i="135" a="1"/>
  <c r="G26" i="135" s="1"/>
  <c r="G44" i="135" a="1"/>
  <c r="G44" i="135" s="1"/>
  <c r="H27" i="135" a="1"/>
  <c r="H27" i="135" s="1"/>
  <c r="G21" i="135" a="1"/>
  <c r="G21" i="135" s="1"/>
  <c r="H45" i="135" a="1"/>
  <c r="H45" i="135" s="1"/>
  <c r="H35" i="135" a="1"/>
  <c r="H35" i="135" s="1"/>
  <c r="G15" i="135" a="1"/>
  <c r="G15" i="135" s="1"/>
  <c r="G47" i="135" a="1"/>
  <c r="G47" i="135" s="1"/>
  <c r="G20" i="135" a="1"/>
  <c r="G20" i="135" s="1"/>
  <c r="H8" i="135" a="1"/>
  <c r="H8" i="135" s="1"/>
  <c r="H16" i="135" a="1"/>
  <c r="H16" i="135" s="1"/>
  <c r="G34" i="135" a="1"/>
  <c r="G34" i="135" s="1"/>
  <c r="H25" i="135" a="1"/>
  <c r="H25" i="135" s="1"/>
  <c r="G28" i="135" a="1"/>
  <c r="G28" i="135" s="1"/>
  <c r="H28" i="135" a="1"/>
  <c r="H28" i="135" s="1"/>
  <c r="H44" i="135" a="1"/>
  <c r="H44" i="135" s="1"/>
  <c r="H23" i="135" a="1"/>
  <c r="H23" i="135" s="1"/>
  <c r="H11" i="135" a="1"/>
  <c r="H11" i="135" s="1"/>
  <c r="G5" i="135" a="1"/>
  <c r="G5" i="135" s="1"/>
  <c r="H37" i="135" a="1"/>
  <c r="H37" i="135" s="1"/>
  <c r="H33" i="135" a="1"/>
  <c r="H33" i="135" s="1"/>
  <c r="G27" i="135" a="1"/>
  <c r="G27" i="135" s="1"/>
  <c r="H19" i="135" a="1"/>
  <c r="H19" i="135" s="1"/>
  <c r="G24" i="135" a="1"/>
  <c r="G24" i="135" s="1"/>
  <c r="H38" i="135" a="1"/>
  <c r="H38" i="135" s="1"/>
  <c r="H22" i="135" a="1"/>
  <c r="H22" i="135" s="1"/>
  <c r="H13" i="135" a="1"/>
  <c r="H13" i="135" s="1"/>
  <c r="G35" i="135" a="1"/>
  <c r="G35" i="135" s="1"/>
  <c r="G17" i="135" a="1"/>
  <c r="G17" i="135" s="1"/>
  <c r="G19" i="135" a="1"/>
  <c r="G19" i="135" s="1"/>
  <c r="H31" i="135" a="1"/>
  <c r="H31" i="135" s="1"/>
  <c r="H12" i="135" a="1"/>
  <c r="H12" i="135" s="1"/>
  <c r="G6" i="135" a="1"/>
  <c r="G6" i="135" s="1"/>
  <c r="G31" i="135" a="1"/>
  <c r="G31" i="135" s="1"/>
  <c r="Y4" i="135"/>
  <c r="G32" i="135" a="1"/>
  <c r="G32" i="135" s="1"/>
  <c r="H41" i="135" a="1"/>
  <c r="H41" i="135" s="1"/>
  <c r="H32" i="135" a="1"/>
  <c r="H32" i="135" s="1"/>
  <c r="H36" i="135" a="1"/>
  <c r="H36" i="135" s="1"/>
  <c r="H7" i="135" a="1"/>
  <c r="H7" i="135" s="1"/>
  <c r="G14" i="135" a="1"/>
  <c r="G14" i="135" s="1"/>
  <c r="G10" i="135" a="1"/>
  <c r="G10" i="135" s="1"/>
  <c r="H46" i="135" a="1"/>
  <c r="H46" i="135" s="1"/>
  <c r="H34" i="135" a="1"/>
  <c r="H34" i="135" s="1"/>
  <c r="H47" i="135" a="1"/>
  <c r="H47" i="135" s="1"/>
  <c r="H24" i="135" a="1"/>
  <c r="H24" i="135" s="1"/>
  <c r="G22" i="135" a="1"/>
  <c r="G22" i="135" s="1"/>
  <c r="H15" i="135" a="1"/>
  <c r="H15" i="135" s="1"/>
  <c r="H40" i="135" a="1"/>
  <c r="H40" i="135" s="1"/>
  <c r="G12" i="135" a="1"/>
  <c r="G12" i="135" s="1"/>
  <c r="G42" i="135" a="1"/>
  <c r="G42" i="135" s="1"/>
  <c r="G23" i="135" a="1"/>
  <c r="G23" i="135" s="1"/>
  <c r="G11" i="135" a="1"/>
  <c r="G11" i="135" s="1"/>
  <c r="G33" i="135" a="1"/>
  <c r="G33" i="135" s="1"/>
  <c r="G7" i="135" a="1"/>
  <c r="G7" i="135" s="1"/>
  <c r="H18" i="135" a="1"/>
  <c r="H18" i="135" s="1"/>
  <c r="H6" i="135" a="1"/>
  <c r="H6" i="135" s="1"/>
  <c r="G38" i="135" a="1"/>
  <c r="G38" i="135" s="1"/>
  <c r="H30" i="135" a="1"/>
  <c r="H30" i="135" s="1"/>
  <c r="G16" i="135" a="1"/>
  <c r="G16" i="135" s="1"/>
  <c r="G9" i="135" a="1"/>
  <c r="G9" i="135" s="1"/>
  <c r="H39" i="135" a="1"/>
  <c r="H39" i="135" s="1"/>
  <c r="G30" i="135" a="1"/>
  <c r="G30" i="135" s="1"/>
  <c r="H10" i="135" a="1"/>
  <c r="H10" i="135" s="1"/>
  <c r="H26" i="135" a="1"/>
  <c r="H26" i="135" s="1"/>
  <c r="H21" i="135" a="1"/>
  <c r="H21" i="135" s="1"/>
  <c r="G29" i="135" a="1"/>
  <c r="G29" i="135" s="1"/>
  <c r="G13" i="135" a="1"/>
  <c r="G13" i="135" s="1"/>
  <c r="G46" i="135" a="1"/>
  <c r="G46" i="135" s="1"/>
  <c r="H43" i="135" a="1"/>
  <c r="H43" i="135" s="1"/>
  <c r="M27" i="135" a="1"/>
  <c r="M27" i="135" s="1"/>
  <c r="M45" i="135" a="1"/>
  <c r="M45" i="135" s="1"/>
  <c r="N35" i="135" a="1"/>
  <c r="N35" i="135" s="1"/>
  <c r="M28" i="135" a="1"/>
  <c r="M28" i="135" s="1"/>
  <c r="N11" i="135" a="1"/>
  <c r="N11" i="135" s="1"/>
  <c r="M19" i="135" a="1"/>
  <c r="M19" i="135" s="1"/>
  <c r="N28" i="135" a="1"/>
  <c r="N28" i="135" s="1"/>
  <c r="M29" i="135" a="1"/>
  <c r="M29" i="135" s="1"/>
  <c r="M36" i="135" a="1"/>
  <c r="M36" i="135" s="1"/>
  <c r="N37" i="135" a="1"/>
  <c r="N37" i="135" s="1"/>
  <c r="M16" i="135" a="1"/>
  <c r="M16" i="135" s="1"/>
  <c r="N10" i="135" a="1"/>
  <c r="N10" i="135" s="1"/>
  <c r="M22" i="135" a="1"/>
  <c r="M22" i="135" s="1"/>
  <c r="N45" i="135" a="1"/>
  <c r="N45" i="135" s="1"/>
  <c r="M21" i="135" a="1"/>
  <c r="M21" i="135" s="1"/>
  <c r="N36" i="135" a="1"/>
  <c r="N36" i="135" s="1"/>
  <c r="N5" i="135" a="1"/>
  <c r="N5" i="135" s="1"/>
  <c r="M33" i="135" a="1"/>
  <c r="M33" i="135" s="1"/>
  <c r="M20" i="135" a="1"/>
  <c r="M20" i="135" s="1"/>
  <c r="M31" i="135" a="1"/>
  <c r="M31" i="135" s="1"/>
  <c r="M43" i="135" a="1"/>
  <c r="M43" i="135" s="1"/>
  <c r="N20" i="135" a="1"/>
  <c r="N20" i="135" s="1"/>
  <c r="M9" i="135" a="1"/>
  <c r="M9" i="135" s="1"/>
  <c r="M6" i="135" a="1"/>
  <c r="M6" i="135" s="1"/>
  <c r="M42" i="135" a="1"/>
  <c r="M42" i="135" s="1"/>
  <c r="N44" i="135" a="1"/>
  <c r="N44" i="135" s="1"/>
  <c r="M17" i="135" a="1"/>
  <c r="M17" i="135" s="1"/>
  <c r="N16" i="135" a="1"/>
  <c r="N16" i="135" s="1"/>
  <c r="M24" i="135" a="1"/>
  <c r="M24" i="135" s="1"/>
  <c r="N27" i="135" a="1"/>
  <c r="N27" i="135" s="1"/>
  <c r="N33" i="135" a="1"/>
  <c r="N33" i="135" s="1"/>
  <c r="N17" i="135" a="1"/>
  <c r="N17" i="135" s="1"/>
  <c r="M39" i="135" a="1"/>
  <c r="M39" i="135" s="1"/>
  <c r="N8" i="135" a="1"/>
  <c r="N8" i="135" s="1"/>
  <c r="M11" i="135" a="1"/>
  <c r="M11" i="135" s="1"/>
  <c r="M35" i="135" a="1"/>
  <c r="M35" i="135" s="1"/>
  <c r="M25" i="135" a="1"/>
  <c r="M25" i="135" s="1"/>
  <c r="N19" i="135" a="1"/>
  <c r="N19" i="135" s="1"/>
  <c r="N13" i="135" a="1"/>
  <c r="N13" i="135" s="1"/>
  <c r="N24" i="135" a="1"/>
  <c r="N24" i="135" s="1"/>
  <c r="M46" i="135" a="1"/>
  <c r="M46" i="135" s="1"/>
  <c r="M14" i="135" a="1"/>
  <c r="M14" i="135" s="1"/>
  <c r="N18" i="135" a="1"/>
  <c r="N18" i="135" s="1"/>
  <c r="N15" i="135" a="1"/>
  <c r="N15" i="135" s="1"/>
  <c r="M5" i="135" a="1"/>
  <c r="M5" i="135" s="1"/>
  <c r="M26" i="135" a="1"/>
  <c r="M26" i="135" s="1"/>
  <c r="N29" i="135" a="1"/>
  <c r="N29" i="135" s="1"/>
  <c r="N39" i="135" a="1"/>
  <c r="N39" i="135" s="1"/>
  <c r="N6" i="135" a="1"/>
  <c r="N6" i="135" s="1"/>
  <c r="M12" i="135" a="1"/>
  <c r="M12" i="135" s="1"/>
  <c r="N43" i="135" a="1"/>
  <c r="N43" i="135" s="1"/>
  <c r="M37" i="135" a="1"/>
  <c r="M37" i="135" s="1"/>
  <c r="M13" i="135" a="1"/>
  <c r="M13" i="135" s="1"/>
  <c r="N7" i="135" a="1"/>
  <c r="N7" i="135" s="1"/>
  <c r="M8" i="135" a="1"/>
  <c r="M8" i="135" s="1"/>
  <c r="N12" i="135" a="1"/>
  <c r="N12" i="135" s="1"/>
  <c r="M47" i="135" a="1"/>
  <c r="M47" i="135" s="1"/>
  <c r="N32" i="135" a="1"/>
  <c r="N32" i="135" s="1"/>
  <c r="M40" i="135" a="1"/>
  <c r="M40" i="135" s="1"/>
  <c r="AE4" i="135"/>
  <c r="N40" i="135" a="1"/>
  <c r="N40" i="135" s="1"/>
  <c r="N21" i="135" a="1"/>
  <c r="N21" i="135" s="1"/>
  <c r="N31" i="135" a="1"/>
  <c r="N31" i="135" s="1"/>
  <c r="N38" i="135" a="1"/>
  <c r="N38" i="135" s="1"/>
  <c r="M18" i="135" a="1"/>
  <c r="M18" i="135" s="1"/>
  <c r="N34" i="135" a="1"/>
  <c r="N34" i="135" s="1"/>
  <c r="N9" i="135" a="1"/>
  <c r="N9" i="135" s="1"/>
  <c r="N22" i="135" a="1"/>
  <c r="N22" i="135" s="1"/>
  <c r="M30" i="135" a="1"/>
  <c r="M30" i="135" s="1"/>
  <c r="M41" i="135" a="1"/>
  <c r="M41" i="135" s="1"/>
  <c r="M7" i="135" a="1"/>
  <c r="M7" i="135" s="1"/>
  <c r="N25" i="135" a="1"/>
  <c r="N25" i="135" s="1"/>
  <c r="M38" i="135" a="1"/>
  <c r="M38" i="135" s="1"/>
  <c r="M10" i="135" a="1"/>
  <c r="M10" i="135" s="1"/>
  <c r="N26" i="135" a="1"/>
  <c r="N26" i="135" s="1"/>
  <c r="M15" i="135" a="1"/>
  <c r="M15" i="135" s="1"/>
  <c r="N41" i="135" a="1"/>
  <c r="N41" i="135" s="1"/>
  <c r="M23" i="135" a="1"/>
  <c r="M23" i="135" s="1"/>
  <c r="M34" i="135" a="1"/>
  <c r="M34" i="135" s="1"/>
  <c r="N30" i="135" a="1"/>
  <c r="N30" i="135" s="1"/>
  <c r="N14" i="135" a="1"/>
  <c r="N14" i="135" s="1"/>
  <c r="N47" i="135" a="1"/>
  <c r="N47" i="135" s="1"/>
  <c r="M32" i="135" a="1"/>
  <c r="M32" i="135" s="1"/>
  <c r="N23" i="135" a="1"/>
  <c r="N23" i="135" s="1"/>
  <c r="N42" i="135" a="1"/>
  <c r="N42" i="135" s="1"/>
  <c r="M44" i="135" a="1"/>
  <c r="M44" i="135" s="1"/>
  <c r="N46" i="135" a="1"/>
  <c r="N46" i="135" s="1"/>
  <c r="I45" i="135" a="1"/>
  <c r="I45" i="135" s="1"/>
  <c r="J43" i="135" a="1"/>
  <c r="J43" i="135" s="1"/>
  <c r="J39" i="135" a="1"/>
  <c r="J39" i="135" s="1"/>
  <c r="I29" i="135" a="1"/>
  <c r="I29" i="135" s="1"/>
  <c r="J15" i="135" a="1"/>
  <c r="J15" i="135" s="1"/>
  <c r="J31" i="135" a="1"/>
  <c r="J31" i="135" s="1"/>
  <c r="I28" i="135" a="1"/>
  <c r="I28" i="135" s="1"/>
  <c r="I31" i="135" a="1"/>
  <c r="I31" i="135" s="1"/>
  <c r="J16" i="135" a="1"/>
  <c r="J16" i="135" s="1"/>
  <c r="I20" i="135" a="1"/>
  <c r="I20" i="135" s="1"/>
  <c r="I34" i="135" a="1"/>
  <c r="I34" i="135" s="1"/>
  <c r="J8" i="135" a="1"/>
  <c r="J8" i="135" s="1"/>
  <c r="J38" i="135" a="1"/>
  <c r="J38" i="135" s="1"/>
  <c r="J35" i="135" a="1"/>
  <c r="J35" i="135" s="1"/>
  <c r="J45" i="135" a="1"/>
  <c r="J45" i="135" s="1"/>
  <c r="J10" i="135" a="1"/>
  <c r="J10" i="135" s="1"/>
  <c r="J5" i="135" a="1"/>
  <c r="J5" i="135" s="1"/>
  <c r="J28" i="135" a="1"/>
  <c r="J28" i="135" s="1"/>
  <c r="I9" i="135" a="1"/>
  <c r="I9" i="135" s="1"/>
  <c r="I14" i="135" a="1"/>
  <c r="I14" i="135" s="1"/>
  <c r="I36" i="135" a="1"/>
  <c r="I36" i="135" s="1"/>
  <c r="I37" i="135" a="1"/>
  <c r="I37" i="135" s="1"/>
  <c r="I18" i="135" a="1"/>
  <c r="I18" i="135" s="1"/>
  <c r="I15" i="135" a="1"/>
  <c r="I15" i="135" s="1"/>
  <c r="J34" i="135" a="1"/>
  <c r="J34" i="135" s="1"/>
  <c r="J19" i="135" a="1"/>
  <c r="J19" i="135" s="1"/>
  <c r="J47" i="135" a="1"/>
  <c r="J47" i="135" s="1"/>
  <c r="J42" i="135" a="1"/>
  <c r="J42" i="135" s="1"/>
  <c r="J25" i="135" a="1"/>
  <c r="J25" i="135" s="1"/>
  <c r="J37" i="135" a="1"/>
  <c r="J37" i="135" s="1"/>
  <c r="I23" i="135" a="1"/>
  <c r="I23" i="135" s="1"/>
  <c r="I32" i="135" a="1"/>
  <c r="I32" i="135" s="1"/>
  <c r="AA4" i="135"/>
  <c r="I43" i="135" a="1"/>
  <c r="I43" i="135" s="1"/>
  <c r="I13" i="135" a="1"/>
  <c r="I13" i="135" s="1"/>
  <c r="I12" i="135" a="1"/>
  <c r="I12" i="135" s="1"/>
  <c r="J9" i="135" a="1"/>
  <c r="J9" i="135" s="1"/>
  <c r="I27" i="135" a="1"/>
  <c r="I27" i="135" s="1"/>
  <c r="I10" i="135" a="1"/>
  <c r="I10" i="135" s="1"/>
  <c r="J27" i="135" a="1"/>
  <c r="J27" i="135" s="1"/>
  <c r="J11" i="135" a="1"/>
  <c r="J11" i="135" s="1"/>
  <c r="I21" i="135" a="1"/>
  <c r="I21" i="135" s="1"/>
  <c r="I41" i="135" a="1"/>
  <c r="I41" i="135" s="1"/>
  <c r="I47" i="135" a="1"/>
  <c r="I47" i="135" s="1"/>
  <c r="I30" i="135" a="1"/>
  <c r="I30" i="135" s="1"/>
  <c r="J14" i="135" a="1"/>
  <c r="J14" i="135" s="1"/>
  <c r="I6" i="135" a="1"/>
  <c r="I6" i="135" s="1"/>
  <c r="J23" i="135" a="1"/>
  <c r="J23" i="135" s="1"/>
  <c r="J40" i="135" a="1"/>
  <c r="J40" i="135" s="1"/>
  <c r="J20" i="135" a="1"/>
  <c r="J20" i="135" s="1"/>
  <c r="J33" i="135" a="1"/>
  <c r="J33" i="135" s="1"/>
  <c r="I46" i="135" a="1"/>
  <c r="I46" i="135" s="1"/>
  <c r="J24" i="135" a="1"/>
  <c r="J24" i="135" s="1"/>
  <c r="J29" i="135" a="1"/>
  <c r="J29" i="135" s="1"/>
  <c r="I17" i="135" a="1"/>
  <c r="I17" i="135" s="1"/>
  <c r="I44" i="135" a="1"/>
  <c r="I44" i="135" s="1"/>
  <c r="J21" i="135" a="1"/>
  <c r="J21" i="135" s="1"/>
  <c r="I7" i="135" a="1"/>
  <c r="I7" i="135" s="1"/>
  <c r="J22" i="135" a="1"/>
  <c r="J22" i="135" s="1"/>
  <c r="I22" i="135" a="1"/>
  <c r="I22" i="135" s="1"/>
  <c r="I11" i="135" a="1"/>
  <c r="I11" i="135" s="1"/>
  <c r="I40" i="135" a="1"/>
  <c r="I40" i="135" s="1"/>
  <c r="I42" i="135" a="1"/>
  <c r="I42" i="135" s="1"/>
  <c r="J6" i="135" a="1"/>
  <c r="J6" i="135" s="1"/>
  <c r="I33" i="135" a="1"/>
  <c r="I33" i="135" s="1"/>
  <c r="J36" i="135" a="1"/>
  <c r="J36" i="135" s="1"/>
  <c r="I39" i="135" a="1"/>
  <c r="I39" i="135" s="1"/>
  <c r="I26" i="135" a="1"/>
  <c r="I26" i="135" s="1"/>
  <c r="I19" i="135" a="1"/>
  <c r="I19" i="135" s="1"/>
  <c r="J41" i="135" a="1"/>
  <c r="J41" i="135" s="1"/>
  <c r="I5" i="135" a="1"/>
  <c r="I5" i="135" s="1"/>
  <c r="J18" i="135" a="1"/>
  <c r="J18" i="135" s="1"/>
  <c r="I38" i="135" a="1"/>
  <c r="I38" i="135" s="1"/>
  <c r="J32" i="135" a="1"/>
  <c r="J32" i="135" s="1"/>
  <c r="J30" i="135" a="1"/>
  <c r="J30" i="135" s="1"/>
  <c r="I35" i="135" a="1"/>
  <c r="I35" i="135" s="1"/>
  <c r="J7" i="135" a="1"/>
  <c r="J7" i="135" s="1"/>
  <c r="I25" i="135" a="1"/>
  <c r="I25" i="135" s="1"/>
  <c r="I24" i="135" a="1"/>
  <c r="I24" i="135" s="1"/>
  <c r="J13" i="135" a="1"/>
  <c r="J13" i="135" s="1"/>
  <c r="J26" i="135" a="1"/>
  <c r="J26" i="135" s="1"/>
  <c r="I16" i="135" a="1"/>
  <c r="I16" i="135" s="1"/>
  <c r="J12" i="135" a="1"/>
  <c r="J12" i="135" s="1"/>
  <c r="J17" i="135" a="1"/>
  <c r="J17" i="135" s="1"/>
  <c r="J46" i="135" a="1"/>
  <c r="J46" i="135" s="1"/>
  <c r="J44" i="135" a="1"/>
  <c r="J44" i="135" s="1"/>
  <c r="F6" i="135" a="1"/>
  <c r="F6" i="135" s="1"/>
  <c r="F35" i="135" a="1"/>
  <c r="F35" i="135" s="1"/>
  <c r="E25" i="135" a="1"/>
  <c r="E25" i="135" s="1"/>
  <c r="E18" i="135" a="1"/>
  <c r="E18" i="135" s="1"/>
  <c r="F33" i="135" a="1"/>
  <c r="F33" i="135" s="1"/>
  <c r="E22" i="135" a="1"/>
  <c r="E22" i="135" s="1"/>
  <c r="F30" i="135" a="1"/>
  <c r="F30" i="135" s="1"/>
  <c r="E27" i="135" a="1"/>
  <c r="E27" i="135" s="1"/>
  <c r="E19" i="135" a="1"/>
  <c r="E19" i="135" s="1"/>
  <c r="E9" i="135" a="1"/>
  <c r="E9" i="135" s="1"/>
  <c r="E36" i="135" a="1"/>
  <c r="E36" i="135" s="1"/>
  <c r="E12" i="135" a="1"/>
  <c r="E12" i="135" s="1"/>
  <c r="F9" i="135" a="1"/>
  <c r="F9" i="135" s="1"/>
  <c r="F14" i="135" a="1"/>
  <c r="F14" i="135" s="1"/>
  <c r="E5" i="135" a="1"/>
  <c r="E5" i="135" s="1"/>
  <c r="F21" i="135" a="1"/>
  <c r="F21" i="135" s="1"/>
  <c r="E20" i="135" a="1"/>
  <c r="E20" i="135" s="1"/>
  <c r="F43" i="135" a="1"/>
  <c r="F43" i="135" s="1"/>
  <c r="E24" i="135" a="1"/>
  <c r="E24" i="135" s="1"/>
  <c r="E32" i="135" a="1"/>
  <c r="E32" i="135" s="1"/>
  <c r="E16" i="135" a="1"/>
  <c r="E16" i="135" s="1"/>
  <c r="E30" i="135" a="1"/>
  <c r="E30" i="135" s="1"/>
  <c r="F45" i="135" a="1"/>
  <c r="F45" i="135" s="1"/>
  <c r="F10" i="135" a="1"/>
  <c r="F10" i="135" s="1"/>
  <c r="F47" i="135" a="1"/>
  <c r="F47" i="135" s="1"/>
  <c r="F44" i="135" a="1"/>
  <c r="F44" i="135" s="1"/>
  <c r="E21" i="135" a="1"/>
  <c r="E21" i="135" s="1"/>
  <c r="F29" i="135" a="1"/>
  <c r="F29" i="135" s="1"/>
  <c r="F26" i="135" a="1"/>
  <c r="F26" i="135" s="1"/>
  <c r="E23" i="135" a="1"/>
  <c r="E23" i="135" s="1"/>
  <c r="F36" i="135" a="1"/>
  <c r="F36" i="135" s="1"/>
  <c r="E42" i="135" a="1"/>
  <c r="E42" i="135" s="1"/>
  <c r="F19" i="135" a="1"/>
  <c r="F19" i="135" s="1"/>
  <c r="E13" i="135" a="1"/>
  <c r="E13" i="135" s="1"/>
  <c r="F5" i="135" a="1"/>
  <c r="F5" i="135" s="1"/>
  <c r="F8" i="135" a="1"/>
  <c r="F8" i="135" s="1"/>
  <c r="F42" i="135" a="1"/>
  <c r="F42" i="135" s="1"/>
  <c r="F38" i="135" a="1"/>
  <c r="F38" i="135" s="1"/>
  <c r="F16" i="135" a="1"/>
  <c r="F16" i="135" s="1"/>
  <c r="F34" i="135" a="1"/>
  <c r="F34" i="135" s="1"/>
  <c r="F25" i="135" a="1"/>
  <c r="F25" i="135" s="1"/>
  <c r="F40" i="135" a="1"/>
  <c r="F40" i="135" s="1"/>
  <c r="E33" i="135" a="1"/>
  <c r="E33" i="135" s="1"/>
  <c r="F24" i="135" a="1"/>
  <c r="F24" i="135" s="1"/>
  <c r="F15" i="135" a="1"/>
  <c r="F15" i="135" s="1"/>
  <c r="E17" i="135" a="1"/>
  <c r="E17" i="135" s="1"/>
  <c r="E7" i="135" a="1"/>
  <c r="E7" i="135" s="1"/>
  <c r="E15" i="135" a="1"/>
  <c r="E15" i="135" s="1"/>
  <c r="F22" i="135" a="1"/>
  <c r="F22" i="135" s="1"/>
  <c r="E14" i="135" a="1"/>
  <c r="E14" i="135" s="1"/>
  <c r="E28" i="135" a="1"/>
  <c r="E28" i="135" s="1"/>
  <c r="E38" i="135" a="1"/>
  <c r="E38" i="135" s="1"/>
  <c r="E47" i="135" a="1"/>
  <c r="E47" i="135" s="1"/>
  <c r="E26" i="135" a="1"/>
  <c r="E26" i="135" s="1"/>
  <c r="E34" i="135" a="1"/>
  <c r="E34" i="135" s="1"/>
  <c r="F32" i="135" a="1"/>
  <c r="F32" i="135" s="1"/>
  <c r="F39" i="135" a="1"/>
  <c r="F39" i="135" s="1"/>
  <c r="E37" i="135" a="1"/>
  <c r="E37" i="135" s="1"/>
  <c r="E35" i="135" a="1"/>
  <c r="E35" i="135" s="1"/>
  <c r="E31" i="135" a="1"/>
  <c r="E31" i="135" s="1"/>
  <c r="F23" i="135" a="1"/>
  <c r="F23" i="135" s="1"/>
  <c r="E41" i="135" a="1"/>
  <c r="E41" i="135" s="1"/>
  <c r="F13" i="135" a="1"/>
  <c r="F13" i="135" s="1"/>
  <c r="E39" i="135" a="1"/>
  <c r="E39" i="135" s="1"/>
  <c r="E10" i="135" a="1"/>
  <c r="E10" i="135" s="1"/>
  <c r="E11" i="135" a="1"/>
  <c r="E11" i="135" s="1"/>
  <c r="E43" i="135" a="1"/>
  <c r="E43" i="135" s="1"/>
  <c r="F20" i="135" a="1"/>
  <c r="F20" i="135" s="1"/>
  <c r="F27" i="135" a="1"/>
  <c r="F27" i="135" s="1"/>
  <c r="F18" i="135" a="1"/>
  <c r="F18" i="135" s="1"/>
  <c r="F12" i="135" a="1"/>
  <c r="F12" i="135" s="1"/>
  <c r="E6" i="135" a="1"/>
  <c r="E6" i="135" s="1"/>
  <c r="W4" i="135"/>
  <c r="F17" i="135" a="1"/>
  <c r="F17" i="135" s="1"/>
  <c r="F31" i="135" a="1"/>
  <c r="F31" i="135" s="1"/>
  <c r="F41" i="135" a="1"/>
  <c r="F41" i="135" s="1"/>
  <c r="E40" i="135" a="1"/>
  <c r="E40" i="135" s="1"/>
  <c r="E44" i="135" a="1"/>
  <c r="E44" i="135" s="1"/>
  <c r="E29" i="135" a="1"/>
  <c r="E29" i="135" s="1"/>
  <c r="F46" i="135" a="1"/>
  <c r="F46" i="135" s="1"/>
  <c r="F7" i="135" a="1"/>
  <c r="F7" i="135" s="1"/>
  <c r="F37" i="135" a="1"/>
  <c r="F37" i="135" s="1"/>
  <c r="E46" i="135" a="1"/>
  <c r="E46" i="135" s="1"/>
  <c r="F11" i="135" a="1"/>
  <c r="F11" i="135" s="1"/>
  <c r="E45" i="135" a="1"/>
  <c r="E45" i="135" s="1"/>
  <c r="F28" i="135" a="1"/>
  <c r="F28" i="135" s="1"/>
  <c r="E8" i="135" a="1"/>
  <c r="E8" i="135" s="1"/>
  <c r="L7" i="135" a="1"/>
  <c r="L7" i="135" s="1"/>
  <c r="K28" i="135" a="1"/>
  <c r="K28" i="135" s="1"/>
  <c r="L15" i="135" a="1"/>
  <c r="L15" i="135" s="1"/>
  <c r="K13" i="135" a="1"/>
  <c r="K13" i="135" s="1"/>
  <c r="K30" i="135" a="1"/>
  <c r="K30" i="135" s="1"/>
  <c r="K15" i="135" a="1"/>
  <c r="K15" i="135" s="1"/>
  <c r="L40" i="135" a="1"/>
  <c r="L40" i="135" s="1"/>
  <c r="K45" i="135" a="1"/>
  <c r="K45" i="135" s="1"/>
  <c r="K7" i="135" a="1"/>
  <c r="K7" i="135" s="1"/>
  <c r="L14" i="135" a="1"/>
  <c r="L14" i="135" s="1"/>
  <c r="K21" i="135" a="1"/>
  <c r="K21" i="135" s="1"/>
  <c r="L35" i="135" a="1"/>
  <c r="L35" i="135" s="1"/>
  <c r="K24" i="135" a="1"/>
  <c r="K24" i="135" s="1"/>
  <c r="K5" i="135" a="1"/>
  <c r="K5" i="135" s="1"/>
  <c r="L47" i="135" a="1"/>
  <c r="L47" i="135" s="1"/>
  <c r="K33" i="135" a="1"/>
  <c r="K33" i="135" s="1"/>
  <c r="L25" i="135" a="1"/>
  <c r="L25" i="135" s="1"/>
  <c r="L19" i="135" a="1"/>
  <c r="L19" i="135" s="1"/>
  <c r="K35" i="135" a="1"/>
  <c r="K35" i="135" s="1"/>
  <c r="L42" i="135" a="1"/>
  <c r="L42" i="135" s="1"/>
  <c r="L5" i="135" a="1"/>
  <c r="L5" i="135" s="1"/>
  <c r="L23" i="135" a="1"/>
  <c r="L23" i="135" s="1"/>
  <c r="K20" i="135" a="1"/>
  <c r="K20" i="135" s="1"/>
  <c r="L6" i="135" a="1"/>
  <c r="L6" i="135" s="1"/>
  <c r="K38" i="135" a="1"/>
  <c r="K38" i="135" s="1"/>
  <c r="K39" i="135" a="1"/>
  <c r="K39" i="135" s="1"/>
  <c r="L28" i="135" a="1"/>
  <c r="L28" i="135" s="1"/>
  <c r="K27" i="135" a="1"/>
  <c r="K27" i="135" s="1"/>
  <c r="K31" i="135" a="1"/>
  <c r="K31" i="135" s="1"/>
  <c r="L20" i="135" a="1"/>
  <c r="L20" i="135" s="1"/>
  <c r="L26" i="135" a="1"/>
  <c r="L26" i="135" s="1"/>
  <c r="K19" i="135" a="1"/>
  <c r="K19" i="135" s="1"/>
  <c r="L13" i="135" a="1"/>
  <c r="L13" i="135" s="1"/>
  <c r="K47" i="135" a="1"/>
  <c r="K47" i="135" s="1"/>
  <c r="L44" i="135" a="1"/>
  <c r="L44" i="135" s="1"/>
  <c r="K43" i="135" a="1"/>
  <c r="K43" i="135" s="1"/>
  <c r="K12" i="135" a="1"/>
  <c r="K12" i="135" s="1"/>
  <c r="L16" i="135" a="1"/>
  <c r="L16" i="135" s="1"/>
  <c r="K32" i="135" a="1"/>
  <c r="K32" i="135" s="1"/>
  <c r="K18" i="135" a="1"/>
  <c r="K18" i="135" s="1"/>
  <c r="L45" i="135" a="1"/>
  <c r="L45" i="135" s="1"/>
  <c r="K17" i="135" a="1"/>
  <c r="K17" i="135" s="1"/>
  <c r="L38" i="135" a="1"/>
  <c r="L38" i="135" s="1"/>
  <c r="K16" i="135" a="1"/>
  <c r="K16" i="135" s="1"/>
  <c r="K44" i="135" a="1"/>
  <c r="K44" i="135" s="1"/>
  <c r="K23" i="135" a="1"/>
  <c r="K23" i="135" s="1"/>
  <c r="L30" i="135" a="1"/>
  <c r="L30" i="135" s="1"/>
  <c r="K25" i="135" a="1"/>
  <c r="K25" i="135" s="1"/>
  <c r="L29" i="135" a="1"/>
  <c r="L29" i="135" s="1"/>
  <c r="K29" i="135" a="1"/>
  <c r="K29" i="135" s="1"/>
  <c r="K34" i="135" a="1"/>
  <c r="K34" i="135" s="1"/>
  <c r="K37" i="135" a="1"/>
  <c r="K37" i="135" s="1"/>
  <c r="K8" i="135" a="1"/>
  <c r="K8" i="135" s="1"/>
  <c r="B8" i="135" s="1"/>
  <c r="L34" i="135" a="1"/>
  <c r="L34" i="135" s="1"/>
  <c r="L22" i="135" a="1"/>
  <c r="L22" i="135" s="1"/>
  <c r="K42" i="135" a="1"/>
  <c r="K42" i="135" s="1"/>
  <c r="K9" i="135" a="1"/>
  <c r="K9" i="135" s="1"/>
  <c r="L9" i="135" a="1"/>
  <c r="L9" i="135" s="1"/>
  <c r="L24" i="135" a="1"/>
  <c r="L24" i="135" s="1"/>
  <c r="K36" i="135" a="1"/>
  <c r="K36" i="135" s="1"/>
  <c r="L12" i="135" a="1"/>
  <c r="L12" i="135" s="1"/>
  <c r="L39" i="135" a="1"/>
  <c r="L39" i="135" s="1"/>
  <c r="L11" i="135" a="1"/>
  <c r="L11" i="135" s="1"/>
  <c r="L41" i="135" a="1"/>
  <c r="L41" i="135" s="1"/>
  <c r="K40" i="135" a="1"/>
  <c r="K40" i="135" s="1"/>
  <c r="K10" i="135" a="1"/>
  <c r="K10" i="135" s="1"/>
  <c r="K41" i="135" a="1"/>
  <c r="K41" i="135" s="1"/>
  <c r="L8" i="135" a="1"/>
  <c r="L8" i="135" s="1"/>
  <c r="K46" i="135" a="1"/>
  <c r="K46" i="135" s="1"/>
  <c r="L46" i="135" a="1"/>
  <c r="L46" i="135" s="1"/>
  <c r="L17" i="135" a="1"/>
  <c r="L17" i="135" s="1"/>
  <c r="L18" i="135" a="1"/>
  <c r="L18" i="135" s="1"/>
  <c r="L31" i="135" a="1"/>
  <c r="L31" i="135" s="1"/>
  <c r="L32" i="135" a="1"/>
  <c r="L32" i="135" s="1"/>
  <c r="L27" i="135" a="1"/>
  <c r="L27" i="135" s="1"/>
  <c r="L37" i="135" a="1"/>
  <c r="L37" i="135" s="1"/>
  <c r="K26" i="135" a="1"/>
  <c r="K26" i="135" s="1"/>
  <c r="L33" i="135" a="1"/>
  <c r="L33" i="135" s="1"/>
  <c r="L21" i="135" a="1"/>
  <c r="L21" i="135" s="1"/>
  <c r="AC4" i="135"/>
  <c r="K22" i="135" a="1"/>
  <c r="K22" i="135" s="1"/>
  <c r="K6" i="135" a="1"/>
  <c r="K6" i="135" s="1"/>
  <c r="L10" i="135" a="1"/>
  <c r="L10" i="135" s="1"/>
  <c r="L36" i="135" a="1"/>
  <c r="L36" i="135" s="1"/>
  <c r="K11" i="135" a="1"/>
  <c r="K11" i="135" s="1"/>
  <c r="L43" i="135" a="1"/>
  <c r="L43" i="135" s="1"/>
  <c r="K14" i="135" a="1"/>
  <c r="K14" i="135" s="1"/>
  <c r="P13" i="135" a="1"/>
  <c r="P13" i="135" s="1"/>
  <c r="O29" i="135" a="1"/>
  <c r="O29" i="135" s="1"/>
  <c r="O34" i="135" a="1"/>
  <c r="O34" i="135" s="1"/>
  <c r="O46" i="135" a="1"/>
  <c r="O46" i="135" s="1"/>
  <c r="O37" i="135" a="1"/>
  <c r="O37" i="135" s="1"/>
  <c r="P20" i="135" a="1"/>
  <c r="P20" i="135" s="1"/>
  <c r="P45" i="135" a="1"/>
  <c r="P45" i="135" s="1"/>
  <c r="P9" i="135" a="1"/>
  <c r="P9" i="135" s="1"/>
  <c r="P39" i="135" a="1"/>
  <c r="P39" i="135" s="1"/>
  <c r="S47" i="135" a="1"/>
  <c r="S47" i="135" s="1"/>
  <c r="P25" i="135" a="1"/>
  <c r="P25" i="135" s="1"/>
  <c r="P15" i="135" a="1"/>
  <c r="P15" i="135" s="1"/>
  <c r="O35" i="135" a="1"/>
  <c r="O35" i="135" s="1"/>
  <c r="O9" i="135" a="1"/>
  <c r="O9" i="135" s="1"/>
  <c r="O33" i="135" a="1"/>
  <c r="O33" i="135" s="1"/>
  <c r="P19" i="135" a="1"/>
  <c r="P19" i="135" s="1"/>
  <c r="O26" i="135" a="1"/>
  <c r="O26" i="135" s="1"/>
  <c r="P7" i="135" a="1"/>
  <c r="P7" i="135" s="1"/>
  <c r="P17" i="135" a="1"/>
  <c r="P17" i="135" s="1"/>
  <c r="P35" i="135" a="1"/>
  <c r="P35" i="135" s="1"/>
  <c r="P21" i="135" a="1"/>
  <c r="P21" i="135" s="1"/>
  <c r="O14" i="135" a="1"/>
  <c r="O14" i="135" s="1"/>
  <c r="O36" i="135" a="1"/>
  <c r="O36" i="135" s="1"/>
  <c r="O15" i="135" a="1"/>
  <c r="O15" i="135" s="1"/>
  <c r="P29" i="135" a="1"/>
  <c r="P29" i="135" s="1"/>
  <c r="S45" i="135" a="1"/>
  <c r="S45" i="135" s="1"/>
  <c r="O38" i="135" a="1"/>
  <c r="O38" i="135" s="1"/>
  <c r="O23" i="135" a="1"/>
  <c r="O23" i="135" s="1"/>
  <c r="O47" i="135" a="1"/>
  <c r="O47" i="135" s="1"/>
  <c r="O18" i="135" a="1"/>
  <c r="O18" i="135" s="1"/>
  <c r="P6" i="135" a="1"/>
  <c r="P6" i="135" s="1"/>
  <c r="O31" i="135" a="1"/>
  <c r="O31" i="135" s="1"/>
  <c r="O28" i="135" a="1"/>
  <c r="O28" i="135" s="1"/>
  <c r="P8" i="135" a="1"/>
  <c r="P8" i="135" s="1"/>
  <c r="O24" i="135" a="1"/>
  <c r="O24" i="135" s="1"/>
  <c r="P16" i="135" a="1"/>
  <c r="P16" i="135" s="1"/>
  <c r="P43" i="135" a="1"/>
  <c r="P43" i="135" s="1"/>
  <c r="O25" i="135" a="1"/>
  <c r="O25" i="135" s="1"/>
  <c r="P34" i="135" a="1"/>
  <c r="P34" i="135" s="1"/>
  <c r="P18" i="135" a="1"/>
  <c r="P18" i="135" s="1"/>
  <c r="O10" i="135" a="1"/>
  <c r="O10" i="135" s="1"/>
  <c r="P22" i="135" a="1"/>
  <c r="P22" i="135" s="1"/>
  <c r="P36" i="135" a="1"/>
  <c r="P36" i="135" s="1"/>
  <c r="O13" i="135" a="1"/>
  <c r="O13" i="135" s="1"/>
  <c r="P41" i="135" a="1"/>
  <c r="P41" i="135" s="1"/>
  <c r="O6" i="135" a="1"/>
  <c r="O6" i="135" s="1"/>
  <c r="O39" i="135" a="1"/>
  <c r="O39" i="135" s="1"/>
  <c r="O22" i="135" a="1"/>
  <c r="O22" i="135" s="1"/>
  <c r="P31" i="135" a="1"/>
  <c r="P31" i="135" s="1"/>
  <c r="P37" i="135" a="1"/>
  <c r="P37" i="135" s="1"/>
  <c r="O42" i="135" a="1"/>
  <c r="O42" i="135" s="1"/>
  <c r="P11" i="135" a="1"/>
  <c r="P11" i="135" s="1"/>
  <c r="P24" i="135" a="1"/>
  <c r="P24" i="135" s="1"/>
  <c r="O44" i="135" a="1"/>
  <c r="O44" i="135" s="1"/>
  <c r="P27" i="135" a="1"/>
  <c r="P27" i="135" s="1"/>
  <c r="O45" i="135" a="1"/>
  <c r="O45" i="135" s="1"/>
  <c r="O41" i="135" a="1"/>
  <c r="O41" i="135" s="1"/>
  <c r="O27" i="135" a="1"/>
  <c r="O27" i="135" s="1"/>
  <c r="O43" i="135" a="1"/>
  <c r="O43" i="135" s="1"/>
  <c r="AG4" i="135"/>
  <c r="P28" i="135" a="1"/>
  <c r="P28" i="135" s="1"/>
  <c r="O40" i="135" a="1"/>
  <c r="O40" i="135" s="1"/>
  <c r="P26" i="135" a="1"/>
  <c r="P26" i="135" s="1"/>
  <c r="P44" i="135" a="1"/>
  <c r="P44" i="135" s="1"/>
  <c r="P47" i="135" a="1"/>
  <c r="P47" i="135" s="1"/>
  <c r="O32" i="135" a="1"/>
  <c r="O32" i="135" s="1"/>
  <c r="O19" i="135" a="1"/>
  <c r="O19" i="135" s="1"/>
  <c r="O21" i="135" a="1"/>
  <c r="O21" i="135" s="1"/>
  <c r="S46" i="135" a="1"/>
  <c r="S46" i="135" s="1"/>
  <c r="P14" i="135" a="1"/>
  <c r="P14" i="135" s="1"/>
  <c r="O5" i="135" a="1"/>
  <c r="O5" i="135" s="1"/>
  <c r="P30" i="135" a="1"/>
  <c r="P30" i="135" s="1"/>
  <c r="P5" i="135" a="1"/>
  <c r="P5" i="135" s="1"/>
  <c r="O11" i="135" a="1"/>
  <c r="O11" i="135" s="1"/>
  <c r="P40" i="135" a="1"/>
  <c r="P40" i="135" s="1"/>
  <c r="O7" i="135" a="1"/>
  <c r="O7" i="135" s="1"/>
  <c r="O8" i="135" a="1"/>
  <c r="O8" i="135" s="1"/>
  <c r="P12" i="135" a="1"/>
  <c r="P12" i="135" s="1"/>
  <c r="O30" i="135" a="1"/>
  <c r="O30" i="135" s="1"/>
  <c r="O17" i="135" a="1"/>
  <c r="O17" i="135" s="1"/>
  <c r="P46" i="135" a="1"/>
  <c r="P46" i="135" s="1"/>
  <c r="P10" i="135" a="1"/>
  <c r="P10" i="135" s="1"/>
  <c r="P32" i="135" a="1"/>
  <c r="P32" i="135" s="1"/>
  <c r="O20" i="135" a="1"/>
  <c r="O20" i="135" s="1"/>
  <c r="P42" i="135" a="1"/>
  <c r="P42" i="135" s="1"/>
  <c r="O12" i="135" a="1"/>
  <c r="O12" i="135" s="1"/>
  <c r="P23" i="135" a="1"/>
  <c r="P23" i="135" s="1"/>
  <c r="O16" i="135" a="1"/>
  <c r="O16" i="135" s="1"/>
  <c r="P38" i="135" a="1"/>
  <c r="P38" i="135" s="1"/>
  <c r="P33" i="135" a="1"/>
  <c r="P33" i="135" s="1"/>
  <c r="K30" i="183"/>
  <c r="I32" i="237"/>
  <c r="J32" i="237" s="1"/>
  <c r="J31" i="237"/>
  <c r="I41" i="183"/>
  <c r="J41" i="183" s="1"/>
  <c r="I32" i="183"/>
  <c r="J32" i="183" s="1"/>
  <c r="J37" i="183"/>
  <c r="J38" i="183"/>
  <c r="I46" i="183"/>
  <c r="J46" i="183" s="1"/>
  <c r="I35" i="169"/>
  <c r="I25" i="183"/>
  <c r="J25" i="183" s="1"/>
  <c r="S30" i="183"/>
  <c r="T30" i="183" s="1"/>
  <c r="I20" i="183"/>
  <c r="J20" i="183" s="1"/>
  <c r="J45" i="183"/>
  <c r="I44" i="183"/>
  <c r="J44" i="183" s="1"/>
  <c r="S35" i="183"/>
  <c r="T35" i="183" s="1"/>
  <c r="T37" i="183"/>
  <c r="I36" i="169"/>
  <c r="J22" i="237"/>
  <c r="J14" i="237"/>
  <c r="S28" i="183"/>
  <c r="T28" i="183" s="1"/>
  <c r="S29" i="183"/>
  <c r="T29" i="183" s="1"/>
  <c r="J16" i="237"/>
  <c r="I24" i="183"/>
  <c r="J24" i="183" s="1"/>
  <c r="I15" i="183"/>
  <c r="J15" i="183" s="1"/>
  <c r="E111" i="229"/>
  <c r="E114" i="229"/>
  <c r="E108" i="229"/>
  <c r="E106" i="229"/>
  <c r="E115" i="229"/>
  <c r="E110" i="229"/>
  <c r="T34" i="183"/>
  <c r="T36" i="183"/>
  <c r="I30" i="183"/>
  <c r="J30" i="183" s="1"/>
  <c r="J29" i="237"/>
  <c r="F30" i="183"/>
  <c r="I14" i="183"/>
  <c r="J14" i="183" s="1"/>
  <c r="J15" i="237"/>
  <c r="J27" i="237"/>
  <c r="I28" i="183"/>
  <c r="J28" i="183" s="1"/>
  <c r="J17" i="237"/>
  <c r="I16" i="183"/>
  <c r="J16" i="183" s="1"/>
  <c r="J28" i="237"/>
  <c r="I29" i="183"/>
  <c r="J29" i="183" s="1"/>
  <c r="J19" i="237"/>
  <c r="I18" i="183"/>
  <c r="J18" i="183" s="1"/>
  <c r="I22" i="183"/>
  <c r="J22" i="183" s="1"/>
  <c r="J23" i="237"/>
  <c r="J20" i="237"/>
  <c r="I19" i="183"/>
  <c r="J19" i="183" s="1"/>
  <c r="J34" i="183" l="1"/>
  <c r="B59" i="183" s="1"/>
  <c r="G59" i="183" s="1"/>
  <c r="O32" i="183"/>
  <c r="B61" i="183" s="1"/>
  <c r="G61" i="183" s="1"/>
  <c r="O54" i="237"/>
  <c r="B60" i="237" s="1"/>
  <c r="F60" i="237" s="1"/>
  <c r="C13" i="135"/>
  <c r="C18" i="135"/>
  <c r="C6" i="135"/>
  <c r="K106" i="229" s="1"/>
  <c r="B32" i="135"/>
  <c r="A32" i="135" s="1"/>
  <c r="C30" i="135"/>
  <c r="C22" i="135"/>
  <c r="B13" i="135"/>
  <c r="C12" i="135"/>
  <c r="C33" i="135"/>
  <c r="B9" i="135"/>
  <c r="B34" i="135"/>
  <c r="J108" i="229"/>
  <c r="A8" i="135"/>
  <c r="B16" i="135"/>
  <c r="A16" i="135" s="1"/>
  <c r="C32" i="135"/>
  <c r="B7" i="135"/>
  <c r="C20" i="135"/>
  <c r="B21" i="135"/>
  <c r="C19" i="135"/>
  <c r="C28" i="135"/>
  <c r="B20" i="135"/>
  <c r="C26" i="135"/>
  <c r="B33" i="135"/>
  <c r="C21" i="135"/>
  <c r="C11" i="135"/>
  <c r="C34" i="135"/>
  <c r="C16" i="135"/>
  <c r="H48" i="183" s="1"/>
  <c r="C23" i="135"/>
  <c r="C27" i="135"/>
  <c r="B15" i="135"/>
  <c r="C10" i="135"/>
  <c r="B31" i="135"/>
  <c r="B24" i="135"/>
  <c r="B5" i="135"/>
  <c r="B17" i="135"/>
  <c r="B6" i="135"/>
  <c r="B10" i="135"/>
  <c r="B23" i="135"/>
  <c r="B18" i="135"/>
  <c r="B28" i="135"/>
  <c r="B25" i="135"/>
  <c r="C29" i="135"/>
  <c r="C14" i="135"/>
  <c r="B27" i="135"/>
  <c r="C31" i="135"/>
  <c r="C7" i="135"/>
  <c r="B19" i="135"/>
  <c r="B11" i="135"/>
  <c r="A11" i="135" s="1"/>
  <c r="C24" i="135"/>
  <c r="B30" i="135"/>
  <c r="C9" i="135"/>
  <c r="C25" i="135"/>
  <c r="C15" i="135"/>
  <c r="C17" i="135"/>
  <c r="B26" i="135"/>
  <c r="B22" i="135"/>
  <c r="G54" i="183" s="1"/>
  <c r="B12" i="135"/>
  <c r="B14" i="135"/>
  <c r="C8" i="135"/>
  <c r="B29" i="135"/>
  <c r="O31" i="237"/>
  <c r="B59" i="237" s="1"/>
  <c r="F59" i="237" s="1"/>
  <c r="P4" i="135"/>
  <c r="H4" i="135"/>
  <c r="L4" i="135"/>
  <c r="I39" i="183"/>
  <c r="J39" i="183" s="1"/>
  <c r="N4" i="135"/>
  <c r="F4" i="135"/>
  <c r="C5" i="135"/>
  <c r="J4" i="135"/>
  <c r="I42" i="183"/>
  <c r="J42" i="183" s="1"/>
  <c r="T4" i="135"/>
  <c r="E15" i="169" a="1"/>
  <c r="E15" i="169" s="1"/>
  <c r="C15" i="169" s="1"/>
  <c r="E16" i="169" a="1"/>
  <c r="E16" i="169" s="1"/>
  <c r="C16" i="169" s="1"/>
  <c r="D25" i="169" a="1"/>
  <c r="D25" i="169" s="1"/>
  <c r="B25" i="169" s="1"/>
  <c r="D19" i="169" a="1"/>
  <c r="D19" i="169" s="1"/>
  <c r="B19" i="169" s="1"/>
  <c r="D23" i="169" a="1"/>
  <c r="D23" i="169" s="1"/>
  <c r="B23" i="169" s="1"/>
  <c r="E17" i="169" a="1"/>
  <c r="E17" i="169" s="1"/>
  <c r="C17" i="169" s="1"/>
  <c r="E11" i="169" a="1"/>
  <c r="E11" i="169" s="1"/>
  <c r="C11" i="169" s="1"/>
  <c r="D28" i="169" a="1"/>
  <c r="D28" i="169" s="1"/>
  <c r="E22" i="169" a="1"/>
  <c r="E22" i="169" s="1"/>
  <c r="E13" i="169" a="1"/>
  <c r="E13" i="169" s="1"/>
  <c r="C13" i="169" s="1"/>
  <c r="D12" i="169" a="1"/>
  <c r="D12" i="169" s="1"/>
  <c r="B12" i="169" s="1"/>
  <c r="E19" i="169" a="1"/>
  <c r="E19" i="169" s="1"/>
  <c r="E26" i="169" a="1"/>
  <c r="E26" i="169" s="1"/>
  <c r="E14" i="169" a="1"/>
  <c r="E14" i="169" s="1"/>
  <c r="C14" i="169" s="1"/>
  <c r="D16" i="169" a="1"/>
  <c r="D16" i="169" s="1"/>
  <c r="B16" i="169" s="1"/>
  <c r="E30" i="169" a="1"/>
  <c r="E30" i="169" s="1"/>
  <c r="C30" i="169" s="1"/>
  <c r="E12" i="169" a="1"/>
  <c r="E12" i="169" s="1"/>
  <c r="C12" i="169" s="1"/>
  <c r="D33" i="169" a="1"/>
  <c r="D33" i="169" s="1"/>
  <c r="E18" i="169" a="1"/>
  <c r="E18" i="169" s="1"/>
  <c r="E9" i="169" a="1"/>
  <c r="E9" i="169" s="1"/>
  <c r="C9" i="169" s="1"/>
  <c r="D21" i="169" a="1"/>
  <c r="D21" i="169" s="1"/>
  <c r="B21" i="169" s="1"/>
  <c r="D29" i="169" a="1"/>
  <c r="D29" i="169" s="1"/>
  <c r="E20" i="169" a="1"/>
  <c r="E20" i="169" s="1"/>
  <c r="D24" i="169" a="1"/>
  <c r="D24" i="169" s="1"/>
  <c r="B24" i="169" s="1"/>
  <c r="E8" i="169" a="1"/>
  <c r="E8" i="169" s="1"/>
  <c r="C8" i="169" s="1"/>
  <c r="E23" i="169" a="1"/>
  <c r="E23" i="169" s="1"/>
  <c r="E31" i="169" a="1"/>
  <c r="E31" i="169" s="1"/>
  <c r="C31" i="169" s="1"/>
  <c r="D14" i="169" a="1"/>
  <c r="D14" i="169" s="1"/>
  <c r="B14" i="169" s="1"/>
  <c r="D27" i="169" a="1"/>
  <c r="D27" i="169" s="1"/>
  <c r="B27" i="169" s="1"/>
  <c r="E27" i="169" a="1"/>
  <c r="E27" i="169" s="1"/>
  <c r="D30" i="169" a="1"/>
  <c r="D30" i="169" s="1"/>
  <c r="D20" i="169" a="1"/>
  <c r="D20" i="169" s="1"/>
  <c r="B20" i="169" s="1"/>
  <c r="S21" i="183"/>
  <c r="T21" i="183" s="1"/>
  <c r="D8" i="169" a="1"/>
  <c r="D8" i="169" s="1"/>
  <c r="B8" i="169" s="1"/>
  <c r="E29" i="169" a="1"/>
  <c r="E29" i="169" s="1"/>
  <c r="C29" i="169" s="1"/>
  <c r="E25" i="169" a="1"/>
  <c r="E25" i="169" s="1"/>
  <c r="C25" i="169" s="1"/>
  <c r="E10" i="169" a="1"/>
  <c r="E10" i="169" s="1"/>
  <c r="C10" i="169" s="1"/>
  <c r="E24" i="169" a="1"/>
  <c r="E24" i="169" s="1"/>
  <c r="E32" i="169" a="1"/>
  <c r="E32" i="169" s="1"/>
  <c r="C32" i="169" s="1"/>
  <c r="D9" i="169" a="1"/>
  <c r="D9" i="169" s="1"/>
  <c r="B9" i="169" s="1"/>
  <c r="D26" i="169" a="1"/>
  <c r="D26" i="169" s="1"/>
  <c r="B26" i="169" s="1"/>
  <c r="D17" i="169" a="1"/>
  <c r="D17" i="169" s="1"/>
  <c r="B17" i="169" s="1"/>
  <c r="E21" i="169" a="1"/>
  <c r="E21" i="169" s="1"/>
  <c r="E28" i="169" a="1"/>
  <c r="E28" i="169" s="1"/>
  <c r="C28" i="169" s="1"/>
  <c r="D10" i="169" a="1"/>
  <c r="D10" i="169" s="1"/>
  <c r="B10" i="169" s="1"/>
  <c r="D32" i="169" a="1"/>
  <c r="D32" i="169" s="1"/>
  <c r="D15" i="169" a="1"/>
  <c r="D15" i="169" s="1"/>
  <c r="B15" i="169" s="1"/>
  <c r="D22" i="169" a="1"/>
  <c r="D22" i="169" s="1"/>
  <c r="B22" i="169" s="1"/>
  <c r="D13" i="169" a="1"/>
  <c r="D13" i="169" s="1"/>
  <c r="B13" i="169" s="1"/>
  <c r="D31" i="169" a="1"/>
  <c r="D31" i="169" s="1"/>
  <c r="D11" i="169" a="1"/>
  <c r="D11" i="169" s="1"/>
  <c r="B11" i="169" s="1"/>
  <c r="E33" i="169" a="1"/>
  <c r="E33" i="169" s="1"/>
  <c r="D18" i="169" a="1"/>
  <c r="D18" i="169" s="1"/>
  <c r="B18" i="169" s="1"/>
  <c r="S22" i="183"/>
  <c r="T22" i="183" s="1"/>
  <c r="S16" i="183"/>
  <c r="S15" i="183"/>
  <c r="J33" i="237"/>
  <c r="B57" i="237" s="1"/>
  <c r="F57" i="237" s="1"/>
  <c r="S17" i="183"/>
  <c r="S13" i="183"/>
  <c r="S20" i="183"/>
  <c r="D36" i="130" l="1"/>
  <c r="D37" i="130" s="1"/>
  <c r="K139" i="254"/>
  <c r="J132" i="229"/>
  <c r="A12" i="135"/>
  <c r="I112" i="229" s="1"/>
  <c r="H51" i="183"/>
  <c r="G53" i="183"/>
  <c r="I53" i="183" s="1"/>
  <c r="K115" i="229"/>
  <c r="K131" i="229"/>
  <c r="A10" i="135"/>
  <c r="I110" i="229" s="1"/>
  <c r="K132" i="229"/>
  <c r="K112" i="229"/>
  <c r="I111" i="229"/>
  <c r="K125" i="229"/>
  <c r="A6" i="135"/>
  <c r="I132" i="229"/>
  <c r="K126" i="229"/>
  <c r="J116" i="229"/>
  <c r="J113" i="229"/>
  <c r="K108" i="229"/>
  <c r="K114" i="229"/>
  <c r="J117" i="229"/>
  <c r="K127" i="229"/>
  <c r="J120" i="229"/>
  <c r="K122" i="229"/>
  <c r="J114" i="229"/>
  <c r="K129" i="229"/>
  <c r="A5" i="135"/>
  <c r="K123" i="229"/>
  <c r="K128" i="229"/>
  <c r="K130" i="229"/>
  <c r="J112" i="229"/>
  <c r="K124" i="229"/>
  <c r="K116" i="229"/>
  <c r="K119" i="229"/>
  <c r="J122" i="229"/>
  <c r="J111" i="229"/>
  <c r="K134" i="229"/>
  <c r="L139" i="254"/>
  <c r="J121" i="229"/>
  <c r="K118" i="229"/>
  <c r="J119" i="229"/>
  <c r="J118" i="229"/>
  <c r="K111" i="229"/>
  <c r="K120" i="229"/>
  <c r="A9" i="135"/>
  <c r="I109" i="229" s="1"/>
  <c r="J109" i="229"/>
  <c r="K117" i="229"/>
  <c r="J38" i="237"/>
  <c r="J115" i="229"/>
  <c r="K121" i="229"/>
  <c r="A7" i="135"/>
  <c r="K133" i="229"/>
  <c r="K113" i="229"/>
  <c r="G48" i="183"/>
  <c r="I48" i="183" s="1"/>
  <c r="A13" i="135"/>
  <c r="J106" i="229"/>
  <c r="A22" i="135"/>
  <c r="J44" i="237"/>
  <c r="K110" i="229"/>
  <c r="J110" i="229"/>
  <c r="G50" i="183"/>
  <c r="I50" i="183" s="1"/>
  <c r="A18" i="135"/>
  <c r="A21" i="135"/>
  <c r="J107" i="229"/>
  <c r="A15" i="135"/>
  <c r="J43" i="237"/>
  <c r="H47" i="183"/>
  <c r="H52" i="183"/>
  <c r="K107" i="229"/>
  <c r="A17" i="135"/>
  <c r="G47" i="183"/>
  <c r="I47" i="183" s="1"/>
  <c r="H50" i="183"/>
  <c r="H53" i="183"/>
  <c r="H54" i="183"/>
  <c r="H49" i="183"/>
  <c r="G51" i="183"/>
  <c r="F51" i="183" s="1"/>
  <c r="A19" i="135"/>
  <c r="J105" i="229"/>
  <c r="I36" i="237"/>
  <c r="A14" i="135"/>
  <c r="A29" i="135"/>
  <c r="J129" i="229"/>
  <c r="A27" i="135"/>
  <c r="J127" i="229"/>
  <c r="A30" i="135"/>
  <c r="J130" i="229"/>
  <c r="I108" i="229"/>
  <c r="G52" i="183"/>
  <c r="F52" i="183" s="1"/>
  <c r="A25" i="135"/>
  <c r="J125" i="229"/>
  <c r="A24" i="135"/>
  <c r="J124" i="229"/>
  <c r="G49" i="183"/>
  <c r="F49" i="183" s="1"/>
  <c r="K109" i="229"/>
  <c r="A28" i="135"/>
  <c r="J128" i="229"/>
  <c r="A31" i="135"/>
  <c r="J131" i="229"/>
  <c r="A34" i="135"/>
  <c r="J134" i="229"/>
  <c r="C4" i="135"/>
  <c r="A20" i="135"/>
  <c r="A26" i="135"/>
  <c r="J126" i="229"/>
  <c r="J39" i="237"/>
  <c r="A23" i="135"/>
  <c r="J123" i="229"/>
  <c r="A33" i="135"/>
  <c r="J133" i="229"/>
  <c r="I116" i="229"/>
  <c r="K105" i="229"/>
  <c r="I54" i="183"/>
  <c r="F54" i="183"/>
  <c r="B28" i="169"/>
  <c r="A28" i="169" s="1"/>
  <c r="B32" i="169"/>
  <c r="A32" i="169" s="1"/>
  <c r="C24" i="169"/>
  <c r="C27" i="169"/>
  <c r="B29" i="169"/>
  <c r="A29" i="169" s="1"/>
  <c r="B30" i="169"/>
  <c r="A30" i="169" s="1"/>
  <c r="C26" i="169"/>
  <c r="C21" i="169"/>
  <c r="C18" i="169"/>
  <c r="C19" i="169"/>
  <c r="B31" i="169"/>
  <c r="A31" i="169" s="1"/>
  <c r="C23" i="169"/>
  <c r="C20" i="169"/>
  <c r="C22" i="169"/>
  <c r="V110" i="229"/>
  <c r="A15" i="169"/>
  <c r="A16" i="169"/>
  <c r="W111" i="229"/>
  <c r="W108" i="229"/>
  <c r="A10" i="169"/>
  <c r="W107" i="229"/>
  <c r="A14" i="169"/>
  <c r="W106" i="229"/>
  <c r="A11" i="169"/>
  <c r="A8" i="169"/>
  <c r="V109" i="229"/>
  <c r="W105" i="229"/>
  <c r="W109" i="229"/>
  <c r="W110" i="229"/>
  <c r="W113" i="229"/>
  <c r="Q23" i="237"/>
  <c r="S23" i="237"/>
  <c r="V106" i="229"/>
  <c r="W112" i="229"/>
  <c r="A23" i="169"/>
  <c r="V120" i="229"/>
  <c r="A19" i="169"/>
  <c r="V116" i="229"/>
  <c r="A18" i="169"/>
  <c r="V115" i="229"/>
  <c r="A27" i="169"/>
  <c r="V124" i="229"/>
  <c r="A21" i="169"/>
  <c r="V118" i="229"/>
  <c r="A25" i="169"/>
  <c r="V122" i="229"/>
  <c r="W122" i="229"/>
  <c r="A26" i="169"/>
  <c r="V123" i="229"/>
  <c r="A22" i="169"/>
  <c r="V119" i="229"/>
  <c r="A20" i="169"/>
  <c r="V117" i="229"/>
  <c r="A24" i="169"/>
  <c r="V121" i="229"/>
  <c r="T15" i="183"/>
  <c r="T17" i="183"/>
  <c r="T13" i="183"/>
  <c r="S19" i="183"/>
  <c r="T19" i="183" s="1"/>
  <c r="T20" i="183"/>
  <c r="S18" i="183"/>
  <c r="T18" i="183" s="1"/>
  <c r="T16" i="183"/>
  <c r="S14" i="183"/>
  <c r="T14" i="183" s="1"/>
  <c r="T23" i="183" l="1"/>
  <c r="B63" i="183" s="1"/>
  <c r="G63" i="183" s="1"/>
  <c r="F53" i="183"/>
  <c r="J41" i="237"/>
  <c r="J42" i="237"/>
  <c r="J37" i="237"/>
  <c r="J40" i="237"/>
  <c r="U123" i="229"/>
  <c r="I107" i="229"/>
  <c r="I113" i="229"/>
  <c r="U115" i="229"/>
  <c r="U108" i="229"/>
  <c r="W116" i="229"/>
  <c r="I133" i="229"/>
  <c r="I114" i="229"/>
  <c r="U113" i="229"/>
  <c r="I129" i="229"/>
  <c r="W118" i="229"/>
  <c r="I123" i="229"/>
  <c r="I134" i="229"/>
  <c r="J139" i="254"/>
  <c r="W123" i="229"/>
  <c r="I105" i="229"/>
  <c r="I106" i="229"/>
  <c r="I130" i="229"/>
  <c r="U107" i="229"/>
  <c r="W115" i="229"/>
  <c r="U118" i="229"/>
  <c r="U120" i="229"/>
  <c r="W119" i="229"/>
  <c r="I131" i="229"/>
  <c r="I124" i="229"/>
  <c r="I119" i="229"/>
  <c r="W121" i="229"/>
  <c r="W117" i="229"/>
  <c r="I126" i="229"/>
  <c r="I127" i="229"/>
  <c r="U124" i="229"/>
  <c r="U105" i="229"/>
  <c r="W120" i="229"/>
  <c r="W124" i="229"/>
  <c r="I128" i="229"/>
  <c r="I125" i="229"/>
  <c r="I117" i="229"/>
  <c r="I52" i="183"/>
  <c r="J54" i="183"/>
  <c r="I118" i="229"/>
  <c r="F50" i="183"/>
  <c r="I122" i="229"/>
  <c r="I51" i="183"/>
  <c r="I49" i="183"/>
  <c r="I115" i="229"/>
  <c r="I121" i="229"/>
  <c r="I120" i="229"/>
  <c r="J53" i="183"/>
  <c r="J36" i="237"/>
  <c r="V108" i="229"/>
  <c r="A9" i="169"/>
  <c r="V113" i="229"/>
  <c r="V111" i="229"/>
  <c r="A13" i="169"/>
  <c r="A12" i="169"/>
  <c r="V105" i="229"/>
  <c r="A17" i="169"/>
  <c r="W114" i="229"/>
  <c r="R23" i="237"/>
  <c r="T23" i="237" s="1"/>
  <c r="V107" i="229"/>
  <c r="V112" i="229"/>
  <c r="V114" i="229"/>
  <c r="U119" i="229"/>
  <c r="U121" i="229"/>
  <c r="U122" i="229"/>
  <c r="U112" i="229"/>
  <c r="U117" i="229"/>
  <c r="U111" i="229"/>
  <c r="U116" i="229"/>
  <c r="B61" i="237"/>
  <c r="J55" i="183" l="1"/>
  <c r="B60" i="183" s="1"/>
  <c r="G60" i="183" s="1"/>
  <c r="U106" i="229"/>
  <c r="U110" i="229"/>
  <c r="U109" i="229"/>
  <c r="J54" i="237"/>
  <c r="B58" i="237" s="1"/>
  <c r="F58" i="237" s="1"/>
  <c r="U114" i="229"/>
  <c r="F61" i="237"/>
  <c r="E36" i="130"/>
  <c r="F36" i="130" l="1"/>
  <c r="F37" i="130" s="1"/>
  <c r="E37" i="130"/>
  <c r="E38" i="237"/>
  <c r="E22" i="183"/>
  <c r="E48" i="183"/>
  <c r="E19" i="237"/>
  <c r="E13" i="183"/>
  <c r="E36" i="237"/>
  <c r="E42" i="237"/>
  <c r="E29" i="183"/>
  <c r="E44" i="183"/>
  <c r="E52" i="237"/>
  <c r="E27" i="237"/>
  <c r="E19" i="183"/>
  <c r="E33" i="237"/>
  <c r="E23" i="183"/>
  <c r="J13" i="239"/>
  <c r="AB13" i="239" s="1"/>
  <c r="E55" i="183" l="1"/>
  <c r="B58" i="183" s="1"/>
  <c r="G58" i="183" s="1"/>
  <c r="K58" i="183" s="1"/>
  <c r="E54" i="237"/>
  <c r="B56" i="237" s="1"/>
  <c r="F56" i="237" s="1"/>
  <c r="K56" i="237" s="1"/>
  <c r="J12" i="239"/>
  <c r="B5" i="239" l="1" a="1"/>
  <c r="B5" i="239" s="1"/>
  <c r="AB12" i="239"/>
  <c r="AB5" i="239" s="1"/>
  <c r="C4" i="189" s="1" a="1"/>
  <c r="C4" i="189" s="1"/>
  <c r="AA108" i="229" s="1"/>
  <c r="C2" i="189" a="1"/>
  <c r="C2" i="189" s="1"/>
  <c r="C7" i="189" a="1"/>
  <c r="C7" i="189" s="1"/>
  <c r="B7" i="189" a="1"/>
  <c r="B7" i="189" s="1"/>
  <c r="Z111" i="229" s="1"/>
  <c r="C3" i="189" a="1"/>
  <c r="C3" i="189" s="1"/>
  <c r="B6" i="189" a="1"/>
  <c r="B6" i="189" s="1"/>
  <c r="B3" i="189" a="1"/>
  <c r="B3" i="189" s="1"/>
  <c r="B8" i="189" a="1"/>
  <c r="B8" i="189" s="1"/>
  <c r="Z112" i="229" s="1"/>
  <c r="C6" i="189" a="1"/>
  <c r="C6" i="189" s="1"/>
  <c r="B1" i="189" a="1"/>
  <c r="B1" i="189" s="1"/>
  <c r="C5" i="189" a="1"/>
  <c r="C5" i="189" s="1"/>
  <c r="B2" i="189" a="1"/>
  <c r="B2" i="189" s="1"/>
  <c r="B9" i="189" a="1"/>
  <c r="B9" i="189" s="1"/>
  <c r="Z113" i="229" s="1"/>
  <c r="C9" i="189" a="1"/>
  <c r="C9" i="189" s="1"/>
  <c r="AA113" i="229" s="1"/>
  <c r="B5" i="189" a="1"/>
  <c r="B5" i="189" s="1"/>
  <c r="C8" i="189" a="1"/>
  <c r="C8" i="189" s="1"/>
  <c r="AA112" i="229" s="1"/>
  <c r="B4" i="189" a="1"/>
  <c r="B4" i="189" s="1"/>
  <c r="C1" i="189" a="1"/>
  <c r="C1" i="189" s="1"/>
  <c r="B36" i="130"/>
  <c r="B37" i="130" s="1"/>
  <c r="B89" i="239" a="1"/>
  <c r="B89" i="239" s="1"/>
  <c r="C80" i="239" a="1"/>
  <c r="C80" i="239" s="1"/>
  <c r="A101" i="239" a="1"/>
  <c r="A101" i="239" s="1"/>
  <c r="B91" i="239" a="1"/>
  <c r="B91" i="239" s="1"/>
  <c r="C86" i="239" a="1"/>
  <c r="C86" i="239" s="1"/>
  <c r="C92" i="239" a="1"/>
  <c r="C92" i="239" s="1"/>
  <c r="C113" i="239" a="1"/>
  <c r="C113" i="239" s="1"/>
  <c r="C66" i="239" a="1"/>
  <c r="C66" i="239" s="1"/>
  <c r="A65" i="239" a="1"/>
  <c r="A65" i="239" s="1"/>
  <c r="B55" i="239" a="1"/>
  <c r="B55" i="239" s="1"/>
  <c r="C61" i="239" a="1"/>
  <c r="C61" i="239" s="1"/>
  <c r="A100" i="239" a="1"/>
  <c r="A100" i="239" s="1"/>
  <c r="B107" i="239" a="1"/>
  <c r="B107" i="239" s="1"/>
  <c r="B67" i="239" a="1"/>
  <c r="B67" i="239" s="1"/>
  <c r="C64" i="239" a="1"/>
  <c r="C64" i="239" s="1"/>
  <c r="A59" i="239" a="1"/>
  <c r="A59" i="239" s="1"/>
  <c r="B93" i="239" a="1"/>
  <c r="B93" i="239" s="1"/>
  <c r="B57" i="239" a="1"/>
  <c r="B57" i="239" s="1"/>
  <c r="C67" i="239" a="1"/>
  <c r="C67" i="239" s="1"/>
  <c r="A114" i="239" a="1"/>
  <c r="A114" i="239" s="1"/>
  <c r="A107" i="239" a="1"/>
  <c r="A107" i="239" s="1"/>
  <c r="C106" i="239" a="1"/>
  <c r="C106" i="239" s="1"/>
  <c r="B97" i="239" a="1"/>
  <c r="B97" i="239" s="1"/>
  <c r="C99" i="239" a="1"/>
  <c r="C99" i="239" s="1"/>
  <c r="C91" i="239" a="1"/>
  <c r="C91" i="239" s="1"/>
  <c r="B74" i="239" a="1"/>
  <c r="B74" i="239" s="1"/>
  <c r="A14" i="239" a="1"/>
  <c r="A14" i="239" s="1"/>
  <c r="C76" i="239" a="1"/>
  <c r="C76" i="239" s="1"/>
  <c r="C104" i="239" a="1"/>
  <c r="C104" i="239" s="1"/>
  <c r="C103" i="239" a="1"/>
  <c r="C103" i="239" s="1"/>
  <c r="A108" i="239" a="1"/>
  <c r="A108" i="239" s="1"/>
  <c r="B112" i="239" a="1"/>
  <c r="B112" i="239" s="1"/>
  <c r="A98" i="239" a="1"/>
  <c r="A98" i="239" s="1"/>
  <c r="C85" i="239" a="1"/>
  <c r="C85" i="239" s="1"/>
  <c r="A85" i="239" a="1"/>
  <c r="A85" i="239" s="1"/>
  <c r="C94" i="239" a="1"/>
  <c r="C94" i="239" s="1"/>
  <c r="A78" i="239" a="1"/>
  <c r="A78" i="239" s="1"/>
  <c r="B63" i="239" a="1"/>
  <c r="B63" i="239" s="1"/>
  <c r="B85" i="239" a="1"/>
  <c r="B85" i="239" s="1"/>
  <c r="A80" i="239" a="1"/>
  <c r="A80" i="239" s="1"/>
  <c r="C74" i="239" a="1"/>
  <c r="C74" i="239" s="1"/>
  <c r="A103" i="239" a="1"/>
  <c r="A103" i="239" s="1"/>
  <c r="A84" i="239" a="1"/>
  <c r="A84" i="239" s="1"/>
  <c r="A58" i="239" a="1"/>
  <c r="A58" i="239" s="1"/>
  <c r="B113" i="239" a="1"/>
  <c r="B113" i="239" s="1"/>
  <c r="B114" i="239" a="1"/>
  <c r="B114" i="239" s="1"/>
  <c r="B60" i="239" a="1"/>
  <c r="B60" i="239" s="1"/>
  <c r="C108" i="239" a="1"/>
  <c r="C108" i="239" s="1"/>
  <c r="A86" i="239" a="1"/>
  <c r="A86" i="239" s="1"/>
  <c r="B70" i="239" a="1"/>
  <c r="B70" i="239" s="1"/>
  <c r="A79" i="239" a="1"/>
  <c r="A79" i="239" s="1"/>
  <c r="B81" i="239" a="1"/>
  <c r="B81" i="239" s="1"/>
  <c r="A105" i="239" a="1"/>
  <c r="A105" i="239" s="1"/>
  <c r="C71" i="239" a="1"/>
  <c r="C71" i="239" s="1"/>
  <c r="A106" i="239" a="1"/>
  <c r="A106" i="239" s="1"/>
  <c r="A112" i="239" a="1"/>
  <c r="A112" i="239" s="1"/>
  <c r="C55" i="239" a="1"/>
  <c r="C55" i="239" s="1"/>
  <c r="A111" i="239" a="1"/>
  <c r="A111" i="239" s="1"/>
  <c r="C88" i="239" a="1"/>
  <c r="C88" i="239" s="1"/>
  <c r="A93" i="239" a="1"/>
  <c r="A93" i="239" s="1"/>
  <c r="B58" i="239" a="1"/>
  <c r="B58" i="239" s="1"/>
  <c r="C90" i="239" a="1"/>
  <c r="C90" i="239" s="1"/>
  <c r="A77" i="239" a="1"/>
  <c r="A77" i="239" s="1"/>
  <c r="C82" i="239" a="1"/>
  <c r="C82" i="239" s="1"/>
  <c r="C93" i="239" a="1"/>
  <c r="C93" i="239" s="1"/>
  <c r="C96" i="239" a="1"/>
  <c r="C96" i="239" s="1"/>
  <c r="C73" i="239" a="1"/>
  <c r="C73" i="239" s="1"/>
  <c r="A92" i="239" a="1"/>
  <c r="A92" i="239" s="1"/>
  <c r="A57" i="239" a="1"/>
  <c r="A57" i="239" s="1"/>
  <c r="A71" i="239" a="1"/>
  <c r="A71" i="239" s="1"/>
  <c r="B98" i="239" a="1"/>
  <c r="B98" i="239" s="1"/>
  <c r="B90" i="239" a="1"/>
  <c r="B90" i="239" s="1"/>
  <c r="C115" i="239" a="1"/>
  <c r="C115" i="239" s="1"/>
  <c r="B100" i="239" a="1"/>
  <c r="B100" i="239" s="1"/>
  <c r="C84" i="239" a="1"/>
  <c r="C84" i="239" s="1"/>
  <c r="B117" i="239" a="1"/>
  <c r="B117" i="239" s="1"/>
  <c r="A99" i="239" a="1"/>
  <c r="A99" i="239" s="1"/>
  <c r="B56" i="239" a="1"/>
  <c r="B56" i="239" s="1"/>
  <c r="A76" i="239" a="1"/>
  <c r="A76" i="239" s="1"/>
  <c r="B99" i="239" a="1"/>
  <c r="B99" i="239" s="1"/>
  <c r="B110" i="239" a="1"/>
  <c r="B110" i="239" s="1"/>
  <c r="A63" i="239" a="1"/>
  <c r="A63" i="239" s="1"/>
  <c r="C101" i="239" a="1"/>
  <c r="C101" i="239" s="1"/>
  <c r="C112" i="239" a="1"/>
  <c r="C112" i="239" s="1"/>
  <c r="A73" i="239" a="1"/>
  <c r="A73" i="239" s="1"/>
  <c r="B64" i="239" a="1"/>
  <c r="B64" i="239" s="1"/>
  <c r="C81" i="239" a="1"/>
  <c r="C81" i="239" s="1"/>
  <c r="A68" i="239" a="1"/>
  <c r="A68" i="239" s="1"/>
  <c r="B87" i="239" a="1"/>
  <c r="B87" i="239" s="1"/>
  <c r="C107" i="239" a="1"/>
  <c r="C107" i="239" s="1"/>
  <c r="A48" i="239" a="1"/>
  <c r="A48" i="239" s="1"/>
  <c r="A15" i="239" a="1"/>
  <c r="A15" i="239" s="1"/>
  <c r="B52" i="239" a="1"/>
  <c r="B52" i="239" s="1"/>
  <c r="C18" i="239" a="1"/>
  <c r="C18" i="239" s="1"/>
  <c r="C14" i="239" a="1"/>
  <c r="C14" i="239" s="1"/>
  <c r="C37" i="239" a="1"/>
  <c r="C37" i="239" s="1"/>
  <c r="C47" i="239" a="1"/>
  <c r="C47" i="239" s="1"/>
  <c r="C28" i="239" a="1"/>
  <c r="C28" i="239" s="1"/>
  <c r="C6" i="239" a="1"/>
  <c r="C6" i="239" s="1"/>
  <c r="B92" i="239" a="1"/>
  <c r="B92" i="239" s="1"/>
  <c r="A55" i="239" a="1"/>
  <c r="A55" i="239" s="1"/>
  <c r="C56" i="239" a="1"/>
  <c r="C56" i="239" s="1"/>
  <c r="B83" i="239" a="1"/>
  <c r="B83" i="239" s="1"/>
  <c r="C105" i="239" a="1"/>
  <c r="C105" i="239" s="1"/>
  <c r="B61" i="239" a="1"/>
  <c r="B61" i="239" s="1"/>
  <c r="B80" i="239" a="1"/>
  <c r="B80" i="239" s="1"/>
  <c r="C114" i="239" a="1"/>
  <c r="C114" i="239" s="1"/>
  <c r="A62" i="239" a="1"/>
  <c r="A62" i="239" s="1"/>
  <c r="A67" i="239" a="1"/>
  <c r="A67" i="239" s="1"/>
  <c r="B103" i="239" a="1"/>
  <c r="B103" i="239" s="1"/>
  <c r="B54" i="239" a="1"/>
  <c r="B54" i="239" s="1"/>
  <c r="A66" i="239" a="1"/>
  <c r="A66" i="239" s="1"/>
  <c r="C102" i="239" a="1"/>
  <c r="C102" i="239" s="1"/>
  <c r="C52" i="239" a="1"/>
  <c r="C52" i="239" s="1"/>
  <c r="A25" i="239" a="1"/>
  <c r="A25" i="239" s="1"/>
  <c r="A16" i="239" a="1"/>
  <c r="A16" i="239" s="1"/>
  <c r="B50" i="239" a="1"/>
  <c r="B50" i="239" s="1"/>
  <c r="A41" i="239" a="1"/>
  <c r="A41" i="239" s="1"/>
  <c r="C46" i="239" a="1"/>
  <c r="C46" i="239" s="1"/>
  <c r="B31" i="239" a="1"/>
  <c r="B31" i="239" s="1"/>
  <c r="B25" i="239" a="1"/>
  <c r="B25" i="239" s="1"/>
  <c r="C33" i="239" a="1"/>
  <c r="C33" i="239" s="1"/>
  <c r="A33" i="239" a="1"/>
  <c r="A33" i="239" s="1"/>
  <c r="B105" i="239" a="1"/>
  <c r="B105" i="239" s="1"/>
  <c r="C77" i="239" a="1"/>
  <c r="C77" i="239" s="1"/>
  <c r="A109" i="239" a="1"/>
  <c r="A109" i="239" s="1"/>
  <c r="C78" i="239" a="1"/>
  <c r="C78" i="239" s="1"/>
  <c r="A94" i="239" a="1"/>
  <c r="A94" i="239" s="1"/>
  <c r="C68" i="239" a="1"/>
  <c r="C68" i="239" s="1"/>
  <c r="A110" i="239" a="1"/>
  <c r="A110" i="239" s="1"/>
  <c r="A61" i="239" a="1"/>
  <c r="A61" i="239" s="1"/>
  <c r="C60" i="239" a="1"/>
  <c r="C60" i="239" s="1"/>
  <c r="C111" i="239" a="1"/>
  <c r="C111" i="239" s="1"/>
  <c r="B79" i="239" a="1"/>
  <c r="B79" i="239" s="1"/>
  <c r="B95" i="239" a="1"/>
  <c r="B95" i="239" s="1"/>
  <c r="B68" i="239" a="1"/>
  <c r="B68" i="239" s="1"/>
  <c r="A72" i="239" a="1"/>
  <c r="A72" i="239" s="1"/>
  <c r="A91" i="239" a="1"/>
  <c r="A91" i="239" s="1"/>
  <c r="B86" i="239" a="1"/>
  <c r="B86" i="239" s="1"/>
  <c r="A115" i="239" a="1"/>
  <c r="A115" i="239" s="1"/>
  <c r="B62" i="239" a="1"/>
  <c r="B62" i="239" s="1"/>
  <c r="B108" i="239" a="1"/>
  <c r="B108" i="239" s="1"/>
  <c r="B84" i="239" a="1"/>
  <c r="B84" i="239" s="1"/>
  <c r="B69" i="239" a="1"/>
  <c r="B69" i="239" s="1"/>
  <c r="A97" i="239" a="1"/>
  <c r="A97" i="239" s="1"/>
  <c r="A96" i="239" a="1"/>
  <c r="A96" i="239" s="1"/>
  <c r="C29" i="239" a="1"/>
  <c r="C29" i="239" s="1"/>
  <c r="A9" i="239" a="1"/>
  <c r="A9" i="239" s="1"/>
  <c r="C39" i="239" a="1"/>
  <c r="C39" i="239" s="1"/>
  <c r="A29" i="239" a="1"/>
  <c r="A29" i="239" s="1"/>
  <c r="C72" i="239" a="1"/>
  <c r="C72" i="239" s="1"/>
  <c r="B115" i="239" a="1"/>
  <c r="B115" i="239" s="1"/>
  <c r="A95" i="239" a="1"/>
  <c r="A95" i="239" s="1"/>
  <c r="B116" i="239" a="1"/>
  <c r="B116" i="239" s="1"/>
  <c r="B66" i="239" a="1"/>
  <c r="B66" i="239" s="1"/>
  <c r="C69" i="239" a="1"/>
  <c r="C69" i="239" s="1"/>
  <c r="C117" i="239" a="1"/>
  <c r="C117" i="239" s="1"/>
  <c r="B106" i="239" a="1"/>
  <c r="B106" i="239" s="1"/>
  <c r="C63" i="239" a="1"/>
  <c r="C63" i="239" s="1"/>
  <c r="B78" i="239" a="1"/>
  <c r="B78" i="239" s="1"/>
  <c r="C62" i="239" a="1"/>
  <c r="C62" i="239" s="1"/>
  <c r="C116" i="239" a="1"/>
  <c r="C116" i="239" s="1"/>
  <c r="C40" i="239" a="1"/>
  <c r="C40" i="239" s="1"/>
  <c r="C34" i="239" a="1"/>
  <c r="C34" i="239" s="1"/>
  <c r="A46" i="239" a="1"/>
  <c r="A46" i="239" s="1"/>
  <c r="A42" i="239" a="1"/>
  <c r="A42" i="239" s="1"/>
  <c r="C44" i="239" a="1"/>
  <c r="C44" i="239" s="1"/>
  <c r="A45" i="239" a="1"/>
  <c r="A45" i="239" s="1"/>
  <c r="C42" i="239" a="1"/>
  <c r="C42" i="239" s="1"/>
  <c r="B23" i="239" a="1"/>
  <c r="B23" i="239" s="1"/>
  <c r="C17" i="239" a="1"/>
  <c r="C17" i="239" s="1"/>
  <c r="B17" i="239" a="1"/>
  <c r="B17" i="239" s="1"/>
  <c r="C19" i="239" a="1"/>
  <c r="C19" i="239" s="1"/>
  <c r="C65" i="239" a="1"/>
  <c r="C65" i="239" s="1"/>
  <c r="A82" i="239" a="1"/>
  <c r="A82" i="239" s="1"/>
  <c r="A74" i="239" a="1"/>
  <c r="A74" i="239" s="1"/>
  <c r="B104" i="239" a="1"/>
  <c r="B104" i="239" s="1"/>
  <c r="A117" i="239" a="1"/>
  <c r="A117" i="239" s="1"/>
  <c r="B109" i="239" a="1"/>
  <c r="B109" i="239" s="1"/>
  <c r="B77" i="239" a="1"/>
  <c r="B77" i="239" s="1"/>
  <c r="A81" i="239" a="1"/>
  <c r="A81" i="239" s="1"/>
  <c r="A64" i="239" a="1"/>
  <c r="A64" i="239" s="1"/>
  <c r="C70" i="239" a="1"/>
  <c r="C70" i="239" s="1"/>
  <c r="C98" i="239" a="1"/>
  <c r="C98" i="239" s="1"/>
  <c r="A56" i="239" a="1"/>
  <c r="A56" i="239" s="1"/>
  <c r="B75" i="239" a="1"/>
  <c r="B75" i="239" s="1"/>
  <c r="B94" i="239" a="1"/>
  <c r="B94" i="239" s="1"/>
  <c r="A75" i="239" a="1"/>
  <c r="A75" i="239" s="1"/>
  <c r="A5" i="239" a="1"/>
  <c r="A5" i="239" s="1"/>
  <c r="A40" i="239" a="1"/>
  <c r="A40" i="239" s="1"/>
  <c r="A24" i="239" a="1"/>
  <c r="A24" i="239" s="1"/>
  <c r="A52" i="239" a="1"/>
  <c r="A52" i="239" s="1"/>
  <c r="B53" i="239" a="1"/>
  <c r="B53" i="239" s="1"/>
  <c r="A36" i="239" a="1"/>
  <c r="A36" i="239" s="1"/>
  <c r="C8" i="239" a="1"/>
  <c r="C8" i="239" s="1"/>
  <c r="C27" i="239" a="1"/>
  <c r="C27" i="239" s="1"/>
  <c r="A60" i="239" a="1"/>
  <c r="A60" i="239" s="1"/>
  <c r="A116" i="239" a="1"/>
  <c r="A116" i="239" s="1"/>
  <c r="A69" i="239" a="1"/>
  <c r="A69" i="239" s="1"/>
  <c r="A70" i="239" a="1"/>
  <c r="A70" i="239" s="1"/>
  <c r="A102" i="239" a="1"/>
  <c r="A102" i="239" s="1"/>
  <c r="C97" i="239" a="1"/>
  <c r="C97" i="239" s="1"/>
  <c r="A54" i="239" a="1"/>
  <c r="A54" i="239" s="1"/>
  <c r="A83" i="239" a="1"/>
  <c r="A83" i="239" s="1"/>
  <c r="B82" i="239" a="1"/>
  <c r="B82" i="239" s="1"/>
  <c r="B101" i="239" a="1"/>
  <c r="B101" i="239" s="1"/>
  <c r="C109" i="239" a="1"/>
  <c r="C109" i="239" s="1"/>
  <c r="B72" i="239" a="1"/>
  <c r="B72" i="239" s="1"/>
  <c r="C54" i="239" a="1"/>
  <c r="C54" i="239" s="1"/>
  <c r="B96" i="239" a="1"/>
  <c r="B96" i="239" s="1"/>
  <c r="C59" i="239" a="1"/>
  <c r="C59" i="239" s="1"/>
  <c r="C58" i="239" a="1"/>
  <c r="C58" i="239" s="1"/>
  <c r="A18" i="239" a="1"/>
  <c r="A18" i="239" s="1"/>
  <c r="C53" i="239" a="1"/>
  <c r="C53" i="239" s="1"/>
  <c r="C48" i="239" a="1"/>
  <c r="C48" i="239" s="1"/>
  <c r="C26" i="239" a="1"/>
  <c r="C26" i="239" s="1"/>
  <c r="C51" i="239" a="1"/>
  <c r="C51" i="239" s="1"/>
  <c r="C15" i="239" a="1"/>
  <c r="C15" i="239" s="1"/>
  <c r="B9" i="239" a="1"/>
  <c r="B9" i="239" s="1"/>
  <c r="C25" i="239" a="1"/>
  <c r="C25" i="239" s="1"/>
  <c r="C35" i="239" a="1"/>
  <c r="C35" i="239" s="1"/>
  <c r="C75" i="239" a="1"/>
  <c r="C75" i="239" s="1"/>
  <c r="C89" i="239" a="1"/>
  <c r="C89" i="239" s="1"/>
  <c r="C83" i="239" a="1"/>
  <c r="C83" i="239" s="1"/>
  <c r="A89" i="239" a="1"/>
  <c r="A89" i="239" s="1"/>
  <c r="B73" i="239" a="1"/>
  <c r="B73" i="239" s="1"/>
  <c r="C87" i="239" a="1"/>
  <c r="C87" i="239" s="1"/>
  <c r="A88" i="239" a="1"/>
  <c r="A88" i="239" s="1"/>
  <c r="B88" i="239" a="1"/>
  <c r="B88" i="239" s="1"/>
  <c r="A113" i="239" a="1"/>
  <c r="A113" i="239" s="1"/>
  <c r="B102" i="239" a="1"/>
  <c r="B102" i="239" s="1"/>
  <c r="A90" i="239" a="1"/>
  <c r="A90" i="239" s="1"/>
  <c r="B111" i="239" a="1"/>
  <c r="B111" i="239" s="1"/>
  <c r="C95" i="239" a="1"/>
  <c r="C95" i="239" s="1"/>
  <c r="A104" i="239" a="1"/>
  <c r="A104" i="239" s="1"/>
  <c r="A51" i="239" a="1"/>
  <c r="A51" i="239" s="1"/>
  <c r="C43" i="239" a="1"/>
  <c r="C43" i="239" s="1"/>
  <c r="C41" i="239" a="1"/>
  <c r="C41" i="239" s="1"/>
  <c r="A21" i="239" a="1"/>
  <c r="A21" i="239" s="1"/>
  <c r="C57" i="239" a="1"/>
  <c r="C57" i="239" s="1"/>
  <c r="C30" i="239" a="1"/>
  <c r="C30" i="239" s="1"/>
  <c r="C20" i="239" a="1"/>
  <c r="C20" i="239" s="1"/>
  <c r="A44" i="239" a="1"/>
  <c r="A44" i="239" s="1"/>
  <c r="C36" i="239" a="1"/>
  <c r="C36" i="239" s="1"/>
  <c r="A27" i="239" a="1"/>
  <c r="A27" i="239" s="1"/>
  <c r="A6" i="239" a="1"/>
  <c r="A6" i="239" s="1"/>
  <c r="B38" i="239" a="1"/>
  <c r="B38" i="239" s="1"/>
  <c r="C24" i="239" a="1"/>
  <c r="C24" i="239" s="1"/>
  <c r="C11" i="239" a="1"/>
  <c r="C11" i="239" s="1"/>
  <c r="B51" i="239" a="1"/>
  <c r="B51" i="239" s="1"/>
  <c r="B40" i="239" a="1"/>
  <c r="B40" i="239" s="1"/>
  <c r="B37" i="239" a="1"/>
  <c r="B37" i="239" s="1"/>
  <c r="B18" i="239" a="1"/>
  <c r="B18" i="239" s="1"/>
  <c r="A10" i="239" a="1"/>
  <c r="A10" i="239" s="1"/>
  <c r="A7" i="239" a="1"/>
  <c r="A7" i="239" s="1"/>
  <c r="B30" i="239" a="1"/>
  <c r="B30" i="239" s="1"/>
  <c r="A50" i="239" a="1"/>
  <c r="A50" i="239" s="1"/>
  <c r="C5" i="239" a="1"/>
  <c r="C5" i="239" s="1"/>
  <c r="C22" i="239" a="1"/>
  <c r="C22" i="239" s="1"/>
  <c r="B15" i="239" a="1"/>
  <c r="B15" i="239" s="1"/>
  <c r="C12" i="239" a="1"/>
  <c r="C12" i="239" s="1"/>
  <c r="B10" i="239" a="1"/>
  <c r="B10" i="239" s="1"/>
  <c r="B28" i="239" a="1"/>
  <c r="B28" i="239" s="1"/>
  <c r="C21" i="239" a="1"/>
  <c r="C21" i="239" s="1"/>
  <c r="B6" i="239" a="1"/>
  <c r="B6" i="239" s="1"/>
  <c r="C110" i="239" a="1"/>
  <c r="C110" i="239" s="1"/>
  <c r="A19" i="239" a="1"/>
  <c r="A19" i="239" s="1"/>
  <c r="C7" i="239" a="1"/>
  <c r="C7" i="239" s="1"/>
  <c r="B42" i="239" a="1"/>
  <c r="B42" i="239" s="1"/>
  <c r="A22" i="239" a="1"/>
  <c r="A22" i="239" s="1"/>
  <c r="A17" i="239" a="1"/>
  <c r="A17" i="239" s="1"/>
  <c r="B27" i="239" a="1"/>
  <c r="B27" i="239" s="1"/>
  <c r="A34" i="239" a="1"/>
  <c r="A34" i="239" s="1"/>
  <c r="B34" i="239" a="1"/>
  <c r="B34" i="239" s="1"/>
  <c r="A13" i="239" a="1"/>
  <c r="A13" i="239" s="1"/>
  <c r="B36" i="239" a="1"/>
  <c r="B36" i="239" s="1"/>
  <c r="C10" i="239" a="1"/>
  <c r="C10" i="239" s="1"/>
  <c r="B22" i="239" a="1"/>
  <c r="B22" i="239" s="1"/>
  <c r="B65" i="239" a="1"/>
  <c r="B65" i="239" s="1"/>
  <c r="A53" i="239" a="1"/>
  <c r="A53" i="239" s="1"/>
  <c r="A23" i="239" a="1"/>
  <c r="A23" i="239" s="1"/>
  <c r="A28" i="239" a="1"/>
  <c r="A28" i="239" s="1"/>
  <c r="B47" i="239" a="1"/>
  <c r="B47" i="239" s="1"/>
  <c r="A8" i="239" a="1"/>
  <c r="A8" i="239" s="1"/>
  <c r="A26" i="239" a="1"/>
  <c r="A26" i="239" s="1"/>
  <c r="B33" i="239" a="1"/>
  <c r="B33" i="239" s="1"/>
  <c r="B43" i="239" a="1"/>
  <c r="B43" i="239" s="1"/>
  <c r="B32" i="239" a="1"/>
  <c r="B32" i="239" s="1"/>
  <c r="A32" i="239" a="1"/>
  <c r="A32" i="239" s="1"/>
  <c r="A43" i="239" a="1"/>
  <c r="A43" i="239" s="1"/>
  <c r="A12" i="239" a="1"/>
  <c r="A12" i="239" s="1"/>
  <c r="A31" i="239" a="1"/>
  <c r="A31" i="239" s="1"/>
  <c r="B8" i="239" a="1"/>
  <c r="B8" i="239" s="1"/>
  <c r="B19" i="239" a="1"/>
  <c r="B19" i="239" s="1"/>
  <c r="B16" i="239" a="1"/>
  <c r="B16" i="239" s="1"/>
  <c r="C79" i="239" a="1"/>
  <c r="C79" i="239" s="1"/>
  <c r="A47" i="239" a="1"/>
  <c r="A47" i="239" s="1"/>
  <c r="A49" i="239" a="1"/>
  <c r="A49" i="239" s="1"/>
  <c r="A39" i="239" a="1"/>
  <c r="A39" i="239" s="1"/>
  <c r="C23" i="239" a="1"/>
  <c r="C23" i="239" s="1"/>
  <c r="C16" i="239" a="1"/>
  <c r="C16" i="239" s="1"/>
  <c r="B39" i="239" a="1"/>
  <c r="B39" i="239" s="1"/>
  <c r="B44" i="239" a="1"/>
  <c r="B44" i="239" s="1"/>
  <c r="B20" i="239" a="1"/>
  <c r="B20" i="239" s="1"/>
  <c r="C32" i="239" a="1"/>
  <c r="C32" i="239" s="1"/>
  <c r="C50" i="239" a="1"/>
  <c r="C50" i="239" s="1"/>
  <c r="A11" i="239" a="1"/>
  <c r="A11" i="239" s="1"/>
  <c r="B11" i="239" a="1"/>
  <c r="B11" i="239" s="1"/>
  <c r="A20" i="239" a="1"/>
  <c r="A20" i="239" s="1"/>
  <c r="B35" i="239" a="1"/>
  <c r="B35" i="239" s="1"/>
  <c r="A87" i="239" a="1"/>
  <c r="A87" i="239" s="1"/>
  <c r="A35" i="239" a="1"/>
  <c r="A35" i="239" s="1"/>
  <c r="B49" i="239" a="1"/>
  <c r="B49" i="239" s="1"/>
  <c r="A37" i="239" a="1"/>
  <c r="A37" i="239" s="1"/>
  <c r="B46" i="239" a="1"/>
  <c r="B46" i="239" s="1"/>
  <c r="A38" i="239" a="1"/>
  <c r="A38" i="239" s="1"/>
  <c r="C9" i="239" a="1"/>
  <c r="C9" i="239" s="1"/>
  <c r="B45" i="239" a="1"/>
  <c r="B45" i="239" s="1"/>
  <c r="B21" i="239" a="1"/>
  <c r="B21" i="239" s="1"/>
  <c r="B59" i="239" a="1"/>
  <c r="B59" i="239" s="1"/>
  <c r="B76" i="239" a="1"/>
  <c r="B76" i="239" s="1"/>
  <c r="C13" i="239" a="1"/>
  <c r="C13" i="239" s="1"/>
  <c r="B7" i="239" a="1"/>
  <c r="B7" i="239" s="1"/>
  <c r="A30" i="239" a="1"/>
  <c r="A30" i="239" s="1"/>
  <c r="B48" i="239" a="1"/>
  <c r="B48" i="239" s="1"/>
  <c r="B71" i="239" a="1"/>
  <c r="B71" i="239" s="1"/>
  <c r="C100" i="239" a="1"/>
  <c r="C100" i="239" s="1"/>
  <c r="C38" i="239" a="1"/>
  <c r="C38" i="239" s="1"/>
  <c r="B12" i="239" a="1"/>
  <c r="B12" i="239" s="1"/>
  <c r="C49" i="239" a="1"/>
  <c r="C49" i="239" s="1"/>
  <c r="B26" i="239" a="1"/>
  <c r="B26" i="239" s="1"/>
  <c r="B41" i="239" a="1"/>
  <c r="B41" i="239" s="1"/>
  <c r="C45" i="239" a="1"/>
  <c r="C45" i="239" s="1"/>
  <c r="B14" i="239" a="1"/>
  <c r="B14" i="239" s="1"/>
  <c r="B29" i="239" a="1"/>
  <c r="B29" i="239" s="1"/>
  <c r="C31" i="239" a="1"/>
  <c r="C31" i="239" s="1"/>
  <c r="B24" i="239" a="1"/>
  <c r="B24" i="239" s="1"/>
  <c r="B13" i="239" a="1"/>
  <c r="B13" i="239" s="1"/>
  <c r="AA106" i="229"/>
  <c r="AA111" i="229" l="1"/>
  <c r="R38" i="183"/>
  <c r="AA110" i="229"/>
  <c r="C158" i="254"/>
  <c r="A5" i="189"/>
  <c r="Z105" i="229"/>
  <c r="A7" i="189"/>
  <c r="B158" i="254"/>
  <c r="Z108" i="229"/>
  <c r="Z106" i="229"/>
  <c r="D158" i="254"/>
  <c r="D159" i="254" s="1"/>
  <c r="A8" i="189"/>
  <c r="Y112" i="229" s="1"/>
  <c r="A9" i="189"/>
  <c r="Y113" i="229" s="1"/>
  <c r="C3" i="239"/>
  <c r="A4" i="189"/>
  <c r="Q38" i="183"/>
  <c r="P38" i="183" s="1"/>
  <c r="Z109" i="229"/>
  <c r="A1" i="189"/>
  <c r="A6" i="189"/>
  <c r="Z110" i="229"/>
  <c r="AA109" i="229"/>
  <c r="A2" i="189"/>
  <c r="Z107" i="229"/>
  <c r="A3" i="189"/>
  <c r="AA107" i="229"/>
  <c r="AA105" i="229"/>
  <c r="G16" i="247"/>
  <c r="B20" i="247"/>
  <c r="B51" i="247"/>
  <c r="B41" i="247"/>
  <c r="B45" i="247"/>
  <c r="B25" i="247"/>
  <c r="B39" i="247"/>
  <c r="B28" i="247"/>
  <c r="B16" i="247"/>
  <c r="G47" i="247"/>
  <c r="G52" i="247"/>
  <c r="G20" i="247"/>
  <c r="B54" i="247"/>
  <c r="G18" i="247"/>
  <c r="B24" i="247"/>
  <c r="G49" i="247"/>
  <c r="G41" i="247"/>
  <c r="G25" i="247"/>
  <c r="G45" i="247"/>
  <c r="G24" i="247"/>
  <c r="B17" i="247"/>
  <c r="B42" i="247"/>
  <c r="G13" i="247"/>
  <c r="B21" i="247"/>
  <c r="B43" i="247"/>
  <c r="G42" i="247"/>
  <c r="G31" i="247"/>
  <c r="G33" i="247"/>
  <c r="B23" i="247"/>
  <c r="G40" i="247"/>
  <c r="B56" i="247"/>
  <c r="B13" i="247"/>
  <c r="B52" i="247"/>
  <c r="B53" i="247"/>
  <c r="G28" i="247"/>
  <c r="B46" i="247"/>
  <c r="B15" i="247"/>
  <c r="G14" i="247"/>
  <c r="G23" i="247"/>
  <c r="G46" i="247"/>
  <c r="G35" i="247"/>
  <c r="G51" i="247"/>
  <c r="B19" i="247"/>
  <c r="G55" i="247"/>
  <c r="G19" i="247"/>
  <c r="G56" i="247"/>
  <c r="B40" i="247"/>
  <c r="G11" i="247"/>
  <c r="B57" i="247"/>
  <c r="G26" i="247"/>
  <c r="G21" i="247"/>
  <c r="B29" i="247"/>
  <c r="B11" i="247"/>
  <c r="G12" i="247"/>
  <c r="B14" i="247"/>
  <c r="B47" i="247"/>
  <c r="B55" i="247"/>
  <c r="G38" i="247"/>
  <c r="B12" i="247"/>
  <c r="A12" i="247" s="1"/>
  <c r="G17" i="247"/>
  <c r="G36" i="247"/>
  <c r="G57" i="247"/>
  <c r="G48" i="247"/>
  <c r="G39" i="247"/>
  <c r="G34" i="247"/>
  <c r="G22" i="247"/>
  <c r="B18" i="247"/>
  <c r="G44" i="247"/>
  <c r="B26" i="247"/>
  <c r="B38" i="247"/>
  <c r="B33" i="247"/>
  <c r="G27" i="247"/>
  <c r="B36" i="247"/>
  <c r="G30" i="247"/>
  <c r="G32" i="247"/>
  <c r="B31" i="247"/>
  <c r="G53" i="247"/>
  <c r="G15" i="247"/>
  <c r="B48" i="247"/>
  <c r="G29" i="247"/>
  <c r="B32" i="247"/>
  <c r="B30" i="247"/>
  <c r="G37" i="247"/>
  <c r="B35" i="247"/>
  <c r="B27" i="247"/>
  <c r="B50" i="247"/>
  <c r="B22" i="247"/>
  <c r="B49" i="247"/>
  <c r="B34" i="247"/>
  <c r="B44" i="247"/>
  <c r="G54" i="247"/>
  <c r="G50" i="247"/>
  <c r="B37" i="247"/>
  <c r="G43" i="247"/>
  <c r="Y109" i="229" l="1"/>
  <c r="Y110" i="229"/>
  <c r="Y107" i="229"/>
  <c r="Y105" i="229"/>
  <c r="Y111" i="229"/>
  <c r="Y106" i="229"/>
  <c r="Y108" i="229"/>
  <c r="S38" i="183"/>
  <c r="T38" i="183" s="1"/>
  <c r="T39" i="183" s="1"/>
  <c r="A13" i="247"/>
  <c r="A14" i="247" s="1"/>
  <c r="A15" i="247" s="1"/>
  <c r="A16" i="247" s="1"/>
  <c r="A17" i="247" s="1"/>
  <c r="A18" i="247" s="1"/>
  <c r="A19" i="247" s="1"/>
  <c r="A20" i="247" s="1"/>
  <c r="A21" i="247" s="1"/>
  <c r="A22" i="247" s="1"/>
  <c r="A23" i="247" s="1"/>
  <c r="A24" i="247" s="1"/>
  <c r="A25" i="247" s="1"/>
  <c r="A26" i="247" s="1"/>
  <c r="A27" i="247" s="1"/>
  <c r="A28" i="247" s="1"/>
  <c r="A29" i="247" s="1"/>
  <c r="A30" i="247" s="1"/>
  <c r="A31" i="247" s="1"/>
  <c r="A32" i="247" s="1"/>
  <c r="A33" i="247" s="1"/>
  <c r="A34" i="247" s="1"/>
  <c r="A35" i="247" s="1"/>
  <c r="A36" i="247" s="1"/>
  <c r="A37" i="247" s="1"/>
  <c r="A38" i="247" s="1"/>
  <c r="A39" i="247" s="1"/>
  <c r="A40" i="247" s="1"/>
  <c r="A41" i="247" s="1"/>
  <c r="A42" i="247" s="1"/>
  <c r="A43" i="247" s="1"/>
  <c r="A44" i="247" s="1"/>
  <c r="A45" i="247" s="1"/>
  <c r="A46" i="247" s="1"/>
  <c r="A47" i="247" s="1"/>
  <c r="A48" i="247" s="1"/>
  <c r="A49" i="247" s="1"/>
  <c r="A50" i="247" s="1"/>
  <c r="A51" i="247" s="1"/>
  <c r="A52" i="247" s="1"/>
  <c r="A53" i="247" s="1"/>
  <c r="A54" i="247" s="1"/>
  <c r="A55" i="247" s="1"/>
  <c r="A56" i="247" s="1"/>
  <c r="A57" i="247" s="1"/>
  <c r="B64" i="183" l="1"/>
  <c r="G64" i="183" s="1"/>
  <c r="K59" i="183" s="1"/>
  <c r="K60" i="183" s="1"/>
  <c r="T38" i="237"/>
  <c r="B62" i="237" s="1"/>
  <c r="B64" i="237" s="1"/>
  <c r="G66" i="183" l="1"/>
  <c r="G36" i="130"/>
  <c r="G37" i="130" s="1"/>
  <c r="B66" i="183"/>
  <c r="C61" i="183" s="1"/>
  <c r="F62" i="237"/>
  <c r="F64" i="237" s="1"/>
  <c r="C60" i="237"/>
  <c r="C58" i="237"/>
  <c r="C59" i="237"/>
  <c r="C63" i="237"/>
  <c r="C61" i="237"/>
  <c r="C56" i="237"/>
  <c r="C57" i="237"/>
  <c r="K60" i="237"/>
  <c r="C62" i="237"/>
  <c r="K62" i="183" l="1"/>
  <c r="C59" i="183"/>
  <c r="C65" i="183"/>
  <c r="C63" i="183"/>
  <c r="C62" i="183"/>
  <c r="C58" i="183"/>
  <c r="C36" i="130"/>
  <c r="C37" i="130" s="1"/>
  <c r="C64" i="183"/>
  <c r="C60" i="183"/>
  <c r="K57" i="237"/>
  <c r="K58" i="237" s="1"/>
  <c r="C64" i="237"/>
  <c r="C66" i="183" l="1"/>
  <c r="A37" i="130"/>
</calcChain>
</file>

<file path=xl/sharedStrings.xml><?xml version="1.0" encoding="utf-8"?>
<sst xmlns="http://schemas.openxmlformats.org/spreadsheetml/2006/main" count="14714" uniqueCount="3190">
  <si>
    <t>ITEM</t>
    <phoneticPr fontId="13" type="noConversion"/>
  </si>
  <si>
    <t>QTY</t>
    <phoneticPr fontId="13" type="noConversion"/>
  </si>
  <si>
    <t xml:space="preserve"> METER HEIGHT / GRADE</t>
    <phoneticPr fontId="13" type="noConversion"/>
  </si>
  <si>
    <t>POSITION OF PANEL</t>
    <phoneticPr fontId="13" type="noConversion"/>
  </si>
  <si>
    <t>ROOF PANEL</t>
    <phoneticPr fontId="13" type="noConversion"/>
  </si>
  <si>
    <t>WABT-1210NE</t>
  </si>
  <si>
    <t>1x1x0.5mH</t>
    <phoneticPr fontId="13" type="noConversion"/>
  </si>
  <si>
    <t>2x1x0.5mH</t>
    <phoneticPr fontId="13" type="noConversion"/>
  </si>
  <si>
    <t>전체괄호(CTRL+SHIFT+ENTER)</t>
    <phoneticPr fontId="13" type="noConversion"/>
  </si>
  <si>
    <t>WBR-7575Z</t>
  </si>
  <si>
    <t>WBR-5010Z</t>
  </si>
  <si>
    <t>WFF-1990ALZ</t>
  </si>
  <si>
    <t>WFF-0990ALZ</t>
  </si>
  <si>
    <t>WFF-2500ASZ</t>
  </si>
  <si>
    <t>WFF-2000ASZ</t>
  </si>
  <si>
    <t>WFF-1500ASZ</t>
  </si>
  <si>
    <t>WFF-1640ASZ</t>
  </si>
  <si>
    <t>WFF-1940ASZ</t>
  </si>
  <si>
    <t>WFF-0526AMZ</t>
  </si>
  <si>
    <t>WFF-0994AMZ</t>
  </si>
  <si>
    <t>WFF-1990CLZ</t>
  </si>
  <si>
    <t>WFF-0990CLZ</t>
  </si>
  <si>
    <t>WFF-2060CSZR</t>
  </si>
  <si>
    <t>WFF-2060CSZL</t>
  </si>
  <si>
    <t>WFF-2500CSZ</t>
  </si>
  <si>
    <t>WFF-2000CSZ</t>
  </si>
  <si>
    <t>WFF-1500CSZ</t>
  </si>
  <si>
    <t>WFF-1120CSZ</t>
  </si>
  <si>
    <t>WFF-1620CSZ</t>
  </si>
  <si>
    <t>WFF-2120CSZ</t>
  </si>
  <si>
    <t>WFF-2620CSZ</t>
  </si>
  <si>
    <t>WFF-1560CSZR</t>
  </si>
  <si>
    <t>WFF-1560CSZL</t>
  </si>
  <si>
    <t>WFF-2560CSZR</t>
  </si>
  <si>
    <t>WFF-2560CSZL</t>
  </si>
  <si>
    <t>WFF-0521AMZ</t>
  </si>
  <si>
    <t>WFF-0962AMZ</t>
  </si>
  <si>
    <t>WFF-0553AMZ</t>
  </si>
  <si>
    <t>WFF-1053AMZ</t>
  </si>
  <si>
    <t>WFF-1021AMZ</t>
  </si>
  <si>
    <t>WFF-1990HCLZ</t>
  </si>
  <si>
    <t>WFF-0990HCLZ</t>
  </si>
  <si>
    <t>WFF-2500HCSZ</t>
  </si>
  <si>
    <t>WFF-2000HCSZ</t>
  </si>
  <si>
    <t>WFF-1500HCSZ</t>
  </si>
  <si>
    <t>WFF-1640HCSZ</t>
  </si>
  <si>
    <t>WFF-1940HCSZ</t>
  </si>
  <si>
    <t>WFF-0526CMZ</t>
  </si>
  <si>
    <t>WFF-0994CMZ</t>
  </si>
  <si>
    <t xml:space="preserve"> </t>
    <phoneticPr fontId="13" type="noConversion"/>
  </si>
  <si>
    <t>`</t>
    <phoneticPr fontId="13" type="noConversion"/>
  </si>
  <si>
    <t>GRP</t>
  </si>
  <si>
    <t>GRP</t>
    <phoneticPr fontId="13" type="noConversion"/>
  </si>
  <si>
    <t>WBR-0240Z</t>
    <phoneticPr fontId="13" type="noConversion"/>
  </si>
  <si>
    <t>WBR-21590Z</t>
    <phoneticPr fontId="13" type="noConversion"/>
  </si>
  <si>
    <t>WBT-1058RD</t>
  </si>
  <si>
    <t>1. Panel Type : Using 1.5mH Wall(SIDE) PANEL for 1.5mH Tank / Using 2mH Wall(SIDE) Panel for 2mH Tank</t>
  </si>
  <si>
    <t>3. Skid Base Accessories : HDG, 1.0M contrete pads</t>
  </si>
  <si>
    <t>6. Air Vent : 50A, ABS with PE mesh insect guard</t>
  </si>
  <si>
    <t>7. Roof Support : GRP square bar</t>
  </si>
  <si>
    <t>9. Water Level Indicator : Aluminum Type (Dia. 15)</t>
  </si>
  <si>
    <t xml:space="preserve"> 1) Inlet Socket/Flange</t>
  </si>
  <si>
    <t xml:space="preserve"> 2) Outlet Socket/Flange</t>
  </si>
  <si>
    <t xml:space="preserve"> 3) Overflow Socket</t>
  </si>
  <si>
    <t xml:space="preserve"> 4) Drain Socket/Flange</t>
  </si>
  <si>
    <t>WBT-1035SA2</t>
  </si>
  <si>
    <t>WBT-1035SA4</t>
  </si>
  <si>
    <t>WBT-14120RD</t>
  </si>
  <si>
    <t>WBT-1035Z</t>
  </si>
  <si>
    <t>WBT-1440Z</t>
  </si>
  <si>
    <t>M12(DIA) Nut and Washer</t>
    <phoneticPr fontId="14" type="noConversion"/>
  </si>
  <si>
    <t>WLD-2500FI</t>
    <phoneticPr fontId="15" type="noConversion"/>
  </si>
  <si>
    <t>WLD-3000FI</t>
    <phoneticPr fontId="15" type="noConversion"/>
  </si>
  <si>
    <t>WLD-3500FI</t>
    <phoneticPr fontId="15" type="noConversion"/>
  </si>
  <si>
    <t>WLD-4000FI</t>
    <phoneticPr fontId="15" type="noConversion"/>
  </si>
  <si>
    <t>WLD-4500FI</t>
    <phoneticPr fontId="15" type="noConversion"/>
  </si>
  <si>
    <t>WLD-5000FI</t>
    <phoneticPr fontId="15" type="noConversion"/>
  </si>
  <si>
    <t>Level Indicator</t>
    <phoneticPr fontId="13" type="noConversion"/>
  </si>
  <si>
    <t>WBT-1058RSA4</t>
  </si>
  <si>
    <t>WBT-14120RSA4</t>
  </si>
  <si>
    <t>LNR-3.0T</t>
    <phoneticPr fontId="13" type="noConversion"/>
  </si>
  <si>
    <t>LNR-1.5T</t>
    <phoneticPr fontId="15" type="noConversion"/>
  </si>
  <si>
    <t>WLD-1500FI</t>
    <phoneticPr fontId="15" type="noConversion"/>
  </si>
  <si>
    <t>WLD-2000FI</t>
    <phoneticPr fontId="15" type="noConversion"/>
  </si>
  <si>
    <t>20ft</t>
  </si>
  <si>
    <t>20ft</t>
    <phoneticPr fontId="13" type="noConversion"/>
  </si>
  <si>
    <t>40ft</t>
  </si>
  <si>
    <t>40ft</t>
    <phoneticPr fontId="13" type="noConversion"/>
  </si>
  <si>
    <t>Container1</t>
    <phoneticPr fontId="13" type="noConversion"/>
  </si>
  <si>
    <t>Container2</t>
    <phoneticPr fontId="13" type="noConversion"/>
  </si>
  <si>
    <t>Payment Term</t>
    <phoneticPr fontId="13" type="noConversion"/>
  </si>
  <si>
    <t>PROFORMA INVOICE</t>
    <phoneticPr fontId="86" type="noConversion"/>
  </si>
  <si>
    <t xml:space="preserve">No. </t>
    <phoneticPr fontId="86" type="noConversion"/>
  </si>
  <si>
    <t>Messers.</t>
  </si>
  <si>
    <t>DATE:</t>
  </si>
  <si>
    <t>Gentlemen, we are very pleased to submit this profoma invoice to you as follows;</t>
    <phoneticPr fontId="86" type="noConversion"/>
  </si>
  <si>
    <t xml:space="preserve">PORT OF LOADING : </t>
    <phoneticPr fontId="86" type="noConversion"/>
  </si>
  <si>
    <t>Busan, Korea</t>
  </si>
  <si>
    <t xml:space="preserve">VALIDITY : </t>
    <phoneticPr fontId="86" type="noConversion"/>
  </si>
  <si>
    <t>4 weeks from PFI date</t>
    <phoneticPr fontId="86" type="noConversion"/>
  </si>
  <si>
    <t xml:space="preserve">PAYMENT TERM : </t>
    <phoneticPr fontId="86" type="noConversion"/>
  </si>
  <si>
    <t xml:space="preserve">ORIGIN : </t>
    <phoneticPr fontId="86" type="noConversion"/>
  </si>
  <si>
    <t>Rep. of Korea</t>
    <phoneticPr fontId="86" type="noConversion"/>
  </si>
  <si>
    <t xml:space="preserve">DELIVERY TERM : </t>
    <phoneticPr fontId="86" type="noConversion"/>
  </si>
  <si>
    <t>7 weeks from PO date</t>
    <phoneticPr fontId="86" type="noConversion"/>
  </si>
  <si>
    <t xml:space="preserve">INCOTERMS : </t>
    <phoneticPr fontId="86" type="noConversion"/>
  </si>
  <si>
    <t>FOB BUSAN</t>
    <phoneticPr fontId="86" type="noConversion"/>
  </si>
  <si>
    <t xml:space="preserve">PACKING : </t>
    <phoneticPr fontId="86" type="noConversion"/>
  </si>
  <si>
    <t>Export standard packing</t>
    <phoneticPr fontId="86" type="noConversion"/>
  </si>
  <si>
    <t>Note of Description</t>
    <phoneticPr fontId="86" type="noConversion"/>
  </si>
  <si>
    <t>PRODUCT</t>
  </si>
  <si>
    <t>TANK SIZE</t>
  </si>
  <si>
    <t>CAPACITY
(TON)</t>
  </si>
  <si>
    <t>UNIT PRICE
(USD)</t>
    <phoneticPr fontId="86" type="noConversion"/>
  </si>
  <si>
    <t>Q'TY</t>
  </si>
  <si>
    <t>TOTAL AMOUNT</t>
  </si>
  <si>
    <t>REMARK</t>
    <phoneticPr fontId="86" type="noConversion"/>
  </si>
  <si>
    <r>
      <t xml:space="preserve">GRP WATER TANK SET
</t>
    </r>
    <r>
      <rPr>
        <b/>
        <sz val="16"/>
        <color rgb="FFFF0000"/>
        <rFont val="Calibri"/>
        <family val="3"/>
        <charset val="129"/>
        <scheme val="minor"/>
      </rPr>
      <t xml:space="preserve">OR
</t>
    </r>
    <r>
      <rPr>
        <b/>
        <sz val="16"/>
        <color theme="1"/>
        <rFont val="Calibri"/>
        <family val="3"/>
        <charset val="129"/>
        <scheme val="minor"/>
      </rPr>
      <t xml:space="preserve">
STEEL MATERIAL ONLY</t>
    </r>
    <phoneticPr fontId="86" type="noConversion"/>
  </si>
  <si>
    <t xml:space="preserve">  1) Base Panel</t>
  </si>
  <si>
    <t xml:space="preserve">  2) Drain Panel</t>
  </si>
  <si>
    <t xml:space="preserve">  3) Wall Panel</t>
  </si>
  <si>
    <t xml:space="preserve">  4) Roof Panel</t>
  </si>
  <si>
    <t xml:space="preserve">  5) Manhole Panel</t>
  </si>
  <si>
    <t>2. Manhole Cover : Locking Type</t>
  </si>
  <si>
    <t>4. Internal Reinforced Accessories</t>
  </si>
  <si>
    <t xml:space="preserve">  1) Reinforced Steel Accessory - Plate</t>
  </si>
  <si>
    <t>STS304  /  STS316</t>
    <phoneticPr fontId="86" type="noConversion"/>
  </si>
  <si>
    <t xml:space="preserve">  2) Reinforced Steel Accessory - Tie Rod</t>
  </si>
  <si>
    <t xml:space="preserve">  3) Bolts &amp; nuts</t>
  </si>
  <si>
    <t xml:space="preserve">  4) Ladder</t>
  </si>
  <si>
    <t>GRP  /  STS304  /  STS316</t>
    <phoneticPr fontId="86" type="noConversion"/>
  </si>
  <si>
    <t>5. External Reinforced Accessories</t>
  </si>
  <si>
    <t xml:space="preserve">  1) Reinforced Steel Accessories - Plate</t>
  </si>
  <si>
    <t>HDG  /  STS304  /  STS316</t>
    <phoneticPr fontId="86" type="noConversion"/>
  </si>
  <si>
    <t xml:space="preserve">  2) Bolts &amp; nuts</t>
  </si>
  <si>
    <t xml:space="preserve">  3) Ladder</t>
  </si>
  <si>
    <t xml:space="preserve">  4) Safety Cage for External Ladder</t>
  </si>
  <si>
    <t>Included  /  Excluded</t>
    <phoneticPr fontId="86" type="noConversion"/>
  </si>
  <si>
    <t>8. Sealing Tape : EVA Foam Type</t>
  </si>
  <si>
    <t>10. Fitting Nozzle</t>
  </si>
  <si>
    <t>11. Installation fee : Excluded</t>
  </si>
  <si>
    <t xml:space="preserve">12. Supply Due Date : Within 3 weeks for working time, 4 weeks for delivery </t>
    <phoneticPr fontId="86" type="noConversion"/>
  </si>
  <si>
    <t>13. Warranty : 5 Years (KS standard) for Manufacturer's Defects Only Based on Portable Water Storage</t>
  </si>
  <si>
    <t xml:space="preserve">    * It is only applied to the use of STS316 for Internal Steel Accessories with Bolt&amp;Nut &amp; HDG for External Steel Accessories.</t>
  </si>
  <si>
    <t xml:space="preserve">    ** And we warrant and undertake that it shall use goods strictly in accordance with the technical documents supplied by DOORI CO., LTD.</t>
    <phoneticPr fontId="86" type="noConversion"/>
  </si>
  <si>
    <t>** It is going to Ex-work delivery if it is not 40ft full container amount.</t>
  </si>
  <si>
    <t>Accepted by :</t>
    <phoneticPr fontId="86" type="noConversion"/>
  </si>
  <si>
    <t>Non Insulated</t>
    <phoneticPr fontId="86" type="noConversion"/>
  </si>
  <si>
    <t>L/C at sight</t>
    <phoneticPr fontId="13" type="noConversion"/>
  </si>
  <si>
    <t xml:space="preserve">PORT OF DISCHARGE : </t>
    <phoneticPr fontId="86" type="noConversion"/>
  </si>
  <si>
    <t>PORT OF DISCHARGE</t>
    <phoneticPr fontId="13" type="noConversion"/>
  </si>
  <si>
    <t>WFB-0880ZP</t>
    <phoneticPr fontId="13" type="noConversion"/>
  </si>
  <si>
    <t>WFF-2620HCSZ</t>
    <phoneticPr fontId="13" type="noConversion"/>
  </si>
  <si>
    <t>WFF-1120HCSZ</t>
    <phoneticPr fontId="13" type="noConversion"/>
  </si>
  <si>
    <t>WFF-0553CMZ</t>
    <phoneticPr fontId="13" type="noConversion"/>
  </si>
  <si>
    <t>WFF-1053CMZ</t>
    <phoneticPr fontId="13" type="noConversion"/>
  </si>
  <si>
    <t>WFF-1021CMZ</t>
    <phoneticPr fontId="13" type="noConversion"/>
  </si>
  <si>
    <t>WBR-0120Z</t>
    <phoneticPr fontId="13" type="noConversion"/>
  </si>
  <si>
    <t>WBR-0150Z</t>
    <phoneticPr fontId="13" type="noConversion"/>
  </si>
  <si>
    <t>WBR-22310Z</t>
    <phoneticPr fontId="13" type="noConversion"/>
  </si>
  <si>
    <t>WFF-2140ASZ</t>
    <phoneticPr fontId="13" type="noConversion"/>
  </si>
  <si>
    <t>WFF-1140ASZ</t>
    <phoneticPr fontId="13" type="noConversion"/>
  </si>
  <si>
    <t>Width</t>
    <phoneticPr fontId="13" type="noConversion"/>
  </si>
  <si>
    <t>Length1</t>
    <phoneticPr fontId="13" type="noConversion"/>
  </si>
  <si>
    <t>Length2</t>
    <phoneticPr fontId="13" type="noConversion"/>
  </si>
  <si>
    <t>Length3</t>
    <phoneticPr fontId="13" type="noConversion"/>
  </si>
  <si>
    <t>Length4</t>
    <phoneticPr fontId="13" type="noConversion"/>
  </si>
  <si>
    <t>Height</t>
    <phoneticPr fontId="13" type="noConversion"/>
  </si>
  <si>
    <t>Q'ty</t>
    <phoneticPr fontId="13" type="noConversion"/>
  </si>
  <si>
    <t>Insulated or not</t>
    <phoneticPr fontId="13" type="noConversion"/>
  </si>
  <si>
    <t>Panel</t>
    <phoneticPr fontId="13" type="noConversion"/>
  </si>
  <si>
    <t>Steel Accessories</t>
    <phoneticPr fontId="13" type="noConversion"/>
  </si>
  <si>
    <t>Reinforcing</t>
    <phoneticPr fontId="13" type="noConversion"/>
  </si>
  <si>
    <t>A Project</t>
    <phoneticPr fontId="13" type="noConversion"/>
  </si>
  <si>
    <t>Mobile</t>
    <phoneticPr fontId="13" type="noConversion"/>
  </si>
  <si>
    <t>Bolts &amp; Nuts</t>
    <phoneticPr fontId="13" type="noConversion"/>
  </si>
  <si>
    <t>Part Name</t>
    <phoneticPr fontId="13" type="noConversion"/>
  </si>
  <si>
    <t>Part No.</t>
    <phoneticPr fontId="13" type="noConversion"/>
  </si>
  <si>
    <t>Q'ty</t>
    <phoneticPr fontId="13" type="noConversion"/>
  </si>
  <si>
    <t>Internal Tie-Rod</t>
    <phoneticPr fontId="13" type="noConversion"/>
  </si>
  <si>
    <t>Etc</t>
    <phoneticPr fontId="13" type="noConversion"/>
  </si>
  <si>
    <t>Internal Reinforcing</t>
    <phoneticPr fontId="13" type="noConversion"/>
  </si>
  <si>
    <t>Steel Skid</t>
    <phoneticPr fontId="13" type="noConversion"/>
  </si>
  <si>
    <t>Panels</t>
    <phoneticPr fontId="13" type="noConversion"/>
  </si>
  <si>
    <t>Receipt</t>
    <phoneticPr fontId="13" type="noConversion"/>
  </si>
  <si>
    <t>Customer :</t>
    <phoneticPr fontId="13" type="noConversion"/>
  </si>
  <si>
    <t>Order Date</t>
    <phoneticPr fontId="13" type="noConversion"/>
  </si>
  <si>
    <t>Panels</t>
    <phoneticPr fontId="13" type="noConversion"/>
  </si>
  <si>
    <t>Part Name</t>
    <phoneticPr fontId="13" type="noConversion"/>
  </si>
  <si>
    <t>Part No.</t>
    <phoneticPr fontId="13" type="noConversion"/>
  </si>
  <si>
    <t>Q'ty</t>
    <phoneticPr fontId="13" type="noConversion"/>
  </si>
  <si>
    <t>Total</t>
    <phoneticPr fontId="13" type="noConversion"/>
  </si>
  <si>
    <t>U/Price</t>
    <phoneticPr fontId="13" type="noConversion"/>
  </si>
  <si>
    <t>Bolts and Nuts</t>
    <phoneticPr fontId="13" type="noConversion"/>
  </si>
  <si>
    <t>External Reinforcing Items</t>
    <phoneticPr fontId="13" type="noConversion"/>
  </si>
  <si>
    <t>Internal Reinforcing Items</t>
    <phoneticPr fontId="13" type="noConversion"/>
  </si>
  <si>
    <t>Internal Tie Rod</t>
    <phoneticPr fontId="13" type="noConversion"/>
  </si>
  <si>
    <t>Fittings</t>
    <phoneticPr fontId="13" type="noConversion"/>
  </si>
  <si>
    <t>Panels</t>
    <phoneticPr fontId="13" type="noConversion"/>
  </si>
  <si>
    <t>Bolt &amp; Nuts</t>
    <phoneticPr fontId="13" type="noConversion"/>
  </si>
  <si>
    <t>External Reinforcing</t>
    <phoneticPr fontId="13" type="noConversion"/>
  </si>
  <si>
    <t>Interal Tie-rod</t>
    <phoneticPr fontId="13" type="noConversion"/>
  </si>
  <si>
    <t>Total</t>
    <phoneticPr fontId="13" type="noConversion"/>
  </si>
  <si>
    <t>GRP_Panel_Tank_Raw_Material_Cost</t>
    <phoneticPr fontId="13" type="noConversion"/>
  </si>
  <si>
    <t>TOTAL</t>
    <phoneticPr fontId="13" type="noConversion"/>
  </si>
  <si>
    <t>Panels</t>
    <phoneticPr fontId="13" type="noConversion"/>
  </si>
  <si>
    <t>Steel(Total)</t>
    <phoneticPr fontId="13" type="noConversion"/>
  </si>
  <si>
    <t>In/Ext Reinforcing</t>
    <phoneticPr fontId="13" type="noConversion"/>
  </si>
  <si>
    <t>BNW</t>
    <phoneticPr fontId="13" type="noConversion"/>
  </si>
  <si>
    <t>ETC</t>
    <phoneticPr fontId="13" type="noConversion"/>
  </si>
  <si>
    <t>Installation Fee</t>
    <phoneticPr fontId="13" type="noConversion"/>
  </si>
  <si>
    <t>YES</t>
    <phoneticPr fontId="13" type="noConversion"/>
  </si>
  <si>
    <t>NO</t>
    <phoneticPr fontId="13" type="noConversion"/>
  </si>
  <si>
    <t>Bolts &amp; Nuts</t>
    <phoneticPr fontId="13" type="noConversion"/>
  </si>
  <si>
    <t>Internal Tie-rod</t>
    <phoneticPr fontId="13" type="noConversion"/>
  </si>
  <si>
    <t>Internal Item</t>
    <phoneticPr fontId="13" type="noConversion"/>
  </si>
  <si>
    <t>SS316</t>
    <phoneticPr fontId="13" type="noConversion"/>
  </si>
  <si>
    <t>SS304</t>
    <phoneticPr fontId="13" type="noConversion"/>
  </si>
  <si>
    <t>Steel Skid</t>
    <phoneticPr fontId="13" type="noConversion"/>
  </si>
  <si>
    <t>SS304+PET Coated</t>
    <phoneticPr fontId="13" type="noConversion"/>
  </si>
  <si>
    <t>SS316+PET Coated</t>
    <phoneticPr fontId="13" type="noConversion"/>
  </si>
  <si>
    <t>Tie Rod Spec.</t>
    <phoneticPr fontId="13" type="noConversion"/>
  </si>
  <si>
    <t>3mH_Tie_Rod(2+1)</t>
    <phoneticPr fontId="13" type="noConversion"/>
  </si>
  <si>
    <t>3mH_Tie_Rod(1+1)</t>
    <phoneticPr fontId="13" type="noConversion"/>
  </si>
  <si>
    <t>EXT:HDG+INT:SS304</t>
    <phoneticPr fontId="13" type="noConversion"/>
  </si>
  <si>
    <t>EXT:HDG+INT:SS304+Roof:HDG</t>
    <phoneticPr fontId="13" type="noConversion"/>
  </si>
  <si>
    <t>EXT:SS304+INT:SS316</t>
    <phoneticPr fontId="13" type="noConversion"/>
  </si>
  <si>
    <t>EXT:HDG+INT:SS316</t>
    <phoneticPr fontId="13" type="noConversion"/>
  </si>
  <si>
    <t>INT/EXT:SS304</t>
    <phoneticPr fontId="13" type="noConversion"/>
  </si>
  <si>
    <t>INT/EXT:SS316</t>
    <phoneticPr fontId="13" type="noConversion"/>
  </si>
  <si>
    <t>Except BNW</t>
    <phoneticPr fontId="13" type="noConversion"/>
  </si>
  <si>
    <t>Except Panel BNW</t>
    <phoneticPr fontId="13" type="noConversion"/>
  </si>
  <si>
    <t>Not Included</t>
    <phoneticPr fontId="13" type="noConversion"/>
  </si>
  <si>
    <t>Non-Insulated</t>
    <phoneticPr fontId="13" type="noConversion"/>
  </si>
  <si>
    <t>Insulated</t>
    <phoneticPr fontId="13" type="noConversion"/>
  </si>
  <si>
    <t>Insulated Roof Only</t>
    <phoneticPr fontId="13" type="noConversion"/>
  </si>
  <si>
    <t>Insulated(Roof,Side)</t>
    <phoneticPr fontId="13" type="noConversion"/>
  </si>
  <si>
    <t>Non-insulated(Roof Only)</t>
    <phoneticPr fontId="13" type="noConversion"/>
  </si>
  <si>
    <t>SPEC.</t>
    <phoneticPr fontId="13" type="noConversion"/>
  </si>
  <si>
    <t>Q'TY</t>
    <phoneticPr fontId="13" type="noConversion"/>
  </si>
  <si>
    <t>Fittings &amp; Sockets</t>
    <phoneticPr fontId="13" type="noConversion"/>
  </si>
  <si>
    <t>Default</t>
  </si>
  <si>
    <t>Default</t>
    <phoneticPr fontId="13" type="noConversion"/>
  </si>
  <si>
    <t>Except SKB</t>
    <phoneticPr fontId="13" type="noConversion"/>
  </si>
  <si>
    <t>Internal Ladder</t>
    <phoneticPr fontId="13" type="noConversion"/>
  </si>
  <si>
    <t>Material</t>
    <phoneticPr fontId="13" type="noConversion"/>
  </si>
  <si>
    <t>Q'ty</t>
    <phoneticPr fontId="13" type="noConversion"/>
  </si>
  <si>
    <t>external Ladder</t>
    <phoneticPr fontId="13" type="noConversion"/>
  </si>
  <si>
    <t>SS316L</t>
    <phoneticPr fontId="13" type="noConversion"/>
  </si>
  <si>
    <t>Default</t>
    <phoneticPr fontId="13" type="noConversion"/>
  </si>
  <si>
    <t>HDG</t>
    <phoneticPr fontId="13" type="noConversion"/>
  </si>
  <si>
    <t>SS316</t>
    <phoneticPr fontId="13" type="noConversion"/>
  </si>
  <si>
    <t>Fitting &amp; Socket</t>
    <phoneticPr fontId="13" type="noConversion"/>
  </si>
  <si>
    <t>Customer Required</t>
    <phoneticPr fontId="13" type="noConversion"/>
  </si>
  <si>
    <t>Pillar(Q'ty)</t>
    <phoneticPr fontId="13" type="noConversion"/>
  </si>
  <si>
    <t>Lining Price</t>
    <phoneticPr fontId="13" type="noConversion"/>
  </si>
  <si>
    <t>General</t>
  </si>
  <si>
    <t>General</t>
    <phoneticPr fontId="13" type="noConversion"/>
  </si>
  <si>
    <t>Anti-Vacterial</t>
    <phoneticPr fontId="13" type="noConversion"/>
  </si>
  <si>
    <t>General</t>
    <phoneticPr fontId="13" type="noConversion"/>
  </si>
  <si>
    <t>No needed</t>
    <phoneticPr fontId="13" type="noConversion"/>
  </si>
  <si>
    <t>Special</t>
    <phoneticPr fontId="13" type="noConversion"/>
  </si>
  <si>
    <t>Q'ty</t>
    <phoneticPr fontId="13" type="noConversion"/>
  </si>
  <si>
    <t>Product Type</t>
    <phoneticPr fontId="13" type="noConversion"/>
  </si>
  <si>
    <t>Reinforcing Method</t>
    <phoneticPr fontId="13" type="noConversion"/>
  </si>
  <si>
    <t>AAA</t>
    <phoneticPr fontId="13" type="noConversion"/>
  </si>
  <si>
    <t>Installer Mob.</t>
    <phoneticPr fontId="13" type="noConversion"/>
  </si>
  <si>
    <t>111-111-1111</t>
    <phoneticPr fontId="13" type="noConversion"/>
  </si>
  <si>
    <t>1122-1111-1111</t>
    <phoneticPr fontId="13" type="noConversion"/>
  </si>
  <si>
    <t>Included</t>
    <phoneticPr fontId="13" type="noConversion"/>
  </si>
  <si>
    <t>Excluded</t>
  </si>
  <si>
    <t>Excluded</t>
    <phoneticPr fontId="13" type="noConversion"/>
  </si>
  <si>
    <t>Steel Accessories Price Table</t>
    <phoneticPr fontId="14" type="noConversion"/>
  </si>
  <si>
    <t>NO</t>
    <phoneticPr fontId="14" type="noConversion"/>
  </si>
  <si>
    <t>Part No.</t>
    <phoneticPr fontId="15" type="noConversion"/>
  </si>
  <si>
    <t>Buying Price</t>
    <phoneticPr fontId="15" type="noConversion"/>
  </si>
  <si>
    <t>Part Name(Korean)</t>
    <phoneticPr fontId="13" type="noConversion"/>
  </si>
  <si>
    <t>Part Name(English)</t>
    <phoneticPr fontId="13" type="noConversion"/>
  </si>
  <si>
    <t>As above, We recept materials</t>
    <phoneticPr fontId="13" type="noConversion"/>
  </si>
  <si>
    <t>Date :</t>
    <phoneticPr fontId="13" type="noConversion"/>
  </si>
  <si>
    <t>Page 1 of 1</t>
    <phoneticPr fontId="13" type="noConversion"/>
  </si>
  <si>
    <t>Bill of Material for GRP Panel Tank</t>
    <phoneticPr fontId="13" type="noConversion"/>
  </si>
  <si>
    <r>
      <rPr>
        <sz val="12"/>
        <color theme="0"/>
        <rFont val="HY강M"/>
        <family val="1"/>
        <charset val="129"/>
      </rPr>
      <t>상판난간대</t>
    </r>
    <phoneticPr fontId="13" type="noConversion"/>
  </si>
  <si>
    <r>
      <rPr>
        <sz val="12"/>
        <color theme="0"/>
        <rFont val="HY강M"/>
        <family val="1"/>
        <charset val="129"/>
      </rPr>
      <t>적용</t>
    </r>
    <phoneticPr fontId="13" type="noConversion"/>
  </si>
  <si>
    <r>
      <rPr>
        <sz val="12"/>
        <color theme="0"/>
        <rFont val="HY강M"/>
        <family val="1"/>
        <charset val="129"/>
      </rPr>
      <t>미터수</t>
    </r>
    <phoneticPr fontId="13" type="noConversion"/>
  </si>
  <si>
    <r>
      <rPr>
        <sz val="12"/>
        <rFont val="HY강M"/>
        <family val="1"/>
        <charset val="129"/>
      </rPr>
      <t>운송비</t>
    </r>
    <phoneticPr fontId="13" type="noConversion"/>
  </si>
  <si>
    <r>
      <rPr>
        <sz val="12"/>
        <rFont val="HY강M"/>
        <family val="1"/>
        <charset val="129"/>
      </rPr>
      <t>환율</t>
    </r>
    <phoneticPr fontId="13" type="noConversion"/>
  </si>
  <si>
    <t>GRP_Panel_Tank_Weight Table</t>
    <phoneticPr fontId="13" type="noConversion"/>
  </si>
  <si>
    <t>W/T</t>
    <phoneticPr fontId="13" type="noConversion"/>
  </si>
  <si>
    <t>Use Side Panel
(1mx1m)</t>
    <phoneticPr fontId="13" type="noConversion"/>
  </si>
  <si>
    <t xml:space="preserve">Fitting Type 1 </t>
    <phoneticPr fontId="13" type="noConversion"/>
  </si>
  <si>
    <t xml:space="preserve">Fitting Type 2 </t>
    <phoneticPr fontId="13" type="noConversion"/>
  </si>
  <si>
    <t xml:space="preserve">Fitting Type 3 </t>
    <phoneticPr fontId="13" type="noConversion"/>
  </si>
  <si>
    <t>Fitting Type4</t>
    <phoneticPr fontId="13" type="noConversion"/>
  </si>
  <si>
    <t>Fitting Type5</t>
    <phoneticPr fontId="13" type="noConversion"/>
  </si>
  <si>
    <t>WLD-1000FI</t>
    <phoneticPr fontId="15" type="noConversion"/>
  </si>
  <si>
    <t>Exernal Reinforcing</t>
    <phoneticPr fontId="13" type="noConversion"/>
  </si>
  <si>
    <t>Internal Ladder(1.0mH)</t>
    <phoneticPr fontId="13" type="noConversion"/>
  </si>
  <si>
    <t>Internal Ladder(1.5mH)</t>
    <phoneticPr fontId="13" type="noConversion"/>
  </si>
  <si>
    <t>Internal Ladder(2.0mH)</t>
    <phoneticPr fontId="13" type="noConversion"/>
  </si>
  <si>
    <t>Internal Ladder(2.5mH)</t>
    <phoneticPr fontId="13" type="noConversion"/>
  </si>
  <si>
    <t>Internal Ladder(3.0mH)</t>
    <phoneticPr fontId="13" type="noConversion"/>
  </si>
  <si>
    <t>Internal Ladder(4.5mH)</t>
    <phoneticPr fontId="13" type="noConversion"/>
  </si>
  <si>
    <t>Internal Ladder(3.5mH)</t>
    <phoneticPr fontId="13" type="noConversion"/>
  </si>
  <si>
    <t>Internal Ladder(4.0mH)</t>
    <phoneticPr fontId="13" type="noConversion"/>
  </si>
  <si>
    <t>Internal Ladder(5.0mH)</t>
    <phoneticPr fontId="13" type="noConversion"/>
  </si>
  <si>
    <t>External Reinforcing Parts
(HDG)</t>
    <phoneticPr fontId="13" type="noConversion"/>
  </si>
  <si>
    <t>Cross Bracket
(HDG)</t>
    <phoneticPr fontId="13" type="noConversion"/>
  </si>
  <si>
    <t>Part Name</t>
    <phoneticPr fontId="13" type="noConversion"/>
  </si>
  <si>
    <t>Q'ty</t>
    <phoneticPr fontId="13" type="noConversion"/>
  </si>
  <si>
    <t>전체괄호(CTRL+SHIFT+ENTER)</t>
    <phoneticPr fontId="13" type="noConversion"/>
  </si>
  <si>
    <t>W direction
(Tie rod Length)</t>
    <phoneticPr fontId="13" type="noConversion"/>
  </si>
  <si>
    <t>L1 direction
(Tie rod Length)</t>
    <phoneticPr fontId="13" type="noConversion"/>
  </si>
  <si>
    <t>L2 direction
(Tie rod Length)</t>
    <phoneticPr fontId="13" type="noConversion"/>
  </si>
  <si>
    <t>L3 direction
(Tie rod Length)</t>
    <phoneticPr fontId="13" type="noConversion"/>
  </si>
  <si>
    <t>L4 direction
(Tie rod Length)</t>
    <phoneticPr fontId="13" type="noConversion"/>
  </si>
  <si>
    <t>Tie-rod Q'ty Calculation</t>
    <phoneticPr fontId="13" type="noConversion"/>
  </si>
  <si>
    <t>Q'ty</t>
    <phoneticPr fontId="13" type="noConversion"/>
  </si>
  <si>
    <t>Result</t>
    <phoneticPr fontId="13" type="noConversion"/>
  </si>
  <si>
    <t>(Singature)</t>
    <phoneticPr fontId="13" type="noConversion"/>
  </si>
  <si>
    <t>Order No.</t>
    <phoneticPr fontId="13" type="noConversion"/>
  </si>
  <si>
    <t>Position 
of Sale Person</t>
    <phoneticPr fontId="13" type="noConversion"/>
  </si>
  <si>
    <t>Sales Person Name</t>
    <phoneticPr fontId="13" type="noConversion"/>
  </si>
  <si>
    <t>No. of Partition</t>
    <phoneticPr fontId="13" type="noConversion"/>
  </si>
  <si>
    <t>Location</t>
    <phoneticPr fontId="13" type="noConversion"/>
  </si>
  <si>
    <t>Destination</t>
    <phoneticPr fontId="13" type="noConversion"/>
  </si>
  <si>
    <t>Norminal CAPA</t>
    <phoneticPr fontId="13" type="noConversion"/>
  </si>
  <si>
    <t>Actual CAPA</t>
    <phoneticPr fontId="13" type="noConversion"/>
  </si>
  <si>
    <t>Q'ty</t>
    <phoneticPr fontId="13" type="noConversion"/>
  </si>
  <si>
    <t>75 Angle(Main Beam)</t>
    <phoneticPr fontId="13" type="noConversion"/>
  </si>
  <si>
    <t>125 Channel(Main Beam)</t>
    <phoneticPr fontId="13" type="noConversion"/>
  </si>
  <si>
    <t>150 Channel(Main Beam)</t>
    <phoneticPr fontId="13" type="noConversion"/>
  </si>
  <si>
    <t>Except SKD</t>
    <phoneticPr fontId="13" type="noConversion"/>
  </si>
  <si>
    <t>Steel Skid(Options)</t>
    <phoneticPr fontId="13" type="noConversion"/>
  </si>
  <si>
    <t>Result</t>
    <phoneticPr fontId="13" type="noConversion"/>
  </si>
  <si>
    <t>No</t>
    <phoneticPr fontId="13" type="noConversion"/>
  </si>
  <si>
    <r>
      <rPr>
        <sz val="10"/>
        <color theme="1"/>
        <rFont val="HY강M"/>
        <family val="1"/>
        <charset val="129"/>
      </rPr>
      <t>라이너</t>
    </r>
    <phoneticPr fontId="13" type="noConversion"/>
  </si>
  <si>
    <r>
      <t xml:space="preserve">M12 </t>
    </r>
    <r>
      <rPr>
        <sz val="10"/>
        <color theme="1"/>
        <rFont val="HY강M"/>
        <family val="1"/>
        <charset val="129"/>
      </rPr>
      <t>환봉고정너트</t>
    </r>
    <r>
      <rPr>
        <sz val="10"/>
        <color theme="1"/>
        <rFont val="Tahoma"/>
        <family val="2"/>
      </rPr>
      <t>/</t>
    </r>
    <r>
      <rPr>
        <sz val="10"/>
        <color theme="1"/>
        <rFont val="HY강M"/>
        <family val="1"/>
        <charset val="129"/>
      </rPr>
      <t>워셔</t>
    </r>
    <r>
      <rPr>
        <sz val="10"/>
        <color theme="1"/>
        <rFont val="Tahoma"/>
        <family val="2"/>
      </rPr>
      <t>(STS304)</t>
    </r>
    <phoneticPr fontId="13" type="noConversion"/>
  </si>
  <si>
    <r>
      <t xml:space="preserve">STS304 </t>
    </r>
    <r>
      <rPr>
        <sz val="10"/>
        <color theme="1"/>
        <rFont val="HY강M"/>
        <family val="1"/>
        <charset val="129"/>
      </rPr>
      <t>내부코너브라켓</t>
    </r>
    <phoneticPr fontId="13" type="noConversion"/>
  </si>
  <si>
    <r>
      <rPr>
        <sz val="10"/>
        <color theme="1"/>
        <rFont val="HY강M"/>
        <family val="1"/>
        <charset val="129"/>
      </rPr>
      <t>내부사다리</t>
    </r>
    <r>
      <rPr>
        <sz val="10"/>
        <color theme="1"/>
        <rFont val="Tahoma"/>
        <family val="2"/>
      </rPr>
      <t>(FRP</t>
    </r>
    <r>
      <rPr>
        <sz val="10"/>
        <color theme="1"/>
        <rFont val="HY강M"/>
        <family val="1"/>
        <charset val="129"/>
      </rPr>
      <t>인발</t>
    </r>
    <r>
      <rPr>
        <sz val="10"/>
        <color theme="1"/>
        <rFont val="Tahoma"/>
        <family val="2"/>
      </rPr>
      <t>)</t>
    </r>
    <phoneticPr fontId="13" type="noConversion"/>
  </si>
  <si>
    <r>
      <rPr>
        <sz val="10"/>
        <color theme="1"/>
        <rFont val="HY강M"/>
        <family val="1"/>
        <charset val="129"/>
      </rPr>
      <t>내부지주</t>
    </r>
    <r>
      <rPr>
        <sz val="10"/>
        <color theme="1"/>
        <rFont val="Tahoma"/>
        <family val="2"/>
      </rPr>
      <t>(FRP</t>
    </r>
    <r>
      <rPr>
        <sz val="10"/>
        <color theme="1"/>
        <rFont val="HY강M"/>
        <family val="1"/>
        <charset val="129"/>
      </rPr>
      <t>인발</t>
    </r>
    <r>
      <rPr>
        <sz val="10"/>
        <color theme="1"/>
        <rFont val="Tahoma"/>
        <family val="2"/>
      </rPr>
      <t>)</t>
    </r>
    <phoneticPr fontId="13" type="noConversion"/>
  </si>
  <si>
    <r>
      <t xml:space="preserve">STS304 M12 </t>
    </r>
    <r>
      <rPr>
        <sz val="10"/>
        <color theme="1"/>
        <rFont val="HY강M"/>
        <family val="1"/>
        <charset val="129"/>
      </rPr>
      <t>환봉슬리브</t>
    </r>
    <phoneticPr fontId="13" type="noConversion"/>
  </si>
  <si>
    <r>
      <t xml:space="preserve">STS316 M12 </t>
    </r>
    <r>
      <rPr>
        <sz val="10"/>
        <color theme="1"/>
        <rFont val="HY강M"/>
        <family val="1"/>
        <charset val="129"/>
      </rPr>
      <t>환봉슬리브</t>
    </r>
    <phoneticPr fontId="13" type="noConversion"/>
  </si>
  <si>
    <r>
      <t xml:space="preserve">SS304 </t>
    </r>
    <r>
      <rPr>
        <sz val="10"/>
        <color theme="1"/>
        <rFont val="HY강M"/>
        <family val="1"/>
        <charset val="129"/>
      </rPr>
      <t>환봉</t>
    </r>
    <phoneticPr fontId="13" type="noConversion"/>
  </si>
  <si>
    <r>
      <t xml:space="preserve">SS316 </t>
    </r>
    <r>
      <rPr>
        <sz val="10"/>
        <color theme="1"/>
        <rFont val="HY강M"/>
        <family val="1"/>
        <charset val="129"/>
      </rPr>
      <t>환봉</t>
    </r>
    <phoneticPr fontId="13" type="noConversion"/>
  </si>
  <si>
    <t>(Table 3)</t>
    <phoneticPr fontId="14" type="noConversion"/>
  </si>
  <si>
    <t>A Kind of Panel</t>
    <phoneticPr fontId="13" type="noConversion"/>
  </si>
  <si>
    <t>WSD-015A</t>
    <phoneticPr fontId="13" type="noConversion"/>
  </si>
  <si>
    <t>WSD-020A</t>
    <phoneticPr fontId="13" type="noConversion"/>
  </si>
  <si>
    <t>WSD-025A</t>
    <phoneticPr fontId="13" type="noConversion"/>
  </si>
  <si>
    <t>WSD-032A</t>
    <phoneticPr fontId="13" type="noConversion"/>
  </si>
  <si>
    <t>WSD-040A</t>
    <phoneticPr fontId="13" type="noConversion"/>
  </si>
  <si>
    <t>WSD-050A</t>
    <phoneticPr fontId="13" type="noConversion"/>
  </si>
  <si>
    <t>WFL-065A</t>
    <phoneticPr fontId="13" type="noConversion"/>
  </si>
  <si>
    <t>WFL-080A</t>
    <phoneticPr fontId="13" type="noConversion"/>
  </si>
  <si>
    <t>WFL-100A</t>
    <phoneticPr fontId="13" type="noConversion"/>
  </si>
  <si>
    <t>WFL-125A</t>
    <phoneticPr fontId="13" type="noConversion"/>
  </si>
  <si>
    <t>WFL-150A</t>
    <phoneticPr fontId="13" type="noConversion"/>
  </si>
  <si>
    <t>WFL-200A</t>
    <phoneticPr fontId="13" type="noConversion"/>
  </si>
  <si>
    <t>WSF-065A</t>
    <phoneticPr fontId="13" type="noConversion"/>
  </si>
  <si>
    <t>WSF-080A</t>
    <phoneticPr fontId="13" type="noConversion"/>
  </si>
  <si>
    <t>WSF-100A</t>
    <phoneticPr fontId="13" type="noConversion"/>
  </si>
  <si>
    <t>WSF-125A</t>
    <phoneticPr fontId="13" type="noConversion"/>
  </si>
  <si>
    <t>WSF-150A</t>
    <phoneticPr fontId="13" type="noConversion"/>
  </si>
  <si>
    <t>WFL-250A</t>
    <phoneticPr fontId="13" type="noConversion"/>
  </si>
  <si>
    <t>WFL-300A</t>
    <phoneticPr fontId="13" type="noConversion"/>
  </si>
  <si>
    <t>W(Width)</t>
    <phoneticPr fontId="13" type="noConversion"/>
  </si>
  <si>
    <t>L1(Length1)</t>
    <phoneticPr fontId="13" type="noConversion"/>
  </si>
  <si>
    <t>Integer</t>
    <phoneticPr fontId="13" type="noConversion"/>
  </si>
  <si>
    <t>Decimal</t>
    <phoneticPr fontId="13" type="noConversion"/>
  </si>
  <si>
    <t>L2(Length2)</t>
    <phoneticPr fontId="13" type="noConversion"/>
  </si>
  <si>
    <t>L3(Length3)</t>
    <phoneticPr fontId="13" type="noConversion"/>
  </si>
  <si>
    <t>L4(Length4)</t>
    <phoneticPr fontId="13" type="noConversion"/>
  </si>
  <si>
    <t>H(Height)</t>
    <phoneticPr fontId="13" type="noConversion"/>
  </si>
  <si>
    <t>Side+Bottom</t>
    <phoneticPr fontId="13" type="noConversion"/>
  </si>
  <si>
    <t>Side+Side
(Horizontal)</t>
    <phoneticPr fontId="13" type="noConversion"/>
  </si>
  <si>
    <t>Corner
(Side Vertical)</t>
    <phoneticPr fontId="13" type="noConversion"/>
  </si>
  <si>
    <t>Flat(0.5x1m)</t>
    <phoneticPr fontId="13" type="noConversion"/>
  </si>
  <si>
    <t>Bottom+Bottom</t>
    <phoneticPr fontId="13" type="noConversion"/>
  </si>
  <si>
    <t>No. of Flat PNL</t>
    <phoneticPr fontId="13" type="noConversion"/>
  </si>
  <si>
    <t>Partition+Bottom</t>
    <phoneticPr fontId="13" type="noConversion"/>
  </si>
  <si>
    <t>Partition+Side</t>
    <phoneticPr fontId="13" type="noConversion"/>
  </si>
  <si>
    <t>Part ID</t>
    <phoneticPr fontId="13" type="noConversion"/>
  </si>
  <si>
    <t>Q'ty</t>
    <phoneticPr fontId="13" type="noConversion"/>
  </si>
  <si>
    <r>
      <rPr>
        <sz val="14"/>
        <rFont val="돋움"/>
        <family val="3"/>
        <charset val="129"/>
      </rPr>
      <t>전체괄호</t>
    </r>
    <r>
      <rPr>
        <sz val="14"/>
        <rFont val="Tahoma"/>
        <family val="2"/>
      </rPr>
      <t>(CTRL+SHIFT+ENTER)</t>
    </r>
    <phoneticPr fontId="13" type="noConversion"/>
  </si>
  <si>
    <r>
      <rPr>
        <sz val="14"/>
        <rFont val="돋움"/>
        <family val="3"/>
        <charset val="129"/>
      </rPr>
      <t>두리기업</t>
    </r>
    <phoneticPr fontId="13" type="noConversion"/>
  </si>
  <si>
    <r>
      <rPr>
        <sz val="14"/>
        <rFont val="돋움"/>
        <family val="3"/>
        <charset val="129"/>
      </rPr>
      <t>코반</t>
    </r>
    <phoneticPr fontId="13" type="noConversion"/>
  </si>
  <si>
    <t>Type1</t>
    <phoneticPr fontId="13" type="noConversion"/>
  </si>
  <si>
    <r>
      <rPr>
        <sz val="14"/>
        <rFont val="HY크리스탈M"/>
        <family val="1"/>
        <charset val="129"/>
      </rPr>
      <t>두리</t>
    </r>
    <phoneticPr fontId="13" type="noConversion"/>
  </si>
  <si>
    <r>
      <rPr>
        <sz val="14"/>
        <rFont val="HY크리스탈M"/>
        <family val="1"/>
        <charset val="129"/>
      </rPr>
      <t>코반</t>
    </r>
    <phoneticPr fontId="13" type="noConversion"/>
  </si>
  <si>
    <t>Side+Side
(Vertical)</t>
    <phoneticPr fontId="13" type="noConversion"/>
  </si>
  <si>
    <t>Partition+Partition
(Vertical)</t>
    <phoneticPr fontId="13" type="noConversion"/>
  </si>
  <si>
    <t>Partition+Partition
(Horizontal)</t>
    <phoneticPr fontId="13" type="noConversion"/>
  </si>
  <si>
    <t>Result</t>
    <phoneticPr fontId="13" type="noConversion"/>
  </si>
  <si>
    <t>Total</t>
    <phoneticPr fontId="13" type="noConversion"/>
  </si>
  <si>
    <t>Except Roof</t>
    <phoneticPr fontId="13" type="noConversion"/>
  </si>
  <si>
    <t>TYPE1</t>
    <phoneticPr fontId="13" type="noConversion"/>
  </si>
  <si>
    <t>TYPE2</t>
    <phoneticPr fontId="13" type="noConversion"/>
  </si>
  <si>
    <t>TYPE3</t>
    <phoneticPr fontId="13" type="noConversion"/>
  </si>
  <si>
    <t>Type1</t>
    <phoneticPr fontId="13" type="noConversion"/>
  </si>
  <si>
    <t>Type2</t>
    <phoneticPr fontId="13" type="noConversion"/>
  </si>
  <si>
    <t>Type3</t>
    <phoneticPr fontId="13" type="noConversion"/>
  </si>
  <si>
    <t>SPEC.</t>
    <phoneticPr fontId="14" type="noConversion"/>
  </si>
  <si>
    <t>Weight</t>
    <phoneticPr fontId="15" type="noConversion"/>
  </si>
  <si>
    <t>PRICE/M2</t>
    <phoneticPr fontId="13" type="noConversion"/>
  </si>
  <si>
    <t>Panel</t>
    <phoneticPr fontId="13" type="noConversion"/>
  </si>
  <si>
    <t>Steel Acc.</t>
    <phoneticPr fontId="13" type="noConversion"/>
  </si>
  <si>
    <t>PRICE/TON</t>
    <phoneticPr fontId="13" type="noConversion"/>
  </si>
  <si>
    <t>Roundup</t>
    <phoneticPr fontId="13" type="noConversion"/>
  </si>
  <si>
    <t>ABC</t>
    <phoneticPr fontId="13" type="noConversion"/>
  </si>
  <si>
    <t>Director</t>
    <phoneticPr fontId="13" type="noConversion"/>
  </si>
  <si>
    <t>REF.</t>
    <phoneticPr fontId="13" type="noConversion"/>
  </si>
  <si>
    <t>PANEL GRADE TABLE</t>
    <phoneticPr fontId="13" type="noConversion"/>
  </si>
  <si>
    <t>1.0 X 1.5 Panel</t>
    <phoneticPr fontId="13" type="noConversion"/>
  </si>
  <si>
    <t>Use 1x1.5</t>
    <phoneticPr fontId="13" type="noConversion"/>
  </si>
  <si>
    <t>Use 1x1</t>
    <phoneticPr fontId="13" type="noConversion"/>
  </si>
  <si>
    <t>1.0 X 2.0 Panel</t>
    <phoneticPr fontId="13" type="noConversion"/>
  </si>
  <si>
    <t>Use 1x2.0</t>
    <phoneticPr fontId="13" type="noConversion"/>
  </si>
  <si>
    <t>1.0 X 1.0 Panel</t>
    <phoneticPr fontId="13" type="noConversion"/>
  </si>
  <si>
    <t>MIDDLE_MIDDLE</t>
    <phoneticPr fontId="13" type="noConversion"/>
  </si>
  <si>
    <t>SIDE_BOTTOM</t>
    <phoneticPr fontId="13" type="noConversion"/>
  </si>
  <si>
    <t>PARTITION 
PANEL</t>
    <phoneticPr fontId="13" type="noConversion"/>
  </si>
  <si>
    <t>□</t>
    <phoneticPr fontId="13" type="noConversion"/>
  </si>
  <si>
    <t>Roundup</t>
    <phoneticPr fontId="13" type="noConversion"/>
  </si>
  <si>
    <r>
      <rPr>
        <sz val="20"/>
        <rFont val="돋움"/>
        <family val="3"/>
        <charset val="129"/>
      </rPr>
      <t>▣</t>
    </r>
    <r>
      <rPr>
        <sz val="20"/>
        <rFont val="Tahoma"/>
        <family val="2"/>
      </rPr>
      <t xml:space="preserve"> Date :</t>
    </r>
    <phoneticPr fontId="13" type="noConversion"/>
  </si>
  <si>
    <t>US$</t>
    <phoneticPr fontId="15" type="noConversion"/>
  </si>
  <si>
    <t xml:space="preserve">Fitting Panel(0.5x1m) </t>
    <phoneticPr fontId="13" type="noConversion"/>
  </si>
  <si>
    <t>HDG</t>
  </si>
  <si>
    <t>043-0000-0000</t>
    <phoneticPr fontId="13" type="noConversion"/>
  </si>
  <si>
    <t>layer</t>
    <phoneticPr fontId="24" type="noConversion"/>
  </si>
  <si>
    <t>M12</t>
    <phoneticPr fontId="13" type="noConversion"/>
  </si>
  <si>
    <t>Nos of Tie -rod</t>
    <phoneticPr fontId="24" type="noConversion"/>
  </si>
  <si>
    <t>Channel 125</t>
    <phoneticPr fontId="13" type="noConversion"/>
  </si>
  <si>
    <r>
      <rPr>
        <sz val="11"/>
        <rFont val="돋움"/>
        <family val="3"/>
        <charset val="129"/>
      </rPr>
      <t>▣</t>
    </r>
    <r>
      <rPr>
        <sz val="11"/>
        <rFont val="돋움"/>
        <family val="2"/>
        <charset val="129"/>
      </rPr>
      <t xml:space="preserve"> Date :</t>
    </r>
    <phoneticPr fontId="13" type="noConversion"/>
  </si>
  <si>
    <t>Side+Bottom</t>
    <phoneticPr fontId="13" type="noConversion"/>
  </si>
  <si>
    <t>Side+Side
(Horizontal )</t>
    <phoneticPr fontId="13" type="noConversion"/>
  </si>
  <si>
    <t>Corner 
(Side:Vertical)</t>
    <phoneticPr fontId="13" type="noConversion"/>
  </si>
  <si>
    <t>Flat
0.5 x 1m</t>
    <phoneticPr fontId="13" type="noConversion"/>
  </si>
  <si>
    <t>Bottom
+Bottom</t>
    <phoneticPr fontId="13" type="noConversion"/>
  </si>
  <si>
    <t>Side+Side
(Vertical )</t>
    <phoneticPr fontId="13" type="noConversion"/>
  </si>
  <si>
    <t>MANHOLE</t>
    <phoneticPr fontId="13" type="noConversion"/>
  </si>
  <si>
    <t>ROOF(1X1M)</t>
    <phoneticPr fontId="13" type="noConversion"/>
  </si>
  <si>
    <t>ROOF(0.5X1M)</t>
    <phoneticPr fontId="13" type="noConversion"/>
  </si>
  <si>
    <t>ROOF(0.5X0.5M)</t>
    <phoneticPr fontId="13" type="noConversion"/>
  </si>
  <si>
    <t>BOTTOM(0.5X1M)</t>
    <phoneticPr fontId="13" type="noConversion"/>
  </si>
  <si>
    <t>BOTTOM(0.5X0.5M)</t>
    <phoneticPr fontId="13" type="noConversion"/>
  </si>
  <si>
    <t>DRAIN(1X1M)</t>
    <phoneticPr fontId="13" type="noConversion"/>
  </si>
  <si>
    <t>25L</t>
    <phoneticPr fontId="13" type="noConversion"/>
  </si>
  <si>
    <t>30L</t>
    <phoneticPr fontId="13" type="noConversion"/>
  </si>
  <si>
    <t>35L</t>
    <phoneticPr fontId="13" type="noConversion"/>
  </si>
  <si>
    <t>40L</t>
    <phoneticPr fontId="13" type="noConversion"/>
  </si>
  <si>
    <t>45L</t>
    <phoneticPr fontId="13" type="noConversion"/>
  </si>
  <si>
    <t>50L</t>
    <phoneticPr fontId="13" type="noConversion"/>
  </si>
  <si>
    <t>Tie-rod Length(General TANK)</t>
    <phoneticPr fontId="24" type="noConversion"/>
  </si>
  <si>
    <t>Tie-rod Length(Partition Tank)</t>
    <phoneticPr fontId="24" type="noConversion"/>
  </si>
  <si>
    <t>Roof</t>
    <phoneticPr fontId="13" type="noConversion"/>
  </si>
  <si>
    <t>Drain</t>
    <phoneticPr fontId="13" type="noConversion"/>
  </si>
  <si>
    <t>HEIGHT</t>
  </si>
  <si>
    <t>Bottom for Partition</t>
    <phoneticPr fontId="13" type="noConversion"/>
  </si>
  <si>
    <t>RooF</t>
    <phoneticPr fontId="13" type="noConversion"/>
  </si>
  <si>
    <t>Manhole</t>
    <phoneticPr fontId="13" type="noConversion"/>
  </si>
  <si>
    <t>Bottom</t>
    <phoneticPr fontId="13" type="noConversion"/>
  </si>
  <si>
    <t>Drain(Normal)</t>
    <phoneticPr fontId="13" type="noConversion"/>
  </si>
  <si>
    <t>CODE</t>
    <phoneticPr fontId="13" type="noConversion"/>
  </si>
  <si>
    <t>I</t>
    <phoneticPr fontId="13" type="noConversion"/>
  </si>
  <si>
    <t>BASE(1X1M)</t>
  </si>
  <si>
    <t>BASE(1X1M)</t>
    <phoneticPr fontId="13" type="noConversion"/>
  </si>
  <si>
    <t>BASE PANEL</t>
    <phoneticPr fontId="13" type="noConversion"/>
  </si>
  <si>
    <t>15S</t>
    <phoneticPr fontId="13" type="noConversion"/>
  </si>
  <si>
    <t>15SL</t>
    <phoneticPr fontId="13" type="noConversion"/>
  </si>
  <si>
    <t>15SR</t>
    <phoneticPr fontId="13" type="noConversion"/>
  </si>
  <si>
    <t>15T</t>
    <phoneticPr fontId="13" type="noConversion"/>
  </si>
  <si>
    <t>15TL</t>
    <phoneticPr fontId="13" type="noConversion"/>
  </si>
  <si>
    <t>15TR</t>
    <phoneticPr fontId="13" type="noConversion"/>
  </si>
  <si>
    <t>20SL</t>
    <phoneticPr fontId="13" type="noConversion"/>
  </si>
  <si>
    <t>20SR</t>
    <phoneticPr fontId="13" type="noConversion"/>
  </si>
  <si>
    <t>20TL</t>
    <phoneticPr fontId="13" type="noConversion"/>
  </si>
  <si>
    <t>20TR</t>
    <phoneticPr fontId="13" type="noConversion"/>
  </si>
  <si>
    <t>1. PARTITION PANEL WILL NOT INSTALLED ON 0.5X1M BOTTOM.</t>
    <phoneticPr fontId="13" type="noConversion"/>
  </si>
  <si>
    <t>15M</t>
    <phoneticPr fontId="13" type="noConversion"/>
  </si>
  <si>
    <t>15ML</t>
    <phoneticPr fontId="13" type="noConversion"/>
  </si>
  <si>
    <t>15MR</t>
    <phoneticPr fontId="13" type="noConversion"/>
  </si>
  <si>
    <t>20S</t>
    <phoneticPr fontId="13" type="noConversion"/>
  </si>
  <si>
    <t>20T</t>
    <phoneticPr fontId="13" type="noConversion"/>
  </si>
  <si>
    <t>00M</t>
    <phoneticPr fontId="13" type="noConversion"/>
  </si>
  <si>
    <t>10M</t>
    <phoneticPr fontId="13" type="noConversion"/>
  </si>
  <si>
    <t>15M</t>
    <phoneticPr fontId="13" type="noConversion"/>
  </si>
  <si>
    <t>20M</t>
    <phoneticPr fontId="13" type="noConversion"/>
  </si>
  <si>
    <t>25M</t>
    <phoneticPr fontId="13" type="noConversion"/>
  </si>
  <si>
    <t>30M</t>
    <phoneticPr fontId="13" type="noConversion"/>
  </si>
  <si>
    <t>35M</t>
    <phoneticPr fontId="13" type="noConversion"/>
  </si>
  <si>
    <t>40M</t>
    <phoneticPr fontId="13" type="noConversion"/>
  </si>
  <si>
    <t>45M</t>
    <phoneticPr fontId="13" type="noConversion"/>
  </si>
  <si>
    <t>50M</t>
    <phoneticPr fontId="13" type="noConversion"/>
  </si>
  <si>
    <t>10P</t>
    <phoneticPr fontId="13" type="noConversion"/>
  </si>
  <si>
    <t>15P</t>
    <phoneticPr fontId="13" type="noConversion"/>
  </si>
  <si>
    <t>20P</t>
    <phoneticPr fontId="13" type="noConversion"/>
  </si>
  <si>
    <t>25P</t>
    <phoneticPr fontId="13" type="noConversion"/>
  </si>
  <si>
    <t>30P</t>
    <phoneticPr fontId="13" type="noConversion"/>
  </si>
  <si>
    <t>35P</t>
    <phoneticPr fontId="13" type="noConversion"/>
  </si>
  <si>
    <t>40P</t>
    <phoneticPr fontId="13" type="noConversion"/>
  </si>
  <si>
    <t>45P</t>
    <phoneticPr fontId="13" type="noConversion"/>
  </si>
  <si>
    <t>50P</t>
    <phoneticPr fontId="13" type="noConversion"/>
  </si>
  <si>
    <t>SL</t>
    <phoneticPr fontId="13" type="noConversion"/>
  </si>
  <si>
    <t>0.5 X 1.5 PANEL</t>
    <phoneticPr fontId="13" type="noConversion"/>
  </si>
  <si>
    <t xml:space="preserve">Use 0.5x1M </t>
    <phoneticPr fontId="13" type="noConversion"/>
  </si>
  <si>
    <t xml:space="preserve">Use 0.5x0.5M </t>
    <phoneticPr fontId="13" type="noConversion"/>
  </si>
  <si>
    <t>05T</t>
    <phoneticPr fontId="13" type="noConversion"/>
  </si>
  <si>
    <t>0.5 X 2.0 PANEL</t>
    <phoneticPr fontId="13" type="noConversion"/>
  </si>
  <si>
    <t>20L</t>
    <phoneticPr fontId="13" type="noConversion"/>
  </si>
  <si>
    <t>20M</t>
    <phoneticPr fontId="13" type="noConversion"/>
  </si>
  <si>
    <t>15L</t>
    <phoneticPr fontId="13" type="noConversion"/>
  </si>
  <si>
    <t>Use 1x1.0</t>
    <phoneticPr fontId="13" type="noConversion"/>
  </si>
  <si>
    <t>10T</t>
    <phoneticPr fontId="13" type="noConversion"/>
  </si>
  <si>
    <t>10TL</t>
    <phoneticPr fontId="13" type="noConversion"/>
  </si>
  <si>
    <t>10TR</t>
    <phoneticPr fontId="13" type="noConversion"/>
  </si>
  <si>
    <t>Instead of 1.0 X 1.5 Panel, Use 1.0x1.0M and 0.5x1.0M Panel</t>
    <phoneticPr fontId="13" type="noConversion"/>
  </si>
  <si>
    <t>Instead of 1.0 X 2.0 Pane, Use 1.0x1.0M PNLS</t>
    <phoneticPr fontId="13" type="noConversion"/>
  </si>
  <si>
    <t>25MR</t>
    <phoneticPr fontId="13" type="noConversion"/>
  </si>
  <si>
    <t>30MR</t>
    <phoneticPr fontId="13" type="noConversion"/>
  </si>
  <si>
    <t>25ML</t>
    <phoneticPr fontId="13" type="noConversion"/>
  </si>
  <si>
    <t>30ML</t>
    <phoneticPr fontId="13" type="noConversion"/>
  </si>
  <si>
    <t>10S</t>
    <phoneticPr fontId="13" type="noConversion"/>
  </si>
  <si>
    <r>
      <t>2. DRAIN PANEL</t>
    </r>
    <r>
      <rPr>
        <sz val="10"/>
        <rFont val="돋움"/>
        <family val="3"/>
        <charset val="129"/>
      </rPr>
      <t>은</t>
    </r>
    <r>
      <rPr>
        <sz val="10"/>
        <rFont val="Tahoma"/>
        <family val="2"/>
      </rPr>
      <t xml:space="preserve"> PARTITION</t>
    </r>
    <r>
      <rPr>
        <sz val="10"/>
        <rFont val="돋움"/>
        <family val="3"/>
        <charset val="129"/>
      </rPr>
      <t>에</t>
    </r>
    <r>
      <rPr>
        <sz val="10"/>
        <rFont val="Tahoma"/>
        <family val="2"/>
      </rPr>
      <t xml:space="preserve"> </t>
    </r>
    <r>
      <rPr>
        <sz val="10"/>
        <rFont val="돋움"/>
        <family val="3"/>
        <charset val="129"/>
      </rPr>
      <t>놓이지</t>
    </r>
    <r>
      <rPr>
        <sz val="10"/>
        <rFont val="Tahoma"/>
        <family val="2"/>
      </rPr>
      <t xml:space="preserve"> </t>
    </r>
    <r>
      <rPr>
        <sz val="10"/>
        <rFont val="돋움"/>
        <family val="3"/>
        <charset val="129"/>
      </rPr>
      <t>않는다</t>
    </r>
    <phoneticPr fontId="13" type="noConversion"/>
  </si>
  <si>
    <t>1.0 X 1.0 Panel
(MIDDLE-LOWER)</t>
    <phoneticPr fontId="13" type="noConversion"/>
  </si>
  <si>
    <t>1.0 X 1.0 Panel
(MIDDLE-TOP)</t>
    <phoneticPr fontId="13" type="noConversion"/>
  </si>
  <si>
    <t>1.0 X 1.0 Panel
(LOWER)</t>
    <phoneticPr fontId="13" type="noConversion"/>
  </si>
  <si>
    <t>SIDE 
PANEL
(TOP
/SINGLE TIER)</t>
  </si>
  <si>
    <t>SIDE 
PANEL
(TOP
/SINGLE TIER)</t>
    <phoneticPr fontId="13" type="noConversion"/>
  </si>
  <si>
    <t>SIDE 
PANEL
(LOWER
/SINGLE TIER)</t>
    <phoneticPr fontId="13" type="noConversion"/>
  </si>
  <si>
    <t>25LL</t>
    <phoneticPr fontId="13" type="noConversion"/>
  </si>
  <si>
    <t>25LR</t>
    <phoneticPr fontId="13" type="noConversion"/>
  </si>
  <si>
    <t>30LL</t>
    <phoneticPr fontId="13" type="noConversion"/>
  </si>
  <si>
    <t>30LR</t>
    <phoneticPr fontId="13" type="noConversion"/>
  </si>
  <si>
    <t>35LL</t>
    <phoneticPr fontId="13" type="noConversion"/>
  </si>
  <si>
    <t>35LR</t>
    <phoneticPr fontId="13" type="noConversion"/>
  </si>
  <si>
    <t>40LL</t>
    <phoneticPr fontId="13" type="noConversion"/>
  </si>
  <si>
    <t>40LR</t>
    <phoneticPr fontId="13" type="noConversion"/>
  </si>
  <si>
    <t>45LL</t>
    <phoneticPr fontId="13" type="noConversion"/>
  </si>
  <si>
    <t>45LR</t>
    <phoneticPr fontId="13" type="noConversion"/>
  </si>
  <si>
    <t>50LL</t>
    <phoneticPr fontId="13" type="noConversion"/>
  </si>
  <si>
    <t>50LR</t>
    <phoneticPr fontId="13" type="noConversion"/>
  </si>
  <si>
    <t>0.5 X 1.0 PANEL(M-T)</t>
    <phoneticPr fontId="13" type="noConversion"/>
  </si>
  <si>
    <t>SIDE 
PANEL
(M-T)</t>
    <phoneticPr fontId="13" type="noConversion"/>
  </si>
  <si>
    <t>SIDE 
PANEL
(M-L)</t>
    <phoneticPr fontId="13" type="noConversion"/>
  </si>
  <si>
    <t>0.5 X 1.0 PANEL(M-L)</t>
    <phoneticPr fontId="13" type="noConversion"/>
  </si>
  <si>
    <t>10SL</t>
    <phoneticPr fontId="13" type="noConversion"/>
  </si>
  <si>
    <t>10SR</t>
    <phoneticPr fontId="13" type="noConversion"/>
  </si>
  <si>
    <t>HRoof</t>
    <phoneticPr fontId="13" type="noConversion"/>
  </si>
  <si>
    <t>QRooF</t>
    <phoneticPr fontId="13" type="noConversion"/>
  </si>
  <si>
    <t>Base</t>
    <phoneticPr fontId="13" type="noConversion"/>
  </si>
  <si>
    <t>HBase</t>
    <phoneticPr fontId="13" type="noConversion"/>
  </si>
  <si>
    <t>HBase_Hor</t>
    <phoneticPr fontId="13" type="noConversion"/>
  </si>
  <si>
    <t>QBase</t>
    <phoneticPr fontId="13" type="noConversion"/>
  </si>
  <si>
    <t>Side</t>
    <phoneticPr fontId="13" type="noConversion"/>
  </si>
  <si>
    <t>Hside</t>
    <phoneticPr fontId="13" type="noConversion"/>
  </si>
  <si>
    <t>Qside</t>
    <phoneticPr fontId="13" type="noConversion"/>
  </si>
  <si>
    <t>HSide</t>
    <phoneticPr fontId="13" type="noConversion"/>
  </si>
  <si>
    <t>PAR</t>
    <phoneticPr fontId="13" type="noConversion"/>
  </si>
  <si>
    <t>HPAR_HOR</t>
    <phoneticPr fontId="13" type="noConversion"/>
  </si>
  <si>
    <t>HPAR_VERT</t>
    <phoneticPr fontId="13" type="noConversion"/>
  </si>
  <si>
    <t>QPAR</t>
    <phoneticPr fontId="13" type="noConversion"/>
  </si>
  <si>
    <t>MIDDLE_LOWER</t>
    <phoneticPr fontId="13" type="noConversion"/>
  </si>
  <si>
    <t>LOWER</t>
    <phoneticPr fontId="13" type="noConversion"/>
  </si>
  <si>
    <t>PARTITION 
PANEL</t>
  </si>
  <si>
    <t>Common(0.5MH)</t>
    <phoneticPr fontId="13" type="noConversion"/>
  </si>
  <si>
    <t>MNT</t>
    <phoneticPr fontId="13" type="noConversion"/>
  </si>
  <si>
    <r>
      <rPr>
        <b/>
        <sz val="14"/>
        <color theme="1" tint="0.249977111117893"/>
        <rFont val="굴림"/>
        <family val="3"/>
        <charset val="129"/>
      </rPr>
      <t>천정</t>
    </r>
    <phoneticPr fontId="13" type="noConversion"/>
  </si>
  <si>
    <r>
      <rPr>
        <b/>
        <sz val="14"/>
        <color theme="1" tint="0.249977111117893"/>
        <rFont val="굴림"/>
        <family val="3"/>
        <charset val="129"/>
      </rPr>
      <t>측판</t>
    </r>
    <phoneticPr fontId="13" type="noConversion"/>
  </si>
  <si>
    <r>
      <rPr>
        <b/>
        <sz val="14"/>
        <color theme="1" tint="0.249977111117893"/>
        <rFont val="굴림"/>
        <family val="3"/>
        <charset val="129"/>
      </rPr>
      <t>저판</t>
    </r>
    <phoneticPr fontId="13" type="noConversion"/>
  </si>
  <si>
    <r>
      <rPr>
        <b/>
        <sz val="14"/>
        <color theme="1" tint="0.249977111117893"/>
        <rFont val="굴림"/>
        <family val="3"/>
        <charset val="129"/>
      </rPr>
      <t>맨홀</t>
    </r>
    <phoneticPr fontId="13" type="noConversion"/>
  </si>
  <si>
    <r>
      <rPr>
        <b/>
        <sz val="14"/>
        <color theme="1" tint="0.249977111117893"/>
        <rFont val="굴림"/>
        <family val="3"/>
        <charset val="129"/>
      </rPr>
      <t>드레인</t>
    </r>
    <phoneticPr fontId="13" type="noConversion"/>
  </si>
  <si>
    <r>
      <rPr>
        <b/>
        <sz val="14"/>
        <color theme="1" tint="0.249977111117893"/>
        <rFont val="굴림"/>
        <family val="3"/>
        <charset val="129"/>
      </rPr>
      <t>칸막이</t>
    </r>
    <phoneticPr fontId="13" type="noConversion"/>
  </si>
  <si>
    <t>WFB-0450ZL</t>
    <phoneticPr fontId="13" type="noConversion"/>
  </si>
  <si>
    <t>WFB-0450ZP</t>
    <phoneticPr fontId="13" type="noConversion"/>
  </si>
  <si>
    <t>WFB-0450Z</t>
    <phoneticPr fontId="13" type="noConversion"/>
  </si>
  <si>
    <t>WFB-0950ZL</t>
    <phoneticPr fontId="13" type="noConversion"/>
  </si>
  <si>
    <t>WFB-0950ZP</t>
    <phoneticPr fontId="13" type="noConversion"/>
  </si>
  <si>
    <t>WFB-0950Z</t>
    <phoneticPr fontId="13" type="noConversion"/>
  </si>
  <si>
    <t>WFB-1200ZL</t>
    <phoneticPr fontId="13" type="noConversion"/>
  </si>
  <si>
    <t>WFB-1200ZP</t>
    <phoneticPr fontId="13" type="noConversion"/>
  </si>
  <si>
    <t>WCF-1000Z</t>
    <phoneticPr fontId="13" type="noConversion"/>
  </si>
  <si>
    <t>WCF-1500Z</t>
    <phoneticPr fontId="13" type="noConversion"/>
  </si>
  <si>
    <t>WCF-2000Z</t>
    <phoneticPr fontId="13" type="noConversion"/>
  </si>
  <si>
    <t>WCP-1780Z</t>
    <phoneticPr fontId="13" type="noConversion"/>
  </si>
  <si>
    <t>WCP-1616Z</t>
    <phoneticPr fontId="13" type="noConversion"/>
  </si>
  <si>
    <t>WCP-17120Z</t>
    <phoneticPr fontId="13" type="noConversion"/>
  </si>
  <si>
    <t>60mm*70mm*1.5t</t>
    <phoneticPr fontId="14" type="noConversion"/>
  </si>
  <si>
    <t>Liner</t>
    <phoneticPr fontId="13" type="noConversion"/>
  </si>
  <si>
    <t>LNR-3.0T</t>
    <phoneticPr fontId="15" type="noConversion"/>
  </si>
  <si>
    <t xml:space="preserve">60mm*70mm*3t </t>
    <phoneticPr fontId="14" type="noConversion"/>
  </si>
  <si>
    <t>WBR-0240Z</t>
    <phoneticPr fontId="15" type="noConversion"/>
  </si>
  <si>
    <r>
      <rPr>
        <sz val="10"/>
        <color theme="1"/>
        <rFont val="HY강M"/>
        <family val="1"/>
        <charset val="129"/>
      </rPr>
      <t>기초브라켓</t>
    </r>
    <phoneticPr fontId="13" type="noConversion"/>
  </si>
  <si>
    <t>ANGLE 65mmX65mmX6mmX240mm</t>
    <phoneticPr fontId="14" type="noConversion"/>
  </si>
  <si>
    <t>Steel Skid Connetor</t>
    <phoneticPr fontId="13" type="noConversion"/>
  </si>
  <si>
    <t>WBR-21590Z</t>
    <phoneticPr fontId="15" type="noConversion"/>
  </si>
  <si>
    <t>ANGLE 103mmX223mmX6mm</t>
    <phoneticPr fontId="14" type="noConversion"/>
  </si>
  <si>
    <t>WBR-22310Z</t>
    <phoneticPr fontId="15" type="noConversion"/>
  </si>
  <si>
    <t>WBR-5010Z</t>
    <phoneticPr fontId="15" type="noConversion"/>
  </si>
  <si>
    <r>
      <rPr>
        <sz val="10"/>
        <color theme="1"/>
        <rFont val="HY강M"/>
        <family val="1"/>
        <charset val="129"/>
      </rPr>
      <t>앙카셋트</t>
    </r>
    <phoneticPr fontId="13" type="noConversion"/>
  </si>
  <si>
    <t>ANGLE 50mmX120mmX4.5mm</t>
    <phoneticPr fontId="14" type="noConversion"/>
  </si>
  <si>
    <t>Anchor Bracket with bolt and nut set</t>
    <phoneticPr fontId="13" type="noConversion"/>
  </si>
  <si>
    <t>WBR-7575Z</t>
    <phoneticPr fontId="15" type="noConversion"/>
  </si>
  <si>
    <r>
      <rPr>
        <sz val="10"/>
        <color theme="1"/>
        <rFont val="HY강M"/>
        <family val="1"/>
        <charset val="129"/>
      </rPr>
      <t>기초코너브라켓</t>
    </r>
    <phoneticPr fontId="13" type="noConversion"/>
  </si>
  <si>
    <t>ANGLE 75mmX75mmX6mmX70mm</t>
    <phoneticPr fontId="14" type="noConversion"/>
  </si>
  <si>
    <t>WBR-0120Z</t>
    <phoneticPr fontId="15" type="noConversion"/>
  </si>
  <si>
    <t>CHANNEL125 75mmX75mmX6mmX120mm</t>
    <phoneticPr fontId="14" type="noConversion"/>
  </si>
  <si>
    <t>WBR-0150Z</t>
    <phoneticPr fontId="15" type="noConversion"/>
  </si>
  <si>
    <t>CHANNEL150 75mmX75mmX6mmX140mm</t>
    <phoneticPr fontId="14" type="noConversion"/>
  </si>
  <si>
    <t>WFF-0521AMZ</t>
    <phoneticPr fontId="15" type="noConversion"/>
  </si>
  <si>
    <r>
      <rPr>
        <sz val="10"/>
        <color theme="1"/>
        <rFont val="HY강M"/>
        <family val="1"/>
        <charset val="129"/>
      </rPr>
      <t>기초부재</t>
    </r>
    <phoneticPr fontId="13" type="noConversion"/>
  </si>
  <si>
    <t>CHANNEL 75mmX40mmX5mmX521mm</t>
    <phoneticPr fontId="14" type="noConversion"/>
  </si>
  <si>
    <t>WFF-0526AMZ</t>
    <phoneticPr fontId="15" type="noConversion"/>
  </si>
  <si>
    <t>CHANNEL 75mmX40mmX5mmX526mm</t>
    <phoneticPr fontId="14" type="noConversion"/>
  </si>
  <si>
    <t>WFF-0526CMZ</t>
    <phoneticPr fontId="15" type="noConversion"/>
  </si>
  <si>
    <t>CHANNEL 100mmX50mmX5mmX526mm</t>
    <phoneticPr fontId="14" type="noConversion"/>
  </si>
  <si>
    <t>WFF-0553AMZ</t>
    <phoneticPr fontId="15" type="noConversion"/>
  </si>
  <si>
    <t>CHANNEL 75mmX40mmX5mmX553mm</t>
    <phoneticPr fontId="14" type="noConversion"/>
  </si>
  <si>
    <t>WFF-0563AMZ</t>
    <phoneticPr fontId="15" type="noConversion"/>
  </si>
  <si>
    <t>CHANNEL 75mmX40mmX5mmX563mm</t>
    <phoneticPr fontId="14" type="noConversion"/>
  </si>
  <si>
    <t>WFF-0563CMZ</t>
    <phoneticPr fontId="15" type="noConversion"/>
  </si>
  <si>
    <t>CHANNEL 100mmX50mmX5mmX563mm</t>
    <phoneticPr fontId="14" type="noConversion"/>
  </si>
  <si>
    <t>WFF-0957AMZ</t>
    <phoneticPr fontId="15" type="noConversion"/>
  </si>
  <si>
    <t>CHANNEL 75mmX40mmX5mmX957mm</t>
    <phoneticPr fontId="14" type="noConversion"/>
  </si>
  <si>
    <t>WFF-0957CMZ</t>
    <phoneticPr fontId="15" type="noConversion"/>
  </si>
  <si>
    <t>CHANNEL 100mmX50mmX5mmX957mm</t>
    <phoneticPr fontId="14" type="noConversion"/>
  </si>
  <si>
    <t>CHANNEL 100mmX50mmX5mmX553mm</t>
    <phoneticPr fontId="14" type="noConversion"/>
  </si>
  <si>
    <t>CHANNEL 100mmX50mmX5mmX1053mm</t>
    <phoneticPr fontId="14" type="noConversion"/>
  </si>
  <si>
    <t>CHANNEL 100mmX50mmX5mmX1021mm</t>
    <phoneticPr fontId="14" type="noConversion"/>
  </si>
  <si>
    <t>WFF-0962AMZ</t>
    <phoneticPr fontId="15" type="noConversion"/>
  </si>
  <si>
    <t>CHANNEL 75mmX40mmX5mmX962mm</t>
    <phoneticPr fontId="14" type="noConversion"/>
  </si>
  <si>
    <t>WFF-0990ALZ</t>
    <phoneticPr fontId="15" type="noConversion"/>
  </si>
  <si>
    <r>
      <rPr>
        <sz val="10"/>
        <color theme="1"/>
        <rFont val="HY강M"/>
        <family val="1"/>
        <charset val="129"/>
      </rPr>
      <t>기초주재</t>
    </r>
    <r>
      <rPr>
        <sz val="10"/>
        <color theme="1"/>
        <rFont val="Tahoma"/>
        <family val="2"/>
      </rPr>
      <t>(75</t>
    </r>
    <r>
      <rPr>
        <sz val="10"/>
        <color theme="1"/>
        <rFont val="HY강M"/>
        <family val="1"/>
        <charset val="129"/>
      </rPr>
      <t>앵글</t>
    </r>
    <r>
      <rPr>
        <sz val="10"/>
        <color theme="1"/>
        <rFont val="Tahoma"/>
        <family val="2"/>
      </rPr>
      <t>)</t>
    </r>
    <phoneticPr fontId="13" type="noConversion"/>
  </si>
  <si>
    <t>ANGLE 75mmX75mmX6mmX0990mm</t>
    <phoneticPr fontId="14" type="noConversion"/>
  </si>
  <si>
    <t>WFF-0990AMZ</t>
    <phoneticPr fontId="15" type="noConversion"/>
  </si>
  <si>
    <t>CHANNEL 75mmX40mmX5mmX990mm</t>
    <phoneticPr fontId="14" type="noConversion"/>
  </si>
  <si>
    <t>WFF-0990CLZ</t>
    <phoneticPr fontId="15" type="noConversion"/>
  </si>
  <si>
    <r>
      <rPr>
        <sz val="10"/>
        <color theme="1"/>
        <rFont val="HY강M"/>
        <family val="1"/>
        <charset val="129"/>
      </rPr>
      <t>기초주재</t>
    </r>
    <r>
      <rPr>
        <sz val="10"/>
        <color theme="1"/>
        <rFont val="Tahoma"/>
        <family val="2"/>
      </rPr>
      <t>(125</t>
    </r>
    <r>
      <rPr>
        <sz val="10"/>
        <color theme="1"/>
        <rFont val="HY강M"/>
        <family val="1"/>
        <charset val="129"/>
      </rPr>
      <t>쟌넬</t>
    </r>
    <r>
      <rPr>
        <sz val="10"/>
        <color theme="1"/>
        <rFont val="Tahoma"/>
        <family val="2"/>
      </rPr>
      <t>)</t>
    </r>
    <phoneticPr fontId="13" type="noConversion"/>
  </si>
  <si>
    <t>CHANNEL 125mmX65mmX6mmX0990mm</t>
    <phoneticPr fontId="14" type="noConversion"/>
  </si>
  <si>
    <t>WFF-0990CMZ</t>
    <phoneticPr fontId="15" type="noConversion"/>
  </si>
  <si>
    <t>CHANNEL 100mmX50mmX5mmX990mm</t>
    <phoneticPr fontId="14" type="noConversion"/>
  </si>
  <si>
    <t>WFF-0994AMZ</t>
    <phoneticPr fontId="15" type="noConversion"/>
  </si>
  <si>
    <t>CHANNEL 75mmX40mmX5mmX994mm</t>
    <phoneticPr fontId="14" type="noConversion"/>
  </si>
  <si>
    <t>WFF-0994CMZ</t>
    <phoneticPr fontId="15" type="noConversion"/>
  </si>
  <si>
    <t>CHANNEL 100mmX50mmX5mmX994mm</t>
    <phoneticPr fontId="14" type="noConversion"/>
  </si>
  <si>
    <t>WFF-1021AMZ</t>
    <phoneticPr fontId="15" type="noConversion"/>
  </si>
  <si>
    <t>CHANNEL 75mmX40mmX5mmX1021mm</t>
    <phoneticPr fontId="14" type="noConversion"/>
  </si>
  <si>
    <t>WFF-1026AMZ</t>
    <phoneticPr fontId="15" type="noConversion"/>
  </si>
  <si>
    <t>CHANNEL 75mmX40mmX5mmX1026mm</t>
    <phoneticPr fontId="14" type="noConversion"/>
  </si>
  <si>
    <t>WFF-1026CMZ</t>
    <phoneticPr fontId="15" type="noConversion"/>
  </si>
  <si>
    <t>CHANNEL 100mmX50mmX5mmX1026mm</t>
    <phoneticPr fontId="14" type="noConversion"/>
  </si>
  <si>
    <t>WFF-1053AMZ</t>
    <phoneticPr fontId="15" type="noConversion"/>
  </si>
  <si>
    <t>CHANNEL 75mmX40mmX5mmX1053mm</t>
    <phoneticPr fontId="14" type="noConversion"/>
  </si>
  <si>
    <t>WFF-1063AMZ</t>
    <phoneticPr fontId="15" type="noConversion"/>
  </si>
  <si>
    <t>CHANNEL 75mmX40mmX5mmX1063mm</t>
    <phoneticPr fontId="14" type="noConversion"/>
  </si>
  <si>
    <t>WFF-1063CMZ</t>
    <phoneticPr fontId="15" type="noConversion"/>
  </si>
  <si>
    <t>CHANNEL 100mmX50mmX5mmX1063mm</t>
    <phoneticPr fontId="14" type="noConversion"/>
  </si>
  <si>
    <t>WFF-1120CSZ</t>
    <phoneticPr fontId="15" type="noConversion"/>
  </si>
  <si>
    <t>CHANNEL 125mmX65mmX6mmX1120mm</t>
    <phoneticPr fontId="14" type="noConversion"/>
  </si>
  <si>
    <t>WFF-1120HCSZ</t>
    <phoneticPr fontId="15" type="noConversion"/>
  </si>
  <si>
    <r>
      <rPr>
        <sz val="10"/>
        <color theme="1"/>
        <rFont val="HY강M"/>
        <family val="1"/>
        <charset val="129"/>
      </rPr>
      <t>기초주재</t>
    </r>
    <r>
      <rPr>
        <sz val="10"/>
        <color theme="1"/>
        <rFont val="Tahoma"/>
        <family val="2"/>
      </rPr>
      <t>(150</t>
    </r>
    <r>
      <rPr>
        <sz val="10"/>
        <color theme="1"/>
        <rFont val="HY강M"/>
        <family val="1"/>
        <charset val="129"/>
      </rPr>
      <t>쟌넬</t>
    </r>
    <r>
      <rPr>
        <sz val="10"/>
        <color theme="1"/>
        <rFont val="Tahoma"/>
        <family val="2"/>
      </rPr>
      <t>)</t>
    </r>
    <phoneticPr fontId="13" type="noConversion"/>
  </si>
  <si>
    <t>CHANNEL 150mmX75mmX6.5mmX1120mm</t>
    <phoneticPr fontId="14" type="noConversion"/>
  </si>
  <si>
    <t>WFF-1140ASZ</t>
    <phoneticPr fontId="15" type="noConversion"/>
  </si>
  <si>
    <t>ANGLE 75mmX75mmX6mmX1140mm</t>
    <phoneticPr fontId="14" type="noConversion"/>
  </si>
  <si>
    <t>WFF-1490ALZ</t>
    <phoneticPr fontId="15" type="noConversion"/>
  </si>
  <si>
    <t>ANGLE 75mmX75mmX6mmX1490mm</t>
    <phoneticPr fontId="14" type="noConversion"/>
  </si>
  <si>
    <t>WFF-1490CLZ</t>
    <phoneticPr fontId="15" type="noConversion"/>
  </si>
  <si>
    <t>CHANNEL 125mmX65mmX6mmX1490mm</t>
    <phoneticPr fontId="14" type="noConversion"/>
  </si>
  <si>
    <t>WFF-1490HCLZ</t>
    <phoneticPr fontId="15" type="noConversion"/>
  </si>
  <si>
    <t>CHANNEL 150mmX75mmX6.5mmX1490mm</t>
    <phoneticPr fontId="14" type="noConversion"/>
  </si>
  <si>
    <t>WFF-1500CSZ</t>
    <phoneticPr fontId="15" type="noConversion"/>
  </si>
  <si>
    <t>CHANNEL 125mmX65mmX6mmX1500mm</t>
    <phoneticPr fontId="14" type="noConversion"/>
  </si>
  <si>
    <t>WFF-1560CSZL</t>
    <phoneticPr fontId="15" type="noConversion"/>
  </si>
  <si>
    <t>CHANNEL 125mmX65mmX6mmX1555mm</t>
    <phoneticPr fontId="14" type="noConversion"/>
  </si>
  <si>
    <t>WFF-1560CSZR</t>
    <phoneticPr fontId="15" type="noConversion"/>
  </si>
  <si>
    <t>ANGLE 75mmX75mmX6mmX1565mm</t>
    <phoneticPr fontId="14" type="noConversion"/>
  </si>
  <si>
    <t>CHANNEL 150mmX75mmX6.5mmX1565mm</t>
    <phoneticPr fontId="14" type="noConversion"/>
  </si>
  <si>
    <t>WFF-1620CSZ</t>
    <phoneticPr fontId="15" type="noConversion"/>
  </si>
  <si>
    <t>CHANNEL 125mmX65mmX6mmX1620mm</t>
    <phoneticPr fontId="14" type="noConversion"/>
  </si>
  <si>
    <t>WFF-1640ASZ</t>
    <phoneticPr fontId="15" type="noConversion"/>
  </si>
  <si>
    <t>ANGLE 75mmX75mmX6mmX1640mm</t>
    <phoneticPr fontId="14" type="noConversion"/>
  </si>
  <si>
    <t>WFF-1640HCSZ</t>
    <phoneticPr fontId="15" type="noConversion"/>
  </si>
  <si>
    <t>CHANNEL 150mmX75mmX6.5mmX1620mm</t>
    <phoneticPr fontId="14" type="noConversion"/>
  </si>
  <si>
    <t>WFF-1990ALZ</t>
    <phoneticPr fontId="15" type="noConversion"/>
  </si>
  <si>
    <t>ANGLE 75mmX75mmX6mmX1990mm</t>
    <phoneticPr fontId="14" type="noConversion"/>
  </si>
  <si>
    <t>WFF-1990CLZ</t>
    <phoneticPr fontId="15" type="noConversion"/>
  </si>
  <si>
    <t>CHANNEL 125mmX65mmX6mmX1990mm</t>
    <phoneticPr fontId="14" type="noConversion"/>
  </si>
  <si>
    <t>WFF-1990HCLZ</t>
    <phoneticPr fontId="15" type="noConversion"/>
  </si>
  <si>
    <t>CHANNEL 150mmX75mmX6.5mmX1990mm</t>
    <phoneticPr fontId="14" type="noConversion"/>
  </si>
  <si>
    <t>WFF-2000ASZ</t>
    <phoneticPr fontId="15" type="noConversion"/>
  </si>
  <si>
    <t>WFF-2000CSZ</t>
    <phoneticPr fontId="15" type="noConversion"/>
  </si>
  <si>
    <t>WFF-2000HCSZ</t>
    <phoneticPr fontId="15" type="noConversion"/>
  </si>
  <si>
    <t>WFF-2060CSZL</t>
    <phoneticPr fontId="15" type="noConversion"/>
  </si>
  <si>
    <t>CHANNEL 125mmX65mmX6mmX2055</t>
    <phoneticPr fontId="14" type="noConversion"/>
  </si>
  <si>
    <t>WFF-2060CSZR</t>
    <phoneticPr fontId="15" type="noConversion"/>
  </si>
  <si>
    <t>ANGLE 75mmX75mmX6mmX2065mm</t>
    <phoneticPr fontId="14" type="noConversion"/>
  </si>
  <si>
    <t>CHANNEL 150mmX75mmX6.5mmX2065mm</t>
    <phoneticPr fontId="14" type="noConversion"/>
  </si>
  <si>
    <t>WFF-2120CSZ</t>
    <phoneticPr fontId="15" type="noConversion"/>
  </si>
  <si>
    <t>CHANNEL 125mmX65mmX6mm</t>
    <phoneticPr fontId="14" type="noConversion"/>
  </si>
  <si>
    <t>WFF-2140ASZ</t>
    <phoneticPr fontId="15" type="noConversion"/>
  </si>
  <si>
    <t>ANGLE 75mmX75mmX6mmX2140mm</t>
    <phoneticPr fontId="14" type="noConversion"/>
  </si>
  <si>
    <t>CHANNEL 150mmX75mmX6.5mmX2140mm</t>
    <phoneticPr fontId="14" type="noConversion"/>
  </si>
  <si>
    <t>WFF-2560CSZL</t>
    <phoneticPr fontId="15" type="noConversion"/>
  </si>
  <si>
    <t>WFF-2560CSZR</t>
    <phoneticPr fontId="15" type="noConversion"/>
  </si>
  <si>
    <t>WFF-2570ASZL</t>
    <phoneticPr fontId="15" type="noConversion"/>
  </si>
  <si>
    <t>ANGLE 75mmX75mmX6mmX2565mm</t>
    <phoneticPr fontId="14" type="noConversion"/>
  </si>
  <si>
    <t>WFF-2570ASZR</t>
    <phoneticPr fontId="15" type="noConversion"/>
  </si>
  <si>
    <t>WFF-2570HCSZ</t>
    <phoneticPr fontId="15" type="noConversion"/>
  </si>
  <si>
    <t>CHANNEL 150mmX75mmX6.5mmX2565mm</t>
    <phoneticPr fontId="14" type="noConversion"/>
  </si>
  <si>
    <t>WFF-2620CSZ</t>
    <phoneticPr fontId="15" type="noConversion"/>
  </si>
  <si>
    <t>WFF-2640ASZ</t>
    <phoneticPr fontId="15" type="noConversion"/>
  </si>
  <si>
    <t>ANGLE 75mmX75mmX6mmX2640mm</t>
    <phoneticPr fontId="14" type="noConversion"/>
  </si>
  <si>
    <t>WFF-2640HCSZ</t>
    <phoneticPr fontId="15" type="noConversion"/>
  </si>
  <si>
    <t>CHANNEL 150mmX75mmX6.5mmX2640mm</t>
    <phoneticPr fontId="14" type="noConversion"/>
  </si>
  <si>
    <t>CHANNEL 150mmX75mmX6.5mmX990mm</t>
    <phoneticPr fontId="14" type="noConversion"/>
  </si>
  <si>
    <r>
      <t xml:space="preserve">M12 </t>
    </r>
    <r>
      <rPr>
        <sz val="10"/>
        <color theme="1"/>
        <rFont val="HY강M"/>
        <family val="1"/>
        <charset val="129"/>
      </rPr>
      <t>환봉고정너트</t>
    </r>
    <r>
      <rPr>
        <sz val="10"/>
        <color theme="1"/>
        <rFont val="Tahoma"/>
        <family val="2"/>
      </rPr>
      <t>/</t>
    </r>
    <r>
      <rPr>
        <sz val="10"/>
        <color theme="1"/>
        <rFont val="HY강M"/>
        <family val="1"/>
        <charset val="129"/>
      </rPr>
      <t>워셔</t>
    </r>
    <r>
      <rPr>
        <sz val="10"/>
        <color theme="1"/>
        <rFont val="Tahoma"/>
        <family val="2"/>
      </rPr>
      <t>(STS316)</t>
    </r>
    <phoneticPr fontId="13" type="noConversion"/>
  </si>
  <si>
    <t>M12(Dia) Nut and Washer</t>
    <phoneticPr fontId="14" type="noConversion"/>
  </si>
  <si>
    <t>WBR-9090SA2</t>
    <phoneticPr fontId="15" type="noConversion"/>
  </si>
  <si>
    <t>ANGLE SS304 - 85mmX85mmX5mm</t>
    <phoneticPr fontId="14" type="noConversion"/>
  </si>
  <si>
    <t>Corner BRKT(SS304)</t>
    <phoneticPr fontId="13" type="noConversion"/>
  </si>
  <si>
    <t>WBR-9090SA4</t>
    <phoneticPr fontId="15" type="noConversion"/>
  </si>
  <si>
    <r>
      <t xml:space="preserve">STS316 </t>
    </r>
    <r>
      <rPr>
        <sz val="10"/>
        <color theme="1"/>
        <rFont val="HY강M"/>
        <family val="1"/>
        <charset val="129"/>
      </rPr>
      <t>내부코너브라켓</t>
    </r>
    <phoneticPr fontId="13" type="noConversion"/>
  </si>
  <si>
    <t>ANGLE SS316 - 85mmX85mmX5mm</t>
    <phoneticPr fontId="14" type="noConversion"/>
  </si>
  <si>
    <t>Corner BRKT(SS316)</t>
    <phoneticPr fontId="13" type="noConversion"/>
  </si>
  <si>
    <t>WCP-1616SA2</t>
    <phoneticPr fontId="15" type="noConversion"/>
  </si>
  <si>
    <r>
      <t xml:space="preserve">STS304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>4</t>
    </r>
    <r>
      <rPr>
        <sz val="10"/>
        <color theme="1"/>
        <rFont val="HY강M"/>
        <family val="1"/>
        <charset val="129"/>
      </rPr>
      <t>구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평브라켓</t>
    </r>
    <phoneticPr fontId="13" type="noConversion"/>
  </si>
  <si>
    <t>ANGLE SS304 - 160mmX160mmX5mm</t>
    <phoneticPr fontId="14" type="noConversion"/>
  </si>
  <si>
    <t>C/R Plate BKT(4 Hole) SS304</t>
    <phoneticPr fontId="13" type="noConversion"/>
  </si>
  <si>
    <t>WCP-1616SA4</t>
    <phoneticPr fontId="15" type="noConversion"/>
  </si>
  <si>
    <r>
      <t xml:space="preserve">STS316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>4</t>
    </r>
    <r>
      <rPr>
        <sz val="10"/>
        <color theme="1"/>
        <rFont val="HY강M"/>
        <family val="1"/>
        <charset val="129"/>
      </rPr>
      <t>구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평브라켓</t>
    </r>
    <phoneticPr fontId="13" type="noConversion"/>
  </si>
  <si>
    <t>ANGLE SS316- 160mmX160mmX5mm</t>
    <phoneticPr fontId="14" type="noConversion"/>
  </si>
  <si>
    <t>C/R Plate BKT(4 Hole) SS316</t>
    <phoneticPr fontId="13" type="noConversion"/>
  </si>
  <si>
    <t>WCP-17120SA2</t>
    <phoneticPr fontId="15" type="noConversion"/>
  </si>
  <si>
    <t>Cross Angle Bracket(4 Hole) SS304</t>
    <phoneticPr fontId="13" type="noConversion"/>
  </si>
  <si>
    <t>ANGLE SS304 - 100mmX160mmX5mm</t>
    <phoneticPr fontId="14" type="noConversion"/>
  </si>
  <si>
    <t>C/R Angle BKT(4 Hole) SS304</t>
    <phoneticPr fontId="13" type="noConversion"/>
  </si>
  <si>
    <t>WCP-17120SA4</t>
    <phoneticPr fontId="15" type="noConversion"/>
  </si>
  <si>
    <t>ANGLE SS316 - 100mmX160mmX5mm</t>
    <phoneticPr fontId="14" type="noConversion"/>
  </si>
  <si>
    <t>C/R Angle BKT(4 Hole) SS16</t>
    <phoneticPr fontId="13" type="noConversion"/>
  </si>
  <si>
    <t>WCP-17160SA2</t>
    <phoneticPr fontId="15" type="noConversion"/>
  </si>
  <si>
    <r>
      <t xml:space="preserve">STS304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환봉</t>
    </r>
    <r>
      <rPr>
        <sz val="10"/>
        <color theme="1"/>
        <rFont val="Tahoma"/>
        <family val="2"/>
      </rPr>
      <t>2</t>
    </r>
    <r>
      <rPr>
        <sz val="10"/>
        <color theme="1"/>
        <rFont val="HY강M"/>
        <family val="1"/>
        <charset val="129"/>
      </rPr>
      <t>구고정브라켓</t>
    </r>
    <phoneticPr fontId="13" type="noConversion"/>
  </si>
  <si>
    <t>ANGLE SS304 - 160mmX320mmX5mm</t>
    <phoneticPr fontId="14" type="noConversion"/>
  </si>
  <si>
    <t>IN-BRKT(2 tierod)_SS304</t>
    <phoneticPr fontId="13" type="noConversion"/>
  </si>
  <si>
    <t>WCP-17160SA4</t>
    <phoneticPr fontId="15" type="noConversion"/>
  </si>
  <si>
    <r>
      <t xml:space="preserve">STS316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환봉</t>
    </r>
    <r>
      <rPr>
        <sz val="10"/>
        <color theme="1"/>
        <rFont val="Tahoma"/>
        <family val="2"/>
      </rPr>
      <t>2</t>
    </r>
    <r>
      <rPr>
        <sz val="10"/>
        <color theme="1"/>
        <rFont val="HY강M"/>
        <family val="1"/>
        <charset val="129"/>
      </rPr>
      <t>구고정브라켓</t>
    </r>
    <phoneticPr fontId="13" type="noConversion"/>
  </si>
  <si>
    <t>ANGLE SS316 - 160mmX320mmX5mm</t>
    <phoneticPr fontId="14" type="noConversion"/>
  </si>
  <si>
    <t>IN-BRKT(2 tierod)_SS316</t>
    <phoneticPr fontId="13" type="noConversion"/>
  </si>
  <si>
    <t>WCP-1760SA2</t>
    <phoneticPr fontId="15" type="noConversion"/>
  </si>
  <si>
    <r>
      <t xml:space="preserve">STS304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환봉</t>
    </r>
    <r>
      <rPr>
        <sz val="10"/>
        <color theme="1"/>
        <rFont val="Tahoma"/>
        <family val="2"/>
      </rPr>
      <t>1</t>
    </r>
    <r>
      <rPr>
        <sz val="10"/>
        <color theme="1"/>
        <rFont val="HY강M"/>
        <family val="1"/>
        <charset val="129"/>
      </rPr>
      <t>구고정브라켓</t>
    </r>
    <phoneticPr fontId="13" type="noConversion"/>
  </si>
  <si>
    <t>ANGLE SS304 - 60mmX320mmX5mm</t>
    <phoneticPr fontId="14" type="noConversion"/>
  </si>
  <si>
    <t>IN-BRKT(1 tierod)_SS304</t>
    <phoneticPr fontId="13" type="noConversion"/>
  </si>
  <si>
    <t>WCP-1760SA4</t>
    <phoneticPr fontId="15" type="noConversion"/>
  </si>
  <si>
    <r>
      <t xml:space="preserve">STS316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환봉</t>
    </r>
    <r>
      <rPr>
        <sz val="10"/>
        <color theme="1"/>
        <rFont val="Tahoma"/>
        <family val="2"/>
      </rPr>
      <t>1</t>
    </r>
    <r>
      <rPr>
        <sz val="10"/>
        <color theme="1"/>
        <rFont val="HY강M"/>
        <family val="1"/>
        <charset val="129"/>
      </rPr>
      <t>구고정브라켓</t>
    </r>
    <phoneticPr fontId="13" type="noConversion"/>
  </si>
  <si>
    <t>ANGLE SS316 - 60mmX320mmX5mm</t>
    <phoneticPr fontId="14" type="noConversion"/>
  </si>
  <si>
    <t>IN-BRKT(1 tierod)_SS316</t>
    <phoneticPr fontId="13" type="noConversion"/>
  </si>
  <si>
    <t>WCP-1780SA2</t>
    <phoneticPr fontId="15" type="noConversion"/>
  </si>
  <si>
    <r>
      <t xml:space="preserve">STS304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>2</t>
    </r>
    <r>
      <rPr>
        <sz val="10"/>
        <color theme="1"/>
        <rFont val="HY강M"/>
        <family val="1"/>
        <charset val="129"/>
      </rPr>
      <t>구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평브라켓</t>
    </r>
    <phoneticPr fontId="13" type="noConversion"/>
  </si>
  <si>
    <t>ANGLE SS304 - 75mmX160mmX5mm</t>
    <phoneticPr fontId="14" type="noConversion"/>
  </si>
  <si>
    <t>C/S Plate BRKT(2 Hole)</t>
    <phoneticPr fontId="13" type="noConversion"/>
  </si>
  <si>
    <t>WCP-1780SA4</t>
    <phoneticPr fontId="15" type="noConversion"/>
  </si>
  <si>
    <r>
      <t xml:space="preserve">STS316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>2</t>
    </r>
    <r>
      <rPr>
        <sz val="10"/>
        <color theme="1"/>
        <rFont val="HY강M"/>
        <family val="1"/>
        <charset val="129"/>
      </rPr>
      <t>구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평브라켓</t>
    </r>
    <phoneticPr fontId="13" type="noConversion"/>
  </si>
  <si>
    <t>ANGLE SS316 - 75mmX160mmX5mm</t>
    <phoneticPr fontId="14" type="noConversion"/>
  </si>
  <si>
    <t>WCP-1690Z</t>
    <phoneticPr fontId="15" type="noConversion"/>
  </si>
  <si>
    <r>
      <t xml:space="preserve">HDG </t>
    </r>
    <r>
      <rPr>
        <sz val="10"/>
        <color theme="1"/>
        <rFont val="HY강M"/>
        <family val="1"/>
        <charset val="129"/>
      </rPr>
      <t>내부</t>
    </r>
    <r>
      <rPr>
        <sz val="10"/>
        <color theme="1"/>
        <rFont val="Tahoma"/>
        <family val="2"/>
      </rPr>
      <t>2</t>
    </r>
    <r>
      <rPr>
        <sz val="10"/>
        <color theme="1"/>
        <rFont val="HY강M"/>
        <family val="1"/>
        <charset val="129"/>
      </rPr>
      <t>구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HY강M"/>
        <family val="1"/>
        <charset val="129"/>
      </rPr>
      <t>평브라켓</t>
    </r>
    <phoneticPr fontId="13" type="noConversion"/>
  </si>
  <si>
    <t>ANGLE HDG - 90mmX160mmX5mm</t>
    <phoneticPr fontId="14" type="noConversion"/>
  </si>
  <si>
    <r>
      <t xml:space="preserve">STS304 </t>
    </r>
    <r>
      <rPr>
        <sz val="10"/>
        <color theme="1"/>
        <rFont val="HY강M"/>
        <family val="1"/>
        <charset val="129"/>
      </rPr>
      <t>내부평철</t>
    </r>
    <phoneticPr fontId="13" type="noConversion"/>
  </si>
  <si>
    <t>ANGLE  SS304 - 37mmX3mmX450mm</t>
    <phoneticPr fontId="14" type="noConversion"/>
  </si>
  <si>
    <t>F/L Reinforcing Plate</t>
    <phoneticPr fontId="13" type="noConversion"/>
  </si>
  <si>
    <r>
      <t xml:space="preserve">STS316 </t>
    </r>
    <r>
      <rPr>
        <sz val="10"/>
        <color theme="1"/>
        <rFont val="HY강M"/>
        <family val="1"/>
        <charset val="129"/>
      </rPr>
      <t>내부평철</t>
    </r>
    <phoneticPr fontId="13" type="noConversion"/>
  </si>
  <si>
    <t>ANGLE  SS316 - 37mmX3mmX450mm</t>
    <phoneticPr fontId="14" type="noConversion"/>
  </si>
  <si>
    <r>
      <t xml:space="preserve">STS304 </t>
    </r>
    <r>
      <rPr>
        <sz val="10"/>
        <color theme="1"/>
        <rFont val="HY강M"/>
        <family val="1"/>
        <charset val="129"/>
      </rPr>
      <t>플랜지바</t>
    </r>
    <r>
      <rPr>
        <sz val="10"/>
        <color theme="1"/>
        <rFont val="Tahoma"/>
        <family val="2"/>
      </rPr>
      <t>(ZL)</t>
    </r>
    <phoneticPr fontId="13" type="noConversion"/>
  </si>
  <si>
    <t>ANGLE  SS304 - 25mmX59mmX3mmX450mm</t>
    <phoneticPr fontId="14" type="noConversion"/>
  </si>
  <si>
    <t>F/L Reinforcing Angle</t>
    <phoneticPr fontId="13" type="noConversion"/>
  </si>
  <si>
    <r>
      <t xml:space="preserve">STS316 </t>
    </r>
    <r>
      <rPr>
        <sz val="10"/>
        <color theme="1"/>
        <rFont val="HY강M"/>
        <family val="1"/>
        <charset val="129"/>
      </rPr>
      <t>플랜지바</t>
    </r>
    <r>
      <rPr>
        <sz val="10"/>
        <color theme="1"/>
        <rFont val="Tahoma"/>
        <family val="2"/>
      </rPr>
      <t>(ZL)</t>
    </r>
    <phoneticPr fontId="13" type="noConversion"/>
  </si>
  <si>
    <t>ANGLE  SS316 - 25mmX59mmX3mmX450mm</t>
    <phoneticPr fontId="14" type="noConversion"/>
  </si>
  <si>
    <r>
      <t xml:space="preserve">STS304 </t>
    </r>
    <r>
      <rPr>
        <sz val="10"/>
        <color theme="1"/>
        <rFont val="HY강M"/>
        <family val="1"/>
        <charset val="129"/>
      </rPr>
      <t>플랜지바</t>
    </r>
    <r>
      <rPr>
        <sz val="10"/>
        <color theme="1"/>
        <rFont val="Tahoma"/>
        <family val="2"/>
      </rPr>
      <t>(Z)</t>
    </r>
    <phoneticPr fontId="13" type="noConversion"/>
  </si>
  <si>
    <t>ANGLE  SS304 - 32mmX64mmX3mmX450mm</t>
    <phoneticPr fontId="14" type="noConversion"/>
  </si>
  <si>
    <r>
      <t xml:space="preserve">STS316 </t>
    </r>
    <r>
      <rPr>
        <sz val="10"/>
        <color theme="1"/>
        <rFont val="HY강M"/>
        <family val="1"/>
        <charset val="129"/>
      </rPr>
      <t>플랜지바</t>
    </r>
    <r>
      <rPr>
        <sz val="10"/>
        <color theme="1"/>
        <rFont val="Tahoma"/>
        <family val="2"/>
      </rPr>
      <t>(Z)</t>
    </r>
    <phoneticPr fontId="13" type="noConversion"/>
  </si>
  <si>
    <t>ANGLE  SS316 - 32mmX64mmX3mmX450mm</t>
    <phoneticPr fontId="14" type="noConversion"/>
  </si>
  <si>
    <r>
      <t xml:space="preserve">STS304 </t>
    </r>
    <r>
      <rPr>
        <sz val="10"/>
        <color theme="1"/>
        <rFont val="HY강M"/>
        <family val="1"/>
        <charset val="129"/>
      </rPr>
      <t>내부평철</t>
    </r>
    <r>
      <rPr>
        <sz val="10"/>
        <color theme="1"/>
        <rFont val="Tahoma"/>
        <family val="2"/>
      </rPr>
      <t>(ZP)</t>
    </r>
    <phoneticPr fontId="13" type="noConversion"/>
  </si>
  <si>
    <t>ANGLE  SS304 - 37mmX3mmX950mm</t>
    <phoneticPr fontId="14" type="noConversion"/>
  </si>
  <si>
    <r>
      <t xml:space="preserve">STS316 </t>
    </r>
    <r>
      <rPr>
        <sz val="10"/>
        <color theme="1"/>
        <rFont val="HY강M"/>
        <family val="1"/>
        <charset val="129"/>
      </rPr>
      <t>내부평철</t>
    </r>
    <r>
      <rPr>
        <sz val="10"/>
        <color theme="1"/>
        <rFont val="Tahoma"/>
        <family val="2"/>
      </rPr>
      <t>(ZP)</t>
    </r>
    <phoneticPr fontId="13" type="noConversion"/>
  </si>
  <si>
    <t>ANGLE  SS316 - 37mmX3mmX950mm</t>
    <phoneticPr fontId="14" type="noConversion"/>
  </si>
  <si>
    <t>ANGLE  SS304 - 32mmX64mmX3mmX950mm</t>
    <phoneticPr fontId="14" type="noConversion"/>
  </si>
  <si>
    <t>ANGLE  SS316 - 32mmX64mmX3mmX950mm</t>
    <phoneticPr fontId="14" type="noConversion"/>
  </si>
  <si>
    <t>ANGLE  SS304 - 25mmX59mmX3mmX950mm</t>
    <phoneticPr fontId="14" type="noConversion"/>
  </si>
  <si>
    <t>ANGLE  SS316 - 25mmX59mmX3mmX950mm</t>
    <phoneticPr fontId="14" type="noConversion"/>
  </si>
  <si>
    <t>ANGLE  SS304 - 25mmX59mmX3mmX1200mm</t>
    <phoneticPr fontId="14" type="noConversion"/>
  </si>
  <si>
    <t>ANGLE  SS316 - 25mmX59mmX3mmX1200mm</t>
    <phoneticPr fontId="14" type="noConversion"/>
  </si>
  <si>
    <t>ANGLE  SS304 - 32mmX64mmX3mmX1200mm</t>
    <phoneticPr fontId="14" type="noConversion"/>
  </si>
  <si>
    <t>ANGLE  SS316 - 32mmX64mmX3mmX1200mm</t>
    <phoneticPr fontId="14" type="noConversion"/>
  </si>
  <si>
    <t>GRP</t>
    <phoneticPr fontId="14" type="noConversion"/>
  </si>
  <si>
    <t>GRP 50X50X5T</t>
    <phoneticPr fontId="14" type="noConversion"/>
  </si>
  <si>
    <t>Roof Supporter(1.5mH)</t>
    <phoneticPr fontId="13" type="noConversion"/>
  </si>
  <si>
    <t>Roof Supporter(2.0mH)</t>
    <phoneticPr fontId="13" type="noConversion"/>
  </si>
  <si>
    <t>Roof Supporter(2.5mH)</t>
    <phoneticPr fontId="13" type="noConversion"/>
  </si>
  <si>
    <t>Roof Supporter(3.0mH)</t>
    <phoneticPr fontId="13" type="noConversion"/>
  </si>
  <si>
    <t>Roof Supporter(3.5mH)</t>
    <phoneticPr fontId="13" type="noConversion"/>
  </si>
  <si>
    <t>Roof Supporter(4.0mH)</t>
    <phoneticPr fontId="13" type="noConversion"/>
  </si>
  <si>
    <t>Roof Supporter(4.5mH)</t>
    <phoneticPr fontId="13" type="noConversion"/>
  </si>
  <si>
    <t>Roof Supporter(5.0mH)</t>
    <phoneticPr fontId="13" type="noConversion"/>
  </si>
  <si>
    <t>M12(DIA) X 60mm(Length)</t>
    <phoneticPr fontId="14" type="noConversion"/>
  </si>
  <si>
    <t>STS304 Tie-Rod Connector</t>
    <phoneticPr fontId="13" type="noConversion"/>
  </si>
  <si>
    <t>Tie-rod connector M12*60S</t>
    <phoneticPr fontId="14" type="noConversion"/>
  </si>
  <si>
    <t>STS316 Tie-Rod Connector</t>
    <phoneticPr fontId="13" type="noConversion"/>
  </si>
  <si>
    <r>
      <t xml:space="preserve">STS304 M14 </t>
    </r>
    <r>
      <rPr>
        <sz val="10"/>
        <color theme="1"/>
        <rFont val="HY강M"/>
        <family val="1"/>
        <charset val="129"/>
      </rPr>
      <t>환봉슬리브</t>
    </r>
    <phoneticPr fontId="13" type="noConversion"/>
  </si>
  <si>
    <t>M14(DIA) X 60mm(Length)</t>
    <phoneticPr fontId="14" type="noConversion"/>
  </si>
  <si>
    <t>SS304 Tie-Rod Connector</t>
    <phoneticPr fontId="13" type="noConversion"/>
  </si>
  <si>
    <r>
      <t xml:space="preserve">STS316 M14 </t>
    </r>
    <r>
      <rPr>
        <sz val="10"/>
        <color theme="1"/>
        <rFont val="HY강M"/>
        <family val="1"/>
        <charset val="129"/>
      </rPr>
      <t>환봉슬리브</t>
    </r>
    <phoneticPr fontId="13" type="noConversion"/>
  </si>
  <si>
    <t>M14(Dia) X 60mm(Length)</t>
    <phoneticPr fontId="14" type="noConversion"/>
  </si>
  <si>
    <t>SS316 Tie-Rod Connector</t>
    <phoneticPr fontId="13" type="noConversion"/>
  </si>
  <si>
    <t>M10.7(Dia) x 780mm(Length)</t>
    <phoneticPr fontId="14" type="noConversion"/>
  </si>
  <si>
    <t>SS304 Tie-Rod(Partition)</t>
    <phoneticPr fontId="15" type="noConversion"/>
  </si>
  <si>
    <t>SS316 Tie-Rod(Partition)</t>
    <phoneticPr fontId="15" type="noConversion"/>
  </si>
  <si>
    <t>M10.7(Dia) x 880mm(Length)</t>
    <phoneticPr fontId="14" type="noConversion"/>
  </si>
  <si>
    <t xml:space="preserve">SS304 Tie-Rod </t>
  </si>
  <si>
    <t xml:space="preserve">SS316 Tie-Rod </t>
  </si>
  <si>
    <t>M10.7(Dia) x 1000mm(Length)</t>
    <phoneticPr fontId="14" type="noConversion"/>
  </si>
  <si>
    <t>M10.7(Dia) x 1280mm(Length)</t>
    <phoneticPr fontId="14" type="noConversion"/>
  </si>
  <si>
    <t>M10.7(Dia) x 1380mm(Length)</t>
    <phoneticPr fontId="14" type="noConversion"/>
  </si>
  <si>
    <t>M10.7(Dia) x 1780mm(Length)</t>
    <phoneticPr fontId="14" type="noConversion"/>
  </si>
  <si>
    <t>M10.7(Dia) x 1880mm(Length)</t>
    <phoneticPr fontId="14" type="noConversion"/>
  </si>
  <si>
    <t>M10.7(Dia) x 2000mm(Length)</t>
    <phoneticPr fontId="14" type="noConversion"/>
  </si>
  <si>
    <t>M10.7(Dia) x 2280mm(Length)</t>
    <phoneticPr fontId="14" type="noConversion"/>
  </si>
  <si>
    <t>M10.7(Dia) x 2380mm(Length)</t>
    <phoneticPr fontId="14" type="noConversion"/>
  </si>
  <si>
    <t>M10.7(Dia) x 2780mm(Length)</t>
    <phoneticPr fontId="14" type="noConversion"/>
  </si>
  <si>
    <t>M10.7(Dia) x 2880mm(Length)</t>
    <phoneticPr fontId="14" type="noConversion"/>
  </si>
  <si>
    <t>M10.7(Dia) x 3000mm(Length)</t>
    <phoneticPr fontId="14" type="noConversion"/>
  </si>
  <si>
    <t>M10.7(Dia) x 3280mm(Length)</t>
    <phoneticPr fontId="14" type="noConversion"/>
  </si>
  <si>
    <t>M10.7(Dia) x 3380mm(Length)</t>
    <phoneticPr fontId="14" type="noConversion"/>
  </si>
  <si>
    <t>M10.7(Dia) x 3780mm(Length)</t>
    <phoneticPr fontId="14" type="noConversion"/>
  </si>
  <si>
    <t>M10.7(Dia) x 3880mm(Length)</t>
    <phoneticPr fontId="14" type="noConversion"/>
  </si>
  <si>
    <t>M10.7(Dia) x 4000mm(Length)</t>
    <phoneticPr fontId="14" type="noConversion"/>
  </si>
  <si>
    <t>M10.7(Dia) x4280mm(Length)</t>
    <phoneticPr fontId="14" type="noConversion"/>
  </si>
  <si>
    <t>M10.7(Dia) x4380mm(Length)</t>
    <phoneticPr fontId="14" type="noConversion"/>
  </si>
  <si>
    <t>M10.7(Dia) x 4780mm(Length)</t>
    <phoneticPr fontId="14" type="noConversion"/>
  </si>
  <si>
    <t>M10.7(Dia) x 4880mm(Length)</t>
    <phoneticPr fontId="14" type="noConversion"/>
  </si>
  <si>
    <t>M10.7(Dia) x 5000mm(Length)</t>
    <phoneticPr fontId="14" type="noConversion"/>
  </si>
  <si>
    <t>M12.7(Dia) x 780mm(Length)</t>
    <phoneticPr fontId="14" type="noConversion"/>
  </si>
  <si>
    <t>M12.7(Dia) x 880mm(Length)</t>
    <phoneticPr fontId="14" type="noConversion"/>
  </si>
  <si>
    <t xml:space="preserve">SS304 Tie-Rod  </t>
  </si>
  <si>
    <t xml:space="preserve">SS316 Tie-Rod  </t>
  </si>
  <si>
    <t>M12.7(Dia) x 1000mm(Length)</t>
    <phoneticPr fontId="14" type="noConversion"/>
  </si>
  <si>
    <t>M12.7(Dia) x 1280mm(Length)</t>
    <phoneticPr fontId="14" type="noConversion"/>
  </si>
  <si>
    <t>M12.7(Dia) x 1380mm(Length)</t>
    <phoneticPr fontId="14" type="noConversion"/>
  </si>
  <si>
    <t>M12.7(Dia) x 1780mm(Length)</t>
    <phoneticPr fontId="14" type="noConversion"/>
  </si>
  <si>
    <t>M12.7(Dia) x 1880mm(Length)</t>
    <phoneticPr fontId="14" type="noConversion"/>
  </si>
  <si>
    <t>M12.7(Dia) x 2000mm(Length)</t>
    <phoneticPr fontId="14" type="noConversion"/>
  </si>
  <si>
    <t>M12.7(Dia) x 2280mm(Length)</t>
    <phoneticPr fontId="14" type="noConversion"/>
  </si>
  <si>
    <t>M12.7(Dia) x 2380mm(Length)</t>
    <phoneticPr fontId="14" type="noConversion"/>
  </si>
  <si>
    <t>M12.7(Dia) x 2780mm(Length)</t>
    <phoneticPr fontId="14" type="noConversion"/>
  </si>
  <si>
    <t>M12.7(Dia) x 2880mm(Length)</t>
    <phoneticPr fontId="14" type="noConversion"/>
  </si>
  <si>
    <t>M12.7(Dia) x 3000mm(Length)</t>
    <phoneticPr fontId="14" type="noConversion"/>
  </si>
  <si>
    <t>M12.7(Dia) x 3280mm(Length)</t>
    <phoneticPr fontId="14" type="noConversion"/>
  </si>
  <si>
    <t>M12.7(Dia) x 3380mm(Length)</t>
    <phoneticPr fontId="14" type="noConversion"/>
  </si>
  <si>
    <t>M12.7(Dia) x 3780mm(Length)</t>
    <phoneticPr fontId="14" type="noConversion"/>
  </si>
  <si>
    <t>M12.7(Dia) x 3880mm(Length)</t>
    <phoneticPr fontId="14" type="noConversion"/>
  </si>
  <si>
    <t>M12.7(Dia) x 4000mm(Length)</t>
    <phoneticPr fontId="14" type="noConversion"/>
  </si>
  <si>
    <t>M12.7(Dia) x4280mm(Length)</t>
    <phoneticPr fontId="14" type="noConversion"/>
  </si>
  <si>
    <t>M12.7(Dia) x4380mm(Length)</t>
    <phoneticPr fontId="14" type="noConversion"/>
  </si>
  <si>
    <t>M12.7(Dia) x 4780mm(Length)</t>
    <phoneticPr fontId="14" type="noConversion"/>
  </si>
  <si>
    <t>M12.7(Dia) x 4880mm(Length)</t>
    <phoneticPr fontId="14" type="noConversion"/>
  </si>
  <si>
    <t>M12.7(Dia) x 5000mm(Length)</t>
    <phoneticPr fontId="14" type="noConversion"/>
  </si>
  <si>
    <t>WBR-1010Z</t>
    <phoneticPr fontId="15" type="noConversion"/>
  </si>
  <si>
    <r>
      <rPr>
        <sz val="10"/>
        <color theme="1"/>
        <rFont val="HY강M"/>
        <family val="1"/>
        <charset val="129"/>
      </rPr>
      <t>외부코너보강브라켓</t>
    </r>
    <phoneticPr fontId="13" type="noConversion"/>
  </si>
  <si>
    <t>ANGLE 85mmX85mmX4.5mm</t>
    <phoneticPr fontId="14" type="noConversion"/>
  </si>
  <si>
    <t>corner Reinforcing BKT</t>
    <phoneticPr fontId="13" type="noConversion"/>
  </si>
  <si>
    <t>WCF-1000Z</t>
    <phoneticPr fontId="15" type="noConversion"/>
  </si>
  <si>
    <r>
      <rPr>
        <sz val="10"/>
        <color theme="1"/>
        <rFont val="HY강M"/>
        <family val="1"/>
        <charset val="129"/>
      </rPr>
      <t>코너프레임</t>
    </r>
    <phoneticPr fontId="13" type="noConversion"/>
  </si>
  <si>
    <t>ANGLE 70mmX70mmX3mmX1000mm</t>
    <phoneticPr fontId="14" type="noConversion"/>
  </si>
  <si>
    <t>Corner Frame</t>
    <phoneticPr fontId="13" type="noConversion"/>
  </si>
  <si>
    <t>WCF-1500Z</t>
    <phoneticPr fontId="15" type="noConversion"/>
  </si>
  <si>
    <t>ANGLE 70mmX70mmX3mmX1500mm</t>
    <phoneticPr fontId="14" type="noConversion"/>
  </si>
  <si>
    <t>WCF-2000Z</t>
    <phoneticPr fontId="15" type="noConversion"/>
  </si>
  <si>
    <t>ANGLE 70mmX70mmX3mmX2000mm</t>
    <phoneticPr fontId="14" type="noConversion"/>
  </si>
  <si>
    <t>WCP-1616Z</t>
    <phoneticPr fontId="15" type="noConversion"/>
  </si>
  <si>
    <r>
      <rPr>
        <sz val="10"/>
        <color theme="1"/>
        <rFont val="HY강M"/>
        <family val="1"/>
        <charset val="129"/>
      </rPr>
      <t>외부</t>
    </r>
    <r>
      <rPr>
        <sz val="10"/>
        <color theme="1"/>
        <rFont val="Tahoma"/>
        <family val="2"/>
      </rPr>
      <t>4</t>
    </r>
    <r>
      <rPr>
        <sz val="10"/>
        <color theme="1"/>
        <rFont val="HY강M"/>
        <family val="1"/>
        <charset val="129"/>
      </rPr>
      <t>구브라켓</t>
    </r>
    <phoneticPr fontId="13" type="noConversion"/>
  </si>
  <si>
    <t>ANGLE 160mmX160mmX6mm</t>
    <phoneticPr fontId="14" type="noConversion"/>
  </si>
  <si>
    <t>Cross Plate BKT(4 Hole)</t>
    <phoneticPr fontId="13" type="noConversion"/>
  </si>
  <si>
    <t>WCP-17120Z</t>
    <phoneticPr fontId="15" type="noConversion"/>
  </si>
  <si>
    <r>
      <rPr>
        <sz val="10"/>
        <color theme="1"/>
        <rFont val="HY강M"/>
        <family val="1"/>
        <charset val="129"/>
      </rPr>
      <t>외부</t>
    </r>
    <r>
      <rPr>
        <sz val="10"/>
        <color theme="1"/>
        <rFont val="Tahoma"/>
        <family val="2"/>
      </rPr>
      <t>4</t>
    </r>
    <r>
      <rPr>
        <sz val="10"/>
        <color theme="1"/>
        <rFont val="HY강M"/>
        <family val="1"/>
        <charset val="129"/>
      </rPr>
      <t>구앵글브라켓</t>
    </r>
    <phoneticPr fontId="13" type="noConversion"/>
  </si>
  <si>
    <t>ANGLE 158mmX160mmX6mm</t>
    <phoneticPr fontId="14" type="noConversion"/>
  </si>
  <si>
    <t xml:space="preserve">Cross Angle BKT(2/2Holes) </t>
    <phoneticPr fontId="13" type="noConversion"/>
  </si>
  <si>
    <t>WCP-1780Z</t>
    <phoneticPr fontId="15" type="noConversion"/>
  </si>
  <si>
    <r>
      <rPr>
        <sz val="10"/>
        <color theme="1"/>
        <rFont val="HY강M"/>
        <family val="1"/>
        <charset val="129"/>
      </rPr>
      <t>외부</t>
    </r>
    <r>
      <rPr>
        <sz val="10"/>
        <color theme="1"/>
        <rFont val="Tahoma"/>
        <family val="2"/>
      </rPr>
      <t>2</t>
    </r>
    <r>
      <rPr>
        <sz val="10"/>
        <color theme="1"/>
        <rFont val="HY강M"/>
        <family val="1"/>
        <charset val="129"/>
      </rPr>
      <t>구브라켓</t>
    </r>
    <phoneticPr fontId="13" type="noConversion"/>
  </si>
  <si>
    <t>ANGLE 75mmX160mmX6mm</t>
    <phoneticPr fontId="14" type="noConversion"/>
  </si>
  <si>
    <t>Cross Plate BKT(2 Hole)</t>
    <phoneticPr fontId="13" type="noConversion"/>
  </si>
  <si>
    <t>WFB-0450Z</t>
    <phoneticPr fontId="15" type="noConversion"/>
  </si>
  <si>
    <r>
      <rPr>
        <sz val="10"/>
        <color theme="1"/>
        <rFont val="HY강M"/>
        <family val="1"/>
        <charset val="129"/>
      </rPr>
      <t>플랜지바</t>
    </r>
    <r>
      <rPr>
        <sz val="10"/>
        <color theme="1"/>
        <rFont val="Tahoma"/>
        <family val="2"/>
      </rPr>
      <t>(Z)</t>
    </r>
    <phoneticPr fontId="13" type="noConversion"/>
  </si>
  <si>
    <t>ANGLE 30mmX64mmX3mmX450mm</t>
    <phoneticPr fontId="14" type="noConversion"/>
  </si>
  <si>
    <t>WFB-0450ZL</t>
    <phoneticPr fontId="15" type="noConversion"/>
  </si>
  <si>
    <r>
      <rPr>
        <sz val="10"/>
        <color theme="1"/>
        <rFont val="HY강M"/>
        <family val="1"/>
        <charset val="129"/>
      </rPr>
      <t>플랜지바</t>
    </r>
    <r>
      <rPr>
        <sz val="10"/>
        <color theme="1"/>
        <rFont val="Tahoma"/>
        <family val="2"/>
      </rPr>
      <t>(ZL)</t>
    </r>
    <phoneticPr fontId="13" type="noConversion"/>
  </si>
  <si>
    <t>ANGLE 25mmX59mmX3mmX450mm</t>
    <phoneticPr fontId="14" type="noConversion"/>
  </si>
  <si>
    <t>WFB-0450ZP</t>
    <phoneticPr fontId="15" type="noConversion"/>
  </si>
  <si>
    <r>
      <rPr>
        <sz val="10"/>
        <color theme="1"/>
        <rFont val="HY강M"/>
        <family val="1"/>
        <charset val="129"/>
      </rPr>
      <t>평철</t>
    </r>
    <r>
      <rPr>
        <sz val="10"/>
        <color theme="1"/>
        <rFont val="Tahoma"/>
        <family val="2"/>
      </rPr>
      <t>(ZP)</t>
    </r>
    <phoneticPr fontId="13" type="noConversion"/>
  </si>
  <si>
    <t>PLATE 37mmX3mmX450mm</t>
    <phoneticPr fontId="14" type="noConversion"/>
  </si>
  <si>
    <t>F/L Reinforcing plate</t>
    <phoneticPr fontId="13" type="noConversion"/>
  </si>
  <si>
    <t>WFB-0950Z</t>
    <phoneticPr fontId="15" type="noConversion"/>
  </si>
  <si>
    <t>ANGLE 30mmX64mmX3mmX950mm</t>
    <phoneticPr fontId="14" type="noConversion"/>
  </si>
  <si>
    <t>WFB-0950ZL</t>
    <phoneticPr fontId="15" type="noConversion"/>
  </si>
  <si>
    <t>ANGLE 25mmX59mmX3mmX950mm</t>
    <phoneticPr fontId="14" type="noConversion"/>
  </si>
  <si>
    <t>WFB-0950ZP</t>
    <phoneticPr fontId="15" type="noConversion"/>
  </si>
  <si>
    <t>PLATE 37mmX3mmX950mm</t>
    <phoneticPr fontId="14" type="noConversion"/>
  </si>
  <si>
    <t>WFB-0880ZP</t>
    <phoneticPr fontId="15" type="noConversion"/>
  </si>
  <si>
    <t>WFB-1450ZL</t>
    <phoneticPr fontId="15" type="noConversion"/>
  </si>
  <si>
    <t>ANGLE 25mmX59mmX3mmX1450mm</t>
    <phoneticPr fontId="14" type="noConversion"/>
  </si>
  <si>
    <t>WLD-1000ZO</t>
    <phoneticPr fontId="15" type="noConversion"/>
  </si>
  <si>
    <r>
      <rPr>
        <sz val="10"/>
        <color theme="1"/>
        <rFont val="HY강M"/>
        <family val="1"/>
        <charset val="129"/>
      </rPr>
      <t>외부사다리</t>
    </r>
    <phoneticPr fontId="13" type="noConversion"/>
  </si>
  <si>
    <t>HDG</t>
    <phoneticPr fontId="14" type="noConversion"/>
  </si>
  <si>
    <t>EX-Ladder(1mH)</t>
    <phoneticPr fontId="13" type="noConversion"/>
  </si>
  <si>
    <t>WLD-1500ZO</t>
    <phoneticPr fontId="15" type="noConversion"/>
  </si>
  <si>
    <t>EX-Ladder(1.5mH)</t>
    <phoneticPr fontId="13" type="noConversion"/>
  </si>
  <si>
    <t>WLD-2000ZO</t>
    <phoneticPr fontId="15" type="noConversion"/>
  </si>
  <si>
    <t>EX-Ladder(2mH)</t>
    <phoneticPr fontId="13" type="noConversion"/>
  </si>
  <si>
    <t>WLD-2500ZO</t>
    <phoneticPr fontId="15" type="noConversion"/>
  </si>
  <si>
    <t>EX-Ladder(2.5mH)</t>
    <phoneticPr fontId="13" type="noConversion"/>
  </si>
  <si>
    <t>WLD-3000ZO</t>
    <phoneticPr fontId="15" type="noConversion"/>
  </si>
  <si>
    <t>EX-Ladder(3mH)</t>
    <phoneticPr fontId="13" type="noConversion"/>
  </si>
  <si>
    <t>WLD-3500ZO</t>
    <phoneticPr fontId="15" type="noConversion"/>
  </si>
  <si>
    <t>EX-Ladder(3.5mH)</t>
    <phoneticPr fontId="13" type="noConversion"/>
  </si>
  <si>
    <t>WLD-4000ZO</t>
    <phoneticPr fontId="15" type="noConversion"/>
  </si>
  <si>
    <t>EX-Ladder(4mH)</t>
    <phoneticPr fontId="13" type="noConversion"/>
  </si>
  <si>
    <t>WLD-4500ZO</t>
    <phoneticPr fontId="15" type="noConversion"/>
  </si>
  <si>
    <t>EX-Ladder(4.5mH)</t>
    <phoneticPr fontId="13" type="noConversion"/>
  </si>
  <si>
    <t>WLD-5000ZO</t>
    <phoneticPr fontId="15" type="noConversion"/>
  </si>
  <si>
    <t>EX-Ladder(5mH)</t>
    <phoneticPr fontId="13" type="noConversion"/>
  </si>
  <si>
    <t>WBT-1035SA2</t>
    <phoneticPr fontId="15" type="noConversion"/>
  </si>
  <si>
    <r>
      <t xml:space="preserve">SS304 </t>
    </r>
    <r>
      <rPr>
        <sz val="10"/>
        <color theme="1"/>
        <rFont val="HY강M"/>
        <family val="1"/>
        <charset val="129"/>
      </rPr>
      <t>볼트세트</t>
    </r>
    <phoneticPr fontId="13" type="noConversion"/>
  </si>
  <si>
    <t>M10(Dia) x 35mm(Length)</t>
    <phoneticPr fontId="14" type="noConversion"/>
  </si>
  <si>
    <t>M10x35mm(SS304)</t>
    <phoneticPr fontId="13" type="noConversion"/>
  </si>
  <si>
    <t>WBT-1035SA4</t>
    <phoneticPr fontId="15" type="noConversion"/>
  </si>
  <si>
    <r>
      <t xml:space="preserve">SS316 </t>
    </r>
    <r>
      <rPr>
        <sz val="10"/>
        <color theme="1"/>
        <rFont val="HY강M"/>
        <family val="1"/>
        <charset val="129"/>
      </rPr>
      <t>볼트세트</t>
    </r>
    <phoneticPr fontId="13" type="noConversion"/>
  </si>
  <si>
    <t>M10x35mm(SS316)</t>
    <phoneticPr fontId="13" type="noConversion"/>
  </si>
  <si>
    <t>WBT-1035Z</t>
    <phoneticPr fontId="15" type="noConversion"/>
  </si>
  <si>
    <r>
      <t xml:space="preserve">HDG  </t>
    </r>
    <r>
      <rPr>
        <sz val="10"/>
        <color theme="1"/>
        <rFont val="HY강M"/>
        <family val="1"/>
        <charset val="129"/>
      </rPr>
      <t>볼트세트</t>
    </r>
    <phoneticPr fontId="13" type="noConversion"/>
  </si>
  <si>
    <t>M10x35mm(HDG)</t>
    <phoneticPr fontId="13" type="noConversion"/>
  </si>
  <si>
    <t>WBT-1050SA2</t>
    <phoneticPr fontId="15" type="noConversion"/>
  </si>
  <si>
    <t>M10(Dia) x 50mm(Length)</t>
    <phoneticPr fontId="14" type="noConversion"/>
  </si>
  <si>
    <t>M10x50mm(SS304)</t>
    <phoneticPr fontId="13" type="noConversion"/>
  </si>
  <si>
    <t>WBT-1050SA4</t>
    <phoneticPr fontId="15" type="noConversion"/>
  </si>
  <si>
    <t>M10x50mm(SS316)</t>
    <phoneticPr fontId="13" type="noConversion"/>
  </si>
  <si>
    <t>WBT-1050Z</t>
    <phoneticPr fontId="15" type="noConversion"/>
  </si>
  <si>
    <t>M10x50mm(HDG)</t>
    <phoneticPr fontId="13" type="noConversion"/>
  </si>
  <si>
    <t>WBT-1058RD</t>
    <phoneticPr fontId="15" type="noConversion"/>
  </si>
  <si>
    <r>
      <t xml:space="preserve">HDG </t>
    </r>
    <r>
      <rPr>
        <sz val="10"/>
        <color theme="1"/>
        <rFont val="HY강M"/>
        <family val="1"/>
        <charset val="129"/>
      </rPr>
      <t>고무머리볼트세트</t>
    </r>
    <phoneticPr fontId="13" type="noConversion"/>
  </si>
  <si>
    <t>M10(Dia) x 58mm(Length)</t>
    <phoneticPr fontId="14" type="noConversion"/>
  </si>
  <si>
    <t>M10x58mm(Rubber HDG)</t>
    <phoneticPr fontId="13" type="noConversion"/>
  </si>
  <si>
    <t>WBT-1058RSA2</t>
    <phoneticPr fontId="15" type="noConversion"/>
  </si>
  <si>
    <r>
      <t xml:space="preserve">STS304 </t>
    </r>
    <r>
      <rPr>
        <sz val="10"/>
        <color theme="1"/>
        <rFont val="HY강M"/>
        <family val="1"/>
        <charset val="129"/>
      </rPr>
      <t>고무머리볼트세트</t>
    </r>
    <phoneticPr fontId="13" type="noConversion"/>
  </si>
  <si>
    <t>M10x58mm(Rubber SS304)</t>
    <phoneticPr fontId="13" type="noConversion"/>
  </si>
  <si>
    <t>WBT-1058RSA4</t>
    <phoneticPr fontId="15" type="noConversion"/>
  </si>
  <si>
    <r>
      <t xml:space="preserve">STS316 </t>
    </r>
    <r>
      <rPr>
        <sz val="10"/>
        <color theme="1"/>
        <rFont val="HY강M"/>
        <family val="1"/>
        <charset val="129"/>
      </rPr>
      <t>고무머리볼트세트</t>
    </r>
    <phoneticPr fontId="13" type="noConversion"/>
  </si>
  <si>
    <t>M10x58mm(Rubber SS316)</t>
    <phoneticPr fontId="13" type="noConversion"/>
  </si>
  <si>
    <t>WBT-1240Z</t>
    <phoneticPr fontId="15" type="noConversion"/>
  </si>
  <si>
    <t>M12(Dia) x 40mm(Length)</t>
    <phoneticPr fontId="14" type="noConversion"/>
  </si>
  <si>
    <t>M12x40mm(HDG)</t>
    <phoneticPr fontId="14" type="noConversion"/>
  </si>
  <si>
    <t>WBT-14120RD</t>
    <phoneticPr fontId="15" type="noConversion"/>
  </si>
  <si>
    <t>M14(Dia) x 120mm(Length)</t>
    <phoneticPr fontId="14" type="noConversion"/>
  </si>
  <si>
    <t>M14x120mm(Rubber HDG)</t>
    <phoneticPr fontId="13" type="noConversion"/>
  </si>
  <si>
    <t>WBT-14120RSA4</t>
    <phoneticPr fontId="15" type="noConversion"/>
  </si>
  <si>
    <t>M14x120mm(Rubber 316)</t>
    <phoneticPr fontId="13" type="noConversion"/>
  </si>
  <si>
    <t>WBT-14120RSA2</t>
    <phoneticPr fontId="15" type="noConversion"/>
  </si>
  <si>
    <t>M14x120mm(Rubber 304)</t>
    <phoneticPr fontId="13" type="noConversion"/>
  </si>
  <si>
    <t>WBT-1440Z</t>
    <phoneticPr fontId="15" type="noConversion"/>
  </si>
  <si>
    <t>M14(Dia) x 40mm(Length)</t>
    <phoneticPr fontId="14" type="noConversion"/>
  </si>
  <si>
    <t>HDG  Bolt and Nuts Set</t>
    <phoneticPr fontId="13" type="noConversion"/>
  </si>
  <si>
    <t>WBT-1460RD</t>
    <phoneticPr fontId="15" type="noConversion"/>
  </si>
  <si>
    <t>M14(Dia) x 60mm(Length)</t>
    <phoneticPr fontId="14" type="noConversion"/>
  </si>
  <si>
    <t>M14x60mm(Rubber HDG)</t>
    <phoneticPr fontId="13" type="noConversion"/>
  </si>
  <si>
    <t>WBT-1460RSA2</t>
    <phoneticPr fontId="15" type="noConversion"/>
  </si>
  <si>
    <t>M14x60mm(Rubber SS304)</t>
    <phoneticPr fontId="13" type="noConversion"/>
  </si>
  <si>
    <t>WBT-1460RSA4</t>
    <phoneticPr fontId="15" type="noConversion"/>
  </si>
  <si>
    <t>M14x60mm(Rubber SS316)</t>
    <phoneticPr fontId="13" type="noConversion"/>
  </si>
  <si>
    <t>WBT-1480RSA4</t>
    <phoneticPr fontId="15" type="noConversion"/>
  </si>
  <si>
    <t>M14(Dia) x 80mm(Length)</t>
    <phoneticPr fontId="14" type="noConversion"/>
  </si>
  <si>
    <t>M14x80mm(Rubber SS316)</t>
    <phoneticPr fontId="13" type="noConversion"/>
  </si>
  <si>
    <t>WBT-1480RD</t>
    <phoneticPr fontId="15" type="noConversion"/>
  </si>
  <si>
    <t>M14x80mm(Rubber HDG)</t>
    <phoneticPr fontId="13" type="noConversion"/>
  </si>
  <si>
    <t>WBT-1265SA4</t>
    <phoneticPr fontId="15" type="noConversion"/>
  </si>
  <si>
    <t>M12(Dia) x 65mm(Length)</t>
    <phoneticPr fontId="14" type="noConversion"/>
  </si>
  <si>
    <t>M12x65mm(SS316)</t>
    <phoneticPr fontId="13" type="noConversion"/>
  </si>
  <si>
    <t>WBT-1480SA4</t>
    <phoneticPr fontId="15" type="noConversion"/>
  </si>
  <si>
    <t>M14x80mm(SS316)</t>
    <phoneticPr fontId="13" type="noConversion"/>
  </si>
  <si>
    <t>M12-WASHERSA4</t>
    <phoneticPr fontId="15" type="noConversion"/>
  </si>
  <si>
    <r>
      <t xml:space="preserve">SS316 </t>
    </r>
    <r>
      <rPr>
        <sz val="10"/>
        <color theme="1"/>
        <rFont val="HY강M"/>
        <family val="1"/>
        <charset val="129"/>
      </rPr>
      <t>워셔</t>
    </r>
    <r>
      <rPr>
        <sz val="10"/>
        <color theme="1"/>
        <rFont val="Tahoma"/>
        <family val="2"/>
      </rPr>
      <t xml:space="preserve"> </t>
    </r>
    <phoneticPr fontId="13" type="noConversion"/>
  </si>
  <si>
    <t>M12(Dia) Washer(SS316)</t>
    <phoneticPr fontId="14" type="noConversion"/>
  </si>
  <si>
    <t>SS316 Washer</t>
    <phoneticPr fontId="13" type="noConversion"/>
  </si>
  <si>
    <t>M14-WASHERSA4</t>
    <phoneticPr fontId="15" type="noConversion"/>
  </si>
  <si>
    <t>M14(Dia) Washer(SS316)</t>
    <phoneticPr fontId="14" type="noConversion"/>
  </si>
  <si>
    <t>WBT-10120SA4</t>
    <phoneticPr fontId="15" type="noConversion"/>
  </si>
  <si>
    <r>
      <t xml:space="preserve">SS316 </t>
    </r>
    <r>
      <rPr>
        <sz val="10"/>
        <color theme="1"/>
        <rFont val="HY강M"/>
        <family val="1"/>
        <charset val="129"/>
      </rPr>
      <t>볼트세트</t>
    </r>
    <r>
      <rPr>
        <sz val="10"/>
        <color theme="1"/>
        <rFont val="Tahoma"/>
        <family val="2"/>
      </rPr>
      <t>(</t>
    </r>
    <r>
      <rPr>
        <sz val="10"/>
        <color theme="1"/>
        <rFont val="HY강M"/>
        <family val="1"/>
        <charset val="129"/>
      </rPr>
      <t>맨홀조립</t>
    </r>
    <r>
      <rPr>
        <sz val="10"/>
        <color theme="1"/>
        <rFont val="Tahoma"/>
        <family val="2"/>
      </rPr>
      <t>)</t>
    </r>
    <phoneticPr fontId="13" type="noConversion"/>
  </si>
  <si>
    <t>M10(Dia) x 120 mm(Length)</t>
    <phoneticPr fontId="14" type="noConversion"/>
  </si>
  <si>
    <t>Manhole, Lower Fixture</t>
    <phoneticPr fontId="15" type="noConversion"/>
  </si>
  <si>
    <t>Silicon</t>
    <phoneticPr fontId="14" type="noConversion"/>
  </si>
  <si>
    <t>Silicon</t>
    <phoneticPr fontId="15" type="noConversion"/>
  </si>
  <si>
    <r>
      <rPr>
        <sz val="10"/>
        <color theme="1"/>
        <rFont val="HY강M"/>
        <family val="1"/>
        <charset val="129"/>
      </rPr>
      <t>실리콘</t>
    </r>
    <phoneticPr fontId="13" type="noConversion"/>
  </si>
  <si>
    <t>Silicon</t>
    <phoneticPr fontId="13" type="noConversion"/>
  </si>
  <si>
    <t>WAV-0050A</t>
    <phoneticPr fontId="15" type="noConversion"/>
  </si>
  <si>
    <r>
      <rPr>
        <sz val="10"/>
        <color theme="1"/>
        <rFont val="HY강M"/>
        <family val="1"/>
        <charset val="129"/>
      </rPr>
      <t>환기구</t>
    </r>
    <phoneticPr fontId="13" type="noConversion"/>
  </si>
  <si>
    <t>ABS, DIA 50A</t>
    <phoneticPr fontId="14" type="noConversion"/>
  </si>
  <si>
    <t xml:space="preserve">Air Vent </t>
    <phoneticPr fontId="13" type="noConversion"/>
  </si>
  <si>
    <t>WAV-0100A</t>
    <phoneticPr fontId="15" type="noConversion"/>
  </si>
  <si>
    <t>ABS, DIA 100A</t>
    <phoneticPr fontId="14" type="noConversion"/>
  </si>
  <si>
    <t>WLV-1000SET(S)</t>
  </si>
  <si>
    <r>
      <rPr>
        <sz val="10"/>
        <color theme="1"/>
        <rFont val="HY강M"/>
        <family val="1"/>
        <charset val="129"/>
      </rPr>
      <t>수위계</t>
    </r>
    <phoneticPr fontId="13" type="noConversion"/>
  </si>
  <si>
    <t>Level Indicator SET</t>
    <phoneticPr fontId="14" type="noConversion"/>
  </si>
  <si>
    <t>WLV-1500SET(S)</t>
  </si>
  <si>
    <t>WLV-2000SET(S)</t>
  </si>
  <si>
    <t>WLV-2500SET(S)</t>
  </si>
  <si>
    <t>WLV-3000SET(S)</t>
  </si>
  <si>
    <t>WLV-3500SET(S)</t>
  </si>
  <si>
    <t>WLV-4000SET(S)</t>
  </si>
  <si>
    <t>WLV-4500SET(S)</t>
  </si>
  <si>
    <t>WLV-5000SET(S)</t>
  </si>
  <si>
    <t>WLV-1000SET(G)</t>
  </si>
  <si>
    <t>WLV-1500SET(G)</t>
  </si>
  <si>
    <t>WLV-2000SET(G)</t>
  </si>
  <si>
    <t>WLV-2500SET(G)</t>
  </si>
  <si>
    <t>WLV-3000SET(G)</t>
  </si>
  <si>
    <t>WLV-3500SET(G)</t>
  </si>
  <si>
    <t>WLV-4000SET(G)</t>
  </si>
  <si>
    <t>WLV-4500SET(G)</t>
  </si>
  <si>
    <t>WLV-5000SET(G)</t>
  </si>
  <si>
    <t>WST-0050RO</t>
    <phoneticPr fontId="15" type="noConversion"/>
  </si>
  <si>
    <r>
      <rPr>
        <sz val="10"/>
        <color theme="1"/>
        <rFont val="HY강M"/>
        <family val="1"/>
        <charset val="129"/>
      </rPr>
      <t>실링테이프</t>
    </r>
    <phoneticPr fontId="13" type="noConversion"/>
  </si>
  <si>
    <t>PVC Sealing Tape 50mm(W) x 30m (Roll)</t>
    <phoneticPr fontId="14" type="noConversion"/>
  </si>
  <si>
    <t>Sealing Tape</t>
    <phoneticPr fontId="13" type="noConversion"/>
  </si>
  <si>
    <t>WST-0120RO</t>
    <phoneticPr fontId="15" type="noConversion"/>
  </si>
  <si>
    <t xml:space="preserve">PVC Sealing Tape 120mm(W) </t>
    <phoneticPr fontId="14" type="noConversion"/>
  </si>
  <si>
    <t>WSD-015A</t>
    <phoneticPr fontId="24" type="noConversion"/>
  </si>
  <si>
    <t>Socket (Brass) 15A</t>
    <phoneticPr fontId="24" type="noConversion"/>
  </si>
  <si>
    <t>WSD-020A</t>
    <phoneticPr fontId="24" type="noConversion"/>
  </si>
  <si>
    <t>Socket (Brass) 20A</t>
  </si>
  <si>
    <t>WSD-025A</t>
    <phoneticPr fontId="24" type="noConversion"/>
  </si>
  <si>
    <t>Socket (Brass) 25A</t>
  </si>
  <si>
    <t>WSD-032A</t>
    <phoneticPr fontId="24" type="noConversion"/>
  </si>
  <si>
    <t>Socket (Brass) 32A</t>
  </si>
  <si>
    <t>WSD-040A</t>
    <phoneticPr fontId="24" type="noConversion"/>
  </si>
  <si>
    <t>Socket (Brass) 40A</t>
  </si>
  <si>
    <t>WSD-050A</t>
    <phoneticPr fontId="24" type="noConversion"/>
  </si>
  <si>
    <t>Socket (Brass) 50A</t>
  </si>
  <si>
    <t>WFL-065A</t>
    <phoneticPr fontId="24" type="noConversion"/>
  </si>
  <si>
    <t>Flat Flange 65A</t>
  </si>
  <si>
    <t>WFL-080A</t>
    <phoneticPr fontId="24" type="noConversion"/>
  </si>
  <si>
    <t>Flat Flange 80A</t>
  </si>
  <si>
    <t>WFL-100A</t>
    <phoneticPr fontId="24" type="noConversion"/>
  </si>
  <si>
    <t>Flat Flange 100A</t>
  </si>
  <si>
    <t>WFL-125A</t>
    <phoneticPr fontId="24" type="noConversion"/>
  </si>
  <si>
    <t>Flat Flange 125A</t>
  </si>
  <si>
    <t>WFL-150A</t>
    <phoneticPr fontId="24" type="noConversion"/>
  </si>
  <si>
    <t>Flat Flange 150A</t>
  </si>
  <si>
    <t>WFL-200A</t>
    <phoneticPr fontId="24" type="noConversion"/>
  </si>
  <si>
    <t>Flat Flange 200A</t>
  </si>
  <si>
    <t>WSF-065A</t>
  </si>
  <si>
    <t>Slant Flange 65A</t>
  </si>
  <si>
    <t>WSF-080A</t>
  </si>
  <si>
    <t>Slant Flange 80A</t>
  </si>
  <si>
    <t>WSF-100A</t>
  </si>
  <si>
    <t>Slant Flange 100A</t>
  </si>
  <si>
    <t>WSF-125A</t>
  </si>
  <si>
    <t>Slant Flange 125A</t>
  </si>
  <si>
    <t>WSF-150A</t>
  </si>
  <si>
    <t>Slant Flange 150A</t>
  </si>
  <si>
    <t>WFL-250A</t>
    <phoneticPr fontId="24" type="noConversion"/>
  </si>
  <si>
    <t>Flat Flange 250A</t>
    <phoneticPr fontId="15" type="noConversion"/>
  </si>
  <si>
    <t>WFL-300A</t>
    <phoneticPr fontId="24" type="noConversion"/>
  </si>
  <si>
    <t>Flat Flange 300A</t>
    <phoneticPr fontId="15" type="noConversion"/>
  </si>
  <si>
    <t>EXT:HDG/INT:SS304
+R/F:HDG</t>
  </si>
  <si>
    <t>EXT:HDG/INT:SS304
+R/F:SS304</t>
  </si>
  <si>
    <t>EXT:SS304/INT:SS316</t>
  </si>
  <si>
    <t>EXT:HDG/INT:SS316</t>
  </si>
  <si>
    <t>EXT:SS304/INT:SS304</t>
  </si>
  <si>
    <t>EXT:SS316/INT:SS316</t>
  </si>
  <si>
    <t>Except All Bolts</t>
  </si>
  <si>
    <t>Except Panel Assemble Bolts &amp; Nuts</t>
  </si>
  <si>
    <t>Except Bolts</t>
  </si>
  <si>
    <t>Except Panel assemble Bolts</t>
  </si>
  <si>
    <t>Standard</t>
  </si>
  <si>
    <t>flag</t>
  </si>
  <si>
    <t>Part Name</t>
  </si>
  <si>
    <t>Q'ty</t>
  </si>
  <si>
    <t>Part ID</t>
  </si>
  <si>
    <t>PART NAME</t>
  </si>
  <si>
    <t>Bolt Assemble Location</t>
  </si>
  <si>
    <t>INTERNAL</t>
  </si>
  <si>
    <t>Addintional</t>
  </si>
  <si>
    <t>EXT:HDG/INT:SS304+R/F:HDG</t>
  </si>
  <si>
    <t>EXT:HDG/INT:SS304+R/F:SS304</t>
  </si>
  <si>
    <t>Roof PNL +Roof PNL(Vertical) - roof panel(only 4 holes :korean system)</t>
  </si>
  <si>
    <t>Roof PNL +Roof PNL(Horizontal)  - roof panel(only 4 holes :korean system)</t>
  </si>
  <si>
    <t>WBT-1050Z</t>
  </si>
  <si>
    <t>WBT-1050SA2</t>
  </si>
  <si>
    <t>WBT-1050SA4</t>
  </si>
  <si>
    <t>WBT-1058RS</t>
  </si>
  <si>
    <t>Connecting between Corner Frames</t>
  </si>
  <si>
    <t>WBT-14120RSA2</t>
  </si>
  <si>
    <t>Corner Angle Frame+Side PNLs</t>
  </si>
  <si>
    <t>Bottom PNL+Bottom PNL(Vertical)</t>
  </si>
  <si>
    <t>Bottom PNL+Bottom PNL(Horizontal)</t>
  </si>
  <si>
    <t>Side PNL+Side PNL(Vertical)</t>
  </si>
  <si>
    <t>Side PNL+Side PNL(Horizontal)</t>
  </si>
  <si>
    <t>Bottom PNLs +Side PNLs</t>
  </si>
  <si>
    <t>Side PNLs+Steel Skid</t>
  </si>
  <si>
    <t>0.5m*1m_Flat_Panel(8EA for each Panel) * 2(basis on 1mx1m)* No. of Partition</t>
  </si>
  <si>
    <t>Paritition Top PNL+Roof PNL</t>
  </si>
  <si>
    <t>No. of (WBR-7575Z) *2+ No. of (WBR-0120Z,WBR-0140Z)*4- Steel Skid bolts</t>
  </si>
  <si>
    <t>Sub Beam+Main Beam( 2 no Bolts)</t>
  </si>
  <si>
    <t>A number of WBR-5010Z (No. of Anchor bracket =&gt;Corner(4 EA)</t>
  </si>
  <si>
    <t>WBR-0215CZ*2,WBR-9021CZ,WBR-1022CZ 브라켓 수량*4</t>
  </si>
  <si>
    <t>A Number of WBR-0270Z</t>
  </si>
  <si>
    <t>Partition PNL+Side PNL</t>
  </si>
  <si>
    <t>Partition PNL+Bottom PNL</t>
  </si>
  <si>
    <t>Ext BRK(WCP-1780Z Q'ty*2+WCP-1616Z Q'ty*4+WCP-17120Z Q'ty *2)</t>
  </si>
  <si>
    <t>(No. of WCP-1616S) *4+(No. of WCP-1780S)*2</t>
  </si>
  <si>
    <t>Partition PNL+Partition PNL(Horizontal)</t>
  </si>
  <si>
    <t>Partition PNL+Partition PNL(Vertical)</t>
  </si>
  <si>
    <t>TR-12M0780SA2</t>
  </si>
  <si>
    <t>TR-12M0780SA4</t>
  </si>
  <si>
    <t>TR-12M0880SA2</t>
  </si>
  <si>
    <t>TR-12M0880SA4</t>
  </si>
  <si>
    <t>TR-12M1000SA2</t>
  </si>
  <si>
    <t>TR-12M1000SA4</t>
  </si>
  <si>
    <t>TR-12M1280SA2</t>
  </si>
  <si>
    <t>TR-12M1280SA4</t>
  </si>
  <si>
    <t>TR-12M1380SA2</t>
  </si>
  <si>
    <t>TR-12M1380SA4</t>
  </si>
  <si>
    <t>TR-12M1780SA2</t>
  </si>
  <si>
    <t>TR-12M1780SA4</t>
  </si>
  <si>
    <t>TR-12M1880SA2</t>
  </si>
  <si>
    <t>TR-12M1880SA4</t>
  </si>
  <si>
    <t>TR-12M2000SA2</t>
  </si>
  <si>
    <t>TR-12M2000SA4</t>
  </si>
  <si>
    <t>TR-12M2280SA2</t>
  </si>
  <si>
    <t>TR-12M2280SA4</t>
  </si>
  <si>
    <t>TR-12M2380SA2</t>
  </si>
  <si>
    <t>TR-12M2380SA4</t>
  </si>
  <si>
    <t>TR-12M2780SA2</t>
  </si>
  <si>
    <t>TR-12M2780SA4</t>
  </si>
  <si>
    <t>TR-12M2880SA2</t>
  </si>
  <si>
    <t>TR-12M2880SA4</t>
  </si>
  <si>
    <t>TR-12M3000SA2</t>
  </si>
  <si>
    <t>TR-12M3000SA4</t>
  </si>
  <si>
    <t>TR-12M3280SA2</t>
  </si>
  <si>
    <t>TR-12M3280SA4</t>
  </si>
  <si>
    <t>TR-12M3380SA4</t>
  </si>
  <si>
    <t>TR-12M3780SA2</t>
  </si>
  <si>
    <t>TR-12M3780SA4</t>
  </si>
  <si>
    <t>TR-12M3880SA2</t>
  </si>
  <si>
    <t>TR-12M3880SA4</t>
  </si>
  <si>
    <t>TR-12M4000SA2</t>
  </si>
  <si>
    <t>TR-12M4000SA4</t>
  </si>
  <si>
    <t>TR-12M4280SA2</t>
  </si>
  <si>
    <t>TR-12M4280SA4</t>
  </si>
  <si>
    <t>TR-12M4380SA2</t>
  </si>
  <si>
    <t>TR-12M4380SA4</t>
  </si>
  <si>
    <t>TR-12M4780SA2</t>
  </si>
  <si>
    <t>TR-12M4780SA4</t>
  </si>
  <si>
    <t>TR-12M4880SA2</t>
  </si>
  <si>
    <t>TR-12M4880SA4</t>
  </si>
  <si>
    <t>TR-12M5000SA2</t>
  </si>
  <si>
    <t>TR-12M5000SA4</t>
  </si>
  <si>
    <t>TR-14M0780SA2</t>
  </si>
  <si>
    <t>TR-14M0780SA4</t>
  </si>
  <si>
    <t>TR-14M0880SA2</t>
  </si>
  <si>
    <t>TR-14M0880SA4</t>
  </si>
  <si>
    <t>TR-14M1000SA2</t>
  </si>
  <si>
    <t>TR-14M1000SA4</t>
  </si>
  <si>
    <t>TR-14M1280SA2</t>
  </si>
  <si>
    <t>TR-14M1280SA4</t>
  </si>
  <si>
    <t>TR-14M1380SA2</t>
  </si>
  <si>
    <t>TR-14M1380SA4</t>
  </si>
  <si>
    <t>TR-14M1780SA2</t>
  </si>
  <si>
    <t>TR-14M1780SA4</t>
  </si>
  <si>
    <t>TR-14M1880SA2</t>
  </si>
  <si>
    <t>TR-14M1880SA4</t>
  </si>
  <si>
    <t>TR-14M2000SA2</t>
  </si>
  <si>
    <t>TR-14M2000SA4</t>
  </si>
  <si>
    <t>TR-14M2280SA2</t>
  </si>
  <si>
    <t>TR-14M2280SA4</t>
  </si>
  <si>
    <t>TR-14M2380SA2</t>
  </si>
  <si>
    <t>TR-14M2380SA4</t>
  </si>
  <si>
    <t>TR-14M2780SA2</t>
  </si>
  <si>
    <t>TR-14M2780SA4</t>
  </si>
  <si>
    <t>TR-14M2880SA2</t>
  </si>
  <si>
    <t>TR-14M2880SA4</t>
  </si>
  <si>
    <t>TR-14M3000SA2</t>
  </si>
  <si>
    <t>TR-14M3000SA4</t>
  </si>
  <si>
    <t>TR-14M3280SA2</t>
  </si>
  <si>
    <t>TR-14M3280SA4</t>
  </si>
  <si>
    <t>TR-14M3380SA2</t>
  </si>
  <si>
    <t>TR-14M3380SA4</t>
  </si>
  <si>
    <t>TR-14M3780SA2</t>
  </si>
  <si>
    <t>TR-14M3780SA4</t>
  </si>
  <si>
    <t>TR-14M3880SA2</t>
  </si>
  <si>
    <t>TR-14M3880SA4</t>
  </si>
  <si>
    <t>TR-14M4000SA2</t>
  </si>
  <si>
    <t>TR-14M4000SA4</t>
  </si>
  <si>
    <t>TR-14M4280SA2</t>
  </si>
  <si>
    <t>TR-14M4280SA4</t>
  </si>
  <si>
    <t>TR-14M4380SA2</t>
  </si>
  <si>
    <t>TR-14M4380SA4</t>
  </si>
  <si>
    <t>TR-14M4780SA2</t>
  </si>
  <si>
    <t>TR-14M4780SA4</t>
  </si>
  <si>
    <t>TR-14M4880SA2</t>
  </si>
  <si>
    <t>TR-14M4880SA4</t>
  </si>
  <si>
    <t>TR-14M5000SA2</t>
  </si>
  <si>
    <t>TR-14M5000SA4</t>
  </si>
  <si>
    <t>TC-12M60SA2</t>
  </si>
  <si>
    <t>TC-12M60SA4</t>
  </si>
  <si>
    <t>TC-14M60SA2</t>
  </si>
  <si>
    <t>TC-14M60SA4</t>
  </si>
  <si>
    <t xml:space="preserve">1. Internal Reinforcing </t>
    <phoneticPr fontId="13" type="noConversion"/>
  </si>
  <si>
    <t>[Side Panel]</t>
    <phoneticPr fontId="86" type="noConversion"/>
  </si>
  <si>
    <t>0450Z</t>
    <phoneticPr fontId="13" type="noConversion"/>
  </si>
  <si>
    <t>0450ZP</t>
    <phoneticPr fontId="13" type="noConversion"/>
  </si>
  <si>
    <t>0450ZL</t>
    <phoneticPr fontId="13" type="noConversion"/>
  </si>
  <si>
    <t>0950Z</t>
    <phoneticPr fontId="13" type="noConversion"/>
  </si>
  <si>
    <t>0950ZP</t>
    <phoneticPr fontId="13" type="noConversion"/>
  </si>
  <si>
    <t>0950ZL</t>
    <phoneticPr fontId="13" type="noConversion"/>
  </si>
  <si>
    <t>1200Z</t>
    <phoneticPr fontId="13" type="noConversion"/>
  </si>
  <si>
    <t>1.0mH</t>
    <phoneticPr fontId="13" type="noConversion"/>
  </si>
  <si>
    <t>1.5mH</t>
    <phoneticPr fontId="13" type="noConversion"/>
  </si>
  <si>
    <t>2.0mH</t>
    <phoneticPr fontId="13" type="noConversion"/>
  </si>
  <si>
    <t>2.5mH</t>
    <phoneticPr fontId="13" type="noConversion"/>
  </si>
  <si>
    <t>3.0mH</t>
    <phoneticPr fontId="13" type="noConversion"/>
  </si>
  <si>
    <t>3.5mH</t>
    <phoneticPr fontId="13" type="noConversion"/>
  </si>
  <si>
    <t>4.0mH</t>
    <phoneticPr fontId="13" type="noConversion"/>
  </si>
  <si>
    <t>1st Tier</t>
    <phoneticPr fontId="86" type="noConversion"/>
  </si>
  <si>
    <t>2nd Tier</t>
    <phoneticPr fontId="86" type="noConversion"/>
  </si>
  <si>
    <t>3rd Tier</t>
    <phoneticPr fontId="86" type="noConversion"/>
  </si>
  <si>
    <t>M12(Φ10.7) - 1 piece</t>
    <phoneticPr fontId="86" type="noConversion"/>
  </si>
  <si>
    <t>3H</t>
    <phoneticPr fontId="13" type="noConversion"/>
  </si>
  <si>
    <t>0950SZ</t>
    <phoneticPr fontId="13" type="noConversion"/>
  </si>
  <si>
    <t>0950SA4</t>
    <phoneticPr fontId="13" type="noConversion"/>
  </si>
  <si>
    <t>0880ZP</t>
    <phoneticPr fontId="13" type="noConversion"/>
  </si>
  <si>
    <t>0450SZ</t>
    <phoneticPr fontId="13" type="noConversion"/>
  </si>
  <si>
    <t>0955ZP</t>
    <phoneticPr fontId="13" type="noConversion"/>
  </si>
  <si>
    <t>0950SPA4</t>
    <phoneticPr fontId="13" type="noConversion"/>
  </si>
  <si>
    <t>0880SA4</t>
    <phoneticPr fontId="13" type="noConversion"/>
  </si>
  <si>
    <t>0450SA4</t>
    <phoneticPr fontId="13" type="noConversion"/>
  </si>
  <si>
    <t>0880SPA4</t>
    <phoneticPr fontId="13" type="noConversion"/>
  </si>
  <si>
    <t>Internal Reinforcing
(Stainless Steel)</t>
    <phoneticPr fontId="13" type="noConversion"/>
  </si>
  <si>
    <t>Internal Bracket
(Stainless Steel)</t>
    <phoneticPr fontId="13" type="noConversion"/>
  </si>
  <si>
    <t>WFF-1490ALZ</t>
    <phoneticPr fontId="13" type="noConversion"/>
  </si>
  <si>
    <t>WFF-1490CLZ</t>
    <phoneticPr fontId="13" type="noConversion"/>
  </si>
  <si>
    <t>WFF-1490HCLZ</t>
    <phoneticPr fontId="13" type="noConversion"/>
  </si>
  <si>
    <t>WBT-1058RD</t>
    <phoneticPr fontId="13" type="noConversion"/>
  </si>
  <si>
    <t>Hside_Par</t>
    <phoneticPr fontId="13" type="noConversion"/>
  </si>
  <si>
    <t>Air Vent</t>
    <phoneticPr fontId="13" type="noConversion"/>
  </si>
  <si>
    <t>Roof Supporter</t>
    <phoneticPr fontId="13" type="noConversion"/>
  </si>
  <si>
    <t>External Ladder</t>
    <phoneticPr fontId="13" type="noConversion"/>
  </si>
  <si>
    <t>Sealing Tape(50mm)</t>
    <phoneticPr fontId="13" type="noConversion"/>
  </si>
  <si>
    <t>WST-0050RO</t>
    <phoneticPr fontId="13" type="noConversion"/>
  </si>
  <si>
    <t>Sealing Tape(120mm)</t>
    <phoneticPr fontId="13" type="noConversion"/>
  </si>
  <si>
    <t>WST-0120RO</t>
    <phoneticPr fontId="13" type="noConversion"/>
  </si>
  <si>
    <t>Sealing_Tape</t>
    <phoneticPr fontId="13" type="noConversion"/>
  </si>
  <si>
    <t>SEALING TAPE</t>
    <phoneticPr fontId="13" type="noConversion"/>
  </si>
  <si>
    <t>50MM</t>
    <phoneticPr fontId="13" type="noConversion"/>
  </si>
  <si>
    <t>Steel Skid(Sub)</t>
    <phoneticPr fontId="13" type="noConversion"/>
  </si>
  <si>
    <t>Steel Skid(Main-L)</t>
    <phoneticPr fontId="13" type="noConversion"/>
  </si>
  <si>
    <t>Steel Skid(Main-W)</t>
    <phoneticPr fontId="13" type="noConversion"/>
  </si>
  <si>
    <t xml:space="preserve">CEO </t>
    <phoneticPr fontId="86" type="noConversion"/>
  </si>
  <si>
    <t>Base_Par</t>
    <phoneticPr fontId="13" type="noConversion"/>
  </si>
  <si>
    <t>Side_ParLT</t>
    <phoneticPr fontId="13" type="noConversion"/>
  </si>
  <si>
    <t>Side_ParRT</t>
    <phoneticPr fontId="13" type="noConversion"/>
  </si>
  <si>
    <t>Side15</t>
    <phoneticPr fontId="13" type="noConversion"/>
  </si>
  <si>
    <t>Side15_ParLT</t>
    <phoneticPr fontId="13" type="noConversion"/>
  </si>
  <si>
    <t>Side15_ParRT</t>
    <phoneticPr fontId="13" type="noConversion"/>
  </si>
  <si>
    <t>Side20</t>
    <phoneticPr fontId="13" type="noConversion"/>
  </si>
  <si>
    <t>Side20_ParLT</t>
    <phoneticPr fontId="13" type="noConversion"/>
  </si>
  <si>
    <t>Side20_ParRT</t>
    <phoneticPr fontId="13" type="noConversion"/>
  </si>
  <si>
    <t>122-3333-4442</t>
    <phoneticPr fontId="13" type="noConversion"/>
  </si>
  <si>
    <t>Internal</t>
    <phoneticPr fontId="13" type="noConversion"/>
  </si>
  <si>
    <t>External</t>
    <phoneticPr fontId="13" type="noConversion"/>
  </si>
  <si>
    <t>N0</t>
    <phoneticPr fontId="13" type="noConversion"/>
  </si>
  <si>
    <t>PART ID</t>
    <phoneticPr fontId="13" type="noConversion"/>
  </si>
  <si>
    <t>GRADE</t>
    <phoneticPr fontId="13" type="noConversion"/>
  </si>
  <si>
    <t>SIZE (MM)</t>
    <phoneticPr fontId="13" type="noConversion"/>
  </si>
  <si>
    <t>Q'TY (PCS)</t>
    <phoneticPr fontId="13" type="noConversion"/>
  </si>
  <si>
    <t>WEIGHT(KG)</t>
    <phoneticPr fontId="13" type="noConversion"/>
  </si>
  <si>
    <t>HOLE SPEC.</t>
    <phoneticPr fontId="13" type="noConversion"/>
  </si>
  <si>
    <t>WORK ORDER FOR PANEL</t>
    <phoneticPr fontId="13" type="noConversion"/>
  </si>
  <si>
    <r>
      <rPr>
        <sz val="12"/>
        <rFont val="HY크리스탈M"/>
        <family val="1"/>
        <charset val="129"/>
      </rPr>
      <t>칸측</t>
    </r>
    <r>
      <rPr>
        <sz val="12"/>
        <rFont val="Tahoma"/>
        <family val="2"/>
      </rPr>
      <t>+</t>
    </r>
    <r>
      <rPr>
        <sz val="12"/>
        <rFont val="HY크리스탈M"/>
        <family val="1"/>
        <charset val="129"/>
      </rPr>
      <t xml:space="preserve">칸측
</t>
    </r>
    <r>
      <rPr>
        <sz val="12"/>
        <rFont val="Tahoma"/>
        <family val="2"/>
      </rPr>
      <t>(</t>
    </r>
    <r>
      <rPr>
        <sz val="12"/>
        <rFont val="HY크리스탈M"/>
        <family val="1"/>
        <charset val="129"/>
      </rPr>
      <t>세로</t>
    </r>
    <r>
      <rPr>
        <sz val="12"/>
        <rFont val="Tahoma"/>
        <family val="2"/>
      </rPr>
      <t>)</t>
    </r>
    <phoneticPr fontId="13" type="noConversion"/>
  </si>
  <si>
    <r>
      <rPr>
        <sz val="12"/>
        <rFont val="HY크리스탈M"/>
        <family val="1"/>
        <charset val="129"/>
      </rPr>
      <t>칸측</t>
    </r>
    <r>
      <rPr>
        <sz val="12"/>
        <rFont val="Tahoma"/>
        <family val="2"/>
      </rPr>
      <t>+</t>
    </r>
    <r>
      <rPr>
        <sz val="12"/>
        <rFont val="HY크리스탈M"/>
        <family val="1"/>
        <charset val="129"/>
      </rPr>
      <t xml:space="preserve">칸측
</t>
    </r>
    <r>
      <rPr>
        <sz val="12"/>
        <rFont val="Tahoma"/>
        <family val="2"/>
      </rPr>
      <t>(</t>
    </r>
    <r>
      <rPr>
        <sz val="12"/>
        <rFont val="HY크리스탈M"/>
        <family val="1"/>
        <charset val="129"/>
      </rPr>
      <t>가로</t>
    </r>
    <r>
      <rPr>
        <sz val="12"/>
        <rFont val="Tahoma"/>
        <family val="2"/>
      </rPr>
      <t>)</t>
    </r>
    <phoneticPr fontId="13" type="noConversion"/>
  </si>
  <si>
    <r>
      <rPr>
        <sz val="12"/>
        <rFont val="HY크리스탈M"/>
        <family val="1"/>
        <charset val="129"/>
      </rPr>
      <t>칸측하</t>
    </r>
    <r>
      <rPr>
        <sz val="12"/>
        <rFont val="Tahoma"/>
        <family val="2"/>
      </rPr>
      <t>+</t>
    </r>
    <r>
      <rPr>
        <sz val="12"/>
        <rFont val="HY크리스탈M"/>
        <family val="1"/>
        <charset val="129"/>
      </rPr>
      <t>저면</t>
    </r>
    <phoneticPr fontId="13" type="noConversion"/>
  </si>
  <si>
    <r>
      <rPr>
        <sz val="12"/>
        <rFont val="HY크리스탈M"/>
        <family val="1"/>
        <charset val="129"/>
      </rPr>
      <t>칸막이</t>
    </r>
    <r>
      <rPr>
        <sz val="12"/>
        <rFont val="Tahoma"/>
        <family val="2"/>
      </rPr>
      <t>+</t>
    </r>
    <r>
      <rPr>
        <sz val="12"/>
        <rFont val="HY크리스탈M"/>
        <family val="1"/>
        <charset val="129"/>
      </rPr>
      <t>측면</t>
    </r>
    <phoneticPr fontId="13" type="noConversion"/>
  </si>
  <si>
    <t/>
  </si>
  <si>
    <t xml:space="preserve">▣ Company : ABC                        </t>
  </si>
  <si>
    <t>▣ Project Name :A Project</t>
  </si>
  <si>
    <t>INSULATED</t>
    <phoneticPr fontId="13" type="noConversion"/>
  </si>
  <si>
    <t>EXT:HDG+INT:SS316</t>
  </si>
  <si>
    <t>WBR-9090S(316)</t>
  </si>
  <si>
    <t>WCP-1780S(316)</t>
  </si>
  <si>
    <t>MF</t>
    <phoneticPr fontId="13" type="noConversion"/>
  </si>
  <si>
    <t>RF</t>
    <phoneticPr fontId="13" type="noConversion"/>
  </si>
  <si>
    <t>RH</t>
    <phoneticPr fontId="13" type="noConversion"/>
  </si>
  <si>
    <t>RQ</t>
    <phoneticPr fontId="13" type="noConversion"/>
  </si>
  <si>
    <t>BF</t>
    <phoneticPr fontId="13" type="noConversion"/>
  </si>
  <si>
    <t>BH</t>
    <phoneticPr fontId="13" type="noConversion"/>
  </si>
  <si>
    <t>BQ</t>
    <phoneticPr fontId="13" type="noConversion"/>
  </si>
  <si>
    <t>DN</t>
    <phoneticPr fontId="13" type="noConversion"/>
  </si>
  <si>
    <t>SF</t>
    <phoneticPr fontId="13" type="noConversion"/>
  </si>
  <si>
    <t>SH</t>
    <phoneticPr fontId="13" type="noConversion"/>
  </si>
  <si>
    <t>SQ</t>
    <phoneticPr fontId="13" type="noConversion"/>
  </si>
  <si>
    <t>PL</t>
    <phoneticPr fontId="13" type="noConversion"/>
  </si>
  <si>
    <t>PH</t>
    <phoneticPr fontId="13" type="noConversion"/>
  </si>
  <si>
    <t>PF</t>
    <phoneticPr fontId="13" type="noConversion"/>
  </si>
  <si>
    <t>SN</t>
    <phoneticPr fontId="13" type="noConversion"/>
  </si>
  <si>
    <t>Use Partition
(1mx1m)</t>
    <phoneticPr fontId="13" type="noConversion"/>
  </si>
  <si>
    <t>35ML</t>
    <phoneticPr fontId="13" type="noConversion"/>
  </si>
  <si>
    <t>35MR</t>
    <phoneticPr fontId="13" type="noConversion"/>
  </si>
  <si>
    <t>40ML</t>
    <phoneticPr fontId="13" type="noConversion"/>
  </si>
  <si>
    <t>40MR</t>
    <phoneticPr fontId="13" type="noConversion"/>
  </si>
  <si>
    <t>PQ</t>
    <phoneticPr fontId="13" type="noConversion"/>
  </si>
  <si>
    <t>SS316</t>
  </si>
  <si>
    <t>10TCA</t>
    <phoneticPr fontId="13" type="noConversion"/>
  </si>
  <si>
    <t>20TCA</t>
    <phoneticPr fontId="13" type="noConversion"/>
  </si>
  <si>
    <t>15TCA</t>
    <phoneticPr fontId="13" type="noConversion"/>
  </si>
  <si>
    <t>15TCB</t>
    <phoneticPr fontId="13" type="noConversion"/>
  </si>
  <si>
    <t>05TCA</t>
    <phoneticPr fontId="13" type="noConversion"/>
  </si>
  <si>
    <t>20TCB</t>
    <phoneticPr fontId="13" type="noConversion"/>
  </si>
  <si>
    <t>10TCB</t>
    <phoneticPr fontId="13" type="noConversion"/>
  </si>
  <si>
    <t>Angle 75</t>
    <phoneticPr fontId="13" type="noConversion"/>
  </si>
  <si>
    <t>Channel 150</t>
    <phoneticPr fontId="13" type="noConversion"/>
  </si>
  <si>
    <t>PL15TCA</t>
  </si>
  <si>
    <t xml:space="preserve"> </t>
    <phoneticPr fontId="13" type="noConversion"/>
  </si>
  <si>
    <t>MF00M</t>
  </si>
  <si>
    <t>RF00M</t>
  </si>
  <si>
    <t>BF10M</t>
  </si>
  <si>
    <t>BF15M</t>
  </si>
  <si>
    <t>BF20M</t>
  </si>
  <si>
    <t>BF25M</t>
  </si>
  <si>
    <t>BF30M</t>
  </si>
  <si>
    <t>BF35M</t>
  </si>
  <si>
    <t>BF40M</t>
  </si>
  <si>
    <t>BF10P</t>
  </si>
  <si>
    <t>BF15P</t>
  </si>
  <si>
    <t>BF20P</t>
  </si>
  <si>
    <t>BF25P</t>
  </si>
  <si>
    <t>BF30P</t>
  </si>
  <si>
    <t>BF35P</t>
  </si>
  <si>
    <t>BF40P</t>
  </si>
  <si>
    <t>BH10M</t>
  </si>
  <si>
    <t>BH15M</t>
  </si>
  <si>
    <t>BH20M</t>
  </si>
  <si>
    <t>BH25M</t>
  </si>
  <si>
    <t>BH30M</t>
  </si>
  <si>
    <t>BH35M</t>
  </si>
  <si>
    <t>BH40M</t>
  </si>
  <si>
    <t>BH10V</t>
  </si>
  <si>
    <t>BH15V</t>
  </si>
  <si>
    <t>BH20V</t>
  </si>
  <si>
    <t>BH25V</t>
  </si>
  <si>
    <t>BH30V</t>
  </si>
  <si>
    <t>BH35V</t>
  </si>
  <si>
    <t>BH40V</t>
  </si>
  <si>
    <t>BH10H</t>
  </si>
  <si>
    <t>BH15H</t>
  </si>
  <si>
    <t>BH20H</t>
  </si>
  <si>
    <t>BH25H</t>
  </si>
  <si>
    <t>BH30H</t>
  </si>
  <si>
    <t>BH35H</t>
  </si>
  <si>
    <t>BH40H</t>
  </si>
  <si>
    <t>BQ10M</t>
  </si>
  <si>
    <t>BQ15M</t>
  </si>
  <si>
    <t>BQ20M</t>
  </si>
  <si>
    <t>BQ25M</t>
  </si>
  <si>
    <t>BQ30M</t>
  </si>
  <si>
    <t>BQ35M</t>
  </si>
  <si>
    <t>BQ40M</t>
  </si>
  <si>
    <t>SF10S</t>
  </si>
  <si>
    <t>SF25M</t>
  </si>
  <si>
    <t>SF30M</t>
  </si>
  <si>
    <t>SF35M</t>
  </si>
  <si>
    <t>SF40M</t>
  </si>
  <si>
    <t>SF25L</t>
  </si>
  <si>
    <t>SF30L</t>
  </si>
  <si>
    <t>SF35L</t>
  </si>
  <si>
    <t>SF40L</t>
  </si>
  <si>
    <t>SF45L</t>
  </si>
  <si>
    <t>SF50L</t>
  </si>
  <si>
    <t>SF10T</t>
  </si>
  <si>
    <t>SF10SL</t>
  </si>
  <si>
    <t>SF10SR</t>
  </si>
  <si>
    <t>SF25MP</t>
  </si>
  <si>
    <t>SF30MP</t>
  </si>
  <si>
    <t>SF35MP</t>
  </si>
  <si>
    <t>SF40MP</t>
  </si>
  <si>
    <t>SF25LL</t>
  </si>
  <si>
    <t>SF30LL</t>
  </si>
  <si>
    <t>SF35LL</t>
  </si>
  <si>
    <t>SF40LL</t>
  </si>
  <si>
    <t>SF25LR</t>
  </si>
  <si>
    <t>SF30LR</t>
  </si>
  <si>
    <t>SF35LR</t>
  </si>
  <si>
    <t>SF40LR</t>
  </si>
  <si>
    <t>SF10TL</t>
  </si>
  <si>
    <t>SF10TR</t>
  </si>
  <si>
    <t>SL20S</t>
  </si>
  <si>
    <t>SL20SL</t>
  </si>
  <si>
    <t>SL20SR</t>
  </si>
  <si>
    <t>SL20T</t>
  </si>
  <si>
    <t>SL20TL</t>
  </si>
  <si>
    <t>SL20TR</t>
  </si>
  <si>
    <t>SL15S</t>
  </si>
  <si>
    <t>SL15SL</t>
  </si>
  <si>
    <t>SL15SR</t>
  </si>
  <si>
    <t>SL15T</t>
  </si>
  <si>
    <t>SL15TL</t>
  </si>
  <si>
    <t>SL15TR</t>
  </si>
  <si>
    <t>SH10S</t>
  </si>
  <si>
    <t>SH25M</t>
  </si>
  <si>
    <t>SH30M</t>
  </si>
  <si>
    <t>SH35M</t>
  </si>
  <si>
    <t>SH40M</t>
  </si>
  <si>
    <t>SH25L</t>
  </si>
  <si>
    <t>SH30L</t>
  </si>
  <si>
    <t>SH35L</t>
  </si>
  <si>
    <t>SH40L</t>
  </si>
  <si>
    <t>SH10T</t>
  </si>
  <si>
    <t>SH10SL</t>
  </si>
  <si>
    <t>SH10SR</t>
  </si>
  <si>
    <t>SH25ML</t>
  </si>
  <si>
    <t>SH30ML</t>
  </si>
  <si>
    <t>SH35ML</t>
  </si>
  <si>
    <t>SH40ML</t>
  </si>
  <si>
    <t>SH25MR</t>
  </si>
  <si>
    <t>SH30MR</t>
  </si>
  <si>
    <t>SH35MR</t>
  </si>
  <si>
    <t>SH40MR</t>
  </si>
  <si>
    <t>SH25LL</t>
  </si>
  <si>
    <t>SH30LL</t>
  </si>
  <si>
    <t>SH35LL</t>
  </si>
  <si>
    <t>SH40LL</t>
  </si>
  <si>
    <t>SH25LR</t>
  </si>
  <si>
    <t>SH30LR</t>
  </si>
  <si>
    <t>SH35LR</t>
  </si>
  <si>
    <t>SH40LR</t>
  </si>
  <si>
    <t>SH10TL</t>
  </si>
  <si>
    <t>SH10TR</t>
  </si>
  <si>
    <t>SN10S</t>
  </si>
  <si>
    <t>SN25M</t>
  </si>
  <si>
    <t>SN30M</t>
  </si>
  <si>
    <t>SN35M</t>
  </si>
  <si>
    <t>SN40M</t>
  </si>
  <si>
    <t>SN25L</t>
  </si>
  <si>
    <t>SN30L</t>
  </si>
  <si>
    <t>SN35L</t>
  </si>
  <si>
    <t>SN40L</t>
  </si>
  <si>
    <t>SN10T</t>
  </si>
  <si>
    <t>SN10SL</t>
  </si>
  <si>
    <t>SN10SR</t>
  </si>
  <si>
    <t>SN25ML</t>
  </si>
  <si>
    <t>SN30ML</t>
  </si>
  <si>
    <t>SN35ML</t>
  </si>
  <si>
    <t>SN40ML</t>
  </si>
  <si>
    <t>SN25MR</t>
  </si>
  <si>
    <t>SN30MR</t>
  </si>
  <si>
    <t>SN35MR</t>
  </si>
  <si>
    <t>SN40MR</t>
  </si>
  <si>
    <t>SN25LL</t>
  </si>
  <si>
    <t>SN30LL</t>
  </si>
  <si>
    <t>SN35LL</t>
  </si>
  <si>
    <t>SN40LL</t>
  </si>
  <si>
    <t>SN25LR</t>
  </si>
  <si>
    <t>SN30LR</t>
  </si>
  <si>
    <t>SN35LR</t>
  </si>
  <si>
    <t>SN40LR</t>
  </si>
  <si>
    <t>SN10TL</t>
  </si>
  <si>
    <t>SN10TR</t>
  </si>
  <si>
    <t>SQ10M</t>
  </si>
  <si>
    <t>SQ15M</t>
  </si>
  <si>
    <t>SQ20M</t>
  </si>
  <si>
    <t>SQ25M</t>
  </si>
  <si>
    <t>SQ30M</t>
  </si>
  <si>
    <t>SQ35M</t>
  </si>
  <si>
    <t>SQ40M</t>
  </si>
  <si>
    <t>SQ10T</t>
  </si>
  <si>
    <t>PF10</t>
  </si>
  <si>
    <t>PF10T</t>
  </si>
  <si>
    <t>PF25M</t>
  </si>
  <si>
    <t>PF30M</t>
  </si>
  <si>
    <t>PF35M</t>
  </si>
  <si>
    <t>PF40M</t>
  </si>
  <si>
    <t>PH25M</t>
  </si>
  <si>
    <t>PH30M</t>
  </si>
  <si>
    <t>PH35M</t>
  </si>
  <si>
    <t>PH40M</t>
  </si>
  <si>
    <t>PH10TCB(30)</t>
  </si>
  <si>
    <t>PH10TCB(35)</t>
  </si>
  <si>
    <t>PH10TCB(40)</t>
  </si>
  <si>
    <t>PF10TCA</t>
  </si>
  <si>
    <t>PL15TCB</t>
  </si>
  <si>
    <t>PL20TCB</t>
  </si>
  <si>
    <t>PL20TCA</t>
  </si>
  <si>
    <t>Manhole(1m x 1m)</t>
    <phoneticPr fontId="195" type="noConversion"/>
  </si>
  <si>
    <t>Roof(1x1M)</t>
    <phoneticPr fontId="195" type="noConversion"/>
  </si>
  <si>
    <t>Roof(0.5x1M)</t>
    <phoneticPr fontId="195" type="noConversion"/>
  </si>
  <si>
    <t>Roof(0.5x0.5M)</t>
    <phoneticPr fontId="195" type="noConversion"/>
  </si>
  <si>
    <t>Base(1x1M)</t>
    <phoneticPr fontId="195" type="noConversion"/>
  </si>
  <si>
    <t>Base(0.5x1M)</t>
    <phoneticPr fontId="195" type="noConversion"/>
  </si>
  <si>
    <t>Base(0.5x0.5M)</t>
    <phoneticPr fontId="195" type="noConversion"/>
  </si>
  <si>
    <t>Nozzle_Drain(1x1m)</t>
    <phoneticPr fontId="195" type="noConversion"/>
  </si>
  <si>
    <t>Side(1m x 1m)</t>
    <phoneticPr fontId="195" type="noConversion"/>
  </si>
  <si>
    <t>Side(1m x 2m)</t>
    <phoneticPr fontId="195" type="noConversion"/>
  </si>
  <si>
    <t>Side(1m x 1.5m)</t>
    <phoneticPr fontId="195" type="noConversion"/>
  </si>
  <si>
    <t>Side(0.5m x 1m)</t>
    <phoneticPr fontId="195" type="noConversion"/>
  </si>
  <si>
    <t>SIDE_Nozzle(1x1m)</t>
    <phoneticPr fontId="195" type="noConversion"/>
  </si>
  <si>
    <t>Side(0.5m x 0.5m)</t>
    <phoneticPr fontId="195" type="noConversion"/>
  </si>
  <si>
    <t>Partition(0.93x1m)</t>
    <phoneticPr fontId="195" type="noConversion"/>
  </si>
  <si>
    <t>Partition(0.5x0.415m)</t>
    <phoneticPr fontId="195" type="noConversion"/>
  </si>
  <si>
    <t>Partition(0.5x0.485m)</t>
    <phoneticPr fontId="195" type="noConversion"/>
  </si>
  <si>
    <t>Partition(0.93x0.5m)</t>
    <phoneticPr fontId="195" type="noConversion"/>
  </si>
  <si>
    <t>Partition(1x0.86m)</t>
    <phoneticPr fontId="195" type="noConversion"/>
  </si>
  <si>
    <t>Partition(1x1.485m)</t>
    <phoneticPr fontId="195" type="noConversion"/>
  </si>
  <si>
    <t>Partition(1x1.415m)</t>
    <phoneticPr fontId="195" type="noConversion"/>
  </si>
  <si>
    <t>Partition(1x1.985m)</t>
    <phoneticPr fontId="195" type="noConversion"/>
  </si>
  <si>
    <t>Partition(1x1.915m)</t>
    <phoneticPr fontId="195" type="noConversion"/>
  </si>
  <si>
    <t xml:space="preserve">1st Tier </t>
    <phoneticPr fontId="13" type="noConversion"/>
  </si>
  <si>
    <t>1st Tier-Partion</t>
    <phoneticPr fontId="13" type="noConversion"/>
  </si>
  <si>
    <t>Nozzle Panel Location
(1x1m Flat)</t>
    <phoneticPr fontId="13" type="noConversion"/>
  </si>
  <si>
    <t>SIDE_NOZ_BOT</t>
    <phoneticPr fontId="13" type="noConversion"/>
  </si>
  <si>
    <t>Side NOZ_PAR</t>
    <phoneticPr fontId="13" type="noConversion"/>
  </si>
  <si>
    <t>Side NOZ</t>
    <phoneticPr fontId="13" type="noConversion"/>
  </si>
  <si>
    <t>S_NOZ_BOT_P</t>
    <phoneticPr fontId="13" type="noConversion"/>
  </si>
  <si>
    <t>1.0 X 1.0 Nozzle Panel
(LOWER)</t>
    <phoneticPr fontId="13" type="noConversion"/>
  </si>
  <si>
    <t>Side(1mH,2.5mH~)</t>
    <phoneticPr fontId="13" type="noConversion"/>
  </si>
  <si>
    <t>Internal</t>
  </si>
  <si>
    <t>M12 NUT(SA4)</t>
    <phoneticPr fontId="15" type="noConversion"/>
  </si>
  <si>
    <t>M12 NUT(SA2)</t>
    <phoneticPr fontId="15" type="noConversion"/>
  </si>
  <si>
    <t>SS304 T/Rod Nut</t>
    <phoneticPr fontId="13" type="noConversion"/>
  </si>
  <si>
    <t>SS316 T/Rod Nut</t>
    <phoneticPr fontId="13" type="noConversion"/>
  </si>
  <si>
    <t xml:space="preserve">SS316 T/Rod Washer </t>
    <phoneticPr fontId="13" type="noConversion"/>
  </si>
  <si>
    <t xml:space="preserve">SS304 T/Rod Washer </t>
    <phoneticPr fontId="13" type="noConversion"/>
  </si>
  <si>
    <t>M12(Dia) Washer</t>
    <phoneticPr fontId="14" type="noConversion"/>
  </si>
  <si>
    <t xml:space="preserve">M12(Dia) Nut </t>
    <phoneticPr fontId="14" type="noConversion"/>
  </si>
  <si>
    <t>M12 BW(SA4)</t>
    <phoneticPr fontId="15" type="noConversion"/>
  </si>
  <si>
    <t>M12 BW(SA2)</t>
    <phoneticPr fontId="15" type="noConversion"/>
  </si>
  <si>
    <t>DN10M</t>
    <phoneticPr fontId="15" type="noConversion"/>
  </si>
  <si>
    <t>DN15M</t>
    <phoneticPr fontId="15" type="noConversion"/>
  </si>
  <si>
    <t>DN25M</t>
    <phoneticPr fontId="15" type="noConversion"/>
  </si>
  <si>
    <t>DN30M</t>
    <phoneticPr fontId="15" type="noConversion"/>
  </si>
  <si>
    <t>DN35M</t>
    <phoneticPr fontId="15" type="noConversion"/>
  </si>
  <si>
    <t>DN40M</t>
    <phoneticPr fontId="15" type="noConversion"/>
  </si>
  <si>
    <t>AA</t>
    <phoneticPr fontId="13" type="noConversion"/>
  </si>
  <si>
    <t>20ML</t>
    <phoneticPr fontId="13" type="noConversion"/>
  </si>
  <si>
    <t>20MR</t>
    <phoneticPr fontId="13" type="noConversion"/>
  </si>
  <si>
    <t>WRS-1500F</t>
    <phoneticPr fontId="15" type="noConversion"/>
  </si>
  <si>
    <t>WRS-2000F</t>
    <phoneticPr fontId="15" type="noConversion"/>
  </si>
  <si>
    <t>WRS-2500F</t>
    <phoneticPr fontId="15" type="noConversion"/>
  </si>
  <si>
    <t>WRS-3000F</t>
    <phoneticPr fontId="15" type="noConversion"/>
  </si>
  <si>
    <t>WRS-3500F</t>
    <phoneticPr fontId="15" type="noConversion"/>
  </si>
  <si>
    <t>WRS-4000F</t>
    <phoneticPr fontId="15" type="noConversion"/>
  </si>
  <si>
    <t>WRS-4500F</t>
    <phoneticPr fontId="15" type="noConversion"/>
  </si>
  <si>
    <t>WRS-5000F</t>
    <phoneticPr fontId="15" type="noConversion"/>
  </si>
  <si>
    <t>WFR-1500Z</t>
    <phoneticPr fontId="13" type="noConversion"/>
  </si>
  <si>
    <t>WFR-2000Z</t>
    <phoneticPr fontId="13" type="noConversion"/>
  </si>
  <si>
    <t>WFR-3000Z</t>
    <phoneticPr fontId="13" type="noConversion"/>
  </si>
  <si>
    <t>WFR-2500Z</t>
    <phoneticPr fontId="13" type="noConversion"/>
  </si>
  <si>
    <t>WLF-1500Z</t>
    <phoneticPr fontId="13" type="noConversion"/>
  </si>
  <si>
    <t>WLF-2000Z</t>
    <phoneticPr fontId="13" type="noConversion"/>
  </si>
  <si>
    <t>WLF-2500Z</t>
    <phoneticPr fontId="13" type="noConversion"/>
  </si>
  <si>
    <t>WLF-3000Z</t>
    <phoneticPr fontId="13" type="noConversion"/>
  </si>
  <si>
    <t>WTF-1500Z</t>
    <phoneticPr fontId="13" type="noConversion"/>
  </si>
  <si>
    <t>WTF-2000Z</t>
    <phoneticPr fontId="13" type="noConversion"/>
  </si>
  <si>
    <t>WTF-2500Z</t>
    <phoneticPr fontId="13" type="noConversion"/>
  </si>
  <si>
    <t>WTF-3000Z</t>
    <phoneticPr fontId="13" type="noConversion"/>
  </si>
  <si>
    <t>10PH</t>
    <phoneticPr fontId="13" type="noConversion"/>
  </si>
  <si>
    <t>15PH</t>
    <phoneticPr fontId="13" type="noConversion"/>
  </si>
  <si>
    <t>20PH</t>
    <phoneticPr fontId="13" type="noConversion"/>
  </si>
  <si>
    <t>25PH</t>
    <phoneticPr fontId="13" type="noConversion"/>
  </si>
  <si>
    <t>30PH</t>
    <phoneticPr fontId="13" type="noConversion"/>
  </si>
  <si>
    <t>35PH</t>
    <phoneticPr fontId="13" type="noConversion"/>
  </si>
  <si>
    <t>40PH</t>
    <phoneticPr fontId="13" type="noConversion"/>
  </si>
  <si>
    <t>45PH</t>
    <phoneticPr fontId="13" type="noConversion"/>
  </si>
  <si>
    <t>50PH</t>
    <phoneticPr fontId="13" type="noConversion"/>
  </si>
  <si>
    <t>Al Muhaideb National Tanks</t>
    <phoneticPr fontId="13" type="noConversion"/>
  </si>
  <si>
    <t>▣ Order No :  NT0606-01</t>
  </si>
  <si>
    <t>DAMMAM, KSA</t>
    <phoneticPr fontId="13" type="noConversion"/>
  </si>
  <si>
    <t>GRP TANK BOM S/W</t>
    <phoneticPr fontId="13" type="noConversion"/>
  </si>
  <si>
    <t>DAMMAM, KSA</t>
  </si>
  <si>
    <t>`</t>
    <phoneticPr fontId="195" type="noConversion"/>
  </si>
  <si>
    <t>NO</t>
    <phoneticPr fontId="195" type="noConversion"/>
  </si>
  <si>
    <t>Full Coding</t>
  </si>
  <si>
    <t>Panel Type</t>
  </si>
  <si>
    <t>Hole drilling Spec.</t>
    <phoneticPr fontId="195" type="noConversion"/>
  </si>
  <si>
    <t>Tank Height(mH)</t>
    <phoneticPr fontId="195" type="noConversion"/>
  </si>
  <si>
    <t>Drilling</t>
  </si>
  <si>
    <t>INS/NON</t>
    <phoneticPr fontId="195" type="noConversion"/>
  </si>
  <si>
    <t>Remark</t>
  </si>
  <si>
    <t>DWG</t>
    <phoneticPr fontId="195" type="noConversion"/>
  </si>
  <si>
    <t>SMC</t>
    <phoneticPr fontId="195" type="noConversion"/>
  </si>
  <si>
    <t>Subsidiary</t>
    <phoneticPr fontId="13" type="noConversion"/>
  </si>
  <si>
    <t>Raw Material
Sum</t>
    <phoneticPr fontId="13" type="noConversion"/>
  </si>
  <si>
    <t>C/TIME</t>
    <phoneticPr fontId="13" type="noConversion"/>
  </si>
  <si>
    <t>Processing Cost</t>
    <phoneticPr fontId="13" type="noConversion"/>
  </si>
  <si>
    <t>Processing Cost
Sum</t>
    <phoneticPr fontId="13" type="noConversion"/>
  </si>
  <si>
    <t>Insulation Cost</t>
    <phoneticPr fontId="13" type="noConversion"/>
  </si>
  <si>
    <t>Insulation Cost
Sum</t>
    <phoneticPr fontId="13" type="noConversion"/>
  </si>
  <si>
    <r>
      <rPr>
        <sz val="9"/>
        <rFont val="돋움"/>
        <family val="3"/>
        <charset val="129"/>
      </rPr>
      <t>재공품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평가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기준</t>
    </r>
    <phoneticPr fontId="13" type="noConversion"/>
  </si>
  <si>
    <r>
      <rPr>
        <sz val="9"/>
        <rFont val="돋움"/>
        <family val="3"/>
        <charset val="129"/>
      </rPr>
      <t>제조원가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평가기준</t>
    </r>
    <phoneticPr fontId="13" type="noConversion"/>
  </si>
  <si>
    <r>
      <rPr>
        <sz val="9"/>
        <rFont val="돋움"/>
        <family val="3"/>
        <charset val="129"/>
      </rPr>
      <t>제조원가</t>
    </r>
    <phoneticPr fontId="13" type="noConversion"/>
  </si>
  <si>
    <t>Non-Insulated</t>
    <phoneticPr fontId="195" type="noConversion"/>
  </si>
  <si>
    <t>Insulated</t>
    <phoneticPr fontId="195" type="noConversion"/>
  </si>
  <si>
    <t>Name</t>
  </si>
  <si>
    <t>Code</t>
  </si>
  <si>
    <t>Direction</t>
    <phoneticPr fontId="195" type="noConversion"/>
  </si>
  <si>
    <t>INS</t>
    <phoneticPr fontId="195" type="noConversion"/>
  </si>
  <si>
    <t>NON</t>
    <phoneticPr fontId="195" type="noConversion"/>
  </si>
  <si>
    <t>WEIGHT</t>
    <phoneticPr fontId="195" type="noConversion"/>
  </si>
  <si>
    <t>PRICE</t>
    <phoneticPr fontId="13" type="noConversion"/>
  </si>
  <si>
    <t>G/C</t>
    <phoneticPr fontId="13" type="noConversion"/>
  </si>
  <si>
    <t>PkG MAT</t>
    <phoneticPr fontId="13" type="noConversion"/>
  </si>
  <si>
    <t>Molding</t>
    <phoneticPr fontId="13" type="noConversion"/>
  </si>
  <si>
    <t>Drilling</t>
    <phoneticPr fontId="13" type="noConversion"/>
  </si>
  <si>
    <t>Raw Material</t>
    <phoneticPr fontId="13" type="noConversion"/>
  </si>
  <si>
    <t>Processing</t>
    <phoneticPr fontId="13" type="noConversion"/>
  </si>
  <si>
    <t>Insual</t>
    <phoneticPr fontId="13" type="noConversion"/>
  </si>
  <si>
    <r>
      <rPr>
        <sz val="9"/>
        <rFont val="돋움"/>
        <family val="3"/>
        <charset val="129"/>
      </rPr>
      <t>보온개공</t>
    </r>
    <phoneticPr fontId="13" type="noConversion"/>
  </si>
  <si>
    <r>
      <rPr>
        <sz val="9"/>
        <rFont val="돋움"/>
        <family val="3"/>
        <charset val="129"/>
      </rPr>
      <t>단판</t>
    </r>
    <phoneticPr fontId="13" type="noConversion"/>
  </si>
  <si>
    <r>
      <rPr>
        <sz val="9"/>
        <rFont val="돋움"/>
        <family val="3"/>
        <charset val="129"/>
      </rPr>
      <t>보온</t>
    </r>
    <phoneticPr fontId="13" type="noConversion"/>
  </si>
  <si>
    <r>
      <rPr>
        <sz val="9"/>
        <rFont val="돋움"/>
        <family val="3"/>
        <charset val="129"/>
      </rPr>
      <t>단</t>
    </r>
    <r>
      <rPr>
        <sz val="9"/>
        <rFont val="Tahoma"/>
        <family val="2"/>
      </rPr>
      <t xml:space="preserve">  </t>
    </r>
    <r>
      <rPr>
        <sz val="9"/>
        <rFont val="돋움"/>
        <family val="3"/>
        <charset val="129"/>
      </rPr>
      <t>판</t>
    </r>
    <phoneticPr fontId="13" type="noConversion"/>
  </si>
  <si>
    <r>
      <rPr>
        <sz val="9"/>
        <rFont val="돋움"/>
        <family val="3"/>
        <charset val="129"/>
      </rPr>
      <t>보</t>
    </r>
    <r>
      <rPr>
        <sz val="9"/>
        <rFont val="Tahoma"/>
        <family val="2"/>
      </rPr>
      <t xml:space="preserve">  </t>
    </r>
    <r>
      <rPr>
        <sz val="9"/>
        <rFont val="돋움"/>
        <family val="3"/>
        <charset val="129"/>
      </rPr>
      <t>온</t>
    </r>
    <r>
      <rPr>
        <sz val="9"/>
        <rFont val="Tahoma"/>
        <family val="2"/>
      </rPr>
      <t xml:space="preserve"> </t>
    </r>
    <phoneticPr fontId="13" type="noConversion"/>
  </si>
  <si>
    <t>MF</t>
    <phoneticPr fontId="195" type="noConversion"/>
  </si>
  <si>
    <t>MANHOLE MID(4F)</t>
    <phoneticPr fontId="195" type="noConversion"/>
  </si>
  <si>
    <t>00</t>
  </si>
  <si>
    <t>M</t>
    <phoneticPr fontId="195" type="noConversion"/>
  </si>
  <si>
    <t>I</t>
    <phoneticPr fontId="195" type="noConversion"/>
  </si>
  <si>
    <t>RF</t>
    <phoneticPr fontId="195" type="noConversion"/>
  </si>
  <si>
    <t>ROOF MID(4F)</t>
    <phoneticPr fontId="195" type="noConversion"/>
  </si>
  <si>
    <t>RH</t>
    <phoneticPr fontId="195" type="noConversion"/>
  </si>
  <si>
    <t>ROOF HOLING(25MM FROM END OF FLANGE)</t>
    <phoneticPr fontId="195" type="noConversion"/>
  </si>
  <si>
    <t>RQ</t>
    <phoneticPr fontId="195" type="noConversion"/>
  </si>
  <si>
    <t>BF</t>
    <phoneticPr fontId="195" type="noConversion"/>
  </si>
  <si>
    <t>BASE MID(4F)</t>
    <phoneticPr fontId="195" type="noConversion"/>
  </si>
  <si>
    <t>BOTTOM HOLING(35MM FROM END OF FLANGE)</t>
    <phoneticPr fontId="195" type="noConversion"/>
  </si>
  <si>
    <t>BOTTOM HOLING(35MM FROM END OF FLANGE)</t>
  </si>
  <si>
    <t>BASE FOR PAR(4F1P)</t>
    <phoneticPr fontId="195" type="noConversion"/>
  </si>
  <si>
    <t>P</t>
    <phoneticPr fontId="195" type="noConversion"/>
  </si>
  <si>
    <t>BH</t>
    <phoneticPr fontId="195" type="noConversion"/>
  </si>
  <si>
    <t>BASE VERT. FOR PAR(4F1P)</t>
    <phoneticPr fontId="195" type="noConversion"/>
  </si>
  <si>
    <t>PV</t>
    <phoneticPr fontId="195" type="noConversion"/>
  </si>
  <si>
    <t>BASE HOR. FOR PAR(4F1P)</t>
    <phoneticPr fontId="195" type="noConversion"/>
  </si>
  <si>
    <t>PH</t>
    <phoneticPr fontId="195" type="noConversion"/>
  </si>
  <si>
    <t>BQ</t>
    <phoneticPr fontId="195" type="noConversion"/>
  </si>
  <si>
    <t>DN</t>
    <phoneticPr fontId="195" type="noConversion"/>
  </si>
  <si>
    <t>NOZZLE DRAIN(4F)</t>
    <phoneticPr fontId="195" type="noConversion"/>
  </si>
  <si>
    <t>S</t>
    <phoneticPr fontId="195" type="noConversion"/>
  </si>
  <si>
    <t>SF</t>
    <phoneticPr fontId="195" type="noConversion"/>
  </si>
  <si>
    <t>SIDE FOR 1MH(2F2P)</t>
    <phoneticPr fontId="195" type="noConversion"/>
  </si>
  <si>
    <t>SIDE HOLING(35MM FROM END OF INNER PANEL SIDE)</t>
    <phoneticPr fontId="195" type="noConversion"/>
  </si>
  <si>
    <t>SIDE MID(4F)</t>
    <phoneticPr fontId="195" type="noConversion"/>
  </si>
  <si>
    <t>SIDE LOW(3F1P)</t>
    <phoneticPr fontId="195" type="noConversion"/>
  </si>
  <si>
    <t>L</t>
    <phoneticPr fontId="195" type="noConversion"/>
  </si>
  <si>
    <t>SIDE TOP(3F1P)</t>
    <phoneticPr fontId="195" type="noConversion"/>
  </si>
  <si>
    <t>T</t>
    <phoneticPr fontId="195" type="noConversion"/>
  </si>
  <si>
    <t>SIDE SIN PAR LEFT(2F3P)</t>
    <phoneticPr fontId="195" type="noConversion"/>
  </si>
  <si>
    <t>SL</t>
    <phoneticPr fontId="195" type="noConversion"/>
  </si>
  <si>
    <t>SIDE SIN PAR RIGHT(2F3P)</t>
    <phoneticPr fontId="195" type="noConversion"/>
  </si>
  <si>
    <t>SR</t>
    <phoneticPr fontId="195" type="noConversion"/>
  </si>
  <si>
    <t>SIDE MID PAR LEFT(4F1P)</t>
    <phoneticPr fontId="195" type="noConversion"/>
  </si>
  <si>
    <t>MP</t>
    <phoneticPr fontId="195" type="noConversion"/>
  </si>
  <si>
    <t>SIDE LOW PAR LEFT(3F2P)</t>
    <phoneticPr fontId="195" type="noConversion"/>
  </si>
  <si>
    <t>LL</t>
    <phoneticPr fontId="195" type="noConversion"/>
  </si>
  <si>
    <t>SIDE LOW PAR RIGHT(3F2P)</t>
    <phoneticPr fontId="195" type="noConversion"/>
  </si>
  <si>
    <t>LR</t>
    <phoneticPr fontId="195" type="noConversion"/>
  </si>
  <si>
    <t>SIDE TOP PAR LEFT(3F2P)</t>
    <phoneticPr fontId="195" type="noConversion"/>
  </si>
  <si>
    <t>TL</t>
    <phoneticPr fontId="195" type="noConversion"/>
  </si>
  <si>
    <t>SIDE TOP PAR RIGHT(3F2P)</t>
    <phoneticPr fontId="195" type="noConversion"/>
  </si>
  <si>
    <t>TR</t>
    <phoneticPr fontId="195" type="noConversion"/>
  </si>
  <si>
    <t>SIDE SIN(2F2P)</t>
    <phoneticPr fontId="195" type="noConversion"/>
  </si>
  <si>
    <t>SIDE TOP TIER For Right Partition</t>
    <phoneticPr fontId="195" type="noConversion"/>
  </si>
  <si>
    <t>SH</t>
    <phoneticPr fontId="195" type="noConversion"/>
  </si>
  <si>
    <t>SIDE SINGLE TIER HOLING(35MM FROM PANEL AREA)</t>
    <phoneticPr fontId="195" type="noConversion"/>
  </si>
  <si>
    <t>SIDE LOW(3F1P)</t>
  </si>
  <si>
    <t>ML</t>
    <phoneticPr fontId="195" type="noConversion"/>
  </si>
  <si>
    <t>SIDE MID PAR RIGHT(4F1P)</t>
    <phoneticPr fontId="195" type="noConversion"/>
  </si>
  <si>
    <t>MR</t>
    <phoneticPr fontId="195" type="noConversion"/>
  </si>
  <si>
    <t>SN</t>
    <phoneticPr fontId="195" type="noConversion"/>
  </si>
  <si>
    <t xml:space="preserve">SIDE SIN PAR LEFT(2F3P) </t>
    <phoneticPr fontId="195" type="noConversion"/>
  </si>
  <si>
    <t xml:space="preserve">SIDE SIN PAR RIGHT(2F3P) </t>
    <phoneticPr fontId="195" type="noConversion"/>
  </si>
  <si>
    <t>SIDE MID PAR LEFT (4F1P)</t>
    <phoneticPr fontId="195" type="noConversion"/>
  </si>
  <si>
    <t>SIDE MID PAR RIGHT (4F1P)</t>
    <phoneticPr fontId="195" type="noConversion"/>
  </si>
  <si>
    <t>SQ</t>
    <phoneticPr fontId="195" type="noConversion"/>
  </si>
  <si>
    <t>PF</t>
    <phoneticPr fontId="195" type="noConversion"/>
  </si>
  <si>
    <t>PAR TOP(3F1P)</t>
    <phoneticPr fontId="195" type="noConversion"/>
  </si>
  <si>
    <t>PAR MID(4F)</t>
    <phoneticPr fontId="195" type="noConversion"/>
  </si>
  <si>
    <t>TCA</t>
    <phoneticPr fontId="195" type="noConversion"/>
  </si>
  <si>
    <t>TCB</t>
    <phoneticPr fontId="195" type="noConversion"/>
  </si>
  <si>
    <t>30</t>
    <phoneticPr fontId="195" type="noConversion"/>
  </si>
  <si>
    <t>TCB(25)</t>
    <phoneticPr fontId="195" type="noConversion"/>
  </si>
  <si>
    <t>TCB(30)</t>
    <phoneticPr fontId="195" type="noConversion"/>
  </si>
  <si>
    <t>TCB(35)</t>
    <phoneticPr fontId="195" type="noConversion"/>
  </si>
  <si>
    <t>TCB(40)</t>
    <phoneticPr fontId="195" type="noConversion"/>
  </si>
  <si>
    <t>PAR SIN(3F1P) - 1MH_S</t>
    <phoneticPr fontId="195" type="noConversion"/>
  </si>
  <si>
    <t>PL</t>
    <phoneticPr fontId="195" type="noConversion"/>
  </si>
  <si>
    <t>PAR SIN(3F1P) - 1.5MH_T</t>
    <phoneticPr fontId="195" type="noConversion"/>
  </si>
  <si>
    <t>PAR SIN(3F1P) - 1.5MH_S</t>
    <phoneticPr fontId="195" type="noConversion"/>
  </si>
  <si>
    <t>PAR SIN(3F1P) - 2MH_T</t>
    <phoneticPr fontId="195" type="noConversion"/>
  </si>
  <si>
    <t>PAR SIN(3F1P) - 2MH_S</t>
    <phoneticPr fontId="195" type="noConversion"/>
  </si>
  <si>
    <t>MNT</t>
  </si>
  <si>
    <t>▣ Reinforcement:  Internal       /    MNT</t>
  </si>
  <si>
    <t>▣ Steel Skid:Default     ▣ External Accessories : HDG                       ▣ Internal Accessories : SS316</t>
  </si>
  <si>
    <t>1250Z</t>
    <phoneticPr fontId="13" type="noConversion"/>
  </si>
  <si>
    <t>1450Z</t>
    <phoneticPr fontId="13" type="noConversion"/>
  </si>
  <si>
    <t>M12(Φ10.7) - 2 pieces</t>
    <phoneticPr fontId="86" type="noConversion"/>
  </si>
  <si>
    <t>WFB-1450Z</t>
    <phoneticPr fontId="13" type="noConversion"/>
  </si>
  <si>
    <r>
      <t>Part.+Part.</t>
    </r>
    <r>
      <rPr>
        <sz val="14"/>
        <rFont val="HY크리스탈M"/>
        <family val="1"/>
        <charset val="129"/>
      </rPr>
      <t xml:space="preserve">
</t>
    </r>
    <r>
      <rPr>
        <sz val="14"/>
        <rFont val="Tahoma"/>
        <family val="2"/>
      </rPr>
      <t>(Vertical )</t>
    </r>
    <phoneticPr fontId="13" type="noConversion"/>
  </si>
  <si>
    <r>
      <rPr>
        <sz val="14"/>
        <rFont val="Tahoma"/>
        <family val="1"/>
        <charset val="129"/>
      </rPr>
      <t>Part.+Part.</t>
    </r>
    <r>
      <rPr>
        <sz val="14"/>
        <rFont val="HY크리스탈M"/>
        <family val="1"/>
        <charset val="129"/>
      </rPr>
      <t xml:space="preserve">
</t>
    </r>
    <r>
      <rPr>
        <sz val="14"/>
        <rFont val="Tahoma"/>
        <family val="2"/>
        <charset val="129"/>
      </rPr>
      <t>(Horizontal )</t>
    </r>
    <phoneticPr fontId="13" type="noConversion"/>
  </si>
  <si>
    <t>ANGLE 30mmX64mmX3mmX1250mm</t>
    <phoneticPr fontId="14" type="noConversion"/>
  </si>
  <si>
    <t>ANGLE 25mmX59mmX3mmX1250mm</t>
    <phoneticPr fontId="14" type="noConversion"/>
  </si>
  <si>
    <t>WFB-1450Z</t>
    <phoneticPr fontId="15" type="noConversion"/>
  </si>
  <si>
    <t>ANGLE 30mmX64mmX3mmX1450mm</t>
    <phoneticPr fontId="14" type="noConversion"/>
  </si>
  <si>
    <t>10TH</t>
    <phoneticPr fontId="13" type="noConversion"/>
  </si>
  <si>
    <t>10THP</t>
    <phoneticPr fontId="13" type="noConversion"/>
  </si>
  <si>
    <r>
      <rPr>
        <sz val="14"/>
        <rFont val="Tahoma"/>
        <family val="1"/>
      </rPr>
      <t>Part._Lower</t>
    </r>
    <r>
      <rPr>
        <sz val="14"/>
        <rFont val="Tahoma"/>
        <family val="2"/>
      </rPr>
      <t>+Bottom</t>
    </r>
    <phoneticPr fontId="13" type="noConversion"/>
  </si>
  <si>
    <r>
      <t>Part.</t>
    </r>
    <r>
      <rPr>
        <sz val="14"/>
        <rFont val="Tahoma"/>
        <family val="2"/>
      </rPr>
      <t>+Side</t>
    </r>
    <phoneticPr fontId="13" type="noConversion"/>
  </si>
  <si>
    <t>WFF-2070ASZR</t>
    <phoneticPr fontId="13" type="noConversion"/>
  </si>
  <si>
    <t>WFF-2070ASZL</t>
    <phoneticPr fontId="13" type="noConversion"/>
  </si>
  <si>
    <t>WFF-2070HCSZR</t>
    <phoneticPr fontId="13" type="noConversion"/>
  </si>
  <si>
    <t>WFF-2070HCSZL</t>
    <phoneticPr fontId="13" type="noConversion"/>
  </si>
  <si>
    <t>WFF-1920ASZ</t>
    <phoneticPr fontId="13" type="noConversion"/>
  </si>
  <si>
    <t>WFF-2640ASZ</t>
    <phoneticPr fontId="13" type="noConversion"/>
  </si>
  <si>
    <t>WFF-1570ASZR</t>
    <phoneticPr fontId="13" type="noConversion"/>
  </si>
  <si>
    <t>WFF-1570ASZL</t>
    <phoneticPr fontId="13" type="noConversion"/>
  </si>
  <si>
    <t>WFF-1570HCSZR</t>
    <phoneticPr fontId="13" type="noConversion"/>
  </si>
  <si>
    <t>WFF-1570HCSZL</t>
    <phoneticPr fontId="13" type="noConversion"/>
  </si>
  <si>
    <t>WFF-2570HCSZR</t>
    <phoneticPr fontId="13" type="noConversion"/>
  </si>
  <si>
    <t>WFF-2570HCSZL</t>
    <phoneticPr fontId="13" type="noConversion"/>
  </si>
  <si>
    <t>WFF-2570ASZR</t>
    <phoneticPr fontId="13" type="noConversion"/>
  </si>
  <si>
    <t>WFF-2570ASZL</t>
    <phoneticPr fontId="13" type="noConversion"/>
  </si>
  <si>
    <t>WFF-1570ASZL</t>
    <phoneticPr fontId="15" type="noConversion"/>
  </si>
  <si>
    <t>WFF-1570ASZR</t>
    <phoneticPr fontId="15" type="noConversion"/>
  </si>
  <si>
    <t>WFF-1570HCSZR</t>
    <phoneticPr fontId="15" type="noConversion"/>
  </si>
  <si>
    <t>WFF-1570HCSZL</t>
    <phoneticPr fontId="15" type="noConversion"/>
  </si>
  <si>
    <t>WFF-2070ASZL</t>
    <phoneticPr fontId="15" type="noConversion"/>
  </si>
  <si>
    <t>WFF-2070ASZR</t>
    <phoneticPr fontId="15" type="noConversion"/>
  </si>
  <si>
    <t>WFF-2070HCSZR</t>
    <phoneticPr fontId="15" type="noConversion"/>
  </si>
  <si>
    <t>WFF-2070HCSZL</t>
    <phoneticPr fontId="15" type="noConversion"/>
  </si>
  <si>
    <t>WFF-2140HCSZ</t>
    <phoneticPr fontId="15" type="noConversion"/>
  </si>
  <si>
    <t>ANGLE 75mmX75mmX6mmX1500mm</t>
    <phoneticPr fontId="14" type="noConversion"/>
  </si>
  <si>
    <t>WFF-1500ASZ</t>
    <phoneticPr fontId="15" type="noConversion"/>
  </si>
  <si>
    <t>WFF-1500HCSZ</t>
    <phoneticPr fontId="15" type="noConversion"/>
  </si>
  <si>
    <t>CHANNEL 150mmX75mmX6.5mmX1500mm</t>
    <phoneticPr fontId="14" type="noConversion"/>
  </si>
  <si>
    <t>WFF-0957AMZ</t>
    <phoneticPr fontId="13" type="noConversion"/>
  </si>
  <si>
    <t>WFF-0957CMZ</t>
    <phoneticPr fontId="13" type="noConversion"/>
  </si>
  <si>
    <t>WFF-1063AMZ</t>
    <phoneticPr fontId="13" type="noConversion"/>
  </si>
  <si>
    <t>WFF-1063CMZ</t>
    <phoneticPr fontId="13" type="noConversion"/>
  </si>
  <si>
    <t>WFB-0950ZL</t>
  </si>
  <si>
    <t>WFB-0950Z</t>
  </si>
  <si>
    <t>WFB-1200Z</t>
    <phoneticPr fontId="13" type="noConversion"/>
  </si>
  <si>
    <t>WFB-1200Z</t>
    <phoneticPr fontId="15" type="noConversion"/>
  </si>
  <si>
    <t>WFB-1200ZL</t>
    <phoneticPr fontId="15" type="noConversion"/>
  </si>
  <si>
    <t>WFB-0950SA2</t>
    <phoneticPr fontId="15" type="noConversion"/>
  </si>
  <si>
    <t>WFB-0950PSA4</t>
    <phoneticPr fontId="15" type="noConversion"/>
  </si>
  <si>
    <t>WFB-0950LSA2</t>
    <phoneticPr fontId="15" type="noConversion"/>
  </si>
  <si>
    <t>WFB-0950LSA4</t>
    <phoneticPr fontId="15" type="noConversion"/>
  </si>
  <si>
    <t>WFB-0950SA4</t>
    <phoneticPr fontId="15" type="noConversion"/>
  </si>
  <si>
    <t>WFB-1200LSA2</t>
    <phoneticPr fontId="15" type="noConversion"/>
  </si>
  <si>
    <t>WFB-1200LSA4</t>
    <phoneticPr fontId="15" type="noConversion"/>
  </si>
  <si>
    <t>WFB-1200SA2</t>
    <phoneticPr fontId="15" type="noConversion"/>
  </si>
  <si>
    <t>WFB-1200SA4</t>
    <phoneticPr fontId="15" type="noConversion"/>
  </si>
  <si>
    <t>WFB-0450PSA2</t>
    <phoneticPr fontId="15" type="noConversion"/>
  </si>
  <si>
    <t>WFB-0450PSA4</t>
    <phoneticPr fontId="15" type="noConversion"/>
  </si>
  <si>
    <t>WFB-0450LSA2</t>
    <phoneticPr fontId="15" type="noConversion"/>
  </si>
  <si>
    <t>WFB-0450LSA4</t>
    <phoneticPr fontId="15" type="noConversion"/>
  </si>
  <si>
    <t>WFB-0450SA2</t>
    <phoneticPr fontId="15" type="noConversion"/>
  </si>
  <si>
    <t>WFB-0450SA4</t>
    <phoneticPr fontId="15" type="noConversion"/>
  </si>
  <si>
    <t>WFB-0880PSA2</t>
    <phoneticPr fontId="15" type="noConversion"/>
  </si>
  <si>
    <t>WFB-0880PSA4</t>
    <phoneticPr fontId="15" type="noConversion"/>
  </si>
  <si>
    <t>WFB-0880SA2</t>
    <phoneticPr fontId="15" type="noConversion"/>
  </si>
  <si>
    <t>WFB-0880SA4</t>
    <phoneticPr fontId="15" type="noConversion"/>
  </si>
  <si>
    <t>WFB-0880LSA2</t>
    <phoneticPr fontId="15" type="noConversion"/>
  </si>
  <si>
    <t>WFB-0880LSA4</t>
    <phoneticPr fontId="15" type="noConversion"/>
  </si>
  <si>
    <t>WCP-1860Z</t>
    <phoneticPr fontId="13" type="noConversion"/>
  </si>
  <si>
    <t>WCP-1860Z</t>
    <phoneticPr fontId="15" type="noConversion"/>
  </si>
  <si>
    <t>ANGLE 60mmX180mmX6mm</t>
    <phoneticPr fontId="14" type="noConversion"/>
  </si>
  <si>
    <t>WFF-0990AMZ</t>
    <phoneticPr fontId="13" type="noConversion"/>
  </si>
  <si>
    <t>WFF-0990CMZ</t>
    <phoneticPr fontId="13" type="noConversion"/>
  </si>
  <si>
    <t>WBR-0120Z</t>
  </si>
  <si>
    <t>WFF-0990AMZ</t>
  </si>
  <si>
    <t>WFB-1200Z</t>
  </si>
  <si>
    <t>DN40M</t>
  </si>
  <si>
    <t>WBT-1230ZI</t>
    <phoneticPr fontId="23" type="noConversion"/>
  </si>
  <si>
    <t>WBT-1445ZI</t>
    <phoneticPr fontId="23" type="noConversion"/>
  </si>
  <si>
    <t>WBT-M12(4.5T)</t>
    <phoneticPr fontId="23" type="noConversion"/>
  </si>
  <si>
    <t>WBT-1245RD</t>
    <phoneticPr fontId="23" type="noConversion"/>
  </si>
  <si>
    <t>WBT-1460RD</t>
    <phoneticPr fontId="23" type="noConversion"/>
  </si>
  <si>
    <t>WBT-1412RD</t>
    <phoneticPr fontId="23" type="noConversion"/>
  </si>
  <si>
    <t>WBT-1412RS</t>
    <phoneticPr fontId="23" type="noConversion"/>
  </si>
  <si>
    <t>WABT-1210NE</t>
    <phoneticPr fontId="23" type="noConversion"/>
  </si>
  <si>
    <t>WBT-1630SU</t>
    <phoneticPr fontId="23" type="noConversion"/>
  </si>
  <si>
    <t>WAV-0100P</t>
    <phoneticPr fontId="23" type="noConversion"/>
  </si>
  <si>
    <t>WCF-1000F</t>
    <phoneticPr fontId="23" type="noConversion"/>
  </si>
  <si>
    <t>WCF-0500F</t>
    <phoneticPr fontId="23" type="noConversion"/>
  </si>
  <si>
    <t>WCP-1429ZL</t>
    <phoneticPr fontId="23" type="noConversion"/>
  </si>
  <si>
    <t>WFB-2945Z</t>
    <phoneticPr fontId="23" type="noConversion"/>
  </si>
  <si>
    <t>WRS-8290Z</t>
    <phoneticPr fontId="23" type="noConversion"/>
  </si>
  <si>
    <t>WRS-4290Z</t>
    <phoneticPr fontId="23" type="noConversion"/>
  </si>
  <si>
    <t>WRS-4050Z</t>
    <phoneticPr fontId="23" type="noConversion"/>
  </si>
  <si>
    <t>WBR-0026Z</t>
    <phoneticPr fontId="23" type="noConversion"/>
  </si>
  <si>
    <t>WRC-2915F</t>
    <phoneticPr fontId="23" type="noConversion"/>
  </si>
  <si>
    <t>WFB-2795S</t>
    <phoneticPr fontId="23" type="noConversion"/>
  </si>
  <si>
    <t>WCP-1616SD</t>
    <phoneticPr fontId="23" type="noConversion"/>
  </si>
  <si>
    <t>WCP-1616ZO</t>
    <phoneticPr fontId="23" type="noConversion"/>
  </si>
  <si>
    <t>WCP-1411AS</t>
    <phoneticPr fontId="23" type="noConversion"/>
  </si>
  <si>
    <t>WCP-1650ZU</t>
    <phoneticPr fontId="23" type="noConversion"/>
  </si>
  <si>
    <t>WCP-0050Z</t>
    <phoneticPr fontId="23" type="noConversion"/>
  </si>
  <si>
    <t>WBR-1717S</t>
    <phoneticPr fontId="23" type="noConversion"/>
  </si>
  <si>
    <t>WCP-1890S</t>
    <phoneticPr fontId="23" type="noConversion"/>
  </si>
  <si>
    <t>WCP-1810ZC</t>
    <phoneticPr fontId="23" type="noConversion"/>
  </si>
  <si>
    <t>WCP-1480SL</t>
    <phoneticPr fontId="23" type="noConversion"/>
  </si>
  <si>
    <t>WFB-1705ZP</t>
    <phoneticPr fontId="23" type="noConversion"/>
  </si>
  <si>
    <t>WST-0055</t>
    <phoneticPr fontId="23" type="noConversion"/>
  </si>
  <si>
    <t>WST-0120</t>
    <phoneticPr fontId="23" type="noConversion"/>
  </si>
  <si>
    <t>WST-0160</t>
    <phoneticPr fontId="23" type="noConversion"/>
  </si>
  <si>
    <t>WST-0040</t>
    <phoneticPr fontId="23" type="noConversion"/>
  </si>
  <si>
    <t>WST-0020B</t>
    <phoneticPr fontId="23" type="noConversion"/>
  </si>
  <si>
    <t>WRC-1915F</t>
    <phoneticPr fontId="23" type="noConversion"/>
  </si>
  <si>
    <t>WFB-1945Z</t>
    <phoneticPr fontId="23" type="noConversion"/>
  </si>
  <si>
    <t>WRS-13290Z</t>
    <phoneticPr fontId="23" type="noConversion"/>
  </si>
  <si>
    <t>WRS-5290Z</t>
    <phoneticPr fontId="23" type="noConversion"/>
  </si>
  <si>
    <t>WLG-2000AL</t>
    <phoneticPr fontId="23" type="noConversion"/>
  </si>
  <si>
    <t>WFF-1990ALZ</t>
    <phoneticPr fontId="23" type="noConversion"/>
  </si>
  <si>
    <t>WFF-2070ASZL</t>
    <phoneticPr fontId="23" type="noConversion"/>
  </si>
  <si>
    <t>WFF-2070ASZR</t>
    <phoneticPr fontId="23" type="noConversion"/>
  </si>
  <si>
    <t>WFF-2000ASZ</t>
    <phoneticPr fontId="23" type="noConversion"/>
  </si>
  <si>
    <t>WBT-1245RS(304)</t>
    <phoneticPr fontId="23" type="noConversion"/>
  </si>
  <si>
    <t>WCF-1000ZT</t>
    <phoneticPr fontId="23" type="noConversion"/>
  </si>
  <si>
    <t>WCF-1000SB</t>
    <phoneticPr fontId="23" type="noConversion"/>
  </si>
  <si>
    <t>WRS-9215Z</t>
    <phoneticPr fontId="23" type="noConversion"/>
  </si>
  <si>
    <t>WRS-10215Z</t>
    <phoneticPr fontId="23" type="noConversion"/>
  </si>
  <si>
    <t>WRS-10290Z</t>
    <phoneticPr fontId="23" type="noConversion"/>
  </si>
  <si>
    <t>WRS-7290Z</t>
    <phoneticPr fontId="23" type="noConversion"/>
  </si>
  <si>
    <t>WRS-7140Z</t>
    <phoneticPr fontId="23" type="noConversion"/>
  </si>
  <si>
    <t>WRS-5140Z</t>
    <phoneticPr fontId="23" type="noConversion"/>
  </si>
  <si>
    <t>WBR-0215Z</t>
  </si>
  <si>
    <t>WBR-9016CZ</t>
  </si>
  <si>
    <t>WBR-0140ZH</t>
  </si>
  <si>
    <t>WBR-1016CZ</t>
  </si>
  <si>
    <t>WBR-1022CZ</t>
  </si>
  <si>
    <t>WBR-1010Z</t>
  </si>
  <si>
    <t>WCP-1410ZU</t>
  </si>
  <si>
    <t>WCP-2010ZU</t>
    <phoneticPr fontId="13" type="noConversion"/>
  </si>
  <si>
    <t>WCP-1429ZL</t>
  </si>
  <si>
    <t>WCP-1650ZU</t>
  </si>
  <si>
    <t>WCP-2210ZC</t>
  </si>
  <si>
    <t>WCP-1810ZC</t>
  </si>
  <si>
    <t>WCP-1710ZU</t>
  </si>
  <si>
    <t>WCP-1610ZL</t>
  </si>
  <si>
    <t>WCP-0270Z</t>
    <phoneticPr fontId="13" type="noConversion"/>
  </si>
  <si>
    <t>WCP-7070Z</t>
  </si>
  <si>
    <t>WCP-4075Z</t>
  </si>
  <si>
    <t>WCP-6075Z</t>
  </si>
  <si>
    <t>WCP-2010ZC</t>
  </si>
  <si>
    <t>WCP-2525ZU</t>
  </si>
  <si>
    <t>WCP-7070ZE</t>
  </si>
  <si>
    <t>WCP-7070ZU</t>
  </si>
  <si>
    <t>WFF-1290ALZ</t>
  </si>
  <si>
    <t>WFF-1490ALZ</t>
  </si>
  <si>
    <t>WFF-2490ALZ</t>
  </si>
  <si>
    <t xml:space="preserve">WFF-1262AMZ </t>
  </si>
  <si>
    <t xml:space="preserve">WFF-1290AMZ </t>
  </si>
  <si>
    <t xml:space="preserve">WFF-1460AMZ </t>
  </si>
  <si>
    <t xml:space="preserve">WFF-1810AMZ </t>
  </si>
  <si>
    <t xml:space="preserve">WFF-1960AMZ </t>
  </si>
  <si>
    <t xml:space="preserve">WFF-2810AMZ </t>
  </si>
  <si>
    <t>WFB-1445Z</t>
    <phoneticPr fontId="13" type="noConversion"/>
  </si>
  <si>
    <t>WFB-1745ZR</t>
    <phoneticPr fontId="13" type="noConversion"/>
  </si>
  <si>
    <t>WFB-1745ZL</t>
    <phoneticPr fontId="13" type="noConversion"/>
  </si>
  <si>
    <t>WFB-2245ZR</t>
    <phoneticPr fontId="13" type="noConversion"/>
  </si>
  <si>
    <t>WFB-2245ZL</t>
    <phoneticPr fontId="13" type="noConversion"/>
  </si>
  <si>
    <t>WFB-2445Z</t>
    <phoneticPr fontId="13" type="noConversion"/>
  </si>
  <si>
    <t>WFB-2745ZR</t>
    <phoneticPr fontId="13" type="noConversion"/>
  </si>
  <si>
    <t>WFB-2745ZL</t>
    <phoneticPr fontId="13" type="noConversion"/>
  </si>
  <si>
    <t>WFB-2945Z</t>
    <phoneticPr fontId="13" type="noConversion"/>
  </si>
  <si>
    <t>WFB-1870SR</t>
    <phoneticPr fontId="13" type="noConversion"/>
  </si>
  <si>
    <t>WFB-1870SL</t>
    <phoneticPr fontId="13" type="noConversion"/>
  </si>
  <si>
    <t>WFB-2170SR</t>
    <phoneticPr fontId="13" type="noConversion"/>
  </si>
  <si>
    <t>WFB-2170SL</t>
    <phoneticPr fontId="13" type="noConversion"/>
  </si>
  <si>
    <t>WFB-2370SR</t>
    <phoneticPr fontId="13" type="noConversion"/>
  </si>
  <si>
    <t>WFB-2370SL</t>
    <phoneticPr fontId="13" type="noConversion"/>
  </si>
  <si>
    <t>WFB-2670S(R/L)</t>
    <phoneticPr fontId="13" type="noConversion"/>
  </si>
  <si>
    <t>WFB-2870S(R/L)</t>
    <phoneticPr fontId="13" type="noConversion"/>
  </si>
  <si>
    <t>WFB-2870SR</t>
    <phoneticPr fontId="13" type="noConversion"/>
  </si>
  <si>
    <t>WFB-2870SL</t>
    <phoneticPr fontId="13" type="noConversion"/>
  </si>
  <si>
    <t>WFB-1320S</t>
    <phoneticPr fontId="13" type="noConversion"/>
  </si>
  <si>
    <t>WFB-1620S(R/L)</t>
    <phoneticPr fontId="13" type="noConversion"/>
  </si>
  <si>
    <t>WFB-1795S</t>
    <phoneticPr fontId="13" type="noConversion"/>
  </si>
  <si>
    <t>WFB-2295S</t>
    <phoneticPr fontId="13" type="noConversion"/>
  </si>
  <si>
    <t>WFB-2795S</t>
    <phoneticPr fontId="13" type="noConversion"/>
  </si>
  <si>
    <t>WFB-2595S(R/L)</t>
    <phoneticPr fontId="13" type="noConversion"/>
  </si>
  <si>
    <t>WFB-2095S(R/L)</t>
    <phoneticPr fontId="13" type="noConversion"/>
  </si>
  <si>
    <t>WFB-2245ZH</t>
    <phoneticPr fontId="13" type="noConversion"/>
  </si>
  <si>
    <t>WFB-2445ZH</t>
    <phoneticPr fontId="13" type="noConversion"/>
  </si>
  <si>
    <t>WFB-2745ZH</t>
    <phoneticPr fontId="13" type="noConversion"/>
  </si>
  <si>
    <t>WFB-2945ZH</t>
    <phoneticPr fontId="13" type="noConversion"/>
  </si>
  <si>
    <t>WFB-2095SHR</t>
    <phoneticPr fontId="13" type="noConversion"/>
  </si>
  <si>
    <t>WFB-2095SHL</t>
    <phoneticPr fontId="13" type="noConversion"/>
  </si>
  <si>
    <t>WFB-2295SH</t>
    <phoneticPr fontId="13" type="noConversion"/>
  </si>
  <si>
    <t>WFB-2595SHR</t>
    <phoneticPr fontId="13" type="noConversion"/>
  </si>
  <si>
    <t>WFB-2595SHL</t>
    <phoneticPr fontId="13" type="noConversion"/>
  </si>
  <si>
    <t>WFB-2795SH</t>
    <phoneticPr fontId="13" type="noConversion"/>
  </si>
  <si>
    <t>WLG-1000AL</t>
    <phoneticPr fontId="13" type="noConversion"/>
  </si>
  <si>
    <t>WLG-1500AL</t>
    <phoneticPr fontId="13" type="noConversion"/>
  </si>
  <si>
    <t>WLG-2000AL</t>
    <phoneticPr fontId="13" type="noConversion"/>
  </si>
  <si>
    <t>WLG-2500AL</t>
    <phoneticPr fontId="13" type="noConversion"/>
  </si>
  <si>
    <t>WLG-3000AL</t>
    <phoneticPr fontId="13" type="noConversion"/>
  </si>
  <si>
    <t>WLG-3500AL</t>
    <phoneticPr fontId="13" type="noConversion"/>
  </si>
  <si>
    <t>WRS-1290-Z</t>
    <phoneticPr fontId="13" type="noConversion"/>
  </si>
  <si>
    <t>WRS-2290-Z</t>
    <phoneticPr fontId="13" type="noConversion"/>
  </si>
  <si>
    <t>WRS-3290-Z</t>
    <phoneticPr fontId="13" type="noConversion"/>
  </si>
  <si>
    <t>WRS-3050-Z</t>
    <phoneticPr fontId="13" type="noConversion"/>
  </si>
  <si>
    <t>WRS-4290-Z</t>
    <phoneticPr fontId="13" type="noConversion"/>
  </si>
  <si>
    <t>WRS-5290-Z</t>
    <phoneticPr fontId="13" type="noConversion"/>
  </si>
  <si>
    <t>WRS-6290-Z</t>
    <phoneticPr fontId="13" type="noConversion"/>
  </si>
  <si>
    <t>WRS-7290-Z</t>
    <phoneticPr fontId="13" type="noConversion"/>
  </si>
  <si>
    <t>WRS-8290-Z</t>
    <phoneticPr fontId="13" type="noConversion"/>
  </si>
  <si>
    <t>WRS-9290-Z</t>
    <phoneticPr fontId="13" type="noConversion"/>
  </si>
  <si>
    <t>WRS-10290-Z</t>
    <phoneticPr fontId="13" type="noConversion"/>
  </si>
  <si>
    <t>WSB-1600Z</t>
    <phoneticPr fontId="13" type="noConversion"/>
  </si>
  <si>
    <t>WSB-2360Z</t>
    <phoneticPr fontId="13" type="noConversion"/>
  </si>
  <si>
    <t>WSB-2600Z</t>
    <phoneticPr fontId="13" type="noConversion"/>
  </si>
  <si>
    <t>WSB-3600Z</t>
    <phoneticPr fontId="13" type="noConversion"/>
  </si>
  <si>
    <t>WSB-4600Z</t>
    <phoneticPr fontId="13" type="noConversion"/>
  </si>
  <si>
    <t>WSB-5600Z</t>
    <phoneticPr fontId="13" type="noConversion"/>
  </si>
  <si>
    <t>WSB-6360Z</t>
    <phoneticPr fontId="13" type="noConversion"/>
  </si>
  <si>
    <t>WSB-6600Z</t>
    <phoneticPr fontId="13" type="noConversion"/>
  </si>
  <si>
    <t>WSB-7600Z</t>
    <phoneticPr fontId="13" type="noConversion"/>
  </si>
  <si>
    <t>WSB-8600Z</t>
    <phoneticPr fontId="13" type="noConversion"/>
  </si>
  <si>
    <t>WSB-9600Z</t>
    <phoneticPr fontId="13" type="noConversion"/>
  </si>
  <si>
    <t>WSB-10600Z</t>
    <phoneticPr fontId="13" type="noConversion"/>
  </si>
  <si>
    <t>WRC-1415F</t>
    <phoneticPr fontId="13" type="noConversion"/>
  </si>
  <si>
    <t>WRC-1915F</t>
    <phoneticPr fontId="13" type="noConversion"/>
  </si>
  <si>
    <t>WRC-2415F</t>
  </si>
  <si>
    <t>WRC-2915F</t>
    <phoneticPr fontId="13" type="noConversion"/>
  </si>
  <si>
    <t>WRC-3415F</t>
    <phoneticPr fontId="13" type="noConversion"/>
  </si>
  <si>
    <t>WRC-3915F</t>
    <phoneticPr fontId="13" type="noConversion"/>
  </si>
  <si>
    <t>WRC-4415F</t>
    <phoneticPr fontId="13" type="noConversion"/>
  </si>
  <si>
    <t>WRC-4915F</t>
    <phoneticPr fontId="13" type="noConversion"/>
  </si>
  <si>
    <t>WBT-1440ZI</t>
    <phoneticPr fontId="23" type="noConversion"/>
  </si>
  <si>
    <t>WBT-1412RS304</t>
    <phoneticPr fontId="23" type="noConversion"/>
  </si>
  <si>
    <t>WBT-1250ZI</t>
    <phoneticPr fontId="23" type="noConversion"/>
  </si>
  <si>
    <t>M12(4.5T)</t>
    <phoneticPr fontId="24" type="noConversion"/>
  </si>
  <si>
    <t>WAV-0050P</t>
  </si>
  <si>
    <t>WCP-1717S</t>
  </si>
  <si>
    <t>WFF-0521AMZ</t>
    <phoneticPr fontId="13" type="noConversion"/>
  </si>
  <si>
    <t>WFF-0457AMZ</t>
  </si>
  <si>
    <t>WFF-0462AMZ</t>
  </si>
  <si>
    <t>WFF-0490AMZ</t>
    <phoneticPr fontId="13" type="noConversion"/>
  </si>
  <si>
    <t>WFF-0494AMZ</t>
  </si>
  <si>
    <t>WFF-0494AMZ</t>
    <phoneticPr fontId="13" type="noConversion"/>
  </si>
  <si>
    <t>WFF-0563AMZ</t>
  </si>
  <si>
    <t>WFF-0810AMZ</t>
    <phoneticPr fontId="13" type="noConversion"/>
  </si>
  <si>
    <t>WFF-0957AMZ</t>
  </si>
  <si>
    <t>WFF-1026AMZ</t>
  </si>
  <si>
    <t>WBR-9090SA2</t>
    <phoneticPr fontId="23" type="noConversion"/>
  </si>
  <si>
    <t>WBR-9090SA4</t>
    <phoneticPr fontId="23" type="noConversion"/>
  </si>
  <si>
    <t>WBR-9021CZ</t>
    <phoneticPr fontId="13" type="noConversion"/>
  </si>
  <si>
    <t>WBT-1230SA2</t>
    <phoneticPr fontId="23" type="noConversion"/>
  </si>
  <si>
    <t>WLD-2000FI</t>
    <phoneticPr fontId="23" type="noConversion"/>
  </si>
  <si>
    <t>WLD-1500FI</t>
    <phoneticPr fontId="13" type="noConversion"/>
  </si>
  <si>
    <t>WLD-2500FI</t>
    <phoneticPr fontId="23" type="noConversion"/>
  </si>
  <si>
    <t>WLD-3000FI</t>
    <phoneticPr fontId="13" type="noConversion"/>
  </si>
  <si>
    <t>WFF-0200ACZ</t>
  </si>
  <si>
    <t>WLD-3500FI</t>
    <phoneticPr fontId="23" type="noConversion"/>
  </si>
  <si>
    <t>WLD-4000FI</t>
    <phoneticPr fontId="13" type="noConversion"/>
  </si>
  <si>
    <t>WLD-4500FI</t>
    <phoneticPr fontId="13" type="noConversion"/>
  </si>
  <si>
    <t>WLD-5000FI</t>
    <phoneticPr fontId="13" type="noConversion"/>
  </si>
  <si>
    <t>WLD-5500FI</t>
    <phoneticPr fontId="13" type="noConversion"/>
  </si>
  <si>
    <t>WLD-6000FI</t>
    <phoneticPr fontId="13" type="noConversion"/>
  </si>
  <si>
    <t>WCP-270Z</t>
  </si>
  <si>
    <t>WFF-1063AMZ</t>
  </si>
  <si>
    <t>WFF-1257AMZ</t>
  </si>
  <si>
    <t>WFF-1290AMZ</t>
  </si>
  <si>
    <t>WFF-0640ASZ</t>
  </si>
  <si>
    <t>WFF-1140ASZ</t>
  </si>
  <si>
    <t>WFF-1300ASZ</t>
  </si>
  <si>
    <t>WFF-1370ASZ</t>
  </si>
  <si>
    <t>WFF-1440ASZ</t>
  </si>
  <si>
    <t>WFF-2140ASZ</t>
  </si>
  <si>
    <t>WFF-2640ASZ</t>
  </si>
  <si>
    <t>WFF-1570ASZL</t>
  </si>
  <si>
    <t>WFF-1570ASZR</t>
  </si>
  <si>
    <t>WFF-2070ASZL</t>
  </si>
  <si>
    <t>WFF-2070ASZR</t>
  </si>
  <si>
    <t>WFF-2570ASZL</t>
  </si>
  <si>
    <t>WFF-2570ASZR</t>
  </si>
  <si>
    <t>WFF-1262AMZ</t>
  </si>
  <si>
    <t>WFF-1353AMZ</t>
  </si>
  <si>
    <t>WFF-0150CCZ</t>
  </si>
  <si>
    <t>WFF-1290CLZ</t>
  </si>
  <si>
    <t>WFF-1490CLZ</t>
  </si>
  <si>
    <t>WFF-1790CLZ</t>
  </si>
  <si>
    <t>WFF-1360CSZ</t>
  </si>
  <si>
    <t>WFF-1420CSZ</t>
  </si>
  <si>
    <t>WFF-0457CMZ</t>
  </si>
  <si>
    <t>WFF-0494CMZ</t>
  </si>
  <si>
    <t>WFF-0563CMZ</t>
  </si>
  <si>
    <t>WFF-0957CMZ</t>
  </si>
  <si>
    <t>WFF-1063CMZ</t>
  </si>
  <si>
    <t>WFF-0150HCCZ</t>
  </si>
  <si>
    <t>WFF-1490HCLZ</t>
  </si>
  <si>
    <t>WFF-1570HCSZL</t>
  </si>
  <si>
    <t>WFF-1570HCSZR</t>
  </si>
  <si>
    <t>WFF-2070HCSZL</t>
  </si>
  <si>
    <t>WFF-2070HCSZR</t>
  </si>
  <si>
    <t>WFF-2570HCSZL</t>
  </si>
  <si>
    <t>WFF-2570HCSZR</t>
  </si>
  <si>
    <t>WFB-1445Z</t>
  </si>
  <si>
    <t>WBR-9090Z</t>
    <phoneticPr fontId="13" type="noConversion"/>
  </si>
  <si>
    <r>
      <t>WFF-1490CLZ(</t>
    </r>
    <r>
      <rPr>
        <sz val="10"/>
        <rFont val="굴림체"/>
        <family val="3"/>
        <charset val="129"/>
      </rPr>
      <t>홈</t>
    </r>
    <r>
      <rPr>
        <sz val="10"/>
        <rFont val="Tahoma"/>
        <family val="2"/>
      </rPr>
      <t>)</t>
    </r>
  </si>
  <si>
    <r>
      <t>WFF-1490HCLZ(</t>
    </r>
    <r>
      <rPr>
        <sz val="10"/>
        <rFont val="굴림체"/>
        <family val="3"/>
        <charset val="129"/>
      </rPr>
      <t>홈</t>
    </r>
    <r>
      <rPr>
        <sz val="10"/>
        <rFont val="Tahoma"/>
        <family val="2"/>
      </rPr>
      <t>)</t>
    </r>
  </si>
  <si>
    <t>WFF-2990ALZ</t>
    <phoneticPr fontId="13" type="noConversion"/>
  </si>
  <si>
    <t>WLD-1500ZO</t>
    <phoneticPr fontId="13" type="noConversion"/>
  </si>
  <si>
    <t>WLD-2000ZO</t>
    <phoneticPr fontId="23" type="noConversion"/>
  </si>
  <si>
    <t>WLD-2500ZO</t>
    <phoneticPr fontId="13" type="noConversion"/>
  </si>
  <si>
    <t>WLD-3000ZO</t>
    <phoneticPr fontId="23" type="noConversion"/>
  </si>
  <si>
    <t>WLD-3500ZO</t>
    <phoneticPr fontId="13" type="noConversion"/>
  </si>
  <si>
    <t>WLD-4000ZO</t>
    <phoneticPr fontId="13" type="noConversion"/>
  </si>
  <si>
    <t>WLD-4500ZO</t>
    <phoneticPr fontId="13" type="noConversion"/>
  </si>
  <si>
    <t>WLD-5000ZO</t>
    <phoneticPr fontId="13" type="noConversion"/>
  </si>
  <si>
    <t>WLD-6000ZO</t>
    <phoneticPr fontId="13" type="noConversion"/>
  </si>
  <si>
    <t>WFB-1200Z</t>
    <phoneticPr fontId="23" type="noConversion"/>
  </si>
  <si>
    <t>WFB-1200ZL</t>
    <phoneticPr fontId="23" type="noConversion"/>
  </si>
  <si>
    <t>WFB-0450ZP</t>
  </si>
  <si>
    <t>WFB-0880Z</t>
  </si>
  <si>
    <t>WFB-0880ZL</t>
  </si>
  <si>
    <t>WFB-0880ZP</t>
  </si>
  <si>
    <t>WFB-1200ZP</t>
  </si>
  <si>
    <t>WFB-1705Z</t>
  </si>
  <si>
    <t>WFB-1705ZP</t>
  </si>
  <si>
    <t>WFB-1745ZL</t>
  </si>
  <si>
    <t>WFB-1745ZR</t>
  </si>
  <si>
    <t>WFB-1870ZL</t>
  </si>
  <si>
    <t>WFB-1870ZR</t>
  </si>
  <si>
    <t>WFB-1945Z</t>
  </si>
  <si>
    <t>WFB-2170ZL</t>
  </si>
  <si>
    <t>WFB-2170ZR</t>
  </si>
  <si>
    <t>WFB-2245ZL</t>
  </si>
  <si>
    <t>WFB-2245ZR</t>
  </si>
  <si>
    <t>WFB-2370ZL</t>
  </si>
  <si>
    <t>WFB-2370ZR</t>
  </si>
  <si>
    <t>WFB-2445Z</t>
  </si>
  <si>
    <t>WFB-2745ZL</t>
  </si>
  <si>
    <t>WFB-2745ZR</t>
  </si>
  <si>
    <t>WFB-2870ZL</t>
  </si>
  <si>
    <t>WFB-2870ZR</t>
  </si>
  <si>
    <t>WFB-2945Z</t>
  </si>
  <si>
    <t>WFB-1200SA2</t>
    <phoneticPr fontId="13" type="noConversion"/>
  </si>
  <si>
    <t>WFB-1200PSA2</t>
    <phoneticPr fontId="13" type="noConversion"/>
  </si>
  <si>
    <t>WFB-1200LSA4</t>
    <phoneticPr fontId="13" type="noConversion"/>
  </si>
  <si>
    <t>WFB-1200LSA2</t>
    <phoneticPr fontId="13" type="noConversion"/>
  </si>
  <si>
    <t>WFB-1200SA4</t>
    <phoneticPr fontId="13" type="noConversion"/>
  </si>
  <si>
    <t>WFB-1200PSA4</t>
    <phoneticPr fontId="13" type="noConversion"/>
  </si>
  <si>
    <t>WFB-0950SA2</t>
    <phoneticPr fontId="13" type="noConversion"/>
  </si>
  <si>
    <t>WFB-0950LSA2</t>
    <phoneticPr fontId="13" type="noConversion"/>
  </si>
  <si>
    <t>WFB-0950PSA2</t>
    <phoneticPr fontId="13" type="noConversion"/>
  </si>
  <si>
    <t>WFB-0950SA4</t>
    <phoneticPr fontId="13" type="noConversion"/>
  </si>
  <si>
    <t>WFB-0950LSA4</t>
    <phoneticPr fontId="13" type="noConversion"/>
  </si>
  <si>
    <t>WFB-0950PSA4</t>
    <phoneticPr fontId="13" type="noConversion"/>
  </si>
  <si>
    <t>WFB-0880SA2</t>
    <phoneticPr fontId="13" type="noConversion"/>
  </si>
  <si>
    <t>WFB-0880LSA2</t>
    <phoneticPr fontId="13" type="noConversion"/>
  </si>
  <si>
    <t>WFB-0880PSA2</t>
    <phoneticPr fontId="13" type="noConversion"/>
  </si>
  <si>
    <t>WFB-0880SA4</t>
    <phoneticPr fontId="13" type="noConversion"/>
  </si>
  <si>
    <t>WFB-0880LSA4</t>
    <phoneticPr fontId="13" type="noConversion"/>
  </si>
  <si>
    <t>WFB-0880PSA4</t>
    <phoneticPr fontId="13" type="noConversion"/>
  </si>
  <si>
    <t>WFB-0450SA2</t>
    <phoneticPr fontId="13" type="noConversion"/>
  </si>
  <si>
    <t>WFB-0450LSA2</t>
    <phoneticPr fontId="13" type="noConversion"/>
  </si>
  <si>
    <t>WFB-0450PSA2</t>
    <phoneticPr fontId="13" type="noConversion"/>
  </si>
  <si>
    <t>WFB-0450SA4</t>
    <phoneticPr fontId="13" type="noConversion"/>
  </si>
  <si>
    <t>WFB-0450LSA4</t>
    <phoneticPr fontId="13" type="noConversion"/>
  </si>
  <si>
    <t>WFB-0450PSA4</t>
    <phoneticPr fontId="13" type="noConversion"/>
  </si>
  <si>
    <t>PANEL PRODUTION JOB ORDER for GRP Panel Tank</t>
    <phoneticPr fontId="13" type="noConversion"/>
  </si>
  <si>
    <t>NO</t>
    <phoneticPr fontId="86" type="noConversion"/>
  </si>
  <si>
    <t>PANEL</t>
    <phoneticPr fontId="86" type="noConversion"/>
  </si>
  <si>
    <t>Korean Details</t>
    <phoneticPr fontId="86" type="noConversion"/>
  </si>
  <si>
    <t>CODE
NAME</t>
    <phoneticPr fontId="86" type="noConversion"/>
  </si>
  <si>
    <t>DRILLING SPEC.</t>
    <phoneticPr fontId="86" type="noConversion"/>
  </si>
  <si>
    <t>1-1</t>
    <phoneticPr fontId="86" type="noConversion"/>
  </si>
  <si>
    <t>1-2</t>
  </si>
  <si>
    <t>2-1</t>
    <phoneticPr fontId="86" type="noConversion"/>
  </si>
  <si>
    <t>3-1</t>
    <phoneticPr fontId="86" type="noConversion"/>
  </si>
  <si>
    <t>3-2</t>
    <phoneticPr fontId="86" type="noConversion"/>
  </si>
  <si>
    <t>ZIG and Drill bit Setting</t>
    <phoneticPr fontId="86" type="noConversion"/>
  </si>
  <si>
    <t>ON/OFF</t>
    <phoneticPr fontId="86" type="noConversion"/>
  </si>
  <si>
    <t>2-1/OFF/2-2</t>
    <phoneticPr fontId="86" type="noConversion"/>
  </si>
  <si>
    <t>ZIG ATTACH</t>
    <phoneticPr fontId="86" type="noConversion"/>
  </si>
  <si>
    <t xml:space="preserve">Change configuration </t>
    <phoneticPr fontId="86" type="noConversion"/>
  </si>
  <si>
    <t>MANHOLE 1X1M</t>
    <phoneticPr fontId="86" type="noConversion"/>
  </si>
  <si>
    <r>
      <rPr>
        <sz val="11"/>
        <color theme="1"/>
        <rFont val="맑은 고딕"/>
        <family val="3"/>
        <charset val="129"/>
      </rPr>
      <t>맨홀판넬</t>
    </r>
    <r>
      <rPr>
        <sz val="11"/>
        <color theme="1"/>
        <rFont val="Tahoma"/>
        <family val="2"/>
      </rPr>
      <t xml:space="preserve"> 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중)</t>
    </r>
    <phoneticPr fontId="86" type="noConversion"/>
  </si>
  <si>
    <t>MF00M</t>
    <phoneticPr fontId="86" type="noConversion"/>
  </si>
  <si>
    <t>RM</t>
    <phoneticPr fontId="86" type="noConversion"/>
  </si>
  <si>
    <t>ON</t>
    <phoneticPr fontId="86" type="noConversion"/>
  </si>
  <si>
    <t>OFF</t>
    <phoneticPr fontId="86" type="noConversion"/>
  </si>
  <si>
    <t>ZIG A</t>
    <phoneticPr fontId="86" type="noConversion"/>
  </si>
  <si>
    <t xml:space="preserve">DISMENTAL DRILL BIT 4 PCS ON1-1,2-1,3-1,4 </t>
    <phoneticPr fontId="86" type="noConversion"/>
  </si>
  <si>
    <t>ROOF 1X1M</t>
    <phoneticPr fontId="86" type="noConversion"/>
  </si>
  <si>
    <r>
      <rPr>
        <sz val="11"/>
        <color theme="1"/>
        <rFont val="돋움"/>
        <family val="2"/>
        <charset val="129"/>
      </rPr>
      <t>천정판넬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phoneticPr fontId="86" type="noConversion"/>
  </si>
  <si>
    <t>RF00M</t>
    <phoneticPr fontId="86" type="noConversion"/>
  </si>
  <si>
    <t>ROOF 0.5X1M</t>
    <phoneticPr fontId="86" type="noConversion"/>
  </si>
  <si>
    <r>
      <rPr>
        <sz val="11"/>
        <color theme="1"/>
        <rFont val="돋움"/>
        <family val="2"/>
        <charset val="129"/>
      </rPr>
      <t>천정판넬</t>
    </r>
    <r>
      <rPr>
        <sz val="11"/>
        <color theme="1"/>
        <rFont val="Tahoma"/>
        <family val="2"/>
      </rPr>
      <t xml:space="preserve"> 0.5*1m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phoneticPr fontId="86" type="noConversion"/>
  </si>
  <si>
    <t>RHM</t>
    <phoneticPr fontId="86" type="noConversion"/>
  </si>
  <si>
    <t>Rotation AND 2 TIMES MOLDING</t>
    <phoneticPr fontId="86" type="noConversion"/>
  </si>
  <si>
    <t>ROOF 0.5X0.5M</t>
    <phoneticPr fontId="86" type="noConversion"/>
  </si>
  <si>
    <r>
      <rPr>
        <sz val="11"/>
        <color theme="1"/>
        <rFont val="돋움"/>
        <family val="2"/>
        <charset val="129"/>
      </rPr>
      <t>천정판넬</t>
    </r>
    <r>
      <rPr>
        <sz val="11"/>
        <color theme="1"/>
        <rFont val="Tahoma"/>
        <family val="2"/>
      </rPr>
      <t xml:space="preserve"> 0.5*0.5m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phoneticPr fontId="86" type="noConversion"/>
  </si>
  <si>
    <t>RQM</t>
    <phoneticPr fontId="86" type="noConversion"/>
  </si>
  <si>
    <t>ZIG B</t>
    <phoneticPr fontId="86" type="noConversion"/>
  </si>
  <si>
    <t>Rotation AND 4 TIMES MOLDING</t>
    <phoneticPr fontId="86" type="noConversion"/>
  </si>
  <si>
    <t xml:space="preserve">BOTTOM 1X1M </t>
    <phoneticPr fontId="86" type="noConversion"/>
  </si>
  <si>
    <r>
      <rPr>
        <sz val="11"/>
        <color theme="1"/>
        <rFont val="돋움"/>
        <family val="2"/>
        <charset val="129"/>
      </rPr>
      <t>바닥판넬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phoneticPr fontId="86" type="noConversion"/>
  </si>
  <si>
    <t>BM</t>
    <phoneticPr fontId="86" type="noConversion"/>
  </si>
  <si>
    <t>BOTTOM 1X1M FOR PARTITION</t>
    <phoneticPr fontId="86" type="noConversion"/>
  </si>
  <si>
    <r>
      <rPr>
        <sz val="11"/>
        <color theme="1"/>
        <rFont val="돋움"/>
        <family val="2"/>
        <charset val="129"/>
      </rPr>
      <t>바닥판넬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r>
      <rPr>
        <sz val="11"/>
        <color theme="1"/>
        <rFont val="Tahoma"/>
        <family val="2"/>
        <charset val="129"/>
      </rPr>
      <t>+</t>
    </r>
    <r>
      <rPr>
        <sz val="11"/>
        <color theme="1"/>
        <rFont val="돋움"/>
        <family val="2"/>
        <charset val="129"/>
      </rPr>
      <t>칸막이용</t>
    </r>
    <phoneticPr fontId="86" type="noConversion"/>
  </si>
  <si>
    <t>BP</t>
    <phoneticPr fontId="86" type="noConversion"/>
  </si>
  <si>
    <t>BOTTOM 0.5X1M</t>
    <phoneticPr fontId="86" type="noConversion"/>
  </si>
  <si>
    <r>
      <rPr>
        <sz val="11"/>
        <color theme="1"/>
        <rFont val="돋움"/>
        <family val="2"/>
        <charset val="129"/>
      </rPr>
      <t>바닥판넬</t>
    </r>
    <r>
      <rPr>
        <sz val="11"/>
        <color theme="1"/>
        <rFont val="Tahoma"/>
        <family val="2"/>
      </rPr>
      <t xml:space="preserve"> 0.5*1m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phoneticPr fontId="86" type="noConversion"/>
  </si>
  <si>
    <t>BHM</t>
    <phoneticPr fontId="86" type="noConversion"/>
  </si>
  <si>
    <t>BOTTOM 0.5X1M FOR PARTITION</t>
    <phoneticPr fontId="86" type="noConversion"/>
  </si>
  <si>
    <r>
      <rPr>
        <sz val="11"/>
        <color theme="1"/>
        <rFont val="돋움"/>
        <family val="2"/>
        <charset val="129"/>
      </rPr>
      <t>바닥판넬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r>
      <rPr>
        <sz val="11"/>
        <color theme="1"/>
        <rFont val="Tahoma"/>
        <family val="2"/>
        <charset val="129"/>
      </rPr>
      <t>+</t>
    </r>
    <r>
      <rPr>
        <sz val="11"/>
        <color theme="1"/>
        <rFont val="돋움"/>
        <family val="2"/>
        <charset val="129"/>
      </rPr>
      <t>칸막이용</t>
    </r>
    <r>
      <rPr>
        <sz val="11"/>
        <color theme="1"/>
        <rFont val="Tahoma"/>
        <family val="2"/>
        <charset val="129"/>
      </rPr>
      <t>(</t>
    </r>
    <r>
      <rPr>
        <sz val="11"/>
        <color theme="1"/>
        <rFont val="돋움"/>
        <family val="2"/>
        <charset val="129"/>
      </rPr>
      <t>단)</t>
    </r>
    <phoneticPr fontId="86" type="noConversion"/>
  </si>
  <si>
    <t>BHPS</t>
    <phoneticPr fontId="86" type="noConversion"/>
  </si>
  <si>
    <r>
      <rPr>
        <sz val="11"/>
        <color theme="1"/>
        <rFont val="돋움"/>
        <family val="2"/>
        <charset val="129"/>
      </rPr>
      <t>바닥판넬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r>
      <rPr>
        <sz val="11"/>
        <color theme="1"/>
        <rFont val="Tahoma"/>
        <family val="2"/>
        <charset val="129"/>
      </rPr>
      <t>+</t>
    </r>
    <r>
      <rPr>
        <sz val="11"/>
        <color theme="1"/>
        <rFont val="돋움"/>
        <family val="2"/>
        <charset val="129"/>
      </rPr>
      <t>칸막이용</t>
    </r>
    <r>
      <rPr>
        <sz val="11"/>
        <color theme="1"/>
        <rFont val="Tahoma"/>
        <family val="2"/>
        <charset val="129"/>
      </rPr>
      <t>(</t>
    </r>
    <r>
      <rPr>
        <sz val="11"/>
        <color theme="1"/>
        <rFont val="돋움"/>
        <family val="2"/>
        <charset val="129"/>
      </rPr>
      <t>장)</t>
    </r>
    <phoneticPr fontId="86" type="noConversion"/>
  </si>
  <si>
    <t>BHPL</t>
    <phoneticPr fontId="86" type="noConversion"/>
  </si>
  <si>
    <t>BOTTOM 0.5X0.5M</t>
    <phoneticPr fontId="86" type="noConversion"/>
  </si>
  <si>
    <r>
      <rPr>
        <sz val="11"/>
        <color theme="1"/>
        <rFont val="돋움"/>
        <family val="2"/>
        <charset val="129"/>
      </rPr>
      <t>바닥판넬</t>
    </r>
    <r>
      <rPr>
        <sz val="11"/>
        <color theme="1"/>
        <rFont val="Tahoma"/>
        <family val="2"/>
      </rPr>
      <t xml:space="preserve"> 0.5*0.5m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phoneticPr fontId="86" type="noConversion"/>
  </si>
  <si>
    <t>BQM</t>
    <phoneticPr fontId="86" type="noConversion"/>
  </si>
  <si>
    <t>SIDE 1X1M FOR 1MH</t>
    <phoneticPr fontId="86" type="noConversion"/>
  </si>
  <si>
    <r>
      <t>측판1mH용</t>
    </r>
    <r>
      <rPr>
        <sz val="11"/>
        <color theme="1"/>
        <rFont val="돋움"/>
        <family val="2"/>
        <charset val="129"/>
      </rPr>
      <t xml:space="preserve"> 개공</t>
    </r>
    <phoneticPr fontId="86" type="noConversion"/>
  </si>
  <si>
    <t>SF10S</t>
    <phoneticPr fontId="86" type="noConversion"/>
  </si>
  <si>
    <t>S10S</t>
    <phoneticPr fontId="86" type="noConversion"/>
  </si>
  <si>
    <t>2-2</t>
    <phoneticPr fontId="86" type="noConversion"/>
  </si>
  <si>
    <t>SIDE 1X1M MIDDLE</t>
    <phoneticPr fontId="86" type="noConversion"/>
  </si>
  <si>
    <r>
      <rPr>
        <sz val="11"/>
        <color theme="1"/>
        <rFont val="돋움"/>
        <family val="2"/>
        <charset val="129"/>
      </rPr>
      <t>측판판넬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r>
      <rPr>
        <sz val="11"/>
        <color theme="1"/>
        <rFont val="Tahoma"/>
        <family val="2"/>
        <charset val="129"/>
      </rPr>
      <t xml:space="preserve"> M</t>
    </r>
    <phoneticPr fontId="86" type="noConversion"/>
  </si>
  <si>
    <t>SIDE 1X1M LOWER</t>
    <phoneticPr fontId="86" type="noConversion"/>
  </si>
  <si>
    <r>
      <rPr>
        <sz val="11"/>
        <color theme="1"/>
        <rFont val="돋움"/>
        <family val="2"/>
        <charset val="129"/>
      </rPr>
      <t>측판판넬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하</t>
    </r>
    <r>
      <rPr>
        <sz val="11"/>
        <color theme="1"/>
        <rFont val="Tahoma"/>
        <family val="2"/>
      </rPr>
      <t>)</t>
    </r>
    <r>
      <rPr>
        <sz val="11"/>
        <color theme="1"/>
        <rFont val="Tahoma"/>
        <family val="2"/>
        <charset val="129"/>
      </rPr>
      <t xml:space="preserve"> L</t>
    </r>
    <phoneticPr fontId="86" type="noConversion"/>
  </si>
  <si>
    <t>SF00L</t>
    <phoneticPr fontId="86" type="noConversion"/>
  </si>
  <si>
    <t>S10L</t>
    <phoneticPr fontId="86" type="noConversion"/>
  </si>
  <si>
    <t>SIDE 1X1M TOP</t>
    <phoneticPr fontId="86" type="noConversion"/>
  </si>
  <si>
    <r>
      <rPr>
        <sz val="11"/>
        <color theme="1"/>
        <rFont val="돋움"/>
        <family val="2"/>
        <charset val="129"/>
      </rPr>
      <t>측판판넬</t>
    </r>
    <r>
      <rPr>
        <sz val="11"/>
        <color theme="1"/>
        <rFont val="Tahoma"/>
        <family val="2"/>
      </rPr>
      <t xml:space="preserve"> 1*1m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상</t>
    </r>
    <r>
      <rPr>
        <sz val="11"/>
        <color theme="1"/>
        <rFont val="Tahoma"/>
        <family val="2"/>
      </rPr>
      <t>)</t>
    </r>
    <r>
      <rPr>
        <sz val="11"/>
        <color theme="1"/>
        <rFont val="Tahoma"/>
        <family val="2"/>
        <charset val="129"/>
      </rPr>
      <t xml:space="preserve"> T</t>
    </r>
    <phoneticPr fontId="86" type="noConversion"/>
  </si>
  <si>
    <t>S10T</t>
    <phoneticPr fontId="86" type="noConversion"/>
  </si>
  <si>
    <t>SIDE 1X1.5M FOR 1.5MH</t>
    <phoneticPr fontId="86" type="noConversion"/>
  </si>
  <si>
    <r>
      <rPr>
        <sz val="11"/>
        <color theme="1"/>
        <rFont val="맑은 고딕"/>
        <family val="3"/>
        <charset val="129"/>
      </rPr>
      <t>측판</t>
    </r>
    <r>
      <rPr>
        <sz val="11"/>
        <color theme="1"/>
        <rFont val="Tahoma"/>
        <family val="2"/>
      </rPr>
      <t>1.5mH</t>
    </r>
    <r>
      <rPr>
        <sz val="11"/>
        <color theme="1"/>
        <rFont val="맑은 고딕"/>
        <family val="3"/>
        <charset val="129"/>
      </rPr>
      <t>용</t>
    </r>
    <r>
      <rPr>
        <sz val="11"/>
        <color theme="1"/>
        <rFont val="돋움"/>
        <family val="2"/>
        <charset val="129"/>
      </rPr>
      <t xml:space="preserve"> 개공</t>
    </r>
    <phoneticPr fontId="86" type="noConversion"/>
  </si>
  <si>
    <t>SL15S</t>
    <phoneticPr fontId="86" type="noConversion"/>
  </si>
  <si>
    <t>S15S</t>
    <phoneticPr fontId="86" type="noConversion"/>
  </si>
  <si>
    <t>ZIG D</t>
    <phoneticPr fontId="86" type="noConversion"/>
  </si>
  <si>
    <t>SIDE 1X1.5M TOP</t>
    <phoneticPr fontId="86" type="noConversion"/>
  </si>
  <si>
    <r>
      <rPr>
        <sz val="11"/>
        <color theme="1"/>
        <rFont val="맑은 고딕"/>
        <family val="3"/>
        <charset val="129"/>
      </rPr>
      <t>측판</t>
    </r>
    <r>
      <rPr>
        <sz val="11"/>
        <color theme="1"/>
        <rFont val="Tahoma"/>
        <family val="2"/>
      </rPr>
      <t>1.5mH</t>
    </r>
    <r>
      <rPr>
        <sz val="11"/>
        <color theme="1"/>
        <rFont val="맑은 고딕"/>
        <family val="3"/>
        <charset val="129"/>
      </rPr>
      <t>용</t>
    </r>
    <r>
      <rPr>
        <sz val="11"/>
        <color theme="1"/>
        <rFont val="돋움"/>
        <family val="2"/>
        <charset val="129"/>
      </rPr>
      <t xml:space="preserve"> 상개공</t>
    </r>
    <phoneticPr fontId="86" type="noConversion"/>
  </si>
  <si>
    <t>SL15T</t>
    <phoneticPr fontId="86" type="noConversion"/>
  </si>
  <si>
    <t>S15T</t>
    <phoneticPr fontId="86" type="noConversion"/>
  </si>
  <si>
    <t>SIDE 1X2.0M FOR 2.0MH</t>
    <phoneticPr fontId="86" type="noConversion"/>
  </si>
  <si>
    <r>
      <rPr>
        <sz val="11"/>
        <color theme="1"/>
        <rFont val="맑은 고딕"/>
        <family val="3"/>
        <charset val="129"/>
      </rPr>
      <t>측판2</t>
    </r>
    <r>
      <rPr>
        <sz val="11"/>
        <color theme="1"/>
        <rFont val="Tahoma"/>
        <family val="2"/>
      </rPr>
      <t>.0mH</t>
    </r>
    <r>
      <rPr>
        <sz val="11"/>
        <color theme="1"/>
        <rFont val="맑은 고딕"/>
        <family val="3"/>
        <charset val="129"/>
      </rPr>
      <t>용</t>
    </r>
    <r>
      <rPr>
        <sz val="11"/>
        <color theme="1"/>
        <rFont val="돋움"/>
        <family val="2"/>
        <charset val="129"/>
      </rPr>
      <t xml:space="preserve"> 개공</t>
    </r>
    <phoneticPr fontId="86" type="noConversion"/>
  </si>
  <si>
    <t>SL20S</t>
    <phoneticPr fontId="86" type="noConversion"/>
  </si>
  <si>
    <t>S20S</t>
    <phoneticPr fontId="86" type="noConversion"/>
  </si>
  <si>
    <t>ZIG C</t>
    <phoneticPr fontId="86" type="noConversion"/>
  </si>
  <si>
    <t>SIDE 1X2.0M TOP</t>
    <phoneticPr fontId="86" type="noConversion"/>
  </si>
  <si>
    <r>
      <rPr>
        <sz val="11"/>
        <color theme="1"/>
        <rFont val="맑은 고딕"/>
        <family val="3"/>
        <charset val="129"/>
      </rPr>
      <t>측판</t>
    </r>
    <r>
      <rPr>
        <sz val="11"/>
        <color theme="1"/>
        <rFont val="Tahoma"/>
        <family val="2"/>
      </rPr>
      <t>2.0mH</t>
    </r>
    <r>
      <rPr>
        <sz val="11"/>
        <color theme="1"/>
        <rFont val="맑은 고딕"/>
        <family val="3"/>
        <charset val="129"/>
      </rPr>
      <t>용</t>
    </r>
    <r>
      <rPr>
        <sz val="11"/>
        <color theme="1"/>
        <rFont val="돋움"/>
        <family val="2"/>
        <charset val="129"/>
      </rPr>
      <t xml:space="preserve"> 상개공</t>
    </r>
    <phoneticPr fontId="86" type="noConversion"/>
  </si>
  <si>
    <t>SL20T</t>
    <phoneticPr fontId="86" type="noConversion"/>
  </si>
  <si>
    <t>S20T</t>
    <phoneticPr fontId="86" type="noConversion"/>
  </si>
  <si>
    <t>PARTITION 0.93X1M</t>
    <phoneticPr fontId="86" type="noConversion"/>
  </si>
  <si>
    <t>칸막이판넬(0.93x1M) 판넬</t>
    <phoneticPr fontId="86" type="noConversion"/>
  </si>
  <si>
    <t>PM</t>
    <phoneticPr fontId="86" type="noConversion"/>
  </si>
  <si>
    <t xml:space="preserve">69mm Side Spacer </t>
    <phoneticPr fontId="86" type="noConversion"/>
  </si>
  <si>
    <t>remove 1st hole on 2-1,4
Make hole by manual</t>
    <phoneticPr fontId="86" type="noConversion"/>
  </si>
  <si>
    <t>PARTITION 1X1M</t>
    <phoneticPr fontId="86" type="noConversion"/>
  </si>
  <si>
    <t>칸막이판넬(1x1M) 판넬 중</t>
    <phoneticPr fontId="86" type="noConversion"/>
  </si>
  <si>
    <t>D/S</t>
    <phoneticPr fontId="13" type="noConversion"/>
  </si>
  <si>
    <t>ZIG</t>
    <phoneticPr fontId="13" type="noConversion"/>
  </si>
  <si>
    <t>Drilling Machine Setting</t>
    <phoneticPr fontId="13" type="noConversion"/>
  </si>
  <si>
    <t>BF10M</t>
    <phoneticPr fontId="86" type="noConversion"/>
  </si>
  <si>
    <t>BF15M</t>
    <phoneticPr fontId="86" type="noConversion"/>
  </si>
  <si>
    <t>BF20M</t>
    <phoneticPr fontId="86" type="noConversion"/>
  </si>
  <si>
    <t>BF25M</t>
    <phoneticPr fontId="86" type="noConversion"/>
  </si>
  <si>
    <t>BF30M</t>
    <phoneticPr fontId="86" type="noConversion"/>
  </si>
  <si>
    <t>BF35M</t>
    <phoneticPr fontId="86" type="noConversion"/>
  </si>
  <si>
    <t>BF40M</t>
    <phoneticPr fontId="86" type="noConversion"/>
  </si>
  <si>
    <t>BF45M</t>
    <phoneticPr fontId="86" type="noConversion"/>
  </si>
  <si>
    <t>BF50M</t>
    <phoneticPr fontId="86" type="noConversion"/>
  </si>
  <si>
    <t>BH10M</t>
    <phoneticPr fontId="86" type="noConversion"/>
  </si>
  <si>
    <t>BH15M</t>
    <phoneticPr fontId="86" type="noConversion"/>
  </si>
  <si>
    <t>BH20M</t>
    <phoneticPr fontId="86" type="noConversion"/>
  </si>
  <si>
    <t>BH25M</t>
    <phoneticPr fontId="86" type="noConversion"/>
  </si>
  <si>
    <t>BH30M</t>
    <phoneticPr fontId="86" type="noConversion"/>
  </si>
  <si>
    <t>BH35M</t>
    <phoneticPr fontId="86" type="noConversion"/>
  </si>
  <si>
    <t>BH40M</t>
    <phoneticPr fontId="86" type="noConversion"/>
  </si>
  <si>
    <t>BH45M</t>
    <phoneticPr fontId="86" type="noConversion"/>
  </si>
  <si>
    <t>BH50M</t>
    <phoneticPr fontId="86" type="noConversion"/>
  </si>
  <si>
    <t>SF15M</t>
    <phoneticPr fontId="86" type="noConversion"/>
  </si>
  <si>
    <t>S15M</t>
    <phoneticPr fontId="86" type="noConversion"/>
  </si>
  <si>
    <t>SF20M</t>
    <phoneticPr fontId="86" type="noConversion"/>
  </si>
  <si>
    <t>S20M</t>
    <phoneticPr fontId="86" type="noConversion"/>
  </si>
  <si>
    <t>SF25M</t>
    <phoneticPr fontId="86" type="noConversion"/>
  </si>
  <si>
    <t>S25M</t>
    <phoneticPr fontId="86" type="noConversion"/>
  </si>
  <si>
    <t>SF30M</t>
    <phoneticPr fontId="86" type="noConversion"/>
  </si>
  <si>
    <t>S30M</t>
    <phoneticPr fontId="86" type="noConversion"/>
  </si>
  <si>
    <t>SF35M</t>
    <phoneticPr fontId="86" type="noConversion"/>
  </si>
  <si>
    <t>S35M</t>
    <phoneticPr fontId="86" type="noConversion"/>
  </si>
  <si>
    <t>SF40M</t>
    <phoneticPr fontId="86" type="noConversion"/>
  </si>
  <si>
    <t>S40M</t>
    <phoneticPr fontId="86" type="noConversion"/>
  </si>
  <si>
    <t>SF30L</t>
    <phoneticPr fontId="86" type="noConversion"/>
  </si>
  <si>
    <t>SF35L</t>
    <phoneticPr fontId="86" type="noConversion"/>
  </si>
  <si>
    <t>SF40L</t>
    <phoneticPr fontId="86" type="noConversion"/>
  </si>
  <si>
    <t>SF45L</t>
    <phoneticPr fontId="86" type="noConversion"/>
  </si>
  <si>
    <t>SF50L</t>
    <phoneticPr fontId="86" type="noConversion"/>
  </si>
  <si>
    <t>PF10M</t>
    <phoneticPr fontId="86" type="noConversion"/>
  </si>
  <si>
    <t>PF15M</t>
    <phoneticPr fontId="86" type="noConversion"/>
  </si>
  <si>
    <t>PF20M</t>
    <phoneticPr fontId="86" type="noConversion"/>
  </si>
  <si>
    <t>PF25M</t>
    <phoneticPr fontId="86" type="noConversion"/>
  </si>
  <si>
    <t>PF30M</t>
    <phoneticPr fontId="86" type="noConversion"/>
  </si>
  <si>
    <t>PF35M</t>
    <phoneticPr fontId="86" type="noConversion"/>
  </si>
  <si>
    <t>PF40M</t>
    <phoneticPr fontId="86" type="noConversion"/>
  </si>
  <si>
    <t>PF45M</t>
    <phoneticPr fontId="86" type="noConversion"/>
  </si>
  <si>
    <t>PF50M</t>
    <phoneticPr fontId="86" type="noConversion"/>
  </si>
  <si>
    <t xml:space="preserve">DRAIN 1X1M </t>
    <phoneticPr fontId="86" type="noConversion"/>
  </si>
  <si>
    <t>DN10M</t>
    <phoneticPr fontId="86" type="noConversion"/>
  </si>
  <si>
    <t>DN</t>
    <phoneticPr fontId="86" type="noConversion"/>
  </si>
  <si>
    <t>DN15M</t>
    <phoneticPr fontId="86" type="noConversion"/>
  </si>
  <si>
    <t>DN20M</t>
    <phoneticPr fontId="86" type="noConversion"/>
  </si>
  <si>
    <t>DN25M</t>
    <phoneticPr fontId="86" type="noConversion"/>
  </si>
  <si>
    <t>DN30M</t>
    <phoneticPr fontId="86" type="noConversion"/>
  </si>
  <si>
    <t>DN35M</t>
    <phoneticPr fontId="86" type="noConversion"/>
  </si>
  <si>
    <t>DN40M</t>
    <phoneticPr fontId="86" type="noConversion"/>
  </si>
  <si>
    <t>DN45M</t>
    <phoneticPr fontId="86" type="noConversion"/>
  </si>
  <si>
    <t>DN50M</t>
    <phoneticPr fontId="86" type="noConversion"/>
  </si>
  <si>
    <t>TOTAL</t>
    <phoneticPr fontId="13" type="noConversion"/>
  </si>
  <si>
    <t>WBT-1240Z</t>
    <phoneticPr fontId="13" type="noConversion"/>
  </si>
  <si>
    <t>WBT-1240Z</t>
    <phoneticPr fontId="13" type="noConversion"/>
  </si>
  <si>
    <t>WBT-1240SA2</t>
    <phoneticPr fontId="13" type="noConversion"/>
  </si>
  <si>
    <t>WBT-1240SA4</t>
    <phoneticPr fontId="13" type="noConversion"/>
  </si>
  <si>
    <t>WBT-1240SA4</t>
    <phoneticPr fontId="15" type="noConversion"/>
  </si>
  <si>
    <t>WBT-1240SA2</t>
    <phoneticPr fontId="15" type="noConversion"/>
  </si>
  <si>
    <t>M12x40mm(SS316)</t>
    <phoneticPr fontId="13" type="noConversion"/>
  </si>
  <si>
    <t>M12x40mm(SS304)</t>
    <phoneticPr fontId="13" type="noConversion"/>
  </si>
  <si>
    <t>Remark</t>
    <phoneticPr fontId="13" type="noConversion"/>
  </si>
  <si>
    <t>Packed</t>
    <phoneticPr fontId="13" type="noConversion"/>
  </si>
  <si>
    <t>Balance</t>
    <phoneticPr fontId="13" type="noConversion"/>
  </si>
  <si>
    <t>Packing List of Panel</t>
    <phoneticPr fontId="13" type="noConversion"/>
  </si>
  <si>
    <t>PALLET</t>
    <phoneticPr fontId="13" type="noConversion"/>
  </si>
  <si>
    <t>RH10M</t>
  </si>
  <si>
    <t>SH20M</t>
  </si>
  <si>
    <t>SIDE 0.5X1M</t>
    <phoneticPr fontId="86" type="noConversion"/>
  </si>
  <si>
    <r>
      <rPr>
        <sz val="11"/>
        <color theme="1"/>
        <rFont val="돋움"/>
        <family val="2"/>
        <charset val="129"/>
      </rPr>
      <t>측면판넬</t>
    </r>
    <r>
      <rPr>
        <sz val="11"/>
        <color theme="1"/>
        <rFont val="Tahoma"/>
        <family val="2"/>
      </rPr>
      <t xml:space="preserve"> 0.5*1m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중</t>
    </r>
    <r>
      <rPr>
        <sz val="11"/>
        <color theme="1"/>
        <rFont val="Tahoma"/>
        <family val="2"/>
      </rPr>
      <t>)</t>
    </r>
    <phoneticPr fontId="86" type="noConversion"/>
  </si>
  <si>
    <t>SH10M</t>
    <phoneticPr fontId="86" type="noConversion"/>
  </si>
  <si>
    <t>SHM</t>
    <phoneticPr fontId="86" type="noConversion"/>
  </si>
  <si>
    <t>SH15M</t>
    <phoneticPr fontId="86" type="noConversion"/>
  </si>
  <si>
    <t>SH20M</t>
    <phoneticPr fontId="86" type="noConversion"/>
  </si>
  <si>
    <t>SH25M</t>
    <phoneticPr fontId="86" type="noConversion"/>
  </si>
  <si>
    <t>SH30M</t>
    <phoneticPr fontId="86" type="noConversion"/>
  </si>
  <si>
    <t>SH35M</t>
    <phoneticPr fontId="86" type="noConversion"/>
  </si>
  <si>
    <t>SH40M</t>
    <phoneticPr fontId="86" type="noConversion"/>
  </si>
  <si>
    <t>SH45M</t>
    <phoneticPr fontId="86" type="noConversion"/>
  </si>
  <si>
    <t>SH50M</t>
    <phoneticPr fontId="86" type="noConversion"/>
  </si>
  <si>
    <r>
      <rPr>
        <sz val="11"/>
        <color theme="1"/>
        <rFont val="돋움"/>
        <family val="2"/>
        <charset val="129"/>
      </rPr>
      <t>측면판넬</t>
    </r>
    <r>
      <rPr>
        <sz val="11"/>
        <color theme="1"/>
        <rFont val="Tahoma"/>
        <family val="2"/>
      </rPr>
      <t xml:space="preserve"> 0.5*1m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(1MH)</t>
    </r>
    <phoneticPr fontId="86" type="noConversion"/>
  </si>
  <si>
    <t>SH10S</t>
    <phoneticPr fontId="86" type="noConversion"/>
  </si>
  <si>
    <t>SHS</t>
    <phoneticPr fontId="86" type="noConversion"/>
  </si>
  <si>
    <r>
      <rPr>
        <sz val="11"/>
        <color theme="1"/>
        <rFont val="돋움"/>
        <family val="2"/>
        <charset val="129"/>
      </rPr>
      <t>측면판넬</t>
    </r>
    <r>
      <rPr>
        <sz val="11"/>
        <color theme="1"/>
        <rFont val="Tahoma"/>
        <family val="2"/>
      </rPr>
      <t xml:space="preserve"> 0.5*1m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하)</t>
    </r>
    <phoneticPr fontId="86" type="noConversion"/>
  </si>
  <si>
    <t>SH15L</t>
    <phoneticPr fontId="86" type="noConversion"/>
  </si>
  <si>
    <t>SHL</t>
    <phoneticPr fontId="86" type="noConversion"/>
  </si>
  <si>
    <t>SH20L</t>
    <phoneticPr fontId="86" type="noConversion"/>
  </si>
  <si>
    <t>SH25L</t>
    <phoneticPr fontId="86" type="noConversion"/>
  </si>
  <si>
    <t>SH30L</t>
    <phoneticPr fontId="86" type="noConversion"/>
  </si>
  <si>
    <t>SH35L</t>
    <phoneticPr fontId="86" type="noConversion"/>
  </si>
  <si>
    <t>SH40L</t>
    <phoneticPr fontId="86" type="noConversion"/>
  </si>
  <si>
    <t>SH45L</t>
    <phoneticPr fontId="86" type="noConversion"/>
  </si>
  <si>
    <t>SH50L</t>
    <phoneticPr fontId="86" type="noConversion"/>
  </si>
  <si>
    <r>
      <rPr>
        <sz val="11"/>
        <color theme="1"/>
        <rFont val="돋움"/>
        <family val="2"/>
        <charset val="129"/>
      </rPr>
      <t>측면판넬</t>
    </r>
    <r>
      <rPr>
        <sz val="11"/>
        <color theme="1"/>
        <rFont val="Tahoma"/>
        <family val="2"/>
      </rPr>
      <t xml:space="preserve"> 0.5*1m </t>
    </r>
    <r>
      <rPr>
        <sz val="11"/>
        <color theme="1"/>
        <rFont val="돋움"/>
        <family val="2"/>
        <charset val="129"/>
      </rPr>
      <t>개공</t>
    </r>
    <r>
      <rPr>
        <sz val="11"/>
        <color theme="1"/>
        <rFont val="Tahoma"/>
        <family val="2"/>
      </rPr>
      <t>(</t>
    </r>
    <r>
      <rPr>
        <sz val="11"/>
        <color theme="1"/>
        <rFont val="돋움"/>
        <family val="2"/>
        <charset val="129"/>
      </rPr>
      <t>상</t>
    </r>
    <r>
      <rPr>
        <sz val="11"/>
        <color theme="1"/>
        <rFont val="Tahoma"/>
        <family val="2"/>
      </rPr>
      <t>)</t>
    </r>
    <phoneticPr fontId="86" type="noConversion"/>
  </si>
  <si>
    <t>SH10T</t>
    <phoneticPr fontId="86" type="noConversion"/>
  </si>
  <si>
    <t>RH10M</t>
    <phoneticPr fontId="86" type="noConversion"/>
  </si>
  <si>
    <t>SF30ML</t>
  </si>
  <si>
    <t>SF30MR</t>
  </si>
  <si>
    <t>SN20M</t>
  </si>
  <si>
    <t>SL15SL</t>
    <phoneticPr fontId="86" type="noConversion"/>
  </si>
  <si>
    <t>S15SL</t>
    <phoneticPr fontId="86" type="noConversion"/>
  </si>
  <si>
    <t>PARTITION AREA MANUAL HOLEING</t>
    <phoneticPr fontId="86" type="noConversion"/>
  </si>
  <si>
    <t>SL15SR</t>
    <phoneticPr fontId="86" type="noConversion"/>
  </si>
  <si>
    <t>S15SR</t>
    <phoneticPr fontId="86" type="noConversion"/>
  </si>
  <si>
    <r>
      <rPr>
        <sz val="11"/>
        <color theme="1"/>
        <rFont val="맑은 고딕"/>
        <family val="3"/>
        <charset val="129"/>
      </rPr>
      <t>측판</t>
    </r>
    <r>
      <rPr>
        <sz val="11"/>
        <color theme="1"/>
        <rFont val="Tahoma"/>
        <family val="2"/>
      </rPr>
      <t>1.5mH</t>
    </r>
    <r>
      <rPr>
        <sz val="11"/>
        <color theme="1"/>
        <rFont val="맑은 고딕"/>
        <family val="3"/>
        <charset val="129"/>
      </rPr>
      <t>용</t>
    </r>
    <r>
      <rPr>
        <sz val="11"/>
        <color theme="1"/>
        <rFont val="돋움"/>
        <family val="2"/>
        <charset val="129"/>
      </rPr>
      <t xml:space="preserve"> 상개공</t>
    </r>
    <r>
      <rPr>
        <sz val="11"/>
        <color theme="1"/>
        <rFont val="Tahoma"/>
        <family val="3"/>
        <charset val="129"/>
      </rPr>
      <t>(</t>
    </r>
    <r>
      <rPr>
        <sz val="11"/>
        <color theme="1"/>
        <rFont val="돋움"/>
        <family val="3"/>
        <charset val="129"/>
      </rPr>
      <t>칸막이)</t>
    </r>
    <phoneticPr fontId="86" type="noConversion"/>
  </si>
  <si>
    <t>SL15TL</t>
    <phoneticPr fontId="86" type="noConversion"/>
  </si>
  <si>
    <t>S15TL</t>
    <phoneticPr fontId="86" type="noConversion"/>
  </si>
  <si>
    <t>SL15TR</t>
    <phoneticPr fontId="86" type="noConversion"/>
  </si>
  <si>
    <t>S15TR</t>
    <phoneticPr fontId="86" type="noConversion"/>
  </si>
  <si>
    <t>SL20SL</t>
    <phoneticPr fontId="86" type="noConversion"/>
  </si>
  <si>
    <t>S20SL</t>
    <phoneticPr fontId="86" type="noConversion"/>
  </si>
  <si>
    <t>SL20SR</t>
    <phoneticPr fontId="86" type="noConversion"/>
  </si>
  <si>
    <t>S20SR</t>
    <phoneticPr fontId="86" type="noConversion"/>
  </si>
  <si>
    <t>SL20TL</t>
    <phoneticPr fontId="86" type="noConversion"/>
  </si>
  <si>
    <t>S20TL</t>
    <phoneticPr fontId="86" type="noConversion"/>
  </si>
  <si>
    <t>SL20TR</t>
    <phoneticPr fontId="86" type="noConversion"/>
  </si>
  <si>
    <t>S20TR</t>
    <phoneticPr fontId="86" type="noConversion"/>
  </si>
  <si>
    <t>SIDE 0.5X1M</t>
  </si>
  <si>
    <t>SF25L</t>
    <phoneticPr fontId="86" type="noConversion"/>
  </si>
  <si>
    <t>SF25LL</t>
    <phoneticPr fontId="86" type="noConversion"/>
  </si>
  <si>
    <t>S10LL</t>
    <phoneticPr fontId="86" type="noConversion"/>
  </si>
  <si>
    <t>SF25LR</t>
    <phoneticPr fontId="86" type="noConversion"/>
  </si>
  <si>
    <t>S10LR</t>
    <phoneticPr fontId="86" type="noConversion"/>
  </si>
  <si>
    <t>SF30LL</t>
    <phoneticPr fontId="86" type="noConversion"/>
  </si>
  <si>
    <t>SF30LR</t>
    <phoneticPr fontId="86" type="noConversion"/>
  </si>
  <si>
    <t>SF35LL</t>
    <phoneticPr fontId="86" type="noConversion"/>
  </si>
  <si>
    <t>SF35LR</t>
    <phoneticPr fontId="86" type="noConversion"/>
  </si>
  <si>
    <t>SF40LL</t>
    <phoneticPr fontId="86" type="noConversion"/>
  </si>
  <si>
    <t>SF40LR</t>
    <phoneticPr fontId="86" type="noConversion"/>
  </si>
  <si>
    <t>SF45LL</t>
    <phoneticPr fontId="86" type="noConversion"/>
  </si>
  <si>
    <t>SF45LR</t>
    <phoneticPr fontId="86" type="noConversion"/>
  </si>
  <si>
    <t>SF50LL</t>
    <phoneticPr fontId="86" type="noConversion"/>
  </si>
  <si>
    <t>SF50LR</t>
    <phoneticPr fontId="86" type="noConversion"/>
  </si>
  <si>
    <t>SF10SL</t>
    <phoneticPr fontId="86" type="noConversion"/>
  </si>
  <si>
    <t>S10SL</t>
    <phoneticPr fontId="86" type="noConversion"/>
  </si>
  <si>
    <t>SF10SR</t>
    <phoneticPr fontId="86" type="noConversion"/>
  </si>
  <si>
    <t>S10SR</t>
    <phoneticPr fontId="86" type="noConversion"/>
  </si>
  <si>
    <t>SF15ML</t>
    <phoneticPr fontId="86" type="noConversion"/>
  </si>
  <si>
    <t>S15ML</t>
    <phoneticPr fontId="86" type="noConversion"/>
  </si>
  <si>
    <t>SF15MR</t>
    <phoneticPr fontId="86" type="noConversion"/>
  </si>
  <si>
    <t>S15MR</t>
    <phoneticPr fontId="86" type="noConversion"/>
  </si>
  <si>
    <t>SF20ML</t>
    <phoneticPr fontId="86" type="noConversion"/>
  </si>
  <si>
    <t>SF20MR</t>
    <phoneticPr fontId="86" type="noConversion"/>
  </si>
  <si>
    <t>SF25ML</t>
    <phoneticPr fontId="86" type="noConversion"/>
  </si>
  <si>
    <t>SF25MR</t>
    <phoneticPr fontId="86" type="noConversion"/>
  </si>
  <si>
    <t>SF30ML</t>
    <phoneticPr fontId="86" type="noConversion"/>
  </si>
  <si>
    <t>SF30MR</t>
    <phoneticPr fontId="86" type="noConversion"/>
  </si>
  <si>
    <t>SF35ML</t>
    <phoneticPr fontId="86" type="noConversion"/>
  </si>
  <si>
    <t>SF35MR</t>
    <phoneticPr fontId="86" type="noConversion"/>
  </si>
  <si>
    <t>SF40ML</t>
    <phoneticPr fontId="86" type="noConversion"/>
  </si>
  <si>
    <t>SF40MR</t>
    <phoneticPr fontId="86" type="noConversion"/>
  </si>
  <si>
    <t>PF10M</t>
  </si>
  <si>
    <t>RQ10M</t>
    <phoneticPr fontId="86" type="noConversion"/>
  </si>
  <si>
    <t>BQ10M</t>
    <phoneticPr fontId="86" type="noConversion"/>
  </si>
  <si>
    <t>BQ25M</t>
    <phoneticPr fontId="86" type="noConversion"/>
  </si>
  <si>
    <t>BQ40M</t>
    <phoneticPr fontId="86" type="noConversion"/>
  </si>
  <si>
    <t>10PS</t>
    <phoneticPr fontId="13" type="noConversion"/>
  </si>
  <si>
    <t>25PS</t>
    <phoneticPr fontId="13" type="noConversion"/>
  </si>
  <si>
    <t>40PS</t>
    <phoneticPr fontId="13" type="noConversion"/>
  </si>
  <si>
    <t>50PS</t>
    <phoneticPr fontId="13" type="noConversion"/>
  </si>
  <si>
    <t>HBase_Short(4HOLES)</t>
    <phoneticPr fontId="13" type="noConversion"/>
  </si>
  <si>
    <t>BH10PS</t>
    <phoneticPr fontId="86" type="noConversion"/>
  </si>
  <si>
    <t>BH25PS</t>
    <phoneticPr fontId="86" type="noConversion"/>
  </si>
  <si>
    <t>BH40PS</t>
    <phoneticPr fontId="86" type="noConversion"/>
  </si>
  <si>
    <t>BH10PL</t>
    <phoneticPr fontId="86" type="noConversion"/>
  </si>
  <si>
    <t>BH25PL</t>
    <phoneticPr fontId="86" type="noConversion"/>
  </si>
  <si>
    <t>BH40PL</t>
    <phoneticPr fontId="86" type="noConversion"/>
  </si>
  <si>
    <t>SN20M</t>
    <phoneticPr fontId="86" type="noConversion"/>
  </si>
  <si>
    <t>SM</t>
    <phoneticPr fontId="86" type="noConversion"/>
  </si>
  <si>
    <t>SN25M</t>
    <phoneticPr fontId="86" type="noConversion"/>
  </si>
  <si>
    <t>SN30M</t>
    <phoneticPr fontId="86" type="noConversion"/>
  </si>
  <si>
    <t>PARTITION 0.93X0.5M</t>
    <phoneticPr fontId="86" type="noConversion"/>
  </si>
  <si>
    <t>PH10M</t>
    <phoneticPr fontId="86" type="noConversion"/>
  </si>
  <si>
    <t>PHM</t>
    <phoneticPr fontId="86" type="noConversion"/>
  </si>
  <si>
    <t>PH25M</t>
    <phoneticPr fontId="86" type="noConversion"/>
  </si>
  <si>
    <t>PH40M</t>
    <phoneticPr fontId="86" type="noConversion"/>
  </si>
  <si>
    <t>BF15MP</t>
    <phoneticPr fontId="86" type="noConversion"/>
  </si>
  <si>
    <t>BF20MP</t>
    <phoneticPr fontId="86" type="noConversion"/>
  </si>
  <si>
    <t>BF25MP</t>
    <phoneticPr fontId="86" type="noConversion"/>
  </si>
  <si>
    <t>BF30MP</t>
    <phoneticPr fontId="86" type="noConversion"/>
  </si>
  <si>
    <t>BF35MP</t>
    <phoneticPr fontId="86" type="noConversion"/>
  </si>
  <si>
    <t>BF40MP</t>
    <phoneticPr fontId="86" type="noConversion"/>
  </si>
  <si>
    <t>BF45MP</t>
    <phoneticPr fontId="86" type="noConversion"/>
  </si>
  <si>
    <t>BF50MP</t>
    <phoneticPr fontId="86" type="noConversion"/>
  </si>
  <si>
    <t>WPF-0950Z</t>
    <phoneticPr fontId="15" type="noConversion"/>
  </si>
  <si>
    <t>ANGLE 55mmX63mmX3mmX950mm</t>
    <phoneticPr fontId="14" type="noConversion"/>
  </si>
  <si>
    <t>WPF-0450Z</t>
    <phoneticPr fontId="15" type="noConversion"/>
  </si>
  <si>
    <t>ANGLE 55mmX63mmX3mmX450mm</t>
    <phoneticPr fontId="14" type="noConversion"/>
  </si>
  <si>
    <t>Adel</t>
    <phoneticPr fontId="13" type="noConversion"/>
  </si>
  <si>
    <t>Roof PNL + Side PNLs(only 4 holes :korean system)</t>
    <phoneticPr fontId="13" type="noConversion"/>
  </si>
  <si>
    <t>3mH_Tie_Rod(2+1)</t>
  </si>
  <si>
    <t>WFF-2140HCSZ</t>
    <phoneticPr fontId="13" type="noConversion"/>
  </si>
  <si>
    <t>GRP TANK Panel Composition Table</t>
    <phoneticPr fontId="13" type="noConversion"/>
  </si>
  <si>
    <t>5MHH</t>
    <phoneticPr fontId="13" type="noConversion"/>
  </si>
  <si>
    <t>SL20T</t>
    <phoneticPr fontId="13" type="noConversion"/>
  </si>
  <si>
    <t>SH10T</t>
    <phoneticPr fontId="13" type="noConversion"/>
  </si>
  <si>
    <t>4.5MH</t>
    <phoneticPr fontId="13" type="noConversion"/>
  </si>
  <si>
    <t>SL15T</t>
    <phoneticPr fontId="13" type="noConversion"/>
  </si>
  <si>
    <t>4.0MH</t>
    <phoneticPr fontId="13" type="noConversion"/>
  </si>
  <si>
    <t>SH20M</t>
    <phoneticPr fontId="13" type="noConversion"/>
  </si>
  <si>
    <t>3.5MH</t>
    <phoneticPr fontId="13" type="noConversion"/>
  </si>
  <si>
    <t>SQ15M</t>
    <phoneticPr fontId="86" type="noConversion"/>
  </si>
  <si>
    <t>3.0MH</t>
    <phoneticPr fontId="13" type="noConversion"/>
  </si>
  <si>
    <t>SF25M</t>
    <phoneticPr fontId="13" type="noConversion"/>
  </si>
  <si>
    <t>SF30M</t>
    <phoneticPr fontId="13" type="noConversion"/>
  </si>
  <si>
    <t>SH30M</t>
    <phoneticPr fontId="13" type="noConversion"/>
  </si>
  <si>
    <t>2.5MH</t>
    <phoneticPr fontId="13" type="noConversion"/>
  </si>
  <si>
    <t>2.0MH</t>
    <phoneticPr fontId="13" type="noConversion"/>
  </si>
  <si>
    <t>SL20S</t>
    <phoneticPr fontId="13" type="noConversion"/>
  </si>
  <si>
    <t>S25M</t>
    <phoneticPr fontId="13" type="noConversion"/>
  </si>
  <si>
    <t>SF35M</t>
    <phoneticPr fontId="13" type="noConversion"/>
  </si>
  <si>
    <t>SH35M</t>
    <phoneticPr fontId="13" type="noConversion"/>
  </si>
  <si>
    <t>SF40M</t>
    <phoneticPr fontId="13" type="noConversion"/>
  </si>
  <si>
    <t>SH40M</t>
    <phoneticPr fontId="13" type="noConversion"/>
  </si>
  <si>
    <t>1.5MH</t>
    <phoneticPr fontId="13" type="noConversion"/>
  </si>
  <si>
    <t>SL15S</t>
    <phoneticPr fontId="13" type="noConversion"/>
  </si>
  <si>
    <t>SQ10T</t>
    <phoneticPr fontId="195" type="noConversion"/>
  </si>
  <si>
    <t>1.0MH</t>
    <phoneticPr fontId="13" type="noConversion"/>
  </si>
  <si>
    <t>SF10S</t>
    <phoneticPr fontId="13" type="noConversion"/>
  </si>
  <si>
    <t>SH10S</t>
    <phoneticPr fontId="13" type="noConversion"/>
  </si>
  <si>
    <t>SH15L</t>
    <phoneticPr fontId="13" type="noConversion"/>
  </si>
  <si>
    <t>SH20L</t>
    <phoneticPr fontId="13" type="noConversion"/>
  </si>
  <si>
    <t>SF25L</t>
    <phoneticPr fontId="13" type="noConversion"/>
  </si>
  <si>
    <t>SH25L</t>
    <phoneticPr fontId="13" type="noConversion"/>
  </si>
  <si>
    <t>SF30L</t>
    <phoneticPr fontId="13" type="noConversion"/>
  </si>
  <si>
    <t>SH30L</t>
    <phoneticPr fontId="13" type="noConversion"/>
  </si>
  <si>
    <t>SF35L</t>
    <phoneticPr fontId="13" type="noConversion"/>
  </si>
  <si>
    <t>SH35L</t>
    <phoneticPr fontId="13" type="noConversion"/>
  </si>
  <si>
    <t>SF40L</t>
    <phoneticPr fontId="13" type="noConversion"/>
  </si>
  <si>
    <t>SH40L</t>
    <phoneticPr fontId="13" type="noConversion"/>
  </si>
  <si>
    <t>SF45L</t>
    <phoneticPr fontId="13" type="noConversion"/>
  </si>
  <si>
    <t>SH45L</t>
    <phoneticPr fontId="13" type="noConversion"/>
  </si>
  <si>
    <t>SF50L</t>
    <phoneticPr fontId="13" type="noConversion"/>
  </si>
  <si>
    <t>SH50L</t>
    <phoneticPr fontId="13" type="noConversion"/>
  </si>
  <si>
    <t>1MH</t>
    <phoneticPr fontId="13" type="noConversion"/>
  </si>
  <si>
    <t>2MH</t>
    <phoneticPr fontId="13" type="noConversion"/>
  </si>
  <si>
    <t>3MH</t>
    <phoneticPr fontId="13" type="noConversion"/>
  </si>
  <si>
    <t>4MH</t>
    <phoneticPr fontId="13" type="noConversion"/>
  </si>
  <si>
    <t>5MH</t>
    <phoneticPr fontId="13" type="noConversion"/>
  </si>
  <si>
    <t>BF10M</t>
    <phoneticPr fontId="13" type="noConversion"/>
  </si>
  <si>
    <t>BH10M</t>
    <phoneticPr fontId="13" type="noConversion"/>
  </si>
  <si>
    <t>BF1M5</t>
    <phoneticPr fontId="13" type="noConversion"/>
  </si>
  <si>
    <t>BH15M</t>
    <phoneticPr fontId="13" type="noConversion"/>
  </si>
  <si>
    <t>BF20M</t>
    <phoneticPr fontId="13" type="noConversion"/>
  </si>
  <si>
    <t>BH20M</t>
    <phoneticPr fontId="13" type="noConversion"/>
  </si>
  <si>
    <t>BF25</t>
    <phoneticPr fontId="13" type="noConversion"/>
  </si>
  <si>
    <t>BH25M</t>
    <phoneticPr fontId="13" type="noConversion"/>
  </si>
  <si>
    <t>BF30</t>
    <phoneticPr fontId="13" type="noConversion"/>
  </si>
  <si>
    <t>BH30M</t>
    <phoneticPr fontId="13" type="noConversion"/>
  </si>
  <si>
    <t>BF35</t>
    <phoneticPr fontId="13" type="noConversion"/>
  </si>
  <si>
    <t>BH35M</t>
    <phoneticPr fontId="13" type="noConversion"/>
  </si>
  <si>
    <t>BF40M</t>
    <phoneticPr fontId="13" type="noConversion"/>
  </si>
  <si>
    <t>BH40M</t>
    <phoneticPr fontId="13" type="noConversion"/>
  </si>
  <si>
    <t>BF45M</t>
    <phoneticPr fontId="13" type="noConversion"/>
  </si>
  <si>
    <t>BH45M</t>
    <phoneticPr fontId="13" type="noConversion"/>
  </si>
  <si>
    <t>BF50M</t>
    <phoneticPr fontId="13" type="noConversion"/>
  </si>
  <si>
    <t>BH50M</t>
    <phoneticPr fontId="13" type="noConversion"/>
  </si>
  <si>
    <t>DRAIN</t>
    <phoneticPr fontId="13" type="noConversion"/>
  </si>
  <si>
    <t>DN10M</t>
    <phoneticPr fontId="13" type="noConversion"/>
  </si>
  <si>
    <t>DN15M</t>
    <phoneticPr fontId="13" type="noConversion"/>
  </si>
  <si>
    <t>DN20M</t>
    <phoneticPr fontId="13" type="noConversion"/>
  </si>
  <si>
    <t>DN25M</t>
    <phoneticPr fontId="13" type="noConversion"/>
  </si>
  <si>
    <t>DN30M</t>
    <phoneticPr fontId="13" type="noConversion"/>
  </si>
  <si>
    <t>DN35M</t>
    <phoneticPr fontId="13" type="noConversion"/>
  </si>
  <si>
    <t>DN40M</t>
    <phoneticPr fontId="13" type="noConversion"/>
  </si>
  <si>
    <t>DN45M</t>
    <phoneticPr fontId="13" type="noConversion"/>
  </si>
  <si>
    <t>DN50M</t>
    <phoneticPr fontId="13" type="noConversion"/>
  </si>
  <si>
    <t>Manhole</t>
    <phoneticPr fontId="195" type="noConversion"/>
  </si>
  <si>
    <t>MF00M</t>
    <phoneticPr fontId="13" type="noConversion"/>
  </si>
  <si>
    <t>ROOF</t>
    <phoneticPr fontId="195" type="noConversion"/>
  </si>
  <si>
    <t>RF00M</t>
    <phoneticPr fontId="13" type="noConversion"/>
  </si>
  <si>
    <t>RH10M</t>
    <phoneticPr fontId="13" type="noConversion"/>
  </si>
  <si>
    <t>GRP TANK Panel Composition Table (Partition1)</t>
    <phoneticPr fontId="13" type="noConversion"/>
  </si>
  <si>
    <t>PL20TCB</t>
    <phoneticPr fontId="195" type="noConversion"/>
  </si>
  <si>
    <t>PH10TCB</t>
    <phoneticPr fontId="13" type="noConversion"/>
  </si>
  <si>
    <t>PL15TCB</t>
    <phoneticPr fontId="195" type="noConversion"/>
  </si>
  <si>
    <t>PQ04TCB</t>
    <phoneticPr fontId="195" type="noConversion"/>
  </si>
  <si>
    <t>SH15M</t>
    <phoneticPr fontId="13" type="noConversion"/>
  </si>
  <si>
    <t>SN25M</t>
    <phoneticPr fontId="13" type="noConversion"/>
  </si>
  <si>
    <t>SH25M</t>
    <phoneticPr fontId="13" type="noConversion"/>
  </si>
  <si>
    <t>SN30M</t>
    <phoneticPr fontId="13" type="noConversion"/>
  </si>
  <si>
    <t>PL20TCA</t>
    <phoneticPr fontId="195" type="noConversion"/>
  </si>
  <si>
    <t>PH10TCA</t>
    <phoneticPr fontId="13" type="noConversion"/>
  </si>
  <si>
    <t>SN35M</t>
    <phoneticPr fontId="13" type="noConversion"/>
  </si>
  <si>
    <t>SN40M</t>
    <phoneticPr fontId="13" type="noConversion"/>
  </si>
  <si>
    <t>PL15TCA</t>
    <phoneticPr fontId="13" type="noConversion"/>
  </si>
  <si>
    <t>PQ05TCA</t>
    <phoneticPr fontId="195" type="noConversion"/>
  </si>
  <si>
    <t>PF10TCA</t>
    <phoneticPr fontId="13" type="noConversion"/>
  </si>
  <si>
    <t>PF25M</t>
    <phoneticPr fontId="13" type="noConversion"/>
  </si>
  <si>
    <t>PH25M</t>
    <phoneticPr fontId="13" type="noConversion"/>
  </si>
  <si>
    <t>PF30M</t>
    <phoneticPr fontId="13" type="noConversion"/>
  </si>
  <si>
    <t>PH30M</t>
    <phoneticPr fontId="13" type="noConversion"/>
  </si>
  <si>
    <t>PF35M</t>
    <phoneticPr fontId="13" type="noConversion"/>
  </si>
  <si>
    <t>PH35M</t>
    <phoneticPr fontId="13" type="noConversion"/>
  </si>
  <si>
    <t>PF40M</t>
    <phoneticPr fontId="13" type="noConversion"/>
  </si>
  <si>
    <t>PH40M</t>
    <phoneticPr fontId="13" type="noConversion"/>
  </si>
  <si>
    <t>PF45M</t>
    <phoneticPr fontId="13" type="noConversion"/>
  </si>
  <si>
    <t>PH45M</t>
    <phoneticPr fontId="13" type="noConversion"/>
  </si>
  <si>
    <t>PF50M</t>
    <phoneticPr fontId="13" type="noConversion"/>
  </si>
  <si>
    <t>PH50M</t>
    <phoneticPr fontId="13" type="noConversion"/>
  </si>
  <si>
    <t>GRP TANK Panel Composition Table (Partition2)</t>
    <phoneticPr fontId="13" type="noConversion"/>
  </si>
  <si>
    <t>PF10T</t>
    <phoneticPr fontId="195" type="noConversion"/>
  </si>
  <si>
    <t>PH10T
(50)</t>
    <phoneticPr fontId="13" type="noConversion"/>
  </si>
  <si>
    <t>PH10T
(45)</t>
    <phoneticPr fontId="13" type="noConversion"/>
  </si>
  <si>
    <t>PH10T
(40)</t>
    <phoneticPr fontId="13" type="noConversion"/>
  </si>
  <si>
    <t>SN20M</t>
    <phoneticPr fontId="195" type="noConversion"/>
  </si>
  <si>
    <t>PH10T
(35)</t>
    <phoneticPr fontId="13" type="noConversion"/>
  </si>
  <si>
    <t>SH15M</t>
    <phoneticPr fontId="195" type="noConversion"/>
  </si>
  <si>
    <t>SQ15M</t>
    <phoneticPr fontId="195" type="noConversion"/>
  </si>
  <si>
    <t>PH10T(30)</t>
    <phoneticPr fontId="13" type="noConversion"/>
  </si>
  <si>
    <t>PH10T(25)</t>
    <phoneticPr fontId="13" type="noConversion"/>
  </si>
  <si>
    <t>PH10T</t>
    <phoneticPr fontId="13" type="noConversion"/>
  </si>
  <si>
    <t>PH20M</t>
    <phoneticPr fontId="13" type="noConversion"/>
  </si>
  <si>
    <t>WBR-1780Z(Outside)</t>
    <phoneticPr fontId="86" type="noConversion"/>
  </si>
  <si>
    <t>WBR-1616Z(Outside)</t>
    <phoneticPr fontId="86" type="noConversion"/>
  </si>
  <si>
    <t>WBR-1860Z(Outside)</t>
    <phoneticPr fontId="86" type="noConversion"/>
  </si>
  <si>
    <t>WBR-1760SA2/SA4(INSIDE)</t>
    <phoneticPr fontId="86" type="noConversion"/>
  </si>
  <si>
    <t>WBR-17160SA2/SA4(INSIDE)</t>
    <phoneticPr fontId="86" type="noConversion"/>
  </si>
  <si>
    <t>[PARTITION PANEL 1]</t>
    <phoneticPr fontId="13" type="noConversion"/>
  </si>
  <si>
    <t>1200SA2/SA4</t>
    <phoneticPr fontId="13" type="noConversion"/>
  </si>
  <si>
    <t>0880SA2/SA4</t>
    <phoneticPr fontId="13" type="noConversion"/>
  </si>
  <si>
    <t>0950SA2/SA4</t>
    <phoneticPr fontId="13" type="noConversion"/>
  </si>
  <si>
    <t>0450SA2/SA4</t>
    <phoneticPr fontId="13" type="noConversion"/>
  </si>
  <si>
    <t>0950PSA2/SA4</t>
    <phoneticPr fontId="13" type="noConversion"/>
  </si>
  <si>
    <t>0880PSA2/SA4</t>
    <phoneticPr fontId="13" type="noConversion"/>
  </si>
  <si>
    <t>0450SPA4</t>
    <phoneticPr fontId="13" type="noConversion"/>
  </si>
  <si>
    <t>[PARTITION PANEL 2 : 1X1 PANEL]</t>
    <phoneticPr fontId="13" type="noConversion"/>
  </si>
  <si>
    <t>PF20M</t>
  </si>
  <si>
    <t>[Side Panel 1x1m Only]</t>
    <phoneticPr fontId="86" type="noConversion"/>
  </si>
  <si>
    <t>SH15LL</t>
    <phoneticPr fontId="13" type="noConversion"/>
  </si>
  <si>
    <t>SH15M</t>
    <phoneticPr fontId="13" type="noConversion"/>
  </si>
  <si>
    <t>SF20L</t>
    <phoneticPr fontId="13" type="noConversion"/>
  </si>
  <si>
    <t>SF20M</t>
    <phoneticPr fontId="13" type="noConversion"/>
  </si>
  <si>
    <t>SF10T</t>
    <phoneticPr fontId="13" type="noConversion"/>
  </si>
  <si>
    <t>GRP TANK Panel Composition Table(Side 1x1m Panel)</t>
    <phoneticPr fontId="13" type="noConversion"/>
  </si>
  <si>
    <t xml:space="preserve">2. Internal Reinforcing </t>
    <phoneticPr fontId="13" type="noConversion"/>
  </si>
  <si>
    <t>10LH</t>
    <phoneticPr fontId="13" type="noConversion"/>
  </si>
  <si>
    <t>20LL</t>
    <phoneticPr fontId="13" type="noConversion"/>
  </si>
  <si>
    <t>20LR</t>
    <phoneticPr fontId="13" type="noConversion"/>
  </si>
  <si>
    <t>4.5mH</t>
    <phoneticPr fontId="13" type="noConversion"/>
  </si>
  <si>
    <t>5.0mH</t>
    <phoneticPr fontId="13" type="noConversion"/>
  </si>
  <si>
    <t>NO</t>
  </si>
  <si>
    <t>WFF-0563AMZ</t>
    <phoneticPr fontId="13" type="noConversion"/>
  </si>
  <si>
    <t>WFF-1026AMZ</t>
    <phoneticPr fontId="13" type="noConversion"/>
  </si>
  <si>
    <t>WFF-1026CMZ</t>
    <phoneticPr fontId="13" type="noConversion"/>
  </si>
  <si>
    <t>M12 NUT(SA4)</t>
    <phoneticPr fontId="13" type="noConversion"/>
  </si>
  <si>
    <t>M12 BW(SA4)</t>
    <phoneticPr fontId="13" type="noConversion"/>
  </si>
  <si>
    <r>
      <rPr>
        <sz val="12"/>
        <rFont val="HY강M"/>
        <family val="1"/>
        <charset val="129"/>
      </rPr>
      <t>㎡</t>
    </r>
    <phoneticPr fontId="13" type="noConversion"/>
  </si>
  <si>
    <r>
      <rPr>
        <sz val="12"/>
        <color theme="0"/>
        <rFont val="HY강M"/>
        <family val="1"/>
        <charset val="129"/>
      </rPr>
      <t>기둥</t>
    </r>
    <r>
      <rPr>
        <sz val="12"/>
        <color theme="0"/>
        <rFont val="Tahoma"/>
        <family val="2"/>
      </rPr>
      <t>(</t>
    </r>
    <r>
      <rPr>
        <sz val="12"/>
        <color theme="0"/>
        <rFont val="HY강M"/>
        <family val="1"/>
        <charset val="129"/>
      </rPr>
      <t>개소</t>
    </r>
    <r>
      <rPr>
        <sz val="12"/>
        <color theme="0"/>
        <rFont val="Tahoma"/>
        <family val="2"/>
      </rPr>
      <t>)</t>
    </r>
    <phoneticPr fontId="13" type="noConversion"/>
  </si>
  <si>
    <t>Project Name</t>
    <phoneticPr fontId="13" type="noConversion"/>
  </si>
  <si>
    <t>Contractor</t>
    <phoneticPr fontId="13" type="noConversion"/>
  </si>
  <si>
    <t>Client</t>
    <phoneticPr fontId="13" type="noConversion"/>
  </si>
  <si>
    <t>Client TEL</t>
    <phoneticPr fontId="13" type="noConversion"/>
  </si>
  <si>
    <t>Client FAX</t>
    <phoneticPr fontId="13" type="noConversion"/>
  </si>
  <si>
    <t>Delivery Date</t>
    <phoneticPr fontId="13" type="noConversion"/>
  </si>
  <si>
    <t>Installer Name</t>
    <phoneticPr fontId="13" type="noConversion"/>
  </si>
  <si>
    <t>KSA</t>
    <phoneticPr fontId="13" type="noConversion"/>
  </si>
  <si>
    <t>Position of Sale Person</t>
    <phoneticPr fontId="13" type="noConversion"/>
  </si>
  <si>
    <t>PORT OF DISCHARGE</t>
  </si>
  <si>
    <t>Internal Ladder Material</t>
    <phoneticPr fontId="13" type="noConversion"/>
  </si>
  <si>
    <t>Internal Ladder Q'ty</t>
    <phoneticPr fontId="13" type="noConversion"/>
  </si>
  <si>
    <t>External Ladder Material</t>
    <phoneticPr fontId="13" type="noConversion"/>
  </si>
  <si>
    <t>External Ladder Q'ty</t>
    <phoneticPr fontId="13" type="noConversion"/>
  </si>
  <si>
    <t>Fitting Type 1 SPEC.</t>
    <phoneticPr fontId="86" type="noConversion"/>
  </si>
  <si>
    <t>Fitting Type 1 Q'TY</t>
    <phoneticPr fontId="86" type="noConversion"/>
  </si>
  <si>
    <t>Fitting Type 2 SPEC.</t>
    <phoneticPr fontId="86" type="noConversion"/>
  </si>
  <si>
    <t>Fitting Type 2 Q'TY</t>
    <phoneticPr fontId="86" type="noConversion"/>
  </si>
  <si>
    <t>Fitting Type 3 SPEC.</t>
    <phoneticPr fontId="86" type="noConversion"/>
  </si>
  <si>
    <t>Fitting Type 3 Q'TY</t>
    <phoneticPr fontId="86" type="noConversion"/>
  </si>
  <si>
    <t>Fitting Type 4 SPEC.</t>
    <phoneticPr fontId="86" type="noConversion"/>
  </si>
  <si>
    <t>Fitting Type 4 Q'TY</t>
    <phoneticPr fontId="86" type="noConversion"/>
  </si>
  <si>
    <t>Panel1</t>
    <phoneticPr fontId="86" type="noConversion"/>
  </si>
  <si>
    <t>Panel2</t>
  </si>
  <si>
    <t>Panel3</t>
  </si>
  <si>
    <t>Panel4</t>
  </si>
  <si>
    <t>Panel5</t>
  </si>
  <si>
    <t>Panel6</t>
  </si>
  <si>
    <t>Panel7</t>
  </si>
  <si>
    <t>Panel8</t>
  </si>
  <si>
    <t>Panel9</t>
  </si>
  <si>
    <t>Panel10</t>
  </si>
  <si>
    <t>Panel11</t>
  </si>
  <si>
    <t>Panel12</t>
  </si>
  <si>
    <t>Panel13</t>
  </si>
  <si>
    <t>Panel14</t>
  </si>
  <si>
    <t>Panel15</t>
  </si>
  <si>
    <t>Panel16</t>
  </si>
  <si>
    <t>Panel17</t>
  </si>
  <si>
    <t>Panel18</t>
  </si>
  <si>
    <t>Panel19</t>
  </si>
  <si>
    <t>Panel20</t>
  </si>
  <si>
    <t>Panel21</t>
  </si>
  <si>
    <t>Panel22</t>
  </si>
  <si>
    <t>Panel23</t>
  </si>
  <si>
    <t>Panel24</t>
  </si>
  <si>
    <t>Panel25</t>
  </si>
  <si>
    <t>Panel26</t>
  </si>
  <si>
    <t>Panel27</t>
  </si>
  <si>
    <t>Panel28</t>
  </si>
  <si>
    <t>Panel29</t>
  </si>
  <si>
    <t>Panel30</t>
  </si>
  <si>
    <t>Steel_Skid_1</t>
    <phoneticPr fontId="13" type="noConversion"/>
  </si>
  <si>
    <t>Steel_Skid_2</t>
  </si>
  <si>
    <t>Steel_Skid_3</t>
  </si>
  <si>
    <t>Steel_Skid_4</t>
  </si>
  <si>
    <t>Steel_Skid_5</t>
  </si>
  <si>
    <t>Steel_Skid_6</t>
  </si>
  <si>
    <t>Steel_Skid_7</t>
  </si>
  <si>
    <t>Steel_Skid_8</t>
  </si>
  <si>
    <t>Steel_Skid_9</t>
  </si>
  <si>
    <t>Steel_Skid_10</t>
  </si>
  <si>
    <t>Steel_Skid_11</t>
  </si>
  <si>
    <t>Steel_Skid_12</t>
  </si>
  <si>
    <t>Steel_Skid_13</t>
  </si>
  <si>
    <t>Steel_Skid_14</t>
  </si>
  <si>
    <t>Steel_Skid_15</t>
  </si>
  <si>
    <t>BNW_1</t>
    <phoneticPr fontId="86" type="noConversion"/>
  </si>
  <si>
    <t>BNW_2</t>
  </si>
  <si>
    <t>BNW_3</t>
  </si>
  <si>
    <t>BNW_4</t>
  </si>
  <si>
    <t>BNW_5</t>
  </si>
  <si>
    <t>BNW_6</t>
  </si>
  <si>
    <t>BNW_7</t>
  </si>
  <si>
    <t>BNW_8</t>
  </si>
  <si>
    <t>BNW_9</t>
  </si>
  <si>
    <t>External_Reinforcing_1</t>
    <phoneticPr fontId="86" type="noConversion"/>
  </si>
  <si>
    <t>External_Reinforcing_2</t>
  </si>
  <si>
    <t>External_Reinforcing_3</t>
  </si>
  <si>
    <t>External_Reinforcing_4</t>
  </si>
  <si>
    <t>External_Reinforcing_5</t>
  </si>
  <si>
    <t>External_Reinforcing_6</t>
  </si>
  <si>
    <t>External_Reinforcing_7</t>
  </si>
  <si>
    <t>External_Reinforcing_8</t>
  </si>
  <si>
    <t>External_Reinforcing_9</t>
  </si>
  <si>
    <t>External_Reinforcing_10</t>
  </si>
  <si>
    <t>External_Reinforcing_11</t>
  </si>
  <si>
    <t>Internal_Reinforcing_1</t>
    <phoneticPr fontId="86" type="noConversion"/>
  </si>
  <si>
    <t>Internal_Reinforcing_2</t>
  </si>
  <si>
    <t>Internal_Reinforcing_3</t>
  </si>
  <si>
    <t>Internal_Reinforcing_4</t>
  </si>
  <si>
    <t>Internal_Reinforcing_5</t>
  </si>
  <si>
    <t>Internal_Reinforcing_6</t>
  </si>
  <si>
    <t>Internal_Reinforcing_7</t>
  </si>
  <si>
    <t>Internal_Reinforcing_8</t>
  </si>
  <si>
    <t>Internal_Reinforcing_9</t>
  </si>
  <si>
    <t>Internal_Reinforcing_10</t>
  </si>
  <si>
    <t>Internal_Tie_Rod_1</t>
    <phoneticPr fontId="86" type="noConversion"/>
  </si>
  <si>
    <t>Internal_Tie_Rod_2</t>
  </si>
  <si>
    <t>Internal_Tie_Rod_3</t>
  </si>
  <si>
    <t>Internal_Tie_Rod_4</t>
  </si>
  <si>
    <t>Internal_Tie_Rod_5</t>
  </si>
  <si>
    <t>Internal_Tie_Rod_6</t>
  </si>
  <si>
    <t>Internal_Tie_Rod_7</t>
  </si>
  <si>
    <t>Internal_Tie_Rod_8</t>
  </si>
  <si>
    <t>Internal_Tie_Rod_9</t>
  </si>
  <si>
    <t>Internal_Tie_Rod_10</t>
  </si>
  <si>
    <t>Internal_Tie_Rod_11</t>
  </si>
  <si>
    <t>Internal_Tie_Rod_12</t>
  </si>
  <si>
    <t>Internal_Tie_Rod_13</t>
  </si>
  <si>
    <t>Internal_Tie_Rod_14</t>
  </si>
  <si>
    <t>Internal_Tie_Rod_15</t>
  </si>
  <si>
    <t>Internal_Tie_Rod_16</t>
  </si>
  <si>
    <t>Internal_Tie_Rod_17</t>
  </si>
  <si>
    <t>Internal_Tie_Rod_18</t>
  </si>
  <si>
    <t>Internal_Tie_Rod_19</t>
  </si>
  <si>
    <t>Etc_1</t>
    <phoneticPr fontId="86" type="noConversion"/>
  </si>
  <si>
    <t>Etc_2</t>
  </si>
  <si>
    <t>Etc_3</t>
  </si>
  <si>
    <t>Etc_4</t>
  </si>
  <si>
    <t>Etc_5</t>
  </si>
  <si>
    <t>Etc_6</t>
  </si>
  <si>
    <t>Etc_7</t>
  </si>
  <si>
    <t>Etc_8</t>
  </si>
  <si>
    <t>Etc_9</t>
  </si>
  <si>
    <t>Etc_10</t>
  </si>
  <si>
    <t>Etc_11</t>
  </si>
  <si>
    <t>Etc_12</t>
  </si>
  <si>
    <t>Etc_13</t>
  </si>
  <si>
    <t>Etc_14</t>
  </si>
  <si>
    <t>Etc_15</t>
  </si>
  <si>
    <t>Etc_16</t>
  </si>
  <si>
    <t>Etc_17</t>
  </si>
  <si>
    <t>Etc_18</t>
  </si>
  <si>
    <t>Etc_19</t>
  </si>
  <si>
    <t>Etc_20</t>
  </si>
  <si>
    <t>Etc_21</t>
  </si>
  <si>
    <t>FITTING_AND_SOCKETS_1</t>
    <phoneticPr fontId="86" type="noConversion"/>
  </si>
  <si>
    <t>FITTING_AND_SOCKETS_2</t>
  </si>
  <si>
    <t>FITTING_AND_SOCKETS_3</t>
  </si>
  <si>
    <t>FITTING_AND_SOCKETS_4</t>
  </si>
  <si>
    <t>FITTING_AND_SOCKETS_5</t>
  </si>
  <si>
    <t>FITTING_AND_SOCKETS_6</t>
  </si>
  <si>
    <t>FITTING_AND_SOCKETS_7</t>
  </si>
  <si>
    <t>FITTING_AND_SOCKETS_8</t>
  </si>
  <si>
    <t>FITTING_AND_SOCKETS_9</t>
  </si>
  <si>
    <t>FITTING_AND_SOCKETS_10</t>
  </si>
  <si>
    <t>FITTING_AND_SOCKETS_11</t>
  </si>
  <si>
    <t>FITTING_AND_SOCKETS_12</t>
  </si>
  <si>
    <t>FITTING_AND_SOCKETS_13</t>
  </si>
  <si>
    <t>FITTING_AND_SOCKETS_14</t>
  </si>
  <si>
    <t>Delivery Date</t>
  </si>
  <si>
    <t>Fitting Type 5 SPEC.</t>
    <phoneticPr fontId="86" type="noConversion"/>
  </si>
  <si>
    <t>Fitting Type 5 Q'TY</t>
    <phoneticPr fontId="86" type="noConversion"/>
  </si>
  <si>
    <t>▣ Bolts and Nuts : EXT:HDG+INT:SS316</t>
  </si>
  <si>
    <t>P1</t>
    <phoneticPr fontId="13" type="noConversion"/>
  </si>
  <si>
    <t>P2</t>
    <phoneticPr fontId="13" type="noConversion"/>
  </si>
  <si>
    <t>P3</t>
    <phoneticPr fontId="13" type="noConversion"/>
  </si>
  <si>
    <t>P4</t>
    <phoneticPr fontId="13" type="noConversion"/>
  </si>
  <si>
    <t>P5</t>
    <phoneticPr fontId="13" type="noConversion"/>
  </si>
  <si>
    <t>P6</t>
    <phoneticPr fontId="13" type="noConversion"/>
  </si>
  <si>
    <t>P7</t>
    <phoneticPr fontId="13" type="noConversion"/>
  </si>
  <si>
    <t>P8</t>
    <phoneticPr fontId="13" type="noConversion"/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</si>
  <si>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</si>
  <si>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</si>
  <si>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</si>
  <si>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</si>
  <si>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</si>
  <si>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</si>
  <si>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</si>
  <si>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</si>
  <si>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</si>
  <si>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</si>
  <si>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</si>
  <si>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</si>
  <si>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</si>
  <si>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</si>
  <si>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</si>
  <si>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</si>
  <si>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</si>
  <si>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</si>
  <si>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</si>
  <si>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</si>
  <si>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</si>
  <si>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</si>
  <si>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</si>
  <si>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</si>
  <si>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</si>
  <si>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</si>
  <si>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</si>
  <si>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</si>
  <si>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</si>
  <si>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</si>
  <si>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</si>
  <si>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</si>
  <si>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</si>
  <si>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</si>
  <si>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</si>
  <si>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</si>
  <si>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</si>
  <si>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</si>
  <si>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</si>
  <si>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</si>
  <si>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</si>
  <si>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</si>
  <si>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P51</t>
  </si>
  <si>
    <t>P52</t>
  </si>
  <si>
    <t>P53</t>
  </si>
  <si>
    <t>P54</t>
  </si>
  <si>
    <t>P55</t>
  </si>
  <si>
    <t>P56</t>
  </si>
  <si>
    <t>P3</t>
  </si>
  <si>
    <t>P9</t>
    <phoneticPr fontId="13" type="noConversion"/>
  </si>
  <si>
    <t>P10</t>
    <phoneticPr fontId="13" type="noConversion"/>
  </si>
  <si>
    <t>P11</t>
    <phoneticPr fontId="13" type="noConversion"/>
  </si>
  <si>
    <t>P12</t>
    <phoneticPr fontId="13" type="noConversion"/>
  </si>
  <si>
    <t>P13</t>
    <phoneticPr fontId="13" type="noConversion"/>
  </si>
  <si>
    <t>P14</t>
    <phoneticPr fontId="13" type="noConversion"/>
  </si>
  <si>
    <t>P15</t>
    <phoneticPr fontId="13" type="noConversion"/>
  </si>
  <si>
    <t>P16</t>
    <phoneticPr fontId="13" type="noConversion"/>
  </si>
  <si>
    <t>P17</t>
    <phoneticPr fontId="13" type="noConversion"/>
  </si>
  <si>
    <t>P18</t>
    <phoneticPr fontId="13" type="noConversion"/>
  </si>
  <si>
    <t>P19</t>
    <phoneticPr fontId="13" type="noConversion"/>
  </si>
  <si>
    <t>P20</t>
    <phoneticPr fontId="13" type="noConversion"/>
  </si>
  <si>
    <t>P34</t>
    <phoneticPr fontId="13" type="noConversion"/>
  </si>
  <si>
    <t>PT SIZE</t>
    <phoneticPr fontId="13" type="noConversion"/>
  </si>
  <si>
    <t>Sign</t>
    <phoneticPr fontId="13" type="noConversion"/>
  </si>
  <si>
    <t>EA</t>
    <phoneticPr fontId="13" type="noConversion"/>
  </si>
  <si>
    <t>Approved by</t>
    <phoneticPr fontId="13" type="noConversion"/>
  </si>
  <si>
    <t>Prepared By</t>
    <phoneticPr fontId="13" type="noConversion"/>
  </si>
  <si>
    <t>SIZE</t>
    <phoneticPr fontId="13" type="noConversion"/>
  </si>
  <si>
    <t>Inspection</t>
    <phoneticPr fontId="13" type="noConversion"/>
  </si>
  <si>
    <t>Customer</t>
    <phoneticPr fontId="13" type="noConversion"/>
  </si>
  <si>
    <t>Shipping Date</t>
    <phoneticPr fontId="13" type="noConversion"/>
  </si>
  <si>
    <t>Deliver to</t>
    <phoneticPr fontId="13" type="noConversion"/>
  </si>
  <si>
    <t>/</t>
    <phoneticPr fontId="13" type="noConversion"/>
  </si>
  <si>
    <t>PALLET SIZE/INDEX</t>
    <phoneticPr fontId="13" type="noConversion"/>
  </si>
  <si>
    <t>P57</t>
    <phoneticPr fontId="13" type="noConversion"/>
  </si>
  <si>
    <t>P58</t>
    <phoneticPr fontId="13" type="noConversion"/>
  </si>
  <si>
    <t>P59</t>
    <phoneticPr fontId="13" type="noConversion"/>
  </si>
  <si>
    <t>P60</t>
    <phoneticPr fontId="13" type="noConversion"/>
  </si>
  <si>
    <t>P61</t>
    <phoneticPr fontId="13" type="noConversion"/>
  </si>
  <si>
    <t>P62</t>
    <phoneticPr fontId="13" type="noConversion"/>
  </si>
  <si>
    <t>P63</t>
    <phoneticPr fontId="13" type="noConversion"/>
  </si>
  <si>
    <t>P64</t>
    <phoneticPr fontId="13" type="noConversion"/>
  </si>
  <si>
    <t>P65</t>
    <phoneticPr fontId="13" type="noConversion"/>
  </si>
  <si>
    <t>P66</t>
    <phoneticPr fontId="13" type="noConversion"/>
  </si>
  <si>
    <t>P67</t>
    <phoneticPr fontId="13" type="noConversion"/>
  </si>
  <si>
    <t>P68</t>
    <phoneticPr fontId="13" type="noConversion"/>
  </si>
  <si>
    <t>P69</t>
    <phoneticPr fontId="13" type="noConversion"/>
  </si>
  <si>
    <t>P70</t>
    <phoneticPr fontId="13" type="noConversion"/>
  </si>
  <si>
    <t>P71</t>
    <phoneticPr fontId="13" type="noConversion"/>
  </si>
  <si>
    <t>P72</t>
    <phoneticPr fontId="13" type="noConversion"/>
  </si>
  <si>
    <t>P73</t>
    <phoneticPr fontId="13" type="noConversion"/>
  </si>
  <si>
    <t>P74</t>
    <phoneticPr fontId="13" type="noConversion"/>
  </si>
  <si>
    <t>P75</t>
    <phoneticPr fontId="13" type="noConversion"/>
  </si>
  <si>
    <t>P76</t>
    <phoneticPr fontId="13" type="noConversion"/>
  </si>
  <si>
    <t>P77</t>
    <phoneticPr fontId="13" type="noConversion"/>
  </si>
  <si>
    <t>P78</t>
    <phoneticPr fontId="13" type="noConversion"/>
  </si>
  <si>
    <t>P79</t>
    <phoneticPr fontId="13" type="noConversion"/>
  </si>
  <si>
    <t>P80</t>
    <phoneticPr fontId="13" type="noConversion"/>
  </si>
  <si>
    <t>P81</t>
    <phoneticPr fontId="13" type="noConversion"/>
  </si>
  <si>
    <t>P82</t>
    <phoneticPr fontId="13" type="noConversion"/>
  </si>
  <si>
    <t>P83</t>
    <phoneticPr fontId="13" type="noConversion"/>
  </si>
  <si>
    <t>P84</t>
    <phoneticPr fontId="13" type="noConversion"/>
  </si>
  <si>
    <t>P85</t>
    <phoneticPr fontId="13" type="noConversion"/>
  </si>
  <si>
    <t>P86</t>
    <phoneticPr fontId="13" type="noConversion"/>
  </si>
  <si>
    <t>P87</t>
    <phoneticPr fontId="13" type="noConversion"/>
  </si>
  <si>
    <t>P88</t>
    <phoneticPr fontId="13" type="noConversion"/>
  </si>
  <si>
    <t>P89</t>
    <phoneticPr fontId="13" type="noConversion"/>
  </si>
  <si>
    <t>P90</t>
    <phoneticPr fontId="13" type="noConversion"/>
  </si>
  <si>
    <t>P91</t>
    <phoneticPr fontId="13" type="noConversion"/>
  </si>
  <si>
    <t>P92</t>
    <phoneticPr fontId="13" type="noConversion"/>
  </si>
  <si>
    <t>P93</t>
    <phoneticPr fontId="13" type="noConversion"/>
  </si>
  <si>
    <t>P94</t>
    <phoneticPr fontId="13" type="noConversion"/>
  </si>
  <si>
    <t>P95</t>
    <phoneticPr fontId="13" type="noConversion"/>
  </si>
  <si>
    <t>P96</t>
    <phoneticPr fontId="13" type="noConversion"/>
  </si>
  <si>
    <t>P97</t>
    <phoneticPr fontId="13" type="noConversion"/>
  </si>
  <si>
    <t>P98</t>
    <phoneticPr fontId="13" type="noConversion"/>
  </si>
  <si>
    <t>P99</t>
    <phoneticPr fontId="13" type="noConversion"/>
  </si>
  <si>
    <t>P100</t>
    <phoneticPr fontId="13" type="noConversion"/>
  </si>
  <si>
    <t>P101</t>
    <phoneticPr fontId="13" type="noConversion"/>
  </si>
  <si>
    <t>P102</t>
    <phoneticPr fontId="13" type="noConversion"/>
  </si>
  <si>
    <t>P103</t>
    <phoneticPr fontId="13" type="noConversion"/>
  </si>
  <si>
    <t>P36</t>
    <phoneticPr fontId="13" type="noConversion"/>
  </si>
  <si>
    <t>Side Quarter</t>
    <phoneticPr fontId="195" type="noConversion"/>
  </si>
  <si>
    <t>1x1m</t>
    <phoneticPr fontId="195" type="noConversion"/>
  </si>
  <si>
    <t>1x2m</t>
    <phoneticPr fontId="195" type="noConversion"/>
  </si>
  <si>
    <t>Side</t>
    <phoneticPr fontId="195" type="noConversion"/>
  </si>
  <si>
    <t>1x1.5m</t>
    <phoneticPr fontId="195" type="noConversion"/>
  </si>
  <si>
    <t>0.5x0.5M</t>
    <phoneticPr fontId="195" type="noConversion"/>
  </si>
  <si>
    <t>1 x 1M</t>
    <phoneticPr fontId="195" type="noConversion"/>
  </si>
  <si>
    <t>0 x 1M</t>
  </si>
  <si>
    <t>0.5 x 1M</t>
    <phoneticPr fontId="15" type="noConversion"/>
  </si>
  <si>
    <t>0.5x1M</t>
    <phoneticPr fontId="195" type="noConversion"/>
  </si>
  <si>
    <t>0.5 x 0.5M</t>
    <phoneticPr fontId="195" type="noConversion"/>
  </si>
  <si>
    <t>0.5 x 1M</t>
    <phoneticPr fontId="195" type="noConversion"/>
  </si>
  <si>
    <t>1x1.985M</t>
    <phoneticPr fontId="195" type="noConversion"/>
  </si>
  <si>
    <t>1x1.915M</t>
    <phoneticPr fontId="195" type="noConversion"/>
  </si>
  <si>
    <t>1x1.485M</t>
    <phoneticPr fontId="195" type="noConversion"/>
  </si>
  <si>
    <t>Partition</t>
    <phoneticPr fontId="195" type="noConversion"/>
  </si>
  <si>
    <t>1x1.415M</t>
    <phoneticPr fontId="195" type="noConversion"/>
  </si>
  <si>
    <t>0.93x0.5M</t>
    <phoneticPr fontId="195" type="noConversion"/>
  </si>
  <si>
    <t>0.5x0.485M</t>
    <phoneticPr fontId="195" type="noConversion"/>
  </si>
  <si>
    <t>0.5x0.415M</t>
    <phoneticPr fontId="195" type="noConversion"/>
  </si>
  <si>
    <t>0.93x1M</t>
    <phoneticPr fontId="195" type="noConversion"/>
  </si>
  <si>
    <t>1x0.86M</t>
    <phoneticPr fontId="195" type="noConversion"/>
  </si>
  <si>
    <t>1x1M</t>
    <phoneticPr fontId="195" type="noConversion"/>
  </si>
  <si>
    <t xml:space="preserve">Roof </t>
    <phoneticPr fontId="195" type="noConversion"/>
  </si>
  <si>
    <t>Nozzle_Drain</t>
    <phoneticPr fontId="195" type="noConversion"/>
  </si>
  <si>
    <t>Base</t>
    <phoneticPr fontId="195" type="noConversion"/>
  </si>
  <si>
    <t>BF50P</t>
    <phoneticPr fontId="15" type="noConversion"/>
  </si>
  <si>
    <t>BF50M</t>
    <phoneticPr fontId="15" type="noConversion"/>
  </si>
  <si>
    <t>BF45P</t>
    <phoneticPr fontId="15" type="noConversion"/>
  </si>
  <si>
    <t>BF45M</t>
    <phoneticPr fontId="15" type="noConversion"/>
  </si>
  <si>
    <t>RQ10M</t>
    <phoneticPr fontId="15" type="noConversion"/>
  </si>
  <si>
    <t>RH10M</t>
    <phoneticPr fontId="15" type="noConversion"/>
  </si>
  <si>
    <t>SH20T</t>
    <phoneticPr fontId="15" type="noConversion"/>
  </si>
  <si>
    <t>SH20TL</t>
    <phoneticPr fontId="15" type="noConversion"/>
  </si>
  <si>
    <t>SH20TR</t>
    <phoneticPr fontId="15" type="noConversion"/>
  </si>
  <si>
    <t>SH15TR</t>
    <phoneticPr fontId="15" type="noConversion"/>
  </si>
  <si>
    <t>SH15TL</t>
    <phoneticPr fontId="15" type="noConversion"/>
  </si>
  <si>
    <t>SH15T</t>
    <phoneticPr fontId="15" type="noConversion"/>
  </si>
  <si>
    <t>SH20M</t>
    <phoneticPr fontId="15" type="noConversion"/>
  </si>
  <si>
    <t>SF30MR</t>
    <phoneticPr fontId="15" type="noConversion"/>
  </si>
  <si>
    <t>SF30ML</t>
    <phoneticPr fontId="15" type="noConversion"/>
  </si>
  <si>
    <t>BH45V</t>
    <phoneticPr fontId="15" type="noConversion"/>
  </si>
  <si>
    <t>BH45M</t>
    <phoneticPr fontId="15" type="noConversion"/>
  </si>
  <si>
    <t>BH45H</t>
    <phoneticPr fontId="15" type="noConversion"/>
  </si>
  <si>
    <t>BH50V</t>
    <phoneticPr fontId="15" type="noConversion"/>
  </si>
  <si>
    <t>BH50M</t>
    <phoneticPr fontId="15" type="noConversion"/>
  </si>
  <si>
    <t>BH50H</t>
    <phoneticPr fontId="15" type="noConversion"/>
  </si>
  <si>
    <t>BH50PS</t>
    <phoneticPr fontId="15" type="noConversion"/>
  </si>
  <si>
    <t>SH15M</t>
    <phoneticPr fontId="15" type="noConversion"/>
  </si>
  <si>
    <t>SF45MP</t>
    <phoneticPr fontId="15" type="noConversion"/>
  </si>
  <si>
    <t>SF45M</t>
    <phoneticPr fontId="15" type="noConversion"/>
  </si>
  <si>
    <t>SF45LR</t>
    <phoneticPr fontId="15" type="noConversion"/>
  </si>
  <si>
    <t>SF45LL</t>
    <phoneticPr fontId="15" type="noConversion"/>
  </si>
  <si>
    <t>SF50MP</t>
    <phoneticPr fontId="15" type="noConversion"/>
  </si>
  <si>
    <t>SF50M</t>
    <phoneticPr fontId="15" type="noConversion"/>
  </si>
  <si>
    <t>SF50LR</t>
    <phoneticPr fontId="15" type="noConversion"/>
  </si>
  <si>
    <t>SF50LL</t>
    <phoneticPr fontId="15" type="noConversion"/>
  </si>
  <si>
    <t>SF35MR</t>
    <phoneticPr fontId="15" type="noConversion"/>
  </si>
  <si>
    <t>SF35ML</t>
    <phoneticPr fontId="15" type="noConversion"/>
  </si>
  <si>
    <t>SH45MR</t>
    <phoneticPr fontId="15" type="noConversion"/>
  </si>
  <si>
    <t>SH45ML</t>
    <phoneticPr fontId="15" type="noConversion"/>
  </si>
  <si>
    <t>SH45M</t>
    <phoneticPr fontId="15" type="noConversion"/>
  </si>
  <si>
    <t>SH45LR</t>
    <phoneticPr fontId="15" type="noConversion"/>
  </si>
  <si>
    <t>SH45LL</t>
    <phoneticPr fontId="15" type="noConversion"/>
  </si>
  <si>
    <t>SH45L</t>
    <phoneticPr fontId="15" type="noConversion"/>
  </si>
  <si>
    <t>SH50MR</t>
    <phoneticPr fontId="15" type="noConversion"/>
  </si>
  <si>
    <t>SH50ML</t>
    <phoneticPr fontId="15" type="noConversion"/>
  </si>
  <si>
    <t>SH50M</t>
    <phoneticPr fontId="15" type="noConversion"/>
  </si>
  <si>
    <t>SH50LR</t>
    <phoneticPr fontId="15" type="noConversion"/>
  </si>
  <si>
    <t>SH50LL</t>
    <phoneticPr fontId="15" type="noConversion"/>
  </si>
  <si>
    <t>SH50L</t>
    <phoneticPr fontId="15" type="noConversion"/>
  </si>
  <si>
    <t>BQ45M</t>
    <phoneticPr fontId="15" type="noConversion"/>
  </si>
  <si>
    <t>BQ50M</t>
    <phoneticPr fontId="15" type="noConversion"/>
  </si>
  <si>
    <t>PQ05TCB</t>
    <phoneticPr fontId="15" type="noConversion"/>
  </si>
  <si>
    <t>PQ05TCA</t>
    <phoneticPr fontId="15" type="noConversion"/>
  </si>
  <si>
    <t>PH45M</t>
    <phoneticPr fontId="15" type="noConversion"/>
  </si>
  <si>
    <t>PH50M</t>
    <phoneticPr fontId="15" type="noConversion"/>
  </si>
  <si>
    <t>SF25MR</t>
    <phoneticPr fontId="15" type="noConversion"/>
  </si>
  <si>
    <t>SF25ML</t>
    <phoneticPr fontId="15" type="noConversion"/>
  </si>
  <si>
    <t>PF50M</t>
    <phoneticPr fontId="15" type="noConversion"/>
  </si>
  <si>
    <t>PF45M</t>
    <phoneticPr fontId="15" type="noConversion"/>
  </si>
  <si>
    <t>PH10TCA</t>
    <phoneticPr fontId="15" type="noConversion"/>
  </si>
  <si>
    <t>BH10PS</t>
    <phoneticPr fontId="15" type="noConversion"/>
  </si>
  <si>
    <t>BH15PS</t>
    <phoneticPr fontId="15" type="noConversion"/>
  </si>
  <si>
    <t>BH20PS</t>
    <phoneticPr fontId="15" type="noConversion"/>
  </si>
  <si>
    <t>BH25PS</t>
    <phoneticPr fontId="15" type="noConversion"/>
  </si>
  <si>
    <t>BH30PS</t>
    <phoneticPr fontId="15" type="noConversion"/>
  </si>
  <si>
    <t>BH35PS</t>
    <phoneticPr fontId="15" type="noConversion"/>
  </si>
  <si>
    <t>BH40PS</t>
    <phoneticPr fontId="15" type="noConversion"/>
  </si>
  <si>
    <t>0.5X0.86M</t>
    <phoneticPr fontId="195" type="noConversion"/>
  </si>
  <si>
    <t>SH15L</t>
    <phoneticPr fontId="15" type="noConversion"/>
  </si>
  <si>
    <t>SH20L</t>
    <phoneticPr fontId="15" type="noConversion"/>
  </si>
  <si>
    <t>PH10TCB</t>
    <phoneticPr fontId="15" type="noConversion"/>
  </si>
  <si>
    <t>DN50M</t>
    <phoneticPr fontId="15" type="noConversion"/>
  </si>
  <si>
    <t>DN45M</t>
    <phoneticPr fontId="15" type="noConversion"/>
  </si>
  <si>
    <t>PH10TCB</t>
  </si>
  <si>
    <t>WBT-1230SA4</t>
    <phoneticPr fontId="23" type="noConversion"/>
  </si>
  <si>
    <t>WBT-1245SA2</t>
    <phoneticPr fontId="23" type="noConversion"/>
  </si>
  <si>
    <t>WBT-1245SA4</t>
    <phoneticPr fontId="23" type="noConversion"/>
  </si>
  <si>
    <t>WBT-1035Z</t>
    <phoneticPr fontId="23" type="noConversion"/>
  </si>
  <si>
    <t>WBT-1035SA2</t>
    <phoneticPr fontId="23" type="noConversion"/>
  </si>
  <si>
    <t>WBT-1035SA4</t>
    <phoneticPr fontId="23" type="noConversion"/>
  </si>
  <si>
    <t>WBT-1050Z</t>
    <phoneticPr fontId="23" type="noConversion"/>
  </si>
  <si>
    <t>WBT-1050SA2</t>
    <phoneticPr fontId="23" type="noConversion"/>
  </si>
  <si>
    <t>WBT-1050SA4</t>
    <phoneticPr fontId="23" type="noConversion"/>
  </si>
  <si>
    <t>WCP-1615SA2</t>
    <phoneticPr fontId="23" type="noConversion"/>
  </si>
  <si>
    <t>PACKING</t>
    <phoneticPr fontId="13" type="noConversion"/>
  </si>
  <si>
    <t>WFF-0990HCLZ</t>
    <phoneticPr fontId="15" type="noConversion"/>
  </si>
  <si>
    <t>0.5 x 0.5m</t>
    <phoneticPr fontId="195" type="noConversion"/>
  </si>
  <si>
    <t>Side_Noz_P_R</t>
    <phoneticPr fontId="195" type="noConversion"/>
  </si>
  <si>
    <t>Side_Noz_P_L</t>
    <phoneticPr fontId="195" type="noConversion"/>
  </si>
  <si>
    <t>Side_Noz</t>
    <phoneticPr fontId="195" type="noConversion"/>
  </si>
  <si>
    <t>Side_Noz_Low_P_R</t>
    <phoneticPr fontId="195" type="noConversion"/>
  </si>
  <si>
    <t>Side_Noz_Low_P_L</t>
    <phoneticPr fontId="195" type="noConversion"/>
  </si>
  <si>
    <t>Side_Noz_Low</t>
    <phoneticPr fontId="195" type="noConversion"/>
  </si>
  <si>
    <t>Side_Noz_Mid_P_R</t>
    <phoneticPr fontId="195" type="noConversion"/>
  </si>
  <si>
    <t>Side_Noz_Mid_P_L</t>
    <phoneticPr fontId="195" type="noConversion"/>
  </si>
  <si>
    <t>Side_Noz_Mid</t>
    <phoneticPr fontId="195" type="noConversion"/>
  </si>
  <si>
    <t>Side_Noz_Top_P_R</t>
    <phoneticPr fontId="195" type="noConversion"/>
  </si>
  <si>
    <t>Side_Noz_Top_P_L</t>
    <phoneticPr fontId="195" type="noConversion"/>
  </si>
  <si>
    <t>Side_Noz_Top</t>
    <phoneticPr fontId="195" type="noConversion"/>
  </si>
  <si>
    <t>Side_Noz_Sin_P_R</t>
    <phoneticPr fontId="195" type="noConversion"/>
  </si>
  <si>
    <t>Side_Noz_Sin_P_L</t>
    <phoneticPr fontId="195" type="noConversion"/>
  </si>
  <si>
    <t>Side_Noz_Sin</t>
    <phoneticPr fontId="195" type="noConversion"/>
  </si>
  <si>
    <t>Side Top(P_R)</t>
    <phoneticPr fontId="195" type="noConversion"/>
  </si>
  <si>
    <t>Side Top(P_L)</t>
    <phoneticPr fontId="195" type="noConversion"/>
  </si>
  <si>
    <t>Side Top</t>
    <phoneticPr fontId="195" type="noConversion"/>
  </si>
  <si>
    <t>Side_2mH(P_R)</t>
    <phoneticPr fontId="195" type="noConversion"/>
  </si>
  <si>
    <t>Side_2mH(P_L)</t>
    <phoneticPr fontId="195" type="noConversion"/>
  </si>
  <si>
    <t>Side_2mH</t>
    <phoneticPr fontId="195" type="noConversion"/>
  </si>
  <si>
    <t>Side_1.5mH(P_R)</t>
    <phoneticPr fontId="195" type="noConversion"/>
  </si>
  <si>
    <t>Side_1.5mH(P_L)</t>
    <phoneticPr fontId="195" type="noConversion"/>
  </si>
  <si>
    <t>Side_1.5mH</t>
    <phoneticPr fontId="195" type="noConversion"/>
  </si>
  <si>
    <t>Side_Top(P_R)</t>
    <phoneticPr fontId="195" type="noConversion"/>
  </si>
  <si>
    <t>Side_Top(P_L)</t>
    <phoneticPr fontId="195" type="noConversion"/>
  </si>
  <si>
    <t>Side_Top</t>
    <phoneticPr fontId="195" type="noConversion"/>
  </si>
  <si>
    <t>Side_P_R</t>
    <phoneticPr fontId="195" type="noConversion"/>
  </si>
  <si>
    <t>Side_P_L</t>
    <phoneticPr fontId="195" type="noConversion"/>
  </si>
  <si>
    <t>Side_Low_P_R</t>
    <phoneticPr fontId="195" type="noConversion"/>
  </si>
  <si>
    <t>Side_Low_P_L</t>
    <phoneticPr fontId="195" type="noConversion"/>
  </si>
  <si>
    <t>Side_Low</t>
    <phoneticPr fontId="195" type="noConversion"/>
  </si>
  <si>
    <t>Side_Top_R</t>
    <phoneticPr fontId="195" type="noConversion"/>
  </si>
  <si>
    <t>Side_Top_L</t>
    <phoneticPr fontId="195" type="noConversion"/>
  </si>
  <si>
    <t>Side_Sin_R</t>
    <phoneticPr fontId="195" type="noConversion"/>
  </si>
  <si>
    <t>Side_Sin_L</t>
    <phoneticPr fontId="195" type="noConversion"/>
  </si>
  <si>
    <t>Side_Sin</t>
    <phoneticPr fontId="195" type="noConversion"/>
  </si>
  <si>
    <t>Side_Mid_P</t>
    <phoneticPr fontId="195" type="noConversion"/>
  </si>
  <si>
    <t>Side_Mid</t>
    <phoneticPr fontId="195" type="noConversion"/>
  </si>
  <si>
    <t>Side_Low_R</t>
    <phoneticPr fontId="195" type="noConversion"/>
  </si>
  <si>
    <t>Side_Low_L</t>
    <phoneticPr fontId="195" type="noConversion"/>
  </si>
  <si>
    <t>Side_Mid_R</t>
    <phoneticPr fontId="195" type="noConversion"/>
  </si>
  <si>
    <t>Side_Mid_L</t>
    <phoneticPr fontId="195" type="noConversion"/>
  </si>
  <si>
    <t>Side_Mid_P_L</t>
    <phoneticPr fontId="195" type="noConversion"/>
  </si>
  <si>
    <t>Side_Mid_P_R</t>
    <phoneticPr fontId="195" type="noConversion"/>
  </si>
  <si>
    <t>Roof Quarter</t>
    <phoneticPr fontId="195" type="noConversion"/>
  </si>
  <si>
    <t>Roof Half</t>
    <phoneticPr fontId="195" type="noConversion"/>
  </si>
  <si>
    <t>Base_P_S</t>
    <phoneticPr fontId="195" type="noConversion"/>
  </si>
  <si>
    <t>Base_P</t>
    <phoneticPr fontId="195" type="noConversion"/>
  </si>
  <si>
    <t>SF40MR</t>
    <phoneticPr fontId="15" type="noConversion"/>
  </si>
  <si>
    <t>SF40ML</t>
    <phoneticPr fontId="15" type="noConversion"/>
  </si>
  <si>
    <t>Side_MId_L</t>
    <phoneticPr fontId="195" type="noConversion"/>
  </si>
  <si>
    <t>SF50L</t>
    <phoneticPr fontId="15" type="noConversion"/>
  </si>
  <si>
    <t>RH00M</t>
  </si>
  <si>
    <t>RQ00M</t>
  </si>
  <si>
    <t>BH10PV</t>
  </si>
  <si>
    <t>BH15PV</t>
  </si>
  <si>
    <t>BH20PV</t>
  </si>
  <si>
    <t>BH25PV</t>
  </si>
  <si>
    <t>BH30PV</t>
  </si>
  <si>
    <t>BH35PV</t>
  </si>
  <si>
    <t>BH40PV</t>
  </si>
  <si>
    <t>BH10PH</t>
  </si>
  <si>
    <t>BH15PH</t>
  </si>
  <si>
    <t>BH20PH</t>
  </si>
  <si>
    <t>BH25PH</t>
  </si>
  <si>
    <t>BH30PH</t>
  </si>
  <si>
    <t>BH35PH</t>
  </si>
  <si>
    <t>BH40PH</t>
  </si>
  <si>
    <t>DN10S</t>
  </si>
  <si>
    <t>DN15S</t>
  </si>
  <si>
    <t>DN20S</t>
  </si>
  <si>
    <t>DN25S</t>
  </si>
  <si>
    <t>DN30S</t>
  </si>
  <si>
    <t>DN35S</t>
  </si>
  <si>
    <t>DN40S</t>
  </si>
  <si>
    <t>PH10TCA</t>
  </si>
  <si>
    <t>PH10TCB(25)</t>
  </si>
  <si>
    <t>MF00MI</t>
  </si>
  <si>
    <t>RF00MI</t>
  </si>
  <si>
    <t>RH00MI</t>
  </si>
  <si>
    <t>RQ00MI</t>
  </si>
  <si>
    <t>BF10MI</t>
  </si>
  <si>
    <t>BF15MI</t>
  </si>
  <si>
    <t>BF20MI</t>
  </si>
  <si>
    <t>BF25MI</t>
  </si>
  <si>
    <t>BF30MI</t>
  </si>
  <si>
    <t>BF35MI</t>
  </si>
  <si>
    <t>BF40MI</t>
  </si>
  <si>
    <t>BF10PI</t>
  </si>
  <si>
    <t>BF15PI</t>
  </si>
  <si>
    <t>BF20PI</t>
  </si>
  <si>
    <t>BF25PI</t>
  </si>
  <si>
    <t>BF30PI</t>
  </si>
  <si>
    <t>BF35PI</t>
  </si>
  <si>
    <t>BF40PI</t>
  </si>
  <si>
    <t>BH10MI</t>
  </si>
  <si>
    <t>BH15MI</t>
  </si>
  <si>
    <t>BH20MI</t>
  </si>
  <si>
    <t>BH25MI</t>
  </si>
  <si>
    <t>BH30MI</t>
  </si>
  <si>
    <t>BH35MI</t>
  </si>
  <si>
    <t>BH40MI</t>
  </si>
  <si>
    <t>BH10PVI</t>
  </si>
  <si>
    <t>BH15PVI</t>
  </si>
  <si>
    <t>BH20PVI</t>
  </si>
  <si>
    <t>BH25PVI</t>
  </si>
  <si>
    <t>BH30PVI</t>
  </si>
  <si>
    <t>BH35PVI</t>
  </si>
  <si>
    <t>BH40PVI</t>
  </si>
  <si>
    <t>BH10PHI</t>
  </si>
  <si>
    <t>BH15PHI</t>
  </si>
  <si>
    <t>BH20PHI</t>
  </si>
  <si>
    <t>BH25PHI</t>
  </si>
  <si>
    <t>BH30PHI</t>
  </si>
  <si>
    <t>BH35PHI</t>
  </si>
  <si>
    <t>BH40PHI</t>
  </si>
  <si>
    <t>BQ10MI</t>
  </si>
  <si>
    <t>BQ15MI</t>
  </si>
  <si>
    <t>BQ20MI</t>
  </si>
  <si>
    <t>BQ25MI</t>
  </si>
  <si>
    <t>BQ30MI</t>
  </si>
  <si>
    <t>BQ35MI</t>
  </si>
  <si>
    <t>BQ40MI</t>
  </si>
  <si>
    <t>DN10SI</t>
  </si>
  <si>
    <t>DN15SI</t>
  </si>
  <si>
    <t>DN20SI</t>
  </si>
  <si>
    <t>DN25SI</t>
  </si>
  <si>
    <t>DN30SI</t>
  </si>
  <si>
    <t>DN35SI</t>
  </si>
  <si>
    <t>DN40SI</t>
  </si>
  <si>
    <t>SF10SI</t>
  </si>
  <si>
    <t>SF25MI</t>
  </si>
  <si>
    <t>SF30MI</t>
  </si>
  <si>
    <t>SF35MI</t>
  </si>
  <si>
    <t>SF40MI</t>
  </si>
  <si>
    <t>SF25LI</t>
  </si>
  <si>
    <t>SF30LI</t>
  </si>
  <si>
    <t>SF35LI</t>
  </si>
  <si>
    <t>SF40LI</t>
  </si>
  <si>
    <t>SF45LI</t>
  </si>
  <si>
    <t>SF50LI</t>
  </si>
  <si>
    <t>SF10TI</t>
  </si>
  <si>
    <t>SF10SLI</t>
  </si>
  <si>
    <t>SF10SRI</t>
  </si>
  <si>
    <t>SF25MPI</t>
  </si>
  <si>
    <t>SF30MPI</t>
  </si>
  <si>
    <t>SF35MPI</t>
  </si>
  <si>
    <t>SF40MPI</t>
  </si>
  <si>
    <t>SF25LLI</t>
  </si>
  <si>
    <t>SF30LLI</t>
  </si>
  <si>
    <t>SF35LLI</t>
  </si>
  <si>
    <t>SF40LLI</t>
  </si>
  <si>
    <t>SF25LRI</t>
  </si>
  <si>
    <t>SF30LRI</t>
  </si>
  <si>
    <t>SF35LRI</t>
  </si>
  <si>
    <t>SF40LRI</t>
  </si>
  <si>
    <t>SF10TLI</t>
  </si>
  <si>
    <t>SF10TRI</t>
  </si>
  <si>
    <t>SL20SI</t>
  </si>
  <si>
    <t>SL20SLI</t>
  </si>
  <si>
    <t>SL20SRI</t>
  </si>
  <si>
    <t>SL20TI</t>
  </si>
  <si>
    <t>SL20TLI</t>
  </si>
  <si>
    <t>SL20TRI</t>
  </si>
  <si>
    <t>SL15SI</t>
  </si>
  <si>
    <t>SL15SLI</t>
  </si>
  <si>
    <t>SL15SRI</t>
  </si>
  <si>
    <t>SL15TI</t>
  </si>
  <si>
    <t>SL15TLI</t>
  </si>
  <si>
    <t>SL15TRI</t>
  </si>
  <si>
    <t>SH10SI</t>
  </si>
  <si>
    <t>SH25MI</t>
  </si>
  <si>
    <t>SH30MI</t>
  </si>
  <si>
    <t>SH35MI</t>
  </si>
  <si>
    <t>SH40MI</t>
  </si>
  <si>
    <t>SH25LI</t>
  </si>
  <si>
    <t>SH30LI</t>
  </si>
  <si>
    <t>SH35LI</t>
  </si>
  <si>
    <t>SH40LI</t>
  </si>
  <si>
    <t>SH10TI</t>
  </si>
  <si>
    <t>SH10SLI</t>
  </si>
  <si>
    <t>SH10SRI</t>
  </si>
  <si>
    <t>SH25MLI</t>
  </si>
  <si>
    <t>SH30MLI</t>
  </si>
  <si>
    <t>SH35MLI</t>
  </si>
  <si>
    <t>SH40MLI</t>
  </si>
  <si>
    <t>SH25MRI</t>
  </si>
  <si>
    <t>SH30MRI</t>
  </si>
  <si>
    <t>SH35MRI</t>
  </si>
  <si>
    <t>SH40MRI</t>
  </si>
  <si>
    <t>SH25LLI</t>
  </si>
  <si>
    <t>SH30LLI</t>
  </si>
  <si>
    <t>SH35LLI</t>
  </si>
  <si>
    <t>SH40LLI</t>
  </si>
  <si>
    <t>SH25LRI</t>
  </si>
  <si>
    <t>SH30LRI</t>
  </si>
  <si>
    <t>SH35LRI</t>
  </si>
  <si>
    <t>SH40LRI</t>
  </si>
  <si>
    <t>SH10TLI</t>
  </si>
  <si>
    <t>SH10TRI</t>
  </si>
  <si>
    <t>SN10SI</t>
  </si>
  <si>
    <t>SN25MI</t>
  </si>
  <si>
    <t>SN30MI</t>
  </si>
  <si>
    <t>SN35MI</t>
  </si>
  <si>
    <t>SN40MI</t>
  </si>
  <si>
    <t>SN25LI</t>
  </si>
  <si>
    <t>SN30LI</t>
  </si>
  <si>
    <t>SN35LI</t>
  </si>
  <si>
    <t>SN40LI</t>
  </si>
  <si>
    <t>SN10TI</t>
  </si>
  <si>
    <t>SN10SLI</t>
  </si>
  <si>
    <t>SN10SRI</t>
  </si>
  <si>
    <t>SN25MLI</t>
  </si>
  <si>
    <t>SN30MLI</t>
  </si>
  <si>
    <t>SN35MLI</t>
  </si>
  <si>
    <t>SN40MLI</t>
  </si>
  <si>
    <t>SN25MRI</t>
  </si>
  <si>
    <t>SN30MRI</t>
  </si>
  <si>
    <t>SN35MRI</t>
  </si>
  <si>
    <t>SN40MRI</t>
  </si>
  <si>
    <t>SN25LLI</t>
  </si>
  <si>
    <t>SN30LLI</t>
  </si>
  <si>
    <t>SN35LLI</t>
  </si>
  <si>
    <t>SN40LLI</t>
  </si>
  <si>
    <t>SN25LRI</t>
  </si>
  <si>
    <t>SN30LRI</t>
  </si>
  <si>
    <t>SN35LRI</t>
  </si>
  <si>
    <t>SN40LRI</t>
  </si>
  <si>
    <t>SN10TLI</t>
  </si>
  <si>
    <t>SN10TRI</t>
  </si>
  <si>
    <t>SQ10MI</t>
  </si>
  <si>
    <t>SQ15MI</t>
  </si>
  <si>
    <t>SQ20MI</t>
  </si>
  <si>
    <t>SQ25MI</t>
  </si>
  <si>
    <t>SQ30MI</t>
  </si>
  <si>
    <t>SQ35MI</t>
  </si>
  <si>
    <t>SQ40MI</t>
  </si>
  <si>
    <t>SQ10TI</t>
  </si>
  <si>
    <t>WFF-0553CMZ</t>
    <phoneticPr fontId="15" type="noConversion"/>
  </si>
  <si>
    <t>CHANNEL 150mmX75mmX6.5mmX0990mm</t>
    <phoneticPr fontId="14" type="noConversion"/>
  </si>
  <si>
    <t>M12 NUT(SA2)</t>
    <phoneticPr fontId="13" type="noConversion"/>
  </si>
  <si>
    <t>M12 BW(SA2)</t>
    <phoneticPr fontId="13" type="noConversion"/>
  </si>
  <si>
    <t>WBT-1460RD</t>
    <phoneticPr fontId="13" type="noConversion"/>
  </si>
  <si>
    <t>WBT-1460RSA2</t>
    <phoneticPr fontId="13" type="noConversion"/>
  </si>
  <si>
    <t>WBT-1460RSA4</t>
    <phoneticPr fontId="13" type="noConversion"/>
  </si>
  <si>
    <t>WBR-9090SA2/SA4(INSIDE)</t>
    <phoneticPr fontId="86" type="noConversion"/>
  </si>
  <si>
    <t>3.3mH Botto panel + WCP-9090SA4 (WBT-1460RD)</t>
    <phoneticPr fontId="13" type="noConversion"/>
  </si>
  <si>
    <t>Date : 200903</t>
    <phoneticPr fontId="13" type="noConversion"/>
  </si>
  <si>
    <t>LNR-3.0T</t>
  </si>
  <si>
    <t>WBT-1240Z</t>
  </si>
  <si>
    <t>Silicon</t>
  </si>
  <si>
    <t>WST-0050RO</t>
  </si>
  <si>
    <t>WST-0120RO</t>
  </si>
  <si>
    <t>DN20M</t>
  </si>
  <si>
    <t>Non-Insulated</t>
  </si>
  <si>
    <t>▣ Panel: Non-Insulated/ Panel Composition:use side panel (1x2m,1x1.5m)</t>
  </si>
  <si>
    <t>WAV-0100A</t>
  </si>
  <si>
    <t>WBR-21590Z</t>
  </si>
  <si>
    <t>WFB-0950ZP</t>
  </si>
  <si>
    <t>WCF-2000Z</t>
  </si>
  <si>
    <t>WCP-1780Z</t>
  </si>
  <si>
    <t>WCP-1616Z</t>
  </si>
  <si>
    <t>WCP-17160SA4</t>
  </si>
  <si>
    <t>WCP-1760SA4</t>
  </si>
  <si>
    <t>WBR-9090SA4</t>
  </si>
  <si>
    <t>M12 NUT(SA4)</t>
  </si>
  <si>
    <t>M12 BW(SA4)</t>
  </si>
  <si>
    <t>NT0606-01</t>
  </si>
  <si>
    <t>▣ Size : 10mW x (5)mL x3mH =150 [TON]/ 1[SET]</t>
  </si>
  <si>
    <t>DN30M</t>
  </si>
  <si>
    <t>WCF-1000Z</t>
  </si>
  <si>
    <t>WRS-3000F</t>
  </si>
  <si>
    <t>WLD-3000FI</t>
  </si>
  <si>
    <t>WLD-3000ZO</t>
  </si>
  <si>
    <t>BILL OF MATERIAL for GRP Panel Tank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</si>
</sst>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(* #,##0_);_(* \(#,##0\);_(* &quot;-&quot;_);_(@_)"/>
    <numFmt numFmtId="44" formatCode="_(&quot;$&quot;* #,##0.00_);_(&quot;$&quot;* \(#,##0.00\);_(&quot;$&quot;* &quot;-&quot;??_);_(@_)"/>
    <numFmt numFmtId="164" formatCode="_-&quot;₩&quot;* #,##0_-;\-&quot;₩&quot;* #,##0_-;_-&quot;₩&quot;* &quot;-&quot;_-;_-@_-"/>
    <numFmt numFmtId="165" formatCode="_-* #,##0_-;\-* #,##0_-;_-* &quot;-&quot;_-;_-@_-"/>
    <numFmt numFmtId="166" formatCode="_-* #,##0.00_-;\-* #,##0.00_-;_-* &quot;-&quot;??_-;_-@_-"/>
    <numFmt numFmtId="167" formatCode="#,###.0\ &quot;ton&quot;"/>
    <numFmt numFmtId="168" formatCode="_-* #,##0.0_-;\-* #,##0.0_-;_-* &quot;-&quot;_-;_-@_-"/>
    <numFmt numFmtId="169" formatCode="_-* #,##0.0_-;\-* #,##0.0_-;_-* &quot;-&quot;??_-;_-@_-"/>
    <numFmt numFmtId="170" formatCode="0.0_ "/>
    <numFmt numFmtId="171" formatCode="_-* #,##0.0_-;\-* #,##0.0_-;_-* &quot;-&quot;?_-;_-@_-"/>
    <numFmt numFmtId="172" formatCode="_-* #,##0.00_-;\-* #,##0.00_-;_-* &quot;-&quot;_-;_-@_-"/>
    <numFmt numFmtId="173" formatCode="_-* #,##0.000000_-;\-* #,##0.000000_-;_-* &quot;-&quot;_-;_-@_-"/>
    <numFmt numFmtId="174" formatCode="0.0"/>
    <numFmt numFmtId="175" formatCode="#,###&quot;  &quot;;\(#,###\)&quot; &quot;"/>
    <numFmt numFmtId="176" formatCode="#,###&quot; &quot;;\(#,###\)"/>
    <numFmt numFmtId="177" formatCode="#,##0_ ;[Red]\-#,##0\ "/>
    <numFmt numFmtId="178" formatCode="_(&quot;₩&quot;* #,##0_);_(&quot;₩&quot;* \(#,##0\);_(&quot;₩&quot;* &quot;-&quot;_);_(@_)"/>
    <numFmt numFmtId="179" formatCode="_-\$* #,##0.00_ ;_-\$* \-#,##0.00\ ;_-\$* &quot;-&quot;??_ ;_-@_ "/>
    <numFmt numFmtId="180" formatCode="0.0%"/>
    <numFmt numFmtId="181" formatCode="_-[$$-409]* #,##0_ ;_-[$$-409]* \-#,##0\ ;_-[$$-409]* &quot;-&quot;??_ ;_-@_ "/>
    <numFmt numFmtId="182" formatCode="[$-409]d/mmm/yyyy;@"/>
    <numFmt numFmtId="183" formatCode="[$-409]d&quot;-&quot;mmm&quot;-&quot;yy;@"/>
    <numFmt numFmtId="184" formatCode="_-[$$-409]* #,##0.00_ ;_-[$$-409]* \-#,##0.00\ ;_-[$$-409]* &quot;-&quot;??_ ;_-@_ "/>
    <numFmt numFmtId="185" formatCode="[$USD]\ #,##0"/>
    <numFmt numFmtId="186" formatCode="_-[$AED]\ * #,##0.00_-;\-[$AED]\ * #,##0.00_-;_-[$AED]\ * &quot;-&quot;??_-;_-@_-"/>
    <numFmt numFmtId="187" formatCode="0_ ;[Red]\-0\ "/>
    <numFmt numFmtId="188" formatCode="#,##0_ "/>
    <numFmt numFmtId="189" formatCode="0.0_ ;[Red]\-0.0\ "/>
    <numFmt numFmtId="190" formatCode="_(* #,##0.0_);_(* \(#,##0.0\);_(* &quot;-&quot;_);_(@_)"/>
    <numFmt numFmtId="191" formatCode="_-* #,##0.000_-;\-* #,##0.000_-;_-* &quot;-&quot;_-;_-@_-"/>
    <numFmt numFmtId="192" formatCode="0.00_);[Red]\(0.00\)"/>
    <numFmt numFmtId="193" formatCode="#,##0.00_ "/>
    <numFmt numFmtId="194" formatCode="mm&quot;월&quot;\ dd&quot;일&quot;"/>
    <numFmt numFmtId="195" formatCode="&quot;#&quot;0"/>
  </numFmts>
  <fonts count="232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8"/>
      <name val="굴림체"/>
      <family val="3"/>
      <charset val="129"/>
    </font>
    <font>
      <sz val="8"/>
      <name val="명조"/>
      <family val="3"/>
      <charset val="129"/>
    </font>
    <font>
      <sz val="12"/>
      <name val="명조"/>
      <family val="3"/>
      <charset val="129"/>
    </font>
    <font>
      <sz val="11"/>
      <color theme="1"/>
      <name val="Calibri"/>
      <family val="3"/>
      <charset val="129"/>
      <scheme val="minor"/>
    </font>
    <font>
      <sz val="12"/>
      <name val="Calibri"/>
      <family val="3"/>
      <charset val="129"/>
      <scheme val="minor"/>
    </font>
    <font>
      <b/>
      <sz val="12"/>
      <name val="Calibri"/>
      <family val="3"/>
      <charset val="129"/>
      <scheme val="minor"/>
    </font>
    <font>
      <b/>
      <sz val="16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0"/>
      <name val="Arial"/>
      <family val="2"/>
    </font>
    <font>
      <b/>
      <sz val="14"/>
      <name val="돋움"/>
      <family val="3"/>
      <charset val="129"/>
    </font>
    <font>
      <sz val="8"/>
      <name val="맑은 고딕"/>
      <family val="3"/>
      <charset val="129"/>
    </font>
    <font>
      <sz val="11"/>
      <name val="굴림체"/>
      <family val="3"/>
      <charset val="129"/>
    </font>
    <font>
      <sz val="12"/>
      <name val="굴림체"/>
      <family val="3"/>
      <charset val="129"/>
    </font>
    <font>
      <sz val="12"/>
      <name val="바탕체"/>
      <family val="1"/>
      <charset val="129"/>
    </font>
    <font>
      <sz val="12"/>
      <name val="돋움체"/>
      <family val="3"/>
      <charset val="129"/>
    </font>
    <font>
      <u/>
      <sz val="8.6999999999999993"/>
      <color indexed="36"/>
      <name val="돋움"/>
      <family val="3"/>
      <charset val="129"/>
    </font>
    <font>
      <sz val="14"/>
      <name val="뼻뮝"/>
      <family val="3"/>
      <charset val="129"/>
    </font>
    <font>
      <sz val="12"/>
      <name val="뼻뮝"/>
      <family val="1"/>
      <charset val="129"/>
    </font>
    <font>
      <sz val="10"/>
      <name val="QBJ-명조10pt"/>
      <family val="3"/>
      <charset val="129"/>
    </font>
    <font>
      <sz val="12"/>
      <color indexed="8"/>
      <name val="바탕체"/>
      <family val="1"/>
      <charset val="129"/>
    </font>
    <font>
      <b/>
      <sz val="12"/>
      <name val="Arial"/>
      <family val="2"/>
    </font>
    <font>
      <sz val="11"/>
      <name val="Calibri"/>
      <family val="3"/>
      <charset val="129"/>
      <scheme val="minor"/>
    </font>
    <font>
      <sz val="10"/>
      <color theme="0"/>
      <name val="굴림"/>
      <family val="3"/>
      <charset val="129"/>
    </font>
    <font>
      <sz val="11"/>
      <color indexed="8"/>
      <name val="맑은 고딕"/>
      <family val="3"/>
      <charset val="129"/>
    </font>
    <font>
      <sz val="10"/>
      <name val="Tahoma"/>
      <family val="2"/>
    </font>
    <font>
      <sz val="18"/>
      <name val="HY강M"/>
      <family val="1"/>
      <charset val="129"/>
    </font>
    <font>
      <sz val="11"/>
      <name val="HY강M"/>
      <family val="1"/>
      <charset val="129"/>
    </font>
    <font>
      <sz val="10"/>
      <color theme="1"/>
      <name val="HY강M"/>
      <family val="1"/>
      <charset val="129"/>
    </font>
    <font>
      <b/>
      <sz val="18"/>
      <name val="HY강M"/>
      <family val="1"/>
      <charset val="129"/>
    </font>
    <font>
      <b/>
      <sz val="12"/>
      <name val="HY강M"/>
      <family val="1"/>
      <charset val="129"/>
    </font>
    <font>
      <b/>
      <sz val="26"/>
      <name val="HY강M"/>
      <family val="1"/>
      <charset val="129"/>
    </font>
    <font>
      <sz val="14"/>
      <name val="돋움"/>
      <family val="3"/>
      <charset val="129"/>
    </font>
    <font>
      <sz val="12"/>
      <name val="HY강M"/>
      <family val="1"/>
      <charset val="129"/>
    </font>
    <font>
      <sz val="14"/>
      <name val="HY크리스탈M"/>
      <family val="1"/>
      <charset val="129"/>
    </font>
    <font>
      <sz val="12"/>
      <color theme="0"/>
      <name val="HY강M"/>
      <family val="1"/>
      <charset val="129"/>
    </font>
    <font>
      <b/>
      <sz val="16"/>
      <color rgb="FFFF0000"/>
      <name val="Calibri"/>
      <family val="3"/>
      <charset val="129"/>
      <scheme val="minor"/>
    </font>
    <font>
      <sz val="14"/>
      <color theme="1"/>
      <name val="Calibri"/>
      <family val="3"/>
      <charset val="129"/>
      <scheme val="minor"/>
    </font>
    <font>
      <sz val="11"/>
      <name val="Trebuchet MS"/>
      <family val="2"/>
    </font>
    <font>
      <sz val="14"/>
      <name val="Calibri"/>
      <family val="3"/>
      <charset val="129"/>
      <scheme val="minor"/>
    </font>
    <font>
      <b/>
      <sz val="11"/>
      <name val="Calibri"/>
      <family val="3"/>
      <charset val="129"/>
      <scheme val="minor"/>
    </font>
    <font>
      <sz val="10"/>
      <name val="MS Sans Serif"/>
      <family val="2"/>
    </font>
    <font>
      <sz val="11"/>
      <color theme="0"/>
      <name val="Calibri"/>
      <family val="3"/>
      <charset val="129"/>
      <scheme val="minor"/>
    </font>
    <font>
      <sz val="11"/>
      <color indexed="9"/>
      <name val="맑은 고딕"/>
      <family val="3"/>
      <charset val="129"/>
    </font>
    <font>
      <sz val="11"/>
      <color rgb="FFFF0000"/>
      <name val="Calibri"/>
      <family val="3"/>
      <charset val="129"/>
      <scheme val="minor"/>
    </font>
    <font>
      <sz val="11"/>
      <color indexed="10"/>
      <name val="맑은 고딕"/>
      <family val="3"/>
      <charset val="129"/>
    </font>
    <font>
      <b/>
      <sz val="11"/>
      <color rgb="FFFA7D00"/>
      <name val="Calibri"/>
      <family val="3"/>
      <charset val="129"/>
      <scheme val="minor"/>
    </font>
    <font>
      <b/>
      <sz val="11"/>
      <color indexed="52"/>
      <name val="맑은 고딕"/>
      <family val="3"/>
      <charset val="129"/>
    </font>
    <font>
      <sz val="11"/>
      <color rgb="FF9C0006"/>
      <name val="Calibri"/>
      <family val="3"/>
      <charset val="129"/>
      <scheme val="minor"/>
    </font>
    <font>
      <sz val="11"/>
      <color indexed="20"/>
      <name val="맑은 고딕"/>
      <family val="3"/>
      <charset val="129"/>
    </font>
    <font>
      <sz val="11"/>
      <color rgb="FF9C6500"/>
      <name val="Calibri"/>
      <family val="3"/>
      <charset val="129"/>
      <scheme val="minor"/>
    </font>
    <font>
      <sz val="11"/>
      <color indexed="60"/>
      <name val="맑은 고딕"/>
      <family val="3"/>
      <charset val="129"/>
    </font>
    <font>
      <i/>
      <sz val="11"/>
      <color rgb="FF7F7F7F"/>
      <name val="Calibri"/>
      <family val="3"/>
      <charset val="129"/>
      <scheme val="minor"/>
    </font>
    <font>
      <i/>
      <sz val="11"/>
      <color indexed="23"/>
      <name val="맑은 고딕"/>
      <family val="3"/>
      <charset val="129"/>
    </font>
    <font>
      <b/>
      <sz val="11"/>
      <color theme="0"/>
      <name val="Calibri"/>
      <family val="3"/>
      <charset val="129"/>
      <scheme val="minor"/>
    </font>
    <font>
      <b/>
      <sz val="11"/>
      <color indexed="9"/>
      <name val="맑은 고딕"/>
      <family val="3"/>
      <charset val="129"/>
    </font>
    <font>
      <sz val="11"/>
      <color rgb="FFFA7D00"/>
      <name val="Calibri"/>
      <family val="3"/>
      <charset val="129"/>
      <scheme val="minor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rgb="FF3F3F76"/>
      <name val="Calibri"/>
      <family val="3"/>
      <charset val="129"/>
      <scheme val="minor"/>
    </font>
    <font>
      <sz val="11"/>
      <color indexed="62"/>
      <name val="맑은 고딕"/>
      <family val="3"/>
      <charset val="129"/>
    </font>
    <font>
      <b/>
      <sz val="15"/>
      <color theme="3"/>
      <name val="Calibri"/>
      <family val="3"/>
      <charset val="129"/>
      <scheme val="minor"/>
    </font>
    <font>
      <b/>
      <sz val="15"/>
      <color indexed="56"/>
      <name val="맑은 고딕"/>
      <family val="3"/>
      <charset val="129"/>
    </font>
    <font>
      <b/>
      <sz val="13"/>
      <color theme="3"/>
      <name val="Calibri"/>
      <family val="3"/>
      <charset val="129"/>
      <scheme val="minor"/>
    </font>
    <font>
      <b/>
      <sz val="13"/>
      <color indexed="56"/>
      <name val="맑은 고딕"/>
      <family val="3"/>
      <charset val="129"/>
    </font>
    <font>
      <b/>
      <sz val="11"/>
      <color theme="3"/>
      <name val="Calibri"/>
      <family val="3"/>
      <charset val="129"/>
      <scheme val="minor"/>
    </font>
    <font>
      <b/>
      <sz val="11"/>
      <color indexed="56"/>
      <name val="맑은 고딕"/>
      <family val="3"/>
      <charset val="129"/>
    </font>
    <font>
      <b/>
      <sz val="18"/>
      <color theme="3"/>
      <name val="Cambria"/>
      <family val="3"/>
      <charset val="129"/>
      <scheme val="major"/>
    </font>
    <font>
      <b/>
      <sz val="18"/>
      <color indexed="56"/>
      <name val="맑은 고딕"/>
      <family val="3"/>
      <charset val="129"/>
    </font>
    <font>
      <sz val="11"/>
      <color rgb="FF006100"/>
      <name val="Calibri"/>
      <family val="3"/>
      <charset val="129"/>
      <scheme val="minor"/>
    </font>
    <font>
      <sz val="11"/>
      <color indexed="17"/>
      <name val="맑은 고딕"/>
      <family val="3"/>
      <charset val="129"/>
    </font>
    <font>
      <b/>
      <sz val="11"/>
      <color rgb="FF3F3F3F"/>
      <name val="Calibri"/>
      <family val="3"/>
      <charset val="129"/>
      <scheme val="minor"/>
    </font>
    <font>
      <b/>
      <sz val="11"/>
      <color indexed="63"/>
      <name val="맑은 고딕"/>
      <family val="3"/>
      <charset val="129"/>
    </font>
    <font>
      <sz val="8"/>
      <name val="Calibri"/>
      <family val="2"/>
      <charset val="129"/>
      <scheme val="minor"/>
    </font>
    <font>
      <b/>
      <sz val="40"/>
      <color theme="1"/>
      <name val="Calibri"/>
      <family val="3"/>
      <charset val="129"/>
      <scheme val="minor"/>
    </font>
    <font>
      <b/>
      <sz val="14"/>
      <color theme="1"/>
      <name val="Calibri"/>
      <family val="3"/>
      <charset val="129"/>
      <scheme val="minor"/>
    </font>
    <font>
      <b/>
      <sz val="15"/>
      <color theme="1"/>
      <name val="Calibri"/>
      <family val="3"/>
      <charset val="129"/>
      <scheme val="minor"/>
    </font>
    <font>
      <sz val="15"/>
      <color theme="1"/>
      <name val="Calibri"/>
      <family val="3"/>
      <charset val="129"/>
      <scheme val="minor"/>
    </font>
    <font>
      <sz val="15"/>
      <name val="Calibri"/>
      <family val="3"/>
      <charset val="129"/>
      <scheme val="minor"/>
    </font>
    <font>
      <b/>
      <sz val="15"/>
      <name val="Calibri"/>
      <family val="3"/>
      <charset val="129"/>
      <scheme val="minor"/>
    </font>
    <font>
      <b/>
      <i/>
      <sz val="14"/>
      <color theme="1"/>
      <name val="Calibri"/>
      <family val="3"/>
      <charset val="129"/>
      <scheme val="minor"/>
    </font>
    <font>
      <b/>
      <sz val="16"/>
      <color theme="1"/>
      <name val="Calibri"/>
      <family val="3"/>
      <charset val="129"/>
      <scheme val="minor"/>
    </font>
    <font>
      <sz val="16"/>
      <color theme="1"/>
      <name val="Calibri"/>
      <family val="3"/>
      <charset val="129"/>
      <scheme val="minor"/>
    </font>
    <font>
      <b/>
      <sz val="19"/>
      <color theme="1"/>
      <name val="Calibri"/>
      <family val="3"/>
      <charset val="129"/>
      <scheme val="minor"/>
    </font>
    <font>
      <sz val="19"/>
      <color theme="1"/>
      <name val="Calibri"/>
      <family val="3"/>
      <charset val="129"/>
      <scheme val="minor"/>
    </font>
    <font>
      <sz val="15"/>
      <name val="Tahoma"/>
      <family val="2"/>
    </font>
    <font>
      <sz val="48"/>
      <color theme="1"/>
      <name val="Calibri"/>
      <family val="3"/>
      <charset val="129"/>
      <scheme val="minor"/>
    </font>
    <font>
      <sz val="48"/>
      <color theme="1"/>
      <name val="Mistral"/>
      <family val="4"/>
    </font>
    <font>
      <b/>
      <i/>
      <sz val="18"/>
      <color theme="1"/>
      <name val="Calibri"/>
      <family val="3"/>
      <charset val="129"/>
      <scheme val="minor"/>
    </font>
    <font>
      <b/>
      <sz val="18"/>
      <color theme="1"/>
      <name val="Calibri"/>
      <family val="3"/>
      <charset val="129"/>
      <scheme val="minor"/>
    </font>
    <font>
      <sz val="16"/>
      <name val="Tahoma"/>
      <family val="2"/>
    </font>
    <font>
      <sz val="22"/>
      <name val="Tahoma"/>
      <family val="2"/>
    </font>
    <font>
      <i/>
      <sz val="36"/>
      <name val="Tahoma"/>
      <family val="2"/>
    </font>
    <font>
      <b/>
      <sz val="24"/>
      <name val="Tahoma"/>
      <family val="2"/>
    </font>
    <font>
      <sz val="24"/>
      <name val="Tahoma"/>
      <family val="2"/>
    </font>
    <font>
      <b/>
      <sz val="18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9"/>
      <name val="Tahoma"/>
      <family val="2"/>
    </font>
    <font>
      <i/>
      <sz val="12"/>
      <name val="Tahoma"/>
      <family val="2"/>
    </font>
    <font>
      <sz val="14"/>
      <name val="Tahoma"/>
      <family val="2"/>
    </font>
    <font>
      <sz val="12"/>
      <color rgb="FFFF0000"/>
      <name val="Tahoma"/>
      <family val="2"/>
    </font>
    <font>
      <sz val="12"/>
      <color rgb="FFC00000"/>
      <name val="Tahoma"/>
      <family val="2"/>
    </font>
    <font>
      <sz val="12"/>
      <color theme="0"/>
      <name val="Tahoma"/>
      <family val="2"/>
    </font>
    <font>
      <sz val="24"/>
      <color theme="0"/>
      <name val="Tahoma"/>
      <family val="2"/>
    </font>
    <font>
      <sz val="24"/>
      <color theme="1" tint="0.249977111117893"/>
      <name val="Tahoma"/>
      <family val="2"/>
    </font>
    <font>
      <sz val="12"/>
      <color theme="1" tint="0.249977111117893"/>
      <name val="Tahoma"/>
      <family val="2"/>
    </font>
    <font>
      <sz val="14"/>
      <color theme="1"/>
      <name val="Tahoma"/>
      <family val="2"/>
    </font>
    <font>
      <sz val="14"/>
      <color theme="1" tint="0.249977111117893"/>
      <name val="Tahoma"/>
      <family val="2"/>
    </font>
    <font>
      <i/>
      <sz val="12"/>
      <color theme="1"/>
      <name val="Tahoma"/>
      <family val="2"/>
    </font>
    <font>
      <sz val="24"/>
      <color theme="1"/>
      <name val="Tahoma"/>
      <family val="2"/>
    </font>
    <font>
      <i/>
      <sz val="12"/>
      <color theme="1" tint="0.249977111117893"/>
      <name val="Tahoma"/>
      <family val="2"/>
    </font>
    <font>
      <b/>
      <sz val="24"/>
      <color theme="1"/>
      <name val="Tahoma"/>
      <family val="2"/>
    </font>
    <font>
      <b/>
      <sz val="14"/>
      <color theme="1" tint="0.249977111117893"/>
      <name val="Tahoma"/>
      <family val="2"/>
    </font>
    <font>
      <sz val="16"/>
      <color rgb="FFFF0000"/>
      <name val="Tahoma"/>
      <family val="2"/>
    </font>
    <font>
      <sz val="11"/>
      <name val="Tahoma"/>
      <family val="2"/>
    </font>
    <font>
      <b/>
      <sz val="14"/>
      <name val="Tahoma"/>
      <family val="2"/>
    </font>
    <font>
      <sz val="18"/>
      <name val="Tahoma"/>
      <family val="2"/>
    </font>
    <font>
      <sz val="18"/>
      <color theme="1" tint="0.249977111117893"/>
      <name val="Tahoma"/>
      <family val="2"/>
    </font>
    <font>
      <sz val="20"/>
      <color theme="1"/>
      <name val="Tahoma"/>
      <family val="2"/>
    </font>
    <font>
      <sz val="10"/>
      <color theme="1" tint="0.249977111117893"/>
      <name val="Tahoma"/>
      <family val="2"/>
    </font>
    <font>
      <sz val="10"/>
      <color theme="1"/>
      <name val="Tahoma"/>
      <family val="2"/>
    </font>
    <font>
      <b/>
      <sz val="11"/>
      <name val="Tahoma"/>
      <family val="2"/>
    </font>
    <font>
      <b/>
      <sz val="11"/>
      <name val="맑은 고딕"/>
      <family val="3"/>
      <charset val="129"/>
    </font>
    <font>
      <sz val="20"/>
      <name val="Tahoma"/>
      <family val="2"/>
    </font>
    <font>
      <b/>
      <u/>
      <sz val="20"/>
      <name val="Tahoma"/>
      <family val="2"/>
    </font>
    <font>
      <b/>
      <sz val="20"/>
      <name val="Tahoma"/>
      <family val="2"/>
    </font>
    <font>
      <sz val="20"/>
      <color theme="1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6"/>
      <color theme="1"/>
      <name val="Tahoma"/>
      <family val="2"/>
    </font>
    <font>
      <b/>
      <i/>
      <u/>
      <sz val="48"/>
      <name val="Tahoma"/>
      <family val="2"/>
    </font>
    <font>
      <sz val="20"/>
      <name val="돋움"/>
      <family val="3"/>
      <charset val="129"/>
    </font>
    <font>
      <b/>
      <sz val="11"/>
      <color rgb="FF0000FF"/>
      <name val="Calibri"/>
      <family val="3"/>
      <charset val="129"/>
      <scheme val="minor"/>
    </font>
    <font>
      <sz val="18"/>
      <name val="Tahoma"/>
      <family val="2"/>
    </font>
    <font>
      <b/>
      <sz val="18"/>
      <name val="Tahoma"/>
      <family val="2"/>
    </font>
    <font>
      <b/>
      <u/>
      <sz val="18"/>
      <name val="Tahoma"/>
      <family val="2"/>
    </font>
    <font>
      <sz val="22"/>
      <name val="Tahoma"/>
      <family val="2"/>
    </font>
    <font>
      <b/>
      <u/>
      <sz val="22"/>
      <name val="Tahoma"/>
      <family val="2"/>
    </font>
    <font>
      <sz val="11"/>
      <name val="돋움"/>
      <family val="2"/>
      <charset val="129"/>
    </font>
    <font>
      <sz val="18"/>
      <color theme="1" tint="0.249977111117893"/>
      <name val="Tahoma"/>
      <family val="2"/>
    </font>
    <font>
      <sz val="16"/>
      <name val="Tahoma"/>
      <family val="2"/>
    </font>
    <font>
      <sz val="16"/>
      <color theme="1"/>
      <name val="Tahoma"/>
      <family val="2"/>
    </font>
    <font>
      <sz val="16"/>
      <color rgb="FFFF0000"/>
      <name val="Tahoma"/>
      <family val="2"/>
    </font>
    <font>
      <sz val="10"/>
      <color rgb="FFFF0000"/>
      <name val="Tahoma"/>
      <family val="2"/>
    </font>
    <font>
      <sz val="11"/>
      <name val="Tahoma"/>
      <family val="2"/>
    </font>
    <font>
      <u val="double"/>
      <sz val="11"/>
      <name val="Tahoma"/>
      <family val="2"/>
    </font>
    <font>
      <u val="double"/>
      <sz val="56"/>
      <name val="Tahoma"/>
      <family val="2"/>
    </font>
    <font>
      <sz val="14"/>
      <color rgb="FF333333"/>
      <name val="Inherit"/>
      <family val="2"/>
    </font>
    <font>
      <sz val="20"/>
      <name val="Tahoma"/>
      <family val="2"/>
    </font>
    <font>
      <b/>
      <u/>
      <sz val="20"/>
      <name val="Tahoma"/>
      <family val="2"/>
    </font>
    <font>
      <b/>
      <sz val="20"/>
      <name val="Tahoma"/>
      <family val="2"/>
    </font>
    <font>
      <sz val="18"/>
      <name val="Tahoma"/>
      <family val="2"/>
    </font>
    <font>
      <sz val="18"/>
      <color theme="1" tint="0.249977111117893"/>
      <name val="Tahoma"/>
      <family val="2"/>
    </font>
    <font>
      <sz val="20"/>
      <color theme="1"/>
      <name val="Tahoma"/>
      <family val="2"/>
    </font>
    <font>
      <sz val="18"/>
      <color theme="1"/>
      <name val="Tahoma"/>
      <family val="2"/>
    </font>
    <font>
      <sz val="12"/>
      <color theme="1"/>
      <name val="Tahoma"/>
      <family val="2"/>
    </font>
    <font>
      <sz val="12"/>
      <name val="Tahoma"/>
      <family val="2"/>
    </font>
    <font>
      <b/>
      <sz val="20"/>
      <name val="돋움"/>
      <family val="3"/>
      <charset val="129"/>
    </font>
    <font>
      <b/>
      <u/>
      <sz val="16"/>
      <name val="Tahoma"/>
      <family val="2"/>
    </font>
    <font>
      <i/>
      <sz val="28"/>
      <name val="Tahoma"/>
      <family val="2"/>
    </font>
    <font>
      <b/>
      <sz val="11"/>
      <color rgb="FFFF0000"/>
      <name val="돋움"/>
      <family val="3"/>
      <charset val="129"/>
    </font>
    <font>
      <sz val="10"/>
      <name val="돋움"/>
      <family val="3"/>
      <charset val="129"/>
    </font>
    <font>
      <u/>
      <sz val="24"/>
      <name val="HY수평선M"/>
      <family val="1"/>
      <charset val="129"/>
    </font>
    <font>
      <b/>
      <sz val="14"/>
      <color theme="1" tint="0.249977111117893"/>
      <name val="굴림"/>
      <family val="3"/>
      <charset val="129"/>
    </font>
    <font>
      <sz val="16"/>
      <color theme="1" tint="0.249977111117893"/>
      <name val="Tahoma"/>
      <family val="2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b/>
      <sz val="10"/>
      <name val="Arial Unicode MS"/>
      <family val="3"/>
      <charset val="129"/>
    </font>
    <font>
      <sz val="11"/>
      <color theme="1"/>
      <name val="Arial Unicode MS"/>
      <family val="3"/>
      <charset val="129"/>
    </font>
    <font>
      <b/>
      <sz val="11"/>
      <color theme="1"/>
      <name val="Arial Unicode MS"/>
      <family val="3"/>
      <charset val="129"/>
    </font>
    <font>
      <b/>
      <sz val="11"/>
      <name val="돋움"/>
      <family val="3"/>
      <charset val="129"/>
    </font>
    <font>
      <b/>
      <sz val="10"/>
      <color rgb="FF002060"/>
      <name val="Tahoma"/>
      <family val="2"/>
    </font>
    <font>
      <b/>
      <sz val="16"/>
      <name val="Tahoma"/>
      <family val="2"/>
    </font>
    <font>
      <b/>
      <sz val="9"/>
      <name val="Calibri"/>
      <family val="3"/>
      <charset val="129"/>
      <scheme val="minor"/>
    </font>
    <font>
      <b/>
      <sz val="10"/>
      <name val="Calibri"/>
      <family val="3"/>
      <charset val="129"/>
      <scheme val="minor"/>
    </font>
    <font>
      <b/>
      <sz val="10"/>
      <color indexed="8"/>
      <name val="Calibri"/>
      <family val="3"/>
      <charset val="129"/>
      <scheme val="minor"/>
    </font>
    <font>
      <u val="double"/>
      <sz val="14"/>
      <name val="Tahoma"/>
      <family val="2"/>
    </font>
    <font>
      <i/>
      <sz val="18"/>
      <name val="Tahoma"/>
      <family val="2"/>
    </font>
    <font>
      <sz val="12"/>
      <name val="HY크리스탈M"/>
      <family val="1"/>
      <charset val="129"/>
    </font>
    <font>
      <sz val="12"/>
      <name val="돋움"/>
      <family val="3"/>
      <charset val="129"/>
    </font>
    <font>
      <b/>
      <sz val="12"/>
      <name val="돋움"/>
      <family val="3"/>
      <charset val="129"/>
    </font>
    <font>
      <sz val="8"/>
      <name val="Calibri"/>
      <family val="3"/>
      <charset val="129"/>
      <scheme val="minor"/>
    </font>
    <font>
      <b/>
      <i/>
      <u/>
      <sz val="72"/>
      <name val="Tahoma"/>
      <family val="2"/>
    </font>
    <font>
      <b/>
      <sz val="12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9"/>
      <color theme="1"/>
      <name val="Tahoma"/>
      <family val="2"/>
    </font>
    <font>
      <sz val="9"/>
      <color indexed="8"/>
      <name val="Tahoma"/>
      <family val="2"/>
    </font>
    <font>
      <sz val="9"/>
      <name val="돋움"/>
      <family val="3"/>
      <charset val="129"/>
    </font>
    <font>
      <sz val="8"/>
      <name val="Tahoma"/>
      <family val="2"/>
    </font>
    <font>
      <sz val="8"/>
      <color indexed="8"/>
      <name val="Tahoma"/>
      <family val="2"/>
    </font>
    <font>
      <b/>
      <sz val="10"/>
      <name val="Tahoma"/>
      <family val="2"/>
    </font>
    <font>
      <b/>
      <sz val="11"/>
      <color theme="1"/>
      <name val="Tahoma"/>
      <family val="2"/>
    </font>
    <font>
      <sz val="14"/>
      <name val="Tahoma"/>
      <family val="1"/>
    </font>
    <font>
      <sz val="14"/>
      <name val="Tahoma"/>
      <family val="1"/>
      <charset val="129"/>
    </font>
    <font>
      <sz val="14"/>
      <name val="Tahoma"/>
      <family val="2"/>
      <charset val="129"/>
    </font>
    <font>
      <sz val="10"/>
      <name val="굴림체"/>
      <family val="3"/>
      <charset val="129"/>
    </font>
    <font>
      <sz val="11"/>
      <color theme="1"/>
      <name val="돋움"/>
      <family val="2"/>
      <charset val="129"/>
    </font>
    <font>
      <sz val="11"/>
      <color theme="1"/>
      <name val="Tahoma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Tahoma"/>
      <family val="2"/>
      <charset val="129"/>
    </font>
    <font>
      <b/>
      <sz val="12"/>
      <color theme="1"/>
      <name val="Tahoma"/>
      <family val="2"/>
    </font>
    <font>
      <sz val="11"/>
      <color rgb="FF006100"/>
      <name val="Calibri"/>
      <family val="2"/>
      <charset val="129"/>
      <scheme val="minor"/>
    </font>
    <font>
      <sz val="22"/>
      <color theme="1"/>
      <name val="Tahoma"/>
      <family val="2"/>
    </font>
    <font>
      <sz val="22"/>
      <color theme="1"/>
      <name val="맑은 고딕"/>
      <family val="3"/>
      <charset val="129"/>
    </font>
    <font>
      <sz val="11"/>
      <color theme="1"/>
      <name val="돋움"/>
      <family val="3"/>
      <charset val="129"/>
    </font>
    <font>
      <b/>
      <u/>
      <sz val="24"/>
      <name val="Tahoma"/>
      <family val="2"/>
    </font>
    <font>
      <b/>
      <sz val="12"/>
      <color rgb="FFFFFFFF"/>
      <name val="Tahoma"/>
      <family val="2"/>
    </font>
    <font>
      <b/>
      <sz val="12"/>
      <color theme="1" tint="0.249977111117893"/>
      <name val="Tahoma"/>
      <family val="2"/>
    </font>
    <font>
      <sz val="12"/>
      <color theme="1" tint="0.249977111117893"/>
      <name val="굴림"/>
      <family val="3"/>
      <charset val="129"/>
    </font>
    <font>
      <b/>
      <sz val="12"/>
      <color theme="1" tint="0.249977111117893"/>
      <name val="굴림"/>
      <family val="3"/>
      <charset val="129"/>
    </font>
    <font>
      <b/>
      <sz val="28"/>
      <color indexed="22"/>
      <name val="Tahoma"/>
      <family val="2"/>
    </font>
    <font>
      <b/>
      <sz val="28"/>
      <name val="Tahoma"/>
      <family val="2"/>
    </font>
    <font>
      <b/>
      <sz val="28"/>
      <color theme="1"/>
      <name val="Tahoma"/>
      <family val="2"/>
    </font>
    <font>
      <b/>
      <sz val="26"/>
      <name val="Tahoma"/>
      <family val="2"/>
    </font>
    <font>
      <b/>
      <sz val="22"/>
      <name val="Tahoma"/>
      <family val="2"/>
    </font>
    <font>
      <sz val="20"/>
      <color rgb="FF000000"/>
      <name val="Microsoft JhengHei"/>
      <family val="2"/>
    </font>
    <font>
      <u/>
      <sz val="16"/>
      <name val="Tahoma"/>
      <family val="2"/>
    </font>
  </fonts>
  <fills count="7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88">
    <xf numFmtId="0" fontId="0" fillId="0" borderId="0"/>
    <xf numFmtId="165" fontId="12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2" fillId="0" borderId="0"/>
    <xf numFmtId="0" fontId="11" fillId="0" borderId="0">
      <alignment vertical="center"/>
    </xf>
    <xf numFmtId="0" fontId="12" fillId="0" borderId="0"/>
    <xf numFmtId="0" fontId="11" fillId="0" borderId="0">
      <alignment vertical="center"/>
    </xf>
    <xf numFmtId="0" fontId="12" fillId="0" borderId="0"/>
    <xf numFmtId="0" fontId="1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5" fontId="12" fillId="0" borderId="0" applyFont="0" applyFill="0" applyBorder="0" applyAlignment="0" applyProtection="0"/>
    <xf numFmtId="0" fontId="9" fillId="0" borderId="0">
      <alignment vertical="center"/>
    </xf>
    <xf numFmtId="0" fontId="8" fillId="0" borderId="0">
      <alignment vertical="center"/>
    </xf>
    <xf numFmtId="165" fontId="12" fillId="0" borderId="0" applyFont="0" applyFill="0" applyBorder="0" applyAlignment="0" applyProtection="0">
      <alignment vertical="center"/>
    </xf>
    <xf numFmtId="0" fontId="25" fillId="0" borderId="0"/>
    <xf numFmtId="165" fontId="25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12" fillId="0" borderId="0">
      <alignment vertical="center"/>
    </xf>
    <xf numFmtId="0" fontId="27" fillId="0" borderId="0"/>
    <xf numFmtId="0" fontId="27" fillId="0" borderId="0"/>
    <xf numFmtId="0" fontId="27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7" fillId="0" borderId="0"/>
    <xf numFmtId="0" fontId="16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7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0" fillId="0" borderId="0" applyFont="0" applyFill="0" applyBorder="0" applyAlignment="0" applyProtection="0"/>
    <xf numFmtId="0" fontId="31" fillId="0" borderId="0"/>
    <xf numFmtId="0" fontId="27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176" fontId="32" fillId="0" borderId="0" applyFill="0" applyBorder="0" applyProtection="0">
      <alignment vertical="center"/>
    </xf>
    <xf numFmtId="175" fontId="33" fillId="0" borderId="0" applyFill="0" applyBorder="0" applyProtection="0">
      <alignment vertical="center"/>
      <protection locked="0"/>
    </xf>
    <xf numFmtId="0" fontId="34" fillId="0" borderId="47" applyNumberFormat="0" applyAlignment="0" applyProtection="0">
      <alignment horizontal="left" vertical="center"/>
    </xf>
    <xf numFmtId="0" fontId="34" fillId="0" borderId="8">
      <alignment horizontal="left" vertical="center"/>
    </xf>
    <xf numFmtId="0" fontId="26" fillId="0" borderId="0" applyFont="0" applyFill="0" applyBorder="0" applyAlignment="0" applyProtection="0"/>
    <xf numFmtId="0" fontId="28" fillId="0" borderId="0"/>
    <xf numFmtId="164" fontId="12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7" fillId="0" borderId="0">
      <alignment vertical="center"/>
    </xf>
    <xf numFmtId="165" fontId="7" fillId="0" borderId="0" applyFont="0" applyFill="0" applyBorder="0" applyAlignment="0" applyProtection="0">
      <alignment vertical="center"/>
    </xf>
    <xf numFmtId="165" fontId="7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>
      <alignment vertical="center"/>
    </xf>
    <xf numFmtId="165" fontId="12" fillId="0" borderId="0" applyFont="0" applyFill="0" applyBorder="0" applyAlignment="0" applyProtection="0"/>
    <xf numFmtId="165" fontId="7" fillId="0" borderId="0" applyFont="0" applyFill="0" applyBorder="0" applyAlignment="0" applyProtection="0">
      <alignment vertical="center"/>
    </xf>
    <xf numFmtId="165" fontId="7" fillId="0" borderId="0" applyFont="0" applyFill="0" applyBorder="0" applyAlignment="0" applyProtection="0">
      <alignment vertical="center"/>
    </xf>
    <xf numFmtId="165" fontId="7" fillId="0" borderId="0" applyFont="0" applyFill="0" applyBorder="0" applyAlignment="0" applyProtection="0">
      <alignment vertical="center"/>
    </xf>
    <xf numFmtId="165" fontId="7" fillId="0" borderId="0" applyFont="0" applyFill="0" applyBorder="0" applyAlignment="0" applyProtection="0">
      <alignment vertical="center"/>
    </xf>
    <xf numFmtId="165" fontId="7" fillId="0" borderId="0" applyFont="0" applyFill="0" applyBorder="0" applyAlignment="0" applyProtection="0">
      <alignment vertical="center"/>
    </xf>
    <xf numFmtId="165" fontId="7" fillId="0" borderId="0" applyFon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37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7" fillId="0" borderId="0">
      <alignment vertical="center"/>
    </xf>
    <xf numFmtId="0" fontId="51" fillId="0" borderId="0">
      <alignment vertical="center"/>
    </xf>
    <xf numFmtId="41" fontId="51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178" fontId="51" fillId="0" borderId="0" applyFont="0" applyFill="0" applyBorder="0" applyAlignment="0" applyProtection="0">
      <alignment vertical="center"/>
    </xf>
    <xf numFmtId="0" fontId="54" fillId="0" borderId="0"/>
    <xf numFmtId="0" fontId="17" fillId="21" borderId="0" applyNumberFormat="0" applyBorder="0" applyAlignment="0" applyProtection="0">
      <alignment vertical="center"/>
    </xf>
    <xf numFmtId="0" fontId="37" fillId="4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37" fillId="4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37" fillId="44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7" fillId="45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37" fillId="46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37" fillId="47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37" fillId="48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7" fillId="49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37" fillId="50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37" fillId="45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37" fillId="48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37" fillId="51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6" fillId="52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6" fillId="49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6" fillId="50" borderId="0" applyNumberFormat="0" applyBorder="0" applyAlignment="0" applyProtection="0">
      <alignment vertical="center"/>
    </xf>
    <xf numFmtId="0" fontId="55" fillId="29" borderId="0" applyNumberFormat="0" applyBorder="0" applyAlignment="0" applyProtection="0">
      <alignment vertical="center"/>
    </xf>
    <xf numFmtId="0" fontId="55" fillId="32" borderId="0" applyNumberFormat="0" applyBorder="0" applyAlignment="0" applyProtection="0">
      <alignment vertical="center"/>
    </xf>
    <xf numFmtId="0" fontId="56" fillId="53" borderId="0" applyNumberFormat="0" applyBorder="0" applyAlignment="0" applyProtection="0">
      <alignment vertical="center"/>
    </xf>
    <xf numFmtId="0" fontId="55" fillId="32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6" fillId="5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56" fillId="55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56" fillId="56" borderId="0" applyNumberFormat="0" applyBorder="0" applyAlignment="0" applyProtection="0">
      <alignment vertical="center"/>
    </xf>
    <xf numFmtId="0" fontId="55" fillId="20" borderId="0" applyNumberFormat="0" applyBorder="0" applyAlignment="0" applyProtection="0">
      <alignment vertical="center"/>
    </xf>
    <xf numFmtId="0" fontId="36" fillId="13" borderId="0" applyNumberFormat="0" applyBorder="0" applyAlignment="0" applyProtection="0">
      <alignment vertical="center"/>
    </xf>
    <xf numFmtId="0" fontId="56" fillId="57" borderId="0" applyNumberFormat="0" applyBorder="0" applyAlignment="0" applyProtection="0">
      <alignment vertical="center"/>
    </xf>
    <xf numFmtId="0" fontId="55" fillId="13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6" fillId="58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6" fillId="53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33" borderId="0" applyNumberFormat="0" applyBorder="0" applyAlignment="0" applyProtection="0">
      <alignment vertical="center"/>
    </xf>
    <xf numFmtId="0" fontId="56" fillId="54" borderId="0" applyNumberFormat="0" applyBorder="0" applyAlignment="0" applyProtection="0">
      <alignment vertical="center"/>
    </xf>
    <xf numFmtId="0" fontId="55" fillId="33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6" fillId="59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9" fillId="18" borderId="66" applyNumberFormat="0" applyAlignment="0" applyProtection="0">
      <alignment vertical="center"/>
    </xf>
    <xf numFmtId="0" fontId="60" fillId="60" borderId="71" applyNumberFormat="0" applyAlignment="0" applyProtection="0">
      <alignment vertical="center"/>
    </xf>
    <xf numFmtId="0" fontId="59" fillId="18" borderId="66" applyNumberFormat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62" fillId="43" borderId="0" applyNumberFormat="0" applyBorder="0" applyAlignment="0" applyProtection="0">
      <alignment vertical="center"/>
    </xf>
    <xf numFmtId="0" fontId="61" fillId="15" borderId="0" applyNumberFormat="0" applyBorder="0" applyAlignment="0" applyProtection="0">
      <alignment vertical="center"/>
    </xf>
    <xf numFmtId="0" fontId="17" fillId="4" borderId="22" applyNumberFormat="0" applyFont="0" applyAlignment="0" applyProtection="0">
      <alignment vertical="center"/>
    </xf>
    <xf numFmtId="0" fontId="17" fillId="4" borderId="22" applyNumberFormat="0" applyFont="0" applyAlignment="0" applyProtection="0">
      <alignment vertical="center"/>
    </xf>
    <xf numFmtId="0" fontId="37" fillId="4" borderId="22" applyNumberFormat="0" applyFont="0" applyAlignment="0" applyProtection="0">
      <alignment vertical="center"/>
    </xf>
    <xf numFmtId="0" fontId="12" fillId="61" borderId="72" applyNumberFormat="0" applyFont="0" applyAlignment="0" applyProtection="0">
      <alignment vertical="center"/>
    </xf>
    <xf numFmtId="0" fontId="37" fillId="4" borderId="22" applyNumberFormat="0" applyFont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4" fillId="62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7" fillId="19" borderId="69" applyNumberFormat="0" applyAlignment="0" applyProtection="0">
      <alignment vertical="center"/>
    </xf>
    <xf numFmtId="0" fontId="68" fillId="63" borderId="73" applyNumberFormat="0" applyAlignment="0" applyProtection="0">
      <alignment vertical="center"/>
    </xf>
    <xf numFmtId="0" fontId="67" fillId="19" borderId="69" applyNumberFormat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0" fontId="69" fillId="0" borderId="68" applyNumberFormat="0" applyFill="0" applyAlignment="0" applyProtection="0">
      <alignment vertical="center"/>
    </xf>
    <xf numFmtId="0" fontId="70" fillId="0" borderId="74" applyNumberFormat="0" applyFill="0" applyAlignment="0" applyProtection="0">
      <alignment vertical="center"/>
    </xf>
    <xf numFmtId="0" fontId="69" fillId="0" borderId="68" applyNumberFormat="0" applyFill="0" applyAlignment="0" applyProtection="0">
      <alignment vertical="center"/>
    </xf>
    <xf numFmtId="0" fontId="21" fillId="0" borderId="70" applyNumberFormat="0" applyFill="0" applyAlignment="0" applyProtection="0">
      <alignment vertical="center"/>
    </xf>
    <xf numFmtId="0" fontId="71" fillId="0" borderId="75" applyNumberFormat="0" applyFill="0" applyAlignment="0" applyProtection="0">
      <alignment vertical="center"/>
    </xf>
    <xf numFmtId="0" fontId="21" fillId="0" borderId="70" applyNumberFormat="0" applyFill="0" applyAlignment="0" applyProtection="0">
      <alignment vertical="center"/>
    </xf>
    <xf numFmtId="0" fontId="72" fillId="17" borderId="66" applyNumberFormat="0" applyAlignment="0" applyProtection="0">
      <alignment vertical="center"/>
    </xf>
    <xf numFmtId="0" fontId="73" fillId="47" borderId="71" applyNumberFormat="0" applyAlignment="0" applyProtection="0">
      <alignment vertical="center"/>
    </xf>
    <xf numFmtId="0" fontId="72" fillId="17" borderId="66" applyNumberFormat="0" applyAlignment="0" applyProtection="0">
      <alignment vertical="center"/>
    </xf>
    <xf numFmtId="0" fontId="74" fillId="0" borderId="63" applyNumberFormat="0" applyFill="0" applyAlignment="0" applyProtection="0">
      <alignment vertical="center"/>
    </xf>
    <xf numFmtId="0" fontId="75" fillId="0" borderId="76" applyNumberFormat="0" applyFill="0" applyAlignment="0" applyProtection="0">
      <alignment vertical="center"/>
    </xf>
    <xf numFmtId="0" fontId="74" fillId="0" borderId="63" applyNumberFormat="0" applyFill="0" applyAlignment="0" applyProtection="0">
      <alignment vertical="center"/>
    </xf>
    <xf numFmtId="0" fontId="76" fillId="0" borderId="64" applyNumberFormat="0" applyFill="0" applyAlignment="0" applyProtection="0">
      <alignment vertical="center"/>
    </xf>
    <xf numFmtId="0" fontId="77" fillId="0" borderId="77" applyNumberFormat="0" applyFill="0" applyAlignment="0" applyProtection="0">
      <alignment vertical="center"/>
    </xf>
    <xf numFmtId="0" fontId="76" fillId="0" borderId="64" applyNumberFormat="0" applyFill="0" applyAlignment="0" applyProtection="0">
      <alignment vertical="center"/>
    </xf>
    <xf numFmtId="0" fontId="78" fillId="0" borderId="65" applyNumberFormat="0" applyFill="0" applyAlignment="0" applyProtection="0">
      <alignment vertical="center"/>
    </xf>
    <xf numFmtId="0" fontId="79" fillId="0" borderId="78" applyNumberFormat="0" applyFill="0" applyAlignment="0" applyProtection="0">
      <alignment vertical="center"/>
    </xf>
    <xf numFmtId="0" fontId="78" fillId="0" borderId="65" applyNumberFormat="0" applyFill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3" fillId="44" borderId="0" applyNumberFormat="0" applyBorder="0" applyAlignment="0" applyProtection="0">
      <alignment vertical="center"/>
    </xf>
    <xf numFmtId="0" fontId="82" fillId="14" borderId="0" applyNumberFormat="0" applyBorder="0" applyAlignment="0" applyProtection="0">
      <alignment vertical="center"/>
    </xf>
    <xf numFmtId="0" fontId="84" fillId="18" borderId="67" applyNumberFormat="0" applyAlignment="0" applyProtection="0">
      <alignment vertical="center"/>
    </xf>
    <xf numFmtId="0" fontId="85" fillId="60" borderId="79" applyNumberFormat="0" applyAlignment="0" applyProtection="0">
      <alignment vertical="center"/>
    </xf>
    <xf numFmtId="0" fontId="84" fillId="18" borderId="67" applyNumberFormat="0" applyAlignment="0" applyProtection="0">
      <alignment vertical="center"/>
    </xf>
    <xf numFmtId="178" fontId="12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22" fillId="0" borderId="0"/>
    <xf numFmtId="41" fontId="37" fillId="0" borderId="0" applyFont="0" applyFill="0" applyBorder="0" applyAlignment="0" applyProtection="0">
      <alignment vertical="center"/>
    </xf>
    <xf numFmtId="0" fontId="75" fillId="0" borderId="76" applyNumberFormat="0" applyFill="0" applyAlignment="0" applyProtection="0">
      <alignment vertical="center"/>
    </xf>
    <xf numFmtId="0" fontId="77" fillId="0" borderId="77" applyNumberFormat="0" applyFill="0" applyAlignment="0" applyProtection="0">
      <alignment vertical="center"/>
    </xf>
    <xf numFmtId="178" fontId="37" fillId="0" borderId="0" applyFont="0" applyFill="0" applyBorder="0" applyAlignment="0" applyProtection="0">
      <alignment vertical="center"/>
    </xf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3" fillId="0" borderId="0">
      <alignment vertical="center"/>
    </xf>
    <xf numFmtId="0" fontId="2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0" fontId="198" fillId="0" borderId="0"/>
    <xf numFmtId="0" fontId="216" fillId="14" borderId="0" applyNumberFormat="0" applyBorder="0" applyAlignment="0" applyProtection="0">
      <alignment vertical="center"/>
    </xf>
    <xf numFmtId="0" fontId="1" fillId="0" borderId="0">
      <alignment vertical="center"/>
    </xf>
    <xf numFmtId="165" fontId="1" fillId="0" borderId="0" applyFont="0" applyFill="0" applyBorder="0" applyAlignment="0" applyProtection="0">
      <alignment vertical="center"/>
    </xf>
  </cellStyleXfs>
  <cellXfs count="1721">
    <xf numFmtId="0" fontId="0" fillId="0" borderId="0" xfId="0"/>
    <xf numFmtId="165" fontId="0" fillId="0" borderId="0" xfId="1" applyFont="1"/>
    <xf numFmtId="0" fontId="0" fillId="0" borderId="0" xfId="0" applyAlignment="1">
      <alignment horizontal="center" vertical="center"/>
    </xf>
    <xf numFmtId="165" fontId="39" fillId="0" borderId="0" xfId="1" applyFont="1" applyAlignment="1">
      <alignment horizontal="center" vertical="center"/>
    </xf>
    <xf numFmtId="0" fontId="42" fillId="0" borderId="0" xfId="0" applyFont="1" applyAlignment="1">
      <alignment vertical="center"/>
    </xf>
    <xf numFmtId="165" fontId="39" fillId="0" borderId="0" xfId="1" applyFont="1"/>
    <xf numFmtId="168" fontId="39" fillId="0" borderId="0" xfId="1" applyNumberFormat="1" applyFont="1" applyAlignment="1">
      <alignment horizontal="center" vertical="center"/>
    </xf>
    <xf numFmtId="0" fontId="39" fillId="0" borderId="0" xfId="0" applyFont="1"/>
    <xf numFmtId="0" fontId="40" fillId="0" borderId="0" xfId="0" applyFont="1"/>
    <xf numFmtId="0" fontId="40" fillId="0" borderId="0" xfId="0" applyFont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center"/>
    </xf>
    <xf numFmtId="165" fontId="45" fillId="0" borderId="0" xfId="1" applyFont="1" applyAlignment="1">
      <alignment horizontal="right"/>
    </xf>
    <xf numFmtId="165" fontId="45" fillId="0" borderId="0" xfId="1" applyFont="1" applyAlignment="1">
      <alignment horizontal="center"/>
    </xf>
    <xf numFmtId="165" fontId="45" fillId="0" borderId="0" xfId="1" applyFont="1" applyAlignment="1">
      <alignment horizontal="center" vertical="center"/>
    </xf>
    <xf numFmtId="0" fontId="45" fillId="0" borderId="0" xfId="0" quotePrefix="1" applyFont="1" applyAlignment="1">
      <alignment horizontal="center" vertical="center"/>
    </xf>
    <xf numFmtId="165" fontId="45" fillId="0" borderId="0" xfId="1" quotePrefix="1" applyFont="1" applyAlignment="1">
      <alignment horizontal="center" vertical="center"/>
    </xf>
    <xf numFmtId="0" fontId="23" fillId="0" borderId="59" xfId="0" applyFont="1" applyBorder="1" applyAlignment="1">
      <alignment horizontal="center"/>
    </xf>
    <xf numFmtId="0" fontId="45" fillId="0" borderId="0" xfId="0" applyFont="1" applyAlignment="1">
      <alignment horizontal="left" vertical="center"/>
    </xf>
    <xf numFmtId="0" fontId="45" fillId="0" borderId="0" xfId="0" applyFont="1" applyAlignment="1">
      <alignment vertical="center"/>
    </xf>
    <xf numFmtId="165" fontId="45" fillId="0" borderId="0" xfId="0" applyNumberFormat="1" applyFont="1" applyAlignment="1">
      <alignment vertical="center"/>
    </xf>
    <xf numFmtId="165" fontId="0" fillId="0" borderId="0" xfId="1" applyFont="1" applyAlignment="1">
      <alignment horizontal="center"/>
    </xf>
    <xf numFmtId="0" fontId="38" fillId="0" borderId="62" xfId="0" applyFont="1" applyBorder="1" applyAlignment="1">
      <alignment horizontal="center" vertical="center"/>
    </xf>
    <xf numFmtId="0" fontId="20" fillId="40" borderId="0" xfId="366" applyFont="1" applyFill="1" applyProtection="1">
      <alignment vertical="center"/>
      <protection hidden="1"/>
    </xf>
    <xf numFmtId="0" fontId="17" fillId="0" borderId="0" xfId="366" applyFont="1">
      <alignment vertical="center"/>
    </xf>
    <xf numFmtId="0" fontId="18" fillId="40" borderId="0" xfId="71" applyFont="1" applyFill="1" applyAlignment="1" applyProtection="1">
      <alignment vertical="center"/>
      <protection hidden="1"/>
    </xf>
    <xf numFmtId="0" fontId="18" fillId="3" borderId="0" xfId="71" applyFont="1" applyFill="1" applyAlignment="1" applyProtection="1">
      <alignment vertical="center"/>
      <protection hidden="1"/>
    </xf>
    <xf numFmtId="0" fontId="19" fillId="40" borderId="0" xfId="366" applyFont="1" applyFill="1" applyProtection="1">
      <alignment vertical="center"/>
      <protection hidden="1"/>
    </xf>
    <xf numFmtId="0" fontId="89" fillId="0" borderId="0" xfId="366" applyFont="1" applyAlignment="1">
      <alignment horizontal="left" vertical="center" indent="1"/>
    </xf>
    <xf numFmtId="0" fontId="90" fillId="2" borderId="0" xfId="366" applyFont="1" applyFill="1" applyAlignment="1">
      <alignment horizontal="left" vertical="center"/>
    </xf>
    <xf numFmtId="0" fontId="90" fillId="0" borderId="0" xfId="366" applyFont="1">
      <alignment vertical="center"/>
    </xf>
    <xf numFmtId="0" fontId="91" fillId="40" borderId="0" xfId="366" applyFont="1" applyFill="1" applyAlignment="1" applyProtection="1">
      <alignment horizontal="right" vertical="center"/>
      <protection hidden="1"/>
    </xf>
    <xf numFmtId="182" fontId="92" fillId="2" borderId="3" xfId="366" applyNumberFormat="1" applyFont="1" applyFill="1" applyBorder="1" applyAlignment="1" applyProtection="1">
      <alignment horizontal="center" vertical="center"/>
      <protection hidden="1"/>
    </xf>
    <xf numFmtId="0" fontId="90" fillId="0" borderId="0" xfId="366" applyFont="1" applyAlignment="1">
      <alignment horizontal="left" vertical="center"/>
    </xf>
    <xf numFmtId="183" fontId="92" fillId="0" borderId="83" xfId="366" applyNumberFormat="1" applyFont="1" applyBorder="1" applyAlignment="1" applyProtection="1">
      <alignment horizontal="center" vertical="center"/>
      <protection hidden="1"/>
    </xf>
    <xf numFmtId="183" fontId="92" fillId="0" borderId="0" xfId="366" applyNumberFormat="1" applyFont="1" applyAlignment="1" applyProtection="1">
      <alignment horizontal="center" vertical="center"/>
      <protection hidden="1"/>
    </xf>
    <xf numFmtId="0" fontId="89" fillId="0" borderId="0" xfId="366" applyFont="1">
      <alignment vertical="center"/>
    </xf>
    <xf numFmtId="0" fontId="90" fillId="0" borderId="0" xfId="366" applyFont="1" applyAlignment="1">
      <alignment horizontal="right" vertical="center"/>
    </xf>
    <xf numFmtId="0" fontId="92" fillId="40" borderId="0" xfId="366" applyFont="1" applyFill="1" applyAlignment="1" applyProtection="1">
      <alignment horizontal="left" vertical="center" indent="1"/>
      <protection hidden="1"/>
    </xf>
    <xf numFmtId="0" fontId="92" fillId="2" borderId="0" xfId="366" applyFont="1" applyFill="1" applyAlignment="1" applyProtection="1">
      <alignment horizontal="left" vertical="center" indent="1" shrinkToFit="1"/>
      <protection hidden="1"/>
    </xf>
    <xf numFmtId="0" fontId="50" fillId="9" borderId="62" xfId="367" applyFont="1" applyFill="1" applyBorder="1" applyAlignment="1" applyProtection="1">
      <alignment horizontal="center" vertical="center"/>
      <protection hidden="1"/>
    </xf>
    <xf numFmtId="0" fontId="50" fillId="9" borderId="62" xfId="367" applyFont="1" applyFill="1" applyBorder="1" applyAlignment="1" applyProtection="1">
      <alignment horizontal="center" vertical="center" wrapText="1"/>
      <protection hidden="1"/>
    </xf>
    <xf numFmtId="0" fontId="95" fillId="0" borderId="87" xfId="366" applyFont="1" applyBorder="1">
      <alignment vertical="center"/>
    </xf>
    <xf numFmtId="0" fontId="95" fillId="0" borderId="90" xfId="366" applyFont="1" applyBorder="1">
      <alignment vertical="center"/>
    </xf>
    <xf numFmtId="0" fontId="95" fillId="0" borderId="93" xfId="366" applyFont="1" applyBorder="1">
      <alignment vertical="center"/>
    </xf>
    <xf numFmtId="0" fontId="91" fillId="40" borderId="0" xfId="71" applyFont="1" applyFill="1" applyAlignment="1" applyProtection="1">
      <alignment horizontal="left" vertical="center"/>
      <protection hidden="1"/>
    </xf>
    <xf numFmtId="0" fontId="91" fillId="40" borderId="0" xfId="71" applyFont="1" applyFill="1" applyAlignment="1" applyProtection="1">
      <alignment horizontal="center" vertical="center"/>
      <protection hidden="1"/>
    </xf>
    <xf numFmtId="0" fontId="35" fillId="40" borderId="0" xfId="71" applyFont="1" applyFill="1" applyAlignment="1">
      <alignment vertical="center"/>
    </xf>
    <xf numFmtId="0" fontId="53" fillId="40" borderId="0" xfId="71" quotePrefix="1" applyFont="1" applyFill="1" applyAlignment="1">
      <alignment vertical="center"/>
    </xf>
    <xf numFmtId="0" fontId="35" fillId="40" borderId="0" xfId="325" applyFont="1" applyFill="1">
      <alignment vertical="center"/>
    </xf>
    <xf numFmtId="166" fontId="35" fillId="0" borderId="0" xfId="325" applyNumberFormat="1" applyFont="1">
      <alignment vertical="center"/>
    </xf>
    <xf numFmtId="0" fontId="35" fillId="0" borderId="0" xfId="325" applyFont="1">
      <alignment vertical="center"/>
    </xf>
    <xf numFmtId="0" fontId="91" fillId="40" borderId="0" xfId="367" applyFont="1" applyFill="1" applyAlignment="1" applyProtection="1">
      <alignment vertical="center"/>
      <protection hidden="1"/>
    </xf>
    <xf numFmtId="166" fontId="53" fillId="40" borderId="0" xfId="325" applyNumberFormat="1" applyFont="1" applyFill="1" applyAlignment="1">
      <alignment horizontal="left" vertical="center" wrapText="1" shrinkToFit="1"/>
    </xf>
    <xf numFmtId="0" fontId="53" fillId="40" borderId="0" xfId="325" applyFont="1" applyFill="1" applyAlignment="1">
      <alignment horizontal="left" vertical="center" wrapText="1" shrinkToFit="1"/>
    </xf>
    <xf numFmtId="0" fontId="35" fillId="0" borderId="0" xfId="366" applyFont="1">
      <alignment vertical="center"/>
    </xf>
    <xf numFmtId="0" fontId="98" fillId="40" borderId="0" xfId="71" applyFont="1" applyFill="1" applyAlignment="1" applyProtection="1">
      <alignment horizontal="left" vertical="center"/>
      <protection hidden="1"/>
    </xf>
    <xf numFmtId="0" fontId="101" fillId="0" borderId="0" xfId="366" applyFont="1">
      <alignment vertical="center"/>
    </xf>
    <xf numFmtId="0" fontId="95" fillId="0" borderId="87" xfId="366" applyFont="1" applyBorder="1" applyAlignment="1">
      <alignment horizontal="center" vertical="center"/>
    </xf>
    <xf numFmtId="184" fontId="95" fillId="0" borderId="87" xfId="366" applyNumberFormat="1" applyFont="1" applyBorder="1">
      <alignment vertical="center"/>
    </xf>
    <xf numFmtId="181" fontId="95" fillId="0" borderId="87" xfId="1" applyNumberFormat="1" applyFont="1" applyBorder="1" applyAlignment="1">
      <alignment vertical="center"/>
    </xf>
    <xf numFmtId="185" fontId="102" fillId="9" borderId="49" xfId="366" applyNumberFormat="1" applyFont="1" applyFill="1" applyBorder="1" applyAlignment="1">
      <alignment horizontal="center" vertical="center"/>
    </xf>
    <xf numFmtId="165" fontId="104" fillId="0" borderId="0" xfId="1" applyFont="1" applyAlignment="1">
      <alignment vertical="center" shrinkToFit="1"/>
    </xf>
    <xf numFmtId="165" fontId="107" fillId="0" borderId="0" xfId="1" applyFont="1" applyAlignment="1">
      <alignment vertical="center" shrinkToFit="1"/>
    </xf>
    <xf numFmtId="165" fontId="104" fillId="0" borderId="0" xfId="1" applyFont="1" applyAlignment="1">
      <alignment horizontal="center" vertical="center" shrinkToFit="1"/>
    </xf>
    <xf numFmtId="165" fontId="109" fillId="9" borderId="62" xfId="1" applyFont="1" applyFill="1" applyBorder="1" applyAlignment="1">
      <alignment horizontal="center" vertical="center" shrinkToFit="1"/>
    </xf>
    <xf numFmtId="0" fontId="109" fillId="41" borderId="62" xfId="1" applyNumberFormat="1" applyFont="1" applyFill="1" applyBorder="1" applyAlignment="1" applyProtection="1">
      <alignment horizontal="center" vertical="center" shrinkToFit="1"/>
      <protection locked="0"/>
    </xf>
    <xf numFmtId="0" fontId="109" fillId="9" borderId="62" xfId="0" applyFont="1" applyFill="1" applyBorder="1" applyAlignment="1">
      <alignment horizontal="center" vertical="center"/>
    </xf>
    <xf numFmtId="14" fontId="109" fillId="41" borderId="62" xfId="0" applyNumberFormat="1" applyFont="1" applyFill="1" applyBorder="1" applyAlignment="1" applyProtection="1">
      <alignment horizontal="center" vertical="center"/>
      <protection locked="0"/>
    </xf>
    <xf numFmtId="0" fontId="109" fillId="41" borderId="62" xfId="0" applyFont="1" applyFill="1" applyBorder="1" applyAlignment="1" applyProtection="1">
      <alignment horizontal="center" vertical="center"/>
      <protection locked="0"/>
    </xf>
    <xf numFmtId="165" fontId="109" fillId="0" borderId="0" xfId="1" applyFont="1" applyAlignment="1">
      <alignment vertical="center" shrinkToFit="1"/>
    </xf>
    <xf numFmtId="165" fontId="110" fillId="9" borderId="62" xfId="1" applyFont="1" applyFill="1" applyBorder="1" applyAlignment="1">
      <alignment horizontal="center" vertical="center" shrinkToFit="1"/>
    </xf>
    <xf numFmtId="165" fontId="110" fillId="0" borderId="0" xfId="1" applyFont="1" applyAlignment="1">
      <alignment vertical="center" shrinkToFit="1"/>
    </xf>
    <xf numFmtId="0" fontId="110" fillId="0" borderId="0" xfId="0" applyFont="1" applyAlignment="1">
      <alignment horizontal="center" vertical="center"/>
    </xf>
    <xf numFmtId="0" fontId="110" fillId="0" borderId="0" xfId="0" applyFont="1" applyAlignment="1">
      <alignment horizontal="left" vertical="center"/>
    </xf>
    <xf numFmtId="165" fontId="113" fillId="0" borderId="0" xfId="1" applyFont="1" applyAlignment="1">
      <alignment vertical="center" shrinkToFit="1"/>
    </xf>
    <xf numFmtId="170" fontId="114" fillId="0" borderId="0" xfId="1" applyNumberFormat="1" applyFont="1" applyAlignment="1">
      <alignment horizontal="center" vertical="center" shrinkToFit="1"/>
    </xf>
    <xf numFmtId="165" fontId="114" fillId="0" borderId="0" xfId="1" applyFont="1" applyAlignment="1">
      <alignment vertical="center" shrinkToFit="1"/>
    </xf>
    <xf numFmtId="172" fontId="114" fillId="0" borderId="0" xfId="1" applyNumberFormat="1" applyFont="1" applyAlignment="1">
      <alignment vertical="center" shrinkToFit="1"/>
    </xf>
    <xf numFmtId="2" fontId="114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65" fontId="103" fillId="0" borderId="0" xfId="1" applyFont="1" applyAlignment="1">
      <alignment vertical="center" shrinkToFit="1"/>
    </xf>
    <xf numFmtId="165" fontId="116" fillId="0" borderId="0" xfId="1" applyFont="1" applyAlignment="1">
      <alignment vertical="center" shrinkToFit="1"/>
    </xf>
    <xf numFmtId="165" fontId="116" fillId="0" borderId="0" xfId="1" applyFont="1" applyAlignment="1">
      <alignment horizontal="center" vertical="center" shrinkToFit="1"/>
    </xf>
    <xf numFmtId="165" fontId="117" fillId="0" borderId="0" xfId="1" applyFont="1" applyAlignment="1">
      <alignment vertical="center" shrinkToFit="1"/>
    </xf>
    <xf numFmtId="165" fontId="118" fillId="0" borderId="0" xfId="1" applyFont="1" applyAlignment="1">
      <alignment vertical="center" shrinkToFit="1"/>
    </xf>
    <xf numFmtId="165" fontId="119" fillId="0" borderId="0" xfId="1" applyFont="1" applyAlignment="1">
      <alignment vertical="center" shrinkToFit="1"/>
    </xf>
    <xf numFmtId="165" fontId="121" fillId="0" borderId="0" xfId="1" applyFont="1" applyAlignment="1">
      <alignment vertical="center" shrinkToFit="1"/>
    </xf>
    <xf numFmtId="0" fontId="116" fillId="0" borderId="0" xfId="0" applyFont="1" applyAlignment="1" applyProtection="1">
      <alignment horizontal="center" vertical="center"/>
      <protection hidden="1"/>
    </xf>
    <xf numFmtId="0" fontId="116" fillId="0" borderId="0" xfId="0" applyFont="1" applyAlignment="1">
      <alignment horizontal="center" vertical="center" wrapText="1"/>
    </xf>
    <xf numFmtId="165" fontId="116" fillId="0" borderId="0" xfId="1" applyFont="1" applyAlignment="1">
      <alignment vertical="center"/>
    </xf>
    <xf numFmtId="0" fontId="116" fillId="0" borderId="0" xfId="0" applyFont="1" applyAlignment="1" applyProtection="1">
      <alignment vertical="center"/>
      <protection hidden="1"/>
    </xf>
    <xf numFmtId="165" fontId="109" fillId="0" borderId="0" xfId="1" applyFont="1" applyAlignment="1" applyProtection="1">
      <alignment vertical="center"/>
      <protection locked="0"/>
    </xf>
    <xf numFmtId="165" fontId="109" fillId="0" borderId="0" xfId="1" applyFont="1" applyAlignment="1" applyProtection="1">
      <alignment vertical="center" shrinkToFit="1"/>
      <protection locked="0"/>
    </xf>
    <xf numFmtId="165" fontId="114" fillId="0" borderId="0" xfId="1" applyFont="1" applyAlignment="1">
      <alignment vertical="center"/>
    </xf>
    <xf numFmtId="0" fontId="109" fillId="9" borderId="39" xfId="0" applyFont="1" applyFill="1" applyBorder="1" applyAlignment="1" applyProtection="1">
      <alignment horizontal="center" vertical="center"/>
      <protection hidden="1"/>
    </xf>
    <xf numFmtId="0" fontId="109" fillId="9" borderId="7" xfId="0" applyFont="1" applyFill="1" applyBorder="1" applyAlignment="1" applyProtection="1">
      <alignment horizontal="center" vertical="center"/>
      <protection hidden="1"/>
    </xf>
    <xf numFmtId="0" fontId="109" fillId="9" borderId="23" xfId="0" applyFont="1" applyFill="1" applyBorder="1" applyAlignment="1" applyProtection="1">
      <alignment horizontal="center" vertical="center"/>
      <protection hidden="1"/>
    </xf>
    <xf numFmtId="0" fontId="109" fillId="9" borderId="25" xfId="0" applyFont="1" applyFill="1" applyBorder="1" applyAlignment="1" applyProtection="1">
      <alignment horizontal="center" vertical="center"/>
      <protection hidden="1"/>
    </xf>
    <xf numFmtId="165" fontId="109" fillId="0" borderId="0" xfId="1" applyFont="1" applyAlignment="1">
      <alignment vertical="center"/>
    </xf>
    <xf numFmtId="164" fontId="115" fillId="41" borderId="39" xfId="44" applyFont="1" applyFill="1" applyBorder="1" applyAlignment="1" applyProtection="1">
      <alignment horizontal="center" vertical="center"/>
      <protection locked="0" hidden="1"/>
    </xf>
    <xf numFmtId="164" fontId="115" fillId="41" borderId="7" xfId="44" applyFont="1" applyFill="1" applyBorder="1" applyAlignment="1" applyProtection="1">
      <alignment horizontal="center" vertical="center"/>
      <protection locked="0" hidden="1"/>
    </xf>
    <xf numFmtId="165" fontId="109" fillId="41" borderId="11" xfId="1" applyFont="1" applyFill="1" applyBorder="1" applyAlignment="1">
      <alignment horizontal="center" vertical="center" shrinkToFit="1"/>
    </xf>
    <xf numFmtId="0" fontId="123" fillId="0" borderId="0" xfId="0" applyFont="1" applyAlignment="1" applyProtection="1">
      <alignment vertical="center"/>
      <protection hidden="1"/>
    </xf>
    <xf numFmtId="0" fontId="107" fillId="0" borderId="0" xfId="0" applyFont="1" applyAlignment="1" applyProtection="1">
      <alignment horizontal="center" vertical="center" wrapText="1"/>
      <protection hidden="1"/>
    </xf>
    <xf numFmtId="178" fontId="125" fillId="0" borderId="0" xfId="0" applyNumberFormat="1" applyFont="1" applyAlignment="1" applyProtection="1">
      <alignment horizontal="right" vertical="center"/>
      <protection hidden="1"/>
    </xf>
    <xf numFmtId="179" fontId="125" fillId="0" borderId="0" xfId="0" applyNumberFormat="1" applyFont="1" applyAlignment="1" applyProtection="1">
      <alignment horizontal="right" vertical="center"/>
      <protection hidden="1"/>
    </xf>
    <xf numFmtId="165" fontId="126" fillId="0" borderId="0" xfId="1" applyFont="1" applyAlignment="1">
      <alignment vertical="center" shrinkToFit="1"/>
    </xf>
    <xf numFmtId="165" fontId="121" fillId="0" borderId="0" xfId="1" applyFont="1" applyAlignment="1">
      <alignment horizontal="center" vertical="center" shrinkToFit="1"/>
    </xf>
    <xf numFmtId="0" fontId="113" fillId="0" borderId="0" xfId="0" applyFont="1" applyAlignment="1">
      <alignment horizontal="center" vertical="center"/>
    </xf>
    <xf numFmtId="165" fontId="107" fillId="0" borderId="0" xfId="1" applyFont="1" applyAlignment="1">
      <alignment horizontal="center" vertical="center" shrinkToFit="1"/>
    </xf>
    <xf numFmtId="165" fontId="131" fillId="0" borderId="0" xfId="1" applyFont="1" applyAlignment="1">
      <alignment horizontal="center" vertical="center" shrinkToFit="1"/>
    </xf>
    <xf numFmtId="0" fontId="130" fillId="0" borderId="0" xfId="0" applyFont="1" applyAlignment="1">
      <alignment horizontal="center" vertical="center"/>
    </xf>
    <xf numFmtId="0" fontId="130" fillId="0" borderId="0" xfId="0" applyFont="1" applyAlignment="1">
      <alignment horizontal="left" vertical="center"/>
    </xf>
    <xf numFmtId="165" fontId="109" fillId="41" borderId="33" xfId="1" applyFont="1" applyFill="1" applyBorder="1" applyAlignment="1">
      <alignment horizontal="center" vertical="center"/>
    </xf>
    <xf numFmtId="165" fontId="109" fillId="41" borderId="36" xfId="1" applyFont="1" applyFill="1" applyBorder="1" applyAlignment="1">
      <alignment horizontal="center" vertical="center" shrinkToFit="1"/>
    </xf>
    <xf numFmtId="181" fontId="122" fillId="0" borderId="0" xfId="0" applyNumberFormat="1" applyFont="1" applyAlignment="1" applyProtection="1">
      <alignment horizontal="center" vertical="center" wrapText="1"/>
      <protection hidden="1"/>
    </xf>
    <xf numFmtId="186" fontId="124" fillId="0" borderId="0" xfId="1" applyNumberFormat="1" applyFont="1" applyAlignment="1">
      <alignment vertical="center" shrinkToFit="1"/>
    </xf>
    <xf numFmtId="186" fontId="122" fillId="0" borderId="0" xfId="0" applyNumberFormat="1" applyFont="1" applyAlignment="1" applyProtection="1">
      <alignment horizontal="right" vertical="center"/>
      <protection hidden="1"/>
    </xf>
    <xf numFmtId="181" fontId="112" fillId="0" borderId="0" xfId="44" applyNumberFormat="1" applyFont="1" applyAlignment="1" applyProtection="1">
      <alignment horizontal="center" vertical="center"/>
      <protection hidden="1"/>
    </xf>
    <xf numFmtId="181" fontId="112" fillId="0" borderId="0" xfId="0" applyNumberFormat="1" applyFont="1" applyAlignment="1" applyProtection="1">
      <alignment horizontal="center" vertical="center"/>
      <protection hidden="1"/>
    </xf>
    <xf numFmtId="0" fontId="46" fillId="0" borderId="95" xfId="0" applyFont="1" applyBorder="1"/>
    <xf numFmtId="174" fontId="0" fillId="0" borderId="0" xfId="0" applyNumberFormat="1"/>
    <xf numFmtId="2" fontId="0" fillId="0" borderId="0" xfId="0" applyNumberFormat="1"/>
    <xf numFmtId="0" fontId="113" fillId="7" borderId="5" xfId="0" applyFont="1" applyFill="1" applyBorder="1" applyAlignment="1">
      <alignment horizontal="center" vertical="center"/>
    </xf>
    <xf numFmtId="0" fontId="113" fillId="0" borderId="59" xfId="0" applyFont="1" applyBorder="1" applyAlignment="1">
      <alignment vertical="center"/>
    </xf>
    <xf numFmtId="0" fontId="113" fillId="0" borderId="59" xfId="0" applyFont="1" applyBorder="1"/>
    <xf numFmtId="0" fontId="113" fillId="0" borderId="1" xfId="0" applyFont="1" applyBorder="1" applyAlignment="1">
      <alignment vertical="center"/>
    </xf>
    <xf numFmtId="0" fontId="113" fillId="0" borderId="7" xfId="0" applyFont="1" applyBorder="1" applyAlignment="1">
      <alignment vertical="center"/>
    </xf>
    <xf numFmtId="0" fontId="113" fillId="0" borderId="1" xfId="0" applyFont="1" applyBorder="1" applyAlignment="1">
      <alignment horizontal="center" vertical="center"/>
    </xf>
    <xf numFmtId="165" fontId="128" fillId="0" borderId="0" xfId="1" applyFont="1"/>
    <xf numFmtId="0" fontId="128" fillId="0" borderId="0" xfId="0" applyFont="1"/>
    <xf numFmtId="165" fontId="128" fillId="0" borderId="0" xfId="1" applyFont="1" applyAlignment="1">
      <alignment horizontal="center"/>
    </xf>
    <xf numFmtId="0" fontId="128" fillId="0" borderId="0" xfId="0" applyFont="1" applyAlignment="1">
      <alignment vertical="center"/>
    </xf>
    <xf numFmtId="0" fontId="111" fillId="0" borderId="0" xfId="0" applyFont="1" applyAlignment="1">
      <alignment horizontal="left" vertical="center"/>
    </xf>
    <xf numFmtId="165" fontId="111" fillId="0" borderId="0" xfId="1" applyFont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8" fillId="0" borderId="0" xfId="0" applyFont="1" applyAlignment="1">
      <alignment horizontal="center"/>
    </xf>
    <xf numFmtId="165" fontId="128" fillId="0" borderId="0" xfId="1" applyFont="1" applyAlignment="1">
      <alignment horizontal="center" vertical="center"/>
    </xf>
    <xf numFmtId="0" fontId="38" fillId="0" borderId="39" xfId="0" applyFont="1" applyBorder="1"/>
    <xf numFmtId="0" fontId="38" fillId="0" borderId="0" xfId="0" applyFont="1"/>
    <xf numFmtId="0" fontId="38" fillId="0" borderId="0" xfId="0" applyFont="1" applyAlignment="1">
      <alignment vertical="center"/>
    </xf>
    <xf numFmtId="0" fontId="135" fillId="0" borderId="1" xfId="1" applyNumberFormat="1" applyFont="1" applyBorder="1" applyAlignment="1">
      <alignment horizontal="center"/>
    </xf>
    <xf numFmtId="0" fontId="135" fillId="0" borderId="1" xfId="1" applyNumberFormat="1" applyFont="1" applyBorder="1"/>
    <xf numFmtId="0" fontId="128" fillId="0" borderId="0" xfId="0" applyFont="1" applyAlignment="1">
      <alignment horizontal="left" vertical="center"/>
    </xf>
    <xf numFmtId="0" fontId="109" fillId="9" borderId="62" xfId="0" applyFont="1" applyFill="1" applyBorder="1" applyAlignment="1">
      <alignment horizontal="center" vertical="center" wrapText="1"/>
    </xf>
    <xf numFmtId="0" fontId="139" fillId="0" borderId="0" xfId="0" applyFont="1" applyAlignment="1">
      <alignment vertical="center"/>
    </xf>
    <xf numFmtId="165" fontId="137" fillId="0" borderId="0" xfId="1" applyFont="1" applyAlignment="1">
      <alignment vertical="top"/>
    </xf>
    <xf numFmtId="0" fontId="137" fillId="0" borderId="0" xfId="0" applyFont="1" applyAlignment="1">
      <alignment vertical="center"/>
    </xf>
    <xf numFmtId="165" fontId="137" fillId="0" borderId="0" xfId="0" applyNumberFormat="1" applyFont="1" applyAlignment="1">
      <alignment horizontal="left" vertical="center"/>
    </xf>
    <xf numFmtId="0" fontId="109" fillId="9" borderId="7" xfId="364" applyFont="1" applyFill="1" applyBorder="1" applyAlignment="1" applyProtection="1">
      <alignment horizontal="center" vertical="center"/>
      <protection hidden="1"/>
    </xf>
    <xf numFmtId="0" fontId="38" fillId="0" borderId="0" xfId="0" applyFont="1" applyAlignment="1">
      <alignment horizontal="center" vertical="center"/>
    </xf>
    <xf numFmtId="165" fontId="38" fillId="0" borderId="0" xfId="1" applyFont="1" applyAlignment="1">
      <alignment horizontal="center" vertical="center"/>
    </xf>
    <xf numFmtId="167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8" fontId="38" fillId="0" borderId="0" xfId="1" applyNumberFormat="1" applyFont="1" applyAlignment="1">
      <alignment horizontal="center" vertical="center"/>
    </xf>
    <xf numFmtId="169" fontId="38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8" fillId="8" borderId="95" xfId="0" applyFont="1" applyFill="1" applyBorder="1" applyAlignment="1">
      <alignment horizontal="center"/>
    </xf>
    <xf numFmtId="0" fontId="38" fillId="0" borderId="95" xfId="0" applyFont="1" applyBorder="1" applyAlignment="1">
      <alignment horizontal="center"/>
    </xf>
    <xf numFmtId="0" fontId="38" fillId="8" borderId="95" xfId="0" applyFont="1" applyFill="1" applyBorder="1" applyAlignment="1">
      <alignment horizontal="center" vertical="center"/>
    </xf>
    <xf numFmtId="0" fontId="38" fillId="0" borderId="95" xfId="0" applyFont="1" applyBorder="1" applyAlignment="1">
      <alignment horizontal="center" vertical="center"/>
    </xf>
    <xf numFmtId="165" fontId="38" fillId="0" borderId="0" xfId="1" applyFont="1" applyAlignment="1">
      <alignment horizontal="center"/>
    </xf>
    <xf numFmtId="173" fontId="38" fillId="0" borderId="0" xfId="1" applyNumberFormat="1" applyFont="1" applyAlignment="1">
      <alignment horizontal="center" vertical="center"/>
    </xf>
    <xf numFmtId="173" fontId="38" fillId="0" borderId="0" xfId="1" applyNumberFormat="1" applyFont="1" applyAlignment="1">
      <alignment horizontal="center"/>
    </xf>
    <xf numFmtId="0" fontId="38" fillId="0" borderId="0" xfId="46" applyFont="1" applyAlignment="1">
      <alignment horizontal="center" vertical="center"/>
    </xf>
    <xf numFmtId="0" fontId="38" fillId="0" borderId="0" xfId="46" applyFont="1">
      <alignment vertical="center"/>
    </xf>
    <xf numFmtId="0" fontId="38" fillId="3" borderId="0" xfId="0" applyFont="1" applyFill="1" applyAlignment="1">
      <alignment horizontal="center" vertical="center"/>
    </xf>
    <xf numFmtId="165" fontId="38" fillId="3" borderId="0" xfId="0" applyNumberFormat="1" applyFont="1" applyFill="1" applyAlignment="1">
      <alignment vertical="center"/>
    </xf>
    <xf numFmtId="165" fontId="38" fillId="3" borderId="0" xfId="1" applyFont="1" applyFill="1" applyAlignment="1">
      <alignment vertical="center"/>
    </xf>
    <xf numFmtId="0" fontId="38" fillId="0" borderId="0" xfId="46" applyFont="1" applyAlignment="1">
      <alignment horizontal="left" vertical="center"/>
    </xf>
    <xf numFmtId="0" fontId="134" fillId="0" borderId="0" xfId="46" applyFont="1">
      <alignment vertical="center"/>
    </xf>
    <xf numFmtId="0" fontId="128" fillId="0" borderId="0" xfId="0" applyFont="1" applyAlignment="1">
      <alignment horizontal="left"/>
    </xf>
    <xf numFmtId="0" fontId="110" fillId="7" borderId="95" xfId="0" applyFont="1" applyFill="1" applyBorder="1" applyAlignment="1">
      <alignment horizontal="center" vertical="center" wrapText="1"/>
    </xf>
    <xf numFmtId="0" fontId="113" fillId="0" borderId="0" xfId="0" applyFont="1"/>
    <xf numFmtId="0" fontId="113" fillId="0" borderId="0" xfId="0" quotePrefix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3" fillId="0" borderId="0" xfId="0" applyFont="1" applyAlignment="1">
      <alignment vertical="center"/>
    </xf>
    <xf numFmtId="165" fontId="113" fillId="0" borderId="0" xfId="0" applyNumberFormat="1" applyFont="1" applyAlignment="1">
      <alignment vertical="center"/>
    </xf>
    <xf numFmtId="0" fontId="113" fillId="0" borderId="0" xfId="0" applyFont="1" applyAlignment="1">
      <alignment horizontal="center"/>
    </xf>
    <xf numFmtId="0" fontId="113" fillId="0" borderId="95" xfId="0" applyFont="1" applyBorder="1" applyAlignment="1">
      <alignment vertical="center"/>
    </xf>
    <xf numFmtId="0" fontId="109" fillId="0" borderId="95" xfId="0" applyFont="1" applyBorder="1"/>
    <xf numFmtId="0" fontId="113" fillId="0" borderId="95" xfId="0" applyFont="1" applyBorder="1"/>
    <xf numFmtId="0" fontId="109" fillId="0" borderId="95" xfId="0" applyFont="1" applyBorder="1" applyAlignment="1">
      <alignment horizontal="center" vertical="center"/>
    </xf>
    <xf numFmtId="0" fontId="113" fillId="0" borderId="95" xfId="0" applyFont="1" applyBorder="1" applyAlignment="1">
      <alignment horizontal="center" vertical="center"/>
    </xf>
    <xf numFmtId="165" fontId="113" fillId="0" borderId="0" xfId="1" applyFont="1" applyAlignment="1">
      <alignment horizontal="center" vertical="center"/>
    </xf>
    <xf numFmtId="165" fontId="113" fillId="0" borderId="0" xfId="1" applyFont="1" applyAlignment="1">
      <alignment horizontal="right"/>
    </xf>
    <xf numFmtId="165" fontId="113" fillId="0" borderId="0" xfId="1" applyFont="1" applyAlignment="1">
      <alignment horizontal="center"/>
    </xf>
    <xf numFmtId="165" fontId="113" fillId="0" borderId="0" xfId="1" quotePrefix="1" applyFont="1" applyAlignment="1">
      <alignment horizontal="center" vertical="center"/>
    </xf>
    <xf numFmtId="165" fontId="129" fillId="0" borderId="5" xfId="0" applyNumberFormat="1" applyFont="1" applyBorder="1" applyAlignment="1">
      <alignment horizontal="center"/>
    </xf>
    <xf numFmtId="0" fontId="113" fillId="7" borderId="61" xfId="0" applyFont="1" applyFill="1" applyBorder="1" applyAlignment="1">
      <alignment horizontal="center" vertical="center"/>
    </xf>
    <xf numFmtId="0" fontId="38" fillId="0" borderId="95" xfId="0" applyFont="1" applyBorder="1" applyAlignment="1">
      <alignment vertical="center"/>
    </xf>
    <xf numFmtId="0" fontId="38" fillId="0" borderId="95" xfId="0" applyFont="1" applyBorder="1"/>
    <xf numFmtId="165" fontId="38" fillId="0" borderId="0" xfId="1" applyFont="1"/>
    <xf numFmtId="165" fontId="133" fillId="0" borderId="62" xfId="1" applyFont="1" applyBorder="1" applyAlignment="1">
      <alignment vertical="center" shrinkToFit="1"/>
    </xf>
    <xf numFmtId="165" fontId="38" fillId="0" borderId="59" xfId="1" applyFont="1" applyBorder="1" applyAlignment="1">
      <alignment horizontal="left" vertical="center"/>
    </xf>
    <xf numFmtId="165" fontId="38" fillId="0" borderId="59" xfId="0" applyNumberFormat="1" applyFont="1" applyBorder="1"/>
    <xf numFmtId="0" fontId="132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165" fontId="110" fillId="0" borderId="0" xfId="1" applyFont="1" applyAlignment="1">
      <alignment vertical="center"/>
    </xf>
    <xf numFmtId="0" fontId="110" fillId="0" borderId="0" xfId="1" applyNumberFormat="1" applyFont="1" applyAlignment="1">
      <alignment vertical="center"/>
    </xf>
    <xf numFmtId="165" fontId="110" fillId="0" borderId="0" xfId="1" applyFont="1" applyAlignment="1">
      <alignment horizontal="left" vertical="center"/>
    </xf>
    <xf numFmtId="165" fontId="110" fillId="0" borderId="0" xfId="1" applyFont="1" applyAlignment="1">
      <alignment horizontal="right" vertical="center"/>
    </xf>
    <xf numFmtId="165" fontId="142" fillId="0" borderId="0" xfId="1" applyFont="1" applyAlignment="1">
      <alignment horizontal="center" vertical="center"/>
    </xf>
    <xf numFmtId="165" fontId="110" fillId="0" borderId="0" xfId="1" applyFont="1" applyAlignment="1">
      <alignment horizontal="center" vertical="center"/>
    </xf>
    <xf numFmtId="165" fontId="142" fillId="0" borderId="0" xfId="1" applyFont="1" applyAlignment="1">
      <alignment vertical="center"/>
    </xf>
    <xf numFmtId="165" fontId="142" fillId="0" borderId="0" xfId="1" applyFont="1" applyAlignment="1">
      <alignment horizontal="right" vertical="center"/>
    </xf>
    <xf numFmtId="165" fontId="142" fillId="0" borderId="0" xfId="1" applyFont="1" applyAlignment="1">
      <alignment horizontal="left" vertical="center"/>
    </xf>
    <xf numFmtId="0" fontId="110" fillId="0" borderId="0" xfId="9" applyFont="1" applyAlignment="1">
      <alignment vertical="center"/>
    </xf>
    <xf numFmtId="165" fontId="140" fillId="0" borderId="0" xfId="1" applyFont="1" applyAlignment="1">
      <alignment vertical="center"/>
    </xf>
    <xf numFmtId="165" fontId="130" fillId="0" borderId="0" xfId="1" applyFont="1" applyAlignment="1">
      <alignment horizontal="left" vertical="center"/>
    </xf>
    <xf numFmtId="165" fontId="130" fillId="0" borderId="0" xfId="1" applyFont="1" applyAlignment="1">
      <alignment horizontal="center" vertical="center"/>
    </xf>
    <xf numFmtId="0" fontId="108" fillId="0" borderId="0" xfId="0" applyFont="1" applyAlignment="1">
      <alignment horizontal="left" vertical="center"/>
    </xf>
    <xf numFmtId="167" fontId="130" fillId="0" borderId="0" xfId="0" applyNumberFormat="1" applyFont="1" applyAlignment="1">
      <alignment horizontal="left" vertical="center"/>
    </xf>
    <xf numFmtId="165" fontId="130" fillId="0" borderId="0" xfId="1" applyFont="1" applyAlignment="1">
      <alignment vertical="center"/>
    </xf>
    <xf numFmtId="0" fontId="130" fillId="0" borderId="0" xfId="0" applyFont="1" applyAlignment="1">
      <alignment vertical="center"/>
    </xf>
    <xf numFmtId="14" fontId="130" fillId="0" borderId="0" xfId="0" applyNumberFormat="1" applyFont="1" applyAlignment="1">
      <alignment horizontal="center" vertical="center"/>
    </xf>
    <xf numFmtId="165" fontId="130" fillId="0" borderId="0" xfId="0" applyNumberFormat="1" applyFont="1" applyAlignment="1">
      <alignment horizontal="center" vertical="center"/>
    </xf>
    <xf numFmtId="170" fontId="131" fillId="0" borderId="0" xfId="1" applyNumberFormat="1" applyFont="1" applyAlignment="1">
      <alignment vertical="center" shrinkToFit="1"/>
    </xf>
    <xf numFmtId="170" fontId="131" fillId="0" borderId="0" xfId="1" applyNumberFormat="1" applyFont="1" applyAlignment="1">
      <alignment horizontal="center" vertical="center" shrinkToFit="1"/>
    </xf>
    <xf numFmtId="165" fontId="130" fillId="0" borderId="0" xfId="0" applyNumberFormat="1" applyFont="1" applyAlignment="1">
      <alignment horizontal="left" vertical="center"/>
    </xf>
    <xf numFmtId="0" fontId="136" fillId="0" borderId="1" xfId="1" applyNumberFormat="1" applyFont="1" applyBorder="1" applyAlignment="1">
      <alignment horizontal="left" vertical="center"/>
    </xf>
    <xf numFmtId="0" fontId="135" fillId="0" borderId="1" xfId="1" applyNumberFormat="1" applyFont="1" applyBorder="1" applyAlignment="1">
      <alignment horizontal="left"/>
    </xf>
    <xf numFmtId="14" fontId="130" fillId="0" borderId="0" xfId="0" applyNumberFormat="1" applyFont="1" applyAlignment="1">
      <alignment horizontal="left" vertical="center"/>
    </xf>
    <xf numFmtId="0" fontId="137" fillId="0" borderId="0" xfId="0" applyFont="1" applyAlignment="1">
      <alignment horizontal="left" vertical="center"/>
    </xf>
    <xf numFmtId="14" fontId="137" fillId="0" borderId="0" xfId="0" applyNumberFormat="1" applyFont="1" applyAlignment="1">
      <alignment horizontal="left" vertical="center"/>
    </xf>
    <xf numFmtId="165" fontId="138" fillId="0" borderId="0" xfId="1" applyFont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138" fillId="0" borderId="0" xfId="0" applyFont="1" applyAlignment="1">
      <alignment horizontal="left" vertical="center"/>
    </xf>
    <xf numFmtId="165" fontId="138" fillId="0" borderId="0" xfId="1" applyFont="1" applyAlignment="1">
      <alignment vertical="center"/>
    </xf>
    <xf numFmtId="0" fontId="138" fillId="0" borderId="0" xfId="0" applyFont="1" applyAlignment="1">
      <alignment vertical="center"/>
    </xf>
    <xf numFmtId="0" fontId="137" fillId="0" borderId="0" xfId="1" applyNumberFormat="1" applyFont="1" applyAlignment="1">
      <alignment vertical="center"/>
    </xf>
    <xf numFmtId="165" fontId="137" fillId="0" borderId="0" xfId="1" applyFont="1" applyAlignment="1">
      <alignment horizontal="center" vertical="center"/>
    </xf>
    <xf numFmtId="165" fontId="137" fillId="0" borderId="0" xfId="1" applyFont="1" applyAlignment="1">
      <alignment vertical="center"/>
    </xf>
    <xf numFmtId="14" fontId="137" fillId="0" borderId="0" xfId="0" applyNumberFormat="1" applyFont="1" applyAlignment="1">
      <alignment vertical="center"/>
    </xf>
    <xf numFmtId="0" fontId="137" fillId="0" borderId="0" xfId="0" applyFont="1" applyAlignment="1">
      <alignment horizontal="center" vertical="center"/>
    </xf>
    <xf numFmtId="0" fontId="137" fillId="0" borderId="0" xfId="1" applyNumberFormat="1" applyFont="1" applyAlignment="1">
      <alignment horizontal="left" vertical="center"/>
    </xf>
    <xf numFmtId="165" fontId="137" fillId="0" borderId="0" xfId="1" applyFont="1" applyAlignment="1">
      <alignment horizontal="left" vertical="center"/>
    </xf>
    <xf numFmtId="165" fontId="104" fillId="0" borderId="0" xfId="1" applyFont="1" applyAlignment="1">
      <alignment vertical="top" shrinkToFit="1"/>
    </xf>
    <xf numFmtId="0" fontId="109" fillId="41" borderId="62" xfId="0" applyFont="1" applyFill="1" applyBorder="1" applyAlignment="1" applyProtection="1">
      <alignment horizontal="center" vertical="top"/>
      <protection locked="0"/>
    </xf>
    <xf numFmtId="14" fontId="109" fillId="41" borderId="62" xfId="0" applyNumberFormat="1" applyFont="1" applyFill="1" applyBorder="1" applyAlignment="1" applyProtection="1">
      <alignment horizontal="center" vertical="top"/>
      <protection locked="0"/>
    </xf>
    <xf numFmtId="0" fontId="110" fillId="0" borderId="0" xfId="0" applyFont="1" applyAlignment="1">
      <alignment horizontal="center" vertical="top"/>
    </xf>
    <xf numFmtId="165" fontId="114" fillId="0" borderId="0" xfId="1" applyFont="1" applyAlignment="1">
      <alignment vertical="top" shrinkToFit="1"/>
    </xf>
    <xf numFmtId="165" fontId="116" fillId="0" borderId="0" xfId="1" applyFont="1" applyAlignment="1">
      <alignment vertical="top" shrinkToFit="1"/>
    </xf>
    <xf numFmtId="165" fontId="114" fillId="0" borderId="0" xfId="1" applyFont="1" applyAlignment="1">
      <alignment vertical="top"/>
    </xf>
    <xf numFmtId="0" fontId="109" fillId="9" borderId="23" xfId="0" applyFont="1" applyFill="1" applyBorder="1" applyAlignment="1" applyProtection="1">
      <alignment horizontal="center" vertical="top"/>
      <protection hidden="1"/>
    </xf>
    <xf numFmtId="165" fontId="109" fillId="41" borderId="27" xfId="1" applyFont="1" applyFill="1" applyBorder="1" applyAlignment="1">
      <alignment horizontal="center" vertical="top"/>
    </xf>
    <xf numFmtId="165" fontId="116" fillId="0" borderId="0" xfId="1" applyFont="1" applyAlignment="1">
      <alignment vertical="top"/>
    </xf>
    <xf numFmtId="165" fontId="107" fillId="0" borderId="0" xfId="1" applyFont="1" applyAlignment="1">
      <alignment vertical="top" shrinkToFit="1"/>
    </xf>
    <xf numFmtId="0" fontId="17" fillId="0" borderId="0" xfId="310" applyProtection="1">
      <alignment vertical="center"/>
      <protection hidden="1"/>
    </xf>
    <xf numFmtId="187" fontId="17" fillId="0" borderId="95" xfId="310" applyNumberFormat="1" applyBorder="1" applyAlignment="1" applyProtection="1">
      <alignment horizontal="right" vertical="center"/>
      <protection hidden="1"/>
    </xf>
    <xf numFmtId="189" fontId="17" fillId="0" borderId="95" xfId="310" applyNumberFormat="1" applyBorder="1" applyAlignment="1" applyProtection="1">
      <alignment horizontal="right" vertical="center"/>
      <protection hidden="1"/>
    </xf>
    <xf numFmtId="188" fontId="57" fillId="0" borderId="0" xfId="310" applyNumberFormat="1" applyFont="1" applyProtection="1">
      <alignment vertical="center"/>
      <protection hidden="1"/>
    </xf>
    <xf numFmtId="0" fontId="46" fillId="0" borderId="95" xfId="0" applyFont="1" applyBorder="1" applyAlignment="1">
      <alignment vertical="center"/>
    </xf>
    <xf numFmtId="0" fontId="46" fillId="0" borderId="0" xfId="0" applyFont="1" applyAlignment="1">
      <alignment vertical="center"/>
    </xf>
    <xf numFmtId="165" fontId="46" fillId="0" borderId="0" xfId="1" applyFont="1" applyAlignment="1">
      <alignment vertical="center"/>
    </xf>
    <xf numFmtId="187" fontId="17" fillId="0" borderId="0" xfId="310" applyNumberFormat="1" applyAlignment="1" applyProtection="1">
      <alignment horizontal="center" vertical="center"/>
      <protection hidden="1"/>
    </xf>
    <xf numFmtId="177" fontId="17" fillId="0" borderId="0" xfId="310" applyNumberFormat="1" applyAlignment="1" applyProtection="1">
      <alignment horizontal="right" vertical="center"/>
      <protection hidden="1"/>
    </xf>
    <xf numFmtId="177" fontId="17" fillId="0" borderId="0" xfId="310" applyNumberFormat="1" applyProtection="1">
      <alignment vertical="center"/>
      <protection hidden="1"/>
    </xf>
    <xf numFmtId="187" fontId="17" fillId="0" borderId="81" xfId="310" applyNumberFormat="1" applyBorder="1" applyAlignment="1" applyProtection="1">
      <alignment horizontal="center" vertical="center"/>
      <protection hidden="1"/>
    </xf>
    <xf numFmtId="187" fontId="17" fillId="0" borderId="40" xfId="310" applyNumberFormat="1" applyBorder="1" applyAlignment="1" applyProtection="1">
      <alignment horizontal="center" vertical="center"/>
      <protection hidden="1"/>
    </xf>
    <xf numFmtId="189" fontId="17" fillId="0" borderId="38" xfId="310" applyNumberFormat="1" applyBorder="1" applyProtection="1">
      <alignment vertical="center"/>
      <protection hidden="1"/>
    </xf>
    <xf numFmtId="177" fontId="17" fillId="0" borderId="40" xfId="310" applyNumberFormat="1" applyBorder="1" applyAlignment="1" applyProtection="1">
      <alignment horizontal="right" vertical="center"/>
      <protection hidden="1"/>
    </xf>
    <xf numFmtId="189" fontId="17" fillId="0" borderId="27" xfId="310" applyNumberFormat="1" applyBorder="1" applyProtection="1">
      <alignment vertical="center"/>
      <protection hidden="1"/>
    </xf>
    <xf numFmtId="177" fontId="17" fillId="0" borderId="11" xfId="310" applyNumberFormat="1" applyBorder="1" applyAlignment="1" applyProtection="1">
      <alignment horizontal="right" vertical="center"/>
      <protection hidden="1"/>
    </xf>
    <xf numFmtId="187" fontId="17" fillId="0" borderId="25" xfId="310" applyNumberFormat="1" applyBorder="1" applyAlignment="1" applyProtection="1">
      <alignment vertical="center" wrapText="1"/>
      <protection hidden="1"/>
    </xf>
    <xf numFmtId="0" fontId="146" fillId="0" borderId="0" xfId="0" applyFont="1" applyAlignment="1">
      <alignment horizontal="left" vertical="center"/>
    </xf>
    <xf numFmtId="0" fontId="146" fillId="0" borderId="0" xfId="0" applyFont="1" applyAlignment="1">
      <alignment horizontal="center" vertical="center"/>
    </xf>
    <xf numFmtId="165" fontId="146" fillId="0" borderId="0" xfId="1" applyFont="1" applyAlignment="1">
      <alignment horizontal="left" vertical="center"/>
    </xf>
    <xf numFmtId="165" fontId="146" fillId="0" borderId="0" xfId="1" applyFont="1" applyAlignment="1">
      <alignment horizontal="center" vertical="center"/>
    </xf>
    <xf numFmtId="0" fontId="147" fillId="0" borderId="0" xfId="0" applyFont="1" applyAlignment="1">
      <alignment horizontal="left" vertical="center"/>
    </xf>
    <xf numFmtId="167" fontId="146" fillId="0" borderId="0" xfId="0" applyNumberFormat="1" applyFont="1" applyAlignment="1">
      <alignment horizontal="left" vertical="center"/>
    </xf>
    <xf numFmtId="14" fontId="146" fillId="0" borderId="0" xfId="0" applyNumberFormat="1" applyFont="1" applyAlignment="1">
      <alignment horizontal="left" vertical="center"/>
    </xf>
    <xf numFmtId="165" fontId="148" fillId="0" borderId="0" xfId="1" applyFont="1" applyAlignment="1">
      <alignment horizontal="center" vertical="center"/>
    </xf>
    <xf numFmtId="0" fontId="148" fillId="0" borderId="0" xfId="0" applyFont="1" applyAlignment="1">
      <alignment horizontal="center" vertical="center"/>
    </xf>
    <xf numFmtId="165" fontId="148" fillId="0" borderId="0" xfId="1" applyFont="1" applyAlignment="1">
      <alignment vertical="center"/>
    </xf>
    <xf numFmtId="0" fontId="148" fillId="0" borderId="0" xfId="0" applyFont="1" applyAlignment="1">
      <alignment vertical="center"/>
    </xf>
    <xf numFmtId="165" fontId="147" fillId="0" borderId="0" xfId="1" applyFont="1" applyAlignment="1">
      <alignment horizontal="center" vertical="center"/>
    </xf>
    <xf numFmtId="165" fontId="146" fillId="0" borderId="0" xfId="1" applyFont="1" applyAlignment="1">
      <alignment vertical="center"/>
    </xf>
    <xf numFmtId="0" fontId="146" fillId="0" borderId="0" xfId="0" applyFont="1" applyAlignment="1">
      <alignment vertical="center"/>
    </xf>
    <xf numFmtId="14" fontId="146" fillId="0" borderId="0" xfId="0" applyNumberFormat="1" applyFont="1" applyAlignment="1">
      <alignment horizontal="center" vertical="center"/>
    </xf>
    <xf numFmtId="0" fontId="149" fillId="0" borderId="0" xfId="0" applyFont="1" applyAlignment="1">
      <alignment horizontal="left" vertical="center"/>
    </xf>
    <xf numFmtId="14" fontId="149" fillId="0" borderId="0" xfId="0" applyNumberFormat="1" applyFont="1" applyAlignment="1">
      <alignment horizontal="left" vertical="center"/>
    </xf>
    <xf numFmtId="165" fontId="150" fillId="0" borderId="0" xfId="1" applyFont="1" applyAlignment="1">
      <alignment horizontal="center" vertical="center"/>
    </xf>
    <xf numFmtId="0" fontId="150" fillId="0" borderId="0" xfId="0" applyFont="1" applyAlignment="1">
      <alignment horizontal="center" vertical="center"/>
    </xf>
    <xf numFmtId="0" fontId="150" fillId="0" borderId="0" xfId="0" applyFont="1" applyAlignment="1">
      <alignment horizontal="left" vertical="center"/>
    </xf>
    <xf numFmtId="165" fontId="150" fillId="0" borderId="0" xfId="1" applyFont="1" applyAlignment="1">
      <alignment vertical="center"/>
    </xf>
    <xf numFmtId="0" fontId="147" fillId="0" borderId="0" xfId="0" applyFont="1" applyAlignment="1">
      <alignment vertical="center"/>
    </xf>
    <xf numFmtId="0" fontId="146" fillId="0" borderId="0" xfId="1" applyNumberFormat="1" applyFont="1" applyAlignment="1">
      <alignment vertical="center"/>
    </xf>
    <xf numFmtId="165" fontId="146" fillId="0" borderId="0" xfId="1" applyFont="1" applyAlignment="1">
      <alignment vertical="top"/>
    </xf>
    <xf numFmtId="165" fontId="149" fillId="0" borderId="0" xfId="0" applyNumberFormat="1" applyFont="1" applyAlignment="1">
      <alignment horizontal="left" vertical="center"/>
    </xf>
    <xf numFmtId="165" fontId="149" fillId="0" borderId="0" xfId="1" applyFont="1" applyAlignment="1">
      <alignment horizontal="center" vertical="center"/>
    </xf>
    <xf numFmtId="165" fontId="149" fillId="0" borderId="0" xfId="1" applyFont="1" applyAlignment="1">
      <alignment vertical="center"/>
    </xf>
    <xf numFmtId="0" fontId="149" fillId="0" borderId="0" xfId="0" applyFont="1" applyAlignment="1">
      <alignment vertical="center"/>
    </xf>
    <xf numFmtId="14" fontId="146" fillId="0" borderId="0" xfId="0" applyNumberFormat="1" applyFont="1" applyAlignment="1">
      <alignment vertical="center"/>
    </xf>
    <xf numFmtId="0" fontId="149" fillId="0" borderId="0" xfId="0" applyFont="1" applyAlignment="1">
      <alignment horizontal="center" vertical="center"/>
    </xf>
    <xf numFmtId="0" fontId="149" fillId="0" borderId="0" xfId="1" applyNumberFormat="1" applyFont="1" applyAlignment="1">
      <alignment horizontal="left" vertical="center"/>
    </xf>
    <xf numFmtId="165" fontId="149" fillId="0" borderId="0" xfId="1" applyFont="1" applyAlignment="1">
      <alignment horizontal="left" vertical="center"/>
    </xf>
    <xf numFmtId="165" fontId="152" fillId="0" borderId="0" xfId="1" applyFont="1" applyAlignment="1">
      <alignment horizontal="center" vertical="center" shrinkToFit="1"/>
    </xf>
    <xf numFmtId="0" fontId="146" fillId="12" borderId="27" xfId="0" applyFont="1" applyFill="1" applyBorder="1" applyAlignment="1">
      <alignment horizontal="center" vertical="center"/>
    </xf>
    <xf numFmtId="0" fontId="146" fillId="12" borderId="10" xfId="0" applyFont="1" applyFill="1" applyBorder="1" applyAlignment="1">
      <alignment horizontal="center" vertical="center"/>
    </xf>
    <xf numFmtId="165" fontId="146" fillId="12" borderId="10" xfId="1" applyFont="1" applyFill="1" applyBorder="1" applyAlignment="1">
      <alignment horizontal="center" vertical="center"/>
    </xf>
    <xf numFmtId="0" fontId="146" fillId="12" borderId="11" xfId="0" applyFont="1" applyFill="1" applyBorder="1" applyAlignment="1">
      <alignment horizontal="center" vertical="center"/>
    </xf>
    <xf numFmtId="0" fontId="153" fillId="3" borderId="4" xfId="0" applyFont="1" applyFill="1" applyBorder="1" applyAlignment="1">
      <alignment horizontal="left" vertical="center"/>
    </xf>
    <xf numFmtId="165" fontId="153" fillId="3" borderId="4" xfId="1" applyFont="1" applyFill="1" applyBorder="1" applyAlignment="1">
      <alignment horizontal="left" vertical="center"/>
    </xf>
    <xf numFmtId="165" fontId="153" fillId="3" borderId="35" xfId="0" applyNumberFormat="1" applyFont="1" applyFill="1" applyBorder="1" applyAlignment="1">
      <alignment horizontal="left" vertical="center"/>
    </xf>
    <xf numFmtId="165" fontId="153" fillId="3" borderId="31" xfId="1" applyFont="1" applyFill="1" applyBorder="1" applyAlignment="1">
      <alignment horizontal="left" vertical="center"/>
    </xf>
    <xf numFmtId="0" fontId="153" fillId="3" borderId="4" xfId="0" applyFont="1" applyFill="1" applyBorder="1" applyAlignment="1">
      <alignment vertical="center"/>
    </xf>
    <xf numFmtId="165" fontId="153" fillId="3" borderId="4" xfId="1" applyFont="1" applyFill="1" applyBorder="1" applyAlignment="1">
      <alignment vertical="center"/>
    </xf>
    <xf numFmtId="165" fontId="153" fillId="3" borderId="40" xfId="0" applyNumberFormat="1" applyFont="1" applyFill="1" applyBorder="1" applyAlignment="1">
      <alignment horizontal="left" vertical="center"/>
    </xf>
    <xf numFmtId="165" fontId="153" fillId="0" borderId="40" xfId="0" applyNumberFormat="1" applyFont="1" applyBorder="1" applyAlignment="1">
      <alignment horizontal="left" vertical="center"/>
    </xf>
    <xf numFmtId="0" fontId="153" fillId="7" borderId="4" xfId="0" applyFont="1" applyFill="1" applyBorder="1" applyAlignment="1">
      <alignment vertical="center"/>
    </xf>
    <xf numFmtId="165" fontId="153" fillId="7" borderId="4" xfId="1" applyFont="1" applyFill="1" applyBorder="1" applyAlignment="1">
      <alignment vertical="center"/>
    </xf>
    <xf numFmtId="165" fontId="153" fillId="7" borderId="4" xfId="0" applyNumberFormat="1" applyFont="1" applyFill="1" applyBorder="1" applyAlignment="1">
      <alignment horizontal="left" vertical="center"/>
    </xf>
    <xf numFmtId="165" fontId="153" fillId="7" borderId="40" xfId="0" applyNumberFormat="1" applyFont="1" applyFill="1" applyBorder="1" applyAlignment="1">
      <alignment horizontal="left" vertical="center"/>
    </xf>
    <xf numFmtId="165" fontId="153" fillId="8" borderId="27" xfId="1" applyFont="1" applyFill="1" applyBorder="1" applyAlignment="1">
      <alignment vertical="center"/>
    </xf>
    <xf numFmtId="0" fontId="153" fillId="8" borderId="10" xfId="0" applyFont="1" applyFill="1" applyBorder="1" applyAlignment="1">
      <alignment vertical="center"/>
    </xf>
    <xf numFmtId="0" fontId="153" fillId="8" borderId="10" xfId="0" applyFont="1" applyFill="1" applyBorder="1" applyAlignment="1">
      <alignment horizontal="center" vertical="center"/>
    </xf>
    <xf numFmtId="165" fontId="153" fillId="8" borderId="11" xfId="0" applyNumberFormat="1" applyFont="1" applyFill="1" applyBorder="1" applyAlignment="1">
      <alignment vertical="center"/>
    </xf>
    <xf numFmtId="165" fontId="154" fillId="0" borderId="40" xfId="0" applyNumberFormat="1" applyFont="1" applyBorder="1" applyAlignment="1">
      <alignment horizontal="left" vertical="center"/>
    </xf>
    <xf numFmtId="165" fontId="154" fillId="3" borderId="39" xfId="0" applyNumberFormat="1" applyFont="1" applyFill="1" applyBorder="1" applyAlignment="1">
      <alignment horizontal="left" vertical="center"/>
    </xf>
    <xf numFmtId="165" fontId="154" fillId="3" borderId="40" xfId="0" applyNumberFormat="1" applyFont="1" applyFill="1" applyBorder="1" applyAlignment="1">
      <alignment horizontal="left" vertical="center"/>
    </xf>
    <xf numFmtId="0" fontId="153" fillId="0" borderId="0" xfId="0" applyFont="1" applyAlignment="1">
      <alignment vertical="center"/>
    </xf>
    <xf numFmtId="165" fontId="153" fillId="0" borderId="0" xfId="1" applyFont="1" applyAlignment="1">
      <alignment vertical="center"/>
    </xf>
    <xf numFmtId="165" fontId="155" fillId="3" borderId="40" xfId="0" applyNumberFormat="1" applyFont="1" applyFill="1" applyBorder="1" applyAlignment="1">
      <alignment horizontal="left" vertical="center"/>
    </xf>
    <xf numFmtId="0" fontId="153" fillId="8" borderId="54" xfId="0" applyFont="1" applyFill="1" applyBorder="1" applyAlignment="1">
      <alignment horizontal="left" vertical="center"/>
    </xf>
    <xf numFmtId="0" fontId="153" fillId="8" borderId="55" xfId="0" applyFont="1" applyFill="1" applyBorder="1" applyAlignment="1">
      <alignment horizontal="center" vertical="center"/>
    </xf>
    <xf numFmtId="165" fontId="153" fillId="8" borderId="55" xfId="1" applyFont="1" applyFill="1" applyBorder="1" applyAlignment="1">
      <alignment horizontal="center" vertical="center"/>
    </xf>
    <xf numFmtId="0" fontId="153" fillId="8" borderId="55" xfId="0" applyFont="1" applyFill="1" applyBorder="1" applyAlignment="1">
      <alignment vertical="center"/>
    </xf>
    <xf numFmtId="165" fontId="153" fillId="8" borderId="56" xfId="0" applyNumberFormat="1" applyFont="1" applyFill="1" applyBorder="1" applyAlignment="1">
      <alignment vertical="center"/>
    </xf>
    <xf numFmtId="165" fontId="153" fillId="8" borderId="54" xfId="1" applyFont="1" applyFill="1" applyBorder="1" applyAlignment="1">
      <alignment vertical="center"/>
    </xf>
    <xf numFmtId="165" fontId="153" fillId="8" borderId="54" xfId="0" applyNumberFormat="1" applyFont="1" applyFill="1" applyBorder="1" applyAlignment="1">
      <alignment vertical="center"/>
    </xf>
    <xf numFmtId="0" fontId="153" fillId="8" borderId="55" xfId="0" applyFont="1" applyFill="1" applyBorder="1" applyAlignment="1">
      <alignment horizontal="left" vertical="center"/>
    </xf>
    <xf numFmtId="165" fontId="153" fillId="8" borderId="55" xfId="1" applyFont="1" applyFill="1" applyBorder="1" applyAlignment="1">
      <alignment horizontal="left" vertical="center"/>
    </xf>
    <xf numFmtId="165" fontId="153" fillId="8" borderId="55" xfId="0" applyNumberFormat="1" applyFont="1" applyFill="1" applyBorder="1" applyAlignment="1">
      <alignment horizontal="left" vertical="center"/>
    </xf>
    <xf numFmtId="165" fontId="146" fillId="0" borderId="0" xfId="0" applyNumberFormat="1" applyFont="1" applyAlignment="1">
      <alignment horizontal="center" vertical="center"/>
    </xf>
    <xf numFmtId="170" fontId="152" fillId="0" borderId="0" xfId="1" applyNumberFormat="1" applyFont="1" applyAlignment="1">
      <alignment vertical="center" shrinkToFit="1"/>
    </xf>
    <xf numFmtId="170" fontId="152" fillId="0" borderId="0" xfId="1" applyNumberFormat="1" applyFont="1" applyAlignment="1">
      <alignment horizontal="center" vertical="center" shrinkToFit="1"/>
    </xf>
    <xf numFmtId="165" fontId="146" fillId="0" borderId="0" xfId="0" applyNumberFormat="1" applyFont="1" applyAlignment="1">
      <alignment horizontal="left" vertical="center"/>
    </xf>
    <xf numFmtId="0" fontId="113" fillId="0" borderId="100" xfId="0" applyFont="1" applyBorder="1" applyAlignment="1">
      <alignment vertical="center"/>
    </xf>
    <xf numFmtId="0" fontId="157" fillId="0" borderId="0" xfId="0" applyFont="1" applyAlignment="1">
      <alignment vertical="center"/>
    </xf>
    <xf numFmtId="165" fontId="157" fillId="0" borderId="0" xfId="1" applyFont="1" applyAlignment="1">
      <alignment horizontal="center" vertical="center"/>
    </xf>
    <xf numFmtId="0" fontId="157" fillId="0" borderId="0" xfId="0" applyFont="1" applyAlignment="1">
      <alignment horizontal="left" vertical="center"/>
    </xf>
    <xf numFmtId="165" fontId="157" fillId="0" borderId="0" xfId="1" applyFont="1" applyAlignment="1">
      <alignment vertical="center"/>
    </xf>
    <xf numFmtId="0" fontId="157" fillId="0" borderId="0" xfId="1" applyNumberFormat="1" applyFont="1" applyAlignment="1">
      <alignment vertical="center"/>
    </xf>
    <xf numFmtId="165" fontId="157" fillId="0" borderId="0" xfId="1" applyFont="1" applyAlignment="1">
      <alignment vertical="top"/>
    </xf>
    <xf numFmtId="0" fontId="159" fillId="0" borderId="0" xfId="0" applyFont="1" applyAlignment="1">
      <alignment vertical="center"/>
    </xf>
    <xf numFmtId="0" fontId="160" fillId="0" borderId="0" xfId="0" applyFont="1" applyAlignment="1">
      <alignment vertical="center"/>
    </xf>
    <xf numFmtId="0" fontId="158" fillId="0" borderId="0" xfId="0" applyFont="1" applyAlignment="1">
      <alignment vertical="center"/>
    </xf>
    <xf numFmtId="0" fontId="161" fillId="0" borderId="0" xfId="0" applyFont="1" applyAlignment="1">
      <alignment horizontal="left" vertical="center"/>
    </xf>
    <xf numFmtId="165" fontId="162" fillId="0" borderId="19" xfId="1" applyFont="1" applyBorder="1" applyAlignment="1">
      <alignment horizontal="center" vertical="center"/>
    </xf>
    <xf numFmtId="0" fontId="163" fillId="0" borderId="0" xfId="0" applyFont="1" applyAlignment="1">
      <alignment vertical="center"/>
    </xf>
    <xf numFmtId="0" fontId="161" fillId="0" borderId="0" xfId="0" applyFont="1" applyAlignment="1">
      <alignment vertical="center"/>
    </xf>
    <xf numFmtId="165" fontId="161" fillId="0" borderId="0" xfId="1" applyFont="1" applyAlignment="1">
      <alignment vertical="top"/>
    </xf>
    <xf numFmtId="14" fontId="161" fillId="0" borderId="19" xfId="0" applyNumberFormat="1" applyFont="1" applyBorder="1" applyAlignment="1">
      <alignment vertical="center"/>
    </xf>
    <xf numFmtId="165" fontId="161" fillId="0" borderId="19" xfId="1" applyFont="1" applyBorder="1" applyAlignment="1">
      <alignment horizontal="center" vertical="center"/>
    </xf>
    <xf numFmtId="0" fontId="161" fillId="0" borderId="0" xfId="1" applyNumberFormat="1" applyFont="1" applyAlignment="1">
      <alignment horizontal="left" vertical="center"/>
    </xf>
    <xf numFmtId="0" fontId="164" fillId="0" borderId="14" xfId="0" applyFont="1" applyBorder="1" applyAlignment="1">
      <alignment horizontal="left" vertical="center"/>
    </xf>
    <xf numFmtId="0" fontId="164" fillId="0" borderId="0" xfId="0" applyFont="1" applyAlignment="1">
      <alignment horizontal="center" vertical="center"/>
    </xf>
    <xf numFmtId="165" fontId="165" fillId="0" borderId="19" xfId="1" applyFont="1" applyBorder="1" applyAlignment="1">
      <alignment horizontal="center" vertical="center" shrinkToFit="1"/>
    </xf>
    <xf numFmtId="0" fontId="166" fillId="0" borderId="0" xfId="0" applyFont="1" applyAlignment="1">
      <alignment vertical="center"/>
    </xf>
    <xf numFmtId="0" fontId="168" fillId="0" borderId="0" xfId="0" applyFont="1" applyAlignment="1">
      <alignment vertical="center"/>
    </xf>
    <xf numFmtId="0" fontId="169" fillId="0" borderId="0" xfId="0" applyFont="1" applyAlignment="1">
      <alignment vertical="center"/>
    </xf>
    <xf numFmtId="0" fontId="170" fillId="0" borderId="0" xfId="0" applyFont="1"/>
    <xf numFmtId="0" fontId="103" fillId="0" borderId="0" xfId="0" applyFont="1" applyAlignment="1">
      <alignment horizontal="left" vertical="center"/>
    </xf>
    <xf numFmtId="0" fontId="103" fillId="0" borderId="14" xfId="1" applyNumberFormat="1" applyFont="1" applyBorder="1" applyAlignment="1">
      <alignment horizontal="left" vertical="center"/>
    </xf>
    <xf numFmtId="0" fontId="130" fillId="0" borderId="81" xfId="0" applyFont="1" applyBorder="1" applyAlignment="1">
      <alignment vertical="center"/>
    </xf>
    <xf numFmtId="14" fontId="130" fillId="0" borderId="81" xfId="0" applyNumberFormat="1" applyFont="1" applyBorder="1" applyAlignment="1">
      <alignment vertical="center"/>
    </xf>
    <xf numFmtId="0" fontId="130" fillId="0" borderId="45" xfId="0" applyFont="1" applyBorder="1" applyAlignment="1">
      <alignment vertical="center"/>
    </xf>
    <xf numFmtId="165" fontId="103" fillId="0" borderId="40" xfId="1" applyFont="1" applyBorder="1" applyAlignment="1">
      <alignment horizontal="center" vertical="center"/>
    </xf>
    <xf numFmtId="165" fontId="103" fillId="0" borderId="35" xfId="1" applyFont="1" applyBorder="1" applyAlignment="1">
      <alignment horizontal="left" vertical="center"/>
    </xf>
    <xf numFmtId="165" fontId="104" fillId="0" borderId="20" xfId="1" applyFont="1" applyBorder="1" applyAlignment="1">
      <alignment horizontal="center" vertical="center"/>
    </xf>
    <xf numFmtId="165" fontId="104" fillId="0" borderId="16" xfId="1" applyFont="1" applyBorder="1" applyAlignment="1">
      <alignment horizontal="left" vertical="center"/>
    </xf>
    <xf numFmtId="165" fontId="104" fillId="0" borderId="17" xfId="1" applyFont="1" applyBorder="1" applyAlignment="1">
      <alignment horizontal="center" vertical="center"/>
    </xf>
    <xf numFmtId="0" fontId="104" fillId="0" borderId="17" xfId="0" applyFont="1" applyBorder="1" applyAlignment="1">
      <alignment vertical="center"/>
    </xf>
    <xf numFmtId="0" fontId="104" fillId="0" borderId="17" xfId="1" applyNumberFormat="1" applyFont="1" applyBorder="1" applyAlignment="1">
      <alignment vertical="center"/>
    </xf>
    <xf numFmtId="165" fontId="104" fillId="0" borderId="17" xfId="1" applyFont="1" applyBorder="1" applyAlignment="1">
      <alignment horizontal="left" vertical="top"/>
    </xf>
    <xf numFmtId="165" fontId="104" fillId="0" borderId="17" xfId="1" applyFont="1" applyBorder="1" applyAlignment="1">
      <alignment vertical="center"/>
    </xf>
    <xf numFmtId="165" fontId="104" fillId="0" borderId="18" xfId="1" applyFont="1" applyBorder="1" applyAlignment="1">
      <alignment vertical="center"/>
    </xf>
    <xf numFmtId="165" fontId="104" fillId="0" borderId="12" xfId="1" applyFont="1" applyBorder="1" applyAlignment="1">
      <alignment vertical="center"/>
    </xf>
    <xf numFmtId="165" fontId="104" fillId="0" borderId="20" xfId="1" applyFont="1" applyBorder="1" applyAlignment="1">
      <alignment vertical="center"/>
    </xf>
    <xf numFmtId="0" fontId="104" fillId="0" borderId="20" xfId="1" applyNumberFormat="1" applyFont="1" applyBorder="1" applyAlignment="1">
      <alignment vertical="center"/>
    </xf>
    <xf numFmtId="165" fontId="104" fillId="0" borderId="20" xfId="1" applyFont="1" applyBorder="1" applyAlignment="1">
      <alignment horizontal="left" vertical="top"/>
    </xf>
    <xf numFmtId="165" fontId="104" fillId="0" borderId="21" xfId="1" applyFont="1" applyBorder="1" applyAlignment="1">
      <alignment vertical="center"/>
    </xf>
    <xf numFmtId="187" fontId="17" fillId="0" borderId="38" xfId="310" applyNumberFormat="1" applyBorder="1" applyAlignment="1" applyProtection="1">
      <alignment horizontal="center" vertical="center"/>
      <protection hidden="1"/>
    </xf>
    <xf numFmtId="165" fontId="109" fillId="0" borderId="0" xfId="1" applyFont="1" applyAlignment="1">
      <alignment vertical="center" wrapText="1" shrinkToFit="1"/>
    </xf>
    <xf numFmtId="0" fontId="38" fillId="0" borderId="103" xfId="0" applyFont="1" applyBorder="1" applyAlignment="1">
      <alignment vertical="center"/>
    </xf>
    <xf numFmtId="187" fontId="17" fillId="0" borderId="48" xfId="310" applyNumberFormat="1" applyBorder="1" applyAlignment="1" applyProtection="1">
      <alignment horizontal="center" vertical="center"/>
      <protection hidden="1"/>
    </xf>
    <xf numFmtId="189" fontId="17" fillId="0" borderId="81" xfId="310" applyNumberFormat="1" applyBorder="1" applyProtection="1">
      <alignment vertical="center"/>
      <protection hidden="1"/>
    </xf>
    <xf numFmtId="189" fontId="17" fillId="0" borderId="49" xfId="310" applyNumberFormat="1" applyBorder="1" applyProtection="1">
      <alignment vertical="center"/>
      <protection hidden="1"/>
    </xf>
    <xf numFmtId="187" fontId="17" fillId="0" borderId="103" xfId="310" applyNumberFormat="1" applyBorder="1" applyAlignment="1" applyProtection="1">
      <alignment horizontal="right" vertical="center"/>
      <protection hidden="1"/>
    </xf>
    <xf numFmtId="0" fontId="173" fillId="0" borderId="0" xfId="0" applyFont="1"/>
    <xf numFmtId="187" fontId="17" fillId="0" borderId="102" xfId="310" applyNumberFormat="1" applyBorder="1" applyAlignment="1" applyProtection="1">
      <alignment horizontal="center" vertical="center"/>
      <protection hidden="1"/>
    </xf>
    <xf numFmtId="172" fontId="38" fillId="0" borderId="0" xfId="46" applyNumberFormat="1" applyFont="1" applyAlignment="1">
      <alignment horizontal="center" vertical="center"/>
    </xf>
    <xf numFmtId="172" fontId="134" fillId="0" borderId="0" xfId="46" applyNumberFormat="1" applyFont="1" applyAlignment="1">
      <alignment horizontal="center" vertical="center"/>
    </xf>
    <xf numFmtId="0" fontId="128" fillId="0" borderId="103" xfId="0" applyFont="1" applyBorder="1"/>
    <xf numFmtId="189" fontId="17" fillId="0" borderId="103" xfId="310" applyNumberFormat="1" applyBorder="1" applyProtection="1">
      <alignment vertical="center"/>
      <protection hidden="1"/>
    </xf>
    <xf numFmtId="187" fontId="17" fillId="0" borderId="103" xfId="310" applyNumberFormat="1" applyBorder="1" applyProtection="1">
      <alignment vertical="center"/>
      <protection hidden="1"/>
    </xf>
    <xf numFmtId="187" fontId="17" fillId="0" borderId="4" xfId="310" applyNumberFormat="1" applyBorder="1" applyProtection="1">
      <alignment vertical="center"/>
      <protection hidden="1"/>
    </xf>
    <xf numFmtId="165" fontId="103" fillId="0" borderId="31" xfId="1" applyFont="1" applyBorder="1" applyAlignment="1">
      <alignment horizontal="left" vertical="center"/>
    </xf>
    <xf numFmtId="165" fontId="103" fillId="0" borderId="4" xfId="1" applyFont="1" applyBorder="1" applyAlignment="1">
      <alignment horizontal="left" vertical="center"/>
    </xf>
    <xf numFmtId="0" fontId="120" fillId="0" borderId="0" xfId="0" applyFont="1" applyAlignment="1">
      <alignment vertical="center"/>
    </xf>
    <xf numFmtId="165" fontId="120" fillId="0" borderId="0" xfId="1" applyFont="1" applyAlignment="1">
      <alignment horizontal="right" vertical="center"/>
    </xf>
    <xf numFmtId="165" fontId="120" fillId="0" borderId="0" xfId="1" applyFont="1" applyAlignment="1">
      <alignment vertical="center"/>
    </xf>
    <xf numFmtId="165" fontId="120" fillId="0" borderId="0" xfId="1" applyFont="1" applyAlignment="1">
      <alignment horizontal="left" vertical="center"/>
    </xf>
    <xf numFmtId="0" fontId="120" fillId="0" borderId="59" xfId="0" applyFont="1" applyBorder="1" applyAlignment="1">
      <alignment horizontal="center" vertical="center"/>
    </xf>
    <xf numFmtId="0" fontId="120" fillId="0" borderId="0" xfId="0" applyFont="1" applyAlignment="1">
      <alignment horizontal="center" vertical="center"/>
    </xf>
    <xf numFmtId="165" fontId="120" fillId="0" borderId="0" xfId="1" applyFont="1" applyAlignment="1">
      <alignment horizontal="center" vertical="center"/>
    </xf>
    <xf numFmtId="189" fontId="17" fillId="0" borderId="15" xfId="310" applyNumberFormat="1" applyBorder="1" applyProtection="1">
      <alignment vertical="center"/>
      <protection hidden="1"/>
    </xf>
    <xf numFmtId="165" fontId="114" fillId="0" borderId="0" xfId="1" applyFont="1" applyAlignment="1">
      <alignment horizontal="center" vertical="center" shrinkToFit="1"/>
    </xf>
    <xf numFmtId="0" fontId="114" fillId="0" borderId="0" xfId="0" applyFont="1" applyAlignment="1" applyProtection="1">
      <alignment horizontal="center" vertical="center"/>
      <protection locked="0" hidden="1"/>
    </xf>
    <xf numFmtId="0" fontId="38" fillId="0" borderId="103" xfId="0" applyFont="1" applyBorder="1" applyAlignment="1">
      <alignment horizontal="center" vertical="center"/>
    </xf>
    <xf numFmtId="0" fontId="38" fillId="3" borderId="39" xfId="0" applyFont="1" applyFill="1" applyBorder="1"/>
    <xf numFmtId="0" fontId="38" fillId="3" borderId="100" xfId="0" applyFont="1" applyFill="1" applyBorder="1"/>
    <xf numFmtId="0" fontId="38" fillId="0" borderId="103" xfId="0" applyFont="1" applyBorder="1" applyAlignment="1">
      <alignment horizontal="left" vertical="center"/>
    </xf>
    <xf numFmtId="0" fontId="128" fillId="0" borderId="103" xfId="0" applyFont="1" applyBorder="1" applyAlignment="1">
      <alignment horizontal="left" vertical="center"/>
    </xf>
    <xf numFmtId="0" fontId="128" fillId="0" borderId="103" xfId="0" applyFont="1" applyBorder="1" applyAlignment="1">
      <alignment horizontal="center" vertical="center"/>
    </xf>
    <xf numFmtId="165" fontId="128" fillId="0" borderId="103" xfId="1" applyFont="1" applyBorder="1" applyAlignment="1">
      <alignment horizontal="center" vertical="center"/>
    </xf>
    <xf numFmtId="165" fontId="103" fillId="0" borderId="102" xfId="1" applyFont="1" applyBorder="1" applyAlignment="1">
      <alignment horizontal="center" vertical="center"/>
    </xf>
    <xf numFmtId="0" fontId="109" fillId="0" borderId="102" xfId="0" applyFont="1" applyBorder="1" applyAlignment="1">
      <alignment vertical="center"/>
    </xf>
    <xf numFmtId="0" fontId="38" fillId="0" borderId="103" xfId="0" applyFont="1" applyBorder="1"/>
    <xf numFmtId="0" fontId="38" fillId="3" borderId="0" xfId="0" applyFont="1" applyFill="1"/>
    <xf numFmtId="0" fontId="128" fillId="0" borderId="103" xfId="0" applyFont="1" applyBorder="1" applyAlignment="1">
      <alignment horizontal="center"/>
    </xf>
    <xf numFmtId="0" fontId="38" fillId="0" borderId="103" xfId="0" applyFont="1" applyBorder="1" applyAlignment="1">
      <alignment vertical="center" wrapText="1"/>
    </xf>
    <xf numFmtId="0" fontId="38" fillId="0" borderId="101" xfId="0" applyFont="1" applyBorder="1" applyAlignment="1">
      <alignment horizontal="center" vertical="center"/>
    </xf>
    <xf numFmtId="0" fontId="38" fillId="3" borderId="103" xfId="0" applyFont="1" applyFill="1" applyBorder="1" applyAlignment="1">
      <alignment horizontal="left" vertical="center"/>
    </xf>
    <xf numFmtId="0" fontId="38" fillId="3" borderId="103" xfId="0" applyFont="1" applyFill="1" applyBorder="1" applyAlignment="1">
      <alignment horizontal="center" vertical="center"/>
    </xf>
    <xf numFmtId="0" fontId="128" fillId="3" borderId="103" xfId="0" applyFont="1" applyFill="1" applyBorder="1" applyAlignment="1">
      <alignment horizontal="left" vertical="center"/>
    </xf>
    <xf numFmtId="0" fontId="38" fillId="3" borderId="103" xfId="0" applyFont="1" applyFill="1" applyBorder="1" applyAlignment="1">
      <alignment vertical="center"/>
    </xf>
    <xf numFmtId="0" fontId="128" fillId="3" borderId="103" xfId="0" applyFont="1" applyFill="1" applyBorder="1" applyAlignment="1">
      <alignment horizontal="center" vertical="center"/>
    </xf>
    <xf numFmtId="165" fontId="128" fillId="3" borderId="103" xfId="1" applyFont="1" applyFill="1" applyBorder="1" applyAlignment="1">
      <alignment horizontal="center" vertical="center"/>
    </xf>
    <xf numFmtId="0" fontId="38" fillId="7" borderId="101" xfId="0" applyFont="1" applyFill="1" applyBorder="1" applyAlignment="1">
      <alignment horizontal="center" vertical="center"/>
    </xf>
    <xf numFmtId="0" fontId="113" fillId="0" borderId="0" xfId="0" applyFont="1" applyAlignment="1">
      <alignment horizontal="center" vertical="center" wrapText="1"/>
    </xf>
    <xf numFmtId="165" fontId="114" fillId="0" borderId="0" xfId="1" applyFont="1" applyAlignment="1">
      <alignment horizontal="center" vertical="center" wrapText="1" shrinkToFit="1"/>
    </xf>
    <xf numFmtId="0" fontId="120" fillId="0" borderId="59" xfId="0" applyFont="1" applyBorder="1" applyAlignment="1">
      <alignment vertical="center"/>
    </xf>
    <xf numFmtId="0" fontId="120" fillId="0" borderId="14" xfId="0" applyFont="1" applyBorder="1" applyAlignment="1">
      <alignment vertical="center"/>
    </xf>
    <xf numFmtId="165" fontId="120" fillId="0" borderId="19" xfId="0" applyNumberFormat="1" applyFont="1" applyBorder="1" applyAlignment="1">
      <alignment vertical="center"/>
    </xf>
    <xf numFmtId="0" fontId="120" fillId="0" borderId="26" xfId="0" applyFont="1" applyBorder="1" applyAlignment="1">
      <alignment vertical="center"/>
    </xf>
    <xf numFmtId="165" fontId="120" fillId="0" borderId="9" xfId="1" applyFont="1" applyBorder="1" applyAlignment="1">
      <alignment vertical="center"/>
    </xf>
    <xf numFmtId="165" fontId="129" fillId="0" borderId="0" xfId="1" applyFont="1" applyAlignment="1">
      <alignment vertical="center" shrinkToFit="1"/>
    </xf>
    <xf numFmtId="0" fontId="126" fillId="0" borderId="0" xfId="0" applyFont="1" applyAlignment="1">
      <alignment horizontal="center" vertical="center"/>
    </xf>
    <xf numFmtId="0" fontId="126" fillId="0" borderId="2" xfId="0" applyFont="1" applyBorder="1" applyAlignment="1">
      <alignment horizontal="center" vertical="center"/>
    </xf>
    <xf numFmtId="0" fontId="126" fillId="0" borderId="1" xfId="0" applyFont="1" applyBorder="1" applyAlignment="1">
      <alignment horizontal="center" vertical="center"/>
    </xf>
    <xf numFmtId="0" fontId="126" fillId="0" borderId="4" xfId="0" applyFont="1" applyBorder="1" applyAlignment="1">
      <alignment horizontal="center" vertical="center"/>
    </xf>
    <xf numFmtId="0" fontId="126" fillId="0" borderId="39" xfId="0" applyFont="1" applyBorder="1" applyAlignment="1">
      <alignment horizontal="center" vertical="center"/>
    </xf>
    <xf numFmtId="167" fontId="126" fillId="0" borderId="0" xfId="0" applyNumberFormat="1" applyFont="1" applyAlignment="1">
      <alignment horizontal="center" vertical="center"/>
    </xf>
    <xf numFmtId="165" fontId="126" fillId="0" borderId="0" xfId="0" applyNumberFormat="1" applyFont="1" applyAlignment="1">
      <alignment horizontal="center" vertical="center"/>
    </xf>
    <xf numFmtId="167" fontId="126" fillId="0" borderId="0" xfId="0" applyNumberFormat="1" applyFont="1" applyAlignment="1">
      <alignment horizontal="center" vertical="top" wrapText="1"/>
    </xf>
    <xf numFmtId="0" fontId="126" fillId="0" borderId="0" xfId="0" applyFont="1" applyAlignment="1">
      <alignment horizontal="center" vertical="top" wrapText="1"/>
    </xf>
    <xf numFmtId="165" fontId="126" fillId="0" borderId="0" xfId="0" applyNumberFormat="1" applyFont="1" applyAlignment="1">
      <alignment horizontal="center" vertical="top" wrapText="1"/>
    </xf>
    <xf numFmtId="165" fontId="126" fillId="0" borderId="0" xfId="1" applyFont="1" applyAlignment="1">
      <alignment vertical="top" wrapText="1" shrinkToFit="1"/>
    </xf>
    <xf numFmtId="0" fontId="113" fillId="12" borderId="103" xfId="0" applyFont="1" applyFill="1" applyBorder="1" applyAlignment="1">
      <alignment horizontal="center" vertical="center"/>
    </xf>
    <xf numFmtId="165" fontId="113" fillId="0" borderId="103" xfId="0" applyNumberFormat="1" applyFont="1" applyBorder="1" applyAlignment="1">
      <alignment horizontal="center" vertical="center"/>
    </xf>
    <xf numFmtId="165" fontId="113" fillId="0" borderId="103" xfId="1" applyFont="1" applyBorder="1" applyAlignment="1">
      <alignment horizontal="center" vertical="center"/>
    </xf>
    <xf numFmtId="0" fontId="113" fillId="12" borderId="24" xfId="0" applyFont="1" applyFill="1" applyBorder="1" applyAlignment="1">
      <alignment horizontal="center" vertical="center"/>
    </xf>
    <xf numFmtId="165" fontId="113" fillId="12" borderId="25" xfId="1" applyFont="1" applyFill="1" applyBorder="1" applyAlignment="1">
      <alignment horizontal="center" vertical="center"/>
    </xf>
    <xf numFmtId="0" fontId="113" fillId="12" borderId="62" xfId="0" applyFont="1" applyFill="1" applyBorder="1" applyAlignment="1">
      <alignment horizontal="center" vertical="center"/>
    </xf>
    <xf numFmtId="165" fontId="113" fillId="12" borderId="40" xfId="1" applyFont="1" applyFill="1" applyBorder="1" applyAlignment="1">
      <alignment horizontal="center" vertical="center"/>
    </xf>
    <xf numFmtId="0" fontId="113" fillId="12" borderId="10" xfId="0" applyFont="1" applyFill="1" applyBorder="1" applyAlignment="1">
      <alignment horizontal="center" vertical="center"/>
    </xf>
    <xf numFmtId="165" fontId="113" fillId="12" borderId="11" xfId="0" applyNumberFormat="1" applyFont="1" applyFill="1" applyBorder="1" applyAlignment="1">
      <alignment horizontal="center" vertical="center"/>
    </xf>
    <xf numFmtId="170" fontId="121" fillId="0" borderId="0" xfId="1" applyNumberFormat="1" applyFont="1" applyAlignment="1">
      <alignment vertical="center" shrinkToFit="1"/>
    </xf>
    <xf numFmtId="170" fontId="121" fillId="0" borderId="0" xfId="1" applyNumberFormat="1" applyFont="1" applyAlignment="1">
      <alignment horizontal="center" vertical="center" shrinkToFit="1"/>
    </xf>
    <xf numFmtId="165" fontId="113" fillId="0" borderId="0" xfId="0" applyNumberFormat="1" applyFont="1" applyAlignment="1">
      <alignment horizontal="left" vertical="center"/>
    </xf>
    <xf numFmtId="0" fontId="113" fillId="9" borderId="103" xfId="0" applyFont="1" applyFill="1" applyBorder="1" applyAlignment="1">
      <alignment horizontal="left" vertical="center"/>
    </xf>
    <xf numFmtId="165" fontId="113" fillId="0" borderId="103" xfId="0" applyNumberFormat="1" applyFont="1" applyBorder="1" applyAlignment="1">
      <alignment horizontal="left" vertical="center"/>
    </xf>
    <xf numFmtId="0" fontId="113" fillId="9" borderId="103" xfId="0" applyFont="1" applyFill="1" applyBorder="1" applyAlignment="1">
      <alignment horizontal="center" vertical="center"/>
    </xf>
    <xf numFmtId="165" fontId="113" fillId="0" borderId="0" xfId="0" applyNumberFormat="1" applyFont="1" applyAlignment="1">
      <alignment horizontal="center" vertical="center"/>
    </xf>
    <xf numFmtId="165" fontId="113" fillId="9" borderId="103" xfId="1" applyFont="1" applyFill="1" applyBorder="1" applyAlignment="1">
      <alignment horizontal="center" vertical="center"/>
    </xf>
    <xf numFmtId="0" fontId="103" fillId="12" borderId="95" xfId="0" applyFont="1" applyFill="1" applyBorder="1" applyAlignment="1">
      <alignment horizontal="center" vertical="center"/>
    </xf>
    <xf numFmtId="165" fontId="103" fillId="0" borderId="95" xfId="0" applyNumberFormat="1" applyFont="1" applyBorder="1" applyAlignment="1">
      <alignment horizontal="center" vertical="center"/>
    </xf>
    <xf numFmtId="0" fontId="103" fillId="12" borderId="62" xfId="0" applyFont="1" applyFill="1" applyBorder="1" applyAlignment="1">
      <alignment horizontal="center" vertical="center"/>
    </xf>
    <xf numFmtId="0" fontId="103" fillId="12" borderId="24" xfId="0" applyFont="1" applyFill="1" applyBorder="1" applyAlignment="1">
      <alignment horizontal="center" vertical="center"/>
    </xf>
    <xf numFmtId="165" fontId="103" fillId="12" borderId="25" xfId="1" applyFont="1" applyFill="1" applyBorder="1" applyAlignment="1">
      <alignment horizontal="center" vertical="center"/>
    </xf>
    <xf numFmtId="165" fontId="103" fillId="12" borderId="40" xfId="1" applyFont="1" applyFill="1" applyBorder="1" applyAlignment="1">
      <alignment horizontal="center" vertical="center"/>
    </xf>
    <xf numFmtId="0" fontId="103" fillId="12" borderId="10" xfId="0" applyFont="1" applyFill="1" applyBorder="1" applyAlignment="1">
      <alignment horizontal="center" vertical="center"/>
    </xf>
    <xf numFmtId="165" fontId="103" fillId="12" borderId="11" xfId="0" applyNumberFormat="1" applyFont="1" applyFill="1" applyBorder="1" applyAlignment="1">
      <alignment horizontal="center" vertical="center"/>
    </xf>
    <xf numFmtId="165" fontId="103" fillId="0" borderId="0" xfId="0" applyNumberFormat="1" applyFont="1" applyAlignment="1">
      <alignment horizontal="left" vertical="center"/>
    </xf>
    <xf numFmtId="0" fontId="103" fillId="9" borderId="95" xfId="0" applyFont="1" applyFill="1" applyBorder="1" applyAlignment="1">
      <alignment horizontal="left" vertical="center"/>
    </xf>
    <xf numFmtId="165" fontId="103" fillId="0" borderId="95" xfId="0" applyNumberFormat="1" applyFont="1" applyBorder="1" applyAlignment="1">
      <alignment horizontal="left" vertical="center"/>
    </xf>
    <xf numFmtId="0" fontId="103" fillId="9" borderId="62" xfId="0" applyFont="1" applyFill="1" applyBorder="1" applyAlignment="1">
      <alignment horizontal="left" vertical="center"/>
    </xf>
    <xf numFmtId="0" fontId="103" fillId="9" borderId="95" xfId="0" applyFont="1" applyFill="1" applyBorder="1" applyAlignment="1">
      <alignment horizontal="center" vertical="center"/>
    </xf>
    <xf numFmtId="0" fontId="103" fillId="9" borderId="62" xfId="0" applyFont="1" applyFill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165" fontId="103" fillId="0" borderId="0" xfId="0" applyNumberFormat="1" applyFont="1" applyAlignment="1">
      <alignment horizontal="center" vertical="center"/>
    </xf>
    <xf numFmtId="165" fontId="103" fillId="9" borderId="95" xfId="1" applyFont="1" applyFill="1" applyBorder="1" applyAlignment="1">
      <alignment horizontal="center" vertical="center"/>
    </xf>
    <xf numFmtId="165" fontId="103" fillId="9" borderId="11" xfId="1" applyFont="1" applyFill="1" applyBorder="1" applyAlignment="1">
      <alignment horizontal="center" vertical="center"/>
    </xf>
    <xf numFmtId="165" fontId="121" fillId="0" borderId="62" xfId="1" applyFont="1" applyBorder="1" applyAlignment="1">
      <alignment horizontal="center" vertical="center" shrinkToFit="1"/>
    </xf>
    <xf numFmtId="165" fontId="121" fillId="0" borderId="62" xfId="1" applyFont="1" applyBorder="1" applyAlignment="1">
      <alignment vertical="center" shrinkToFit="1"/>
    </xf>
    <xf numFmtId="165" fontId="121" fillId="0" borderId="62" xfId="1" applyFont="1" applyBorder="1" applyAlignment="1">
      <alignment horizontal="left" vertical="center" shrinkToFit="1"/>
    </xf>
    <xf numFmtId="168" fontId="121" fillId="0" borderId="62" xfId="1" applyNumberFormat="1" applyFont="1" applyBorder="1" applyAlignment="1">
      <alignment vertical="center" shrinkToFit="1"/>
    </xf>
    <xf numFmtId="165" fontId="113" fillId="0" borderId="62" xfId="1" applyFont="1" applyBorder="1" applyAlignment="1">
      <alignment vertical="center" shrinkToFit="1"/>
    </xf>
    <xf numFmtId="0" fontId="23" fillId="0" borderId="0" xfId="0" applyFont="1" applyAlignment="1">
      <alignment horizontal="center"/>
    </xf>
    <xf numFmtId="0" fontId="45" fillId="0" borderId="0" xfId="0" applyFont="1" applyAlignment="1">
      <alignment vertical="center" wrapText="1"/>
    </xf>
    <xf numFmtId="165" fontId="45" fillId="0" borderId="0" xfId="0" applyNumberFormat="1" applyFont="1"/>
    <xf numFmtId="165" fontId="45" fillId="0" borderId="0" xfId="1" applyFont="1"/>
    <xf numFmtId="165" fontId="45" fillId="0" borderId="0" xfId="1" applyFont="1" applyAlignment="1">
      <alignment horizontal="left" vertical="center"/>
    </xf>
    <xf numFmtId="165" fontId="23" fillId="0" borderId="0" xfId="1" quotePrefix="1" applyFont="1" applyAlignment="1">
      <alignment horizontal="center" vertical="center"/>
    </xf>
    <xf numFmtId="165" fontId="45" fillId="0" borderId="0" xfId="0" quotePrefix="1" applyNumberFormat="1" applyFont="1" applyAlignment="1">
      <alignment horizontal="center" vertical="center"/>
    </xf>
    <xf numFmtId="165" fontId="23" fillId="0" borderId="0" xfId="1" applyFont="1"/>
    <xf numFmtId="165" fontId="23" fillId="0" borderId="0" xfId="1" applyFont="1" applyAlignment="1">
      <alignment horizontal="left" vertical="center"/>
    </xf>
    <xf numFmtId="165" fontId="23" fillId="0" borderId="0" xfId="0" quotePrefix="1" applyNumberFormat="1" applyFont="1" applyAlignment="1">
      <alignment horizontal="center" vertical="center"/>
    </xf>
    <xf numFmtId="0" fontId="23" fillId="0" borderId="0" xfId="0" applyFont="1"/>
    <xf numFmtId="165" fontId="45" fillId="0" borderId="0" xfId="1" applyFont="1" applyAlignment="1">
      <alignment vertical="center"/>
    </xf>
    <xf numFmtId="0" fontId="47" fillId="0" borderId="0" xfId="0" applyFont="1" applyAlignment="1">
      <alignment horizontal="center" vertical="center"/>
    </xf>
    <xf numFmtId="165" fontId="45" fillId="0" borderId="0" xfId="1" applyFont="1" applyAlignment="1">
      <alignment horizontal="right" vertical="center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horizontal="center" vertical="center" wrapText="1"/>
    </xf>
    <xf numFmtId="165" fontId="47" fillId="0" borderId="0" xfId="1" applyFont="1" applyAlignment="1">
      <alignment horizontal="right" vertical="center"/>
    </xf>
    <xf numFmtId="165" fontId="113" fillId="7" borderId="103" xfId="1" applyFont="1" applyFill="1" applyBorder="1" applyAlignment="1">
      <alignment horizontal="center" vertical="center"/>
    </xf>
    <xf numFmtId="165" fontId="113" fillId="7" borderId="103" xfId="1" applyFont="1" applyFill="1" applyBorder="1" applyAlignment="1">
      <alignment horizontal="right" vertical="center"/>
    </xf>
    <xf numFmtId="0" fontId="113" fillId="7" borderId="103" xfId="0" applyFont="1" applyFill="1" applyBorder="1" applyAlignment="1">
      <alignment horizontal="center" vertical="center"/>
    </xf>
    <xf numFmtId="0" fontId="109" fillId="7" borderId="103" xfId="0" applyFont="1" applyFill="1" applyBorder="1" applyAlignment="1">
      <alignment horizontal="center" vertical="center" wrapText="1"/>
    </xf>
    <xf numFmtId="0" fontId="109" fillId="7" borderId="103" xfId="0" applyFont="1" applyFill="1" applyBorder="1" applyAlignment="1">
      <alignment horizontal="center" vertical="center"/>
    </xf>
    <xf numFmtId="0" fontId="113" fillId="0" borderId="103" xfId="0" quotePrefix="1" applyFont="1" applyBorder="1" applyAlignment="1">
      <alignment horizontal="center" vertical="center"/>
    </xf>
    <xf numFmtId="165" fontId="113" fillId="0" borderId="103" xfId="1" quotePrefix="1" applyFont="1" applyBorder="1" applyAlignment="1">
      <alignment horizontal="center" vertical="center"/>
    </xf>
    <xf numFmtId="165" fontId="113" fillId="0" borderId="103" xfId="0" quotePrefix="1" applyNumberFormat="1" applyFont="1" applyBorder="1" applyAlignment="1">
      <alignment horizontal="center" vertical="center"/>
    </xf>
    <xf numFmtId="165" fontId="129" fillId="0" borderId="0" xfId="0" applyNumberFormat="1" applyFont="1" applyAlignment="1">
      <alignment horizontal="center"/>
    </xf>
    <xf numFmtId="165" fontId="129" fillId="0" borderId="0" xfId="1" quotePrefix="1" applyFont="1" applyAlignment="1">
      <alignment horizontal="center" vertical="center"/>
    </xf>
    <xf numFmtId="165" fontId="129" fillId="0" borderId="0" xfId="1" applyFont="1" applyAlignment="1">
      <alignment horizontal="center" vertical="center"/>
    </xf>
    <xf numFmtId="165" fontId="113" fillId="0" borderId="0" xfId="0" quotePrefix="1" applyNumberFormat="1" applyFont="1" applyAlignment="1">
      <alignment horizontal="center" vertical="center"/>
    </xf>
    <xf numFmtId="165" fontId="129" fillId="0" borderId="0" xfId="0" quotePrefix="1" applyNumberFormat="1" applyFont="1" applyAlignment="1">
      <alignment horizontal="center" vertical="center"/>
    </xf>
    <xf numFmtId="0" fontId="110" fillId="0" borderId="0" xfId="0" applyFont="1" applyAlignment="1">
      <alignment horizontal="center" vertical="center" wrapText="1"/>
    </xf>
    <xf numFmtId="165" fontId="113" fillId="0" borderId="0" xfId="1" applyFont="1" applyAlignment="1">
      <alignment horizontal="right" vertical="center"/>
    </xf>
    <xf numFmtId="0" fontId="113" fillId="0" borderId="0" xfId="0" applyFont="1" applyAlignment="1">
      <alignment vertical="center" wrapText="1"/>
    </xf>
    <xf numFmtId="0" fontId="109" fillId="0" borderId="0" xfId="0" applyFont="1" applyAlignment="1">
      <alignment horizontal="center" vertical="center" wrapText="1"/>
    </xf>
    <xf numFmtId="0" fontId="113" fillId="0" borderId="100" xfId="0" applyFont="1" applyBorder="1" applyAlignment="1">
      <alignment horizontal="center" vertical="center"/>
    </xf>
    <xf numFmtId="0" fontId="113" fillId="0" borderId="16" xfId="0" applyFont="1" applyBorder="1" applyAlignment="1">
      <alignment vertical="center"/>
    </xf>
    <xf numFmtId="0" fontId="113" fillId="7" borderId="51" xfId="0" applyFont="1" applyFill="1" applyBorder="1" applyAlignment="1">
      <alignment horizontal="center" vertical="center"/>
    </xf>
    <xf numFmtId="165" fontId="113" fillId="7" borderId="24" xfId="1" applyFont="1" applyFill="1" applyBorder="1" applyAlignment="1">
      <alignment horizontal="center" vertical="center"/>
    </xf>
    <xf numFmtId="165" fontId="113" fillId="7" borderId="24" xfId="1" applyFont="1" applyFill="1" applyBorder="1" applyAlignment="1">
      <alignment horizontal="right" vertical="center"/>
    </xf>
    <xf numFmtId="165" fontId="113" fillId="7" borderId="24" xfId="0" applyNumberFormat="1" applyFont="1" applyFill="1" applyBorder="1" applyAlignment="1">
      <alignment vertical="center"/>
    </xf>
    <xf numFmtId="0" fontId="113" fillId="7" borderId="24" xfId="0" applyFont="1" applyFill="1" applyBorder="1" applyAlignment="1">
      <alignment vertical="center" wrapText="1"/>
    </xf>
    <xf numFmtId="0" fontId="113" fillId="7" borderId="24" xfId="0" applyFont="1" applyFill="1" applyBorder="1" applyAlignment="1">
      <alignment horizontal="center" vertical="center" wrapText="1"/>
    </xf>
    <xf numFmtId="0" fontId="113" fillId="7" borderId="24" xfId="0" applyFont="1" applyFill="1" applyBorder="1" applyAlignment="1">
      <alignment horizontal="center" vertical="center"/>
    </xf>
    <xf numFmtId="0" fontId="113" fillId="0" borderId="14" xfId="0" applyFont="1" applyBorder="1" applyAlignment="1">
      <alignment vertical="center"/>
    </xf>
    <xf numFmtId="0" fontId="113" fillId="0" borderId="52" xfId="0" applyFont="1" applyBorder="1"/>
    <xf numFmtId="165" fontId="113" fillId="0" borderId="10" xfId="1" applyFont="1" applyBorder="1" applyAlignment="1">
      <alignment horizontal="center" vertical="center"/>
    </xf>
    <xf numFmtId="165" fontId="113" fillId="0" borderId="10" xfId="0" applyNumberFormat="1" applyFont="1" applyBorder="1" applyAlignment="1">
      <alignment horizontal="center" vertical="center"/>
    </xf>
    <xf numFmtId="0" fontId="113" fillId="0" borderId="10" xfId="0" applyFont="1" applyBorder="1" applyAlignment="1">
      <alignment horizontal="center" vertical="center"/>
    </xf>
    <xf numFmtId="0" fontId="113" fillId="0" borderId="10" xfId="0" quotePrefix="1" applyFont="1" applyBorder="1" applyAlignment="1">
      <alignment horizontal="center" vertical="center"/>
    </xf>
    <xf numFmtId="165" fontId="113" fillId="0" borderId="10" xfId="1" quotePrefix="1" applyFont="1" applyBorder="1" applyAlignment="1">
      <alignment horizontal="center" vertical="center"/>
    </xf>
    <xf numFmtId="0" fontId="134" fillId="0" borderId="103" xfId="0" applyFont="1" applyBorder="1" applyAlignment="1">
      <alignment vertical="center"/>
    </xf>
    <xf numFmtId="0" fontId="38" fillId="0" borderId="103" xfId="46" applyFont="1" applyBorder="1" applyAlignment="1">
      <alignment horizontal="center" vertical="center"/>
    </xf>
    <xf numFmtId="168" fontId="38" fillId="0" borderId="103" xfId="1" applyNumberFormat="1" applyFont="1" applyBorder="1" applyAlignment="1">
      <alignment horizontal="center" vertical="center"/>
    </xf>
    <xf numFmtId="0" fontId="103" fillId="3" borderId="103" xfId="0" applyFont="1" applyFill="1" applyBorder="1" applyAlignment="1">
      <alignment horizontal="left" vertical="center"/>
    </xf>
    <xf numFmtId="165" fontId="103" fillId="3" borderId="103" xfId="1" applyFont="1" applyFill="1" applyBorder="1" applyAlignment="1">
      <alignment horizontal="left" vertical="center"/>
    </xf>
    <xf numFmtId="0" fontId="168" fillId="0" borderId="103" xfId="0" applyFont="1" applyBorder="1" applyAlignment="1">
      <alignment vertical="center"/>
    </xf>
    <xf numFmtId="0" fontId="169" fillId="0" borderId="103" xfId="0" applyFont="1" applyBorder="1" applyAlignment="1">
      <alignment vertical="center"/>
    </xf>
    <xf numFmtId="0" fontId="0" fillId="0" borderId="103" xfId="0" applyBorder="1"/>
    <xf numFmtId="0" fontId="113" fillId="0" borderId="38" xfId="0" applyFont="1" applyBorder="1" applyAlignment="1">
      <alignment horizontal="center" vertical="center"/>
    </xf>
    <xf numFmtId="0" fontId="113" fillId="0" borderId="102" xfId="0" applyFont="1" applyBorder="1" applyAlignment="1">
      <alignment horizontal="center" vertical="center"/>
    </xf>
    <xf numFmtId="0" fontId="113" fillId="0" borderId="38" xfId="0" applyFont="1" applyBorder="1" applyAlignment="1">
      <alignment vertical="center"/>
    </xf>
    <xf numFmtId="0" fontId="113" fillId="0" borderId="102" xfId="0" applyFont="1" applyBorder="1" applyAlignment="1">
      <alignment vertical="center"/>
    </xf>
    <xf numFmtId="0" fontId="113" fillId="0" borderId="11" xfId="0" applyFont="1" applyBorder="1"/>
    <xf numFmtId="0" fontId="145" fillId="0" borderId="0" xfId="310" applyFont="1" applyAlignment="1" applyProtection="1">
      <alignment horizontal="left" vertical="center"/>
      <protection hidden="1"/>
    </xf>
    <xf numFmtId="189" fontId="17" fillId="0" borderId="0" xfId="310" applyNumberFormat="1" applyProtection="1">
      <alignment vertical="center"/>
      <protection hidden="1"/>
    </xf>
    <xf numFmtId="187" fontId="17" fillId="0" borderId="0" xfId="310" applyNumberFormat="1" applyAlignment="1" applyProtection="1">
      <alignment horizontal="right" vertical="center"/>
      <protection hidden="1"/>
    </xf>
    <xf numFmtId="0" fontId="43" fillId="0" borderId="23" xfId="0" applyFont="1" applyBorder="1" applyAlignment="1">
      <alignment horizontal="center" vertical="center"/>
    </xf>
    <xf numFmtId="165" fontId="43" fillId="0" borderId="25" xfId="1" applyFont="1" applyBorder="1" applyAlignment="1">
      <alignment horizontal="center" vertical="center"/>
    </xf>
    <xf numFmtId="0" fontId="46" fillId="0" borderId="38" xfId="0" applyFont="1" applyBorder="1" applyAlignment="1">
      <alignment vertical="center"/>
    </xf>
    <xf numFmtId="165" fontId="46" fillId="0" borderId="102" xfId="1" applyFont="1" applyBorder="1" applyAlignment="1">
      <alignment vertical="center"/>
    </xf>
    <xf numFmtId="0" fontId="38" fillId="0" borderId="39" xfId="0" applyFont="1" applyBorder="1" applyAlignment="1">
      <alignment horizontal="center" vertical="center"/>
    </xf>
    <xf numFmtId="171" fontId="38" fillId="0" borderId="39" xfId="1" quotePrefix="1" applyNumberFormat="1" applyFont="1" applyBorder="1" applyAlignment="1">
      <alignment horizontal="center" vertical="center"/>
    </xf>
    <xf numFmtId="171" fontId="38" fillId="0" borderId="1" xfId="0" quotePrefix="1" applyNumberFormat="1" applyFont="1" applyBorder="1" applyAlignment="1">
      <alignment horizontal="center" vertical="center"/>
    </xf>
    <xf numFmtId="168" fontId="38" fillId="0" borderId="103" xfId="1" quotePrefix="1" applyNumberFormat="1" applyFont="1" applyBorder="1" applyAlignment="1">
      <alignment horizontal="center" vertical="center"/>
    </xf>
    <xf numFmtId="0" fontId="38" fillId="0" borderId="103" xfId="0" quotePrefix="1" applyFont="1" applyBorder="1" applyAlignment="1">
      <alignment horizontal="center" vertical="center"/>
    </xf>
    <xf numFmtId="171" fontId="38" fillId="0" borderId="103" xfId="1" quotePrefix="1" applyNumberFormat="1" applyFont="1" applyBorder="1" applyAlignment="1">
      <alignment horizontal="center" vertical="center"/>
    </xf>
    <xf numFmtId="171" fontId="38" fillId="0" borderId="103" xfId="0" quotePrefix="1" applyNumberFormat="1" applyFont="1" applyBorder="1" applyAlignment="1">
      <alignment horizontal="center" vertical="center"/>
    </xf>
    <xf numFmtId="165" fontId="38" fillId="0" borderId="103" xfId="1" quotePrefix="1" applyFont="1" applyBorder="1" applyAlignment="1">
      <alignment horizontal="center" vertical="center"/>
    </xf>
    <xf numFmtId="0" fontId="38" fillId="0" borderId="103" xfId="0" applyFont="1" applyBorder="1" applyAlignment="1">
      <alignment horizontal="center" vertical="top" wrapText="1"/>
    </xf>
    <xf numFmtId="165" fontId="142" fillId="0" borderId="103" xfId="1" applyFont="1" applyBorder="1" applyAlignment="1">
      <alignment horizontal="left" vertical="center"/>
    </xf>
    <xf numFmtId="0" fontId="142" fillId="0" borderId="103" xfId="9" applyFont="1" applyBorder="1" applyAlignment="1">
      <alignment horizontal="center" vertical="center"/>
    </xf>
    <xf numFmtId="165" fontId="142" fillId="0" borderId="103" xfId="1" applyFont="1" applyBorder="1" applyAlignment="1">
      <alignment horizontal="right" vertical="center"/>
    </xf>
    <xf numFmtId="165" fontId="142" fillId="0" borderId="103" xfId="1" applyFont="1" applyBorder="1" applyAlignment="1">
      <alignment vertical="center"/>
    </xf>
    <xf numFmtId="165" fontId="142" fillId="0" borderId="103" xfId="1" applyFont="1" applyBorder="1" applyAlignment="1">
      <alignment vertical="center" wrapText="1"/>
    </xf>
    <xf numFmtId="165" fontId="142" fillId="0" borderId="103" xfId="1" applyFont="1" applyBorder="1" applyAlignment="1">
      <alignment horizontal="left" vertical="center" wrapText="1"/>
    </xf>
    <xf numFmtId="0" fontId="127" fillId="0" borderId="103" xfId="9" applyFont="1" applyBorder="1" applyAlignment="1">
      <alignment horizontal="left" vertical="center"/>
    </xf>
    <xf numFmtId="0" fontId="142" fillId="0" borderId="103" xfId="9" applyFont="1" applyBorder="1" applyAlignment="1">
      <alignment horizontal="left" vertical="center"/>
    </xf>
    <xf numFmtId="165" fontId="142" fillId="0" borderId="103" xfId="1" quotePrefix="1" applyFont="1" applyBorder="1" applyAlignment="1">
      <alignment horizontal="right" vertical="center"/>
    </xf>
    <xf numFmtId="0" fontId="142" fillId="0" borderId="103" xfId="0" applyFont="1" applyBorder="1" applyAlignment="1">
      <alignment vertical="center"/>
    </xf>
    <xf numFmtId="0" fontId="142" fillId="0" borderId="103" xfId="9" applyFont="1" applyBorder="1" applyAlignment="1">
      <alignment vertical="center"/>
    </xf>
    <xf numFmtId="0" fontId="141" fillId="0" borderId="103" xfId="9" applyFont="1" applyBorder="1" applyAlignment="1">
      <alignment horizontal="left" vertical="center"/>
    </xf>
    <xf numFmtId="165" fontId="142" fillId="0" borderId="103" xfId="1" quotePrefix="1" applyFont="1" applyBorder="1" applyAlignment="1">
      <alignment horizontal="left" vertical="center"/>
    </xf>
    <xf numFmtId="0" fontId="141" fillId="0" borderId="103" xfId="0" applyFont="1" applyBorder="1" applyAlignment="1">
      <alignment vertical="center"/>
    </xf>
    <xf numFmtId="165" fontId="142" fillId="0" borderId="103" xfId="1" applyFont="1" applyBorder="1" applyAlignment="1">
      <alignment horizontal="center" vertical="center"/>
    </xf>
    <xf numFmtId="0" fontId="141" fillId="0" borderId="103" xfId="1" applyNumberFormat="1" applyFont="1" applyBorder="1" applyAlignment="1">
      <alignment horizontal="center" vertical="top" wrapText="1"/>
    </xf>
    <xf numFmtId="0" fontId="142" fillId="0" borderId="103" xfId="1" applyNumberFormat="1" applyFont="1" applyBorder="1" applyAlignment="1">
      <alignment horizontal="center" vertical="center" wrapText="1"/>
    </xf>
    <xf numFmtId="0" fontId="142" fillId="0" borderId="103" xfId="0" applyFont="1" applyBorder="1" applyAlignment="1">
      <alignment horizontal="center" vertical="center"/>
    </xf>
    <xf numFmtId="165" fontId="120" fillId="2" borderId="0" xfId="1" applyFont="1" applyFill="1" applyAlignment="1">
      <alignment horizontal="right" vertical="center"/>
    </xf>
    <xf numFmtId="165" fontId="141" fillId="0" borderId="103" xfId="1" applyFont="1" applyBorder="1" applyAlignment="1">
      <alignment horizontal="center" vertical="center"/>
    </xf>
    <xf numFmtId="165" fontId="142" fillId="0" borderId="103" xfId="1" quotePrefix="1" applyFont="1" applyBorder="1" applyAlignment="1">
      <alignment horizontal="left" vertical="center" wrapText="1"/>
    </xf>
    <xf numFmtId="165" fontId="142" fillId="0" borderId="103" xfId="1" quotePrefix="1" applyFont="1" applyBorder="1" applyAlignment="1">
      <alignment vertical="center"/>
    </xf>
    <xf numFmtId="165" fontId="110" fillId="0" borderId="0" xfId="1" quotePrefix="1" applyFont="1" applyAlignment="1">
      <alignment horizontal="left" vertical="center"/>
    </xf>
    <xf numFmtId="165" fontId="110" fillId="0" borderId="0" xfId="1" quotePrefix="1" applyFont="1" applyAlignment="1">
      <alignment vertical="center"/>
    </xf>
    <xf numFmtId="2" fontId="120" fillId="0" borderId="0" xfId="0" applyNumberFormat="1" applyFont="1" applyAlignment="1">
      <alignment vertical="center"/>
    </xf>
    <xf numFmtId="0" fontId="128" fillId="0" borderId="103" xfId="0" applyFont="1" applyBorder="1" applyAlignment="1">
      <alignment vertical="center"/>
    </xf>
    <xf numFmtId="165" fontId="128" fillId="0" borderId="103" xfId="1" applyFont="1" applyBorder="1" applyAlignment="1">
      <alignment vertical="center"/>
    </xf>
    <xf numFmtId="165" fontId="128" fillId="0" borderId="103" xfId="1" applyFont="1" applyBorder="1" applyAlignment="1">
      <alignment horizontal="center"/>
    </xf>
    <xf numFmtId="0" fontId="78" fillId="0" borderId="103" xfId="297" applyBorder="1" applyAlignment="1"/>
    <xf numFmtId="0" fontId="78" fillId="0" borderId="103" xfId="297" applyBorder="1" applyAlignment="1">
      <alignment horizontal="center"/>
    </xf>
    <xf numFmtId="0" fontId="78" fillId="0" borderId="103" xfId="297" applyBorder="1" applyAlignment="1">
      <alignment horizontal="left" vertical="center" wrapText="1"/>
    </xf>
    <xf numFmtId="165" fontId="78" fillId="0" borderId="103" xfId="297" applyNumberFormat="1" applyBorder="1" applyAlignment="1">
      <alignment horizontal="center" vertical="center"/>
    </xf>
    <xf numFmtId="0" fontId="78" fillId="0" borderId="103" xfId="297" applyBorder="1" applyAlignment="1">
      <alignment horizontal="center" vertical="center" wrapText="1"/>
    </xf>
    <xf numFmtId="0" fontId="78" fillId="0" borderId="103" xfId="297" applyBorder="1">
      <alignment vertical="center"/>
    </xf>
    <xf numFmtId="0" fontId="78" fillId="0" borderId="103" xfId="297" applyBorder="1" applyAlignment="1">
      <alignment horizontal="left" vertical="center"/>
    </xf>
    <xf numFmtId="0" fontId="78" fillId="0" borderId="103" xfId="297" applyBorder="1" applyAlignment="1">
      <alignment horizontal="center" vertical="center"/>
    </xf>
    <xf numFmtId="0" fontId="78" fillId="0" borderId="103" xfId="297" quotePrefix="1" applyBorder="1" applyAlignment="1">
      <alignment horizontal="center" vertical="center"/>
    </xf>
    <xf numFmtId="165" fontId="78" fillId="0" borderId="103" xfId="297" quotePrefix="1" applyNumberFormat="1" applyBorder="1" applyAlignment="1">
      <alignment horizontal="center" vertical="center"/>
    </xf>
    <xf numFmtId="0" fontId="78" fillId="0" borderId="103" xfId="297" applyBorder="1" applyAlignment="1">
      <alignment vertical="center" wrapText="1"/>
    </xf>
    <xf numFmtId="0" fontId="78" fillId="0" borderId="53" xfId="297" applyBorder="1" applyAlignment="1"/>
    <xf numFmtId="0" fontId="78" fillId="0" borderId="100" xfId="297" applyBorder="1" applyAlignment="1"/>
    <xf numFmtId="0" fontId="185" fillId="0" borderId="103" xfId="0" applyFont="1" applyBorder="1"/>
    <xf numFmtId="165" fontId="185" fillId="0" borderId="103" xfId="0" applyNumberFormat="1" applyFont="1" applyBorder="1"/>
    <xf numFmtId="165" fontId="185" fillId="0" borderId="103" xfId="0" applyNumberFormat="1" applyFont="1" applyBorder="1" applyAlignment="1">
      <alignment vertical="center"/>
    </xf>
    <xf numFmtId="0" fontId="185" fillId="0" borderId="103" xfId="0" applyFont="1" applyBorder="1" applyAlignment="1">
      <alignment vertical="center"/>
    </xf>
    <xf numFmtId="0" fontId="113" fillId="7" borderId="53" xfId="0" applyFont="1" applyFill="1" applyBorder="1" applyAlignment="1">
      <alignment horizontal="center" vertical="center"/>
    </xf>
    <xf numFmtId="165" fontId="113" fillId="0" borderId="41" xfId="1" quotePrefix="1" applyFont="1" applyBorder="1" applyAlignment="1">
      <alignment horizontal="center" vertical="center"/>
    </xf>
    <xf numFmtId="0" fontId="113" fillId="0" borderId="103" xfId="0" applyFont="1" applyBorder="1"/>
    <xf numFmtId="165" fontId="113" fillId="0" borderId="103" xfId="0" applyNumberFormat="1" applyFont="1" applyBorder="1"/>
    <xf numFmtId="0" fontId="130" fillId="0" borderId="81" xfId="0" applyFont="1" applyBorder="1" applyAlignment="1">
      <alignment horizontal="left" vertical="center"/>
    </xf>
    <xf numFmtId="0" fontId="130" fillId="0" borderId="49" xfId="0" applyFont="1" applyBorder="1" applyAlignment="1">
      <alignment vertical="center"/>
    </xf>
    <xf numFmtId="0" fontId="130" fillId="0" borderId="46" xfId="0" applyFont="1" applyBorder="1" applyAlignment="1">
      <alignment vertical="center"/>
    </xf>
    <xf numFmtId="0" fontId="130" fillId="0" borderId="0" xfId="0" applyFont="1" applyAlignment="1">
      <alignment horizontal="right" vertical="center"/>
    </xf>
    <xf numFmtId="165" fontId="130" fillId="0" borderId="0" xfId="1" applyFont="1" applyAlignment="1">
      <alignment horizontal="right" vertical="center"/>
    </xf>
    <xf numFmtId="165" fontId="138" fillId="0" borderId="0" xfId="1" applyFont="1" applyAlignment="1">
      <alignment horizontal="right" vertical="center"/>
    </xf>
    <xf numFmtId="0" fontId="138" fillId="0" borderId="0" xfId="0" applyFont="1" applyAlignment="1">
      <alignment horizontal="right" vertical="center"/>
    </xf>
    <xf numFmtId="165" fontId="137" fillId="0" borderId="0" xfId="1" applyFont="1" applyAlignment="1">
      <alignment horizontal="right" vertical="center"/>
    </xf>
    <xf numFmtId="0" fontId="137" fillId="0" borderId="0" xfId="0" applyFont="1" applyAlignment="1">
      <alignment horizontal="right" vertical="center"/>
    </xf>
    <xf numFmtId="165" fontId="131" fillId="0" borderId="0" xfId="1" applyFont="1" applyAlignment="1">
      <alignment horizontal="right" vertical="center" shrinkToFit="1"/>
    </xf>
    <xf numFmtId="0" fontId="103" fillId="0" borderId="0" xfId="0" applyFont="1" applyAlignment="1">
      <alignment horizontal="right" vertical="center"/>
    </xf>
    <xf numFmtId="165" fontId="177" fillId="0" borderId="0" xfId="1" applyFont="1" applyAlignment="1">
      <alignment horizontal="right" vertical="center" shrinkToFit="1"/>
    </xf>
    <xf numFmtId="170" fontId="177" fillId="0" borderId="0" xfId="1" applyNumberFormat="1" applyFont="1" applyAlignment="1">
      <alignment horizontal="right" vertical="center" shrinkToFit="1"/>
    </xf>
    <xf numFmtId="165" fontId="103" fillId="0" borderId="0" xfId="1" applyFont="1" applyAlignment="1">
      <alignment horizontal="right" vertical="center"/>
    </xf>
    <xf numFmtId="165" fontId="103" fillId="0" borderId="102" xfId="1" applyFont="1" applyBorder="1" applyAlignment="1">
      <alignment horizontal="left" vertical="center"/>
    </xf>
    <xf numFmtId="165" fontId="103" fillId="9" borderId="29" xfId="1" applyFont="1" applyFill="1" applyBorder="1" applyAlignment="1">
      <alignment horizontal="center" vertical="center"/>
    </xf>
    <xf numFmtId="165" fontId="103" fillId="9" borderId="50" xfId="1" applyFont="1" applyFill="1" applyBorder="1" applyAlignment="1">
      <alignment horizontal="center" vertical="center"/>
    </xf>
    <xf numFmtId="0" fontId="130" fillId="0" borderId="49" xfId="0" applyFont="1" applyBorder="1" applyAlignment="1">
      <alignment horizontal="left" vertical="center"/>
    </xf>
    <xf numFmtId="165" fontId="148" fillId="0" borderId="0" xfId="1" applyFont="1" applyBorder="1" applyAlignment="1">
      <alignment horizontal="center" vertical="center"/>
    </xf>
    <xf numFmtId="0" fontId="171" fillId="0" borderId="0" xfId="0" applyFont="1" applyAlignment="1">
      <alignment horizontal="left" vertical="center"/>
    </xf>
    <xf numFmtId="165" fontId="162" fillId="0" borderId="0" xfId="1" applyFont="1" applyBorder="1" applyAlignment="1">
      <alignment vertical="center"/>
    </xf>
    <xf numFmtId="0" fontId="162" fillId="0" borderId="0" xfId="0" applyFont="1" applyAlignment="1">
      <alignment horizontal="center" vertical="center"/>
    </xf>
    <xf numFmtId="0" fontId="162" fillId="0" borderId="0" xfId="0" applyFont="1" applyAlignment="1">
      <alignment vertical="center"/>
    </xf>
    <xf numFmtId="165" fontId="162" fillId="0" borderId="0" xfId="1" applyFont="1" applyBorder="1" applyAlignment="1">
      <alignment horizontal="center" vertical="center"/>
    </xf>
    <xf numFmtId="165" fontId="130" fillId="0" borderId="0" xfId="1" applyFont="1" applyBorder="1" applyAlignment="1">
      <alignment horizontal="center" vertical="center"/>
    </xf>
    <xf numFmtId="165" fontId="130" fillId="0" borderId="0" xfId="1" applyFont="1" applyBorder="1" applyAlignment="1">
      <alignment vertical="center"/>
    </xf>
    <xf numFmtId="165" fontId="161" fillId="0" borderId="0" xfId="1" applyFont="1" applyBorder="1" applyAlignment="1">
      <alignment vertical="center"/>
    </xf>
    <xf numFmtId="14" fontId="161" fillId="0" borderId="0" xfId="0" applyNumberFormat="1" applyFont="1" applyAlignment="1">
      <alignment vertical="center"/>
    </xf>
    <xf numFmtId="165" fontId="161" fillId="0" borderId="0" xfId="1" applyFont="1" applyBorder="1" applyAlignment="1">
      <alignment horizontal="center" vertical="center"/>
    </xf>
    <xf numFmtId="0" fontId="103" fillId="0" borderId="0" xfId="1" applyNumberFormat="1" applyFont="1" applyBorder="1" applyAlignment="1">
      <alignment horizontal="left" vertical="center"/>
    </xf>
    <xf numFmtId="0" fontId="161" fillId="0" borderId="0" xfId="0" applyFont="1" applyAlignment="1">
      <alignment horizontal="center" vertical="center"/>
    </xf>
    <xf numFmtId="165" fontId="103" fillId="0" borderId="0" xfId="1" applyFont="1" applyBorder="1" applyAlignment="1">
      <alignment horizontal="left" vertical="center"/>
    </xf>
    <xf numFmtId="165" fontId="165" fillId="0" borderId="0" xfId="1" applyFont="1" applyBorder="1" applyAlignment="1">
      <alignment horizontal="center" vertical="center" shrinkToFit="1"/>
    </xf>
    <xf numFmtId="0" fontId="164" fillId="0" borderId="0" xfId="0" applyFont="1" applyAlignment="1">
      <alignment horizontal="left" vertical="center"/>
    </xf>
    <xf numFmtId="0" fontId="109" fillId="0" borderId="103" xfId="0" applyFont="1" applyBorder="1"/>
    <xf numFmtId="0" fontId="109" fillId="0" borderId="39" xfId="0" applyFont="1" applyBorder="1"/>
    <xf numFmtId="0" fontId="109" fillId="0" borderId="100" xfId="0" applyFont="1" applyBorder="1"/>
    <xf numFmtId="0" fontId="109" fillId="3" borderId="39" xfId="0" applyFont="1" applyFill="1" applyBorder="1"/>
    <xf numFmtId="0" fontId="109" fillId="3" borderId="100" xfId="0" applyFont="1" applyFill="1" applyBorder="1"/>
    <xf numFmtId="0" fontId="187" fillId="8" borderId="103" xfId="0" applyFont="1" applyFill="1" applyBorder="1" applyAlignment="1" applyProtection="1">
      <alignment horizontal="center" vertical="center"/>
      <protection locked="0"/>
    </xf>
    <xf numFmtId="190" fontId="188" fillId="8" borderId="103" xfId="45" applyNumberFormat="1" applyFont="1" applyFill="1" applyBorder="1" applyAlignment="1" applyProtection="1">
      <alignment horizontal="center" vertical="center"/>
      <protection locked="0"/>
    </xf>
    <xf numFmtId="0" fontId="128" fillId="0" borderId="14" xfId="1" applyNumberFormat="1" applyFont="1" applyBorder="1" applyAlignment="1">
      <alignment horizontal="left" vertical="center"/>
    </xf>
    <xf numFmtId="165" fontId="128" fillId="0" borderId="0" xfId="0" applyNumberFormat="1" applyFont="1" applyAlignment="1">
      <alignment horizontal="left" vertical="center"/>
    </xf>
    <xf numFmtId="165" fontId="128" fillId="0" borderId="0" xfId="1" applyFont="1" applyBorder="1" applyAlignment="1">
      <alignment horizontal="center" vertical="center"/>
    </xf>
    <xf numFmtId="165" fontId="128" fillId="0" borderId="0" xfId="1" applyFont="1" applyBorder="1" applyAlignment="1">
      <alignment vertical="center"/>
    </xf>
    <xf numFmtId="0" fontId="0" fillId="0" borderId="14" xfId="0" applyBorder="1"/>
    <xf numFmtId="0" fontId="162" fillId="0" borderId="19" xfId="0" applyFont="1" applyBorder="1" applyAlignment="1">
      <alignment horizontal="center" vertical="center"/>
    </xf>
    <xf numFmtId="0" fontId="12" fillId="0" borderId="0" xfId="0" applyFont="1"/>
    <xf numFmtId="0" fontId="128" fillId="0" borderId="19" xfId="0" applyFont="1" applyBorder="1" applyAlignment="1">
      <alignment horizontal="left" vertical="center"/>
    </xf>
    <xf numFmtId="0" fontId="128" fillId="0" borderId="14" xfId="0" applyFont="1" applyBorder="1" applyAlignment="1">
      <alignment horizontal="left" vertical="center"/>
    </xf>
    <xf numFmtId="0" fontId="12" fillId="0" borderId="19" xfId="0" applyFont="1" applyBorder="1"/>
    <xf numFmtId="0" fontId="0" fillId="0" borderId="19" xfId="0" applyBorder="1"/>
    <xf numFmtId="0" fontId="109" fillId="0" borderId="103" xfId="1" applyNumberFormat="1" applyFont="1" applyBorder="1" applyAlignment="1">
      <alignment vertical="center"/>
    </xf>
    <xf numFmtId="0" fontId="113" fillId="0" borderId="103" xfId="1" applyNumberFormat="1" applyFont="1" applyBorder="1" applyAlignment="1">
      <alignment vertical="center"/>
    </xf>
    <xf numFmtId="0" fontId="113" fillId="0" borderId="103" xfId="0" applyFont="1" applyBorder="1" applyAlignment="1">
      <alignment horizontal="left" vertical="center"/>
    </xf>
    <xf numFmtId="0" fontId="113" fillId="0" borderId="103" xfId="0" applyFont="1" applyBorder="1" applyAlignment="1">
      <alignment vertical="center"/>
    </xf>
    <xf numFmtId="0" fontId="188" fillId="0" borderId="103" xfId="325" applyFont="1" applyBorder="1" applyAlignment="1">
      <alignment horizontal="center" vertical="center"/>
    </xf>
    <xf numFmtId="0" fontId="189" fillId="0" borderId="103" xfId="325" applyFont="1" applyBorder="1" applyAlignment="1">
      <alignment horizontal="center" vertical="center"/>
    </xf>
    <xf numFmtId="0" fontId="188" fillId="0" borderId="103" xfId="325" applyFont="1" applyBorder="1">
      <alignment vertical="center"/>
    </xf>
    <xf numFmtId="0" fontId="188" fillId="0" borderId="103" xfId="0" applyFont="1" applyBorder="1" applyAlignment="1">
      <alignment horizontal="center" vertical="center"/>
    </xf>
    <xf numFmtId="41" fontId="188" fillId="8" borderId="103" xfId="45" applyNumberFormat="1" applyFont="1" applyFill="1" applyBorder="1" applyAlignment="1">
      <alignment horizontal="center" vertical="center"/>
    </xf>
    <xf numFmtId="0" fontId="187" fillId="0" borderId="103" xfId="0" quotePrefix="1" applyFont="1" applyBorder="1" applyAlignment="1" applyProtection="1">
      <alignment horizontal="center" vertical="center"/>
      <protection locked="0"/>
    </xf>
    <xf numFmtId="41" fontId="188" fillId="0" borderId="103" xfId="45" applyNumberFormat="1" applyFont="1" applyFill="1" applyBorder="1" applyAlignment="1">
      <alignment vertical="center"/>
    </xf>
    <xf numFmtId="0" fontId="190" fillId="0" borderId="82" xfId="0" applyFont="1" applyBorder="1" applyAlignment="1">
      <alignment vertical="center"/>
    </xf>
    <xf numFmtId="0" fontId="190" fillId="0" borderId="83" xfId="0" applyFont="1" applyBorder="1" applyAlignment="1">
      <alignment vertical="center"/>
    </xf>
    <xf numFmtId="0" fontId="190" fillId="0" borderId="80" xfId="0" applyFont="1" applyBorder="1" applyAlignment="1">
      <alignment vertical="center"/>
    </xf>
    <xf numFmtId="0" fontId="190" fillId="0" borderId="96" xfId="0" applyFont="1" applyBorder="1" applyAlignment="1">
      <alignment vertical="center"/>
    </xf>
    <xf numFmtId="0" fontId="190" fillId="0" borderId="0" xfId="0" applyFont="1" applyAlignment="1">
      <alignment vertical="center"/>
    </xf>
    <xf numFmtId="0" fontId="190" fillId="0" borderId="97" xfId="0" applyFont="1" applyBorder="1" applyAlignment="1">
      <alignment vertical="center"/>
    </xf>
    <xf numFmtId="0" fontId="190" fillId="0" borderId="6" xfId="0" applyFont="1" applyBorder="1" applyAlignment="1">
      <alignment vertical="center"/>
    </xf>
    <xf numFmtId="0" fontId="190" fillId="0" borderId="3" xfId="0" applyFont="1" applyBorder="1" applyAlignment="1">
      <alignment vertical="center"/>
    </xf>
    <xf numFmtId="0" fontId="190" fillId="0" borderId="61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09" fillId="7" borderId="5" xfId="0" applyFont="1" applyFill="1" applyBorder="1" applyAlignment="1">
      <alignment horizontal="center" vertical="center"/>
    </xf>
    <xf numFmtId="165" fontId="109" fillId="7" borderId="5" xfId="1" applyFont="1" applyFill="1" applyBorder="1" applyAlignment="1">
      <alignment horizontal="right" vertical="center"/>
    </xf>
    <xf numFmtId="0" fontId="109" fillId="7" borderId="5" xfId="0" applyFont="1" applyFill="1" applyBorder="1" applyAlignment="1">
      <alignment horizontal="center" vertical="center" wrapText="1"/>
    </xf>
    <xf numFmtId="0" fontId="109" fillId="7" borderId="33" xfId="0" applyFont="1" applyFill="1" applyBorder="1" applyAlignment="1">
      <alignment horizontal="center" vertical="center" wrapText="1"/>
    </xf>
    <xf numFmtId="0" fontId="109" fillId="7" borderId="36" xfId="0" applyFont="1" applyFill="1" applyBorder="1" applyAlignment="1">
      <alignment horizontal="center" vertical="center"/>
    </xf>
    <xf numFmtId="0" fontId="193" fillId="0" borderId="0" xfId="0" applyFont="1" applyAlignment="1">
      <alignment vertical="center"/>
    </xf>
    <xf numFmtId="165" fontId="109" fillId="0" borderId="24" xfId="1" applyFont="1" applyBorder="1" applyAlignment="1">
      <alignment horizontal="left" vertical="center"/>
    </xf>
    <xf numFmtId="0" fontId="109" fillId="0" borderId="24" xfId="0" quotePrefix="1" applyFont="1" applyBorder="1" applyAlignment="1">
      <alignment horizontal="center" vertical="center"/>
    </xf>
    <xf numFmtId="165" fontId="109" fillId="0" borderId="53" xfId="1" quotePrefix="1" applyFont="1" applyBorder="1" applyAlignment="1">
      <alignment horizontal="center" vertical="center"/>
    </xf>
    <xf numFmtId="165" fontId="109" fillId="0" borderId="23" xfId="1" quotePrefix="1" applyFont="1" applyBorder="1" applyAlignment="1">
      <alignment horizontal="center" vertical="center"/>
    </xf>
    <xf numFmtId="165" fontId="109" fillId="0" borderId="24" xfId="1" quotePrefix="1" applyFont="1" applyBorder="1" applyAlignment="1">
      <alignment horizontal="center" vertical="center"/>
    </xf>
    <xf numFmtId="165" fontId="109" fillId="0" borderId="25" xfId="1" quotePrefix="1" applyFont="1" applyBorder="1" applyAlignment="1">
      <alignment horizontal="center" vertical="center"/>
    </xf>
    <xf numFmtId="0" fontId="193" fillId="0" borderId="0" xfId="0" applyFont="1"/>
    <xf numFmtId="165" fontId="109" fillId="0" borderId="103" xfId="1" applyFont="1" applyBorder="1" applyAlignment="1">
      <alignment horizontal="left" vertical="center"/>
    </xf>
    <xf numFmtId="165" fontId="109" fillId="0" borderId="103" xfId="0" quotePrefix="1" applyNumberFormat="1" applyFont="1" applyBorder="1" applyAlignment="1">
      <alignment horizontal="center" vertical="center"/>
    </xf>
    <xf numFmtId="165" fontId="109" fillId="0" borderId="100" xfId="1" quotePrefix="1" applyFont="1" applyBorder="1" applyAlignment="1">
      <alignment horizontal="center" vertical="center"/>
    </xf>
    <xf numFmtId="165" fontId="109" fillId="0" borderId="38" xfId="1" quotePrefix="1" applyFont="1" applyBorder="1" applyAlignment="1">
      <alignment horizontal="center" vertical="center"/>
    </xf>
    <xf numFmtId="165" fontId="109" fillId="0" borderId="103" xfId="1" quotePrefix="1" applyFont="1" applyBorder="1" applyAlignment="1">
      <alignment horizontal="center" vertical="center"/>
    </xf>
    <xf numFmtId="165" fontId="109" fillId="0" borderId="102" xfId="1" quotePrefix="1" applyFont="1" applyBorder="1" applyAlignment="1">
      <alignment horizontal="center" vertical="center"/>
    </xf>
    <xf numFmtId="0" fontId="109" fillId="0" borderId="103" xfId="0" quotePrefix="1" applyFont="1" applyBorder="1" applyAlignment="1">
      <alignment horizontal="center" vertical="center"/>
    </xf>
    <xf numFmtId="165" fontId="109" fillId="0" borderId="103" xfId="1" applyFont="1" applyBorder="1" applyAlignment="1">
      <alignment vertical="center"/>
    </xf>
    <xf numFmtId="0" fontId="109" fillId="0" borderId="103" xfId="0" applyFont="1" applyBorder="1" applyAlignment="1">
      <alignment vertical="center"/>
    </xf>
    <xf numFmtId="0" fontId="109" fillId="0" borderId="103" xfId="0" applyFont="1" applyBorder="1" applyAlignment="1">
      <alignment horizontal="center" vertical="center"/>
    </xf>
    <xf numFmtId="165" fontId="109" fillId="0" borderId="102" xfId="1" applyFont="1" applyBorder="1" applyAlignment="1">
      <alignment horizontal="center" vertical="center"/>
    </xf>
    <xf numFmtId="165" fontId="109" fillId="0" borderId="103" xfId="0" applyNumberFormat="1" applyFont="1" applyBorder="1" applyAlignment="1">
      <alignment vertical="center"/>
    </xf>
    <xf numFmtId="165" fontId="109" fillId="0" borderId="5" xfId="1" applyFont="1" applyBorder="1" applyAlignment="1">
      <alignment vertical="center"/>
    </xf>
    <xf numFmtId="0" fontId="109" fillId="0" borderId="5" xfId="0" applyFont="1" applyBorder="1" applyAlignment="1">
      <alignment vertical="center"/>
    </xf>
    <xf numFmtId="0" fontId="109" fillId="0" borderId="5" xfId="0" quotePrefix="1" applyFont="1" applyBorder="1" applyAlignment="1">
      <alignment horizontal="center" vertical="center"/>
    </xf>
    <xf numFmtId="165" fontId="109" fillId="0" borderId="5" xfId="1" quotePrefix="1" applyFont="1" applyBorder="1" applyAlignment="1">
      <alignment horizontal="center" vertical="center"/>
    </xf>
    <xf numFmtId="165" fontId="109" fillId="0" borderId="33" xfId="1" quotePrefix="1" applyFont="1" applyBorder="1" applyAlignment="1">
      <alignment horizontal="center" vertical="center"/>
    </xf>
    <xf numFmtId="165" fontId="109" fillId="0" borderId="36" xfId="1" quotePrefix="1" applyFont="1" applyBorder="1" applyAlignment="1">
      <alignment horizontal="center" vertical="center"/>
    </xf>
    <xf numFmtId="165" fontId="109" fillId="0" borderId="62" xfId="1" applyFont="1" applyBorder="1" applyAlignment="1">
      <alignment vertical="center"/>
    </xf>
    <xf numFmtId="0" fontId="109" fillId="0" borderId="62" xfId="0" applyFont="1" applyBorder="1" applyAlignment="1">
      <alignment vertical="center"/>
    </xf>
    <xf numFmtId="165" fontId="109" fillId="0" borderId="62" xfId="0" quotePrefix="1" applyNumberFormat="1" applyFont="1" applyBorder="1" applyAlignment="1">
      <alignment horizontal="center" vertical="center"/>
    </xf>
    <xf numFmtId="0" fontId="109" fillId="0" borderId="62" xfId="0" quotePrefix="1" applyFont="1" applyBorder="1" applyAlignment="1">
      <alignment horizontal="center" vertical="center"/>
    </xf>
    <xf numFmtId="165" fontId="109" fillId="0" borderId="62" xfId="1" quotePrefix="1" applyFont="1" applyBorder="1" applyAlignment="1">
      <alignment horizontal="center" vertical="center"/>
    </xf>
    <xf numFmtId="165" fontId="109" fillId="0" borderId="40" xfId="1" quotePrefix="1" applyFont="1" applyBorder="1" applyAlignment="1">
      <alignment horizontal="center" vertical="center"/>
    </xf>
    <xf numFmtId="165" fontId="109" fillId="0" borderId="99" xfId="1" applyFont="1" applyBorder="1" applyAlignment="1">
      <alignment vertical="center"/>
    </xf>
    <xf numFmtId="0" fontId="109" fillId="0" borderId="99" xfId="0" applyFont="1" applyBorder="1" applyAlignment="1">
      <alignment vertical="center"/>
    </xf>
    <xf numFmtId="0" fontId="109" fillId="0" borderId="99" xfId="0" quotePrefix="1" applyFont="1" applyBorder="1" applyAlignment="1">
      <alignment horizontal="center" vertical="center"/>
    </xf>
    <xf numFmtId="165" fontId="109" fillId="0" borderId="99" xfId="1" quotePrefix="1" applyFont="1" applyBorder="1" applyAlignment="1">
      <alignment horizontal="center" vertical="center"/>
    </xf>
    <xf numFmtId="165" fontId="109" fillId="0" borderId="7" xfId="1" quotePrefix="1" applyFont="1" applyBorder="1" applyAlignment="1">
      <alignment horizontal="center" vertical="center"/>
    </xf>
    <xf numFmtId="165" fontId="109" fillId="0" borderId="10" xfId="1" applyFont="1" applyBorder="1" applyAlignment="1">
      <alignment vertical="center"/>
    </xf>
    <xf numFmtId="0" fontId="109" fillId="0" borderId="10" xfId="0" applyFont="1" applyBorder="1" applyAlignment="1">
      <alignment vertical="center"/>
    </xf>
    <xf numFmtId="0" fontId="109" fillId="0" borderId="10" xfId="0" quotePrefix="1" applyFont="1" applyBorder="1" applyAlignment="1">
      <alignment horizontal="center" vertical="center"/>
    </xf>
    <xf numFmtId="165" fontId="109" fillId="0" borderId="41" xfId="1" quotePrefix="1" applyFont="1" applyBorder="1" applyAlignment="1">
      <alignment horizontal="center" vertical="center"/>
    </xf>
    <xf numFmtId="165" fontId="109" fillId="0" borderId="27" xfId="1" quotePrefix="1" applyFont="1" applyBorder="1" applyAlignment="1">
      <alignment horizontal="center" vertical="center"/>
    </xf>
    <xf numFmtId="165" fontId="109" fillId="0" borderId="10" xfId="1" quotePrefix="1" applyFont="1" applyBorder="1" applyAlignment="1">
      <alignment horizontal="center" vertical="center"/>
    </xf>
    <xf numFmtId="165" fontId="109" fillId="0" borderId="11" xfId="1" quotePrefix="1" applyFont="1" applyBorder="1" applyAlignment="1">
      <alignment horizontal="center" vertical="center"/>
    </xf>
    <xf numFmtId="0" fontId="193" fillId="0" borderId="0" xfId="0" applyFont="1" applyAlignment="1">
      <alignment horizontal="center"/>
    </xf>
    <xf numFmtId="165" fontId="109" fillId="0" borderId="103" xfId="1" applyFont="1" applyFill="1" applyBorder="1" applyAlignment="1">
      <alignment vertical="center"/>
    </xf>
    <xf numFmtId="165" fontId="109" fillId="0" borderId="102" xfId="1" applyFont="1" applyFill="1" applyBorder="1" applyAlignment="1">
      <alignment horizontal="center" vertical="center"/>
    </xf>
    <xf numFmtId="0" fontId="109" fillId="0" borderId="0" xfId="0" applyFont="1" applyAlignment="1">
      <alignment vertical="center" wrapText="1"/>
    </xf>
    <xf numFmtId="165" fontId="193" fillId="0" borderId="0" xfId="1" applyFont="1" applyAlignment="1">
      <alignment horizontal="right"/>
    </xf>
    <xf numFmtId="165" fontId="193" fillId="0" borderId="0" xfId="1" applyFont="1" applyAlignment="1">
      <alignment horizontal="center"/>
    </xf>
    <xf numFmtId="0" fontId="193" fillId="0" borderId="0" xfId="0" applyFont="1" applyAlignment="1">
      <alignment horizontal="center" vertical="center"/>
    </xf>
    <xf numFmtId="165" fontId="193" fillId="0" borderId="0" xfId="1" applyFont="1" applyAlignment="1">
      <alignment horizontal="center" vertical="center"/>
    </xf>
    <xf numFmtId="0" fontId="193" fillId="0" borderId="0" xfId="0" quotePrefix="1" applyFont="1" applyAlignment="1">
      <alignment horizontal="center" vertical="center"/>
    </xf>
    <xf numFmtId="165" fontId="193" fillId="0" borderId="0" xfId="1" quotePrefix="1" applyFont="1" applyAlignment="1">
      <alignment horizontal="center" vertical="center"/>
    </xf>
    <xf numFmtId="0" fontId="194" fillId="0" borderId="0" xfId="0" applyFont="1" applyAlignment="1">
      <alignment horizontal="center"/>
    </xf>
    <xf numFmtId="0" fontId="192" fillId="0" borderId="0" xfId="0" applyFont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65" fontId="193" fillId="0" borderId="0" xfId="1" applyFont="1" applyAlignment="1">
      <alignment horizontal="right" vertical="center"/>
    </xf>
    <xf numFmtId="165" fontId="193" fillId="0" borderId="0" xfId="0" applyNumberFormat="1" applyFont="1" applyAlignment="1">
      <alignment vertical="center"/>
    </xf>
    <xf numFmtId="0" fontId="192" fillId="0" borderId="0" xfId="0" applyFont="1" applyAlignment="1">
      <alignment vertical="center" wrapText="1"/>
    </xf>
    <xf numFmtId="165" fontId="192" fillId="0" borderId="0" xfId="1" applyFont="1" applyAlignment="1">
      <alignment horizontal="right" vertical="center"/>
    </xf>
    <xf numFmtId="165" fontId="193" fillId="0" borderId="0" xfId="0" applyNumberFormat="1" applyFont="1"/>
    <xf numFmtId="165" fontId="193" fillId="0" borderId="0" xfId="1" applyFont="1"/>
    <xf numFmtId="165" fontId="193" fillId="0" borderId="0" xfId="1" applyFont="1" applyAlignment="1">
      <alignment horizontal="left" vertical="center"/>
    </xf>
    <xf numFmtId="165" fontId="194" fillId="0" borderId="0" xfId="1" quotePrefix="1" applyFont="1" applyAlignment="1">
      <alignment horizontal="center" vertical="center"/>
    </xf>
    <xf numFmtId="165" fontId="193" fillId="0" borderId="0" xfId="0" quotePrefix="1" applyNumberFormat="1" applyFont="1" applyAlignment="1">
      <alignment horizontal="center" vertical="center"/>
    </xf>
    <xf numFmtId="165" fontId="194" fillId="0" borderId="0" xfId="1" applyFont="1"/>
    <xf numFmtId="165" fontId="194" fillId="0" borderId="0" xfId="1" applyFont="1" applyAlignment="1">
      <alignment horizontal="left" vertical="center"/>
    </xf>
    <xf numFmtId="165" fontId="194" fillId="0" borderId="0" xfId="0" quotePrefix="1" applyNumberFormat="1" applyFont="1" applyAlignment="1">
      <alignment horizontal="center" vertical="center"/>
    </xf>
    <xf numFmtId="0" fontId="194" fillId="0" borderId="0" xfId="0" applyFont="1"/>
    <xf numFmtId="0" fontId="194" fillId="0" borderId="59" xfId="0" applyFont="1" applyBorder="1" applyAlignment="1">
      <alignment horizontal="center"/>
    </xf>
    <xf numFmtId="0" fontId="193" fillId="0" borderId="0" xfId="0" applyFont="1" applyAlignment="1">
      <alignment horizontal="left" vertical="center"/>
    </xf>
    <xf numFmtId="165" fontId="194" fillId="0" borderId="59" xfId="0" applyNumberFormat="1" applyFont="1" applyBorder="1" applyAlignment="1">
      <alignment horizontal="center"/>
    </xf>
    <xf numFmtId="0" fontId="109" fillId="7" borderId="59" xfId="0" applyFont="1" applyFill="1" applyBorder="1" applyAlignment="1">
      <alignment horizontal="center" vertical="center"/>
    </xf>
    <xf numFmtId="0" fontId="109" fillId="7" borderId="62" xfId="0" applyFont="1" applyFill="1" applyBorder="1" applyAlignment="1">
      <alignment horizontal="center" vertical="center"/>
    </xf>
    <xf numFmtId="165" fontId="109" fillId="7" borderId="59" xfId="1" applyFont="1" applyFill="1" applyBorder="1" applyAlignment="1">
      <alignment horizontal="right" vertical="center"/>
    </xf>
    <xf numFmtId="165" fontId="109" fillId="7" borderId="59" xfId="0" applyNumberFormat="1" applyFont="1" applyFill="1" applyBorder="1" applyAlignment="1">
      <alignment vertical="center"/>
    </xf>
    <xf numFmtId="165" fontId="109" fillId="7" borderId="62" xfId="0" applyNumberFormat="1" applyFont="1" applyFill="1" applyBorder="1" applyAlignment="1">
      <alignment vertical="center"/>
    </xf>
    <xf numFmtId="0" fontId="109" fillId="7" borderId="59" xfId="0" applyFont="1" applyFill="1" applyBorder="1" applyAlignment="1">
      <alignment vertical="center" wrapText="1"/>
    </xf>
    <xf numFmtId="0" fontId="109" fillId="7" borderId="7" xfId="0" applyFont="1" applyFill="1" applyBorder="1" applyAlignment="1">
      <alignment horizontal="center" vertical="center" wrapText="1"/>
    </xf>
    <xf numFmtId="0" fontId="109" fillId="7" borderId="23" xfId="0" applyFont="1" applyFill="1" applyBorder="1" applyAlignment="1">
      <alignment horizontal="center" vertical="center"/>
    </xf>
    <xf numFmtId="0" fontId="109" fillId="7" borderId="24" xfId="0" applyFont="1" applyFill="1" applyBorder="1" applyAlignment="1">
      <alignment horizontal="center" vertical="center"/>
    </xf>
    <xf numFmtId="0" fontId="109" fillId="7" borderId="25" xfId="0" applyFont="1" applyFill="1" applyBorder="1" applyAlignment="1">
      <alignment horizontal="center" vertical="center"/>
    </xf>
    <xf numFmtId="165" fontId="193" fillId="0" borderId="0" xfId="1" applyFont="1" applyAlignment="1">
      <alignment vertical="center"/>
    </xf>
    <xf numFmtId="0" fontId="109" fillId="0" borderId="51" xfId="0" applyFont="1" applyBorder="1" applyAlignment="1">
      <alignment vertical="center"/>
    </xf>
    <xf numFmtId="165" fontId="109" fillId="0" borderId="24" xfId="1" applyFont="1" applyBorder="1" applyAlignment="1">
      <alignment horizontal="right" vertical="center"/>
    </xf>
    <xf numFmtId="165" fontId="109" fillId="0" borderId="24" xfId="0" applyNumberFormat="1" applyFont="1" applyBorder="1" applyAlignment="1">
      <alignment vertical="center"/>
    </xf>
    <xf numFmtId="165" fontId="109" fillId="0" borderId="24" xfId="1" applyFont="1" applyBorder="1" applyAlignment="1">
      <alignment vertical="center"/>
    </xf>
    <xf numFmtId="0" fontId="109" fillId="0" borderId="24" xfId="0" applyFont="1" applyBorder="1" applyAlignment="1">
      <alignment vertical="center"/>
    </xf>
    <xf numFmtId="0" fontId="109" fillId="0" borderId="101" xfId="0" applyFont="1" applyBorder="1" applyAlignment="1">
      <alignment vertical="center"/>
    </xf>
    <xf numFmtId="165" fontId="109" fillId="0" borderId="103" xfId="1" applyFont="1" applyBorder="1" applyAlignment="1">
      <alignment horizontal="right" vertical="center"/>
    </xf>
    <xf numFmtId="165" fontId="109" fillId="0" borderId="100" xfId="1" applyFont="1" applyBorder="1" applyAlignment="1">
      <alignment vertical="center"/>
    </xf>
    <xf numFmtId="165" fontId="109" fillId="0" borderId="103" xfId="1" applyFont="1" applyBorder="1" applyAlignment="1">
      <alignment horizontal="center" vertical="center"/>
    </xf>
    <xf numFmtId="165" fontId="109" fillId="0" borderId="38" xfId="1" applyFont="1" applyBorder="1" applyAlignment="1">
      <alignment horizontal="center" vertical="center"/>
    </xf>
    <xf numFmtId="165" fontId="109" fillId="0" borderId="103" xfId="1" applyFont="1" applyFill="1" applyBorder="1" applyAlignment="1">
      <alignment horizontal="center" vertical="center"/>
    </xf>
    <xf numFmtId="165" fontId="109" fillId="0" borderId="38" xfId="1" applyFont="1" applyFill="1" applyBorder="1" applyAlignment="1">
      <alignment horizontal="center" vertical="center"/>
    </xf>
    <xf numFmtId="0" fontId="167" fillId="9" borderId="103" xfId="0" applyFont="1" applyFill="1" applyBorder="1" applyAlignment="1">
      <alignment horizontal="center" vertical="center"/>
    </xf>
    <xf numFmtId="0" fontId="167" fillId="9" borderId="103" xfId="0" applyFont="1" applyFill="1" applyBorder="1" applyAlignment="1">
      <alignment horizontal="left" vertical="center"/>
    </xf>
    <xf numFmtId="165" fontId="167" fillId="9" borderId="103" xfId="1" applyFont="1" applyFill="1" applyBorder="1" applyAlignment="1">
      <alignment horizontal="center" vertical="center"/>
    </xf>
    <xf numFmtId="165" fontId="141" fillId="9" borderId="103" xfId="1" applyFont="1" applyFill="1" applyBorder="1" applyAlignment="1">
      <alignment horizontal="left" vertical="top"/>
    </xf>
    <xf numFmtId="165" fontId="103" fillId="0" borderId="103" xfId="0" applyNumberFormat="1" applyFont="1" applyBorder="1" applyAlignment="1">
      <alignment horizontal="left" vertical="center"/>
    </xf>
    <xf numFmtId="165" fontId="103" fillId="0" borderId="103" xfId="0" applyNumberFormat="1" applyFont="1" applyBorder="1" applyAlignment="1">
      <alignment horizontal="center" vertical="center"/>
    </xf>
    <xf numFmtId="0" fontId="103" fillId="0" borderId="103" xfId="0" applyFont="1" applyBorder="1" applyAlignment="1">
      <alignment vertical="center"/>
    </xf>
    <xf numFmtId="0" fontId="103" fillId="0" borderId="103" xfId="0" applyFont="1" applyBorder="1" applyAlignment="1">
      <alignment horizontal="left" vertical="center"/>
    </xf>
    <xf numFmtId="0" fontId="103" fillId="0" borderId="103" xfId="0" applyFont="1" applyBorder="1" applyAlignment="1">
      <alignment horizontal="center" vertical="center"/>
    </xf>
    <xf numFmtId="0" fontId="158" fillId="0" borderId="16" xfId="0" applyFont="1" applyBorder="1" applyAlignment="1">
      <alignment vertical="center"/>
    </xf>
    <xf numFmtId="0" fontId="158" fillId="0" borderId="17" xfId="0" applyFont="1" applyBorder="1" applyAlignment="1">
      <alignment vertical="center"/>
    </xf>
    <xf numFmtId="0" fontId="158" fillId="0" borderId="14" xfId="0" applyFont="1" applyBorder="1" applyAlignment="1">
      <alignment vertical="center"/>
    </xf>
    <xf numFmtId="0" fontId="158" fillId="0" borderId="97" xfId="0" applyFont="1" applyBorder="1" applyAlignment="1">
      <alignment vertical="center"/>
    </xf>
    <xf numFmtId="0" fontId="158" fillId="0" borderId="12" xfId="0" applyFont="1" applyBorder="1" applyAlignment="1">
      <alignment vertical="center"/>
    </xf>
    <xf numFmtId="0" fontId="158" fillId="0" borderId="20" xfId="0" applyFont="1" applyBorder="1" applyAlignment="1">
      <alignment vertical="center"/>
    </xf>
    <xf numFmtId="0" fontId="158" fillId="0" borderId="106" xfId="0" applyFont="1" applyBorder="1" applyAlignment="1">
      <alignment vertical="center"/>
    </xf>
    <xf numFmtId="0" fontId="157" fillId="0" borderId="14" xfId="0" applyFont="1" applyBorder="1" applyAlignment="1">
      <alignment vertical="center"/>
    </xf>
    <xf numFmtId="165" fontId="157" fillId="0" borderId="0" xfId="1" applyFont="1" applyBorder="1" applyAlignment="1">
      <alignment horizontal="center" vertical="center"/>
    </xf>
    <xf numFmtId="0" fontId="130" fillId="0" borderId="16" xfId="0" applyFont="1" applyBorder="1" applyAlignment="1">
      <alignment vertical="center"/>
    </xf>
    <xf numFmtId="0" fontId="130" fillId="0" borderId="14" xfId="0" applyFont="1" applyBorder="1" applyAlignment="1">
      <alignment vertical="center"/>
    </xf>
    <xf numFmtId="0" fontId="130" fillId="0" borderId="12" xfId="0" applyFont="1" applyBorder="1" applyAlignment="1">
      <alignment vertical="center"/>
    </xf>
    <xf numFmtId="0" fontId="158" fillId="0" borderId="18" xfId="0" applyFont="1" applyBorder="1" applyAlignment="1">
      <alignment vertical="center"/>
    </xf>
    <xf numFmtId="0" fontId="158" fillId="0" borderId="19" xfId="0" applyFont="1" applyBorder="1" applyAlignment="1">
      <alignment vertical="center"/>
    </xf>
    <xf numFmtId="165" fontId="157" fillId="0" borderId="19" xfId="1" applyFont="1" applyBorder="1" applyAlignment="1">
      <alignment horizontal="center" vertical="center"/>
    </xf>
    <xf numFmtId="14" fontId="130" fillId="0" borderId="0" xfId="0" applyNumberFormat="1" applyFont="1" applyAlignment="1">
      <alignment vertical="center"/>
    </xf>
    <xf numFmtId="170" fontId="116" fillId="0" borderId="0" xfId="1" applyNumberFormat="1" applyFont="1" applyAlignment="1">
      <alignment horizontal="center" vertical="center" shrinkToFit="1"/>
    </xf>
    <xf numFmtId="165" fontId="157" fillId="0" borderId="0" xfId="1" applyFont="1" applyBorder="1" applyAlignment="1">
      <alignment vertical="center"/>
    </xf>
    <xf numFmtId="0" fontId="78" fillId="2" borderId="103" xfId="297" applyFill="1" applyBorder="1" applyAlignment="1">
      <alignment horizontal="left" vertical="center"/>
    </xf>
    <xf numFmtId="0" fontId="78" fillId="2" borderId="103" xfId="297" applyFill="1" applyBorder="1" applyAlignment="1">
      <alignment horizontal="center" vertical="center"/>
    </xf>
    <xf numFmtId="165" fontId="114" fillId="3" borderId="0" xfId="1" applyFont="1" applyFill="1" applyAlignment="1">
      <alignment vertical="center" shrinkToFit="1"/>
    </xf>
    <xf numFmtId="0" fontId="103" fillId="3" borderId="103" xfId="0" applyFont="1" applyFill="1" applyBorder="1" applyAlignment="1">
      <alignment vertical="center"/>
    </xf>
    <xf numFmtId="0" fontId="103" fillId="7" borderId="103" xfId="0" applyFont="1" applyFill="1" applyBorder="1" applyAlignment="1">
      <alignment vertical="center"/>
    </xf>
    <xf numFmtId="0" fontId="78" fillId="0" borderId="103" xfId="297" applyBorder="1" applyAlignment="1">
      <alignment vertical="center"/>
    </xf>
    <xf numFmtId="0" fontId="130" fillId="12" borderId="103" xfId="0" applyFont="1" applyFill="1" applyBorder="1" applyAlignment="1">
      <alignment horizontal="center" vertical="center"/>
    </xf>
    <xf numFmtId="165" fontId="130" fillId="12" borderId="103" xfId="1" applyFont="1" applyFill="1" applyBorder="1" applyAlignment="1">
      <alignment horizontal="center" vertical="center"/>
    </xf>
    <xf numFmtId="165" fontId="103" fillId="3" borderId="103" xfId="0" applyNumberFormat="1" applyFont="1" applyFill="1" applyBorder="1" applyAlignment="1">
      <alignment horizontal="left" vertical="center"/>
    </xf>
    <xf numFmtId="168" fontId="103" fillId="3" borderId="103" xfId="0" applyNumberFormat="1" applyFont="1" applyFill="1" applyBorder="1" applyAlignment="1">
      <alignment horizontal="right" vertical="center"/>
    </xf>
    <xf numFmtId="172" fontId="103" fillId="3" borderId="103" xfId="0" applyNumberFormat="1" applyFont="1" applyFill="1" applyBorder="1" applyAlignment="1">
      <alignment horizontal="left" vertical="center"/>
    </xf>
    <xf numFmtId="168" fontId="103" fillId="3" borderId="103" xfId="0" applyNumberFormat="1" applyFont="1" applyFill="1" applyBorder="1" applyAlignment="1">
      <alignment horizontal="left" vertical="center"/>
    </xf>
    <xf numFmtId="165" fontId="103" fillId="7" borderId="103" xfId="1" applyFont="1" applyFill="1" applyBorder="1" applyAlignment="1">
      <alignment vertical="center"/>
    </xf>
    <xf numFmtId="165" fontId="103" fillId="7" borderId="103" xfId="0" applyNumberFormat="1" applyFont="1" applyFill="1" applyBorder="1" applyAlignment="1">
      <alignment horizontal="left" vertical="center"/>
    </xf>
    <xf numFmtId="165" fontId="103" fillId="7" borderId="103" xfId="1" applyFont="1" applyFill="1" applyBorder="1" applyAlignment="1">
      <alignment horizontal="left" vertical="center"/>
    </xf>
    <xf numFmtId="0" fontId="103" fillId="3" borderId="103" xfId="0" applyFont="1" applyFill="1" applyBorder="1" applyAlignment="1">
      <alignment horizontal="right" vertical="center"/>
    </xf>
    <xf numFmtId="165" fontId="103" fillId="8" borderId="103" xfId="1" applyFont="1" applyFill="1" applyBorder="1" applyAlignment="1">
      <alignment vertical="center"/>
    </xf>
    <xf numFmtId="0" fontId="103" fillId="8" borderId="103" xfId="0" applyFont="1" applyFill="1" applyBorder="1" applyAlignment="1">
      <alignment vertical="center"/>
    </xf>
    <xf numFmtId="0" fontId="103" fillId="8" borderId="103" xfId="0" applyFont="1" applyFill="1" applyBorder="1" applyAlignment="1">
      <alignment horizontal="right" vertical="center"/>
    </xf>
    <xf numFmtId="165" fontId="103" fillId="8" borderId="103" xfId="0" applyNumberFormat="1" applyFont="1" applyFill="1" applyBorder="1" applyAlignment="1">
      <alignment vertical="center"/>
    </xf>
    <xf numFmtId="165" fontId="130" fillId="12" borderId="103" xfId="1" applyFont="1" applyFill="1" applyBorder="1" applyAlignment="1">
      <alignment horizontal="right" vertical="center"/>
    </xf>
    <xf numFmtId="0" fontId="130" fillId="12" borderId="103" xfId="0" applyFont="1" applyFill="1" applyBorder="1" applyAlignment="1">
      <alignment horizontal="right" vertical="center"/>
    </xf>
    <xf numFmtId="165" fontId="142" fillId="3" borderId="103" xfId="0" applyNumberFormat="1" applyFont="1" applyFill="1" applyBorder="1" applyAlignment="1">
      <alignment horizontal="left" vertical="center"/>
    </xf>
    <xf numFmtId="165" fontId="103" fillId="3" borderId="103" xfId="1" applyFont="1" applyFill="1" applyBorder="1" applyAlignment="1">
      <alignment vertical="center"/>
    </xf>
    <xf numFmtId="165" fontId="103" fillId="0" borderId="103" xfId="1" applyFont="1" applyBorder="1" applyAlignment="1">
      <alignment vertical="center"/>
    </xf>
    <xf numFmtId="165" fontId="142" fillId="3" borderId="103" xfId="0" applyNumberFormat="1" applyFont="1" applyFill="1" applyBorder="1" applyAlignment="1">
      <alignment horizontal="right" vertical="center"/>
    </xf>
    <xf numFmtId="165" fontId="127" fillId="3" borderId="103" xfId="0" applyNumberFormat="1" applyFont="1" applyFill="1" applyBorder="1" applyAlignment="1">
      <alignment horizontal="left" vertical="center"/>
    </xf>
    <xf numFmtId="0" fontId="103" fillId="8" borderId="103" xfId="0" applyFont="1" applyFill="1" applyBorder="1" applyAlignment="1">
      <alignment horizontal="left" vertical="center"/>
    </xf>
    <xf numFmtId="0" fontId="103" fillId="8" borderId="103" xfId="0" applyFont="1" applyFill="1" applyBorder="1" applyAlignment="1">
      <alignment horizontal="center" vertical="center"/>
    </xf>
    <xf numFmtId="165" fontId="103" fillId="8" borderId="103" xfId="1" applyFont="1" applyFill="1" applyBorder="1" applyAlignment="1">
      <alignment horizontal="center" vertical="center"/>
    </xf>
    <xf numFmtId="165" fontId="103" fillId="8" borderId="103" xfId="1" applyFont="1" applyFill="1" applyBorder="1" applyAlignment="1">
      <alignment horizontal="right" vertical="center"/>
    </xf>
    <xf numFmtId="165" fontId="103" fillId="8" borderId="103" xfId="1" applyFont="1" applyFill="1" applyBorder="1" applyAlignment="1">
      <alignment horizontal="left" vertical="center"/>
    </xf>
    <xf numFmtId="165" fontId="103" fillId="8" borderId="103" xfId="0" applyNumberFormat="1" applyFont="1" applyFill="1" applyBorder="1" applyAlignment="1">
      <alignment horizontal="left" vertical="center"/>
    </xf>
    <xf numFmtId="0" fontId="109" fillId="0" borderId="108" xfId="0" applyFont="1" applyBorder="1"/>
    <xf numFmtId="165" fontId="109" fillId="0" borderId="103" xfId="1" applyFont="1" applyFill="1" applyBorder="1" applyAlignment="1">
      <alignment horizontal="right"/>
    </xf>
    <xf numFmtId="165" fontId="109" fillId="0" borderId="38" xfId="1" applyFont="1" applyFill="1" applyBorder="1" applyAlignment="1">
      <alignment vertical="center"/>
    </xf>
    <xf numFmtId="165" fontId="109" fillId="0" borderId="0" xfId="1" applyFont="1" applyBorder="1" applyAlignment="1" applyProtection="1">
      <alignment vertical="center" shrinkToFit="1"/>
      <protection locked="0"/>
    </xf>
    <xf numFmtId="165" fontId="112" fillId="0" borderId="0" xfId="1" applyFont="1" applyBorder="1" applyAlignment="1">
      <alignment vertical="center" shrinkToFit="1"/>
    </xf>
    <xf numFmtId="165" fontId="109" fillId="0" borderId="0" xfId="1" applyFont="1" applyBorder="1" applyAlignment="1">
      <alignment vertical="center" shrinkToFit="1"/>
    </xf>
    <xf numFmtId="165" fontId="107" fillId="0" borderId="0" xfId="1" applyFont="1" applyBorder="1" applyAlignment="1">
      <alignment vertical="center" shrinkToFit="1"/>
    </xf>
    <xf numFmtId="170" fontId="110" fillId="0" borderId="0" xfId="1" applyNumberFormat="1" applyFont="1" applyFill="1" applyBorder="1" applyAlignment="1">
      <alignment vertical="center" shrinkToFit="1"/>
    </xf>
    <xf numFmtId="165" fontId="110" fillId="0" borderId="0" xfId="1" applyFont="1" applyFill="1" applyBorder="1" applyAlignment="1">
      <alignment vertical="center" shrinkToFit="1"/>
    </xf>
    <xf numFmtId="165" fontId="110" fillId="0" borderId="0" xfId="1" applyFont="1" applyFill="1" applyBorder="1" applyAlignment="1" applyProtection="1">
      <alignment vertical="center" shrinkToFit="1"/>
      <protection locked="0"/>
    </xf>
    <xf numFmtId="165" fontId="114" fillId="0" borderId="0" xfId="1" applyFont="1" applyBorder="1" applyAlignment="1">
      <alignment vertical="center" shrinkToFit="1"/>
    </xf>
    <xf numFmtId="165" fontId="110" fillId="0" borderId="0" xfId="1" applyFont="1" applyFill="1" applyBorder="1" applyAlignment="1" applyProtection="1">
      <alignment vertical="top" shrinkToFit="1"/>
      <protection locked="0"/>
    </xf>
    <xf numFmtId="165" fontId="110" fillId="41" borderId="103" xfId="1" applyFont="1" applyFill="1" applyBorder="1" applyAlignment="1" applyProtection="1">
      <alignment vertical="center" shrinkToFit="1"/>
      <protection locked="0"/>
    </xf>
    <xf numFmtId="0" fontId="38" fillId="0" borderId="61" xfId="0" applyFont="1" applyBorder="1" applyAlignment="1">
      <alignment horizontal="center" vertical="center"/>
    </xf>
    <xf numFmtId="0" fontId="78" fillId="0" borderId="6" xfId="297" applyBorder="1" applyAlignment="1"/>
    <xf numFmtId="170" fontId="78" fillId="0" borderId="103" xfId="297" applyNumberFormat="1" applyBorder="1" applyAlignment="1">
      <alignment horizontal="left" vertical="center"/>
    </xf>
    <xf numFmtId="168" fontId="78" fillId="0" borderId="103" xfId="297" applyNumberFormat="1" applyBorder="1" applyAlignment="1">
      <alignment horizontal="center" vertical="center"/>
    </xf>
    <xf numFmtId="170" fontId="78" fillId="0" borderId="103" xfId="297" applyNumberFormat="1" applyBorder="1" applyAlignment="1">
      <alignment horizontal="center" vertical="center"/>
    </xf>
    <xf numFmtId="0" fontId="38" fillId="0" borderId="4" xfId="0" applyFont="1" applyBorder="1" applyAlignment="1">
      <alignment vertical="center" wrapText="1"/>
    </xf>
    <xf numFmtId="0" fontId="38" fillId="0" borderId="4" xfId="0" applyFont="1" applyBorder="1" applyAlignment="1">
      <alignment vertical="center"/>
    </xf>
    <xf numFmtId="0" fontId="38" fillId="0" borderId="4" xfId="0" applyFont="1" applyBorder="1" applyAlignment="1">
      <alignment horizontal="left" vertical="center"/>
    </xf>
    <xf numFmtId="0" fontId="38" fillId="0" borderId="4" xfId="0" applyFont="1" applyBorder="1" applyAlignment="1">
      <alignment horizontal="center" vertical="center"/>
    </xf>
    <xf numFmtId="0" fontId="128" fillId="0" borderId="4" xfId="0" applyFont="1" applyBorder="1" applyAlignment="1">
      <alignment horizontal="left" vertical="center"/>
    </xf>
    <xf numFmtId="0" fontId="128" fillId="0" borderId="4" xfId="0" applyFont="1" applyBorder="1" applyAlignment="1">
      <alignment horizontal="center" vertical="center"/>
    </xf>
    <xf numFmtId="165" fontId="128" fillId="0" borderId="4" xfId="1" applyFont="1" applyBorder="1" applyAlignment="1">
      <alignment horizontal="center" vertical="center"/>
    </xf>
    <xf numFmtId="165" fontId="109" fillId="0" borderId="103" xfId="1" applyFont="1" applyFill="1" applyBorder="1" applyAlignment="1">
      <alignment horizontal="right" vertical="center"/>
    </xf>
    <xf numFmtId="0" fontId="109" fillId="0" borderId="19" xfId="0" applyFont="1" applyBorder="1" applyAlignment="1">
      <alignment vertical="center" wrapText="1"/>
    </xf>
    <xf numFmtId="0" fontId="109" fillId="0" borderId="21" xfId="0" applyFont="1" applyBorder="1" applyAlignment="1">
      <alignment vertical="center" wrapText="1"/>
    </xf>
    <xf numFmtId="0" fontId="193" fillId="0" borderId="103" xfId="0" applyFont="1" applyBorder="1" applyAlignment="1">
      <alignment vertical="center"/>
    </xf>
    <xf numFmtId="0" fontId="109" fillId="41" borderId="103" xfId="1" applyNumberFormat="1" applyFont="1" applyFill="1" applyBorder="1" applyAlignment="1" applyProtection="1">
      <alignment horizontal="center" vertical="center" shrinkToFit="1"/>
      <protection locked="0"/>
    </xf>
    <xf numFmtId="165" fontId="109" fillId="41" borderId="103" xfId="1" applyFont="1" applyFill="1" applyBorder="1" applyAlignment="1" applyProtection="1">
      <alignment horizontal="center" vertical="center" shrinkToFit="1"/>
      <protection locked="0"/>
    </xf>
    <xf numFmtId="165" fontId="197" fillId="0" borderId="108" xfId="1" applyFont="1" applyBorder="1" applyAlignment="1">
      <alignment vertical="center" wrapText="1"/>
    </xf>
    <xf numFmtId="0" fontId="199" fillId="0" borderId="0" xfId="384" applyFont="1" applyAlignment="1">
      <alignment horizontal="center" vertical="center"/>
    </xf>
    <xf numFmtId="0" fontId="199" fillId="0" borderId="0" xfId="384" applyFont="1"/>
    <xf numFmtId="0" fontId="199" fillId="0" borderId="0" xfId="384" applyFont="1" applyAlignment="1">
      <alignment horizontal="center"/>
    </xf>
    <xf numFmtId="0" fontId="199" fillId="0" borderId="0" xfId="384" applyFont="1" applyAlignment="1">
      <alignment horizontal="left"/>
    </xf>
    <xf numFmtId="168" fontId="201" fillId="12" borderId="103" xfId="13" applyNumberFormat="1" applyFont="1" applyFill="1" applyBorder="1" applyAlignment="1">
      <alignment horizontal="center" vertical="center" wrapText="1"/>
    </xf>
    <xf numFmtId="0" fontId="203" fillId="12" borderId="103" xfId="5" applyFont="1" applyFill="1" applyBorder="1" applyAlignment="1">
      <alignment horizontal="center" vertical="center"/>
    </xf>
    <xf numFmtId="165" fontId="204" fillId="12" borderId="103" xfId="13" applyFont="1" applyFill="1" applyBorder="1" applyAlignment="1">
      <alignment horizontal="right" vertical="center"/>
    </xf>
    <xf numFmtId="165" fontId="201" fillId="12" borderId="109" xfId="13" applyFont="1" applyFill="1" applyBorder="1" applyAlignment="1">
      <alignment horizontal="center" vertical="center" wrapText="1"/>
    </xf>
    <xf numFmtId="165" fontId="202" fillId="12" borderId="5" xfId="13" applyFont="1" applyFill="1" applyBorder="1" applyAlignment="1">
      <alignment horizontal="center" vertical="center"/>
    </xf>
    <xf numFmtId="165" fontId="111" fillId="12" borderId="5" xfId="13" applyFont="1" applyFill="1" applyBorder="1" applyAlignment="1">
      <alignment horizontal="center" vertical="center"/>
    </xf>
    <xf numFmtId="0" fontId="111" fillId="12" borderId="103" xfId="5" applyFont="1" applyFill="1" applyBorder="1" applyAlignment="1">
      <alignment horizontal="center" vertical="center"/>
    </xf>
    <xf numFmtId="0" fontId="128" fillId="0" borderId="103" xfId="384" applyFont="1" applyBorder="1" applyAlignment="1">
      <alignment horizontal="center" vertical="center"/>
    </xf>
    <xf numFmtId="0" fontId="128" fillId="0" borderId="103" xfId="384" applyFont="1" applyBorder="1" applyAlignment="1">
      <alignment horizontal="left"/>
    </xf>
    <xf numFmtId="0" fontId="128" fillId="0" borderId="103" xfId="384" applyFont="1" applyBorder="1" applyAlignment="1">
      <alignment horizontal="left" vertical="center"/>
    </xf>
    <xf numFmtId="174" fontId="128" fillId="0" borderId="103" xfId="384" quotePrefix="1" applyNumberFormat="1" applyFont="1" applyBorder="1" applyAlignment="1">
      <alignment horizontal="center"/>
    </xf>
    <xf numFmtId="0" fontId="128" fillId="0" borderId="103" xfId="384" applyFont="1" applyBorder="1" applyAlignment="1">
      <alignment horizontal="center"/>
    </xf>
    <xf numFmtId="0" fontId="128" fillId="0" borderId="0" xfId="384" applyFont="1"/>
    <xf numFmtId="0" fontId="128" fillId="2" borderId="103" xfId="384" applyFont="1" applyFill="1" applyBorder="1" applyAlignment="1">
      <alignment horizontal="center" vertical="center"/>
    </xf>
    <xf numFmtId="0" fontId="128" fillId="2" borderId="103" xfId="384" applyFont="1" applyFill="1" applyBorder="1" applyAlignment="1">
      <alignment horizontal="left"/>
    </xf>
    <xf numFmtId="0" fontId="128" fillId="2" borderId="103" xfId="384" applyFont="1" applyFill="1" applyBorder="1" applyAlignment="1">
      <alignment vertical="center"/>
    </xf>
    <xf numFmtId="0" fontId="128" fillId="2" borderId="103" xfId="384" applyFont="1" applyFill="1" applyBorder="1" applyAlignment="1">
      <alignment horizontal="left" vertical="center"/>
    </xf>
    <xf numFmtId="174" fontId="128" fillId="2" borderId="103" xfId="384" quotePrefix="1" applyNumberFormat="1" applyFont="1" applyFill="1" applyBorder="1" applyAlignment="1">
      <alignment horizontal="center"/>
    </xf>
    <xf numFmtId="0" fontId="128" fillId="2" borderId="103" xfId="384" applyFont="1" applyFill="1" applyBorder="1" applyAlignment="1">
      <alignment horizontal="center"/>
    </xf>
    <xf numFmtId="0" fontId="128" fillId="0" borderId="103" xfId="384" applyFont="1" applyBorder="1" applyAlignment="1">
      <alignment vertical="center"/>
    </xf>
    <xf numFmtId="0" fontId="128" fillId="0" borderId="103" xfId="384" applyFont="1" applyBorder="1" applyAlignment="1">
      <alignment vertical="center" wrapText="1"/>
    </xf>
    <xf numFmtId="0" fontId="128" fillId="0" borderId="103" xfId="384" quotePrefix="1" applyFont="1" applyBorder="1" applyAlignment="1">
      <alignment horizontal="center"/>
    </xf>
    <xf numFmtId="0" fontId="128" fillId="2" borderId="103" xfId="384" quotePrefix="1" applyFont="1" applyFill="1" applyBorder="1" applyAlignment="1">
      <alignment horizontal="center"/>
    </xf>
    <xf numFmtId="0" fontId="113" fillId="0" borderId="103" xfId="0" applyFont="1" applyBorder="1" applyAlignment="1">
      <alignment horizontal="center" vertical="center"/>
    </xf>
    <xf numFmtId="165" fontId="113" fillId="0" borderId="103" xfId="1" applyFont="1" applyBorder="1" applyAlignment="1">
      <alignment horizontal="right"/>
    </xf>
    <xf numFmtId="165" fontId="113" fillId="0" borderId="103" xfId="1" applyFont="1" applyBorder="1" applyAlignment="1">
      <alignment horizontal="left" vertical="center"/>
    </xf>
    <xf numFmtId="165" fontId="113" fillId="0" borderId="103" xfId="1" applyFont="1" applyBorder="1"/>
    <xf numFmtId="0" fontId="113" fillId="0" borderId="102" xfId="0" applyFont="1" applyBorder="1"/>
    <xf numFmtId="165" fontId="113" fillId="0" borderId="103" xfId="1" applyFont="1" applyBorder="1" applyAlignment="1">
      <alignment vertical="center"/>
    </xf>
    <xf numFmtId="0" fontId="113" fillId="0" borderId="103" xfId="0" applyFont="1" applyBorder="1" applyAlignment="1">
      <alignment horizontal="center"/>
    </xf>
    <xf numFmtId="165" fontId="113" fillId="0" borderId="103" xfId="1" applyFont="1" applyBorder="1" applyAlignment="1">
      <alignment horizontal="center"/>
    </xf>
    <xf numFmtId="165" fontId="113" fillId="0" borderId="103" xfId="0" applyNumberFormat="1" applyFont="1" applyBorder="1" applyAlignment="1">
      <alignment vertical="center"/>
    </xf>
    <xf numFmtId="165" fontId="23" fillId="0" borderId="5" xfId="0" applyNumberFormat="1" applyFont="1" applyBorder="1" applyAlignment="1">
      <alignment horizontal="center"/>
    </xf>
    <xf numFmtId="165" fontId="113" fillId="7" borderId="103" xfId="0" applyNumberFormat="1" applyFont="1" applyFill="1" applyBorder="1" applyAlignment="1">
      <alignment vertical="center"/>
    </xf>
    <xf numFmtId="0" fontId="113" fillId="7" borderId="103" xfId="0" applyFont="1" applyFill="1" applyBorder="1" applyAlignment="1">
      <alignment vertical="center" wrapText="1"/>
    </xf>
    <xf numFmtId="0" fontId="113" fillId="7" borderId="103" xfId="0" applyFont="1" applyFill="1" applyBorder="1" applyAlignment="1">
      <alignment horizontal="center" vertical="center" wrapText="1"/>
    </xf>
    <xf numFmtId="0" fontId="113" fillId="0" borderId="108" xfId="0" applyFont="1" applyBorder="1"/>
    <xf numFmtId="0" fontId="113" fillId="0" borderId="110" xfId="0" applyFont="1" applyBorder="1" applyAlignment="1">
      <alignment vertical="center" wrapText="1"/>
    </xf>
    <xf numFmtId="0" fontId="109" fillId="7" borderId="109" xfId="0" applyFont="1" applyFill="1" applyBorder="1" applyAlignment="1">
      <alignment horizontal="center" vertical="center"/>
    </xf>
    <xf numFmtId="165" fontId="113" fillId="0" borderId="109" xfId="1" quotePrefix="1" applyFont="1" applyBorder="1" applyAlignment="1">
      <alignment horizontal="center" vertical="center"/>
    </xf>
    <xf numFmtId="165" fontId="113" fillId="0" borderId="102" xfId="0" applyNumberFormat="1" applyFont="1" applyBorder="1"/>
    <xf numFmtId="0" fontId="113" fillId="0" borderId="10" xfId="0" applyFont="1" applyBorder="1"/>
    <xf numFmtId="0" fontId="207" fillId="7" borderId="103" xfId="0" applyFont="1" applyFill="1" applyBorder="1" applyAlignment="1">
      <alignment horizontal="center" vertical="center" wrapText="1"/>
    </xf>
    <xf numFmtId="0" fontId="208" fillId="7" borderId="103" xfId="0" applyFont="1" applyFill="1" applyBorder="1" applyAlignment="1">
      <alignment horizontal="center" vertical="center" wrapText="1"/>
    </xf>
    <xf numFmtId="165" fontId="130" fillId="0" borderId="17" xfId="1" applyFont="1" applyBorder="1" applyAlignment="1">
      <alignment vertical="center"/>
    </xf>
    <xf numFmtId="165" fontId="164" fillId="0" borderId="0" xfId="1" applyFont="1" applyBorder="1" applyAlignment="1">
      <alignment horizontal="center" vertical="center"/>
    </xf>
    <xf numFmtId="165" fontId="103" fillId="3" borderId="103" xfId="1" applyFont="1" applyFill="1" applyBorder="1" applyAlignment="1">
      <alignment horizontal="center" vertical="center"/>
    </xf>
    <xf numFmtId="165" fontId="130" fillId="0" borderId="81" xfId="1" applyFont="1" applyBorder="1" applyAlignment="1">
      <alignment vertical="center"/>
    </xf>
    <xf numFmtId="165" fontId="130" fillId="0" borderId="49" xfId="1" applyFont="1" applyBorder="1" applyAlignment="1">
      <alignment vertical="center"/>
    </xf>
    <xf numFmtId="165" fontId="158" fillId="0" borderId="17" xfId="1" applyFont="1" applyBorder="1" applyAlignment="1">
      <alignment vertical="center"/>
    </xf>
    <xf numFmtId="165" fontId="158" fillId="0" borderId="0" xfId="1" applyFont="1" applyBorder="1" applyAlignment="1">
      <alignment vertical="center"/>
    </xf>
    <xf numFmtId="165" fontId="103" fillId="0" borderId="103" xfId="1" applyFont="1" applyFill="1" applyBorder="1" applyAlignment="1">
      <alignment vertical="center"/>
    </xf>
    <xf numFmtId="165" fontId="158" fillId="0" borderId="20" xfId="1" applyFont="1" applyBorder="1" applyAlignment="1">
      <alignment vertical="center"/>
    </xf>
    <xf numFmtId="0" fontId="109" fillId="2" borderId="103" xfId="0" applyFont="1" applyFill="1" applyBorder="1"/>
    <xf numFmtId="0" fontId="207" fillId="7" borderId="103" xfId="0" applyFont="1" applyFill="1" applyBorder="1" applyAlignment="1">
      <alignment horizontal="center" vertical="center"/>
    </xf>
    <xf numFmtId="165" fontId="45" fillId="0" borderId="103" xfId="0" applyNumberFormat="1" applyFont="1" applyBorder="1" applyAlignment="1">
      <alignment horizontal="center" vertical="center" wrapText="1"/>
    </xf>
    <xf numFmtId="0" fontId="23" fillId="0" borderId="103" xfId="0" applyFont="1" applyBorder="1" applyAlignment="1">
      <alignment horizontal="center" vertical="center" wrapText="1"/>
    </xf>
    <xf numFmtId="0" fontId="38" fillId="2" borderId="103" xfId="0" applyFont="1" applyFill="1" applyBorder="1" applyAlignment="1">
      <alignment horizontal="center" vertical="center"/>
    </xf>
    <xf numFmtId="168" fontId="38" fillId="2" borderId="103" xfId="1" quotePrefix="1" applyNumberFormat="1" applyFont="1" applyFill="1" applyBorder="1" applyAlignment="1">
      <alignment horizontal="center" vertical="center"/>
    </xf>
    <xf numFmtId="165" fontId="142" fillId="2" borderId="103" xfId="1" applyFont="1" applyFill="1" applyBorder="1" applyAlignment="1">
      <alignment horizontal="left" vertical="center"/>
    </xf>
    <xf numFmtId="165" fontId="142" fillId="2" borderId="103" xfId="1" applyFont="1" applyFill="1" applyBorder="1" applyAlignment="1">
      <alignment horizontal="right" vertical="center"/>
    </xf>
    <xf numFmtId="165" fontId="142" fillId="2" borderId="103" xfId="1" quotePrefix="1" applyFont="1" applyFill="1" applyBorder="1" applyAlignment="1">
      <alignment horizontal="left" vertical="center"/>
    </xf>
    <xf numFmtId="168" fontId="38" fillId="2" borderId="103" xfId="1" applyNumberFormat="1" applyFont="1" applyFill="1" applyBorder="1" applyAlignment="1">
      <alignment horizontal="center" vertical="center"/>
    </xf>
    <xf numFmtId="0" fontId="38" fillId="2" borderId="0" xfId="46" applyFont="1" applyFill="1">
      <alignment vertical="center"/>
    </xf>
    <xf numFmtId="168" fontId="38" fillId="0" borderId="0" xfId="1" applyNumberFormat="1" applyFont="1" applyAlignment="1">
      <alignment vertical="center"/>
    </xf>
    <xf numFmtId="168" fontId="38" fillId="2" borderId="0" xfId="1" applyNumberFormat="1" applyFont="1" applyFill="1" applyAlignment="1">
      <alignment vertical="center"/>
    </xf>
    <xf numFmtId="168" fontId="134" fillId="0" borderId="0" xfId="1" applyNumberFormat="1" applyFont="1" applyAlignment="1">
      <alignment vertical="center"/>
    </xf>
    <xf numFmtId="172" fontId="38" fillId="0" borderId="103" xfId="1" applyNumberFormat="1" applyFont="1" applyBorder="1" applyAlignment="1">
      <alignment horizontal="center" vertical="center"/>
    </xf>
    <xf numFmtId="168" fontId="134" fillId="0" borderId="103" xfId="1" applyNumberFormat="1" applyFont="1" applyBorder="1" applyAlignment="1">
      <alignment vertical="center"/>
    </xf>
    <xf numFmtId="0" fontId="167" fillId="9" borderId="109" xfId="0" applyFont="1" applyFill="1" applyBorder="1" applyAlignment="1">
      <alignment horizontal="center" vertical="center"/>
    </xf>
    <xf numFmtId="165" fontId="167" fillId="64" borderId="103" xfId="1" applyFont="1" applyFill="1" applyBorder="1" applyAlignment="1">
      <alignment horizontal="center" vertical="center"/>
    </xf>
    <xf numFmtId="194" fontId="199" fillId="64" borderId="103" xfId="0" quotePrefix="1" applyNumberFormat="1" applyFont="1" applyFill="1" applyBorder="1" applyAlignment="1">
      <alignment horizontal="center" vertical="center"/>
    </xf>
    <xf numFmtId="0" fontId="199" fillId="64" borderId="103" xfId="0" applyFont="1" applyFill="1" applyBorder="1" applyAlignment="1">
      <alignment horizontal="center" vertical="center"/>
    </xf>
    <xf numFmtId="0" fontId="130" fillId="0" borderId="3" xfId="0" applyFont="1" applyBorder="1" applyAlignment="1">
      <alignment horizontal="left" vertical="center"/>
    </xf>
    <xf numFmtId="165" fontId="130" fillId="0" borderId="3" xfId="1" applyFont="1" applyBorder="1" applyAlignment="1">
      <alignment vertical="center"/>
    </xf>
    <xf numFmtId="165" fontId="157" fillId="0" borderId="3" xfId="1" applyFont="1" applyBorder="1" applyAlignment="1">
      <alignment vertical="center"/>
    </xf>
    <xf numFmtId="0" fontId="130" fillId="0" borderId="3" xfId="0" applyFont="1" applyBorder="1" applyAlignment="1">
      <alignment vertical="center"/>
    </xf>
    <xf numFmtId="165" fontId="130" fillId="0" borderId="3" xfId="1" applyFont="1" applyBorder="1" applyAlignment="1">
      <alignment horizontal="center" vertical="center"/>
    </xf>
    <xf numFmtId="0" fontId="159" fillId="0" borderId="3" xfId="0" applyFont="1" applyBorder="1" applyAlignment="1">
      <alignment vertical="center"/>
    </xf>
    <xf numFmtId="0" fontId="172" fillId="11" borderId="0" xfId="0" applyFont="1" applyFill="1" applyAlignment="1">
      <alignment horizontal="center" vertical="center"/>
    </xf>
    <xf numFmtId="0" fontId="103" fillId="3" borderId="0" xfId="0" applyFont="1" applyFill="1" applyAlignment="1">
      <alignment vertical="center"/>
    </xf>
    <xf numFmtId="0" fontId="103" fillId="3" borderId="0" xfId="0" applyFont="1" applyFill="1" applyAlignment="1">
      <alignment horizontal="left" vertical="center"/>
    </xf>
    <xf numFmtId="165" fontId="103" fillId="0" borderId="0" xfId="1" applyFont="1" applyFill="1" applyBorder="1" applyAlignment="1">
      <alignment vertical="center"/>
    </xf>
    <xf numFmtId="165" fontId="103" fillId="9" borderId="0" xfId="1" applyFont="1" applyFill="1" applyBorder="1" applyAlignment="1">
      <alignment horizontal="center" vertical="center"/>
    </xf>
    <xf numFmtId="165" fontId="103" fillId="0" borderId="0" xfId="1" applyFont="1" applyBorder="1" applyAlignment="1">
      <alignment horizontal="center" vertical="center"/>
    </xf>
    <xf numFmtId="165" fontId="103" fillId="0" borderId="0" xfId="1" applyFont="1" applyBorder="1" applyAlignment="1">
      <alignment vertical="center"/>
    </xf>
    <xf numFmtId="165" fontId="0" fillId="0" borderId="0" xfId="1" applyFont="1" applyBorder="1"/>
    <xf numFmtId="165" fontId="142" fillId="0" borderId="0" xfId="1" applyFont="1" applyFill="1" applyBorder="1" applyAlignment="1">
      <alignment vertical="center"/>
    </xf>
    <xf numFmtId="165" fontId="141" fillId="64" borderId="103" xfId="1" applyFont="1" applyFill="1" applyBorder="1" applyAlignment="1">
      <alignment horizontal="center" vertical="top"/>
    </xf>
    <xf numFmtId="0" fontId="168" fillId="0" borderId="103" xfId="0" applyFont="1" applyBorder="1" applyAlignment="1">
      <alignment horizontal="center" vertical="center"/>
    </xf>
    <xf numFmtId="0" fontId="103" fillId="3" borderId="103" xfId="0" applyFont="1" applyFill="1" applyBorder="1" applyAlignment="1">
      <alignment horizontal="center" vertical="center"/>
    </xf>
    <xf numFmtId="0" fontId="169" fillId="0" borderId="103" xfId="0" applyFont="1" applyBorder="1" applyAlignment="1">
      <alignment horizontal="center" vertical="center"/>
    </xf>
    <xf numFmtId="0" fontId="167" fillId="64" borderId="103" xfId="0" applyFont="1" applyFill="1" applyBorder="1" applyAlignment="1">
      <alignment horizontal="center" vertical="center"/>
    </xf>
    <xf numFmtId="0" fontId="103" fillId="0" borderId="109" xfId="0" applyFont="1" applyBorder="1" applyAlignment="1">
      <alignment vertical="center"/>
    </xf>
    <xf numFmtId="0" fontId="103" fillId="0" borderId="108" xfId="0" applyFont="1" applyBorder="1" applyAlignment="1">
      <alignment horizontal="left" vertical="center"/>
    </xf>
    <xf numFmtId="0" fontId="167" fillId="64" borderId="0" xfId="0" applyFont="1" applyFill="1" applyAlignment="1">
      <alignment horizontal="center" vertical="center"/>
    </xf>
    <xf numFmtId="0" fontId="199" fillId="64" borderId="0" xfId="0" applyFont="1" applyFill="1" applyAlignment="1">
      <alignment horizontal="center" vertical="center"/>
    </xf>
    <xf numFmtId="0" fontId="167" fillId="9" borderId="0" xfId="0" applyFont="1" applyFill="1" applyAlignment="1">
      <alignment horizontal="center" vertical="center"/>
    </xf>
    <xf numFmtId="0" fontId="103" fillId="0" borderId="0" xfId="0" applyFont="1" applyAlignment="1">
      <alignment vertical="center"/>
    </xf>
    <xf numFmtId="0" fontId="158" fillId="0" borderId="112" xfId="0" applyFont="1" applyBorder="1" applyAlignment="1">
      <alignment vertical="center"/>
    </xf>
    <xf numFmtId="0" fontId="159" fillId="0" borderId="113" xfId="0" applyFont="1" applyBorder="1" applyAlignment="1">
      <alignment vertical="center"/>
    </xf>
    <xf numFmtId="0" fontId="161" fillId="0" borderId="14" xfId="0" applyFont="1" applyBorder="1" applyAlignment="1">
      <alignment vertical="center"/>
    </xf>
    <xf numFmtId="0" fontId="163" fillId="0" borderId="19" xfId="0" applyFont="1" applyBorder="1" applyAlignment="1">
      <alignment vertical="center"/>
    </xf>
    <xf numFmtId="0" fontId="161" fillId="0" borderId="19" xfId="0" applyFont="1" applyBorder="1" applyAlignment="1">
      <alignment horizontal="center" vertical="center"/>
    </xf>
    <xf numFmtId="0" fontId="199" fillId="64" borderId="102" xfId="0" applyFont="1" applyFill="1" applyBorder="1" applyAlignment="1">
      <alignment horizontal="center" vertical="center"/>
    </xf>
    <xf numFmtId="0" fontId="110" fillId="0" borderId="38" xfId="0" applyFont="1" applyBorder="1" applyAlignment="1">
      <alignment horizontal="center" vertical="center"/>
    </xf>
    <xf numFmtId="0" fontId="168" fillId="0" borderId="102" xfId="0" applyFont="1" applyBorder="1" applyAlignment="1">
      <alignment horizontal="center" vertical="center"/>
    </xf>
    <xf numFmtId="165" fontId="186" fillId="64" borderId="10" xfId="1" applyFont="1" applyFill="1" applyBorder="1" applyAlignment="1">
      <alignment horizontal="center" vertical="center"/>
    </xf>
    <xf numFmtId="0" fontId="197" fillId="64" borderId="10" xfId="0" applyFont="1" applyFill="1" applyBorder="1" applyAlignment="1">
      <alignment horizontal="center" vertical="center"/>
    </xf>
    <xf numFmtId="0" fontId="186" fillId="64" borderId="10" xfId="0" applyFont="1" applyFill="1" applyBorder="1" applyAlignment="1">
      <alignment horizontal="center" vertical="center"/>
    </xf>
    <xf numFmtId="0" fontId="215" fillId="64" borderId="10" xfId="0" applyFont="1" applyFill="1" applyBorder="1" applyAlignment="1">
      <alignment horizontal="center" vertical="center"/>
    </xf>
    <xf numFmtId="0" fontId="215" fillId="64" borderId="11" xfId="0" applyFont="1" applyFill="1" applyBorder="1" applyAlignment="1">
      <alignment horizontal="center" vertical="center"/>
    </xf>
    <xf numFmtId="0" fontId="158" fillId="0" borderId="3" xfId="0" applyFont="1" applyBorder="1" applyAlignment="1">
      <alignment vertical="center"/>
    </xf>
    <xf numFmtId="0" fontId="158" fillId="0" borderId="61" xfId="0" applyFont="1" applyBorder="1" applyAlignment="1">
      <alignment vertical="center"/>
    </xf>
    <xf numFmtId="0" fontId="158" fillId="0" borderId="85" xfId="0" applyFont="1" applyBorder="1" applyAlignment="1">
      <alignment vertical="center"/>
    </xf>
    <xf numFmtId="165" fontId="103" fillId="3" borderId="103" xfId="0" applyNumberFormat="1" applyFont="1" applyFill="1" applyBorder="1" applyAlignment="1">
      <alignment horizontal="center" vertical="center"/>
    </xf>
    <xf numFmtId="0" fontId="120" fillId="0" borderId="103" xfId="0" applyFont="1" applyBorder="1" applyAlignment="1">
      <alignment horizontal="center" vertical="center"/>
    </xf>
    <xf numFmtId="0" fontId="142" fillId="0" borderId="103" xfId="1" applyNumberFormat="1" applyFont="1" applyBorder="1" applyAlignment="1">
      <alignment vertical="center"/>
    </xf>
    <xf numFmtId="0" fontId="142" fillId="0" borderId="103" xfId="0" applyFont="1" applyBorder="1" applyAlignment="1">
      <alignment horizontal="left" vertical="center"/>
    </xf>
    <xf numFmtId="14" fontId="130" fillId="0" borderId="19" xfId="0" applyNumberFormat="1" applyFont="1" applyBorder="1" applyAlignment="1">
      <alignment horizontal="left" vertical="center"/>
    </xf>
    <xf numFmtId="165" fontId="216" fillId="14" borderId="103" xfId="385" applyNumberFormat="1" applyBorder="1" applyAlignment="1">
      <alignment horizontal="center" vertical="center"/>
    </xf>
    <xf numFmtId="0" fontId="161" fillId="0" borderId="12" xfId="0" applyFont="1" applyBorder="1" applyAlignment="1">
      <alignment vertical="center"/>
    </xf>
    <xf numFmtId="0" fontId="130" fillId="0" borderId="20" xfId="0" applyFont="1" applyBorder="1" applyAlignment="1">
      <alignment horizontal="center" vertical="center"/>
    </xf>
    <xf numFmtId="0" fontId="161" fillId="0" borderId="20" xfId="0" applyFont="1" applyBorder="1" applyAlignment="1">
      <alignment horizontal="center" vertical="center"/>
    </xf>
    <xf numFmtId="0" fontId="158" fillId="0" borderId="21" xfId="0" applyFont="1" applyBorder="1" applyAlignment="1">
      <alignment vertical="center"/>
    </xf>
    <xf numFmtId="0" fontId="157" fillId="0" borderId="19" xfId="0" applyFont="1" applyBorder="1" applyAlignment="1">
      <alignment vertical="center"/>
    </xf>
    <xf numFmtId="0" fontId="161" fillId="0" borderId="21" xfId="0" applyFont="1" applyBorder="1" applyAlignment="1">
      <alignment vertical="center"/>
    </xf>
    <xf numFmtId="0" fontId="161" fillId="0" borderId="19" xfId="0" applyFont="1" applyBorder="1" applyAlignment="1">
      <alignment vertical="center"/>
    </xf>
    <xf numFmtId="0" fontId="157" fillId="0" borderId="17" xfId="0" applyFont="1" applyBorder="1" applyAlignment="1">
      <alignment vertical="center"/>
    </xf>
    <xf numFmtId="14" fontId="130" fillId="0" borderId="18" xfId="0" applyNumberFormat="1" applyFont="1" applyBorder="1" applyAlignment="1">
      <alignment horizontal="left" vertical="center"/>
    </xf>
    <xf numFmtId="0" fontId="137" fillId="0" borderId="103" xfId="0" applyFont="1" applyBorder="1" applyAlignment="1">
      <alignment horizontal="center" vertical="center"/>
    </xf>
    <xf numFmtId="0" fontId="161" fillId="0" borderId="103" xfId="0" applyFont="1" applyBorder="1" applyAlignment="1">
      <alignment horizontal="center" vertical="center"/>
    </xf>
    <xf numFmtId="0" fontId="217" fillId="9" borderId="103" xfId="0" applyFont="1" applyFill="1" applyBorder="1" applyAlignment="1">
      <alignment horizontal="center" vertical="center"/>
    </xf>
    <xf numFmtId="165" fontId="217" fillId="9" borderId="103" xfId="1" applyFont="1" applyFill="1" applyBorder="1" applyAlignment="1">
      <alignment horizontal="center" vertical="center"/>
    </xf>
    <xf numFmtId="165" fontId="218" fillId="9" borderId="103" xfId="1" applyFont="1" applyFill="1" applyBorder="1" applyAlignment="1">
      <alignment horizontal="center" vertical="top"/>
    </xf>
    <xf numFmtId="0" fontId="217" fillId="0" borderId="38" xfId="0" applyFont="1" applyBorder="1" applyAlignment="1">
      <alignment horizontal="center" vertical="center"/>
    </xf>
    <xf numFmtId="165" fontId="104" fillId="3" borderId="103" xfId="0" applyNumberFormat="1" applyFont="1" applyFill="1" applyBorder="1" applyAlignment="1">
      <alignment horizontal="center" vertical="center"/>
    </xf>
    <xf numFmtId="0" fontId="217" fillId="0" borderId="103" xfId="0" applyFont="1" applyBorder="1" applyAlignment="1">
      <alignment vertical="center"/>
    </xf>
    <xf numFmtId="0" fontId="217" fillId="0" borderId="103" xfId="0" applyFont="1" applyBorder="1" applyAlignment="1">
      <alignment horizontal="center" vertical="center"/>
    </xf>
    <xf numFmtId="0" fontId="217" fillId="0" borderId="102" xfId="0" applyFont="1" applyBorder="1" applyAlignment="1">
      <alignment horizontal="center" vertical="center"/>
    </xf>
    <xf numFmtId="0" fontId="104" fillId="0" borderId="103" xfId="0" applyFont="1" applyBorder="1" applyAlignment="1">
      <alignment vertical="center"/>
    </xf>
    <xf numFmtId="0" fontId="104" fillId="9" borderId="10" xfId="0" applyFont="1" applyFill="1" applyBorder="1" applyAlignment="1">
      <alignment vertical="center"/>
    </xf>
    <xf numFmtId="165" fontId="104" fillId="9" borderId="10" xfId="1" applyFont="1" applyFill="1" applyBorder="1" applyAlignment="1">
      <alignment horizontal="center" vertical="center"/>
    </xf>
    <xf numFmtId="0" fontId="217" fillId="9" borderId="10" xfId="0" applyFont="1" applyFill="1" applyBorder="1" applyAlignment="1">
      <alignment horizontal="center" vertical="center"/>
    </xf>
    <xf numFmtId="0" fontId="217" fillId="9" borderId="11" xfId="0" applyFont="1" applyFill="1" applyBorder="1" applyAlignment="1">
      <alignment horizontal="center" vertical="center"/>
    </xf>
    <xf numFmtId="0" fontId="217" fillId="9" borderId="103" xfId="0" applyFont="1" applyFill="1" applyBorder="1" applyAlignment="1">
      <alignment vertical="center"/>
    </xf>
    <xf numFmtId="0" fontId="217" fillId="9" borderId="4" xfId="0" applyFont="1" applyFill="1" applyBorder="1" applyAlignment="1">
      <alignment vertical="center"/>
    </xf>
    <xf numFmtId="0" fontId="110" fillId="0" borderId="114" xfId="0" applyFont="1" applyBorder="1" applyAlignment="1">
      <alignment horizontal="center" vertical="center"/>
    </xf>
    <xf numFmtId="0" fontId="169" fillId="0" borderId="115" xfId="0" applyFont="1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199" fillId="0" borderId="116" xfId="0" applyFont="1" applyBorder="1" applyAlignment="1">
      <alignment vertical="center" wrapText="1"/>
    </xf>
    <xf numFmtId="0" fontId="214" fillId="0" borderId="116" xfId="0" applyFont="1" applyBorder="1" applyAlignment="1">
      <alignment vertical="center" wrapText="1"/>
    </xf>
    <xf numFmtId="0" fontId="199" fillId="0" borderId="116" xfId="0" applyFont="1" applyBorder="1" applyAlignment="1">
      <alignment horizontal="left" vertical="center"/>
    </xf>
    <xf numFmtId="0" fontId="199" fillId="0" borderId="116" xfId="0" applyFont="1" applyBorder="1" applyAlignment="1">
      <alignment horizontal="center" vertical="center"/>
    </xf>
    <xf numFmtId="194" fontId="199" fillId="0" borderId="116" xfId="0" quotePrefix="1" applyNumberFormat="1" applyFont="1" applyBorder="1" applyAlignment="1">
      <alignment horizontal="center" vertical="center"/>
    </xf>
    <xf numFmtId="0" fontId="199" fillId="0" borderId="116" xfId="0" applyFont="1" applyBorder="1" applyAlignment="1">
      <alignment vertical="center"/>
    </xf>
    <xf numFmtId="0" fontId="199" fillId="0" borderId="116" xfId="0" applyFont="1" applyBorder="1" applyAlignment="1">
      <alignment horizontal="center" vertical="center" wrapText="1"/>
    </xf>
    <xf numFmtId="0" fontId="0" fillId="0" borderId="116" xfId="0" applyBorder="1" applyAlignment="1">
      <alignment vertical="center"/>
    </xf>
    <xf numFmtId="0" fontId="110" fillId="0" borderId="117" xfId="0" applyFont="1" applyBorder="1" applyAlignment="1">
      <alignment horizontal="center" vertical="center"/>
    </xf>
    <xf numFmtId="194" fontId="199" fillId="11" borderId="116" xfId="0" quotePrefix="1" applyNumberFormat="1" applyFont="1" applyFill="1" applyBorder="1" applyAlignment="1">
      <alignment horizontal="center" vertical="center"/>
    </xf>
    <xf numFmtId="0" fontId="212" fillId="0" borderId="116" xfId="0" applyFont="1" applyBorder="1" applyAlignment="1">
      <alignment vertical="center" wrapText="1"/>
    </xf>
    <xf numFmtId="0" fontId="199" fillId="3" borderId="116" xfId="0" applyFont="1" applyFill="1" applyBorder="1" applyAlignment="1">
      <alignment vertical="center" wrapText="1"/>
    </xf>
    <xf numFmtId="0" fontId="199" fillId="3" borderId="116" xfId="0" applyFont="1" applyFill="1" applyBorder="1" applyAlignment="1">
      <alignment horizontal="left" vertical="center"/>
    </xf>
    <xf numFmtId="0" fontId="199" fillId="3" borderId="116" xfId="0" applyFont="1" applyFill="1" applyBorder="1" applyAlignment="1">
      <alignment horizontal="center" vertical="center"/>
    </xf>
    <xf numFmtId="194" fontId="199" fillId="3" borderId="116" xfId="0" quotePrefix="1" applyNumberFormat="1" applyFont="1" applyFill="1" applyBorder="1" applyAlignment="1">
      <alignment horizontal="center" vertical="center"/>
    </xf>
    <xf numFmtId="0" fontId="199" fillId="3" borderId="116" xfId="0" applyFont="1" applyFill="1" applyBorder="1" applyAlignment="1">
      <alignment vertical="center"/>
    </xf>
    <xf numFmtId="0" fontId="199" fillId="3" borderId="116" xfId="0" applyFont="1" applyFill="1" applyBorder="1" applyAlignment="1">
      <alignment horizontal="center" vertical="center" wrapText="1"/>
    </xf>
    <xf numFmtId="0" fontId="212" fillId="3" borderId="116" xfId="0" applyFont="1" applyFill="1" applyBorder="1" applyAlignment="1">
      <alignment vertical="center" wrapText="1"/>
    </xf>
    <xf numFmtId="0" fontId="211" fillId="0" borderId="116" xfId="0" applyFont="1" applyBorder="1" applyAlignment="1">
      <alignment vertical="center" wrapText="1"/>
    </xf>
    <xf numFmtId="0" fontId="0" fillId="0" borderId="116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58" fillId="0" borderId="17" xfId="0" applyFont="1" applyBorder="1" applyAlignment="1">
      <alignment horizontal="left" vertical="center"/>
    </xf>
    <xf numFmtId="0" fontId="158" fillId="0" borderId="0" xfId="0" applyFont="1" applyAlignment="1">
      <alignment horizontal="left" vertical="center"/>
    </xf>
    <xf numFmtId="0" fontId="158" fillId="0" borderId="3" xfId="0" applyFont="1" applyBorder="1" applyAlignment="1">
      <alignment horizontal="left" vertical="center"/>
    </xf>
    <xf numFmtId="0" fontId="167" fillId="64" borderId="103" xfId="0" applyFont="1" applyFill="1" applyBorder="1" applyAlignment="1">
      <alignment horizontal="left" vertical="center"/>
    </xf>
    <xf numFmtId="165" fontId="103" fillId="9" borderId="0" xfId="1" applyFont="1" applyFill="1" applyBorder="1" applyAlignment="1">
      <alignment horizontal="left" vertical="center"/>
    </xf>
    <xf numFmtId="0" fontId="158" fillId="0" borderId="14" xfId="0" applyFont="1" applyBorder="1" applyAlignment="1">
      <alignment horizontal="left" vertical="center"/>
    </xf>
    <xf numFmtId="0" fontId="158" fillId="0" borderId="12" xfId="0" applyFont="1" applyBorder="1" applyAlignment="1">
      <alignment horizontal="left" vertical="center"/>
    </xf>
    <xf numFmtId="165" fontId="103" fillId="9" borderId="29" xfId="1" applyFont="1" applyFill="1" applyBorder="1" applyAlignment="1">
      <alignment horizontal="left" vertical="center"/>
    </xf>
    <xf numFmtId="0" fontId="103" fillId="3" borderId="116" xfId="0" applyFont="1" applyFill="1" applyBorder="1" applyAlignment="1">
      <alignment horizontal="left" vertical="center"/>
    </xf>
    <xf numFmtId="165" fontId="103" fillId="3" borderId="116" xfId="1" applyFont="1" applyFill="1" applyBorder="1" applyAlignment="1">
      <alignment vertical="center"/>
    </xf>
    <xf numFmtId="165" fontId="103" fillId="3" borderId="116" xfId="1" applyFont="1" applyFill="1" applyBorder="1" applyAlignment="1">
      <alignment horizontal="left" vertical="center"/>
    </xf>
    <xf numFmtId="165" fontId="103" fillId="3" borderId="116" xfId="1" applyFont="1" applyFill="1" applyBorder="1" applyAlignment="1">
      <alignment horizontal="center" vertical="center"/>
    </xf>
    <xf numFmtId="165" fontId="142" fillId="0" borderId="116" xfId="1" applyFont="1" applyFill="1" applyBorder="1" applyAlignment="1">
      <alignment vertical="center"/>
    </xf>
    <xf numFmtId="165" fontId="103" fillId="0" borderId="116" xfId="0" applyNumberFormat="1" applyFont="1" applyBorder="1" applyAlignment="1">
      <alignment horizontal="left" vertical="center"/>
    </xf>
    <xf numFmtId="165" fontId="103" fillId="0" borderId="116" xfId="1" applyFont="1" applyBorder="1" applyAlignment="1">
      <alignment horizontal="center" vertical="center"/>
    </xf>
    <xf numFmtId="165" fontId="103" fillId="0" borderId="116" xfId="1" applyFont="1" applyBorder="1" applyAlignment="1">
      <alignment vertical="center"/>
    </xf>
    <xf numFmtId="165" fontId="157" fillId="0" borderId="116" xfId="1" applyFont="1" applyBorder="1" applyAlignment="1">
      <alignment horizontal="center" vertical="center"/>
    </xf>
    <xf numFmtId="0" fontId="103" fillId="0" borderId="116" xfId="0" applyFont="1" applyBorder="1" applyAlignment="1">
      <alignment vertical="center"/>
    </xf>
    <xf numFmtId="0" fontId="103" fillId="0" borderId="116" xfId="0" applyFont="1" applyBorder="1" applyAlignment="1">
      <alignment horizontal="left" vertical="center"/>
    </xf>
    <xf numFmtId="0" fontId="199" fillId="11" borderId="116" xfId="0" applyFont="1" applyFill="1" applyBorder="1" applyAlignment="1">
      <alignment horizontal="center" vertical="center"/>
    </xf>
    <xf numFmtId="0" fontId="199" fillId="11" borderId="116" xfId="0" applyFont="1" applyFill="1" applyBorder="1" applyAlignment="1">
      <alignment horizontal="center" vertical="center" wrapText="1"/>
    </xf>
    <xf numFmtId="0" fontId="113" fillId="0" borderId="80" xfId="0" applyFont="1" applyBorder="1"/>
    <xf numFmtId="165" fontId="113" fillId="0" borderId="115" xfId="1" applyFont="1" applyFill="1" applyBorder="1" applyAlignment="1">
      <alignment horizontal="center" vertical="center"/>
    </xf>
    <xf numFmtId="165" fontId="113" fillId="0" borderId="115" xfId="1" applyFont="1" applyFill="1" applyBorder="1" applyAlignment="1">
      <alignment horizontal="right"/>
    </xf>
    <xf numFmtId="165" fontId="113" fillId="0" borderId="115" xfId="0" applyNumberFormat="1" applyFont="1" applyBorder="1"/>
    <xf numFmtId="165" fontId="113" fillId="0" borderId="115" xfId="1" applyFont="1" applyFill="1" applyBorder="1" applyAlignment="1">
      <alignment vertical="center"/>
    </xf>
    <xf numFmtId="0" fontId="113" fillId="0" borderId="115" xfId="0" applyFont="1" applyBorder="1" applyAlignment="1">
      <alignment vertical="center"/>
    </xf>
    <xf numFmtId="0" fontId="113" fillId="0" borderId="115" xfId="0" applyFont="1" applyBorder="1" applyAlignment="1">
      <alignment horizontal="center"/>
    </xf>
    <xf numFmtId="165" fontId="113" fillId="0" borderId="115" xfId="1" applyFont="1" applyFill="1" applyBorder="1" applyAlignment="1">
      <alignment horizontal="center"/>
    </xf>
    <xf numFmtId="0" fontId="113" fillId="0" borderId="115" xfId="0" applyFont="1" applyBorder="1" applyAlignment="1">
      <alignment horizontal="center" vertical="center"/>
    </xf>
    <xf numFmtId="165" fontId="113" fillId="0" borderId="82" xfId="1" applyFont="1" applyFill="1" applyBorder="1" applyAlignment="1">
      <alignment horizontal="center" vertical="center"/>
    </xf>
    <xf numFmtId="0" fontId="142" fillId="2" borderId="103" xfId="1" applyNumberFormat="1" applyFont="1" applyFill="1" applyBorder="1" applyAlignment="1">
      <alignment horizontal="center" vertical="center" wrapText="1"/>
    </xf>
    <xf numFmtId="165" fontId="142" fillId="2" borderId="103" xfId="1" applyFont="1" applyFill="1" applyBorder="1" applyAlignment="1">
      <alignment horizontal="left" vertical="center" wrapText="1"/>
    </xf>
    <xf numFmtId="165" fontId="142" fillId="2" borderId="103" xfId="1" applyFont="1" applyFill="1" applyBorder="1" applyAlignment="1">
      <alignment vertical="center"/>
    </xf>
    <xf numFmtId="165" fontId="142" fillId="0" borderId="103" xfId="1" applyFont="1" applyFill="1" applyBorder="1" applyAlignment="1">
      <alignment horizontal="left" vertical="center"/>
    </xf>
    <xf numFmtId="165" fontId="142" fillId="0" borderId="103" xfId="1" applyFont="1" applyFill="1" applyBorder="1" applyAlignment="1">
      <alignment horizontal="right" vertical="center"/>
    </xf>
    <xf numFmtId="165" fontId="142" fillId="0" borderId="103" xfId="1" quotePrefix="1" applyFont="1" applyFill="1" applyBorder="1" applyAlignment="1">
      <alignment horizontal="left" vertical="center"/>
    </xf>
    <xf numFmtId="187" fontId="17" fillId="0" borderId="116" xfId="310" applyNumberFormat="1" applyBorder="1" applyAlignment="1" applyProtection="1">
      <alignment horizontal="right" vertical="center"/>
      <protection hidden="1"/>
    </xf>
    <xf numFmtId="187" fontId="17" fillId="0" borderId="116" xfId="310" applyNumberFormat="1" applyBorder="1" applyProtection="1">
      <alignment vertical="center"/>
      <protection hidden="1"/>
    </xf>
    <xf numFmtId="0" fontId="38" fillId="11" borderId="116" xfId="0" applyFont="1" applyFill="1" applyBorder="1" applyAlignment="1">
      <alignment vertical="center"/>
    </xf>
    <xf numFmtId="165" fontId="38" fillId="11" borderId="116" xfId="1" applyFont="1" applyFill="1" applyBorder="1" applyAlignment="1">
      <alignment horizontal="center" vertical="center"/>
    </xf>
    <xf numFmtId="171" fontId="38" fillId="11" borderId="116" xfId="1" applyNumberFormat="1" applyFont="1" applyFill="1" applyBorder="1" applyAlignment="1">
      <alignment horizontal="center" vertical="center"/>
    </xf>
    <xf numFmtId="0" fontId="38" fillId="0" borderId="116" xfId="0" applyFont="1" applyBorder="1" applyAlignment="1">
      <alignment horizontal="center" vertical="center"/>
    </xf>
    <xf numFmtId="168" fontId="38" fillId="0" borderId="116" xfId="0" applyNumberFormat="1" applyFont="1" applyBorder="1" applyAlignment="1">
      <alignment horizontal="center" vertical="center"/>
    </xf>
    <xf numFmtId="165" fontId="38" fillId="9" borderId="116" xfId="1" applyFont="1" applyFill="1" applyBorder="1" applyAlignment="1">
      <alignment horizontal="center" vertical="center"/>
    </xf>
    <xf numFmtId="168" fontId="38" fillId="9" borderId="116" xfId="1" applyNumberFormat="1" applyFont="1" applyFill="1" applyBorder="1" applyAlignment="1">
      <alignment horizontal="center" vertical="center"/>
    </xf>
    <xf numFmtId="187" fontId="134" fillId="0" borderId="116" xfId="310" applyNumberFormat="1" applyFont="1" applyBorder="1" applyAlignment="1" applyProtection="1">
      <alignment horizontal="right" vertical="center"/>
      <protection hidden="1"/>
    </xf>
    <xf numFmtId="168" fontId="38" fillId="11" borderId="116" xfId="1" applyNumberFormat="1" applyFont="1" applyFill="1" applyBorder="1" applyAlignment="1">
      <alignment horizontal="center" vertical="center"/>
    </xf>
    <xf numFmtId="0" fontId="38" fillId="0" borderId="116" xfId="0" applyFont="1" applyBorder="1" applyAlignment="1">
      <alignment vertical="center"/>
    </xf>
    <xf numFmtId="168" fontId="38" fillId="0" borderId="116" xfId="0" applyNumberFormat="1" applyFont="1" applyBorder="1" applyAlignment="1">
      <alignment vertical="center"/>
    </xf>
    <xf numFmtId="0" fontId="38" fillId="0" borderId="0" xfId="5" applyFont="1" applyAlignment="1">
      <alignment horizontal="center" vertical="center"/>
    </xf>
    <xf numFmtId="0" fontId="111" fillId="0" borderId="124" xfId="5" applyFont="1" applyBorder="1" applyAlignment="1">
      <alignment horizontal="center" vertical="center"/>
    </xf>
    <xf numFmtId="0" fontId="111" fillId="0" borderId="125" xfId="5" applyFont="1" applyBorder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111" fillId="0" borderId="14" xfId="5" applyFont="1" applyBorder="1" applyAlignment="1">
      <alignment horizontal="center" vertical="center"/>
    </xf>
    <xf numFmtId="0" fontId="111" fillId="0" borderId="21" xfId="5" applyFont="1" applyBorder="1" applyAlignment="1">
      <alignment horizontal="center" vertical="center"/>
    </xf>
    <xf numFmtId="0" fontId="38" fillId="0" borderId="96" xfId="5" applyFont="1" applyBorder="1" applyAlignment="1">
      <alignment vertical="center"/>
    </xf>
    <xf numFmtId="0" fontId="38" fillId="0" borderId="96" xfId="5" applyFont="1" applyBorder="1" applyAlignment="1">
      <alignment horizontal="center" vertical="center"/>
    </xf>
    <xf numFmtId="0" fontId="111" fillId="0" borderId="116" xfId="5" applyFont="1" applyBorder="1" applyAlignment="1">
      <alignment horizontal="center" vertical="center" wrapText="1"/>
    </xf>
    <xf numFmtId="0" fontId="111" fillId="0" borderId="116" xfId="5" applyFont="1" applyBorder="1" applyAlignment="1">
      <alignment horizontal="center" vertical="center"/>
    </xf>
    <xf numFmtId="0" fontId="184" fillId="0" borderId="0" xfId="5" applyFont="1" applyAlignment="1">
      <alignment horizontal="center" vertical="center"/>
    </xf>
    <xf numFmtId="0" fontId="111" fillId="0" borderId="12" xfId="5" applyFont="1" applyBorder="1" applyAlignment="1">
      <alignment horizontal="center" vertical="center"/>
    </xf>
    <xf numFmtId="0" fontId="194" fillId="0" borderId="96" xfId="5" applyFont="1" applyBorder="1" applyAlignment="1">
      <alignment horizontal="center" vertical="center"/>
    </xf>
    <xf numFmtId="0" fontId="194" fillId="0" borderId="6" xfId="5" applyFont="1" applyBorder="1" applyAlignment="1">
      <alignment horizontal="center" vertical="center"/>
    </xf>
    <xf numFmtId="0" fontId="178" fillId="0" borderId="0" xfId="386" applyFont="1">
      <alignment vertical="center"/>
    </xf>
    <xf numFmtId="0" fontId="174" fillId="0" borderId="0" xfId="386" applyFont="1">
      <alignment vertical="center"/>
    </xf>
    <xf numFmtId="0" fontId="1" fillId="0" borderId="0" xfId="386">
      <alignment vertical="center"/>
    </xf>
    <xf numFmtId="0" fontId="23" fillId="0" borderId="0" xfId="386" applyFont="1">
      <alignment vertical="center"/>
    </xf>
    <xf numFmtId="0" fontId="1" fillId="0" borderId="0" xfId="386" applyAlignment="1">
      <alignment horizontal="left" vertical="center"/>
    </xf>
    <xf numFmtId="0" fontId="1" fillId="0" borderId="0" xfId="386" applyAlignment="1">
      <alignment horizontal="center" vertical="center"/>
    </xf>
    <xf numFmtId="0" fontId="174" fillId="0" borderId="82" xfId="386" applyFont="1" applyBorder="1">
      <alignment vertical="center"/>
    </xf>
    <xf numFmtId="0" fontId="174" fillId="0" borderId="80" xfId="386" applyFont="1" applyBorder="1">
      <alignment vertical="center"/>
    </xf>
    <xf numFmtId="0" fontId="174" fillId="0" borderId="83" xfId="386" applyFont="1" applyBorder="1">
      <alignment vertical="center"/>
    </xf>
    <xf numFmtId="0" fontId="174" fillId="0" borderId="96" xfId="386" applyFont="1" applyBorder="1">
      <alignment vertical="center"/>
    </xf>
    <xf numFmtId="0" fontId="174" fillId="0" borderId="97" xfId="386" applyFont="1" applyBorder="1">
      <alignment vertical="center"/>
    </xf>
    <xf numFmtId="0" fontId="174" fillId="0" borderId="6" xfId="386" applyFont="1" applyBorder="1">
      <alignment vertical="center"/>
    </xf>
    <xf numFmtId="0" fontId="174" fillId="0" borderId="61" xfId="386" applyFont="1" applyBorder="1">
      <alignment vertical="center"/>
    </xf>
    <xf numFmtId="0" fontId="174" fillId="0" borderId="3" xfId="386" applyFont="1" applyBorder="1">
      <alignment vertical="center"/>
    </xf>
    <xf numFmtId="0" fontId="174" fillId="0" borderId="115" xfId="386" applyFont="1" applyBorder="1">
      <alignment vertical="center"/>
    </xf>
    <xf numFmtId="0" fontId="179" fillId="0" borderId="96" xfId="386" applyFont="1" applyBorder="1">
      <alignment vertical="center"/>
    </xf>
    <xf numFmtId="0" fontId="174" fillId="0" borderId="15" xfId="386" applyFont="1" applyBorder="1">
      <alignment vertical="center"/>
    </xf>
    <xf numFmtId="0" fontId="174" fillId="0" borderId="4" xfId="386" applyFont="1" applyBorder="1">
      <alignment vertical="center"/>
    </xf>
    <xf numFmtId="0" fontId="1" fillId="0" borderId="3" xfId="386" applyBorder="1">
      <alignment vertical="center"/>
    </xf>
    <xf numFmtId="0" fontId="1" fillId="0" borderId="3" xfId="386" applyBorder="1" applyAlignment="1">
      <alignment horizontal="center" vertical="center"/>
    </xf>
    <xf numFmtId="0" fontId="180" fillId="0" borderId="0" xfId="386" applyFont="1">
      <alignment vertical="center"/>
    </xf>
    <xf numFmtId="0" fontId="182" fillId="0" borderId="0" xfId="386" applyFont="1">
      <alignment vertical="center"/>
    </xf>
    <xf numFmtId="0" fontId="183" fillId="0" borderId="0" xfId="386" applyFont="1">
      <alignment vertical="center"/>
    </xf>
    <xf numFmtId="0" fontId="183" fillId="0" borderId="0" xfId="386" applyFont="1" applyAlignment="1">
      <alignment horizontal="center" vertical="center"/>
    </xf>
    <xf numFmtId="168" fontId="0" fillId="0" borderId="0" xfId="387" applyNumberFormat="1" applyFont="1">
      <alignment vertical="center"/>
    </xf>
    <xf numFmtId="0" fontId="199" fillId="0" borderId="0" xfId="386" applyFont="1">
      <alignment vertical="center"/>
    </xf>
    <xf numFmtId="0" fontId="206" fillId="0" borderId="0" xfId="386" applyFont="1">
      <alignment vertical="center"/>
    </xf>
    <xf numFmtId="0" fontId="205" fillId="0" borderId="0" xfId="386" applyFont="1" applyAlignment="1">
      <alignment horizontal="center" vertical="center"/>
    </xf>
    <xf numFmtId="0" fontId="203" fillId="0" borderId="0" xfId="386" applyFont="1">
      <alignment vertical="center"/>
    </xf>
    <xf numFmtId="0" fontId="111" fillId="0" borderId="0" xfId="386" applyFont="1">
      <alignment vertical="center"/>
    </xf>
    <xf numFmtId="0" fontId="200" fillId="0" borderId="0" xfId="386" applyFont="1">
      <alignment vertical="center"/>
    </xf>
    <xf numFmtId="0" fontId="200" fillId="0" borderId="0" xfId="386" applyFont="1" applyAlignment="1">
      <alignment horizontal="left" vertical="center"/>
    </xf>
    <xf numFmtId="0" fontId="200" fillId="0" borderId="0" xfId="386" applyFont="1" applyAlignment="1">
      <alignment horizontal="center" vertical="center"/>
    </xf>
    <xf numFmtId="0" fontId="1" fillId="0" borderId="6" xfId="386" applyBorder="1">
      <alignment vertical="center"/>
    </xf>
    <xf numFmtId="0" fontId="1" fillId="0" borderId="61" xfId="386" applyBorder="1" applyAlignment="1">
      <alignment horizontal="left" vertical="center"/>
    </xf>
    <xf numFmtId="0" fontId="1" fillId="0" borderId="4" xfId="386" applyBorder="1">
      <alignment vertical="center"/>
    </xf>
    <xf numFmtId="0" fontId="1" fillId="0" borderId="6" xfId="386" applyBorder="1" applyAlignment="1">
      <alignment horizontal="center" vertical="center"/>
    </xf>
    <xf numFmtId="0" fontId="1" fillId="0" borderId="61" xfId="386" applyBorder="1" applyAlignment="1">
      <alignment horizontal="center" vertical="center"/>
    </xf>
    <xf numFmtId="0" fontId="179" fillId="0" borderId="0" xfId="386" applyFont="1">
      <alignment vertical="center"/>
    </xf>
    <xf numFmtId="0" fontId="174" fillId="0" borderId="116" xfId="386" applyFont="1" applyBorder="1">
      <alignment vertical="center"/>
    </xf>
    <xf numFmtId="0" fontId="174" fillId="0" borderId="120" xfId="386" applyFont="1" applyBorder="1">
      <alignment vertical="center"/>
    </xf>
    <xf numFmtId="0" fontId="174" fillId="0" borderId="121" xfId="386" applyFont="1" applyBorder="1">
      <alignment vertical="center"/>
    </xf>
    <xf numFmtId="0" fontId="174" fillId="0" borderId="108" xfId="386" applyFont="1" applyBorder="1">
      <alignment vertical="center"/>
    </xf>
    <xf numFmtId="0" fontId="111" fillId="0" borderId="0" xfId="5" applyFont="1" applyAlignment="1">
      <alignment horizontal="center" vertical="center" wrapText="1"/>
    </xf>
    <xf numFmtId="165" fontId="78" fillId="2" borderId="103" xfId="297" applyNumberFormat="1" applyFill="1" applyBorder="1" applyAlignment="1">
      <alignment horizontal="center" vertical="center"/>
    </xf>
    <xf numFmtId="0" fontId="78" fillId="2" borderId="103" xfId="297" applyFill="1" applyBorder="1" applyAlignment="1"/>
    <xf numFmtId="165" fontId="78" fillId="2" borderId="103" xfId="297" quotePrefix="1" applyNumberFormat="1" applyFill="1" applyBorder="1" applyAlignment="1">
      <alignment horizontal="center" vertical="center"/>
    </xf>
    <xf numFmtId="0" fontId="1" fillId="0" borderId="82" xfId="386" applyBorder="1" applyAlignment="1">
      <alignment horizontal="center" vertical="center"/>
    </xf>
    <xf numFmtId="0" fontId="1" fillId="0" borderId="80" xfId="386" applyBorder="1">
      <alignment vertical="center"/>
    </xf>
    <xf numFmtId="0" fontId="1" fillId="0" borderId="83" xfId="386" applyBorder="1">
      <alignment vertical="center"/>
    </xf>
    <xf numFmtId="0" fontId="1" fillId="0" borderId="82" xfId="386" applyBorder="1">
      <alignment vertical="center"/>
    </xf>
    <xf numFmtId="0" fontId="1" fillId="0" borderId="61" xfId="386" applyBorder="1">
      <alignment vertical="center"/>
    </xf>
    <xf numFmtId="0" fontId="1" fillId="0" borderId="120" xfId="386" applyBorder="1">
      <alignment vertical="center"/>
    </xf>
    <xf numFmtId="170" fontId="110" fillId="9" borderId="103" xfId="1" applyNumberFormat="1" applyFont="1" applyFill="1" applyBorder="1" applyAlignment="1">
      <alignment horizontal="center" vertical="center" shrinkToFit="1"/>
    </xf>
    <xf numFmtId="165" fontId="109" fillId="0" borderId="0" xfId="1" applyFont="1" applyAlignment="1">
      <alignment horizontal="center" vertical="center" shrinkToFit="1"/>
    </xf>
    <xf numFmtId="170" fontId="110" fillId="0" borderId="0" xfId="1" applyNumberFormat="1" applyFont="1" applyFill="1" applyBorder="1" applyAlignment="1">
      <alignment horizontal="center" vertical="center" shrinkToFit="1"/>
    </xf>
    <xf numFmtId="0" fontId="167" fillId="9" borderId="118" xfId="0" applyFont="1" applyFill="1" applyBorder="1" applyAlignment="1">
      <alignment horizontal="center" vertical="center"/>
    </xf>
    <xf numFmtId="0" fontId="167" fillId="9" borderId="116" xfId="0" applyFont="1" applyFill="1" applyBorder="1" applyAlignment="1">
      <alignment horizontal="left" vertical="center"/>
    </xf>
    <xf numFmtId="165" fontId="167" fillId="9" borderId="116" xfId="1" applyFont="1" applyFill="1" applyBorder="1" applyAlignment="1">
      <alignment horizontal="center" vertical="center"/>
    </xf>
    <xf numFmtId="165" fontId="141" fillId="9" borderId="116" xfId="1" applyFont="1" applyFill="1" applyBorder="1" applyAlignment="1">
      <alignment horizontal="left" vertical="top"/>
    </xf>
    <xf numFmtId="0" fontId="167" fillId="9" borderId="116" xfId="0" applyFont="1" applyFill="1" applyBorder="1" applyAlignment="1">
      <alignment horizontal="center" vertical="center"/>
    </xf>
    <xf numFmtId="165" fontId="141" fillId="9" borderId="119" xfId="1" applyFont="1" applyFill="1" applyBorder="1" applyAlignment="1">
      <alignment horizontal="left" vertical="top"/>
    </xf>
    <xf numFmtId="0" fontId="168" fillId="0" borderId="116" xfId="0" applyFont="1" applyBorder="1" applyAlignment="1">
      <alignment vertical="center"/>
    </xf>
    <xf numFmtId="165" fontId="103" fillId="0" borderId="116" xfId="1" applyFont="1" applyFill="1" applyBorder="1" applyAlignment="1">
      <alignment vertical="center"/>
    </xf>
    <xf numFmtId="165" fontId="103" fillId="9" borderId="118" xfId="1" applyFont="1" applyFill="1" applyBorder="1" applyAlignment="1">
      <alignment horizontal="center" vertical="center"/>
    </xf>
    <xf numFmtId="165" fontId="103" fillId="9" borderId="116" xfId="1" applyFont="1" applyFill="1" applyBorder="1" applyAlignment="1">
      <alignment horizontal="center" vertical="center"/>
    </xf>
    <xf numFmtId="0" fontId="221" fillId="0" borderId="0" xfId="0" applyFont="1"/>
    <xf numFmtId="0" fontId="114" fillId="0" borderId="0" xfId="0" applyFont="1" applyAlignment="1" applyProtection="1">
      <alignment vertical="center"/>
      <protection hidden="1"/>
    </xf>
    <xf numFmtId="165" fontId="109" fillId="0" borderId="0" xfId="1" applyFont="1" applyFill="1" applyBorder="1" applyAlignment="1">
      <alignment vertical="center" shrinkToFit="1"/>
    </xf>
    <xf numFmtId="0" fontId="109" fillId="0" borderId="0" xfId="0" applyFont="1" applyAlignment="1" applyProtection="1">
      <alignment vertical="center"/>
      <protection hidden="1"/>
    </xf>
    <xf numFmtId="165" fontId="119" fillId="0" borderId="0" xfId="1" applyFont="1" applyAlignment="1">
      <alignment vertical="top" shrinkToFit="1"/>
    </xf>
    <xf numFmtId="165" fontId="222" fillId="0" borderId="0" xfId="1" applyFont="1" applyAlignment="1">
      <alignment vertical="center" shrinkToFit="1"/>
    </xf>
    <xf numFmtId="0" fontId="122" fillId="0" borderId="0" xfId="7" applyFont="1" applyAlignment="1">
      <alignment vertical="center" wrapText="1"/>
    </xf>
    <xf numFmtId="9" fontId="114" fillId="0" borderId="0" xfId="2" applyFont="1" applyAlignment="1" applyProtection="1">
      <alignment vertical="center" shrinkToFit="1"/>
      <protection locked="0"/>
    </xf>
    <xf numFmtId="165" fontId="122" fillId="0" borderId="0" xfId="1" applyFont="1" applyAlignment="1">
      <alignment vertical="center" wrapText="1"/>
    </xf>
    <xf numFmtId="181" fontId="122" fillId="0" borderId="0" xfId="1" applyNumberFormat="1" applyFont="1" applyAlignment="1">
      <alignment vertical="center" wrapText="1"/>
    </xf>
    <xf numFmtId="165" fontId="222" fillId="0" borderId="0" xfId="1" applyFont="1" applyAlignment="1">
      <alignment horizontal="center" vertical="center"/>
    </xf>
    <xf numFmtId="165" fontId="222" fillId="0" borderId="0" xfId="1" applyFont="1" applyAlignment="1">
      <alignment vertical="top" shrinkToFit="1"/>
    </xf>
    <xf numFmtId="165" fontId="119" fillId="0" borderId="62" xfId="1" applyFont="1" applyBorder="1" applyAlignment="1">
      <alignment horizontal="center" vertical="center" shrinkToFit="1"/>
    </xf>
    <xf numFmtId="165" fontId="119" fillId="0" borderId="62" xfId="1" applyFont="1" applyBorder="1" applyAlignment="1">
      <alignment vertical="center" shrinkToFit="1"/>
    </xf>
    <xf numFmtId="165" fontId="119" fillId="0" borderId="62" xfId="1" applyFont="1" applyBorder="1" applyAlignment="1">
      <alignment vertical="top" shrinkToFit="1"/>
    </xf>
    <xf numFmtId="165" fontId="223" fillId="0" borderId="62" xfId="1" applyFont="1" applyBorder="1" applyAlignment="1">
      <alignment vertical="center" shrinkToFit="1"/>
    </xf>
    <xf numFmtId="168" fontId="119" fillId="0" borderId="62" xfId="1" applyNumberFormat="1" applyFont="1" applyBorder="1" applyAlignment="1">
      <alignment vertical="center" shrinkToFit="1"/>
    </xf>
    <xf numFmtId="165" fontId="119" fillId="0" borderId="62" xfId="1" applyFont="1" applyBorder="1" applyAlignment="1">
      <alignment horizontal="left" vertical="center" shrinkToFit="1"/>
    </xf>
    <xf numFmtId="165" fontId="109" fillId="0" borderId="62" xfId="1" applyFont="1" applyBorder="1" applyAlignment="1">
      <alignment vertical="center" shrinkToFit="1"/>
    </xf>
    <xf numFmtId="165" fontId="197" fillId="0" borderId="0" xfId="1" applyFont="1" applyAlignment="1">
      <alignment vertical="center" shrinkToFit="1"/>
    </xf>
    <xf numFmtId="165" fontId="109" fillId="0" borderId="62" xfId="1" applyFont="1" applyBorder="1" applyAlignment="1">
      <alignment vertical="top" shrinkToFit="1"/>
    </xf>
    <xf numFmtId="165" fontId="109" fillId="0" borderId="62" xfId="1" applyFont="1" applyBorder="1" applyAlignment="1">
      <alignment horizontal="center" vertical="center" shrinkToFit="1"/>
    </xf>
    <xf numFmtId="165" fontId="109" fillId="0" borderId="0" xfId="1" applyFont="1" applyAlignment="1">
      <alignment vertical="top" shrinkToFit="1"/>
    </xf>
    <xf numFmtId="165" fontId="197" fillId="0" borderId="0" xfId="1" applyFont="1" applyAlignment="1">
      <alignment horizontal="center" vertical="center" shrinkToFit="1"/>
    </xf>
    <xf numFmtId="165" fontId="197" fillId="0" borderId="0" xfId="1" applyFont="1" applyAlignment="1">
      <alignment vertical="top" shrinkToFit="1"/>
    </xf>
    <xf numFmtId="165" fontId="222" fillId="0" borderId="0" xfId="1" applyFont="1" applyAlignment="1">
      <alignment horizontal="center" vertical="center" shrinkToFit="1"/>
    </xf>
    <xf numFmtId="0" fontId="224" fillId="0" borderId="95" xfId="0" applyFont="1" applyBorder="1" applyAlignment="1">
      <alignment horizontal="center" vertical="center"/>
    </xf>
    <xf numFmtId="0" fontId="224" fillId="0" borderId="95" xfId="0" applyFont="1" applyBorder="1" applyAlignment="1">
      <alignment horizontal="center" vertical="top"/>
    </xf>
    <xf numFmtId="0" fontId="222" fillId="0" borderId="95" xfId="0" applyFont="1" applyBorder="1" applyAlignment="1">
      <alignment horizontal="center" vertical="center"/>
    </xf>
    <xf numFmtId="0" fontId="222" fillId="0" borderId="95" xfId="0" applyFont="1" applyBorder="1" applyAlignment="1">
      <alignment horizontal="center" vertical="top"/>
    </xf>
    <xf numFmtId="170" fontId="222" fillId="0" borderId="95" xfId="0" applyNumberFormat="1" applyFont="1" applyBorder="1" applyAlignment="1">
      <alignment horizontal="center" vertical="center"/>
    </xf>
    <xf numFmtId="165" fontId="222" fillId="0" borderId="0" xfId="1" applyFont="1" applyAlignment="1">
      <alignment horizontal="center" vertical="top" wrapText="1" shrinkToFit="1"/>
    </xf>
    <xf numFmtId="0" fontId="222" fillId="0" borderId="95" xfId="0" applyFont="1" applyBorder="1" applyAlignment="1">
      <alignment horizontal="center" vertical="top" wrapText="1"/>
    </xf>
    <xf numFmtId="170" fontId="222" fillId="0" borderId="95" xfId="0" applyNumberFormat="1" applyFont="1" applyBorder="1" applyAlignment="1">
      <alignment horizontal="center" vertical="top"/>
    </xf>
    <xf numFmtId="0" fontId="222" fillId="0" borderId="0" xfId="0" applyFont="1" applyAlignment="1">
      <alignment horizontal="center" vertical="center"/>
    </xf>
    <xf numFmtId="0" fontId="222" fillId="0" borderId="0" xfId="0" applyFont="1" applyAlignment="1">
      <alignment horizontal="center" vertical="top"/>
    </xf>
    <xf numFmtId="169" fontId="222" fillId="0" borderId="98" xfId="0" applyNumberFormat="1" applyFont="1" applyBorder="1" applyAlignment="1">
      <alignment horizontal="center" vertical="center"/>
    </xf>
    <xf numFmtId="169" fontId="222" fillId="0" borderId="0" xfId="0" applyNumberFormat="1" applyFont="1" applyAlignment="1">
      <alignment horizontal="center" vertical="center"/>
    </xf>
    <xf numFmtId="165" fontId="119" fillId="0" borderId="0" xfId="1" applyFont="1" applyAlignment="1">
      <alignment horizontal="center" vertical="center" shrinkToFit="1"/>
    </xf>
    <xf numFmtId="0" fontId="109" fillId="9" borderId="116" xfId="0" applyFont="1" applyFill="1" applyBorder="1" applyAlignment="1">
      <alignment horizontal="center" vertical="center"/>
    </xf>
    <xf numFmtId="0" fontId="109" fillId="9" borderId="116" xfId="0" applyFont="1" applyFill="1" applyBorder="1" applyAlignment="1">
      <alignment horizontal="center" vertical="top"/>
    </xf>
    <xf numFmtId="0" fontId="109" fillId="9" borderId="116" xfId="0" applyFont="1" applyFill="1" applyBorder="1" applyAlignment="1" applyProtection="1">
      <alignment horizontal="center" vertical="center"/>
      <protection hidden="1"/>
    </xf>
    <xf numFmtId="168" fontId="112" fillId="41" borderId="116" xfId="1" applyNumberFormat="1" applyFont="1" applyFill="1" applyBorder="1" applyAlignment="1" applyProtection="1">
      <alignment horizontal="center" vertical="center" shrinkToFit="1"/>
      <protection locked="0"/>
    </xf>
    <xf numFmtId="191" fontId="112" fillId="9" borderId="116" xfId="1" applyNumberFormat="1" applyFont="1" applyFill="1" applyBorder="1" applyAlignment="1" applyProtection="1">
      <alignment vertical="center" shrinkToFit="1"/>
      <protection hidden="1"/>
    </xf>
    <xf numFmtId="191" fontId="112" fillId="9" borderId="116" xfId="1" applyNumberFormat="1" applyFont="1" applyFill="1" applyBorder="1" applyAlignment="1" applyProtection="1">
      <alignment horizontal="center" vertical="center"/>
      <protection hidden="1"/>
    </xf>
    <xf numFmtId="170" fontId="110" fillId="9" borderId="116" xfId="1" applyNumberFormat="1" applyFont="1" applyFill="1" applyBorder="1" applyAlignment="1">
      <alignment horizontal="center" vertical="center" shrinkToFit="1"/>
    </xf>
    <xf numFmtId="165" fontId="110" fillId="9" borderId="116" xfId="1" applyFont="1" applyFill="1" applyBorder="1" applyAlignment="1">
      <alignment horizontal="center" vertical="center" shrinkToFit="1"/>
    </xf>
    <xf numFmtId="165" fontId="110" fillId="9" borderId="116" xfId="1" applyFont="1" applyFill="1" applyBorder="1" applyAlignment="1">
      <alignment horizontal="center" vertical="center" wrapText="1" shrinkToFit="1"/>
    </xf>
    <xf numFmtId="165" fontId="110" fillId="41" borderId="116" xfId="1" applyFont="1" applyFill="1" applyBorder="1" applyAlignment="1" applyProtection="1">
      <alignment horizontal="center" vertical="center" shrinkToFit="1"/>
      <protection locked="0"/>
    </xf>
    <xf numFmtId="0" fontId="110" fillId="41" borderId="116" xfId="0" applyFont="1" applyFill="1" applyBorder="1" applyAlignment="1" applyProtection="1">
      <alignment horizontal="center" vertical="center"/>
      <protection locked="0" hidden="1"/>
    </xf>
    <xf numFmtId="165" fontId="109" fillId="9" borderId="116" xfId="1" applyFont="1" applyFill="1" applyBorder="1" applyAlignment="1">
      <alignment horizontal="center" vertical="center" shrinkToFit="1"/>
    </xf>
    <xf numFmtId="165" fontId="109" fillId="41" borderId="116" xfId="1" applyFont="1" applyFill="1" applyBorder="1" applyAlignment="1" applyProtection="1">
      <alignment horizontal="center" vertical="center" wrapText="1" shrinkToFit="1"/>
      <protection locked="0"/>
    </xf>
    <xf numFmtId="165" fontId="109" fillId="41" borderId="116" xfId="1" applyFont="1" applyFill="1" applyBorder="1" applyAlignment="1" applyProtection="1">
      <alignment horizontal="center" vertical="center" shrinkToFit="1"/>
      <protection locked="0"/>
    </xf>
    <xf numFmtId="165" fontId="109" fillId="41" borderId="116" xfId="1" applyFont="1" applyFill="1" applyBorder="1" applyAlignment="1" applyProtection="1">
      <alignment horizontal="center" vertical="center" wrapText="1"/>
      <protection locked="0"/>
    </xf>
    <xf numFmtId="165" fontId="116" fillId="0" borderId="116" xfId="1" applyFont="1" applyBorder="1" applyAlignment="1">
      <alignment horizontal="center" vertical="center" shrinkToFit="1"/>
    </xf>
    <xf numFmtId="165" fontId="109" fillId="9" borderId="116" xfId="1" applyFont="1" applyFill="1" applyBorder="1" applyAlignment="1">
      <alignment horizontal="center" vertical="top" shrinkToFit="1"/>
    </xf>
    <xf numFmtId="165" fontId="109" fillId="41" borderId="116" xfId="1" applyFont="1" applyFill="1" applyBorder="1" applyAlignment="1" applyProtection="1">
      <alignment horizontal="center" vertical="top" shrinkToFit="1"/>
      <protection locked="0"/>
    </xf>
    <xf numFmtId="165" fontId="116" fillId="0" borderId="120" xfId="1" applyFont="1" applyBorder="1" applyAlignment="1">
      <alignment horizontal="center" vertical="center" shrinkToFit="1"/>
    </xf>
    <xf numFmtId="165" fontId="109" fillId="41" borderId="116" xfId="1" applyFont="1" applyFill="1" applyBorder="1" applyAlignment="1" applyProtection="1">
      <alignment vertical="center"/>
      <protection locked="0"/>
    </xf>
    <xf numFmtId="165" fontId="109" fillId="41" borderId="116" xfId="1" applyFont="1" applyFill="1" applyBorder="1" applyAlignment="1" applyProtection="1">
      <alignment vertical="center" shrinkToFit="1"/>
      <protection locked="0"/>
    </xf>
    <xf numFmtId="165" fontId="109" fillId="41" borderId="116" xfId="1" applyFont="1" applyFill="1" applyBorder="1" applyAlignment="1" applyProtection="1">
      <alignment vertical="top"/>
      <protection locked="0"/>
    </xf>
    <xf numFmtId="181" fontId="122" fillId="9" borderId="116" xfId="2" applyNumberFormat="1" applyFont="1" applyFill="1" applyBorder="1" applyAlignment="1" applyProtection="1">
      <alignment horizontal="center" vertical="center" wrapText="1"/>
      <protection hidden="1"/>
    </xf>
    <xf numFmtId="181" fontId="122" fillId="9" borderId="116" xfId="0" applyNumberFormat="1" applyFont="1" applyFill="1" applyBorder="1" applyAlignment="1" applyProtection="1">
      <alignment horizontal="center" vertical="center" wrapText="1"/>
      <protection hidden="1"/>
    </xf>
    <xf numFmtId="181" fontId="122" fillId="3" borderId="116" xfId="0" applyNumberFormat="1" applyFont="1" applyFill="1" applyBorder="1" applyAlignment="1" applyProtection="1">
      <alignment horizontal="center" vertical="center"/>
      <protection hidden="1"/>
    </xf>
    <xf numFmtId="181" fontId="122" fillId="3" borderId="116" xfId="0" applyNumberFormat="1" applyFont="1" applyFill="1" applyBorder="1" applyAlignment="1" applyProtection="1">
      <alignment horizontal="center" vertical="center" wrapText="1"/>
      <protection hidden="1"/>
    </xf>
    <xf numFmtId="184" fontId="112" fillId="11" borderId="116" xfId="0" applyNumberFormat="1" applyFont="1" applyFill="1" applyBorder="1" applyAlignment="1" applyProtection="1">
      <alignment horizontal="center" vertical="center"/>
      <protection hidden="1"/>
    </xf>
    <xf numFmtId="184" fontId="124" fillId="11" borderId="116" xfId="1" applyNumberFormat="1" applyFont="1" applyFill="1" applyBorder="1" applyAlignment="1">
      <alignment vertical="center" shrinkToFit="1"/>
    </xf>
    <xf numFmtId="184" fontId="122" fillId="3" borderId="116" xfId="0" applyNumberFormat="1" applyFont="1" applyFill="1" applyBorder="1" applyAlignment="1" applyProtection="1">
      <alignment horizontal="right" vertical="center"/>
      <protection hidden="1"/>
    </xf>
    <xf numFmtId="181" fontId="112" fillId="11" borderId="116" xfId="0" applyNumberFormat="1" applyFont="1" applyFill="1" applyBorder="1" applyAlignment="1" applyProtection="1">
      <alignment horizontal="center" vertical="center"/>
      <protection hidden="1"/>
    </xf>
    <xf numFmtId="181" fontId="112" fillId="11" borderId="116" xfId="44" applyNumberFormat="1" applyFont="1" applyFill="1" applyBorder="1" applyAlignment="1" applyProtection="1">
      <alignment horizontal="center" vertical="center"/>
      <protection hidden="1"/>
    </xf>
    <xf numFmtId="181" fontId="112" fillId="3" borderId="116" xfId="44" applyNumberFormat="1" applyFont="1" applyFill="1" applyBorder="1" applyAlignment="1" applyProtection="1">
      <alignment horizontal="center" vertical="center"/>
      <protection hidden="1"/>
    </xf>
    <xf numFmtId="181" fontId="112" fillId="3" borderId="116" xfId="0" applyNumberFormat="1" applyFont="1" applyFill="1" applyBorder="1" applyAlignment="1" applyProtection="1">
      <alignment horizontal="center" vertical="center"/>
      <protection hidden="1"/>
    </xf>
    <xf numFmtId="0" fontId="116" fillId="9" borderId="39" xfId="0" applyFont="1" applyFill="1" applyBorder="1" applyAlignment="1" applyProtection="1">
      <alignment horizontal="center" vertical="center"/>
      <protection hidden="1"/>
    </xf>
    <xf numFmtId="0" fontId="116" fillId="41" borderId="39" xfId="0" applyFont="1" applyFill="1" applyBorder="1" applyAlignment="1" applyProtection="1">
      <alignment horizontal="center" vertical="center"/>
      <protection locked="0" hidden="1"/>
    </xf>
    <xf numFmtId="177" fontId="116" fillId="41" borderId="39" xfId="0" applyNumberFormat="1" applyFont="1" applyFill="1" applyBorder="1" applyAlignment="1" applyProtection="1">
      <alignment horizontal="center" vertical="center"/>
      <protection locked="0" hidden="1"/>
    </xf>
    <xf numFmtId="0" fontId="109" fillId="9" borderId="7" xfId="364" applyFont="1" applyFill="1" applyBorder="1" applyAlignment="1" applyProtection="1">
      <alignment horizontal="center" vertical="center" wrapText="1"/>
      <protection hidden="1"/>
    </xf>
    <xf numFmtId="165" fontId="38" fillId="11" borderId="116" xfId="1" applyFont="1" applyFill="1" applyBorder="1" applyAlignment="1">
      <alignment horizontal="center" vertical="center" shrinkToFit="1"/>
    </xf>
    <xf numFmtId="0" fontId="38" fillId="11" borderId="116" xfId="0" applyFont="1" applyFill="1" applyBorder="1" applyAlignment="1">
      <alignment horizontal="center" vertical="center"/>
    </xf>
    <xf numFmtId="0" fontId="38" fillId="11" borderId="116" xfId="0" applyFont="1" applyFill="1" applyBorder="1" applyAlignment="1">
      <alignment horizontal="center" vertical="center" wrapText="1"/>
    </xf>
    <xf numFmtId="165" fontId="134" fillId="11" borderId="116" xfId="1" applyFont="1" applyFill="1" applyBorder="1" applyAlignment="1">
      <alignment horizontal="center" vertical="center" shrinkToFit="1"/>
    </xf>
    <xf numFmtId="0" fontId="38" fillId="11" borderId="116" xfId="364" applyFont="1" applyFill="1" applyBorder="1" applyAlignment="1" applyProtection="1">
      <alignment horizontal="center" vertical="center"/>
      <protection hidden="1"/>
    </xf>
    <xf numFmtId="0" fontId="38" fillId="11" borderId="116" xfId="0" applyFont="1" applyFill="1" applyBorder="1" applyAlignment="1">
      <alignment horizontal="center" vertical="top"/>
    </xf>
    <xf numFmtId="170" fontId="134" fillId="11" borderId="116" xfId="1" applyNumberFormat="1" applyFont="1" applyFill="1" applyBorder="1" applyAlignment="1">
      <alignment horizontal="center" vertical="center" shrinkToFit="1"/>
    </xf>
    <xf numFmtId="0" fontId="134" fillId="11" borderId="116" xfId="0" applyFont="1" applyFill="1" applyBorder="1" applyAlignment="1">
      <alignment horizontal="center" vertical="center"/>
    </xf>
    <xf numFmtId="14" fontId="38" fillId="0" borderId="0" xfId="0" applyNumberFormat="1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225" fillId="40" borderId="11" xfId="0" applyFont="1" applyFill="1" applyBorder="1" applyAlignment="1">
      <alignment horizontal="center" vertical="center"/>
    </xf>
    <xf numFmtId="0" fontId="225" fillId="40" borderId="10" xfId="0" applyFont="1" applyFill="1" applyBorder="1" applyAlignment="1">
      <alignment horizontal="center" vertical="center"/>
    </xf>
    <xf numFmtId="0" fontId="226" fillId="0" borderId="10" xfId="0" applyFont="1" applyBorder="1" applyAlignment="1">
      <alignment horizontal="right" vertical="center"/>
    </xf>
    <xf numFmtId="0" fontId="226" fillId="0" borderId="119" xfId="0" applyFont="1" applyBorder="1" applyAlignment="1">
      <alignment vertical="center"/>
    </xf>
    <xf numFmtId="0" fontId="226" fillId="0" borderId="116" xfId="0" applyFont="1" applyBorder="1" applyAlignment="1">
      <alignment vertical="center"/>
    </xf>
    <xf numFmtId="0" fontId="226" fillId="0" borderId="116" xfId="5" applyFont="1" applyBorder="1" applyAlignment="1">
      <alignment horizontal="center" vertical="center"/>
    </xf>
    <xf numFmtId="0" fontId="226" fillId="0" borderId="118" xfId="5" applyFont="1" applyBorder="1" applyAlignment="1">
      <alignment horizontal="center" vertical="center"/>
    </xf>
    <xf numFmtId="0" fontId="226" fillId="0" borderId="116" xfId="0" applyFont="1" applyBorder="1" applyAlignment="1">
      <alignment horizontal="right" vertical="center"/>
    </xf>
    <xf numFmtId="0" fontId="226" fillId="3" borderId="116" xfId="0" applyFont="1" applyFill="1" applyBorder="1" applyAlignment="1">
      <alignment horizontal="center" vertical="center"/>
    </xf>
    <xf numFmtId="0" fontId="106" fillId="11" borderId="119" xfId="0" applyFont="1" applyFill="1" applyBorder="1" applyAlignment="1">
      <alignment horizontal="center" vertical="center" wrapText="1"/>
    </xf>
    <xf numFmtId="0" fontId="106" fillId="11" borderId="116" xfId="0" applyFont="1" applyFill="1" applyBorder="1" applyAlignment="1">
      <alignment horizontal="center" vertical="center" wrapText="1"/>
    </xf>
    <xf numFmtId="165" fontId="226" fillId="11" borderId="116" xfId="0" applyNumberFormat="1" applyFont="1" applyFill="1" applyBorder="1" applyAlignment="1">
      <alignment horizontal="center" vertical="center" wrapText="1"/>
    </xf>
    <xf numFmtId="165" fontId="226" fillId="11" borderId="118" xfId="0" applyNumberFormat="1" applyFont="1" applyFill="1" applyBorder="1" applyAlignment="1">
      <alignment horizontal="center" vertical="center" wrapText="1"/>
    </xf>
    <xf numFmtId="0" fontId="226" fillId="11" borderId="116" xfId="0" applyFont="1" applyFill="1" applyBorder="1" applyAlignment="1">
      <alignment horizontal="center" vertical="center" wrapText="1"/>
    </xf>
    <xf numFmtId="14" fontId="226" fillId="11" borderId="116" xfId="0" applyNumberFormat="1" applyFont="1" applyFill="1" applyBorder="1" applyAlignment="1">
      <alignment horizontal="center" vertical="center"/>
    </xf>
    <xf numFmtId="165" fontId="226" fillId="11" borderId="4" xfId="0" applyNumberFormat="1" applyFont="1" applyFill="1" applyBorder="1" applyAlignment="1">
      <alignment horizontal="center" vertical="center" wrapText="1"/>
    </xf>
    <xf numFmtId="195" fontId="226" fillId="11" borderId="57" xfId="0" applyNumberFormat="1" applyFont="1" applyFill="1" applyBorder="1" applyAlignment="1">
      <alignment horizontal="left" vertical="center"/>
    </xf>
    <xf numFmtId="195" fontId="226" fillId="11" borderId="47" xfId="0" applyNumberFormat="1" applyFont="1" applyFill="1" applyBorder="1" applyAlignment="1">
      <alignment horizontal="center" vertical="center"/>
    </xf>
    <xf numFmtId="195" fontId="226" fillId="11" borderId="47" xfId="0" applyNumberFormat="1" applyFont="1" applyFill="1" applyBorder="1" applyAlignment="1">
      <alignment horizontal="right" vertical="center"/>
    </xf>
    <xf numFmtId="0" fontId="226" fillId="11" borderId="58" xfId="0" applyFont="1" applyFill="1" applyBorder="1" applyAlignment="1">
      <alignment vertical="center"/>
    </xf>
    <xf numFmtId="0" fontId="226" fillId="11" borderId="53" xfId="0" applyFont="1" applyFill="1" applyBorder="1" applyAlignment="1">
      <alignment horizontal="center" vertical="center"/>
    </xf>
    <xf numFmtId="165" fontId="226" fillId="11" borderId="24" xfId="0" applyNumberFormat="1" applyFont="1" applyFill="1" applyBorder="1" applyAlignment="1">
      <alignment horizontal="center" vertical="center" wrapText="1"/>
    </xf>
    <xf numFmtId="165" fontId="227" fillId="11" borderId="23" xfId="1" applyFont="1" applyFill="1" applyBorder="1" applyAlignment="1">
      <alignment horizontal="center" vertical="center" shrinkToFit="1"/>
    </xf>
    <xf numFmtId="0" fontId="225" fillId="40" borderId="0" xfId="0" applyFont="1" applyFill="1" applyAlignment="1">
      <alignment horizontal="center" vertical="center"/>
    </xf>
    <xf numFmtId="0" fontId="226" fillId="0" borderId="0" xfId="0" applyFont="1" applyAlignment="1">
      <alignment horizontal="center" vertical="center"/>
    </xf>
    <xf numFmtId="0" fontId="226" fillId="0" borderId="0" xfId="0" applyFont="1" applyAlignment="1">
      <alignment horizontal="right" vertical="center"/>
    </xf>
    <xf numFmtId="0" fontId="226" fillId="11" borderId="24" xfId="0" applyFont="1" applyFill="1" applyBorder="1" applyAlignment="1">
      <alignment horizontal="center" vertical="center" wrapText="1"/>
    </xf>
    <xf numFmtId="195" fontId="226" fillId="11" borderId="25" xfId="0" applyNumberFormat="1" applyFont="1" applyFill="1" applyBorder="1" applyAlignment="1">
      <alignment horizontal="left" vertical="center"/>
    </xf>
    <xf numFmtId="195" fontId="226" fillId="11" borderId="24" xfId="0" applyNumberFormat="1" applyFont="1" applyFill="1" applyBorder="1" applyAlignment="1">
      <alignment horizontal="center" vertical="center"/>
    </xf>
    <xf numFmtId="195" fontId="226" fillId="11" borderId="24" xfId="0" applyNumberFormat="1" applyFont="1" applyFill="1" applyBorder="1" applyAlignment="1">
      <alignment horizontal="right" vertical="center"/>
    </xf>
    <xf numFmtId="0" fontId="226" fillId="11" borderId="24" xfId="0" applyFont="1" applyFill="1" applyBorder="1" applyAlignment="1">
      <alignment vertical="center"/>
    </xf>
    <xf numFmtId="0" fontId="226" fillId="11" borderId="130" xfId="0" applyFont="1" applyFill="1" applyBorder="1" applyAlignment="1">
      <alignment vertical="center"/>
    </xf>
    <xf numFmtId="195" fontId="226" fillId="11" borderId="48" xfId="0" applyNumberFormat="1" applyFont="1" applyFill="1" applyBorder="1" applyAlignment="1">
      <alignment horizontal="center" vertical="center"/>
    </xf>
    <xf numFmtId="195" fontId="226" fillId="11" borderId="53" xfId="0" applyNumberFormat="1" applyFont="1" applyFill="1" applyBorder="1" applyAlignment="1">
      <alignment horizontal="right" vertical="center"/>
    </xf>
    <xf numFmtId="0" fontId="225" fillId="40" borderId="116" xfId="0" applyFont="1" applyFill="1" applyBorder="1" applyAlignment="1">
      <alignment horizontal="center" vertical="center"/>
    </xf>
    <xf numFmtId="195" fontId="226" fillId="11" borderId="116" xfId="0" applyNumberFormat="1" applyFont="1" applyFill="1" applyBorder="1" applyAlignment="1">
      <alignment horizontal="center" vertical="center"/>
    </xf>
    <xf numFmtId="195" fontId="226" fillId="11" borderId="116" xfId="0" applyNumberFormat="1" applyFont="1" applyFill="1" applyBorder="1" applyAlignment="1">
      <alignment horizontal="right" vertical="center"/>
    </xf>
    <xf numFmtId="0" fontId="226" fillId="11" borderId="116" xfId="0" applyFont="1" applyFill="1" applyBorder="1" applyAlignment="1">
      <alignment vertical="center"/>
    </xf>
    <xf numFmtId="165" fontId="227" fillId="11" borderId="116" xfId="1" applyFont="1" applyFill="1" applyBorder="1" applyAlignment="1">
      <alignment horizontal="center" vertical="center" shrinkToFit="1"/>
    </xf>
    <xf numFmtId="0" fontId="226" fillId="11" borderId="53" xfId="0" applyFont="1" applyFill="1" applyBorder="1" applyAlignment="1">
      <alignment horizontal="center" vertical="center" wrapText="1"/>
    </xf>
    <xf numFmtId="165" fontId="38" fillId="3" borderId="116" xfId="1" applyFont="1" applyFill="1" applyBorder="1" applyAlignment="1" applyProtection="1">
      <alignment horizontal="left" vertical="center"/>
      <protection locked="0"/>
    </xf>
    <xf numFmtId="165" fontId="128" fillId="12" borderId="116" xfId="1" applyFont="1" applyFill="1" applyBorder="1"/>
    <xf numFmtId="165" fontId="128" fillId="12" borderId="116" xfId="1" applyFont="1" applyFill="1" applyBorder="1" applyAlignment="1">
      <alignment horizontal="center"/>
    </xf>
    <xf numFmtId="165" fontId="128" fillId="0" borderId="116" xfId="1" applyFont="1" applyBorder="1" applyAlignment="1">
      <alignment horizontal="center"/>
    </xf>
    <xf numFmtId="165" fontId="128" fillId="0" borderId="116" xfId="1" applyFont="1" applyBorder="1"/>
    <xf numFmtId="165" fontId="128" fillId="3" borderId="116" xfId="1" applyFont="1" applyFill="1" applyBorder="1"/>
    <xf numFmtId="165" fontId="128" fillId="3" borderId="0" xfId="1" applyFont="1" applyFill="1"/>
    <xf numFmtId="165" fontId="128" fillId="3" borderId="116" xfId="1" applyFont="1" applyFill="1" applyBorder="1" applyAlignment="1">
      <alignment horizontal="center"/>
    </xf>
    <xf numFmtId="165" fontId="128" fillId="12" borderId="130" xfId="1" applyFont="1" applyFill="1" applyBorder="1" applyAlignment="1">
      <alignment horizontal="center"/>
    </xf>
    <xf numFmtId="165" fontId="128" fillId="7" borderId="4" xfId="1" applyFont="1" applyFill="1" applyBorder="1" applyAlignment="1">
      <alignment horizontal="center" vertical="center"/>
    </xf>
    <xf numFmtId="165" fontId="128" fillId="7" borderId="116" xfId="1" applyFont="1" applyFill="1" applyBorder="1" applyAlignment="1">
      <alignment horizontal="center" vertical="center"/>
    </xf>
    <xf numFmtId="165" fontId="128" fillId="7" borderId="116" xfId="1" applyFont="1" applyFill="1" applyBorder="1"/>
    <xf numFmtId="165" fontId="128" fillId="7" borderId="116" xfId="1" applyFont="1" applyFill="1" applyBorder="1" applyAlignment="1">
      <alignment horizontal="center"/>
    </xf>
    <xf numFmtId="165" fontId="226" fillId="0" borderId="116" xfId="5" applyNumberFormat="1" applyFont="1" applyBorder="1" applyAlignment="1">
      <alignment horizontal="center" vertical="center"/>
    </xf>
    <xf numFmtId="165" fontId="128" fillId="7" borderId="116" xfId="1" applyFont="1" applyFill="1" applyBorder="1" applyAlignment="1"/>
    <xf numFmtId="165" fontId="128" fillId="7" borderId="120" xfId="1" applyFont="1" applyFill="1" applyBorder="1" applyAlignment="1"/>
    <xf numFmtId="165" fontId="128" fillId="7" borderId="108" xfId="1" applyFont="1" applyFill="1" applyBorder="1" applyAlignment="1"/>
    <xf numFmtId="0" fontId="226" fillId="11" borderId="116" xfId="0" applyFont="1" applyFill="1" applyBorder="1" applyAlignment="1">
      <alignment horizontal="center" vertical="center"/>
    </xf>
    <xf numFmtId="0" fontId="226" fillId="0" borderId="10" xfId="0" applyFont="1" applyBorder="1" applyAlignment="1">
      <alignment horizontal="center" vertical="center"/>
    </xf>
    <xf numFmtId="0" fontId="226" fillId="0" borderId="116" xfId="0" applyFont="1" applyBorder="1" applyAlignment="1">
      <alignment horizontal="center" vertical="center"/>
    </xf>
    <xf numFmtId="0" fontId="137" fillId="12" borderId="0" xfId="0" applyFont="1" applyFill="1" applyAlignment="1">
      <alignment horizontal="center" vertical="center"/>
    </xf>
    <xf numFmtId="0" fontId="38" fillId="0" borderId="116" xfId="0" applyFont="1" applyBorder="1" applyAlignment="1">
      <alignment horizontal="left" vertical="center"/>
    </xf>
    <xf numFmtId="192" fontId="38" fillId="0" borderId="116" xfId="1" applyNumberFormat="1" applyFont="1" applyBorder="1" applyAlignment="1">
      <alignment vertical="center"/>
    </xf>
    <xf numFmtId="165" fontId="156" fillId="2" borderId="116" xfId="5" applyNumberFormat="1" applyFont="1" applyFill="1" applyBorder="1" applyAlignment="1">
      <alignment horizontal="left" vertical="center"/>
    </xf>
    <xf numFmtId="192" fontId="156" fillId="2" borderId="116" xfId="1" applyNumberFormat="1" applyFont="1" applyFill="1" applyBorder="1" applyAlignment="1">
      <alignment horizontal="right" vertical="center"/>
    </xf>
    <xf numFmtId="0" fontId="38" fillId="0" borderId="116" xfId="0" applyFont="1" applyBorder="1"/>
    <xf numFmtId="192" fontId="38" fillId="0" borderId="116" xfId="1" applyNumberFormat="1" applyFont="1" applyBorder="1"/>
    <xf numFmtId="192" fontId="38" fillId="0" borderId="116" xfId="0" applyNumberFormat="1" applyFont="1" applyBorder="1" applyAlignment="1">
      <alignment vertical="center"/>
    </xf>
    <xf numFmtId="0" fontId="38" fillId="3" borderId="116" xfId="0" applyFont="1" applyFill="1" applyBorder="1" applyAlignment="1">
      <alignment vertical="center"/>
    </xf>
    <xf numFmtId="193" fontId="38" fillId="0" borderId="116" xfId="0" applyNumberFormat="1" applyFont="1" applyBorder="1"/>
    <xf numFmtId="0" fontId="38" fillId="2" borderId="116" xfId="0" applyFont="1" applyFill="1" applyBorder="1"/>
    <xf numFmtId="192" fontId="38" fillId="2" borderId="116" xfId="1" applyNumberFormat="1" applyFont="1" applyFill="1" applyBorder="1"/>
    <xf numFmtId="0" fontId="38" fillId="0" borderId="116" xfId="5" applyFont="1" applyBorder="1" applyAlignment="1">
      <alignment horizontal="left" vertical="center"/>
    </xf>
    <xf numFmtId="192" fontId="38" fillId="0" borderId="116" xfId="1" applyNumberFormat="1" applyFont="1" applyBorder="1" applyAlignment="1">
      <alignment horizontal="right" vertical="center"/>
    </xf>
    <xf numFmtId="0" fontId="156" fillId="0" borderId="116" xfId="5" applyFont="1" applyBorder="1" applyAlignment="1">
      <alignment horizontal="left" vertical="center"/>
    </xf>
    <xf numFmtId="165" fontId="229" fillId="0" borderId="0" xfId="1" applyFont="1" applyAlignment="1">
      <alignment horizontal="left"/>
    </xf>
    <xf numFmtId="165" fontId="128" fillId="7" borderId="120" xfId="1" applyFont="1" applyFill="1" applyBorder="1"/>
    <xf numFmtId="165" fontId="128" fillId="7" borderId="108" xfId="1" applyFont="1" applyFill="1" applyBorder="1"/>
    <xf numFmtId="49" fontId="128" fillId="0" borderId="116" xfId="1" applyNumberFormat="1" applyFont="1" applyBorder="1" applyAlignment="1">
      <alignment horizontal="center"/>
    </xf>
    <xf numFmtId="0" fontId="128" fillId="0" borderId="116" xfId="1" applyNumberFormat="1" applyFont="1" applyBorder="1" applyAlignment="1">
      <alignment horizontal="center"/>
    </xf>
    <xf numFmtId="49" fontId="128" fillId="0" borderId="0" xfId="0" applyNumberFormat="1" applyFont="1"/>
    <xf numFmtId="49" fontId="226" fillId="11" borderId="116" xfId="0" applyNumberFormat="1" applyFont="1" applyFill="1" applyBorder="1" applyAlignment="1">
      <alignment horizontal="center" vertical="center" wrapText="1"/>
    </xf>
    <xf numFmtId="49" fontId="226" fillId="0" borderId="116" xfId="5" applyNumberFormat="1" applyFont="1" applyBorder="1" applyAlignment="1">
      <alignment horizontal="center" vertical="center"/>
    </xf>
    <xf numFmtId="49" fontId="226" fillId="0" borderId="0" xfId="0" applyNumberFormat="1" applyFont="1" applyAlignment="1">
      <alignment horizontal="center" vertical="center"/>
    </xf>
    <xf numFmtId="165" fontId="226" fillId="0" borderId="10" xfId="0" applyNumberFormat="1" applyFont="1" applyBorder="1" applyAlignment="1">
      <alignment horizontal="right" vertical="center"/>
    </xf>
    <xf numFmtId="0" fontId="134" fillId="0" borderId="116" xfId="0" applyFont="1" applyBorder="1" applyAlignment="1">
      <alignment horizontal="center" vertical="center"/>
    </xf>
    <xf numFmtId="0" fontId="134" fillId="0" borderId="116" xfId="0" applyFont="1" applyBorder="1" applyAlignment="1">
      <alignment vertical="center"/>
    </xf>
    <xf numFmtId="165" fontId="134" fillId="0" borderId="116" xfId="1" applyFont="1" applyBorder="1" applyAlignment="1">
      <alignment horizontal="left" vertical="center"/>
    </xf>
    <xf numFmtId="165" fontId="134" fillId="0" borderId="116" xfId="1" applyFont="1" applyBorder="1" applyAlignment="1">
      <alignment horizontal="center" vertical="center"/>
    </xf>
    <xf numFmtId="0" fontId="134" fillId="0" borderId="116" xfId="0" applyFont="1" applyBorder="1" applyAlignment="1">
      <alignment horizontal="left" vertical="center"/>
    </xf>
    <xf numFmtId="168" fontId="134" fillId="0" borderId="116" xfId="1" applyNumberFormat="1" applyFont="1" applyBorder="1" applyAlignment="1">
      <alignment horizontal="center" vertical="center"/>
    </xf>
    <xf numFmtId="0" fontId="38" fillId="0" borderId="116" xfId="0" applyFont="1" applyBorder="1" applyAlignment="1" applyProtection="1">
      <alignment horizontal="left" vertical="center"/>
      <protection hidden="1"/>
    </xf>
    <xf numFmtId="165" fontId="134" fillId="0" borderId="116" xfId="1" applyFont="1" applyBorder="1" applyAlignment="1">
      <alignment horizontal="left" vertical="center" wrapText="1"/>
    </xf>
    <xf numFmtId="0" fontId="134" fillId="2" borderId="116" xfId="0" applyFont="1" applyFill="1" applyBorder="1" applyAlignment="1">
      <alignment vertical="center"/>
    </xf>
    <xf numFmtId="165" fontId="134" fillId="2" borderId="116" xfId="1" applyFont="1" applyFill="1" applyBorder="1" applyAlignment="1">
      <alignment horizontal="left" vertical="center" wrapText="1"/>
    </xf>
    <xf numFmtId="0" fontId="134" fillId="2" borderId="116" xfId="0" applyFont="1" applyFill="1" applyBorder="1" applyAlignment="1">
      <alignment horizontal="left" vertical="center"/>
    </xf>
    <xf numFmtId="165" fontId="134" fillId="2" borderId="116" xfId="1" applyFont="1" applyFill="1" applyBorder="1" applyAlignment="1">
      <alignment horizontal="left" vertical="center"/>
    </xf>
    <xf numFmtId="0" fontId="38" fillId="2" borderId="116" xfId="0" applyFont="1" applyFill="1" applyBorder="1" applyAlignment="1">
      <alignment horizontal="left"/>
    </xf>
    <xf numFmtId="0" fontId="38" fillId="2" borderId="116" xfId="0" applyFont="1" applyFill="1" applyBorder="1" applyAlignment="1">
      <alignment vertical="center" wrapText="1"/>
    </xf>
    <xf numFmtId="0" fontId="38" fillId="2" borderId="116" xfId="46" applyFont="1" applyFill="1" applyBorder="1" applyAlignment="1">
      <alignment horizontal="left" vertical="center"/>
    </xf>
    <xf numFmtId="0" fontId="38" fillId="2" borderId="116" xfId="0" applyFont="1" applyFill="1" applyBorder="1" applyAlignment="1">
      <alignment vertical="center"/>
    </xf>
    <xf numFmtId="0" fontId="38" fillId="2" borderId="116" xfId="0" applyFont="1" applyFill="1" applyBorder="1" applyAlignment="1">
      <alignment horizontal="left" vertical="center"/>
    </xf>
    <xf numFmtId="0" fontId="201" fillId="12" borderId="103" xfId="5" applyFont="1" applyFill="1" applyBorder="1" applyAlignment="1">
      <alignment horizontal="center" vertical="center" wrapText="1"/>
    </xf>
    <xf numFmtId="0" fontId="199" fillId="12" borderId="103" xfId="384" applyFont="1" applyFill="1" applyBorder="1" applyAlignment="1">
      <alignment horizontal="center" vertical="center"/>
    </xf>
    <xf numFmtId="0" fontId="200" fillId="12" borderId="103" xfId="384" applyFont="1" applyFill="1" applyBorder="1" applyAlignment="1">
      <alignment horizontal="center" vertical="center"/>
    </xf>
    <xf numFmtId="165" fontId="201" fillId="12" borderId="103" xfId="13" applyFont="1" applyFill="1" applyBorder="1" applyAlignment="1">
      <alignment horizontal="center" vertical="center" wrapText="1"/>
    </xf>
    <xf numFmtId="165" fontId="111" fillId="12" borderId="103" xfId="13" applyFont="1" applyFill="1" applyBorder="1" applyAlignment="1">
      <alignment horizontal="center" vertical="center"/>
    </xf>
    <xf numFmtId="0" fontId="128" fillId="0" borderId="116" xfId="384" applyFont="1" applyBorder="1" applyAlignment="1">
      <alignment horizontal="center" vertical="center"/>
    </xf>
    <xf numFmtId="0" fontId="128" fillId="0" borderId="116" xfId="384" applyFont="1" applyBorder="1"/>
    <xf numFmtId="0" fontId="128" fillId="2" borderId="116" xfId="384" applyFont="1" applyFill="1" applyBorder="1" applyAlignment="1">
      <alignment horizontal="center" vertical="center"/>
    </xf>
    <xf numFmtId="0" fontId="199" fillId="0" borderId="116" xfId="384" applyFont="1" applyBorder="1"/>
    <xf numFmtId="0" fontId="199" fillId="0" borderId="116" xfId="384" applyFont="1" applyBorder="1" applyAlignment="1">
      <alignment horizontal="center"/>
    </xf>
    <xf numFmtId="0" fontId="134" fillId="3" borderId="116" xfId="0" applyFont="1" applyFill="1" applyBorder="1" applyAlignment="1">
      <alignment vertical="center"/>
    </xf>
    <xf numFmtId="0" fontId="103" fillId="3" borderId="116" xfId="0" applyFont="1" applyFill="1" applyBorder="1" applyAlignment="1">
      <alignment horizontal="center" vertical="center"/>
    </xf>
    <xf numFmtId="165" fontId="128" fillId="0" borderId="116" xfId="1" applyFont="1" applyBorder="1" applyAlignment="1">
      <alignment horizontal="center" vertical="center"/>
    </xf>
    <xf numFmtId="165" fontId="104" fillId="0" borderId="116" xfId="1" applyFont="1" applyBorder="1" applyAlignment="1">
      <alignment horizontal="center" vertical="center"/>
    </xf>
    <xf numFmtId="14" fontId="130" fillId="0" borderId="49" xfId="0" applyNumberFormat="1" applyFont="1" applyBorder="1" applyAlignment="1">
      <alignment vertical="center"/>
    </xf>
    <xf numFmtId="165" fontId="141" fillId="9" borderId="116" xfId="1" applyFont="1" applyFill="1" applyBorder="1" applyAlignment="1">
      <alignment vertical="top"/>
    </xf>
    <xf numFmtId="0" fontId="128" fillId="0" borderId="0" xfId="0" quotePrefix="1" applyFont="1" applyAlignment="1">
      <alignment vertical="center"/>
    </xf>
    <xf numFmtId="165" fontId="153" fillId="3" borderId="4" xfId="0" applyNumberFormat="1" applyFont="1" applyFill="1" applyBorder="1" applyAlignment="1">
      <alignment vertical="center"/>
    </xf>
    <xf numFmtId="0" fontId="137" fillId="12" borderId="0" xfId="0" applyFont="1" applyFill="1" applyAlignment="1">
      <alignment horizontal="left" vertical="center"/>
    </xf>
    <xf numFmtId="0" fontId="134" fillId="67" borderId="116" xfId="0" applyFont="1" applyFill="1" applyBorder="1" applyAlignment="1">
      <alignment vertical="center"/>
    </xf>
    <xf numFmtId="168" fontId="134" fillId="67" borderId="116" xfId="1" applyNumberFormat="1" applyFont="1" applyFill="1" applyBorder="1" applyAlignment="1">
      <alignment horizontal="center" vertical="center"/>
    </xf>
    <xf numFmtId="0" fontId="134" fillId="3" borderId="116" xfId="0" applyFont="1" applyFill="1" applyBorder="1" applyAlignment="1">
      <alignment horizontal="center" vertical="center"/>
    </xf>
    <xf numFmtId="165" fontId="134" fillId="3" borderId="116" xfId="1" applyFont="1" applyFill="1" applyBorder="1" applyAlignment="1">
      <alignment horizontal="left" vertical="center"/>
    </xf>
    <xf numFmtId="168" fontId="134" fillId="3" borderId="116" xfId="1" applyNumberFormat="1" applyFont="1" applyFill="1" applyBorder="1" applyAlignment="1">
      <alignment horizontal="center" vertical="center"/>
    </xf>
    <xf numFmtId="0" fontId="134" fillId="3" borderId="116" xfId="0" applyFont="1" applyFill="1" applyBorder="1" applyAlignment="1">
      <alignment horizontal="left" vertical="center"/>
    </xf>
    <xf numFmtId="168" fontId="134" fillId="3" borderId="103" xfId="1" applyNumberFormat="1" applyFont="1" applyFill="1" applyBorder="1" applyAlignment="1">
      <alignment vertical="center"/>
    </xf>
    <xf numFmtId="168" fontId="134" fillId="3" borderId="0" xfId="1" applyNumberFormat="1" applyFont="1" applyFill="1" applyAlignment="1">
      <alignment vertical="center"/>
    </xf>
    <xf numFmtId="0" fontId="134" fillId="3" borderId="0" xfId="46" applyFont="1" applyFill="1">
      <alignment vertical="center"/>
    </xf>
    <xf numFmtId="168" fontId="103" fillId="67" borderId="103" xfId="0" applyNumberFormat="1" applyFont="1" applyFill="1" applyBorder="1" applyAlignment="1">
      <alignment horizontal="left" vertical="center"/>
    </xf>
    <xf numFmtId="39" fontId="103" fillId="67" borderId="103" xfId="0" applyNumberFormat="1" applyFont="1" applyFill="1" applyBorder="1" applyAlignment="1">
      <alignment horizontal="right" vertical="center"/>
    </xf>
    <xf numFmtId="39" fontId="103" fillId="67" borderId="103" xfId="0" applyNumberFormat="1" applyFont="1" applyFill="1" applyBorder="1" applyAlignment="1">
      <alignment horizontal="left" vertical="center"/>
    </xf>
    <xf numFmtId="168" fontId="103" fillId="67" borderId="103" xfId="0" applyNumberFormat="1" applyFont="1" applyFill="1" applyBorder="1" applyAlignment="1">
      <alignment horizontal="right" vertical="center"/>
    </xf>
    <xf numFmtId="165" fontId="103" fillId="67" borderId="103" xfId="1" applyFont="1" applyFill="1" applyBorder="1" applyAlignment="1">
      <alignment horizontal="left" vertical="center"/>
    </xf>
    <xf numFmtId="0" fontId="38" fillId="67" borderId="116" xfId="0" applyFont="1" applyFill="1" applyBorder="1" applyAlignment="1">
      <alignment vertical="center"/>
    </xf>
    <xf numFmtId="0" fontId="103" fillId="67" borderId="103" xfId="0" applyFont="1" applyFill="1" applyBorder="1" applyAlignment="1">
      <alignment vertical="center"/>
    </xf>
    <xf numFmtId="0" fontId="38" fillId="67" borderId="116" xfId="0" applyFont="1" applyFill="1" applyBorder="1" applyAlignment="1">
      <alignment horizontal="left"/>
    </xf>
    <xf numFmtId="0" fontId="38" fillId="67" borderId="116" xfId="46" applyFont="1" applyFill="1" applyBorder="1" applyAlignment="1">
      <alignment horizontal="left" vertical="center"/>
    </xf>
    <xf numFmtId="0" fontId="103" fillId="2" borderId="116" xfId="0" applyFont="1" applyFill="1" applyBorder="1" applyAlignment="1">
      <alignment horizontal="left" vertical="center"/>
    </xf>
    <xf numFmtId="165" fontId="103" fillId="2" borderId="116" xfId="1" applyFont="1" applyFill="1" applyBorder="1" applyAlignment="1">
      <alignment vertical="center"/>
    </xf>
    <xf numFmtId="168" fontId="134" fillId="68" borderId="116" xfId="1" applyNumberFormat="1" applyFont="1" applyFill="1" applyBorder="1" applyAlignment="1">
      <alignment horizontal="center" vertical="center"/>
    </xf>
    <xf numFmtId="0" fontId="134" fillId="68" borderId="116" xfId="0" applyFont="1" applyFill="1" applyBorder="1" applyAlignment="1">
      <alignment vertical="center"/>
    </xf>
    <xf numFmtId="0" fontId="134" fillId="69" borderId="116" xfId="0" applyFont="1" applyFill="1" applyBorder="1" applyAlignment="1">
      <alignment vertical="center"/>
    </xf>
    <xf numFmtId="168" fontId="134" fillId="69" borderId="116" xfId="1" applyNumberFormat="1" applyFont="1" applyFill="1" applyBorder="1" applyAlignment="1">
      <alignment horizontal="center" vertical="center"/>
    </xf>
    <xf numFmtId="0" fontId="134" fillId="70" borderId="116" xfId="0" applyFont="1" applyFill="1" applyBorder="1" applyAlignment="1">
      <alignment vertical="center"/>
    </xf>
    <xf numFmtId="168" fontId="134" fillId="70" borderId="116" xfId="1" applyNumberFormat="1" applyFont="1" applyFill="1" applyBorder="1" applyAlignment="1">
      <alignment horizontal="center" vertical="center"/>
    </xf>
    <xf numFmtId="168" fontId="103" fillId="3" borderId="116" xfId="0" applyNumberFormat="1" applyFont="1" applyFill="1" applyBorder="1" applyAlignment="1">
      <alignment horizontal="right" vertical="center"/>
    </xf>
    <xf numFmtId="165" fontId="103" fillId="3" borderId="116" xfId="0" applyNumberFormat="1" applyFont="1" applyFill="1" applyBorder="1" applyAlignment="1">
      <alignment horizontal="left" vertical="center"/>
    </xf>
    <xf numFmtId="0" fontId="103" fillId="3" borderId="116" xfId="0" applyFont="1" applyFill="1" applyBorder="1" applyAlignment="1">
      <alignment vertical="center"/>
    </xf>
    <xf numFmtId="168" fontId="103" fillId="3" borderId="116" xfId="0" applyNumberFormat="1" applyFont="1" applyFill="1" applyBorder="1" applyAlignment="1">
      <alignment horizontal="left" vertical="center"/>
    </xf>
    <xf numFmtId="0" fontId="130" fillId="12" borderId="116" xfId="0" applyFont="1" applyFill="1" applyBorder="1" applyAlignment="1">
      <alignment horizontal="center" vertical="center"/>
    </xf>
    <xf numFmtId="165" fontId="130" fillId="12" borderId="116" xfId="1" applyFont="1" applyFill="1" applyBorder="1" applyAlignment="1">
      <alignment horizontal="center" vertical="center"/>
    </xf>
    <xf numFmtId="0" fontId="231" fillId="2" borderId="116" xfId="0" applyFont="1" applyFill="1" applyBorder="1" applyAlignment="1">
      <alignment horizontal="left" vertical="center"/>
    </xf>
    <xf numFmtId="165" fontId="197" fillId="0" borderId="100" xfId="1" applyFont="1" applyBorder="1" applyAlignment="1">
      <alignment horizontal="center" vertical="center" shrinkToFit="1"/>
    </xf>
    <xf numFmtId="165" fontId="197" fillId="0" borderId="101" xfId="1" applyFont="1" applyBorder="1" applyAlignment="1">
      <alignment horizontal="center" vertical="center" shrinkToFit="1"/>
    </xf>
    <xf numFmtId="165" fontId="119" fillId="0" borderId="100" xfId="1" applyFont="1" applyBorder="1" applyAlignment="1">
      <alignment horizontal="left" vertical="center" shrinkToFit="1"/>
    </xf>
    <xf numFmtId="165" fontId="119" fillId="0" borderId="101" xfId="1" applyFont="1" applyBorder="1" applyAlignment="1">
      <alignment horizontal="left" vertical="center" shrinkToFit="1"/>
    </xf>
    <xf numFmtId="0" fontId="116" fillId="9" borderId="5" xfId="0" applyFont="1" applyFill="1" applyBorder="1" applyAlignment="1" applyProtection="1">
      <alignment horizontal="center" vertical="center" wrapText="1"/>
      <protection hidden="1"/>
    </xf>
    <xf numFmtId="0" fontId="116" fillId="9" borderId="4" xfId="0" applyFont="1" applyFill="1" applyBorder="1" applyAlignment="1" applyProtection="1">
      <alignment horizontal="center" vertical="center" wrapText="1"/>
      <protection hidden="1"/>
    </xf>
    <xf numFmtId="0" fontId="109" fillId="9" borderId="116" xfId="0" applyFont="1" applyFill="1" applyBorder="1" applyAlignment="1">
      <alignment horizontal="center" vertical="center" wrapText="1"/>
    </xf>
    <xf numFmtId="170" fontId="110" fillId="9" borderId="103" xfId="1" applyNumberFormat="1" applyFont="1" applyFill="1" applyBorder="1" applyAlignment="1">
      <alignment horizontal="center" vertical="center" wrapText="1" shrinkToFit="1"/>
    </xf>
    <xf numFmtId="170" fontId="110" fillId="9" borderId="103" xfId="1" applyNumberFormat="1" applyFont="1" applyFill="1" applyBorder="1" applyAlignment="1">
      <alignment horizontal="center" vertical="center" shrinkToFit="1"/>
    </xf>
    <xf numFmtId="165" fontId="109" fillId="0" borderId="0" xfId="1" applyFont="1" applyAlignment="1">
      <alignment horizontal="center" vertical="center" shrinkToFit="1"/>
    </xf>
    <xf numFmtId="165" fontId="109" fillId="9" borderId="116" xfId="1" applyFont="1" applyFill="1" applyBorder="1" applyAlignment="1">
      <alignment horizontal="center" vertical="center" shrinkToFit="1"/>
    </xf>
    <xf numFmtId="165" fontId="109" fillId="41" borderId="7" xfId="1" applyFont="1" applyFill="1" applyBorder="1" applyAlignment="1" applyProtection="1">
      <alignment horizontal="left" vertical="center" shrinkToFit="1"/>
      <protection locked="0"/>
    </xf>
    <xf numFmtId="165" fontId="109" fillId="41" borderId="81" xfId="1" applyFont="1" applyFill="1" applyBorder="1" applyAlignment="1" applyProtection="1">
      <alignment horizontal="left" vertical="center" shrinkToFit="1"/>
      <protection locked="0"/>
    </xf>
    <xf numFmtId="165" fontId="109" fillId="41" borderId="84" xfId="1" applyFont="1" applyFill="1" applyBorder="1" applyAlignment="1" applyProtection="1">
      <alignment horizontal="left" vertical="center" shrinkToFit="1"/>
      <protection locked="0"/>
    </xf>
    <xf numFmtId="170" fontId="110" fillId="0" borderId="0" xfId="1" applyNumberFormat="1" applyFont="1" applyFill="1" applyBorder="1" applyAlignment="1">
      <alignment horizontal="center" vertical="center" shrinkToFit="1"/>
    </xf>
    <xf numFmtId="170" fontId="110" fillId="9" borderId="116" xfId="1" applyNumberFormat="1" applyFont="1" applyFill="1" applyBorder="1" applyAlignment="1">
      <alignment horizontal="center" vertical="center" shrinkToFit="1"/>
    </xf>
    <xf numFmtId="165" fontId="105" fillId="0" borderId="16" xfId="1" applyFont="1" applyBorder="1" applyAlignment="1">
      <alignment horizontal="center" vertical="center" shrinkToFit="1"/>
    </xf>
    <xf numFmtId="165" fontId="105" fillId="0" borderId="17" xfId="1" applyFont="1" applyBorder="1" applyAlignment="1">
      <alignment horizontal="center" vertical="center" shrinkToFit="1"/>
    </xf>
    <xf numFmtId="165" fontId="105" fillId="0" borderId="14" xfId="1" applyFont="1" applyBorder="1" applyAlignment="1">
      <alignment horizontal="center" vertical="center" shrinkToFit="1"/>
    </xf>
    <xf numFmtId="165" fontId="105" fillId="0" borderId="0" xfId="1" applyFont="1" applyBorder="1" applyAlignment="1">
      <alignment horizontal="center" vertical="center" shrinkToFit="1"/>
    </xf>
    <xf numFmtId="165" fontId="105" fillId="0" borderId="12" xfId="1" applyFont="1" applyBorder="1" applyAlignment="1">
      <alignment horizontal="center" vertical="center" shrinkToFit="1"/>
    </xf>
    <xf numFmtId="165" fontId="105" fillId="0" borderId="20" xfId="1" applyFont="1" applyBorder="1" applyAlignment="1">
      <alignment horizontal="center" vertical="center" shrinkToFit="1"/>
    </xf>
    <xf numFmtId="165" fontId="186" fillId="0" borderId="109" xfId="1" applyFont="1" applyBorder="1" applyAlignment="1">
      <alignment horizontal="center" vertical="center" wrapText="1"/>
    </xf>
    <xf numFmtId="165" fontId="186" fillId="0" borderId="107" xfId="1" applyFont="1" applyBorder="1" applyAlignment="1">
      <alignment horizontal="center" vertical="center" wrapText="1"/>
    </xf>
    <xf numFmtId="165" fontId="108" fillId="0" borderId="109" xfId="1" applyFont="1" applyBorder="1" applyAlignment="1">
      <alignment horizontal="center" vertical="center" shrinkToFit="1"/>
    </xf>
    <xf numFmtId="165" fontId="108" fillId="0" borderId="107" xfId="1" applyFont="1" applyBorder="1" applyAlignment="1">
      <alignment horizontal="center" vertical="center" shrinkToFit="1"/>
    </xf>
    <xf numFmtId="165" fontId="108" fillId="0" borderId="108" xfId="1" applyFont="1" applyBorder="1" applyAlignment="1">
      <alignment horizontal="center" vertical="center" shrinkToFit="1"/>
    </xf>
    <xf numFmtId="165" fontId="186" fillId="0" borderId="120" xfId="1" applyFont="1" applyBorder="1" applyAlignment="1">
      <alignment horizontal="center" vertical="center"/>
    </xf>
    <xf numFmtId="165" fontId="186" fillId="0" borderId="108" xfId="1" applyFont="1" applyBorder="1" applyAlignment="1">
      <alignment horizontal="center" vertical="center"/>
    </xf>
    <xf numFmtId="165" fontId="186" fillId="0" borderId="109" xfId="1" applyFont="1" applyBorder="1" applyAlignment="1">
      <alignment horizontal="center" vertical="center" shrinkToFit="1"/>
    </xf>
    <xf numFmtId="165" fontId="186" fillId="0" borderId="108" xfId="1" applyFont="1" applyBorder="1" applyAlignment="1">
      <alignment horizontal="center" vertical="center" shrinkToFit="1"/>
    </xf>
    <xf numFmtId="165" fontId="106" fillId="0" borderId="109" xfId="1" applyFont="1" applyBorder="1" applyAlignment="1">
      <alignment horizontal="center" vertical="center" shrinkToFit="1"/>
    </xf>
    <xf numFmtId="165" fontId="106" fillId="0" borderId="107" xfId="1" applyFont="1" applyBorder="1" applyAlignment="1">
      <alignment horizontal="center" vertical="center" shrinkToFit="1"/>
    </xf>
    <xf numFmtId="165" fontId="106" fillId="0" borderId="108" xfId="1" applyFont="1" applyBorder="1" applyAlignment="1">
      <alignment horizontal="center" vertical="center" shrinkToFit="1"/>
    </xf>
    <xf numFmtId="0" fontId="167" fillId="9" borderId="109" xfId="0" applyFont="1" applyFill="1" applyBorder="1" applyAlignment="1">
      <alignment horizontal="center" vertical="center"/>
    </xf>
    <xf numFmtId="0" fontId="167" fillId="9" borderId="107" xfId="0" applyFont="1" applyFill="1" applyBorder="1" applyAlignment="1">
      <alignment horizontal="center" vertical="center"/>
    </xf>
    <xf numFmtId="0" fontId="167" fillId="9" borderId="108" xfId="0" applyFont="1" applyFill="1" applyBorder="1" applyAlignment="1">
      <alignment horizontal="center" vertical="center"/>
    </xf>
    <xf numFmtId="0" fontId="167" fillId="9" borderId="103" xfId="0" applyFont="1" applyFill="1" applyBorder="1" applyAlignment="1">
      <alignment horizontal="center" vertical="center"/>
    </xf>
    <xf numFmtId="0" fontId="167" fillId="9" borderId="116" xfId="0" applyFont="1" applyFill="1" applyBorder="1" applyAlignment="1">
      <alignment horizontal="center" vertical="center"/>
    </xf>
    <xf numFmtId="0" fontId="167" fillId="9" borderId="120" xfId="0" applyFont="1" applyFill="1" applyBorder="1" applyAlignment="1">
      <alignment horizontal="center" vertical="center"/>
    </xf>
    <xf numFmtId="0" fontId="167" fillId="9" borderId="121" xfId="0" applyFont="1" applyFill="1" applyBorder="1" applyAlignment="1">
      <alignment horizontal="center" vertical="center"/>
    </xf>
    <xf numFmtId="0" fontId="167" fillId="9" borderId="122" xfId="0" applyFont="1" applyFill="1" applyBorder="1" applyAlignment="1">
      <alignment horizontal="center" vertical="center"/>
    </xf>
    <xf numFmtId="0" fontId="172" fillId="11" borderId="16" xfId="0" applyFont="1" applyFill="1" applyBorder="1" applyAlignment="1">
      <alignment horizontal="center" vertical="center"/>
    </xf>
    <xf numFmtId="0" fontId="172" fillId="11" borderId="17" xfId="0" applyFont="1" applyFill="1" applyBorder="1" applyAlignment="1">
      <alignment horizontal="center" vertical="center"/>
    </xf>
    <xf numFmtId="0" fontId="172" fillId="11" borderId="18" xfId="0" applyFont="1" applyFill="1" applyBorder="1" applyAlignment="1">
      <alignment horizontal="center" vertical="center"/>
    </xf>
    <xf numFmtId="0" fontId="172" fillId="11" borderId="12" xfId="0" applyFont="1" applyFill="1" applyBorder="1" applyAlignment="1">
      <alignment horizontal="center" vertical="center"/>
    </xf>
    <xf numFmtId="0" fontId="172" fillId="11" borderId="20" xfId="0" applyFont="1" applyFill="1" applyBorder="1" applyAlignment="1">
      <alignment horizontal="center" vertical="center"/>
    </xf>
    <xf numFmtId="0" fontId="172" fillId="11" borderId="21" xfId="0" applyFont="1" applyFill="1" applyBorder="1" applyAlignment="1">
      <alignment horizontal="center" vertical="center"/>
    </xf>
    <xf numFmtId="0" fontId="107" fillId="0" borderId="16" xfId="0" applyFont="1" applyBorder="1" applyAlignment="1">
      <alignment horizontal="center" vertical="center"/>
    </xf>
    <xf numFmtId="0" fontId="107" fillId="0" borderId="12" xfId="0" applyFont="1" applyBorder="1" applyAlignment="1">
      <alignment horizontal="center" vertical="center"/>
    </xf>
    <xf numFmtId="0" fontId="167" fillId="9" borderId="118" xfId="0" applyFont="1" applyFill="1" applyBorder="1" applyAlignment="1">
      <alignment horizontal="center" vertical="center"/>
    </xf>
    <xf numFmtId="0" fontId="167" fillId="9" borderId="119" xfId="0" applyFont="1" applyFill="1" applyBorder="1" applyAlignment="1">
      <alignment horizontal="center" vertical="center"/>
    </xf>
    <xf numFmtId="0" fontId="199" fillId="11" borderId="116" xfId="0" applyFont="1" applyFill="1" applyBorder="1" applyAlignment="1">
      <alignment horizontal="center" vertical="center"/>
    </xf>
    <xf numFmtId="0" fontId="172" fillId="11" borderId="111" xfId="0" applyFont="1" applyFill="1" applyBorder="1" applyAlignment="1">
      <alignment horizontal="center" vertical="center"/>
    </xf>
    <xf numFmtId="0" fontId="172" fillId="11" borderId="6" xfId="0" applyFont="1" applyFill="1" applyBorder="1" applyAlignment="1">
      <alignment horizontal="center" vertical="center"/>
    </xf>
    <xf numFmtId="0" fontId="172" fillId="11" borderId="3" xfId="0" applyFont="1" applyFill="1" applyBorder="1" applyAlignment="1">
      <alignment horizontal="center" vertical="center"/>
    </xf>
    <xf numFmtId="0" fontId="172" fillId="11" borderId="113" xfId="0" applyFont="1" applyFill="1" applyBorder="1" applyAlignment="1">
      <alignment horizontal="center" vertical="center"/>
    </xf>
    <xf numFmtId="0" fontId="167" fillId="64" borderId="103" xfId="0" applyFont="1" applyFill="1" applyBorder="1" applyAlignment="1">
      <alignment horizontal="center" vertical="center"/>
    </xf>
    <xf numFmtId="0" fontId="167" fillId="64" borderId="102" xfId="0" applyFont="1" applyFill="1" applyBorder="1" applyAlignment="1">
      <alignment horizontal="center" vertical="center"/>
    </xf>
    <xf numFmtId="0" fontId="132" fillId="64" borderId="38" xfId="0" applyFont="1" applyFill="1" applyBorder="1" applyAlignment="1">
      <alignment horizontal="center" vertical="center"/>
    </xf>
    <xf numFmtId="0" fontId="0" fillId="11" borderId="116" xfId="0" applyFill="1" applyBorder="1" applyAlignment="1">
      <alignment horizontal="center" vertical="center"/>
    </xf>
    <xf numFmtId="0" fontId="199" fillId="11" borderId="116" xfId="0" applyFont="1" applyFill="1" applyBorder="1" applyAlignment="1">
      <alignment horizontal="center" vertical="center" wrapText="1"/>
    </xf>
    <xf numFmtId="0" fontId="186" fillId="64" borderId="43" xfId="0" applyFont="1" applyFill="1" applyBorder="1" applyAlignment="1">
      <alignment horizontal="center" vertical="center"/>
    </xf>
    <xf numFmtId="0" fontId="186" fillId="64" borderId="49" xfId="0" applyFont="1" applyFill="1" applyBorder="1" applyAlignment="1">
      <alignment horizontal="center" vertical="center"/>
    </xf>
    <xf numFmtId="0" fontId="186" fillId="64" borderId="52" xfId="0" applyFont="1" applyFill="1" applyBorder="1" applyAlignment="1">
      <alignment horizontal="center" vertical="center"/>
    </xf>
    <xf numFmtId="0" fontId="167" fillId="64" borderId="109" xfId="0" applyFont="1" applyFill="1" applyBorder="1" applyAlignment="1">
      <alignment horizontal="center" vertical="center"/>
    </xf>
    <xf numFmtId="0" fontId="167" fillId="64" borderId="107" xfId="0" applyFont="1" applyFill="1" applyBorder="1" applyAlignment="1">
      <alignment horizontal="center" vertical="center"/>
    </xf>
    <xf numFmtId="0" fontId="217" fillId="9" borderId="35" xfId="0" applyFont="1" applyFill="1" applyBorder="1" applyAlignment="1">
      <alignment horizontal="center" vertical="center"/>
    </xf>
    <xf numFmtId="0" fontId="217" fillId="9" borderId="102" xfId="0" applyFont="1" applyFill="1" applyBorder="1" applyAlignment="1">
      <alignment horizontal="center" vertical="center"/>
    </xf>
    <xf numFmtId="0" fontId="104" fillId="9" borderId="27" xfId="0" applyFont="1" applyFill="1" applyBorder="1" applyAlignment="1">
      <alignment horizontal="center" vertical="center"/>
    </xf>
    <xf numFmtId="0" fontId="104" fillId="9" borderId="10" xfId="0" applyFont="1" applyFill="1" applyBorder="1" applyAlignment="1">
      <alignment horizontal="center" vertical="center"/>
    </xf>
    <xf numFmtId="0" fontId="172" fillId="11" borderId="58" xfId="0" applyFont="1" applyFill="1" applyBorder="1" applyAlignment="1">
      <alignment horizontal="center" vertical="center"/>
    </xf>
    <xf numFmtId="0" fontId="172" fillId="11" borderId="47" xfId="0" applyFont="1" applyFill="1" applyBorder="1" applyAlignment="1">
      <alignment horizontal="center" vertical="center"/>
    </xf>
    <xf numFmtId="0" fontId="172" fillId="11" borderId="57" xfId="0" applyFont="1" applyFill="1" applyBorder="1" applyAlignment="1">
      <alignment horizontal="center" vertical="center"/>
    </xf>
    <xf numFmtId="0" fontId="217" fillId="9" borderId="38" xfId="0" applyFont="1" applyFill="1" applyBorder="1" applyAlignment="1">
      <alignment horizontal="center" vertical="center"/>
    </xf>
    <xf numFmtId="0" fontId="217" fillId="9" borderId="103" xfId="0" applyFont="1" applyFill="1" applyBorder="1" applyAlignment="1">
      <alignment horizontal="center" vertical="center"/>
    </xf>
    <xf numFmtId="0" fontId="143" fillId="7" borderId="0" xfId="0" applyFont="1" applyFill="1" applyAlignment="1">
      <alignment horizontal="center" vertical="center"/>
    </xf>
    <xf numFmtId="0" fontId="130" fillId="12" borderId="103" xfId="0" applyFont="1" applyFill="1" applyBorder="1" applyAlignment="1">
      <alignment horizontal="center" vertical="center"/>
    </xf>
    <xf numFmtId="0" fontId="103" fillId="12" borderId="103" xfId="0" applyFont="1" applyFill="1" applyBorder="1" applyAlignment="1">
      <alignment horizontal="center" vertical="center"/>
    </xf>
    <xf numFmtId="14" fontId="130" fillId="0" borderId="0" xfId="0" applyNumberFormat="1" applyFont="1" applyAlignment="1">
      <alignment horizontal="left" vertical="center"/>
    </xf>
    <xf numFmtId="14" fontId="137" fillId="0" borderId="0" xfId="1" applyNumberFormat="1" applyFont="1" applyAlignment="1">
      <alignment horizontal="right" vertical="center"/>
    </xf>
    <xf numFmtId="180" fontId="103" fillId="0" borderId="95" xfId="2" applyNumberFormat="1" applyFont="1" applyBorder="1" applyAlignment="1">
      <alignment horizontal="center" vertical="center"/>
    </xf>
    <xf numFmtId="180" fontId="103" fillId="9" borderId="95" xfId="2" applyNumberFormat="1" applyFont="1" applyFill="1" applyBorder="1" applyAlignment="1">
      <alignment horizontal="center" vertical="center"/>
    </xf>
    <xf numFmtId="180" fontId="103" fillId="0" borderId="7" xfId="2" applyNumberFormat="1" applyFont="1" applyBorder="1" applyAlignment="1">
      <alignment horizontal="center" vertical="center"/>
    </xf>
    <xf numFmtId="180" fontId="103" fillId="0" borderId="84" xfId="2" applyNumberFormat="1" applyFont="1" applyBorder="1" applyAlignment="1">
      <alignment horizontal="center" vertical="center"/>
    </xf>
    <xf numFmtId="0" fontId="103" fillId="12" borderId="28" xfId="0" applyFont="1" applyFill="1" applyBorder="1" applyAlignment="1">
      <alignment horizontal="right" vertical="center" wrapText="1"/>
    </xf>
    <xf numFmtId="0" fontId="103" fillId="12" borderId="29" xfId="0" applyFont="1" applyFill="1" applyBorder="1" applyAlignment="1">
      <alignment horizontal="right" vertical="center" wrapText="1"/>
    </xf>
    <xf numFmtId="0" fontId="103" fillId="12" borderId="13" xfId="0" applyFont="1" applyFill="1" applyBorder="1" applyAlignment="1">
      <alignment horizontal="center" vertical="center"/>
    </xf>
    <xf numFmtId="0" fontId="103" fillId="12" borderId="50" xfId="0" applyFont="1" applyFill="1" applyBorder="1" applyAlignment="1">
      <alignment horizontal="center" vertical="center"/>
    </xf>
    <xf numFmtId="165" fontId="103" fillId="12" borderId="60" xfId="1" applyFont="1" applyFill="1" applyBorder="1" applyAlignment="1">
      <alignment horizontal="center" vertical="center"/>
    </xf>
    <xf numFmtId="165" fontId="103" fillId="12" borderId="37" xfId="1" applyFont="1" applyFill="1" applyBorder="1" applyAlignment="1">
      <alignment horizontal="center" vertical="center"/>
    </xf>
    <xf numFmtId="0" fontId="103" fillId="12" borderId="30" xfId="0" applyFont="1" applyFill="1" applyBorder="1" applyAlignment="1">
      <alignment horizontal="right" vertical="center" wrapText="1"/>
    </xf>
    <xf numFmtId="0" fontId="130" fillId="0" borderId="42" xfId="0" applyFont="1" applyBorder="1" applyAlignment="1">
      <alignment horizontal="center" vertical="center"/>
    </xf>
    <xf numFmtId="0" fontId="130" fillId="0" borderId="44" xfId="0" applyFont="1" applyBorder="1" applyAlignment="1">
      <alignment horizontal="center" vertical="center"/>
    </xf>
    <xf numFmtId="180" fontId="113" fillId="0" borderId="103" xfId="2" applyNumberFormat="1" applyFont="1" applyBorder="1" applyAlignment="1">
      <alignment horizontal="center" vertical="center"/>
    </xf>
    <xf numFmtId="180" fontId="113" fillId="9" borderId="103" xfId="2" applyNumberFormat="1" applyFont="1" applyFill="1" applyBorder="1" applyAlignment="1">
      <alignment horizontal="center" vertical="center"/>
    </xf>
    <xf numFmtId="0" fontId="113" fillId="12" borderId="28" xfId="0" applyFont="1" applyFill="1" applyBorder="1" applyAlignment="1">
      <alignment horizontal="center" vertical="center" wrapText="1"/>
    </xf>
    <xf numFmtId="0" fontId="113" fillId="12" borderId="29" xfId="0" applyFont="1" applyFill="1" applyBorder="1" applyAlignment="1">
      <alignment horizontal="center" vertical="center" wrapText="1"/>
    </xf>
    <xf numFmtId="0" fontId="113" fillId="12" borderId="13" xfId="0" applyFont="1" applyFill="1" applyBorder="1" applyAlignment="1">
      <alignment horizontal="center" vertical="center"/>
    </xf>
    <xf numFmtId="0" fontId="113" fillId="12" borderId="50" xfId="0" applyFont="1" applyFill="1" applyBorder="1" applyAlignment="1">
      <alignment horizontal="center" vertical="center"/>
    </xf>
    <xf numFmtId="165" fontId="113" fillId="12" borderId="60" xfId="1" applyFont="1" applyFill="1" applyBorder="1" applyAlignment="1">
      <alignment horizontal="center" vertical="center"/>
    </xf>
    <xf numFmtId="165" fontId="113" fillId="12" borderId="37" xfId="1" applyFont="1" applyFill="1" applyBorder="1" applyAlignment="1">
      <alignment horizontal="center" vertical="center"/>
    </xf>
    <xf numFmtId="0" fontId="153" fillId="12" borderId="42" xfId="0" applyFont="1" applyFill="1" applyBorder="1" applyAlignment="1">
      <alignment horizontal="center" vertical="center"/>
    </xf>
    <xf numFmtId="0" fontId="153" fillId="12" borderId="48" xfId="0" applyFont="1" applyFill="1" applyBorder="1" applyAlignment="1">
      <alignment horizontal="center" vertical="center"/>
    </xf>
    <xf numFmtId="0" fontId="153" fillId="12" borderId="44" xfId="0" applyFont="1" applyFill="1" applyBorder="1" applyAlignment="1">
      <alignment horizontal="center" vertical="center"/>
    </xf>
    <xf numFmtId="0" fontId="146" fillId="12" borderId="42" xfId="0" applyFont="1" applyFill="1" applyBorder="1" applyAlignment="1">
      <alignment horizontal="center" vertical="center"/>
    </xf>
    <xf numFmtId="0" fontId="146" fillId="12" borderId="48" xfId="0" applyFont="1" applyFill="1" applyBorder="1" applyAlignment="1">
      <alignment horizontal="center" vertical="center"/>
    </xf>
    <xf numFmtId="0" fontId="146" fillId="12" borderId="44" xfId="0" applyFont="1" applyFill="1" applyBorder="1" applyAlignment="1">
      <alignment horizontal="center" vertical="center"/>
    </xf>
    <xf numFmtId="0" fontId="146" fillId="0" borderId="42" xfId="0" applyFont="1" applyBorder="1" applyAlignment="1">
      <alignment horizontal="center" vertical="center"/>
    </xf>
    <xf numFmtId="0" fontId="146" fillId="0" borderId="44" xfId="0" applyFont="1" applyBorder="1" applyAlignment="1">
      <alignment horizontal="center" vertical="center"/>
    </xf>
    <xf numFmtId="0" fontId="113" fillId="12" borderId="28" xfId="0" applyFont="1" applyFill="1" applyBorder="1" applyAlignment="1">
      <alignment horizontal="center" vertical="center"/>
    </xf>
    <xf numFmtId="0" fontId="113" fillId="12" borderId="30" xfId="0" applyFont="1" applyFill="1" applyBorder="1" applyAlignment="1">
      <alignment horizontal="center" vertical="center"/>
    </xf>
    <xf numFmtId="0" fontId="113" fillId="12" borderId="29" xfId="0" applyFont="1" applyFill="1" applyBorder="1" applyAlignment="1">
      <alignment horizontal="center" vertical="center"/>
    </xf>
    <xf numFmtId="0" fontId="196" fillId="7" borderId="0" xfId="0" applyFont="1" applyFill="1" applyAlignment="1">
      <alignment horizontal="center" vertical="center"/>
    </xf>
    <xf numFmtId="14" fontId="146" fillId="0" borderId="0" xfId="0" applyNumberFormat="1" applyFont="1" applyAlignment="1">
      <alignment horizontal="left" vertical="center"/>
    </xf>
    <xf numFmtId="14" fontId="149" fillId="0" borderId="0" xfId="1" applyNumberFormat="1" applyFont="1" applyAlignment="1">
      <alignment horizontal="center" vertical="center"/>
    </xf>
    <xf numFmtId="0" fontId="99" fillId="2" borderId="0" xfId="366" applyFont="1" applyFill="1" applyAlignment="1">
      <alignment horizontal="center" vertical="center"/>
    </xf>
    <xf numFmtId="0" fontId="99" fillId="2" borderId="20" xfId="366" applyFont="1" applyFill="1" applyBorder="1" applyAlignment="1">
      <alignment horizontal="center" vertical="center"/>
    </xf>
    <xf numFmtId="0" fontId="100" fillId="0" borderId="0" xfId="366" applyFont="1" applyAlignment="1">
      <alignment horizontal="center" vertical="center"/>
    </xf>
    <xf numFmtId="0" fontId="100" fillId="0" borderId="20" xfId="366" applyFont="1" applyBorder="1" applyAlignment="1">
      <alignment horizontal="center" vertical="center"/>
    </xf>
    <xf numFmtId="0" fontId="101" fillId="0" borderId="17" xfId="366" applyFont="1" applyBorder="1" applyAlignment="1">
      <alignment horizontal="center" vertical="center"/>
    </xf>
    <xf numFmtId="0" fontId="91" fillId="40" borderId="62" xfId="71" applyFont="1" applyFill="1" applyBorder="1" applyAlignment="1" applyProtection="1">
      <alignment horizontal="left" vertical="center"/>
      <protection hidden="1"/>
    </xf>
    <xf numFmtId="0" fontId="91" fillId="2" borderId="62" xfId="71" applyFont="1" applyFill="1" applyBorder="1" applyAlignment="1" applyProtection="1">
      <alignment horizontal="center" vertical="center"/>
      <protection hidden="1"/>
    </xf>
    <xf numFmtId="165" fontId="91" fillId="2" borderId="62" xfId="71" applyNumberFormat="1" applyFont="1" applyFill="1" applyBorder="1" applyAlignment="1" applyProtection="1">
      <alignment horizontal="center" vertical="center"/>
      <protection hidden="1"/>
    </xf>
    <xf numFmtId="0" fontId="96" fillId="9" borderId="49" xfId="366" applyFont="1" applyFill="1" applyBorder="1" applyAlignment="1">
      <alignment horizontal="right" vertical="center"/>
    </xf>
    <xf numFmtId="0" fontId="97" fillId="9" borderId="49" xfId="366" applyFont="1" applyFill="1" applyBorder="1">
      <alignment vertical="center"/>
    </xf>
    <xf numFmtId="0" fontId="90" fillId="0" borderId="0" xfId="366" applyFont="1" applyAlignment="1">
      <alignment horizontal="right" vertical="center"/>
    </xf>
    <xf numFmtId="0" fontId="92" fillId="2" borderId="0" xfId="366" applyFont="1" applyFill="1" applyAlignment="1" applyProtection="1">
      <alignment horizontal="left" vertical="center" indent="1"/>
      <protection hidden="1"/>
    </xf>
    <xf numFmtId="0" fontId="93" fillId="9" borderId="48" xfId="366" applyFont="1" applyFill="1" applyBorder="1" applyAlignment="1">
      <alignment horizontal="center" vertical="center"/>
    </xf>
    <xf numFmtId="0" fontId="52" fillId="9" borderId="81" xfId="367" applyFont="1" applyFill="1" applyBorder="1" applyAlignment="1" applyProtection="1">
      <alignment horizontal="center" vertical="center"/>
      <protection hidden="1"/>
    </xf>
    <xf numFmtId="0" fontId="52" fillId="9" borderId="84" xfId="367" applyFont="1" applyFill="1" applyBorder="1" applyAlignment="1" applyProtection="1">
      <alignment horizontal="center" vertical="center"/>
      <protection hidden="1"/>
    </xf>
    <xf numFmtId="0" fontId="50" fillId="9" borderId="62" xfId="367" applyFont="1" applyFill="1" applyBorder="1" applyAlignment="1" applyProtection="1">
      <alignment horizontal="center" vertical="center"/>
      <protection hidden="1"/>
    </xf>
    <xf numFmtId="0" fontId="50" fillId="9" borderId="7" xfId="367" applyFont="1" applyFill="1" applyBorder="1" applyAlignment="1" applyProtection="1">
      <alignment horizontal="center" vertical="center"/>
      <protection hidden="1"/>
    </xf>
    <xf numFmtId="0" fontId="94" fillId="2" borderId="83" xfId="366" applyFont="1" applyFill="1" applyBorder="1" applyAlignment="1">
      <alignment horizontal="center" vertical="center" wrapText="1"/>
    </xf>
    <xf numFmtId="0" fontId="94" fillId="2" borderId="86" xfId="366" applyFont="1" applyFill="1" applyBorder="1" applyAlignment="1">
      <alignment horizontal="center" vertical="center"/>
    </xf>
    <xf numFmtId="0" fontId="94" fillId="2" borderId="0" xfId="366" applyFont="1" applyFill="1" applyAlignment="1">
      <alignment horizontal="center" vertical="center"/>
    </xf>
    <xf numFmtId="0" fontId="94" fillId="2" borderId="89" xfId="366" applyFont="1" applyFill="1" applyBorder="1" applyAlignment="1">
      <alignment horizontal="center" vertical="center"/>
    </xf>
    <xf numFmtId="0" fontId="94" fillId="2" borderId="3" xfId="366" applyFont="1" applyFill="1" applyBorder="1" applyAlignment="1">
      <alignment horizontal="center" vertical="center"/>
    </xf>
    <xf numFmtId="0" fontId="94" fillId="2" borderId="92" xfId="366" applyFont="1" applyFill="1" applyBorder="1" applyAlignment="1">
      <alignment horizontal="center" vertical="center"/>
    </xf>
    <xf numFmtId="0" fontId="95" fillId="0" borderId="87" xfId="366" applyFont="1" applyBorder="1">
      <alignment vertical="center"/>
    </xf>
    <xf numFmtId="0" fontId="95" fillId="0" borderId="88" xfId="366" applyFont="1" applyBorder="1">
      <alignment vertical="center"/>
    </xf>
    <xf numFmtId="0" fontId="95" fillId="0" borderId="90" xfId="366" applyFont="1" applyBorder="1">
      <alignment vertical="center"/>
    </xf>
    <xf numFmtId="0" fontId="95" fillId="0" borderId="91" xfId="366" applyFont="1" applyBorder="1">
      <alignment vertical="center"/>
    </xf>
    <xf numFmtId="0" fontId="95" fillId="0" borderId="93" xfId="366" applyFont="1" applyBorder="1">
      <alignment vertical="center"/>
    </xf>
    <xf numFmtId="0" fontId="95" fillId="0" borderId="94" xfId="366" applyFont="1" applyBorder="1">
      <alignment vertical="center"/>
    </xf>
    <xf numFmtId="0" fontId="92" fillId="40" borderId="0" xfId="366" applyFont="1" applyFill="1" applyAlignment="1" applyProtection="1">
      <alignment horizontal="left" vertical="center" wrapText="1" indent="1" shrinkToFit="1"/>
      <protection hidden="1"/>
    </xf>
    <xf numFmtId="0" fontId="20" fillId="40" borderId="0" xfId="366" applyFont="1" applyFill="1" applyAlignment="1" applyProtection="1">
      <alignment horizontal="right" vertical="center"/>
      <protection hidden="1"/>
    </xf>
    <xf numFmtId="0" fontId="18" fillId="40" borderId="0" xfId="71" applyFont="1" applyFill="1" applyAlignment="1" applyProtection="1">
      <alignment horizontal="right" vertical="center"/>
      <protection hidden="1"/>
    </xf>
    <xf numFmtId="0" fontId="18" fillId="3" borderId="0" xfId="71" applyFont="1" applyFill="1" applyAlignment="1" applyProtection="1">
      <alignment horizontal="right" vertical="center"/>
      <protection hidden="1"/>
    </xf>
    <xf numFmtId="0" fontId="19" fillId="40" borderId="0" xfId="366" applyFont="1" applyFill="1" applyAlignment="1" applyProtection="1">
      <alignment horizontal="right" vertical="center"/>
      <protection hidden="1"/>
    </xf>
    <xf numFmtId="0" fontId="87" fillId="0" borderId="0" xfId="366" applyFont="1" applyAlignment="1">
      <alignment horizontal="center" vertical="center"/>
    </xf>
    <xf numFmtId="0" fontId="88" fillId="2" borderId="0" xfId="366" applyFont="1" applyFill="1" applyAlignment="1">
      <alignment horizontal="center" vertical="center"/>
    </xf>
    <xf numFmtId="0" fontId="92" fillId="40" borderId="0" xfId="366" applyFont="1" applyFill="1" applyAlignment="1" applyProtection="1">
      <alignment horizontal="left" vertical="center" indent="1"/>
      <protection hidden="1"/>
    </xf>
    <xf numFmtId="0" fontId="185" fillId="0" borderId="103" xfId="0" applyFont="1" applyBorder="1" applyAlignment="1">
      <alignment horizontal="center"/>
    </xf>
    <xf numFmtId="0" fontId="175" fillId="0" borderId="0" xfId="0" applyFont="1" applyAlignment="1">
      <alignment horizontal="center" vertical="center"/>
    </xf>
    <xf numFmtId="0" fontId="109" fillId="0" borderId="109" xfId="0" applyFont="1" applyBorder="1" applyAlignment="1">
      <alignment horizontal="center"/>
    </xf>
    <xf numFmtId="0" fontId="109" fillId="0" borderId="108" xfId="0" applyFont="1" applyBorder="1" applyAlignment="1">
      <alignment horizontal="center"/>
    </xf>
    <xf numFmtId="0" fontId="78" fillId="0" borderId="103" xfId="297" applyBorder="1" applyAlignment="1">
      <alignment horizontal="center" vertical="center"/>
    </xf>
    <xf numFmtId="0" fontId="78" fillId="0" borderId="103" xfId="297" applyBorder="1" applyAlignment="1">
      <alignment horizontal="center" vertical="center" wrapText="1"/>
    </xf>
    <xf numFmtId="0" fontId="78" fillId="2" borderId="103" xfId="297" applyFill="1" applyBorder="1" applyAlignment="1">
      <alignment horizontal="center" vertical="center"/>
    </xf>
    <xf numFmtId="0" fontId="191" fillId="11" borderId="103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81" xfId="0" applyFont="1" applyBorder="1" applyAlignment="1">
      <alignment horizontal="center" vertical="center"/>
    </xf>
    <xf numFmtId="0" fontId="38" fillId="0" borderId="84" xfId="0" applyFont="1" applyBorder="1" applyAlignment="1">
      <alignment horizontal="center" vertical="center"/>
    </xf>
    <xf numFmtId="0" fontId="110" fillId="0" borderId="32" xfId="0" applyFont="1" applyBorder="1" applyAlignment="1">
      <alignment horizontal="center" vertical="center"/>
    </xf>
    <xf numFmtId="165" fontId="141" fillId="0" borderId="103" xfId="1" applyFont="1" applyBorder="1" applyAlignment="1">
      <alignment horizontal="center" vertical="center"/>
    </xf>
    <xf numFmtId="165" fontId="142" fillId="0" borderId="103" xfId="1" applyFont="1" applyBorder="1" applyAlignment="1">
      <alignment horizontal="center" vertical="center"/>
    </xf>
    <xf numFmtId="165" fontId="110" fillId="0" borderId="32" xfId="1" applyFont="1" applyBorder="1" applyAlignment="1">
      <alignment horizontal="center" vertical="center"/>
    </xf>
    <xf numFmtId="165" fontId="120" fillId="0" borderId="59" xfId="0" applyNumberFormat="1" applyFont="1" applyBorder="1" applyAlignment="1">
      <alignment horizontal="center" vertical="center"/>
    </xf>
    <xf numFmtId="0" fontId="120" fillId="0" borderId="59" xfId="0" applyFont="1" applyBorder="1" applyAlignment="1">
      <alignment horizontal="center" vertical="center"/>
    </xf>
    <xf numFmtId="0" fontId="141" fillId="0" borderId="103" xfId="0" applyFont="1" applyBorder="1" applyAlignment="1">
      <alignment horizontal="center" vertical="center" wrapText="1"/>
    </xf>
    <xf numFmtId="0" fontId="142" fillId="0" borderId="103" xfId="0" applyFont="1" applyBorder="1" applyAlignment="1">
      <alignment horizontal="center" vertical="center"/>
    </xf>
    <xf numFmtId="165" fontId="141" fillId="0" borderId="103" xfId="1" applyFont="1" applyBorder="1" applyAlignment="1">
      <alignment horizontal="center" vertical="center" wrapText="1"/>
    </xf>
    <xf numFmtId="165" fontId="142" fillId="0" borderId="103" xfId="1" applyFont="1" applyBorder="1" applyAlignment="1">
      <alignment horizontal="center" vertical="center" wrapText="1"/>
    </xf>
    <xf numFmtId="165" fontId="120" fillId="0" borderId="23" xfId="1" applyFont="1" applyBorder="1" applyAlignment="1">
      <alignment horizontal="center" vertical="center"/>
    </xf>
    <xf numFmtId="165" fontId="120" fillId="0" borderId="25" xfId="1" applyFont="1" applyBorder="1" applyAlignment="1">
      <alignment horizontal="center" vertical="center"/>
    </xf>
    <xf numFmtId="0" fontId="120" fillId="0" borderId="42" xfId="0" applyFont="1" applyBorder="1" applyAlignment="1">
      <alignment horizontal="center" vertical="center" wrapText="1"/>
    </xf>
    <xf numFmtId="0" fontId="120" fillId="0" borderId="44" xfId="0" applyFont="1" applyBorder="1" applyAlignment="1">
      <alignment horizontal="center" vertical="center" wrapText="1"/>
    </xf>
    <xf numFmtId="165" fontId="120" fillId="0" borderId="23" xfId="1" applyFont="1" applyBorder="1" applyAlignment="1">
      <alignment horizontal="center" vertical="center" wrapText="1"/>
    </xf>
    <xf numFmtId="165" fontId="120" fillId="0" borderId="42" xfId="1" applyFont="1" applyBorder="1" applyAlignment="1">
      <alignment horizontal="center" vertical="center" wrapText="1"/>
    </xf>
    <xf numFmtId="165" fontId="120" fillId="0" borderId="44" xfId="1" applyFont="1" applyBorder="1" applyAlignment="1">
      <alignment horizontal="center" vertical="center" wrapText="1"/>
    </xf>
    <xf numFmtId="0" fontId="45" fillId="0" borderId="3" xfId="0" applyFont="1" applyBorder="1" applyAlignment="1">
      <alignment horizontal="center" vertical="center"/>
    </xf>
    <xf numFmtId="0" fontId="113" fillId="0" borderId="110" xfId="0" applyFont="1" applyBorder="1" applyAlignment="1">
      <alignment horizontal="center" vertical="center" wrapText="1"/>
    </xf>
    <xf numFmtId="0" fontId="113" fillId="0" borderId="105" xfId="0" applyFont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113" fillId="0" borderId="104" xfId="0" applyFont="1" applyBorder="1" applyAlignment="1">
      <alignment horizontal="center" vertical="center" wrapText="1"/>
    </xf>
    <xf numFmtId="0" fontId="113" fillId="0" borderId="24" xfId="0" applyFont="1" applyBorder="1" applyAlignment="1">
      <alignment horizontal="center" vertical="center"/>
    </xf>
    <xf numFmtId="0" fontId="113" fillId="0" borderId="25" xfId="0" applyFont="1" applyBorder="1" applyAlignment="1">
      <alignment horizontal="center" vertical="center"/>
    </xf>
    <xf numFmtId="0" fontId="113" fillId="0" borderId="103" xfId="0" applyFont="1" applyBorder="1" applyAlignment="1">
      <alignment horizontal="center" vertical="center"/>
    </xf>
    <xf numFmtId="0" fontId="113" fillId="0" borderId="102" xfId="0" applyFont="1" applyBorder="1" applyAlignment="1">
      <alignment horizontal="center" vertical="center"/>
    </xf>
    <xf numFmtId="0" fontId="113" fillId="0" borderId="0" xfId="0" applyFont="1" applyAlignment="1">
      <alignment horizontal="center" vertical="center" wrapText="1"/>
    </xf>
    <xf numFmtId="0" fontId="113" fillId="0" borderId="16" xfId="0" applyFont="1" applyBorder="1" applyAlignment="1">
      <alignment horizontal="center" vertical="center" wrapText="1"/>
    </xf>
    <xf numFmtId="0" fontId="113" fillId="0" borderId="14" xfId="0" applyFont="1" applyBorder="1" applyAlignment="1">
      <alignment horizontal="center" vertical="center" wrapText="1"/>
    </xf>
    <xf numFmtId="0" fontId="113" fillId="0" borderId="12" xfId="0" applyFont="1" applyBorder="1" applyAlignment="1">
      <alignment horizontal="center" vertical="center" wrapText="1"/>
    </xf>
    <xf numFmtId="0" fontId="113" fillId="0" borderId="0" xfId="0" applyFont="1" applyAlignment="1">
      <alignment horizontal="center" vertical="center"/>
    </xf>
    <xf numFmtId="0" fontId="113" fillId="0" borderId="23" xfId="0" applyFont="1" applyBorder="1" applyAlignment="1">
      <alignment horizontal="center" vertical="center"/>
    </xf>
    <xf numFmtId="0" fontId="194" fillId="0" borderId="0" xfId="0" applyFont="1" applyAlignment="1">
      <alignment horizontal="center"/>
    </xf>
    <xf numFmtId="0" fontId="193" fillId="0" borderId="3" xfId="0" applyFont="1" applyBorder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109" fillId="0" borderId="18" xfId="0" applyFont="1" applyBorder="1" applyAlignment="1">
      <alignment horizontal="center" vertical="center" wrapText="1"/>
    </xf>
    <xf numFmtId="0" fontId="109" fillId="0" borderId="19" xfId="0" applyFont="1" applyBorder="1" applyAlignment="1">
      <alignment horizontal="center" vertical="center" wrapText="1"/>
    </xf>
    <xf numFmtId="0" fontId="109" fillId="0" borderId="21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65" fontId="44" fillId="0" borderId="0" xfId="1" applyFont="1" applyAlignment="1">
      <alignment horizontal="center" vertical="center"/>
    </xf>
    <xf numFmtId="0" fontId="38" fillId="9" borderId="116" xfId="0" applyFont="1" applyFill="1" applyBorder="1" applyAlignment="1">
      <alignment horizontal="center" vertical="center" wrapText="1"/>
    </xf>
    <xf numFmtId="165" fontId="38" fillId="9" borderId="116" xfId="1" applyFont="1" applyFill="1" applyBorder="1" applyAlignment="1">
      <alignment horizontal="center" vertical="center"/>
    </xf>
    <xf numFmtId="168" fontId="38" fillId="9" borderId="116" xfId="1" applyNumberFormat="1" applyFont="1" applyFill="1" applyBorder="1" applyAlignment="1">
      <alignment horizontal="center" vertical="center"/>
    </xf>
    <xf numFmtId="0" fontId="145" fillId="0" borderId="3" xfId="310" applyFont="1" applyBorder="1" applyAlignment="1" applyProtection="1">
      <alignment horizontal="left" vertical="center"/>
      <protection hidden="1"/>
    </xf>
    <xf numFmtId="0" fontId="145" fillId="0" borderId="0" xfId="310" applyFont="1" applyAlignment="1" applyProtection="1">
      <alignment horizontal="left" vertical="center"/>
      <protection hidden="1"/>
    </xf>
    <xf numFmtId="187" fontId="17" fillId="0" borderId="23" xfId="310" applyNumberFormat="1" applyBorder="1" applyAlignment="1" applyProtection="1">
      <alignment horizontal="center" vertical="center"/>
      <protection hidden="1"/>
    </xf>
    <xf numFmtId="187" fontId="17" fillId="0" borderId="38" xfId="310" applyNumberFormat="1" applyBorder="1" applyAlignment="1" applyProtection="1">
      <alignment horizontal="center" vertical="center"/>
      <protection hidden="1"/>
    </xf>
    <xf numFmtId="187" fontId="17" fillId="0" borderId="0" xfId="310" applyNumberFormat="1" applyAlignment="1" applyProtection="1">
      <alignment horizontal="center" vertical="center"/>
      <protection hidden="1"/>
    </xf>
    <xf numFmtId="0" fontId="220" fillId="0" borderId="82" xfId="5" applyFont="1" applyBorder="1" applyAlignment="1">
      <alignment horizontal="center" vertical="center"/>
    </xf>
    <xf numFmtId="0" fontId="220" fillId="0" borderId="83" xfId="5" applyFont="1" applyBorder="1" applyAlignment="1">
      <alignment horizontal="center" vertical="center"/>
    </xf>
    <xf numFmtId="0" fontId="220" fillId="0" borderId="96" xfId="5" applyFont="1" applyBorder="1" applyAlignment="1">
      <alignment horizontal="center" vertical="center"/>
    </xf>
    <xf numFmtId="0" fontId="220" fillId="0" borderId="0" xfId="5" applyFont="1" applyAlignment="1">
      <alignment horizontal="center" vertical="center"/>
    </xf>
    <xf numFmtId="0" fontId="38" fillId="0" borderId="123" xfId="5" applyFont="1" applyBorder="1" applyAlignment="1">
      <alignment horizontal="right" vertical="center"/>
    </xf>
    <xf numFmtId="0" fontId="38" fillId="0" borderId="96" xfId="5" applyFont="1" applyBorder="1" applyAlignment="1">
      <alignment horizontal="right" vertical="center"/>
    </xf>
    <xf numFmtId="0" fontId="111" fillId="65" borderId="126" xfId="5" applyFont="1" applyFill="1" applyBorder="1" applyAlignment="1">
      <alignment horizontal="center" vertical="center" wrapText="1"/>
    </xf>
    <xf numFmtId="0" fontId="111" fillId="65" borderId="34" xfId="5" applyFont="1" applyFill="1" applyBorder="1" applyAlignment="1">
      <alignment horizontal="center" vertical="center" wrapText="1"/>
    </xf>
    <xf numFmtId="0" fontId="111" fillId="65" borderId="127" xfId="5" applyFont="1" applyFill="1" applyBorder="1" applyAlignment="1">
      <alignment horizontal="center" vertical="center" wrapText="1"/>
    </xf>
    <xf numFmtId="0" fontId="111" fillId="65" borderId="104" xfId="5" applyFont="1" applyFill="1" applyBorder="1" applyAlignment="1">
      <alignment horizontal="center" vertical="center" wrapText="1"/>
    </xf>
    <xf numFmtId="0" fontId="111" fillId="65" borderId="110" xfId="5" applyFont="1" applyFill="1" applyBorder="1" applyAlignment="1">
      <alignment horizontal="center" vertical="center" wrapText="1"/>
    </xf>
    <xf numFmtId="0" fontId="111" fillId="65" borderId="105" xfId="5" applyFont="1" applyFill="1" applyBorder="1" applyAlignment="1">
      <alignment horizontal="center" vertical="center" wrapText="1"/>
    </xf>
    <xf numFmtId="0" fontId="111" fillId="65" borderId="110" xfId="5" applyFont="1" applyFill="1" applyBorder="1" applyAlignment="1">
      <alignment horizontal="center" vertical="center"/>
    </xf>
    <xf numFmtId="0" fontId="111" fillId="65" borderId="105" xfId="5" applyFont="1" applyFill="1" applyBorder="1" applyAlignment="1">
      <alignment horizontal="center" vertical="center"/>
    </xf>
    <xf numFmtId="0" fontId="111" fillId="65" borderId="128" xfId="5" applyFont="1" applyFill="1" applyBorder="1" applyAlignment="1">
      <alignment horizontal="center" vertical="center" wrapText="1"/>
    </xf>
    <xf numFmtId="0" fontId="38" fillId="66" borderId="116" xfId="5" applyFont="1" applyFill="1" applyBorder="1" applyAlignment="1">
      <alignment horizontal="center" vertical="center"/>
    </xf>
    <xf numFmtId="0" fontId="111" fillId="0" borderId="116" xfId="5" applyFont="1" applyBorder="1" applyAlignment="1">
      <alignment horizontal="center" vertical="center"/>
    </xf>
    <xf numFmtId="0" fontId="139" fillId="0" borderId="82" xfId="5" applyFont="1" applyBorder="1" applyAlignment="1">
      <alignment horizontal="center" vertical="center"/>
    </xf>
    <xf numFmtId="0" fontId="139" fillId="0" borderId="83" xfId="5" applyFont="1" applyBorder="1" applyAlignment="1">
      <alignment horizontal="center" vertical="center"/>
    </xf>
    <xf numFmtId="0" fontId="139" fillId="0" borderId="96" xfId="5" applyFont="1" applyBorder="1" applyAlignment="1">
      <alignment horizontal="center" vertical="center"/>
    </xf>
    <xf numFmtId="0" fontId="139" fillId="0" borderId="0" xfId="5" applyFont="1" applyAlignment="1">
      <alignment horizontal="center" vertical="center"/>
    </xf>
    <xf numFmtId="0" fontId="111" fillId="2" borderId="104" xfId="5" applyFont="1" applyFill="1" applyBorder="1" applyAlignment="1">
      <alignment horizontal="center" vertical="center" wrapText="1"/>
    </xf>
    <xf numFmtId="0" fontId="111" fillId="2" borderId="110" xfId="5" applyFont="1" applyFill="1" applyBorder="1" applyAlignment="1">
      <alignment horizontal="center" vertical="center" wrapText="1"/>
    </xf>
    <xf numFmtId="0" fontId="111" fillId="2" borderId="105" xfId="5" applyFont="1" applyFill="1" applyBorder="1" applyAlignment="1">
      <alignment horizontal="center" vertical="center" wrapText="1"/>
    </xf>
    <xf numFmtId="0" fontId="38" fillId="0" borderId="0" xfId="5" applyFont="1" applyAlignment="1">
      <alignment horizontal="center" vertical="center"/>
    </xf>
    <xf numFmtId="0" fontId="111" fillId="2" borderId="126" xfId="5" applyFont="1" applyFill="1" applyBorder="1" applyAlignment="1">
      <alignment horizontal="center" vertical="center" wrapText="1"/>
    </xf>
    <xf numFmtId="0" fontId="111" fillId="2" borderId="34" xfId="5" applyFont="1" applyFill="1" applyBorder="1" applyAlignment="1">
      <alignment horizontal="center" vertical="center" wrapText="1"/>
    </xf>
    <xf numFmtId="0" fontId="111" fillId="2" borderId="127" xfId="5" applyFont="1" applyFill="1" applyBorder="1" applyAlignment="1">
      <alignment horizontal="center" vertical="center" wrapText="1"/>
    </xf>
    <xf numFmtId="0" fontId="111" fillId="65" borderId="44" xfId="5" applyFont="1" applyFill="1" applyBorder="1" applyAlignment="1">
      <alignment horizontal="center" vertical="center" wrapText="1"/>
    </xf>
    <xf numFmtId="0" fontId="111" fillId="65" borderId="122" xfId="5" applyFont="1" applyFill="1" applyBorder="1" applyAlignment="1">
      <alignment horizontal="center" vertical="center" wrapText="1"/>
    </xf>
    <xf numFmtId="0" fontId="111" fillId="65" borderId="46" xfId="5" applyFont="1" applyFill="1" applyBorder="1" applyAlignment="1">
      <alignment horizontal="center" vertical="center" wrapText="1"/>
    </xf>
    <xf numFmtId="0" fontId="111" fillId="65" borderId="126" xfId="5" applyFont="1" applyFill="1" applyBorder="1" applyAlignment="1">
      <alignment horizontal="center" vertical="center"/>
    </xf>
    <xf numFmtId="0" fontId="111" fillId="65" borderId="34" xfId="5" applyFont="1" applyFill="1" applyBorder="1" applyAlignment="1">
      <alignment horizontal="center" vertical="center"/>
    </xf>
    <xf numFmtId="0" fontId="111" fillId="65" borderId="129" xfId="5" applyFont="1" applyFill="1" applyBorder="1" applyAlignment="1">
      <alignment horizontal="center" vertical="center"/>
    </xf>
    <xf numFmtId="0" fontId="111" fillId="65" borderId="128" xfId="5" applyFont="1" applyFill="1" applyBorder="1" applyAlignment="1">
      <alignment horizontal="center" vertical="center"/>
    </xf>
    <xf numFmtId="0" fontId="205" fillId="0" borderId="83" xfId="386" applyFont="1" applyBorder="1" applyAlignment="1">
      <alignment horizontal="center" vertical="center"/>
    </xf>
    <xf numFmtId="0" fontId="205" fillId="0" borderId="0" xfId="386" applyFont="1" applyAlignment="1">
      <alignment horizontal="center" vertical="center"/>
    </xf>
    <xf numFmtId="0" fontId="181" fillId="0" borderId="83" xfId="386" applyFont="1" applyBorder="1" applyAlignment="1">
      <alignment horizontal="center" vertical="center"/>
    </xf>
    <xf numFmtId="0" fontId="181" fillId="0" borderId="0" xfId="386" applyFont="1" applyAlignment="1">
      <alignment horizontal="center" vertical="center"/>
    </xf>
    <xf numFmtId="0" fontId="200" fillId="0" borderId="0" xfId="386" applyFont="1" applyAlignment="1">
      <alignment horizontal="center" vertical="center"/>
    </xf>
    <xf numFmtId="0" fontId="174" fillId="0" borderId="115" xfId="386" applyFont="1" applyBorder="1" applyAlignment="1">
      <alignment horizontal="center" vertical="center"/>
    </xf>
    <xf numFmtId="0" fontId="174" fillId="0" borderId="15" xfId="386" applyFont="1" applyBorder="1" applyAlignment="1">
      <alignment horizontal="center" vertical="center"/>
    </xf>
    <xf numFmtId="165" fontId="128" fillId="12" borderId="116" xfId="1" applyFont="1" applyFill="1" applyBorder="1" applyAlignment="1">
      <alignment horizontal="center"/>
    </xf>
    <xf numFmtId="165" fontId="128" fillId="7" borderId="120" xfId="1" applyFont="1" applyFill="1" applyBorder="1" applyAlignment="1">
      <alignment horizontal="center"/>
    </xf>
    <xf numFmtId="165" fontId="128" fillId="7" borderId="108" xfId="1" applyFont="1" applyFill="1" applyBorder="1" applyAlignment="1">
      <alignment horizontal="center"/>
    </xf>
    <xf numFmtId="165" fontId="128" fillId="7" borderId="116" xfId="1" applyFont="1" applyFill="1" applyBorder="1" applyAlignment="1">
      <alignment horizontal="center"/>
    </xf>
    <xf numFmtId="0" fontId="226" fillId="11" borderId="116" xfId="0" applyFont="1" applyFill="1" applyBorder="1" applyAlignment="1">
      <alignment horizontal="center" vertical="center"/>
    </xf>
    <xf numFmtId="0" fontId="226" fillId="0" borderId="27" xfId="0" applyFont="1" applyBorder="1" applyAlignment="1">
      <alignment horizontal="center" vertical="center"/>
    </xf>
    <xf numFmtId="0" fontId="226" fillId="0" borderId="10" xfId="0" applyFont="1" applyBorder="1" applyAlignment="1">
      <alignment horizontal="center" vertical="center"/>
    </xf>
    <xf numFmtId="0" fontId="228" fillId="11" borderId="6" xfId="0" applyFont="1" applyFill="1" applyBorder="1" applyAlignment="1">
      <alignment horizontal="center" vertical="center" wrapText="1"/>
    </xf>
    <xf numFmtId="0" fontId="228" fillId="11" borderId="3" xfId="0" applyFont="1" applyFill="1" applyBorder="1" applyAlignment="1">
      <alignment horizontal="center" vertical="center" wrapText="1"/>
    </xf>
    <xf numFmtId="0" fontId="228" fillId="11" borderId="113" xfId="0" applyFont="1" applyFill="1" applyBorder="1" applyAlignment="1">
      <alignment horizontal="center" vertical="center" wrapText="1"/>
    </xf>
    <xf numFmtId="0" fontId="226" fillId="11" borderId="119" xfId="0" applyFont="1" applyFill="1" applyBorder="1" applyAlignment="1">
      <alignment horizontal="center" vertical="center"/>
    </xf>
    <xf numFmtId="0" fontId="226" fillId="0" borderId="116" xfId="0" applyFont="1" applyBorder="1" applyAlignment="1">
      <alignment horizontal="center" vertical="center"/>
    </xf>
    <xf numFmtId="0" fontId="201" fillId="12" borderId="103" xfId="5" applyFont="1" applyFill="1" applyBorder="1" applyAlignment="1">
      <alignment horizontal="center" vertical="center" wrapText="1"/>
    </xf>
    <xf numFmtId="0" fontId="111" fillId="12" borderId="103" xfId="5" applyFont="1" applyFill="1" applyBorder="1" applyAlignment="1">
      <alignment horizontal="center" vertical="center" wrapText="1"/>
    </xf>
    <xf numFmtId="0" fontId="199" fillId="12" borderId="103" xfId="384" applyFont="1" applyFill="1" applyBorder="1" applyAlignment="1">
      <alignment horizontal="center" vertical="center"/>
    </xf>
    <xf numFmtId="0" fontId="199" fillId="12" borderId="109" xfId="384" applyFont="1" applyFill="1" applyBorder="1" applyAlignment="1">
      <alignment horizontal="center" vertical="center"/>
    </xf>
    <xf numFmtId="0" fontId="199" fillId="12" borderId="108" xfId="384" applyFont="1" applyFill="1" applyBorder="1" applyAlignment="1">
      <alignment horizontal="center" vertical="center"/>
    </xf>
    <xf numFmtId="0" fontId="199" fillId="12" borderId="5" xfId="384" applyFont="1" applyFill="1" applyBorder="1" applyAlignment="1">
      <alignment horizontal="center" vertical="center"/>
    </xf>
    <xf numFmtId="0" fontId="199" fillId="12" borderId="4" xfId="384" applyFont="1" applyFill="1" applyBorder="1" applyAlignment="1">
      <alignment horizontal="center" vertical="center"/>
    </xf>
    <xf numFmtId="0" fontId="199" fillId="12" borderId="5" xfId="384" applyFont="1" applyFill="1" applyBorder="1" applyAlignment="1">
      <alignment horizontal="center" vertical="center" wrapText="1"/>
    </xf>
    <xf numFmtId="0" fontId="199" fillId="12" borderId="4" xfId="384" applyFont="1" applyFill="1" applyBorder="1" applyAlignment="1">
      <alignment horizontal="center" vertical="center" wrapText="1"/>
    </xf>
    <xf numFmtId="0" fontId="200" fillId="12" borderId="103" xfId="384" applyFont="1" applyFill="1" applyBorder="1" applyAlignment="1">
      <alignment horizontal="center" vertical="center"/>
    </xf>
    <xf numFmtId="0" fontId="201" fillId="12" borderId="109" xfId="5" applyFont="1" applyFill="1" applyBorder="1" applyAlignment="1">
      <alignment horizontal="center" vertical="center" wrapText="1"/>
    </xf>
    <xf numFmtId="0" fontId="201" fillId="12" borderId="108" xfId="5" applyFont="1" applyFill="1" applyBorder="1" applyAlignment="1">
      <alignment horizontal="center" vertical="center" wrapText="1"/>
    </xf>
    <xf numFmtId="0" fontId="201" fillId="12" borderId="103" xfId="5" applyFont="1" applyFill="1" applyBorder="1" applyAlignment="1">
      <alignment horizontal="center" vertical="center"/>
    </xf>
    <xf numFmtId="165" fontId="201" fillId="12" borderId="103" xfId="13" applyFont="1" applyFill="1" applyBorder="1" applyAlignment="1">
      <alignment horizontal="center" vertical="center" wrapText="1"/>
    </xf>
    <xf numFmtId="0" fontId="111" fillId="12" borderId="82" xfId="5" applyFont="1" applyFill="1" applyBorder="1" applyAlignment="1">
      <alignment horizontal="center" vertical="center"/>
    </xf>
    <xf numFmtId="0" fontId="111" fillId="12" borderId="80" xfId="5" applyFont="1" applyFill="1" applyBorder="1" applyAlignment="1">
      <alignment horizontal="center" vertical="center"/>
    </xf>
    <xf numFmtId="165" fontId="201" fillId="12" borderId="103" xfId="13" applyFont="1" applyFill="1" applyBorder="1" applyAlignment="1">
      <alignment horizontal="center" vertical="center"/>
    </xf>
    <xf numFmtId="165" fontId="111" fillId="12" borderId="103" xfId="13" applyFont="1" applyFill="1" applyBorder="1" applyAlignment="1">
      <alignment horizontal="center" vertical="center"/>
    </xf>
    <xf numFmtId="165" fontId="111" fillId="12" borderId="103" xfId="13" applyFont="1" applyFill="1" applyBorder="1" applyAlignment="1">
      <alignment vertical="center"/>
    </xf>
    <xf numFmtId="165" fontId="111" fillId="12" borderId="109" xfId="13" applyFont="1" applyFill="1" applyBorder="1" applyAlignment="1">
      <alignment horizontal="center" vertical="center"/>
    </xf>
    <xf numFmtId="165" fontId="111" fillId="12" borderId="107" xfId="13" applyFont="1" applyFill="1" applyBorder="1" applyAlignment="1">
      <alignment horizontal="center" vertical="center"/>
    </xf>
    <xf numFmtId="165" fontId="111" fillId="12" borderId="108" xfId="13" applyFont="1" applyFill="1" applyBorder="1" applyAlignment="1">
      <alignment horizontal="center" vertical="center"/>
    </xf>
  </cellXfs>
  <cellStyles count="388">
    <cellStyle name="?" xfId="21" xr:uid="{00000000-0005-0000-0000-000000000000}"/>
    <cellStyle name="]_x0004_" xfId="22" xr:uid="{00000000-0005-0000-0000-000001000000}"/>
    <cellStyle name="_7" xfId="23" xr:uid="{00000000-0005-0000-0000-000002000000}"/>
    <cellStyle name="_월례매출_1_상반기_11월당월 (2)_1월" xfId="24" xr:uid="{00000000-0005-0000-0000-000003000000}"/>
    <cellStyle name="_조직유지_총괄표" xfId="25" xr:uid="{00000000-0005-0000-0000-000004000000}"/>
    <cellStyle name="1월당월 (2)_1월" xfId="26" xr:uid="{00000000-0005-0000-0000-000005000000}"/>
    <cellStyle name="20% - 강조색1 2" xfId="72" xr:uid="{00000000-0005-0000-0000-000006000000}"/>
    <cellStyle name="20% - 강조색1 2 2" xfId="73" xr:uid="{00000000-0005-0000-0000-000007000000}"/>
    <cellStyle name="20% - 강조색1 3" xfId="74" xr:uid="{00000000-0005-0000-0000-000008000000}"/>
    <cellStyle name="20% - 강조색2 2" xfId="75" xr:uid="{00000000-0005-0000-0000-000009000000}"/>
    <cellStyle name="20% - 강조색2 2 2" xfId="76" xr:uid="{00000000-0005-0000-0000-00000A000000}"/>
    <cellStyle name="20% - 강조색2 3" xfId="77" xr:uid="{00000000-0005-0000-0000-00000B000000}"/>
    <cellStyle name="20% - 강조색3 2" xfId="78" xr:uid="{00000000-0005-0000-0000-00000C000000}"/>
    <cellStyle name="20% - 강조색3 2 2" xfId="79" xr:uid="{00000000-0005-0000-0000-00000D000000}"/>
    <cellStyle name="20% - 강조색3 3" xfId="80" xr:uid="{00000000-0005-0000-0000-00000E000000}"/>
    <cellStyle name="20% - 강조색4 2" xfId="81" xr:uid="{00000000-0005-0000-0000-00000F000000}"/>
    <cellStyle name="20% - 강조색4 2 2" xfId="82" xr:uid="{00000000-0005-0000-0000-000010000000}"/>
    <cellStyle name="20% - 강조색4 3" xfId="83" xr:uid="{00000000-0005-0000-0000-000011000000}"/>
    <cellStyle name="20% - 강조색5 2" xfId="58" xr:uid="{00000000-0005-0000-0000-000013000000}"/>
    <cellStyle name="20% - 강조색5 2 2" xfId="84" xr:uid="{00000000-0005-0000-0000-000014000000}"/>
    <cellStyle name="20% - 강조색5 3" xfId="85" xr:uid="{00000000-0005-0000-0000-000015000000}"/>
    <cellStyle name="20% - 강조색6 2" xfId="86" xr:uid="{00000000-0005-0000-0000-000016000000}"/>
    <cellStyle name="20% - 강조색6 2 2" xfId="87" xr:uid="{00000000-0005-0000-0000-000017000000}"/>
    <cellStyle name="20% - 강조색6 3" xfId="88" xr:uid="{00000000-0005-0000-0000-000018000000}"/>
    <cellStyle name="40% - 강조색1 2" xfId="89" xr:uid="{00000000-0005-0000-0000-000019000000}"/>
    <cellStyle name="40% - 강조색1 2 2" xfId="90" xr:uid="{00000000-0005-0000-0000-00001A000000}"/>
    <cellStyle name="40% - 강조색1 3" xfId="91" xr:uid="{00000000-0005-0000-0000-00001B000000}"/>
    <cellStyle name="40% - 강조색2 2" xfId="92" xr:uid="{00000000-0005-0000-0000-00001C000000}"/>
    <cellStyle name="40% - 강조색2 2 2" xfId="93" xr:uid="{00000000-0005-0000-0000-00001D000000}"/>
    <cellStyle name="40% - 강조색2 3" xfId="94" xr:uid="{00000000-0005-0000-0000-00001E000000}"/>
    <cellStyle name="40% - 강조색3 2" xfId="95" xr:uid="{00000000-0005-0000-0000-00001F000000}"/>
    <cellStyle name="40% - 강조색3 2 2" xfId="96" xr:uid="{00000000-0005-0000-0000-000020000000}"/>
    <cellStyle name="40% - 강조색3 3" xfId="97" xr:uid="{00000000-0005-0000-0000-000021000000}"/>
    <cellStyle name="40% - 강조색4 2" xfId="98" xr:uid="{00000000-0005-0000-0000-000022000000}"/>
    <cellStyle name="40% - 강조색4 2 2" xfId="99" xr:uid="{00000000-0005-0000-0000-000023000000}"/>
    <cellStyle name="40% - 강조색4 3" xfId="100" xr:uid="{00000000-0005-0000-0000-000024000000}"/>
    <cellStyle name="40% - 강조색5 2" xfId="101" xr:uid="{00000000-0005-0000-0000-000025000000}"/>
    <cellStyle name="40% - 강조색5 2 2" xfId="102" xr:uid="{00000000-0005-0000-0000-000026000000}"/>
    <cellStyle name="40% - 강조색5 3" xfId="103" xr:uid="{00000000-0005-0000-0000-000027000000}"/>
    <cellStyle name="40% - 강조색6 2" xfId="104" xr:uid="{00000000-0005-0000-0000-000028000000}"/>
    <cellStyle name="40% - 강조색6 2 2" xfId="105" xr:uid="{00000000-0005-0000-0000-000029000000}"/>
    <cellStyle name="40% - 강조색6 3" xfId="106" xr:uid="{00000000-0005-0000-0000-00002A000000}"/>
    <cellStyle name="60% - 강조색1 2" xfId="107" xr:uid="{00000000-0005-0000-0000-00002B000000}"/>
    <cellStyle name="60% - 강조색1 2 2" xfId="108" xr:uid="{00000000-0005-0000-0000-00002C000000}"/>
    <cellStyle name="60% - 강조색1 3" xfId="109" xr:uid="{00000000-0005-0000-0000-00002D000000}"/>
    <cellStyle name="60% - 강조색2 2" xfId="110" xr:uid="{00000000-0005-0000-0000-00002E000000}"/>
    <cellStyle name="60% - 강조색2 2 2" xfId="111" xr:uid="{00000000-0005-0000-0000-00002F000000}"/>
    <cellStyle name="60% - 강조색2 3" xfId="112" xr:uid="{00000000-0005-0000-0000-000030000000}"/>
    <cellStyle name="60% - 강조색3 2" xfId="113" xr:uid="{00000000-0005-0000-0000-000031000000}"/>
    <cellStyle name="60% - 강조색3 2 2" xfId="114" xr:uid="{00000000-0005-0000-0000-000032000000}"/>
    <cellStyle name="60% - 강조색3 3" xfId="115" xr:uid="{00000000-0005-0000-0000-000033000000}"/>
    <cellStyle name="60% - 강조색4 2" xfId="116" xr:uid="{00000000-0005-0000-0000-000034000000}"/>
    <cellStyle name="60% - 강조색4 2 2" xfId="117" xr:uid="{00000000-0005-0000-0000-000035000000}"/>
    <cellStyle name="60% - 강조색4 3" xfId="118" xr:uid="{00000000-0005-0000-0000-000036000000}"/>
    <cellStyle name="60% - 강조색5 2" xfId="119" xr:uid="{00000000-0005-0000-0000-000037000000}"/>
    <cellStyle name="60% - 강조색5 2 2" xfId="120" xr:uid="{00000000-0005-0000-0000-000038000000}"/>
    <cellStyle name="60% - 강조색5 3" xfId="121" xr:uid="{00000000-0005-0000-0000-000039000000}"/>
    <cellStyle name="60% - 강조색6 2" xfId="122" xr:uid="{00000000-0005-0000-0000-00003A000000}"/>
    <cellStyle name="60% - 강조색6 2 2" xfId="123" xr:uid="{00000000-0005-0000-0000-00003B000000}"/>
    <cellStyle name="60% - 강조색6 3" xfId="124" xr:uid="{00000000-0005-0000-0000-00003C000000}"/>
    <cellStyle name="7_매출" xfId="27" xr:uid="{00000000-0005-0000-0000-00003D000000}"/>
    <cellStyle name="Comma [0]" xfId="1" builtinId="6"/>
    <cellStyle name="Currency [0]" xfId="44" builtinId="7"/>
    <cellStyle name="Good" xfId="385" builtinId="26"/>
    <cellStyle name="Header1" xfId="40" xr:uid="{00000000-0005-0000-0000-000042000000}"/>
    <cellStyle name="Header2" xfId="41" xr:uid="{00000000-0005-0000-0000-000043000000}"/>
    <cellStyle name="Normal" xfId="0" builtinId="0"/>
    <cellStyle name="PE_1월" xfId="42" xr:uid="{00000000-0005-0000-0000-000045000000}"/>
    <cellStyle name="Percent" xfId="2" builtinId="5"/>
    <cellStyle name="강조색1 2" xfId="125" xr:uid="{00000000-0005-0000-0000-000048000000}"/>
    <cellStyle name="강조색1 2 2" xfId="126" xr:uid="{00000000-0005-0000-0000-000049000000}"/>
    <cellStyle name="강조색1 3" xfId="127" xr:uid="{00000000-0005-0000-0000-00004A000000}"/>
    <cellStyle name="강조색2 2" xfId="59" xr:uid="{00000000-0005-0000-0000-00004B000000}"/>
    <cellStyle name="강조색2 2 2" xfId="128" xr:uid="{00000000-0005-0000-0000-00004C000000}"/>
    <cellStyle name="강조색2 2 3" xfId="129" xr:uid="{00000000-0005-0000-0000-00004D000000}"/>
    <cellStyle name="강조색2 3" xfId="130" xr:uid="{00000000-0005-0000-0000-00004E000000}"/>
    <cellStyle name="강조색3 2" xfId="131" xr:uid="{00000000-0005-0000-0000-00004F000000}"/>
    <cellStyle name="강조색3 2 2" xfId="132" xr:uid="{00000000-0005-0000-0000-000050000000}"/>
    <cellStyle name="강조색3 3" xfId="133" xr:uid="{00000000-0005-0000-0000-000051000000}"/>
    <cellStyle name="강조색4 2" xfId="134" xr:uid="{00000000-0005-0000-0000-000053000000}"/>
    <cellStyle name="강조색4 2 2" xfId="135" xr:uid="{00000000-0005-0000-0000-000054000000}"/>
    <cellStyle name="강조색4 3" xfId="136" xr:uid="{00000000-0005-0000-0000-000055000000}"/>
    <cellStyle name="강조색5 2" xfId="137" xr:uid="{00000000-0005-0000-0000-000056000000}"/>
    <cellStyle name="강조색5 2 2" xfId="138" xr:uid="{00000000-0005-0000-0000-000057000000}"/>
    <cellStyle name="강조색5 3" xfId="139" xr:uid="{00000000-0005-0000-0000-000058000000}"/>
    <cellStyle name="강조색6 2" xfId="140" xr:uid="{00000000-0005-0000-0000-000059000000}"/>
    <cellStyle name="강조색6 2 2" xfId="141" xr:uid="{00000000-0005-0000-0000-00005A000000}"/>
    <cellStyle name="강조색6 3" xfId="142" xr:uid="{00000000-0005-0000-0000-00005B000000}"/>
    <cellStyle name="경고문 2" xfId="143" xr:uid="{00000000-0005-0000-0000-00005C000000}"/>
    <cellStyle name="경고문 2 2" xfId="144" xr:uid="{00000000-0005-0000-0000-00005D000000}"/>
    <cellStyle name="경고문 3" xfId="145" xr:uid="{00000000-0005-0000-0000-00005E000000}"/>
    <cellStyle name="계산 2" xfId="146" xr:uid="{00000000-0005-0000-0000-00005F000000}"/>
    <cellStyle name="계산 2 2" xfId="147" xr:uid="{00000000-0005-0000-0000-000060000000}"/>
    <cellStyle name="계산 3" xfId="148" xr:uid="{00000000-0005-0000-0000-000061000000}"/>
    <cellStyle name="괄(계정)" xfId="30" xr:uid="{00000000-0005-0000-0000-000062000000}"/>
    <cellStyle name="나쁨 2" xfId="149" xr:uid="{00000000-0005-0000-0000-000063000000}"/>
    <cellStyle name="나쁨 2 2" xfId="150" xr:uid="{00000000-0005-0000-0000-000064000000}"/>
    <cellStyle name="나쁨 3" xfId="151" xr:uid="{00000000-0005-0000-0000-000065000000}"/>
    <cellStyle name="뒤에 오는 하이퍼링크_2000년 고객 불만 분석" xfId="31" xr:uid="{00000000-0005-0000-0000-000066000000}"/>
    <cellStyle name="메모 2" xfId="152" xr:uid="{00000000-0005-0000-0000-000068000000}"/>
    <cellStyle name="메모 2 2" xfId="153" xr:uid="{00000000-0005-0000-0000-000069000000}"/>
    <cellStyle name="메모 2 3" xfId="154" xr:uid="{00000000-0005-0000-0000-00006A000000}"/>
    <cellStyle name="메모 2 4" xfId="155" xr:uid="{00000000-0005-0000-0000-00006B000000}"/>
    <cellStyle name="메모 3" xfId="156" xr:uid="{00000000-0005-0000-0000-00006C000000}"/>
    <cellStyle name="믅됞_PRODUCT DETAIL Q1" xfId="32" xr:uid="{00000000-0005-0000-0000-00006D000000}"/>
    <cellStyle name="백분율 2" xfId="157" xr:uid="{00000000-0005-0000-0000-00006F000000}"/>
    <cellStyle name="백분율 3" xfId="365" xr:uid="{00000000-0005-0000-0000-000070000000}"/>
    <cellStyle name="보통 2" xfId="158" xr:uid="{00000000-0005-0000-0000-000071000000}"/>
    <cellStyle name="보통 2 2" xfId="159" xr:uid="{00000000-0005-0000-0000-000072000000}"/>
    <cellStyle name="보통 3" xfId="160" xr:uid="{00000000-0005-0000-0000-000073000000}"/>
    <cellStyle name="뷭?_BOOKSHIP" xfId="33" xr:uid="{00000000-0005-0000-0000-000074000000}"/>
    <cellStyle name="설명 텍스트 2" xfId="161" xr:uid="{00000000-0005-0000-0000-000075000000}"/>
    <cellStyle name="설명 텍스트 2 2" xfId="162" xr:uid="{00000000-0005-0000-0000-000076000000}"/>
    <cellStyle name="설명 텍스트 3" xfId="163" xr:uid="{00000000-0005-0000-0000-000077000000}"/>
    <cellStyle name="셀 확인 2" xfId="164" xr:uid="{00000000-0005-0000-0000-000078000000}"/>
    <cellStyle name="셀 확인 2 2" xfId="165" xr:uid="{00000000-0005-0000-0000-000079000000}"/>
    <cellStyle name="셀 확인 3" xfId="166" xr:uid="{00000000-0005-0000-0000-00007A000000}"/>
    <cellStyle name="쉼표 [0] 10" xfId="49" xr:uid="{00000000-0005-0000-0000-00007C000000}"/>
    <cellStyle name="쉼표 [0] 11" xfId="48" xr:uid="{00000000-0005-0000-0000-00007D000000}"/>
    <cellStyle name="쉼표 [0] 12" xfId="167" xr:uid="{00000000-0005-0000-0000-00007E000000}"/>
    <cellStyle name="쉼표 [0] 12 2" xfId="168" xr:uid="{00000000-0005-0000-0000-00007F000000}"/>
    <cellStyle name="쉼표 [0] 12 3" xfId="169" xr:uid="{00000000-0005-0000-0000-000080000000}"/>
    <cellStyle name="쉼표 [0] 13" xfId="170" xr:uid="{00000000-0005-0000-0000-000081000000}"/>
    <cellStyle name="쉼표 [0] 13 2" xfId="171" xr:uid="{00000000-0005-0000-0000-000082000000}"/>
    <cellStyle name="쉼표 [0] 13 3" xfId="172" xr:uid="{00000000-0005-0000-0000-000083000000}"/>
    <cellStyle name="쉼표 [0] 14" xfId="173" xr:uid="{00000000-0005-0000-0000-000084000000}"/>
    <cellStyle name="쉼표 [0] 15" xfId="174" xr:uid="{00000000-0005-0000-0000-000085000000}"/>
    <cellStyle name="쉼표 [0] 15 2" xfId="175" xr:uid="{00000000-0005-0000-0000-000086000000}"/>
    <cellStyle name="쉼표 [0] 16" xfId="368" xr:uid="{00000000-0005-0000-0000-000087000000}"/>
    <cellStyle name="쉼표 [0] 17" xfId="383" xr:uid="{D37394E2-5B71-43D9-96AB-796E320CC45B}"/>
    <cellStyle name="쉼표 [0] 17 2" xfId="387" xr:uid="{C8630FD5-42BE-4401-B6D0-5CBB89643BFD}"/>
    <cellStyle name="쉼표 [0] 2" xfId="13" xr:uid="{00000000-0005-0000-0000-000088000000}"/>
    <cellStyle name="쉼표 [0] 2 2" xfId="176" xr:uid="{00000000-0005-0000-0000-000089000000}"/>
    <cellStyle name="쉼표 [0] 2 2 2" xfId="177" xr:uid="{00000000-0005-0000-0000-00008A000000}"/>
    <cellStyle name="쉼표 [0] 2 3" xfId="178" xr:uid="{00000000-0005-0000-0000-00008B000000}"/>
    <cellStyle name="쉼표 [0] 2 3 2" xfId="179" xr:uid="{00000000-0005-0000-0000-00008C000000}"/>
    <cellStyle name="쉼표 [0] 3" xfId="16" xr:uid="{00000000-0005-0000-0000-00008D000000}"/>
    <cellStyle name="쉼표 [0] 3 2" xfId="60" xr:uid="{00000000-0005-0000-0000-00008E000000}"/>
    <cellStyle name="쉼표 [0] 3 2 2" xfId="180" xr:uid="{00000000-0005-0000-0000-00008F000000}"/>
    <cellStyle name="쉼표 [0] 3 2 2 2" xfId="181" xr:uid="{00000000-0005-0000-0000-000090000000}"/>
    <cellStyle name="쉼표 [0] 3 2 2 2 2" xfId="182" xr:uid="{00000000-0005-0000-0000-000091000000}"/>
    <cellStyle name="쉼표 [0] 3 2 2 2 3" xfId="183" xr:uid="{00000000-0005-0000-0000-000092000000}"/>
    <cellStyle name="쉼표 [0] 3 2 2 3" xfId="184" xr:uid="{00000000-0005-0000-0000-000093000000}"/>
    <cellStyle name="쉼표 [0] 3 2 2 4" xfId="185" xr:uid="{00000000-0005-0000-0000-000094000000}"/>
    <cellStyle name="쉼표 [0] 3 2 2 4 2" xfId="186" xr:uid="{00000000-0005-0000-0000-000095000000}"/>
    <cellStyle name="쉼표 [0] 3 2 2 4 3" xfId="187" xr:uid="{00000000-0005-0000-0000-000096000000}"/>
    <cellStyle name="쉼표 [0] 3 2 2 5" xfId="188" xr:uid="{00000000-0005-0000-0000-000097000000}"/>
    <cellStyle name="쉼표 [0] 3 2 2 6" xfId="189" xr:uid="{00000000-0005-0000-0000-000098000000}"/>
    <cellStyle name="쉼표 [0] 3 2 3" xfId="190" xr:uid="{00000000-0005-0000-0000-000099000000}"/>
    <cellStyle name="쉼표 [0] 3 2 3 2" xfId="191" xr:uid="{00000000-0005-0000-0000-00009A000000}"/>
    <cellStyle name="쉼표 [0] 3 2 3 3" xfId="192" xr:uid="{00000000-0005-0000-0000-00009B000000}"/>
    <cellStyle name="쉼표 [0] 3 2 4" xfId="193" xr:uid="{00000000-0005-0000-0000-00009C000000}"/>
    <cellStyle name="쉼표 [0] 3 2 5" xfId="194" xr:uid="{00000000-0005-0000-0000-00009D000000}"/>
    <cellStyle name="쉼표 [0] 3 2 5 2" xfId="195" xr:uid="{00000000-0005-0000-0000-00009E000000}"/>
    <cellStyle name="쉼표 [0] 3 2 5 2 2" xfId="196" xr:uid="{00000000-0005-0000-0000-00009F000000}"/>
    <cellStyle name="쉼표 [0] 3 2 5 2 3" xfId="197" xr:uid="{00000000-0005-0000-0000-0000A0000000}"/>
    <cellStyle name="쉼표 [0] 3 2 5 3" xfId="198" xr:uid="{00000000-0005-0000-0000-0000A1000000}"/>
    <cellStyle name="쉼표 [0] 3 2 6" xfId="199" xr:uid="{00000000-0005-0000-0000-0000A2000000}"/>
    <cellStyle name="쉼표 [0] 3 2 7" xfId="200" xr:uid="{00000000-0005-0000-0000-0000A3000000}"/>
    <cellStyle name="쉼표 [0] 3 3" xfId="201" xr:uid="{00000000-0005-0000-0000-0000A4000000}"/>
    <cellStyle name="쉼표 [0] 3 4" xfId="202" xr:uid="{00000000-0005-0000-0000-0000A5000000}"/>
    <cellStyle name="쉼표 [0] 3 4 2" xfId="203" xr:uid="{00000000-0005-0000-0000-0000A6000000}"/>
    <cellStyle name="쉼표 [0] 3 4 2 2" xfId="204" xr:uid="{00000000-0005-0000-0000-0000A7000000}"/>
    <cellStyle name="쉼표 [0] 3 4 2 3" xfId="205" xr:uid="{00000000-0005-0000-0000-0000A8000000}"/>
    <cellStyle name="쉼표 [0] 3 4 3" xfId="206" xr:uid="{00000000-0005-0000-0000-0000A9000000}"/>
    <cellStyle name="쉼표 [0] 3 4 4" xfId="207" xr:uid="{00000000-0005-0000-0000-0000AA000000}"/>
    <cellStyle name="쉼표 [0] 3 4 4 2" xfId="208" xr:uid="{00000000-0005-0000-0000-0000AB000000}"/>
    <cellStyle name="쉼표 [0] 3 4 4 3" xfId="209" xr:uid="{00000000-0005-0000-0000-0000AC000000}"/>
    <cellStyle name="쉼표 [0] 3 4 5" xfId="210" xr:uid="{00000000-0005-0000-0000-0000AD000000}"/>
    <cellStyle name="쉼표 [0] 3 4 6" xfId="211" xr:uid="{00000000-0005-0000-0000-0000AE000000}"/>
    <cellStyle name="쉼표 [0] 3 5" xfId="212" xr:uid="{00000000-0005-0000-0000-0000AF000000}"/>
    <cellStyle name="쉼표 [0] 3 5 2" xfId="213" xr:uid="{00000000-0005-0000-0000-0000B0000000}"/>
    <cellStyle name="쉼표 [0] 3 5 3" xfId="214" xr:uid="{00000000-0005-0000-0000-0000B1000000}"/>
    <cellStyle name="쉼표 [0] 3 6" xfId="215" xr:uid="{00000000-0005-0000-0000-0000B2000000}"/>
    <cellStyle name="쉼표 [0] 3 7" xfId="216" xr:uid="{00000000-0005-0000-0000-0000B3000000}"/>
    <cellStyle name="쉼표 [0] 4" xfId="18" xr:uid="{00000000-0005-0000-0000-0000B4000000}"/>
    <cellStyle name="쉼표 [0] 4 2" xfId="61" xr:uid="{00000000-0005-0000-0000-0000B5000000}"/>
    <cellStyle name="쉼표 [0] 4 2 2" xfId="217" xr:uid="{00000000-0005-0000-0000-0000B6000000}"/>
    <cellStyle name="쉼표 [0] 4 2 2 2" xfId="218" xr:uid="{00000000-0005-0000-0000-0000B7000000}"/>
    <cellStyle name="쉼표 [0] 4 2 2 3" xfId="219" xr:uid="{00000000-0005-0000-0000-0000B8000000}"/>
    <cellStyle name="쉼표 [0] 4 2 3" xfId="220" xr:uid="{00000000-0005-0000-0000-0000B9000000}"/>
    <cellStyle name="쉼표 [0] 4 2 4" xfId="221" xr:uid="{00000000-0005-0000-0000-0000BA000000}"/>
    <cellStyle name="쉼표 [0] 4 2 4 2" xfId="222" xr:uid="{00000000-0005-0000-0000-0000BB000000}"/>
    <cellStyle name="쉼표 [0] 4 2 4 3" xfId="223" xr:uid="{00000000-0005-0000-0000-0000BC000000}"/>
    <cellStyle name="쉼표 [0] 4 2 5" xfId="224" xr:uid="{00000000-0005-0000-0000-0000BD000000}"/>
    <cellStyle name="쉼표 [0] 4 2 6" xfId="225" xr:uid="{00000000-0005-0000-0000-0000BE000000}"/>
    <cellStyle name="쉼표 [0] 4 3" xfId="226" xr:uid="{00000000-0005-0000-0000-0000BF000000}"/>
    <cellStyle name="쉼표 [0] 4 3 2" xfId="227" xr:uid="{00000000-0005-0000-0000-0000C0000000}"/>
    <cellStyle name="쉼표 [0] 4 3 3" xfId="228" xr:uid="{00000000-0005-0000-0000-0000C1000000}"/>
    <cellStyle name="쉼표 [0] 4 4" xfId="229" xr:uid="{00000000-0005-0000-0000-0000C2000000}"/>
    <cellStyle name="쉼표 [0] 4 5" xfId="230" xr:uid="{00000000-0005-0000-0000-0000C3000000}"/>
    <cellStyle name="쉼표 [0] 4 5 2" xfId="231" xr:uid="{00000000-0005-0000-0000-0000C4000000}"/>
    <cellStyle name="쉼표 [0] 4 5 2 2" xfId="232" xr:uid="{00000000-0005-0000-0000-0000C5000000}"/>
    <cellStyle name="쉼표 [0] 4 5 2 3" xfId="233" xr:uid="{00000000-0005-0000-0000-0000C6000000}"/>
    <cellStyle name="쉼표 [0] 4 5 3" xfId="234" xr:uid="{00000000-0005-0000-0000-0000C7000000}"/>
    <cellStyle name="쉼표 [0] 4 6" xfId="235" xr:uid="{00000000-0005-0000-0000-0000C8000000}"/>
    <cellStyle name="쉼표 [0] 4 7" xfId="236" xr:uid="{00000000-0005-0000-0000-0000C9000000}"/>
    <cellStyle name="쉼표 [0] 4 8" xfId="237" xr:uid="{00000000-0005-0000-0000-0000CA000000}"/>
    <cellStyle name="쉼표 [0] 5" xfId="45" xr:uid="{00000000-0005-0000-0000-0000CB000000}"/>
    <cellStyle name="쉼표 [0] 5 2" xfId="50" xr:uid="{00000000-0005-0000-0000-0000CC000000}"/>
    <cellStyle name="쉼표 [0] 5 2 2" xfId="69" xr:uid="{00000000-0005-0000-0000-0000CD000000}"/>
    <cellStyle name="쉼표 [0] 5 2 3" xfId="238" xr:uid="{00000000-0005-0000-0000-0000CE000000}"/>
    <cellStyle name="쉼표 [0] 5 3" xfId="62" xr:uid="{00000000-0005-0000-0000-0000CF000000}"/>
    <cellStyle name="쉼표 [0] 5 4" xfId="239" xr:uid="{00000000-0005-0000-0000-0000D0000000}"/>
    <cellStyle name="쉼표 [0] 5 5" xfId="240" xr:uid="{00000000-0005-0000-0000-0000D1000000}"/>
    <cellStyle name="쉼표 [0] 5 6" xfId="241" xr:uid="{00000000-0005-0000-0000-0000D2000000}"/>
    <cellStyle name="쉼표 [0] 5 7" xfId="242" xr:uid="{00000000-0005-0000-0000-0000D3000000}"/>
    <cellStyle name="쉼표 [0] 6" xfId="51" xr:uid="{00000000-0005-0000-0000-0000D4000000}"/>
    <cellStyle name="쉼표 [0] 6 2" xfId="243" xr:uid="{00000000-0005-0000-0000-0000D5000000}"/>
    <cellStyle name="쉼표 [0] 6 2 2" xfId="244" xr:uid="{00000000-0005-0000-0000-0000D6000000}"/>
    <cellStyle name="쉼표 [0] 6 2 2 2" xfId="245" xr:uid="{00000000-0005-0000-0000-0000D7000000}"/>
    <cellStyle name="쉼표 [0] 6 2 2 3" xfId="246" xr:uid="{00000000-0005-0000-0000-0000D8000000}"/>
    <cellStyle name="쉼표 [0] 6 2 3" xfId="247" xr:uid="{00000000-0005-0000-0000-0000D9000000}"/>
    <cellStyle name="쉼표 [0] 6 2 4" xfId="248" xr:uid="{00000000-0005-0000-0000-0000DA000000}"/>
    <cellStyle name="쉼표 [0] 6 2 4 2" xfId="249" xr:uid="{00000000-0005-0000-0000-0000DB000000}"/>
    <cellStyle name="쉼표 [0] 6 2 4 3" xfId="250" xr:uid="{00000000-0005-0000-0000-0000DC000000}"/>
    <cellStyle name="쉼표 [0] 6 2 5" xfId="251" xr:uid="{00000000-0005-0000-0000-0000DD000000}"/>
    <cellStyle name="쉼표 [0] 6 2 6" xfId="252" xr:uid="{00000000-0005-0000-0000-0000DE000000}"/>
    <cellStyle name="쉼표 [0] 6 3" xfId="253" xr:uid="{00000000-0005-0000-0000-0000DF000000}"/>
    <cellStyle name="쉼표 [0] 6 3 2" xfId="254" xr:uid="{00000000-0005-0000-0000-0000E0000000}"/>
    <cellStyle name="쉼표 [0] 6 3 3" xfId="255" xr:uid="{00000000-0005-0000-0000-0000E1000000}"/>
    <cellStyle name="쉼표 [0] 6 4" xfId="256" xr:uid="{00000000-0005-0000-0000-0000E2000000}"/>
    <cellStyle name="쉼표 [0] 6 5" xfId="257" xr:uid="{00000000-0005-0000-0000-0000E3000000}"/>
    <cellStyle name="쉼표 [0] 6 5 2" xfId="258" xr:uid="{00000000-0005-0000-0000-0000E4000000}"/>
    <cellStyle name="쉼표 [0] 6 5 3" xfId="259" xr:uid="{00000000-0005-0000-0000-0000E5000000}"/>
    <cellStyle name="쉼표 [0] 6 6" xfId="260" xr:uid="{00000000-0005-0000-0000-0000E6000000}"/>
    <cellStyle name="쉼표 [0] 6 7" xfId="261" xr:uid="{00000000-0005-0000-0000-0000E7000000}"/>
    <cellStyle name="쉼표 [0] 6 7 2" xfId="262" xr:uid="{00000000-0005-0000-0000-0000E8000000}"/>
    <cellStyle name="쉼표 [0] 6 7 3" xfId="263" xr:uid="{00000000-0005-0000-0000-0000E9000000}"/>
    <cellStyle name="쉼표 [0] 6 8" xfId="264" xr:uid="{00000000-0005-0000-0000-0000EA000000}"/>
    <cellStyle name="쉼표 [0] 6 9" xfId="265" xr:uid="{00000000-0005-0000-0000-0000EB000000}"/>
    <cellStyle name="쉼표 [0] 7" xfId="52" xr:uid="{00000000-0005-0000-0000-0000EC000000}"/>
    <cellStyle name="쉼표 [0] 7 2" xfId="53" xr:uid="{00000000-0005-0000-0000-0000ED000000}"/>
    <cellStyle name="쉼표 [0] 7 2 2" xfId="266" xr:uid="{00000000-0005-0000-0000-0000EE000000}"/>
    <cellStyle name="쉼표 [0] 7 2 3" xfId="267" xr:uid="{00000000-0005-0000-0000-0000EF000000}"/>
    <cellStyle name="쉼표 [0] 7 3" xfId="268" xr:uid="{00000000-0005-0000-0000-0000F0000000}"/>
    <cellStyle name="쉼표 [0] 7 4" xfId="269" xr:uid="{00000000-0005-0000-0000-0000F1000000}"/>
    <cellStyle name="쉼표 [0] 7 5" xfId="270" xr:uid="{00000000-0005-0000-0000-0000F2000000}"/>
    <cellStyle name="쉼표 [0] 8" xfId="54" xr:uid="{00000000-0005-0000-0000-0000F3000000}"/>
    <cellStyle name="쉼표 [0] 8 2" xfId="55" xr:uid="{00000000-0005-0000-0000-0000F4000000}"/>
    <cellStyle name="쉼표 [0] 8 2 2" xfId="271" xr:uid="{00000000-0005-0000-0000-0000F5000000}"/>
    <cellStyle name="쉼표 [0] 8 2 3" xfId="272" xr:uid="{00000000-0005-0000-0000-0000F6000000}"/>
    <cellStyle name="쉼표 [0] 8 3" xfId="68" xr:uid="{00000000-0005-0000-0000-0000F7000000}"/>
    <cellStyle name="쉼표 [0] 8 4" xfId="273" xr:uid="{00000000-0005-0000-0000-0000F8000000}"/>
    <cellStyle name="쉼표 [0] 8 4 2" xfId="274" xr:uid="{00000000-0005-0000-0000-0000F9000000}"/>
    <cellStyle name="쉼표 [0] 8 4 3" xfId="275" xr:uid="{00000000-0005-0000-0000-0000FA000000}"/>
    <cellStyle name="쉼표 [0] 8 5" xfId="276" xr:uid="{00000000-0005-0000-0000-0000FB000000}"/>
    <cellStyle name="쉼표 [0] 8 6" xfId="277" xr:uid="{00000000-0005-0000-0000-0000FC000000}"/>
    <cellStyle name="쉼표 [0] 9" xfId="56" xr:uid="{00000000-0005-0000-0000-0000FD000000}"/>
    <cellStyle name="쉼표 [0] 9 2" xfId="57" xr:uid="{00000000-0005-0000-0000-0000FE000000}"/>
    <cellStyle name="쉼표 [0] 9 3" xfId="278" xr:uid="{00000000-0005-0000-0000-0000FF000000}"/>
    <cellStyle name="스타일 1" xfId="19" xr:uid="{00000000-0005-0000-0000-000000010000}"/>
    <cellStyle name="스타일 2" xfId="43" xr:uid="{00000000-0005-0000-0000-000001010000}"/>
    <cellStyle name="연결된 셀 2" xfId="279" xr:uid="{00000000-0005-0000-0000-000002010000}"/>
    <cellStyle name="연결된 셀 2 2" xfId="280" xr:uid="{00000000-0005-0000-0000-000003010000}"/>
    <cellStyle name="연결된 셀 3" xfId="281" xr:uid="{00000000-0005-0000-0000-000004010000}"/>
    <cellStyle name="요약 2" xfId="282" xr:uid="{00000000-0005-0000-0000-000005010000}"/>
    <cellStyle name="요약 2 2" xfId="283" xr:uid="{00000000-0005-0000-0000-000006010000}"/>
    <cellStyle name="요약 3" xfId="284" xr:uid="{00000000-0005-0000-0000-000007010000}"/>
    <cellStyle name="월당월 (2)" xfId="34" xr:uid="{00000000-0005-0000-0000-000008010000}"/>
    <cellStyle name="입력 2" xfId="285" xr:uid="{00000000-0005-0000-0000-000009010000}"/>
    <cellStyle name="입력 2 2" xfId="286" xr:uid="{00000000-0005-0000-0000-00000A010000}"/>
    <cellStyle name="입력 3" xfId="287" xr:uid="{00000000-0005-0000-0000-00000B010000}"/>
    <cellStyle name="제목 1 2" xfId="288" xr:uid="{00000000-0005-0000-0000-00000C010000}"/>
    <cellStyle name="제목 1 2 2" xfId="289" xr:uid="{00000000-0005-0000-0000-00000D010000}"/>
    <cellStyle name="제목 1 2 2 2" xfId="369" xr:uid="{00000000-0005-0000-0000-00000E010000}"/>
    <cellStyle name="제목 1 3" xfId="290" xr:uid="{00000000-0005-0000-0000-00000F010000}"/>
    <cellStyle name="제목 2 2" xfId="291" xr:uid="{00000000-0005-0000-0000-000010010000}"/>
    <cellStyle name="제목 2 2 2" xfId="292" xr:uid="{00000000-0005-0000-0000-000011010000}"/>
    <cellStyle name="제목 2 2 2 2" xfId="370" xr:uid="{00000000-0005-0000-0000-000012010000}"/>
    <cellStyle name="제목 2 3" xfId="293" xr:uid="{00000000-0005-0000-0000-000013010000}"/>
    <cellStyle name="제목 3 2" xfId="294" xr:uid="{00000000-0005-0000-0000-000014010000}"/>
    <cellStyle name="제목 3 2 2" xfId="295" xr:uid="{00000000-0005-0000-0000-000015010000}"/>
    <cellStyle name="제목 3 3" xfId="296" xr:uid="{00000000-0005-0000-0000-000016010000}"/>
    <cellStyle name="제목 4 2" xfId="297" xr:uid="{00000000-0005-0000-0000-000017010000}"/>
    <cellStyle name="제목 4 2 2" xfId="298" xr:uid="{00000000-0005-0000-0000-000018010000}"/>
    <cellStyle name="제목 4 3" xfId="299" xr:uid="{00000000-0005-0000-0000-000019010000}"/>
    <cellStyle name="제목 5" xfId="300" xr:uid="{00000000-0005-0000-0000-00001A010000}"/>
    <cellStyle name="제목 5 2" xfId="301" xr:uid="{00000000-0005-0000-0000-00001B010000}"/>
    <cellStyle name="제목 6" xfId="302" xr:uid="{00000000-0005-0000-0000-00001C010000}"/>
    <cellStyle name="좋음 2" xfId="303" xr:uid="{00000000-0005-0000-0000-00001D010000}"/>
    <cellStyle name="좋음 2 2" xfId="304" xr:uid="{00000000-0005-0000-0000-00001E010000}"/>
    <cellStyle name="좋음 3" xfId="305" xr:uid="{00000000-0005-0000-0000-00001F010000}"/>
    <cellStyle name="출 (한장)" xfId="35" xr:uid="{00000000-0005-0000-0000-000020010000}"/>
    <cellStyle name="출력 2" xfId="306" xr:uid="{00000000-0005-0000-0000-000021010000}"/>
    <cellStyle name="출력 2 2" xfId="307" xr:uid="{00000000-0005-0000-0000-000022010000}"/>
    <cellStyle name="출력 3" xfId="308" xr:uid="{00000000-0005-0000-0000-000023010000}"/>
    <cellStyle name="콤마 [0]_1" xfId="36" xr:uid="{00000000-0005-0000-0000-000024010000}"/>
    <cellStyle name="콤마_1" xfId="37" xr:uid="{00000000-0005-0000-0000-000025010000}"/>
    <cellStyle name="통화 [0] 2" xfId="63" xr:uid="{00000000-0005-0000-0000-000027010000}"/>
    <cellStyle name="통화 [0] 2 2" xfId="309" xr:uid="{00000000-0005-0000-0000-000028010000}"/>
    <cellStyle name="통화 [0] 3" xfId="64" xr:uid="{00000000-0005-0000-0000-000029010000}"/>
    <cellStyle name="통화 [0] 4" xfId="70" xr:uid="{00000000-0005-0000-0000-00002A010000}"/>
    <cellStyle name="통화 [0] 5" xfId="371" xr:uid="{00000000-0005-0000-0000-00002B010000}"/>
    <cellStyle name="통화 10" xfId="372" xr:uid="{00000000-0005-0000-0000-00002C010000}"/>
    <cellStyle name="통화 2" xfId="373" xr:uid="{00000000-0005-0000-0000-00002D010000}"/>
    <cellStyle name="통화 3" xfId="374" xr:uid="{00000000-0005-0000-0000-00002E010000}"/>
    <cellStyle name="통화 4" xfId="375" xr:uid="{00000000-0005-0000-0000-00002F010000}"/>
    <cellStyle name="통화 5" xfId="376" xr:uid="{00000000-0005-0000-0000-000030010000}"/>
    <cellStyle name="통화 6" xfId="377" xr:uid="{00000000-0005-0000-0000-000031010000}"/>
    <cellStyle name="통화 7" xfId="378" xr:uid="{00000000-0005-0000-0000-000032010000}"/>
    <cellStyle name="통화 8" xfId="379" xr:uid="{00000000-0005-0000-0000-000033010000}"/>
    <cellStyle name="통화 9" xfId="380" xr:uid="{00000000-0005-0000-0000-000034010000}"/>
    <cellStyle name="표10" xfId="38" xr:uid="{00000000-0005-0000-0000-000035010000}"/>
    <cellStyle name="표13" xfId="39" xr:uid="{00000000-0005-0000-0000-000036010000}"/>
    <cellStyle name="표준 10" xfId="310" xr:uid="{00000000-0005-0000-0000-000038010000}"/>
    <cellStyle name="표준 10 2" xfId="311" xr:uid="{00000000-0005-0000-0000-000039010000}"/>
    <cellStyle name="표준 10 3" xfId="312" xr:uid="{00000000-0005-0000-0000-00003A010000}"/>
    <cellStyle name="표준 11" xfId="313" xr:uid="{00000000-0005-0000-0000-00003B010000}"/>
    <cellStyle name="표준 12" xfId="314" xr:uid="{00000000-0005-0000-0000-00003C010000}"/>
    <cellStyle name="표준 13" xfId="364" xr:uid="{00000000-0005-0000-0000-00003D010000}"/>
    <cellStyle name="표준 13 2" xfId="366" xr:uid="{00000000-0005-0000-0000-00003E010000}"/>
    <cellStyle name="표준 14" xfId="367" xr:uid="{00000000-0005-0000-0000-00003F010000}"/>
    <cellStyle name="표준 15" xfId="381" xr:uid="{00000000-0005-0000-0000-000040010000}"/>
    <cellStyle name="표준 16" xfId="382" xr:uid="{6B0B8907-F93D-48EB-B6E5-3176D7BC2C15}"/>
    <cellStyle name="표준 16 2" xfId="386" xr:uid="{B68E32C9-D760-426E-A3B6-FE35A83A6ADC}"/>
    <cellStyle name="표준 17" xfId="384" xr:uid="{612EAE5E-0109-4550-B745-F0D7E26E4DF8}"/>
    <cellStyle name="표준 2" xfId="3" xr:uid="{00000000-0005-0000-0000-000041010000}"/>
    <cellStyle name="표준 2 2" xfId="5" xr:uid="{00000000-0005-0000-0000-000042010000}"/>
    <cellStyle name="표준 2 2 2" xfId="6" xr:uid="{00000000-0005-0000-0000-000043010000}"/>
    <cellStyle name="표준 2 2 3" xfId="8" xr:uid="{00000000-0005-0000-0000-000044010000}"/>
    <cellStyle name="표준 2 3" xfId="7" xr:uid="{00000000-0005-0000-0000-000045010000}"/>
    <cellStyle name="표준 2 4" xfId="11" xr:uid="{00000000-0005-0000-0000-000046010000}"/>
    <cellStyle name="표준 2 4 2" xfId="15" xr:uid="{00000000-0005-0000-0000-000047010000}"/>
    <cellStyle name="표준 3" xfId="4" xr:uid="{00000000-0005-0000-0000-000048010000}"/>
    <cellStyle name="표준 3 2" xfId="12" xr:uid="{00000000-0005-0000-0000-000049010000}"/>
    <cellStyle name="표준 3 2 2" xfId="315" xr:uid="{00000000-0005-0000-0000-00004A010000}"/>
    <cellStyle name="표준 3 2 2 2" xfId="316" xr:uid="{00000000-0005-0000-0000-00004B010000}"/>
    <cellStyle name="표준 3 2 2 2 2" xfId="317" xr:uid="{00000000-0005-0000-0000-00004C010000}"/>
    <cellStyle name="표준 3 2 2 2 3" xfId="318" xr:uid="{00000000-0005-0000-0000-00004D010000}"/>
    <cellStyle name="표준 3 2 2 3" xfId="319" xr:uid="{00000000-0005-0000-0000-00004E010000}"/>
    <cellStyle name="표준 3 2 3" xfId="320" xr:uid="{00000000-0005-0000-0000-00004F010000}"/>
    <cellStyle name="표준 3 2 4" xfId="321" xr:uid="{00000000-0005-0000-0000-000050010000}"/>
    <cellStyle name="표준 3 2 4 2" xfId="322" xr:uid="{00000000-0005-0000-0000-000051010000}"/>
    <cellStyle name="표준 3 2 4 3" xfId="323" xr:uid="{00000000-0005-0000-0000-000052010000}"/>
    <cellStyle name="표준 3 2 5" xfId="324" xr:uid="{00000000-0005-0000-0000-000053010000}"/>
    <cellStyle name="표준 3 2 6" xfId="325" xr:uid="{00000000-0005-0000-0000-000054010000}"/>
    <cellStyle name="표준 3 3" xfId="65" xr:uid="{00000000-0005-0000-0000-000055010000}"/>
    <cellStyle name="표준 3 4" xfId="326" xr:uid="{00000000-0005-0000-0000-000056010000}"/>
    <cellStyle name="표준 3 4 2" xfId="327" xr:uid="{00000000-0005-0000-0000-000057010000}"/>
    <cellStyle name="표준 3 4 2 2" xfId="328" xr:uid="{00000000-0005-0000-0000-000058010000}"/>
    <cellStyle name="표준 3 4 2 3" xfId="329" xr:uid="{00000000-0005-0000-0000-000059010000}"/>
    <cellStyle name="표준 3 4 3" xfId="330" xr:uid="{00000000-0005-0000-0000-00005A010000}"/>
    <cellStyle name="표준 3 5" xfId="331" xr:uid="{00000000-0005-0000-0000-00005B010000}"/>
    <cellStyle name="표준 3 5 2" xfId="332" xr:uid="{00000000-0005-0000-0000-00005C010000}"/>
    <cellStyle name="표준 3 5 3" xfId="333" xr:uid="{00000000-0005-0000-0000-00005D010000}"/>
    <cellStyle name="표준 3 6" xfId="334" xr:uid="{00000000-0005-0000-0000-00005E010000}"/>
    <cellStyle name="표준 4" xfId="10" xr:uid="{00000000-0005-0000-0000-00005F010000}"/>
    <cellStyle name="표준 4 2" xfId="335" xr:uid="{00000000-0005-0000-0000-000060010000}"/>
    <cellStyle name="표준 4 2 2" xfId="336" xr:uid="{00000000-0005-0000-0000-000061010000}"/>
    <cellStyle name="표준 4 2 2 2" xfId="337" xr:uid="{00000000-0005-0000-0000-000062010000}"/>
    <cellStyle name="표준 4 2 2 3" xfId="338" xr:uid="{00000000-0005-0000-0000-000063010000}"/>
    <cellStyle name="표준 4 2 3" xfId="339" xr:uid="{00000000-0005-0000-0000-000064010000}"/>
    <cellStyle name="표준 4 2 4" xfId="340" xr:uid="{00000000-0005-0000-0000-000065010000}"/>
    <cellStyle name="표준 4 3" xfId="341" xr:uid="{00000000-0005-0000-0000-000066010000}"/>
    <cellStyle name="표준 4 4" xfId="342" xr:uid="{00000000-0005-0000-0000-000067010000}"/>
    <cellStyle name="표준 4 4 2" xfId="343" xr:uid="{00000000-0005-0000-0000-000068010000}"/>
    <cellStyle name="표준 4 4 3" xfId="344" xr:uid="{00000000-0005-0000-0000-000069010000}"/>
    <cellStyle name="표준 4 5" xfId="345" xr:uid="{00000000-0005-0000-0000-00006A010000}"/>
    <cellStyle name="표준 5" xfId="14" xr:uid="{00000000-0005-0000-0000-00006B010000}"/>
    <cellStyle name="표준 5 2" xfId="66" xr:uid="{00000000-0005-0000-0000-00006C010000}"/>
    <cellStyle name="표준 6" xfId="17" xr:uid="{00000000-0005-0000-0000-00006D010000}"/>
    <cellStyle name="표준 6 2" xfId="67" xr:uid="{00000000-0005-0000-0000-00006E010000}"/>
    <cellStyle name="표준 6 2 2" xfId="346" xr:uid="{00000000-0005-0000-0000-00006F010000}"/>
    <cellStyle name="표준 6 2 2 2" xfId="347" xr:uid="{00000000-0005-0000-0000-000070010000}"/>
    <cellStyle name="표준 6 2 2 3" xfId="348" xr:uid="{00000000-0005-0000-0000-000071010000}"/>
    <cellStyle name="표준 6 2 3" xfId="349" xr:uid="{00000000-0005-0000-0000-000072010000}"/>
    <cellStyle name="표준 6 3" xfId="350" xr:uid="{00000000-0005-0000-0000-000073010000}"/>
    <cellStyle name="표준 6 3 2" xfId="351" xr:uid="{00000000-0005-0000-0000-000074010000}"/>
    <cellStyle name="표준 6 3 3" xfId="352" xr:uid="{00000000-0005-0000-0000-000075010000}"/>
    <cellStyle name="표준 6 4" xfId="353" xr:uid="{00000000-0005-0000-0000-000076010000}"/>
    <cellStyle name="표준 6 5" xfId="354" xr:uid="{00000000-0005-0000-0000-000077010000}"/>
    <cellStyle name="표준 6 5 2" xfId="355" xr:uid="{00000000-0005-0000-0000-000078010000}"/>
    <cellStyle name="표준 6 5 3" xfId="356" xr:uid="{00000000-0005-0000-0000-000079010000}"/>
    <cellStyle name="표준 7" xfId="20" xr:uid="{00000000-0005-0000-0000-00007A010000}"/>
    <cellStyle name="표준 7 2" xfId="47" xr:uid="{00000000-0005-0000-0000-00007B010000}"/>
    <cellStyle name="표준 8" xfId="46" xr:uid="{00000000-0005-0000-0000-00007C010000}"/>
    <cellStyle name="표준 8 2" xfId="357" xr:uid="{00000000-0005-0000-0000-00007D010000}"/>
    <cellStyle name="표준 8 2 2" xfId="358" xr:uid="{00000000-0005-0000-0000-00007E010000}"/>
    <cellStyle name="표준 8 2 3" xfId="359" xr:uid="{00000000-0005-0000-0000-00007F010000}"/>
    <cellStyle name="표준 8 3" xfId="360" xr:uid="{00000000-0005-0000-0000-000080010000}"/>
    <cellStyle name="표준 9" xfId="361" xr:uid="{00000000-0005-0000-0000-000081010000}"/>
    <cellStyle name="표준 9 2" xfId="362" xr:uid="{00000000-0005-0000-0000-000082010000}"/>
    <cellStyle name="표준 9 3" xfId="363" xr:uid="{00000000-0005-0000-0000-000083010000}"/>
    <cellStyle name="표준_Sheet1" xfId="9" xr:uid="{00000000-0005-0000-0000-000084010000}"/>
    <cellStyle name="표준_현대" xfId="71" xr:uid="{00000000-0005-0000-0000-000085010000}"/>
    <cellStyle name="訶택?12월당월" xfId="28" xr:uid="{00000000-0005-0000-0000-000046000000}"/>
    <cellStyle name="訶택?부문별" xfId="29" xr:uid="{00000000-0005-0000-0000-000047000000}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numFmt numFmtId="165" formatCode="_-* #,##0_-;\-* #,##0_-;_-* &quot;-&quot;_-;_-@_-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numFmt numFmtId="165" formatCode="_-* #,##0_-;\-* #,##0_-;_-* &quot;-&quot;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numFmt numFmtId="165" formatCode="_-* #,##0_-;\-* #,##0_-;_-* &quot;-&quot;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numFmt numFmtId="165" formatCode="_-* #,##0_-;\-* #,##0_-;_-* &quot;-&quot;_-;_-@_-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numFmt numFmtId="165" formatCode="_-* #,##0_-;\-* #,##0_-;_-* &quot;-&quot;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numFmt numFmtId="165" formatCode="_-* #,##0_-;\-* #,##0_-;_-* &quot;-&quot;_-;_-@_-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돋움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98C7FD"/>
      <rgbColor rgb="00800000"/>
      <rgbColor rgb="00008000"/>
      <rgbColor rgb="00546A74"/>
      <rgbColor rgb="00808000"/>
      <rgbColor rgb="00800080"/>
      <rgbColor rgb="00008080"/>
      <rgbColor rgb="00EAEAEA"/>
      <rgbColor rgb="00808080"/>
      <rgbColor rgb="00E3F2BC"/>
      <rgbColor rgb="00993366"/>
      <rgbColor rgb="00FFFFCC"/>
      <rgbColor rgb="00CCFFFF"/>
      <rgbColor rgb="00660066"/>
      <rgbColor rgb="00FF8080"/>
      <rgbColor rgb="000066CC"/>
      <rgbColor rgb="00F0FAD2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A9DBB"/>
      <rgbColor rgb="00E6F5FF"/>
      <rgbColor rgb="00CCFFCC"/>
      <rgbColor rgb="00FFFF99"/>
      <rgbColor rgb="00D0DCE6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674371</xdr:colOff>
      <xdr:row>0</xdr:row>
      <xdr:rowOff>51214</xdr:rowOff>
    </xdr:from>
    <xdr:to>
      <xdr:col>2</xdr:col>
      <xdr:colOff>248762</xdr:colOff>
      <xdr:row>2</xdr:row>
      <xdr:rowOff>229722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1" y="51214"/>
          <a:ext cx="2206942" cy="940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0</xdr:row>
          <xdr:rowOff>257175</xdr:rowOff>
        </xdr:from>
        <xdr:to>
          <xdr:col>12</xdr:col>
          <xdr:colOff>2381250</xdr:colOff>
          <xdr:row>3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Microsoft JhengHei"/>
                  <a:ea typeface="Microsoft JhengHe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468086</xdr:colOff>
      <xdr:row>2</xdr:row>
      <xdr:rowOff>80826</xdr:rowOff>
    </xdr:from>
    <xdr:to>
      <xdr:col>2</xdr:col>
      <xdr:colOff>342084</xdr:colOff>
      <xdr:row>4</xdr:row>
      <xdr:rowOff>402925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086" y="652326"/>
          <a:ext cx="2976427" cy="12860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508000</xdr:colOff>
      <xdr:row>2</xdr:row>
      <xdr:rowOff>158750</xdr:rowOff>
    </xdr:from>
    <xdr:to>
      <xdr:col>3</xdr:col>
      <xdr:colOff>495935</xdr:colOff>
      <xdr:row>5</xdr:row>
      <xdr:rowOff>398086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730250"/>
          <a:ext cx="4349750" cy="16128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508000</xdr:colOff>
      <xdr:row>2</xdr:row>
      <xdr:rowOff>158750</xdr:rowOff>
    </xdr:from>
    <xdr:to>
      <xdr:col>7</xdr:col>
      <xdr:colOff>587375</xdr:colOff>
      <xdr:row>5</xdr:row>
      <xdr:rowOff>390466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730250"/>
          <a:ext cx="4337050" cy="163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0</xdr:row>
      <xdr:rowOff>367393</xdr:rowOff>
    </xdr:from>
    <xdr:to>
      <xdr:col>2</xdr:col>
      <xdr:colOff>1554568</xdr:colOff>
      <xdr:row>3</xdr:row>
      <xdr:rowOff>421821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072" y="367393"/>
          <a:ext cx="3976639" cy="1673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353786</xdr:colOff>
      <xdr:row>79</xdr:row>
      <xdr:rowOff>81643</xdr:rowOff>
    </xdr:from>
    <xdr:ext cx="3428999" cy="1443189"/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786" y="25309286"/>
          <a:ext cx="3428999" cy="1443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1814945</xdr:colOff>
      <xdr:row>0</xdr:row>
      <xdr:rowOff>0</xdr:rowOff>
    </xdr:from>
    <xdr:to>
      <xdr:col>3</xdr:col>
      <xdr:colOff>360218</xdr:colOff>
      <xdr:row>2</xdr:row>
      <xdr:rowOff>231541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945" y="0"/>
          <a:ext cx="2729346" cy="1159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76200</xdr:rowOff>
    </xdr:from>
    <xdr:to>
      <xdr:col>3</xdr:col>
      <xdr:colOff>131646</xdr:colOff>
      <xdr:row>2</xdr:row>
      <xdr:rowOff>304800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76200"/>
          <a:ext cx="3541596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107951</xdr:colOff>
      <xdr:row>0</xdr:row>
      <xdr:rowOff>107951</xdr:rowOff>
    </xdr:from>
    <xdr:to>
      <xdr:col>2</xdr:col>
      <xdr:colOff>833855</xdr:colOff>
      <xdr:row>3</xdr:row>
      <xdr:rowOff>6351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951" y="107951"/>
          <a:ext cx="1856204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8523</xdr:colOff>
      <xdr:row>8</xdr:row>
      <xdr:rowOff>199524</xdr:rowOff>
    </xdr:from>
    <xdr:to>
      <xdr:col>21</xdr:col>
      <xdr:colOff>189498</xdr:colOff>
      <xdr:row>8</xdr:row>
      <xdr:rowOff>199524</xdr:rowOff>
    </xdr:to>
    <xdr:sp macro="" textlink="">
      <xdr:nvSpPr>
        <xdr:cNvPr id="2" name="Line 492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ShapeType="1"/>
        </xdr:cNvSpPr>
      </xdr:nvSpPr>
      <xdr:spPr bwMode="auto">
        <a:xfrm rot="5400000">
          <a:off x="4981526" y="2002606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23</xdr:col>
      <xdr:colOff>48126</xdr:colOff>
      <xdr:row>8</xdr:row>
      <xdr:rowOff>199524</xdr:rowOff>
    </xdr:from>
    <xdr:to>
      <xdr:col>24</xdr:col>
      <xdr:colOff>229101</xdr:colOff>
      <xdr:row>8</xdr:row>
      <xdr:rowOff>199524</xdr:rowOff>
    </xdr:to>
    <xdr:sp macro="" textlink="">
      <xdr:nvSpPr>
        <xdr:cNvPr id="3" name="Line 49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ShapeType="1"/>
        </xdr:cNvSpPr>
      </xdr:nvSpPr>
      <xdr:spPr bwMode="auto">
        <a:xfrm rot="5400000">
          <a:off x="5735504" y="2002606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26</xdr:col>
      <xdr:colOff>28575</xdr:colOff>
      <xdr:row>8</xdr:row>
      <xdr:rowOff>219075</xdr:rowOff>
    </xdr:from>
    <xdr:to>
      <xdr:col>27</xdr:col>
      <xdr:colOff>209550</xdr:colOff>
      <xdr:row>8</xdr:row>
      <xdr:rowOff>219075</xdr:rowOff>
    </xdr:to>
    <xdr:sp macro="" textlink="">
      <xdr:nvSpPr>
        <xdr:cNvPr id="4" name="Line 505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 noChangeShapeType="1"/>
        </xdr:cNvSpPr>
      </xdr:nvSpPr>
      <xdr:spPr bwMode="auto">
        <a:xfrm rot="5400000">
          <a:off x="6426518" y="2018347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48126</xdr:colOff>
      <xdr:row>8</xdr:row>
      <xdr:rowOff>199524</xdr:rowOff>
    </xdr:from>
    <xdr:to>
      <xdr:col>30</xdr:col>
      <xdr:colOff>229101</xdr:colOff>
      <xdr:row>8</xdr:row>
      <xdr:rowOff>199524</xdr:rowOff>
    </xdr:to>
    <xdr:sp macro="" textlink="">
      <xdr:nvSpPr>
        <xdr:cNvPr id="5" name="Line 506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 noChangeShapeType="1"/>
        </xdr:cNvSpPr>
      </xdr:nvSpPr>
      <xdr:spPr bwMode="auto">
        <a:xfrm rot="5400000">
          <a:off x="7164254" y="2002606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26</xdr:col>
      <xdr:colOff>17145</xdr:colOff>
      <xdr:row>10</xdr:row>
      <xdr:rowOff>206574</xdr:rowOff>
    </xdr:from>
    <xdr:to>
      <xdr:col>27</xdr:col>
      <xdr:colOff>172641</xdr:colOff>
      <xdr:row>10</xdr:row>
      <xdr:rowOff>206574</xdr:rowOff>
    </xdr:to>
    <xdr:sp macro="" textlink="">
      <xdr:nvSpPr>
        <xdr:cNvPr id="6" name="Line 507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>
          <a:spLocks noChangeShapeType="1"/>
        </xdr:cNvSpPr>
      </xdr:nvSpPr>
      <xdr:spPr bwMode="auto">
        <a:xfrm rot="5400000">
          <a:off x="6405206" y="2465308"/>
          <a:ext cx="0" cy="38600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26</xdr:col>
      <xdr:colOff>23964</xdr:colOff>
      <xdr:row>9</xdr:row>
      <xdr:rowOff>15241</xdr:rowOff>
    </xdr:from>
    <xdr:to>
      <xdr:col>26</xdr:col>
      <xdr:colOff>23964</xdr:colOff>
      <xdr:row>11</xdr:row>
      <xdr:rowOff>1732</xdr:rowOff>
    </xdr:to>
    <xdr:sp macro="" textlink="">
      <xdr:nvSpPr>
        <xdr:cNvPr id="7" name="Line 510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>
          <a:spLocks noChangeShapeType="1"/>
        </xdr:cNvSpPr>
      </xdr:nvSpPr>
      <xdr:spPr bwMode="auto">
        <a:xfrm>
          <a:off x="6211404" y="2247901"/>
          <a:ext cx="0" cy="42083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30</xdr:col>
      <xdr:colOff>223123</xdr:colOff>
      <xdr:row>9</xdr:row>
      <xdr:rowOff>15240</xdr:rowOff>
    </xdr:from>
    <xdr:to>
      <xdr:col>30</xdr:col>
      <xdr:colOff>223123</xdr:colOff>
      <xdr:row>10</xdr:row>
      <xdr:rowOff>205740</xdr:rowOff>
    </xdr:to>
    <xdr:sp macro="" textlink="">
      <xdr:nvSpPr>
        <xdr:cNvPr id="8" name="Line 512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>
          <a:spLocks noChangeShapeType="1"/>
        </xdr:cNvSpPr>
      </xdr:nvSpPr>
      <xdr:spPr bwMode="auto">
        <a:xfrm>
          <a:off x="7364968" y="2247900"/>
          <a:ext cx="0" cy="40957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21</xdr:col>
      <xdr:colOff>221453</xdr:colOff>
      <xdr:row>8</xdr:row>
      <xdr:rowOff>210502</xdr:rowOff>
    </xdr:from>
    <xdr:to>
      <xdr:col>21</xdr:col>
      <xdr:colOff>221453</xdr:colOff>
      <xdr:row>11</xdr:row>
      <xdr:rowOff>15240</xdr:rowOff>
    </xdr:to>
    <xdr:sp macro="" textlink="">
      <xdr:nvSpPr>
        <xdr:cNvPr id="9" name="Line 513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>
          <a:spLocks noChangeShapeType="1"/>
        </xdr:cNvSpPr>
      </xdr:nvSpPr>
      <xdr:spPr bwMode="auto">
        <a:xfrm flipH="1">
          <a:off x="5220173" y="2216467"/>
          <a:ext cx="0" cy="469583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28</xdr:col>
      <xdr:colOff>225137</xdr:colOff>
      <xdr:row>9</xdr:row>
      <xdr:rowOff>22298</xdr:rowOff>
    </xdr:from>
    <xdr:to>
      <xdr:col>28</xdr:col>
      <xdr:colOff>228600</xdr:colOff>
      <xdr:row>10</xdr:row>
      <xdr:rowOff>181842</xdr:rowOff>
    </xdr:to>
    <xdr:sp macro="" textlink="">
      <xdr:nvSpPr>
        <xdr:cNvPr id="10" name="Line 514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>
          <a:spLocks noChangeShapeType="1"/>
        </xdr:cNvSpPr>
      </xdr:nvSpPr>
      <xdr:spPr bwMode="auto">
        <a:xfrm flipH="1">
          <a:off x="6892637" y="2247338"/>
          <a:ext cx="3463" cy="380524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19050</xdr:colOff>
      <xdr:row>9</xdr:row>
      <xdr:rowOff>19050</xdr:rowOff>
    </xdr:from>
    <xdr:to>
      <xdr:col>29</xdr:col>
      <xdr:colOff>19050</xdr:colOff>
      <xdr:row>10</xdr:row>
      <xdr:rowOff>209550</xdr:rowOff>
    </xdr:to>
    <xdr:sp macro="" textlink="">
      <xdr:nvSpPr>
        <xdr:cNvPr id="11" name="Line 515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>
          <a:spLocks noChangeShapeType="1"/>
        </xdr:cNvSpPr>
      </xdr:nvSpPr>
      <xdr:spPr bwMode="auto">
        <a:xfrm>
          <a:off x="6920865" y="2244090"/>
          <a:ext cx="0" cy="40957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20</xdr:col>
      <xdr:colOff>21604</xdr:colOff>
      <xdr:row>10</xdr:row>
      <xdr:rowOff>201606</xdr:rowOff>
    </xdr:from>
    <xdr:to>
      <xdr:col>21</xdr:col>
      <xdr:colOff>188724</xdr:colOff>
      <xdr:row>10</xdr:row>
      <xdr:rowOff>201606</xdr:rowOff>
    </xdr:to>
    <xdr:sp macro="" textlink="">
      <xdr:nvSpPr>
        <xdr:cNvPr id="12" name="Line 500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SpPr>
          <a:spLocks noChangeShapeType="1"/>
        </xdr:cNvSpPr>
      </xdr:nvSpPr>
      <xdr:spPr bwMode="auto">
        <a:xfrm rot="5400000">
          <a:off x="4984822" y="2446908"/>
          <a:ext cx="0" cy="40905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54366</xdr:colOff>
      <xdr:row>10</xdr:row>
      <xdr:rowOff>196454</xdr:rowOff>
    </xdr:from>
    <xdr:to>
      <xdr:col>24</xdr:col>
      <xdr:colOff>231531</xdr:colOff>
      <xdr:row>10</xdr:row>
      <xdr:rowOff>196454</xdr:rowOff>
    </xdr:to>
    <xdr:sp macro="" textlink="">
      <xdr:nvSpPr>
        <xdr:cNvPr id="13" name="Line 501">
          <a:extLst>
            <a:ext uri="{FF2B5EF4-FFF2-40B4-BE49-F238E27FC236}">
              <a16:creationId xmlns:a16="http://schemas.microsoft.com/office/drawing/2014/main" id="{00000000-0008-0000-1500-00000D000000}"/>
            </a:ext>
          </a:extLst>
        </xdr:cNvPr>
        <xdr:cNvSpPr>
          <a:spLocks noChangeShapeType="1"/>
        </xdr:cNvSpPr>
      </xdr:nvSpPr>
      <xdr:spPr bwMode="auto">
        <a:xfrm rot="5400000">
          <a:off x="5740791" y="2440544"/>
          <a:ext cx="0" cy="41148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14</xdr:col>
      <xdr:colOff>8792</xdr:colOff>
      <xdr:row>10</xdr:row>
      <xdr:rowOff>190500</xdr:rowOff>
    </xdr:from>
    <xdr:to>
      <xdr:col>15</xdr:col>
      <xdr:colOff>189767</xdr:colOff>
      <xdr:row>10</xdr:row>
      <xdr:rowOff>190500</xdr:rowOff>
    </xdr:to>
    <xdr:sp macro="" textlink="">
      <xdr:nvSpPr>
        <xdr:cNvPr id="14" name="Line 500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>
          <a:spLocks noChangeShapeType="1"/>
        </xdr:cNvSpPr>
      </xdr:nvSpPr>
      <xdr:spPr bwMode="auto">
        <a:xfrm rot="5400000">
          <a:off x="3553045" y="2429827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47625</xdr:colOff>
      <xdr:row>10</xdr:row>
      <xdr:rowOff>190500</xdr:rowOff>
    </xdr:from>
    <xdr:to>
      <xdr:col>18</xdr:col>
      <xdr:colOff>228600</xdr:colOff>
      <xdr:row>10</xdr:row>
      <xdr:rowOff>190500</xdr:rowOff>
    </xdr:to>
    <xdr:sp macro="" textlink="">
      <xdr:nvSpPr>
        <xdr:cNvPr id="15" name="Line 501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>
          <a:spLocks noChangeShapeType="1"/>
        </xdr:cNvSpPr>
      </xdr:nvSpPr>
      <xdr:spPr bwMode="auto">
        <a:xfrm rot="5400000">
          <a:off x="4306253" y="2429827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88</xdr:row>
      <xdr:rowOff>114300</xdr:rowOff>
    </xdr:from>
    <xdr:to>
      <xdr:col>36</xdr:col>
      <xdr:colOff>207168</xdr:colOff>
      <xdr:row>88</xdr:row>
      <xdr:rowOff>114300</xdr:rowOff>
    </xdr:to>
    <xdr:sp macro="" textlink="">
      <xdr:nvSpPr>
        <xdr:cNvPr id="16" name="Line 746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>
          <a:spLocks noChangeShapeType="1"/>
        </xdr:cNvSpPr>
      </xdr:nvSpPr>
      <xdr:spPr bwMode="auto">
        <a:xfrm rot="5400000">
          <a:off x="8645366" y="10748962"/>
          <a:ext cx="0" cy="27622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89</xdr:row>
      <xdr:rowOff>114300</xdr:rowOff>
    </xdr:from>
    <xdr:to>
      <xdr:col>36</xdr:col>
      <xdr:colOff>207168</xdr:colOff>
      <xdr:row>89</xdr:row>
      <xdr:rowOff>114300</xdr:rowOff>
    </xdr:to>
    <xdr:sp macro="" textlink="">
      <xdr:nvSpPr>
        <xdr:cNvPr id="17" name="Line 747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SpPr>
          <a:spLocks noChangeShapeType="1"/>
        </xdr:cNvSpPr>
      </xdr:nvSpPr>
      <xdr:spPr bwMode="auto">
        <a:xfrm rot="5400000">
          <a:off x="8645366" y="10968037"/>
          <a:ext cx="0" cy="27622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92</xdr:row>
      <xdr:rowOff>133350</xdr:rowOff>
    </xdr:from>
    <xdr:to>
      <xdr:col>36</xdr:col>
      <xdr:colOff>207168</xdr:colOff>
      <xdr:row>92</xdr:row>
      <xdr:rowOff>133350</xdr:rowOff>
    </xdr:to>
    <xdr:sp macro="" textlink="">
      <xdr:nvSpPr>
        <xdr:cNvPr id="18" name="Line 748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SpPr>
          <a:spLocks noChangeShapeType="1"/>
        </xdr:cNvSpPr>
      </xdr:nvSpPr>
      <xdr:spPr bwMode="auto">
        <a:xfrm rot="5400000">
          <a:off x="8645366" y="11640502"/>
          <a:ext cx="0" cy="27622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93</xdr:row>
      <xdr:rowOff>114300</xdr:rowOff>
    </xdr:from>
    <xdr:to>
      <xdr:col>36</xdr:col>
      <xdr:colOff>207168</xdr:colOff>
      <xdr:row>93</xdr:row>
      <xdr:rowOff>114300</xdr:rowOff>
    </xdr:to>
    <xdr:sp macro="" textlink="">
      <xdr:nvSpPr>
        <xdr:cNvPr id="19" name="Line 749"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>
          <a:spLocks noChangeShapeType="1"/>
        </xdr:cNvSpPr>
      </xdr:nvSpPr>
      <xdr:spPr bwMode="auto">
        <a:xfrm rot="5400000">
          <a:off x="8645366" y="11844337"/>
          <a:ext cx="0" cy="27622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94</xdr:row>
      <xdr:rowOff>123827</xdr:rowOff>
    </xdr:from>
    <xdr:to>
      <xdr:col>36</xdr:col>
      <xdr:colOff>207168</xdr:colOff>
      <xdr:row>94</xdr:row>
      <xdr:rowOff>123827</xdr:rowOff>
    </xdr:to>
    <xdr:sp macro="" textlink="">
      <xdr:nvSpPr>
        <xdr:cNvPr id="20" name="Line 640"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>
          <a:spLocks noChangeShapeType="1"/>
        </xdr:cNvSpPr>
      </xdr:nvSpPr>
      <xdr:spPr bwMode="auto">
        <a:xfrm rot="5400000">
          <a:off x="8645366" y="12074844"/>
          <a:ext cx="0" cy="276225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35</xdr:col>
      <xdr:colOff>183356</xdr:colOff>
      <xdr:row>95</xdr:row>
      <xdr:rowOff>116672</xdr:rowOff>
    </xdr:from>
    <xdr:to>
      <xdr:col>36</xdr:col>
      <xdr:colOff>207168</xdr:colOff>
      <xdr:row>95</xdr:row>
      <xdr:rowOff>116672</xdr:rowOff>
    </xdr:to>
    <xdr:sp macro="" textlink="">
      <xdr:nvSpPr>
        <xdr:cNvPr id="21" name="Line 640"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SpPr>
          <a:spLocks noChangeShapeType="1"/>
        </xdr:cNvSpPr>
      </xdr:nvSpPr>
      <xdr:spPr bwMode="auto">
        <a:xfrm rot="5400000">
          <a:off x="8649652" y="12289146"/>
          <a:ext cx="0" cy="26765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23</xdr:col>
      <xdr:colOff>11433</xdr:colOff>
      <xdr:row>8</xdr:row>
      <xdr:rowOff>216019</xdr:rowOff>
    </xdr:from>
    <xdr:to>
      <xdr:col>23</xdr:col>
      <xdr:colOff>11433</xdr:colOff>
      <xdr:row>11</xdr:row>
      <xdr:rowOff>10683</xdr:rowOff>
    </xdr:to>
    <xdr:sp macro="" textlink="">
      <xdr:nvSpPr>
        <xdr:cNvPr id="22" name="Line 513">
          <a:extLst>
            <a:ext uri="{FF2B5EF4-FFF2-40B4-BE49-F238E27FC236}">
              <a16:creationId xmlns:a16="http://schemas.microsoft.com/office/drawing/2014/main" id="{00000000-0008-0000-1500-000016000000}"/>
            </a:ext>
          </a:extLst>
        </xdr:cNvPr>
        <xdr:cNvSpPr>
          <a:spLocks noChangeShapeType="1"/>
        </xdr:cNvSpPr>
      </xdr:nvSpPr>
      <xdr:spPr bwMode="auto">
        <a:xfrm>
          <a:off x="5492118" y="2221984"/>
          <a:ext cx="0" cy="457604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27</xdr:col>
      <xdr:colOff>224703</xdr:colOff>
      <xdr:row>9</xdr:row>
      <xdr:rowOff>22298</xdr:rowOff>
    </xdr:from>
    <xdr:to>
      <xdr:col>27</xdr:col>
      <xdr:colOff>224703</xdr:colOff>
      <xdr:row>11</xdr:row>
      <xdr:rowOff>1</xdr:rowOff>
    </xdr:to>
    <xdr:sp macro="" textlink="">
      <xdr:nvSpPr>
        <xdr:cNvPr id="23" name="Line 514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>
          <a:spLocks noChangeShapeType="1"/>
        </xdr:cNvSpPr>
      </xdr:nvSpPr>
      <xdr:spPr bwMode="auto">
        <a:xfrm>
          <a:off x="6652173" y="2247338"/>
          <a:ext cx="0" cy="419663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28</xdr:col>
      <xdr:colOff>15153</xdr:colOff>
      <xdr:row>9</xdr:row>
      <xdr:rowOff>19050</xdr:rowOff>
    </xdr:from>
    <xdr:to>
      <xdr:col>28</xdr:col>
      <xdr:colOff>15153</xdr:colOff>
      <xdr:row>11</xdr:row>
      <xdr:rowOff>1732</xdr:rowOff>
    </xdr:to>
    <xdr:sp macro="" textlink="">
      <xdr:nvSpPr>
        <xdr:cNvPr id="24" name="Line 515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>
          <a:spLocks noChangeShapeType="1"/>
        </xdr:cNvSpPr>
      </xdr:nvSpPr>
      <xdr:spPr bwMode="auto">
        <a:xfrm>
          <a:off x="6686463" y="2244090"/>
          <a:ext cx="0" cy="42464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15</xdr:col>
      <xdr:colOff>214314</xdr:colOff>
      <xdr:row>10</xdr:row>
      <xdr:rowOff>188122</xdr:rowOff>
    </xdr:from>
    <xdr:to>
      <xdr:col>17</xdr:col>
      <xdr:colOff>14289</xdr:colOff>
      <xdr:row>10</xdr:row>
      <xdr:rowOff>188122</xdr:rowOff>
    </xdr:to>
    <xdr:sp macro="" textlink="">
      <xdr:nvSpPr>
        <xdr:cNvPr id="25" name="Line 749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>
          <a:spLocks noChangeShapeType="1"/>
        </xdr:cNvSpPr>
      </xdr:nvSpPr>
      <xdr:spPr bwMode="auto">
        <a:xfrm rot="5400000">
          <a:off x="3924302" y="2494124"/>
          <a:ext cx="0" cy="28384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22</xdr:col>
      <xdr:colOff>1433</xdr:colOff>
      <xdr:row>10</xdr:row>
      <xdr:rowOff>197648</xdr:rowOff>
    </xdr:from>
    <xdr:to>
      <xdr:col>23</xdr:col>
      <xdr:colOff>11906</xdr:colOff>
      <xdr:row>10</xdr:row>
      <xdr:rowOff>197648</xdr:rowOff>
    </xdr:to>
    <xdr:sp macro="" textlink="">
      <xdr:nvSpPr>
        <xdr:cNvPr id="26" name="Line 749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>
          <a:spLocks noChangeShapeType="1"/>
        </xdr:cNvSpPr>
      </xdr:nvSpPr>
      <xdr:spPr bwMode="auto">
        <a:xfrm rot="5400000">
          <a:off x="5366387" y="2521274"/>
          <a:ext cx="0" cy="252408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27</xdr:col>
      <xdr:colOff>197647</xdr:colOff>
      <xdr:row>10</xdr:row>
      <xdr:rowOff>195268</xdr:rowOff>
    </xdr:from>
    <xdr:to>
      <xdr:col>28</xdr:col>
      <xdr:colOff>235747</xdr:colOff>
      <xdr:row>10</xdr:row>
      <xdr:rowOff>195268</xdr:rowOff>
    </xdr:to>
    <xdr:sp macro="" textlink="">
      <xdr:nvSpPr>
        <xdr:cNvPr id="27" name="Line 749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>
          <a:spLocks noChangeShapeType="1"/>
        </xdr:cNvSpPr>
      </xdr:nvSpPr>
      <xdr:spPr bwMode="auto">
        <a:xfrm rot="5400000">
          <a:off x="6767040" y="2506985"/>
          <a:ext cx="0" cy="27622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21</xdr:col>
      <xdr:colOff>233365</xdr:colOff>
      <xdr:row>8</xdr:row>
      <xdr:rowOff>195266</xdr:rowOff>
    </xdr:from>
    <xdr:to>
      <xdr:col>23</xdr:col>
      <xdr:colOff>33340</xdr:colOff>
      <xdr:row>8</xdr:row>
      <xdr:rowOff>195266</xdr:rowOff>
    </xdr:to>
    <xdr:sp macro="" textlink="">
      <xdr:nvSpPr>
        <xdr:cNvPr id="28" name="Line 749">
          <a:extLst>
            <a:ext uri="{FF2B5EF4-FFF2-40B4-BE49-F238E27FC236}">
              <a16:creationId xmlns:a16="http://schemas.microsoft.com/office/drawing/2014/main" id="{00000000-0008-0000-1500-00001C000000}"/>
            </a:ext>
          </a:extLst>
        </xdr:cNvPr>
        <xdr:cNvSpPr>
          <a:spLocks noChangeShapeType="1"/>
        </xdr:cNvSpPr>
      </xdr:nvSpPr>
      <xdr:spPr bwMode="auto">
        <a:xfrm rot="5400000">
          <a:off x="5372103" y="2070738"/>
          <a:ext cx="0" cy="27241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27</xdr:col>
      <xdr:colOff>228604</xdr:colOff>
      <xdr:row>8</xdr:row>
      <xdr:rowOff>204316</xdr:rowOff>
    </xdr:from>
    <xdr:to>
      <xdr:col>29</xdr:col>
      <xdr:colOff>24769</xdr:colOff>
      <xdr:row>8</xdr:row>
      <xdr:rowOff>204316</xdr:rowOff>
    </xdr:to>
    <xdr:sp macro="" textlink="">
      <xdr:nvSpPr>
        <xdr:cNvPr id="29" name="Line 749">
          <a:extLst>
            <a:ext uri="{FF2B5EF4-FFF2-40B4-BE49-F238E27FC236}">
              <a16:creationId xmlns:a16="http://schemas.microsoft.com/office/drawing/2014/main" id="{00000000-0008-0000-1500-00001D000000}"/>
            </a:ext>
          </a:extLst>
        </xdr:cNvPr>
        <xdr:cNvSpPr>
          <a:spLocks noChangeShapeType="1"/>
        </xdr:cNvSpPr>
      </xdr:nvSpPr>
      <xdr:spPr bwMode="auto">
        <a:xfrm rot="5400000">
          <a:off x="6792282" y="2083598"/>
          <a:ext cx="0" cy="26860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33</xdr:col>
      <xdr:colOff>215634</xdr:colOff>
      <xdr:row>84</xdr:row>
      <xdr:rowOff>46300</xdr:rowOff>
    </xdr:from>
    <xdr:to>
      <xdr:col>33</xdr:col>
      <xdr:colOff>216822</xdr:colOff>
      <xdr:row>85</xdr:row>
      <xdr:rowOff>198700</xdr:rowOff>
    </xdr:to>
    <xdr:sp macro="" textlink="">
      <xdr:nvSpPr>
        <xdr:cNvPr id="30" name="Line 640">
          <a:extLst>
            <a:ext uri="{FF2B5EF4-FFF2-40B4-BE49-F238E27FC236}">
              <a16:creationId xmlns:a16="http://schemas.microsoft.com/office/drawing/2014/main" id="{00000000-0008-0000-1500-00001E000000}"/>
            </a:ext>
          </a:extLst>
        </xdr:cNvPr>
        <xdr:cNvSpPr>
          <a:spLocks noChangeShapeType="1"/>
        </xdr:cNvSpPr>
      </xdr:nvSpPr>
      <xdr:spPr bwMode="auto">
        <a:xfrm rot="5400000">
          <a:off x="7884805" y="10129824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33</xdr:col>
      <xdr:colOff>216932</xdr:colOff>
      <xdr:row>9</xdr:row>
      <xdr:rowOff>15240</xdr:rowOff>
    </xdr:from>
    <xdr:to>
      <xdr:col>33</xdr:col>
      <xdr:colOff>216932</xdr:colOff>
      <xdr:row>10</xdr:row>
      <xdr:rowOff>205740</xdr:rowOff>
    </xdr:to>
    <xdr:sp macro="" textlink="">
      <xdr:nvSpPr>
        <xdr:cNvPr id="31" name="Line 70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>
          <a:spLocks noChangeShapeType="1"/>
        </xdr:cNvSpPr>
      </xdr:nvSpPr>
      <xdr:spPr bwMode="auto">
        <a:xfrm>
          <a:off x="8071247" y="2247900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32</xdr:col>
      <xdr:colOff>28575</xdr:colOff>
      <xdr:row>6</xdr:row>
      <xdr:rowOff>219075</xdr:rowOff>
    </xdr:from>
    <xdr:to>
      <xdr:col>33</xdr:col>
      <xdr:colOff>209550</xdr:colOff>
      <xdr:row>6</xdr:row>
      <xdr:rowOff>219075</xdr:rowOff>
    </xdr:to>
    <xdr:sp macro="" textlink="">
      <xdr:nvSpPr>
        <xdr:cNvPr id="32" name="Line 77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>
          <a:spLocks noChangeShapeType="1"/>
        </xdr:cNvSpPr>
      </xdr:nvSpPr>
      <xdr:spPr bwMode="auto">
        <a:xfrm rot="5400000">
          <a:off x="7855268" y="1580197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28575</xdr:colOff>
      <xdr:row>6</xdr:row>
      <xdr:rowOff>219075</xdr:rowOff>
    </xdr:from>
    <xdr:to>
      <xdr:col>36</xdr:col>
      <xdr:colOff>209550</xdr:colOff>
      <xdr:row>6</xdr:row>
      <xdr:rowOff>219075</xdr:rowOff>
    </xdr:to>
    <xdr:sp macro="" textlink="">
      <xdr:nvSpPr>
        <xdr:cNvPr id="33" name="Line 79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>
          <a:spLocks noChangeShapeType="1"/>
        </xdr:cNvSpPr>
      </xdr:nvSpPr>
      <xdr:spPr bwMode="auto">
        <a:xfrm rot="5400000">
          <a:off x="8569643" y="1580197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33</xdr:col>
      <xdr:colOff>228600</xdr:colOff>
      <xdr:row>7</xdr:row>
      <xdr:rowOff>19050</xdr:rowOff>
    </xdr:from>
    <xdr:to>
      <xdr:col>33</xdr:col>
      <xdr:colOff>228600</xdr:colOff>
      <xdr:row>8</xdr:row>
      <xdr:rowOff>209550</xdr:rowOff>
    </xdr:to>
    <xdr:sp macro="" textlink="">
      <xdr:nvSpPr>
        <xdr:cNvPr id="34" name="Line 82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>
          <a:spLocks noChangeShapeType="1"/>
        </xdr:cNvSpPr>
      </xdr:nvSpPr>
      <xdr:spPr bwMode="auto">
        <a:xfrm>
          <a:off x="8086725" y="1805940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34</xdr:col>
      <xdr:colOff>228600</xdr:colOff>
      <xdr:row>7</xdr:row>
      <xdr:rowOff>19050</xdr:rowOff>
    </xdr:from>
    <xdr:to>
      <xdr:col>34</xdr:col>
      <xdr:colOff>228600</xdr:colOff>
      <xdr:row>8</xdr:row>
      <xdr:rowOff>209550</xdr:rowOff>
    </xdr:to>
    <xdr:sp macro="" textlink="">
      <xdr:nvSpPr>
        <xdr:cNvPr id="35" name="Line 85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>
          <a:spLocks noChangeShapeType="1"/>
        </xdr:cNvSpPr>
      </xdr:nvSpPr>
      <xdr:spPr bwMode="auto">
        <a:xfrm>
          <a:off x="8324850" y="1805940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32</xdr:col>
      <xdr:colOff>28575</xdr:colOff>
      <xdr:row>8</xdr:row>
      <xdr:rowOff>219075</xdr:rowOff>
    </xdr:from>
    <xdr:to>
      <xdr:col>33</xdr:col>
      <xdr:colOff>209550</xdr:colOff>
      <xdr:row>8</xdr:row>
      <xdr:rowOff>219075</xdr:rowOff>
    </xdr:to>
    <xdr:sp macro="" textlink="">
      <xdr:nvSpPr>
        <xdr:cNvPr id="36" name="Line 64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>
          <a:spLocks noChangeShapeType="1"/>
        </xdr:cNvSpPr>
      </xdr:nvSpPr>
      <xdr:spPr bwMode="auto">
        <a:xfrm rot="5400000">
          <a:off x="7855268" y="2018347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28575</xdr:colOff>
      <xdr:row>8</xdr:row>
      <xdr:rowOff>219075</xdr:rowOff>
    </xdr:from>
    <xdr:to>
      <xdr:col>36</xdr:col>
      <xdr:colOff>209550</xdr:colOff>
      <xdr:row>8</xdr:row>
      <xdr:rowOff>219075</xdr:rowOff>
    </xdr:to>
    <xdr:sp macro="" textlink="">
      <xdr:nvSpPr>
        <xdr:cNvPr id="37" name="Line 94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>
          <a:spLocks noChangeShapeType="1"/>
        </xdr:cNvSpPr>
      </xdr:nvSpPr>
      <xdr:spPr bwMode="auto">
        <a:xfrm rot="5400000">
          <a:off x="8569643" y="2018347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34</xdr:col>
      <xdr:colOff>228600</xdr:colOff>
      <xdr:row>9</xdr:row>
      <xdr:rowOff>19050</xdr:rowOff>
    </xdr:from>
    <xdr:to>
      <xdr:col>34</xdr:col>
      <xdr:colOff>228600</xdr:colOff>
      <xdr:row>10</xdr:row>
      <xdr:rowOff>209550</xdr:rowOff>
    </xdr:to>
    <xdr:sp macro="" textlink="">
      <xdr:nvSpPr>
        <xdr:cNvPr id="38" name="Line 101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SpPr>
          <a:spLocks noChangeShapeType="1"/>
        </xdr:cNvSpPr>
      </xdr:nvSpPr>
      <xdr:spPr bwMode="auto">
        <a:xfrm>
          <a:off x="8324850" y="2244090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39</xdr:col>
      <xdr:colOff>219808</xdr:colOff>
      <xdr:row>9</xdr:row>
      <xdr:rowOff>19050</xdr:rowOff>
    </xdr:from>
    <xdr:to>
      <xdr:col>39</xdr:col>
      <xdr:colOff>219808</xdr:colOff>
      <xdr:row>10</xdr:row>
      <xdr:rowOff>209550</xdr:rowOff>
    </xdr:to>
    <xdr:sp macro="" textlink="">
      <xdr:nvSpPr>
        <xdr:cNvPr id="39" name="Line 10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>
          <a:spLocks noChangeShapeType="1"/>
        </xdr:cNvSpPr>
      </xdr:nvSpPr>
      <xdr:spPr bwMode="auto">
        <a:xfrm>
          <a:off x="9504778" y="2244090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39</xdr:col>
      <xdr:colOff>219117</xdr:colOff>
      <xdr:row>7</xdr:row>
      <xdr:rowOff>907</xdr:rowOff>
    </xdr:from>
    <xdr:to>
      <xdr:col>39</xdr:col>
      <xdr:colOff>219117</xdr:colOff>
      <xdr:row>8</xdr:row>
      <xdr:rowOff>204932</xdr:rowOff>
    </xdr:to>
    <xdr:sp macro="" textlink="">
      <xdr:nvSpPr>
        <xdr:cNvPr id="40" name="Line 118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>
          <a:spLocks noChangeShapeType="1"/>
        </xdr:cNvSpPr>
      </xdr:nvSpPr>
      <xdr:spPr bwMode="auto">
        <a:xfrm>
          <a:off x="9504087" y="1791607"/>
          <a:ext cx="0" cy="42691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5030</xdr:colOff>
      <xdr:row>7</xdr:row>
      <xdr:rowOff>19050</xdr:rowOff>
    </xdr:from>
    <xdr:to>
      <xdr:col>41</xdr:col>
      <xdr:colOff>5030</xdr:colOff>
      <xdr:row>9</xdr:row>
      <xdr:rowOff>1732</xdr:rowOff>
    </xdr:to>
    <xdr:sp macro="" textlink="">
      <xdr:nvSpPr>
        <xdr:cNvPr id="41" name="Line 121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>
          <a:spLocks noChangeShapeType="1"/>
        </xdr:cNvSpPr>
      </xdr:nvSpPr>
      <xdr:spPr bwMode="auto">
        <a:xfrm>
          <a:off x="9789110" y="1805940"/>
          <a:ext cx="0" cy="42464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28575</xdr:colOff>
      <xdr:row>8</xdr:row>
      <xdr:rowOff>219075</xdr:rowOff>
    </xdr:from>
    <xdr:to>
      <xdr:col>39</xdr:col>
      <xdr:colOff>209550</xdr:colOff>
      <xdr:row>8</xdr:row>
      <xdr:rowOff>219075</xdr:rowOff>
    </xdr:to>
    <xdr:sp macro="" textlink="">
      <xdr:nvSpPr>
        <xdr:cNvPr id="42" name="Line 124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SpPr>
          <a:spLocks noChangeShapeType="1"/>
        </xdr:cNvSpPr>
      </xdr:nvSpPr>
      <xdr:spPr bwMode="auto">
        <a:xfrm rot="5400000">
          <a:off x="9279255" y="2013585"/>
          <a:ext cx="0" cy="4267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11904</xdr:colOff>
      <xdr:row>8</xdr:row>
      <xdr:rowOff>219473</xdr:rowOff>
    </xdr:from>
    <xdr:to>
      <xdr:col>43</xdr:col>
      <xdr:colOff>21771</xdr:colOff>
      <xdr:row>8</xdr:row>
      <xdr:rowOff>221342</xdr:rowOff>
    </xdr:to>
    <xdr:sp macro="" textlink="">
      <xdr:nvSpPr>
        <xdr:cNvPr id="43" name="Line 127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>
          <a:spLocks noChangeShapeType="1"/>
        </xdr:cNvSpPr>
      </xdr:nvSpPr>
      <xdr:spPr bwMode="auto">
        <a:xfrm rot="5400000" flipH="1">
          <a:off x="10040965" y="1984267"/>
          <a:ext cx="1869" cy="48802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0</xdr:colOff>
      <xdr:row>7</xdr:row>
      <xdr:rowOff>0</xdr:rowOff>
    </xdr:from>
    <xdr:to>
      <xdr:col>38</xdr:col>
      <xdr:colOff>0</xdr:colOff>
      <xdr:row>7</xdr:row>
      <xdr:rowOff>19050</xdr:rowOff>
    </xdr:to>
    <xdr:grpSp>
      <xdr:nvGrpSpPr>
        <xdr:cNvPr id="44" name="Group 234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GrpSpPr>
          <a:grpSpLocks/>
        </xdr:cNvGrpSpPr>
      </xdr:nvGrpSpPr>
      <xdr:grpSpPr bwMode="auto">
        <a:xfrm>
          <a:off x="9040813" y="1476375"/>
          <a:ext cx="0" cy="19050"/>
          <a:chOff x="403" y="448"/>
          <a:chExt cx="44" cy="4"/>
        </a:xfrm>
      </xdr:grpSpPr>
      <xdr:sp macro="" textlink="">
        <xdr:nvSpPr>
          <xdr:cNvPr id="45" name="Line 130">
            <a:extLst>
              <a:ext uri="{FF2B5EF4-FFF2-40B4-BE49-F238E27FC236}">
                <a16:creationId xmlns:a16="http://schemas.microsoft.com/office/drawing/2014/main" id="{00000000-0008-0000-1500-00002D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26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46" name="Line 131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30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41</xdr:col>
      <xdr:colOff>5861</xdr:colOff>
      <xdr:row>9</xdr:row>
      <xdr:rowOff>19050</xdr:rowOff>
    </xdr:from>
    <xdr:to>
      <xdr:col>41</xdr:col>
      <xdr:colOff>5861</xdr:colOff>
      <xdr:row>10</xdr:row>
      <xdr:rowOff>209550</xdr:rowOff>
    </xdr:to>
    <xdr:sp macro="" textlink="">
      <xdr:nvSpPr>
        <xdr:cNvPr id="47" name="Line 137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>
          <a:spLocks noChangeShapeType="1"/>
        </xdr:cNvSpPr>
      </xdr:nvSpPr>
      <xdr:spPr bwMode="auto">
        <a:xfrm>
          <a:off x="9789941" y="2244090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10432</xdr:colOff>
      <xdr:row>6</xdr:row>
      <xdr:rowOff>202899</xdr:rowOff>
    </xdr:from>
    <xdr:to>
      <xdr:col>39</xdr:col>
      <xdr:colOff>191407</xdr:colOff>
      <xdr:row>6</xdr:row>
      <xdr:rowOff>202899</xdr:rowOff>
    </xdr:to>
    <xdr:sp macro="" textlink="">
      <xdr:nvSpPr>
        <xdr:cNvPr id="48" name="Line 140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>
          <a:spLocks noChangeShapeType="1"/>
        </xdr:cNvSpPr>
      </xdr:nvSpPr>
      <xdr:spPr bwMode="auto">
        <a:xfrm rot="5400000">
          <a:off x="9264922" y="1564974"/>
          <a:ext cx="0" cy="4267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0</xdr:colOff>
      <xdr:row>5</xdr:row>
      <xdr:rowOff>0</xdr:rowOff>
    </xdr:from>
    <xdr:to>
      <xdr:col>38</xdr:col>
      <xdr:colOff>0</xdr:colOff>
      <xdr:row>5</xdr:row>
      <xdr:rowOff>19050</xdr:rowOff>
    </xdr:to>
    <xdr:grpSp>
      <xdr:nvGrpSpPr>
        <xdr:cNvPr id="49" name="Group 656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GrpSpPr>
          <a:grpSpLocks/>
        </xdr:cNvGrpSpPr>
      </xdr:nvGrpSpPr>
      <xdr:grpSpPr bwMode="auto">
        <a:xfrm>
          <a:off x="9040813" y="1095375"/>
          <a:ext cx="0" cy="19050"/>
          <a:chOff x="353" y="423"/>
          <a:chExt cx="44" cy="4"/>
        </a:xfrm>
      </xdr:grpSpPr>
      <xdr:sp macro="" textlink="">
        <xdr:nvSpPr>
          <xdr:cNvPr id="50" name="Line 143">
            <a:extLst>
              <a:ext uri="{FF2B5EF4-FFF2-40B4-BE49-F238E27FC236}">
                <a16:creationId xmlns:a16="http://schemas.microsoft.com/office/drawing/2014/main" id="{00000000-0008-0000-1500-000032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51" name="Line 144">
            <a:extLst>
              <a:ext uri="{FF2B5EF4-FFF2-40B4-BE49-F238E27FC236}">
                <a16:creationId xmlns:a16="http://schemas.microsoft.com/office/drawing/2014/main" id="{00000000-0008-0000-1500-000033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5</xdr:row>
      <xdr:rowOff>0</xdr:rowOff>
    </xdr:from>
    <xdr:to>
      <xdr:col>38</xdr:col>
      <xdr:colOff>0</xdr:colOff>
      <xdr:row>5</xdr:row>
      <xdr:rowOff>19050</xdr:rowOff>
    </xdr:to>
    <xdr:grpSp>
      <xdr:nvGrpSpPr>
        <xdr:cNvPr id="52" name="Group 655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GrpSpPr>
          <a:grpSpLocks/>
        </xdr:cNvGrpSpPr>
      </xdr:nvGrpSpPr>
      <xdr:grpSpPr bwMode="auto">
        <a:xfrm>
          <a:off x="9040813" y="1095375"/>
          <a:ext cx="0" cy="19050"/>
          <a:chOff x="403" y="423"/>
          <a:chExt cx="44" cy="4"/>
        </a:xfrm>
      </xdr:grpSpPr>
      <xdr:sp macro="" textlink="">
        <xdr:nvSpPr>
          <xdr:cNvPr id="53" name="Line 146">
            <a:extLst>
              <a:ext uri="{FF2B5EF4-FFF2-40B4-BE49-F238E27FC236}">
                <a16:creationId xmlns:a16="http://schemas.microsoft.com/office/drawing/2014/main" id="{00000000-0008-0000-1500-000035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54" name="Line 147">
            <a:extLst>
              <a:ext uri="{FF2B5EF4-FFF2-40B4-BE49-F238E27FC236}">
                <a16:creationId xmlns:a16="http://schemas.microsoft.com/office/drawing/2014/main" id="{00000000-0008-0000-1500-000036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39</xdr:col>
      <xdr:colOff>249884</xdr:colOff>
      <xdr:row>9</xdr:row>
      <xdr:rowOff>14096</xdr:rowOff>
    </xdr:from>
    <xdr:to>
      <xdr:col>39</xdr:col>
      <xdr:colOff>249884</xdr:colOff>
      <xdr:row>10</xdr:row>
      <xdr:rowOff>214854</xdr:rowOff>
    </xdr:to>
    <xdr:sp macro="" textlink="">
      <xdr:nvSpPr>
        <xdr:cNvPr id="55" name="Line 154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>
          <a:spLocks noChangeShapeType="1"/>
        </xdr:cNvSpPr>
      </xdr:nvSpPr>
      <xdr:spPr bwMode="auto">
        <a:xfrm>
          <a:off x="9532949" y="2246756"/>
          <a:ext cx="0" cy="412213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41</xdr:col>
      <xdr:colOff>33704</xdr:colOff>
      <xdr:row>8</xdr:row>
      <xdr:rowOff>210283</xdr:rowOff>
    </xdr:from>
    <xdr:to>
      <xdr:col>41</xdr:col>
      <xdr:colOff>33704</xdr:colOff>
      <xdr:row>10</xdr:row>
      <xdr:rowOff>191233</xdr:rowOff>
    </xdr:to>
    <xdr:sp macro="" textlink="">
      <xdr:nvSpPr>
        <xdr:cNvPr id="56" name="Line 154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>
          <a:spLocks noChangeShapeType="1"/>
        </xdr:cNvSpPr>
      </xdr:nvSpPr>
      <xdr:spPr bwMode="auto">
        <a:xfrm>
          <a:off x="9813974" y="2216248"/>
          <a:ext cx="0" cy="42291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32</xdr:col>
      <xdr:colOff>22513</xdr:colOff>
      <xdr:row>9</xdr:row>
      <xdr:rowOff>31173</xdr:rowOff>
    </xdr:from>
    <xdr:to>
      <xdr:col>32</xdr:col>
      <xdr:colOff>22513</xdr:colOff>
      <xdr:row>11</xdr:row>
      <xdr:rowOff>13854</xdr:rowOff>
    </xdr:to>
    <xdr:sp macro="" textlink="">
      <xdr:nvSpPr>
        <xdr:cNvPr id="57" name="Line 510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SpPr>
          <a:spLocks noChangeShapeType="1"/>
        </xdr:cNvSpPr>
      </xdr:nvSpPr>
      <xdr:spPr bwMode="auto">
        <a:xfrm>
          <a:off x="7638703" y="2258118"/>
          <a:ext cx="0" cy="42654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34</xdr:col>
      <xdr:colOff>10387</xdr:colOff>
      <xdr:row>9</xdr:row>
      <xdr:rowOff>27711</xdr:rowOff>
    </xdr:from>
    <xdr:to>
      <xdr:col>34</xdr:col>
      <xdr:colOff>10387</xdr:colOff>
      <xdr:row>11</xdr:row>
      <xdr:rowOff>10392</xdr:rowOff>
    </xdr:to>
    <xdr:sp macro="" textlink="">
      <xdr:nvSpPr>
        <xdr:cNvPr id="58" name="Line 510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SpPr>
          <a:spLocks noChangeShapeType="1"/>
        </xdr:cNvSpPr>
      </xdr:nvSpPr>
      <xdr:spPr bwMode="auto">
        <a:xfrm>
          <a:off x="8108542" y="2254656"/>
          <a:ext cx="0" cy="42464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15581</xdr:colOff>
      <xdr:row>9</xdr:row>
      <xdr:rowOff>16629</xdr:rowOff>
    </xdr:from>
    <xdr:to>
      <xdr:col>35</xdr:col>
      <xdr:colOff>15581</xdr:colOff>
      <xdr:row>11</xdr:row>
      <xdr:rowOff>10740</xdr:rowOff>
    </xdr:to>
    <xdr:sp macro="" textlink="">
      <xdr:nvSpPr>
        <xdr:cNvPr id="59" name="Line 510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SpPr>
          <a:spLocks noChangeShapeType="1"/>
        </xdr:cNvSpPr>
      </xdr:nvSpPr>
      <xdr:spPr bwMode="auto">
        <a:xfrm>
          <a:off x="8353766" y="2249289"/>
          <a:ext cx="0" cy="43035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36</xdr:col>
      <xdr:colOff>222728</xdr:colOff>
      <xdr:row>9</xdr:row>
      <xdr:rowOff>29446</xdr:rowOff>
    </xdr:from>
    <xdr:to>
      <xdr:col>36</xdr:col>
      <xdr:colOff>222728</xdr:colOff>
      <xdr:row>11</xdr:row>
      <xdr:rowOff>12127</xdr:rowOff>
    </xdr:to>
    <xdr:sp macro="" textlink="">
      <xdr:nvSpPr>
        <xdr:cNvPr id="60" name="Line 510">
          <a:extLst>
            <a:ext uri="{FF2B5EF4-FFF2-40B4-BE49-F238E27FC236}">
              <a16:creationId xmlns:a16="http://schemas.microsoft.com/office/drawing/2014/main" id="{00000000-0008-0000-1500-00003C000000}"/>
            </a:ext>
          </a:extLst>
        </xdr:cNvPr>
        <xdr:cNvSpPr>
          <a:spLocks noChangeShapeType="1"/>
        </xdr:cNvSpPr>
      </xdr:nvSpPr>
      <xdr:spPr bwMode="auto">
        <a:xfrm>
          <a:off x="8793323" y="2256391"/>
          <a:ext cx="0" cy="42654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  <xdr:txBody>
        <a:bodyPr/>
        <a:lstStyle/>
        <a:p>
          <a:endParaRPr lang="ko-KR" altLang="en-US"/>
        </a:p>
      </xdr:txBody>
    </xdr:sp>
    <xdr:clientData/>
  </xdr:twoCellAnchor>
  <xdr:twoCellAnchor>
    <xdr:from>
      <xdr:col>32</xdr:col>
      <xdr:colOff>15587</xdr:colOff>
      <xdr:row>9</xdr:row>
      <xdr:rowOff>22515</xdr:rowOff>
    </xdr:from>
    <xdr:to>
      <xdr:col>33</xdr:col>
      <xdr:colOff>196561</xdr:colOff>
      <xdr:row>9</xdr:row>
      <xdr:rowOff>22515</xdr:rowOff>
    </xdr:to>
    <xdr:sp macro="" textlink="">
      <xdr:nvSpPr>
        <xdr:cNvPr id="61" name="Line 500">
          <a:extLst>
            <a:ext uri="{FF2B5EF4-FFF2-40B4-BE49-F238E27FC236}">
              <a16:creationId xmlns:a16="http://schemas.microsoft.com/office/drawing/2014/main" id="{00000000-0008-0000-1500-00003D000000}"/>
            </a:ext>
          </a:extLst>
        </xdr:cNvPr>
        <xdr:cNvSpPr>
          <a:spLocks noChangeShapeType="1"/>
        </xdr:cNvSpPr>
      </xdr:nvSpPr>
      <xdr:spPr bwMode="auto">
        <a:xfrm rot="5400000">
          <a:off x="7847994" y="2038958"/>
          <a:ext cx="0" cy="41719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59747</xdr:colOff>
      <xdr:row>9</xdr:row>
      <xdr:rowOff>31173</xdr:rowOff>
    </xdr:from>
    <xdr:to>
      <xdr:col>36</xdr:col>
      <xdr:colOff>240723</xdr:colOff>
      <xdr:row>9</xdr:row>
      <xdr:rowOff>31173</xdr:rowOff>
    </xdr:to>
    <xdr:sp macro="" textlink="">
      <xdr:nvSpPr>
        <xdr:cNvPr id="62" name="Line 501">
          <a:extLst>
            <a:ext uri="{FF2B5EF4-FFF2-40B4-BE49-F238E27FC236}">
              <a16:creationId xmlns:a16="http://schemas.microsoft.com/office/drawing/2014/main" id="{00000000-0008-0000-1500-00003E000000}"/>
            </a:ext>
          </a:extLst>
        </xdr:cNvPr>
        <xdr:cNvSpPr>
          <a:spLocks noChangeShapeType="1"/>
        </xdr:cNvSpPr>
      </xdr:nvSpPr>
      <xdr:spPr bwMode="auto">
        <a:xfrm rot="5400000">
          <a:off x="8598910" y="2049520"/>
          <a:ext cx="0" cy="4171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33</xdr:col>
      <xdr:colOff>218428</xdr:colOff>
      <xdr:row>9</xdr:row>
      <xdr:rowOff>22952</xdr:rowOff>
    </xdr:from>
    <xdr:to>
      <xdr:col>35</xdr:col>
      <xdr:colOff>18403</xdr:colOff>
      <xdr:row>9</xdr:row>
      <xdr:rowOff>22952</xdr:rowOff>
    </xdr:to>
    <xdr:sp macro="" textlink="">
      <xdr:nvSpPr>
        <xdr:cNvPr id="63" name="Line 749">
          <a:extLst>
            <a:ext uri="{FF2B5EF4-FFF2-40B4-BE49-F238E27FC236}">
              <a16:creationId xmlns:a16="http://schemas.microsoft.com/office/drawing/2014/main" id="{00000000-0008-0000-1500-00003F000000}"/>
            </a:ext>
          </a:extLst>
        </xdr:cNvPr>
        <xdr:cNvSpPr>
          <a:spLocks noChangeShapeType="1"/>
        </xdr:cNvSpPr>
      </xdr:nvSpPr>
      <xdr:spPr bwMode="auto">
        <a:xfrm rot="5400000">
          <a:off x="8215618" y="2107022"/>
          <a:ext cx="0" cy="2819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33</xdr:col>
      <xdr:colOff>221720</xdr:colOff>
      <xdr:row>10</xdr:row>
      <xdr:rowOff>198620</xdr:rowOff>
    </xdr:from>
    <xdr:to>
      <xdr:col>35</xdr:col>
      <xdr:colOff>19790</xdr:colOff>
      <xdr:row>10</xdr:row>
      <xdr:rowOff>198620</xdr:rowOff>
    </xdr:to>
    <xdr:sp macro="" textlink="">
      <xdr:nvSpPr>
        <xdr:cNvPr id="64" name="Line 749">
          <a:extLst>
            <a:ext uri="{FF2B5EF4-FFF2-40B4-BE49-F238E27FC236}">
              <a16:creationId xmlns:a16="http://schemas.microsoft.com/office/drawing/2014/main" id="{00000000-0008-0000-1500-000040000000}"/>
            </a:ext>
          </a:extLst>
        </xdr:cNvPr>
        <xdr:cNvSpPr>
          <a:spLocks noChangeShapeType="1"/>
        </xdr:cNvSpPr>
      </xdr:nvSpPr>
      <xdr:spPr bwMode="auto">
        <a:xfrm rot="5400000">
          <a:off x="8214148" y="2512242"/>
          <a:ext cx="0" cy="27241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32</xdr:col>
      <xdr:colOff>20955</xdr:colOff>
      <xdr:row>10</xdr:row>
      <xdr:rowOff>202427</xdr:rowOff>
    </xdr:from>
    <xdr:to>
      <xdr:col>33</xdr:col>
      <xdr:colOff>205740</xdr:colOff>
      <xdr:row>10</xdr:row>
      <xdr:rowOff>202427</xdr:rowOff>
    </xdr:to>
    <xdr:sp macro="" textlink="">
      <xdr:nvSpPr>
        <xdr:cNvPr id="65" name="Line 507">
          <a:extLst>
            <a:ext uri="{FF2B5EF4-FFF2-40B4-BE49-F238E27FC236}">
              <a16:creationId xmlns:a16="http://schemas.microsoft.com/office/drawing/2014/main" id="{00000000-0008-0000-1500-000041000000}"/>
            </a:ext>
          </a:extLst>
        </xdr:cNvPr>
        <xdr:cNvSpPr>
          <a:spLocks noChangeShapeType="1"/>
        </xdr:cNvSpPr>
      </xdr:nvSpPr>
      <xdr:spPr bwMode="auto">
        <a:xfrm rot="5400000">
          <a:off x="7852410" y="2438897"/>
          <a:ext cx="0" cy="43053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59228</xdr:colOff>
      <xdr:row>10</xdr:row>
      <xdr:rowOff>202427</xdr:rowOff>
    </xdr:from>
    <xdr:to>
      <xdr:col>37</xdr:col>
      <xdr:colOff>174</xdr:colOff>
      <xdr:row>10</xdr:row>
      <xdr:rowOff>202427</xdr:rowOff>
    </xdr:to>
    <xdr:sp macro="" textlink="">
      <xdr:nvSpPr>
        <xdr:cNvPr id="66" name="Line 508">
          <a:extLst>
            <a:ext uri="{FF2B5EF4-FFF2-40B4-BE49-F238E27FC236}">
              <a16:creationId xmlns:a16="http://schemas.microsoft.com/office/drawing/2014/main" id="{00000000-0008-0000-1500-000042000000}"/>
            </a:ext>
          </a:extLst>
        </xdr:cNvPr>
        <xdr:cNvSpPr>
          <a:spLocks noChangeShapeType="1"/>
        </xdr:cNvSpPr>
      </xdr:nvSpPr>
      <xdr:spPr bwMode="auto">
        <a:xfrm rot="5400000">
          <a:off x="8600296" y="2443659"/>
          <a:ext cx="0" cy="42100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38</xdr:col>
      <xdr:colOff>16270</xdr:colOff>
      <xdr:row>7</xdr:row>
      <xdr:rowOff>4088</xdr:rowOff>
    </xdr:from>
    <xdr:to>
      <xdr:col>38</xdr:col>
      <xdr:colOff>16270</xdr:colOff>
      <xdr:row>8</xdr:row>
      <xdr:rowOff>212750</xdr:rowOff>
    </xdr:to>
    <xdr:sp macro="" textlink="">
      <xdr:nvSpPr>
        <xdr:cNvPr id="67" name="Line 510">
          <a:extLst>
            <a:ext uri="{FF2B5EF4-FFF2-40B4-BE49-F238E27FC236}">
              <a16:creationId xmlns:a16="http://schemas.microsoft.com/office/drawing/2014/main" id="{00000000-0008-0000-1500-000043000000}"/>
            </a:ext>
          </a:extLst>
        </xdr:cNvPr>
        <xdr:cNvSpPr>
          <a:spLocks noChangeShapeType="1"/>
        </xdr:cNvSpPr>
      </xdr:nvSpPr>
      <xdr:spPr bwMode="auto">
        <a:xfrm>
          <a:off x="9059305" y="1796693"/>
          <a:ext cx="0" cy="42202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38</xdr:col>
      <xdr:colOff>5235</xdr:colOff>
      <xdr:row>9</xdr:row>
      <xdr:rowOff>17166</xdr:rowOff>
    </xdr:from>
    <xdr:to>
      <xdr:col>38</xdr:col>
      <xdr:colOff>5235</xdr:colOff>
      <xdr:row>10</xdr:row>
      <xdr:rowOff>216304</xdr:rowOff>
    </xdr:to>
    <xdr:sp macro="" textlink="">
      <xdr:nvSpPr>
        <xdr:cNvPr id="68" name="Line 510">
          <a:extLst>
            <a:ext uri="{FF2B5EF4-FFF2-40B4-BE49-F238E27FC236}">
              <a16:creationId xmlns:a16="http://schemas.microsoft.com/office/drawing/2014/main" id="{00000000-0008-0000-1500-000044000000}"/>
            </a:ext>
          </a:extLst>
        </xdr:cNvPr>
        <xdr:cNvSpPr>
          <a:spLocks noChangeShapeType="1"/>
        </xdr:cNvSpPr>
      </xdr:nvSpPr>
      <xdr:spPr bwMode="auto">
        <a:xfrm>
          <a:off x="9046365" y="2249826"/>
          <a:ext cx="0" cy="41059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42</xdr:col>
      <xdr:colOff>216286</xdr:colOff>
      <xdr:row>6</xdr:row>
      <xdr:rowOff>216959</xdr:rowOff>
    </xdr:from>
    <xdr:to>
      <xdr:col>42</xdr:col>
      <xdr:colOff>216286</xdr:colOff>
      <xdr:row>8</xdr:row>
      <xdr:rowOff>199640</xdr:rowOff>
    </xdr:to>
    <xdr:sp macro="" textlink="">
      <xdr:nvSpPr>
        <xdr:cNvPr id="69" name="Line 510">
          <a:extLst>
            <a:ext uri="{FF2B5EF4-FFF2-40B4-BE49-F238E27FC236}">
              <a16:creationId xmlns:a16="http://schemas.microsoft.com/office/drawing/2014/main" id="{00000000-0008-0000-1500-000045000000}"/>
            </a:ext>
          </a:extLst>
        </xdr:cNvPr>
        <xdr:cNvSpPr>
          <a:spLocks noChangeShapeType="1"/>
        </xdr:cNvSpPr>
      </xdr:nvSpPr>
      <xdr:spPr bwMode="auto">
        <a:xfrm>
          <a:off x="10242301" y="1784774"/>
          <a:ext cx="0" cy="42654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42</xdr:col>
      <xdr:colOff>223405</xdr:colOff>
      <xdr:row>9</xdr:row>
      <xdr:rowOff>24245</xdr:rowOff>
    </xdr:from>
    <xdr:to>
      <xdr:col>42</xdr:col>
      <xdr:colOff>223405</xdr:colOff>
      <xdr:row>11</xdr:row>
      <xdr:rowOff>6927</xdr:rowOff>
    </xdr:to>
    <xdr:sp macro="" textlink="">
      <xdr:nvSpPr>
        <xdr:cNvPr id="70" name="Line 510">
          <a:extLst>
            <a:ext uri="{FF2B5EF4-FFF2-40B4-BE49-F238E27FC236}">
              <a16:creationId xmlns:a16="http://schemas.microsoft.com/office/drawing/2014/main" id="{00000000-0008-0000-1500-000046000000}"/>
            </a:ext>
          </a:extLst>
        </xdr:cNvPr>
        <xdr:cNvSpPr>
          <a:spLocks noChangeShapeType="1"/>
        </xdr:cNvSpPr>
      </xdr:nvSpPr>
      <xdr:spPr bwMode="auto">
        <a:xfrm>
          <a:off x="10251325" y="2249285"/>
          <a:ext cx="0" cy="42654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39</xdr:col>
      <xdr:colOff>244021</xdr:colOff>
      <xdr:row>6</xdr:row>
      <xdr:rowOff>215817</xdr:rowOff>
    </xdr:from>
    <xdr:to>
      <xdr:col>39</xdr:col>
      <xdr:colOff>244021</xdr:colOff>
      <xdr:row>8</xdr:row>
      <xdr:rowOff>184975</xdr:rowOff>
    </xdr:to>
    <xdr:sp macro="" textlink="">
      <xdr:nvSpPr>
        <xdr:cNvPr id="71" name="Line 510">
          <a:extLst>
            <a:ext uri="{FF2B5EF4-FFF2-40B4-BE49-F238E27FC236}">
              <a16:creationId xmlns:a16="http://schemas.microsoft.com/office/drawing/2014/main" id="{00000000-0008-0000-1500-000047000000}"/>
            </a:ext>
          </a:extLst>
        </xdr:cNvPr>
        <xdr:cNvSpPr>
          <a:spLocks noChangeShapeType="1"/>
        </xdr:cNvSpPr>
      </xdr:nvSpPr>
      <xdr:spPr bwMode="auto">
        <a:xfrm>
          <a:off x="9534706" y="1783632"/>
          <a:ext cx="0" cy="40921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35130</xdr:colOff>
      <xdr:row>7</xdr:row>
      <xdr:rowOff>15586</xdr:rowOff>
    </xdr:from>
    <xdr:to>
      <xdr:col>41</xdr:col>
      <xdr:colOff>35130</xdr:colOff>
      <xdr:row>8</xdr:row>
      <xdr:rowOff>206086</xdr:rowOff>
    </xdr:to>
    <xdr:sp macro="" textlink="">
      <xdr:nvSpPr>
        <xdr:cNvPr id="72" name="Line 510">
          <a:extLst>
            <a:ext uri="{FF2B5EF4-FFF2-40B4-BE49-F238E27FC236}">
              <a16:creationId xmlns:a16="http://schemas.microsoft.com/office/drawing/2014/main" id="{00000000-0008-0000-1500-000048000000}"/>
            </a:ext>
          </a:extLst>
        </xdr:cNvPr>
        <xdr:cNvSpPr>
          <a:spLocks noChangeShapeType="1"/>
        </xdr:cNvSpPr>
      </xdr:nvSpPr>
      <xdr:spPr bwMode="auto">
        <a:xfrm>
          <a:off x="9817305" y="1810096"/>
          <a:ext cx="0" cy="40957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38</xdr:col>
      <xdr:colOff>20241</xdr:colOff>
      <xdr:row>9</xdr:row>
      <xdr:rowOff>28274</xdr:rowOff>
    </xdr:from>
    <xdr:to>
      <xdr:col>39</xdr:col>
      <xdr:colOff>195500</xdr:colOff>
      <xdr:row>9</xdr:row>
      <xdr:rowOff>28274</xdr:rowOff>
    </xdr:to>
    <xdr:sp macro="" textlink="">
      <xdr:nvSpPr>
        <xdr:cNvPr id="73" name="Line 500">
          <a:extLst>
            <a:ext uri="{FF2B5EF4-FFF2-40B4-BE49-F238E27FC236}">
              <a16:creationId xmlns:a16="http://schemas.microsoft.com/office/drawing/2014/main" id="{00000000-0008-0000-1500-000049000000}"/>
            </a:ext>
          </a:extLst>
        </xdr:cNvPr>
        <xdr:cNvSpPr>
          <a:spLocks noChangeShapeType="1"/>
        </xdr:cNvSpPr>
      </xdr:nvSpPr>
      <xdr:spPr bwMode="auto">
        <a:xfrm rot="5400000">
          <a:off x="9269968" y="2040907"/>
          <a:ext cx="0" cy="4286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25977</xdr:colOff>
      <xdr:row>9</xdr:row>
      <xdr:rowOff>32909</xdr:rowOff>
    </xdr:from>
    <xdr:to>
      <xdr:col>42</xdr:col>
      <xdr:colOff>206952</xdr:colOff>
      <xdr:row>9</xdr:row>
      <xdr:rowOff>32909</xdr:rowOff>
    </xdr:to>
    <xdr:sp macro="" textlink="">
      <xdr:nvSpPr>
        <xdr:cNvPr id="74" name="Line 500">
          <a:extLst>
            <a:ext uri="{FF2B5EF4-FFF2-40B4-BE49-F238E27FC236}">
              <a16:creationId xmlns:a16="http://schemas.microsoft.com/office/drawing/2014/main" id="{00000000-0008-0000-1500-00004A000000}"/>
            </a:ext>
          </a:extLst>
        </xdr:cNvPr>
        <xdr:cNvSpPr>
          <a:spLocks noChangeShapeType="1"/>
        </xdr:cNvSpPr>
      </xdr:nvSpPr>
      <xdr:spPr bwMode="auto">
        <a:xfrm rot="5400000">
          <a:off x="10022465" y="2041731"/>
          <a:ext cx="0" cy="43624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51088</xdr:colOff>
      <xdr:row>6</xdr:row>
      <xdr:rowOff>206085</xdr:rowOff>
    </xdr:from>
    <xdr:to>
      <xdr:col>42</xdr:col>
      <xdr:colOff>232064</xdr:colOff>
      <xdr:row>6</xdr:row>
      <xdr:rowOff>206085</xdr:rowOff>
    </xdr:to>
    <xdr:sp macro="" textlink="">
      <xdr:nvSpPr>
        <xdr:cNvPr id="75" name="Line 140">
          <a:extLst>
            <a:ext uri="{FF2B5EF4-FFF2-40B4-BE49-F238E27FC236}">
              <a16:creationId xmlns:a16="http://schemas.microsoft.com/office/drawing/2014/main" id="{00000000-0008-0000-1500-00004B000000}"/>
            </a:ext>
          </a:extLst>
        </xdr:cNvPr>
        <xdr:cNvSpPr>
          <a:spLocks noChangeShapeType="1"/>
        </xdr:cNvSpPr>
      </xdr:nvSpPr>
      <xdr:spPr bwMode="auto">
        <a:xfrm rot="5400000">
          <a:off x="10049481" y="1569112"/>
          <a:ext cx="0" cy="42481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33</xdr:col>
      <xdr:colOff>221091</xdr:colOff>
      <xdr:row>6</xdr:row>
      <xdr:rowOff>199275</xdr:rowOff>
    </xdr:from>
    <xdr:to>
      <xdr:col>35</xdr:col>
      <xdr:colOff>19161</xdr:colOff>
      <xdr:row>6</xdr:row>
      <xdr:rowOff>199275</xdr:rowOff>
    </xdr:to>
    <xdr:sp macro="" textlink="">
      <xdr:nvSpPr>
        <xdr:cNvPr id="76" name="Line 749">
          <a:extLst>
            <a:ext uri="{FF2B5EF4-FFF2-40B4-BE49-F238E27FC236}">
              <a16:creationId xmlns:a16="http://schemas.microsoft.com/office/drawing/2014/main" id="{00000000-0008-0000-1500-00004C000000}"/>
            </a:ext>
          </a:extLst>
        </xdr:cNvPr>
        <xdr:cNvSpPr>
          <a:spLocks noChangeShapeType="1"/>
        </xdr:cNvSpPr>
      </xdr:nvSpPr>
      <xdr:spPr bwMode="auto">
        <a:xfrm rot="5400000">
          <a:off x="8213519" y="1636597"/>
          <a:ext cx="0" cy="27241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239975</xdr:colOff>
      <xdr:row>6</xdr:row>
      <xdr:rowOff>206295</xdr:rowOff>
    </xdr:from>
    <xdr:to>
      <xdr:col>41</xdr:col>
      <xdr:colOff>39950</xdr:colOff>
      <xdr:row>6</xdr:row>
      <xdr:rowOff>206295</xdr:rowOff>
    </xdr:to>
    <xdr:sp macro="" textlink="">
      <xdr:nvSpPr>
        <xdr:cNvPr id="77" name="Line 749">
          <a:extLst>
            <a:ext uri="{FF2B5EF4-FFF2-40B4-BE49-F238E27FC236}">
              <a16:creationId xmlns:a16="http://schemas.microsoft.com/office/drawing/2014/main" id="{00000000-0008-0000-1500-00004D000000}"/>
            </a:ext>
          </a:extLst>
        </xdr:cNvPr>
        <xdr:cNvSpPr>
          <a:spLocks noChangeShapeType="1"/>
        </xdr:cNvSpPr>
      </xdr:nvSpPr>
      <xdr:spPr bwMode="auto">
        <a:xfrm rot="5400000">
          <a:off x="9675440" y="1635045"/>
          <a:ext cx="0" cy="29337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227304</xdr:colOff>
      <xdr:row>5</xdr:row>
      <xdr:rowOff>2820</xdr:rowOff>
    </xdr:from>
    <xdr:to>
      <xdr:col>41</xdr:col>
      <xdr:colOff>27279</xdr:colOff>
      <xdr:row>5</xdr:row>
      <xdr:rowOff>2820</xdr:rowOff>
    </xdr:to>
    <xdr:sp macro="" textlink="">
      <xdr:nvSpPr>
        <xdr:cNvPr id="78" name="Line 749">
          <a:extLst>
            <a:ext uri="{FF2B5EF4-FFF2-40B4-BE49-F238E27FC236}">
              <a16:creationId xmlns:a16="http://schemas.microsoft.com/office/drawing/2014/main" id="{00000000-0008-0000-1500-00004E000000}"/>
            </a:ext>
          </a:extLst>
        </xdr:cNvPr>
        <xdr:cNvSpPr>
          <a:spLocks noChangeShapeType="1"/>
        </xdr:cNvSpPr>
      </xdr:nvSpPr>
      <xdr:spPr bwMode="auto">
        <a:xfrm rot="5400000">
          <a:off x="9660864" y="1208685"/>
          <a:ext cx="0" cy="29337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33</xdr:col>
      <xdr:colOff>240693</xdr:colOff>
      <xdr:row>8</xdr:row>
      <xdr:rowOff>205523</xdr:rowOff>
    </xdr:from>
    <xdr:to>
      <xdr:col>35</xdr:col>
      <xdr:colOff>40668</xdr:colOff>
      <xdr:row>8</xdr:row>
      <xdr:rowOff>205523</xdr:rowOff>
    </xdr:to>
    <xdr:sp macro="" textlink="">
      <xdr:nvSpPr>
        <xdr:cNvPr id="79" name="Line 749">
          <a:extLst>
            <a:ext uri="{FF2B5EF4-FFF2-40B4-BE49-F238E27FC236}">
              <a16:creationId xmlns:a16="http://schemas.microsoft.com/office/drawing/2014/main" id="{00000000-0008-0000-1500-00004F000000}"/>
            </a:ext>
          </a:extLst>
        </xdr:cNvPr>
        <xdr:cNvSpPr>
          <a:spLocks noChangeShapeType="1"/>
        </xdr:cNvSpPr>
      </xdr:nvSpPr>
      <xdr:spPr bwMode="auto">
        <a:xfrm rot="5400000">
          <a:off x="8234073" y="2078138"/>
          <a:ext cx="0" cy="28194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218712</xdr:colOff>
      <xdr:row>9</xdr:row>
      <xdr:rowOff>30279</xdr:rowOff>
    </xdr:from>
    <xdr:to>
      <xdr:col>41</xdr:col>
      <xdr:colOff>18687</xdr:colOff>
      <xdr:row>9</xdr:row>
      <xdr:rowOff>30279</xdr:rowOff>
    </xdr:to>
    <xdr:sp macro="" textlink="">
      <xdr:nvSpPr>
        <xdr:cNvPr id="80" name="Line 749">
          <a:extLst>
            <a:ext uri="{FF2B5EF4-FFF2-40B4-BE49-F238E27FC236}">
              <a16:creationId xmlns:a16="http://schemas.microsoft.com/office/drawing/2014/main" id="{00000000-0008-0000-1500-000050000000}"/>
            </a:ext>
          </a:extLst>
        </xdr:cNvPr>
        <xdr:cNvSpPr>
          <a:spLocks noChangeShapeType="1"/>
        </xdr:cNvSpPr>
      </xdr:nvSpPr>
      <xdr:spPr bwMode="auto">
        <a:xfrm rot="5400000">
          <a:off x="9654177" y="2106729"/>
          <a:ext cx="0" cy="30099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39</xdr:col>
      <xdr:colOff>240977</xdr:colOff>
      <xdr:row>9</xdr:row>
      <xdr:rowOff>370</xdr:rowOff>
    </xdr:from>
    <xdr:to>
      <xdr:col>41</xdr:col>
      <xdr:colOff>40952</xdr:colOff>
      <xdr:row>9</xdr:row>
      <xdr:rowOff>370</xdr:rowOff>
    </xdr:to>
    <xdr:sp macro="" textlink="">
      <xdr:nvSpPr>
        <xdr:cNvPr id="81" name="Line 749">
          <a:extLst>
            <a:ext uri="{FF2B5EF4-FFF2-40B4-BE49-F238E27FC236}">
              <a16:creationId xmlns:a16="http://schemas.microsoft.com/office/drawing/2014/main" id="{00000000-0008-0000-1500-000051000000}"/>
            </a:ext>
          </a:extLst>
        </xdr:cNvPr>
        <xdr:cNvSpPr>
          <a:spLocks noChangeShapeType="1"/>
        </xdr:cNvSpPr>
      </xdr:nvSpPr>
      <xdr:spPr bwMode="auto">
        <a:xfrm rot="5400000">
          <a:off x="9677395" y="2083487"/>
          <a:ext cx="0" cy="29146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211785</xdr:colOff>
      <xdr:row>10</xdr:row>
      <xdr:rowOff>193826</xdr:rowOff>
    </xdr:from>
    <xdr:to>
      <xdr:col>41</xdr:col>
      <xdr:colOff>36525</xdr:colOff>
      <xdr:row>10</xdr:row>
      <xdr:rowOff>193826</xdr:rowOff>
    </xdr:to>
    <xdr:sp macro="" textlink="">
      <xdr:nvSpPr>
        <xdr:cNvPr id="82" name="Line 749">
          <a:extLst>
            <a:ext uri="{FF2B5EF4-FFF2-40B4-BE49-F238E27FC236}">
              <a16:creationId xmlns:a16="http://schemas.microsoft.com/office/drawing/2014/main" id="{00000000-0008-0000-1500-000052000000}"/>
            </a:ext>
          </a:extLst>
        </xdr:cNvPr>
        <xdr:cNvSpPr>
          <a:spLocks noChangeShapeType="1"/>
        </xdr:cNvSpPr>
      </xdr:nvSpPr>
      <xdr:spPr bwMode="auto">
        <a:xfrm rot="5400000">
          <a:off x="9656775" y="2479826"/>
          <a:ext cx="0" cy="32385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38</xdr:col>
      <xdr:colOff>26881</xdr:colOff>
      <xdr:row>10</xdr:row>
      <xdr:rowOff>203371</xdr:rowOff>
    </xdr:from>
    <xdr:to>
      <xdr:col>39</xdr:col>
      <xdr:colOff>204046</xdr:colOff>
      <xdr:row>10</xdr:row>
      <xdr:rowOff>203371</xdr:rowOff>
    </xdr:to>
    <xdr:sp macro="" textlink="">
      <xdr:nvSpPr>
        <xdr:cNvPr id="83" name="Line 507">
          <a:extLst>
            <a:ext uri="{FF2B5EF4-FFF2-40B4-BE49-F238E27FC236}">
              <a16:creationId xmlns:a16="http://schemas.microsoft.com/office/drawing/2014/main" id="{00000000-0008-0000-1500-000053000000}"/>
            </a:ext>
          </a:extLst>
        </xdr:cNvPr>
        <xdr:cNvSpPr>
          <a:spLocks noChangeShapeType="1"/>
        </xdr:cNvSpPr>
      </xdr:nvSpPr>
      <xdr:spPr bwMode="auto">
        <a:xfrm rot="5400000">
          <a:off x="9279466" y="2439841"/>
          <a:ext cx="0" cy="43053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54359</xdr:colOff>
      <xdr:row>10</xdr:row>
      <xdr:rowOff>193607</xdr:rowOff>
    </xdr:from>
    <xdr:to>
      <xdr:col>42</xdr:col>
      <xdr:colOff>225810</xdr:colOff>
      <xdr:row>10</xdr:row>
      <xdr:rowOff>193607</xdr:rowOff>
    </xdr:to>
    <xdr:sp macro="" textlink="">
      <xdr:nvSpPr>
        <xdr:cNvPr id="84" name="Line 508">
          <a:extLst>
            <a:ext uri="{FF2B5EF4-FFF2-40B4-BE49-F238E27FC236}">
              <a16:creationId xmlns:a16="http://schemas.microsoft.com/office/drawing/2014/main" id="{00000000-0008-0000-1500-000054000000}"/>
            </a:ext>
          </a:extLst>
        </xdr:cNvPr>
        <xdr:cNvSpPr>
          <a:spLocks noChangeShapeType="1"/>
        </xdr:cNvSpPr>
      </xdr:nvSpPr>
      <xdr:spPr bwMode="auto">
        <a:xfrm rot="5400000">
          <a:off x="10047990" y="2433886"/>
          <a:ext cx="0" cy="41529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32</xdr:col>
      <xdr:colOff>20637</xdr:colOff>
      <xdr:row>81</xdr:row>
      <xdr:rowOff>201614</xdr:rowOff>
    </xdr:from>
    <xdr:to>
      <xdr:col>33</xdr:col>
      <xdr:colOff>201612</xdr:colOff>
      <xdr:row>81</xdr:row>
      <xdr:rowOff>201614</xdr:rowOff>
    </xdr:to>
    <xdr:sp macro="" textlink="">
      <xdr:nvSpPr>
        <xdr:cNvPr id="85" name="Line 695">
          <a:extLst>
            <a:ext uri="{FF2B5EF4-FFF2-40B4-BE49-F238E27FC236}">
              <a16:creationId xmlns:a16="http://schemas.microsoft.com/office/drawing/2014/main" id="{00000000-0008-0000-1500-000055000000}"/>
            </a:ext>
          </a:extLst>
        </xdr:cNvPr>
        <xdr:cNvSpPr>
          <a:spLocks noChangeShapeType="1"/>
        </xdr:cNvSpPr>
      </xdr:nvSpPr>
      <xdr:spPr bwMode="auto">
        <a:xfrm rot="5400000">
          <a:off x="7849235" y="9230361"/>
          <a:ext cx="0" cy="42481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53973</xdr:colOff>
      <xdr:row>81</xdr:row>
      <xdr:rowOff>193670</xdr:rowOff>
    </xdr:from>
    <xdr:to>
      <xdr:col>36</xdr:col>
      <xdr:colOff>206373</xdr:colOff>
      <xdr:row>81</xdr:row>
      <xdr:rowOff>193670</xdr:rowOff>
    </xdr:to>
    <xdr:sp macro="" textlink="">
      <xdr:nvSpPr>
        <xdr:cNvPr id="86" name="Line 696">
          <a:extLst>
            <a:ext uri="{FF2B5EF4-FFF2-40B4-BE49-F238E27FC236}">
              <a16:creationId xmlns:a16="http://schemas.microsoft.com/office/drawing/2014/main" id="{00000000-0008-0000-1500-000056000000}"/>
            </a:ext>
          </a:extLst>
        </xdr:cNvPr>
        <xdr:cNvSpPr>
          <a:spLocks noChangeShapeType="1"/>
        </xdr:cNvSpPr>
      </xdr:nvSpPr>
      <xdr:spPr bwMode="auto">
        <a:xfrm rot="5400000">
          <a:off x="8587421" y="9237657"/>
          <a:ext cx="0" cy="39052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32</xdr:col>
      <xdr:colOff>6259</xdr:colOff>
      <xdr:row>86</xdr:row>
      <xdr:rowOff>36982</xdr:rowOff>
    </xdr:from>
    <xdr:to>
      <xdr:col>33</xdr:col>
      <xdr:colOff>185329</xdr:colOff>
      <xdr:row>86</xdr:row>
      <xdr:rowOff>36982</xdr:rowOff>
    </xdr:to>
    <xdr:sp macro="" textlink="">
      <xdr:nvSpPr>
        <xdr:cNvPr id="87" name="Line 697">
          <a:extLst>
            <a:ext uri="{FF2B5EF4-FFF2-40B4-BE49-F238E27FC236}">
              <a16:creationId xmlns:a16="http://schemas.microsoft.com/office/drawing/2014/main" id="{00000000-0008-0000-1500-000057000000}"/>
            </a:ext>
          </a:extLst>
        </xdr:cNvPr>
        <xdr:cNvSpPr>
          <a:spLocks noChangeShapeType="1"/>
        </xdr:cNvSpPr>
      </xdr:nvSpPr>
      <xdr:spPr bwMode="auto">
        <a:xfrm rot="5400000">
          <a:off x="7834857" y="10164914"/>
          <a:ext cx="0" cy="41338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95160</xdr:colOff>
      <xdr:row>86</xdr:row>
      <xdr:rowOff>38101</xdr:rowOff>
    </xdr:from>
    <xdr:to>
      <xdr:col>37</xdr:col>
      <xdr:colOff>36528</xdr:colOff>
      <xdr:row>86</xdr:row>
      <xdr:rowOff>38101</xdr:rowOff>
    </xdr:to>
    <xdr:sp macro="" textlink="">
      <xdr:nvSpPr>
        <xdr:cNvPr id="88" name="Line 698">
          <a:extLst>
            <a:ext uri="{FF2B5EF4-FFF2-40B4-BE49-F238E27FC236}">
              <a16:creationId xmlns:a16="http://schemas.microsoft.com/office/drawing/2014/main" id="{00000000-0008-0000-1500-000058000000}"/>
            </a:ext>
          </a:extLst>
        </xdr:cNvPr>
        <xdr:cNvSpPr>
          <a:spLocks noChangeShapeType="1"/>
        </xdr:cNvSpPr>
      </xdr:nvSpPr>
      <xdr:spPr bwMode="auto">
        <a:xfrm rot="5400000">
          <a:off x="8640249" y="10165822"/>
          <a:ext cx="0" cy="41380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31</xdr:col>
      <xdr:colOff>205992</xdr:colOff>
      <xdr:row>84</xdr:row>
      <xdr:rowOff>55880</xdr:rowOff>
    </xdr:from>
    <xdr:to>
      <xdr:col>31</xdr:col>
      <xdr:colOff>205992</xdr:colOff>
      <xdr:row>86</xdr:row>
      <xdr:rowOff>6139</xdr:rowOff>
    </xdr:to>
    <xdr:sp macro="" textlink="">
      <xdr:nvSpPr>
        <xdr:cNvPr id="89" name="Line 721">
          <a:extLst>
            <a:ext uri="{FF2B5EF4-FFF2-40B4-BE49-F238E27FC236}">
              <a16:creationId xmlns:a16="http://schemas.microsoft.com/office/drawing/2014/main" id="{00000000-0008-0000-1500-000059000000}"/>
            </a:ext>
          </a:extLst>
        </xdr:cNvPr>
        <xdr:cNvSpPr>
          <a:spLocks noChangeShapeType="1"/>
        </xdr:cNvSpPr>
      </xdr:nvSpPr>
      <xdr:spPr bwMode="auto">
        <a:xfrm>
          <a:off x="7591677" y="9956165"/>
          <a:ext cx="0" cy="38650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37</xdr:col>
      <xdr:colOff>31749</xdr:colOff>
      <xdr:row>84</xdr:row>
      <xdr:rowOff>65024</xdr:rowOff>
    </xdr:from>
    <xdr:to>
      <xdr:col>37</xdr:col>
      <xdr:colOff>31749</xdr:colOff>
      <xdr:row>86</xdr:row>
      <xdr:rowOff>15283</xdr:rowOff>
    </xdr:to>
    <xdr:sp macro="" textlink="">
      <xdr:nvSpPr>
        <xdr:cNvPr id="90" name="Line 723">
          <a:extLst>
            <a:ext uri="{FF2B5EF4-FFF2-40B4-BE49-F238E27FC236}">
              <a16:creationId xmlns:a16="http://schemas.microsoft.com/office/drawing/2014/main" id="{00000000-0008-0000-1500-00005A000000}"/>
            </a:ext>
          </a:extLst>
        </xdr:cNvPr>
        <xdr:cNvSpPr>
          <a:spLocks noChangeShapeType="1"/>
        </xdr:cNvSpPr>
      </xdr:nvSpPr>
      <xdr:spPr bwMode="auto">
        <a:xfrm>
          <a:off x="8840469" y="9959594"/>
          <a:ext cx="0" cy="39412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34</xdr:col>
      <xdr:colOff>7447</xdr:colOff>
      <xdr:row>86</xdr:row>
      <xdr:rowOff>44784</xdr:rowOff>
    </xdr:from>
    <xdr:to>
      <xdr:col>35</xdr:col>
      <xdr:colOff>41737</xdr:colOff>
      <xdr:row>86</xdr:row>
      <xdr:rowOff>44784</xdr:rowOff>
    </xdr:to>
    <xdr:sp macro="" textlink="">
      <xdr:nvSpPr>
        <xdr:cNvPr id="91" name="Line 749">
          <a:extLst>
            <a:ext uri="{FF2B5EF4-FFF2-40B4-BE49-F238E27FC236}">
              <a16:creationId xmlns:a16="http://schemas.microsoft.com/office/drawing/2014/main" id="{00000000-0008-0000-1500-00005B000000}"/>
            </a:ext>
          </a:extLst>
        </xdr:cNvPr>
        <xdr:cNvSpPr>
          <a:spLocks noChangeShapeType="1"/>
        </xdr:cNvSpPr>
      </xdr:nvSpPr>
      <xdr:spPr bwMode="auto">
        <a:xfrm rot="5400000">
          <a:off x="8240857" y="10246059"/>
          <a:ext cx="0" cy="27051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33</xdr:col>
      <xdr:colOff>223838</xdr:colOff>
      <xdr:row>81</xdr:row>
      <xdr:rowOff>200026</xdr:rowOff>
    </xdr:from>
    <xdr:to>
      <xdr:col>35</xdr:col>
      <xdr:colOff>9525</xdr:colOff>
      <xdr:row>81</xdr:row>
      <xdr:rowOff>200026</xdr:rowOff>
    </xdr:to>
    <xdr:sp macro="" textlink="">
      <xdr:nvSpPr>
        <xdr:cNvPr id="92" name="Line 640">
          <a:extLst>
            <a:ext uri="{FF2B5EF4-FFF2-40B4-BE49-F238E27FC236}">
              <a16:creationId xmlns:a16="http://schemas.microsoft.com/office/drawing/2014/main" id="{00000000-0008-0000-1500-00005C000000}"/>
            </a:ext>
          </a:extLst>
        </xdr:cNvPr>
        <xdr:cNvSpPr>
          <a:spLocks noChangeShapeType="1"/>
        </xdr:cNvSpPr>
      </xdr:nvSpPr>
      <xdr:spPr bwMode="auto">
        <a:xfrm rot="5400000">
          <a:off x="8212932" y="9308307"/>
          <a:ext cx="0" cy="26574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33</xdr:col>
      <xdr:colOff>232570</xdr:colOff>
      <xdr:row>80</xdr:row>
      <xdr:rowOff>15876</xdr:rowOff>
    </xdr:from>
    <xdr:to>
      <xdr:col>33</xdr:col>
      <xdr:colOff>232570</xdr:colOff>
      <xdr:row>82</xdr:row>
      <xdr:rowOff>6351</xdr:rowOff>
    </xdr:to>
    <xdr:sp macro="" textlink="">
      <xdr:nvSpPr>
        <xdr:cNvPr id="93" name="Line 652">
          <a:extLst>
            <a:ext uri="{FF2B5EF4-FFF2-40B4-BE49-F238E27FC236}">
              <a16:creationId xmlns:a16="http://schemas.microsoft.com/office/drawing/2014/main" id="{00000000-0008-0000-1500-00005D000000}"/>
            </a:ext>
          </a:extLst>
        </xdr:cNvPr>
        <xdr:cNvSpPr>
          <a:spLocks noChangeShapeType="1"/>
        </xdr:cNvSpPr>
      </xdr:nvSpPr>
      <xdr:spPr bwMode="auto">
        <a:xfrm rot="10800000">
          <a:off x="8092600" y="9039861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19843</xdr:colOff>
      <xdr:row>80</xdr:row>
      <xdr:rowOff>9527</xdr:rowOff>
    </xdr:from>
    <xdr:to>
      <xdr:col>35</xdr:col>
      <xdr:colOff>19843</xdr:colOff>
      <xdr:row>82</xdr:row>
      <xdr:rowOff>2</xdr:rowOff>
    </xdr:to>
    <xdr:sp macro="" textlink="">
      <xdr:nvSpPr>
        <xdr:cNvPr id="94" name="Line 652">
          <a:extLst>
            <a:ext uri="{FF2B5EF4-FFF2-40B4-BE49-F238E27FC236}">
              <a16:creationId xmlns:a16="http://schemas.microsoft.com/office/drawing/2014/main" id="{00000000-0008-0000-1500-00005E000000}"/>
            </a:ext>
          </a:extLst>
        </xdr:cNvPr>
        <xdr:cNvSpPr>
          <a:spLocks noChangeShapeType="1"/>
        </xdr:cNvSpPr>
      </xdr:nvSpPr>
      <xdr:spPr bwMode="auto">
        <a:xfrm rot="10800000">
          <a:off x="8350408" y="9031607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31</xdr:col>
      <xdr:colOff>207613</xdr:colOff>
      <xdr:row>82</xdr:row>
      <xdr:rowOff>30719</xdr:rowOff>
    </xdr:from>
    <xdr:to>
      <xdr:col>31</xdr:col>
      <xdr:colOff>207613</xdr:colOff>
      <xdr:row>84</xdr:row>
      <xdr:rowOff>9553</xdr:rowOff>
    </xdr:to>
    <xdr:sp macro="" textlink="">
      <xdr:nvSpPr>
        <xdr:cNvPr id="95" name="Line 510">
          <a:extLst>
            <a:ext uri="{FF2B5EF4-FFF2-40B4-BE49-F238E27FC236}">
              <a16:creationId xmlns:a16="http://schemas.microsoft.com/office/drawing/2014/main" id="{00000000-0008-0000-1500-00005F000000}"/>
            </a:ext>
          </a:extLst>
        </xdr:cNvPr>
        <xdr:cNvSpPr>
          <a:spLocks noChangeShapeType="1"/>
        </xdr:cNvSpPr>
      </xdr:nvSpPr>
      <xdr:spPr bwMode="auto">
        <a:xfrm>
          <a:off x="7593298" y="9487139"/>
          <a:ext cx="0" cy="42079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37</xdr:col>
      <xdr:colOff>26767</xdr:colOff>
      <xdr:row>82</xdr:row>
      <xdr:rowOff>19829</xdr:rowOff>
    </xdr:from>
    <xdr:to>
      <xdr:col>37</xdr:col>
      <xdr:colOff>26767</xdr:colOff>
      <xdr:row>84</xdr:row>
      <xdr:rowOff>1309</xdr:rowOff>
    </xdr:to>
    <xdr:sp macro="" textlink="">
      <xdr:nvSpPr>
        <xdr:cNvPr id="96" name="Line 510">
          <a:extLst>
            <a:ext uri="{FF2B5EF4-FFF2-40B4-BE49-F238E27FC236}">
              <a16:creationId xmlns:a16="http://schemas.microsoft.com/office/drawing/2014/main" id="{00000000-0008-0000-1500-000060000000}"/>
            </a:ext>
          </a:extLst>
        </xdr:cNvPr>
        <xdr:cNvSpPr>
          <a:spLocks noChangeShapeType="1"/>
        </xdr:cNvSpPr>
      </xdr:nvSpPr>
      <xdr:spPr bwMode="auto">
        <a:xfrm>
          <a:off x="8835487" y="9474344"/>
          <a:ext cx="0" cy="42344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32</xdr:col>
      <xdr:colOff>1945</xdr:colOff>
      <xdr:row>78</xdr:row>
      <xdr:rowOff>198439</xdr:rowOff>
    </xdr:from>
    <xdr:to>
      <xdr:col>32</xdr:col>
      <xdr:colOff>1945</xdr:colOff>
      <xdr:row>79</xdr:row>
      <xdr:rowOff>197716</xdr:rowOff>
    </xdr:to>
    <xdr:sp macro="" textlink="">
      <xdr:nvSpPr>
        <xdr:cNvPr id="97" name="Line 729">
          <a:extLst>
            <a:ext uri="{FF2B5EF4-FFF2-40B4-BE49-F238E27FC236}">
              <a16:creationId xmlns:a16="http://schemas.microsoft.com/office/drawing/2014/main" id="{00000000-0008-0000-1500-000061000000}"/>
            </a:ext>
          </a:extLst>
        </xdr:cNvPr>
        <xdr:cNvSpPr>
          <a:spLocks noChangeShapeType="1"/>
        </xdr:cNvSpPr>
      </xdr:nvSpPr>
      <xdr:spPr bwMode="auto">
        <a:xfrm rot="10800000" flipH="1">
          <a:off x="7621945" y="8782369"/>
          <a:ext cx="0" cy="218352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37</xdr:col>
      <xdr:colOff>27056</xdr:colOff>
      <xdr:row>79</xdr:row>
      <xdr:rowOff>1</xdr:rowOff>
    </xdr:from>
    <xdr:to>
      <xdr:col>37</xdr:col>
      <xdr:colOff>27056</xdr:colOff>
      <xdr:row>80</xdr:row>
      <xdr:rowOff>12050</xdr:rowOff>
    </xdr:to>
    <xdr:sp macro="" textlink="">
      <xdr:nvSpPr>
        <xdr:cNvPr id="98" name="Line 729">
          <a:extLst>
            <a:ext uri="{FF2B5EF4-FFF2-40B4-BE49-F238E27FC236}">
              <a16:creationId xmlns:a16="http://schemas.microsoft.com/office/drawing/2014/main" id="{00000000-0008-0000-1500-000062000000}"/>
            </a:ext>
          </a:extLst>
        </xdr:cNvPr>
        <xdr:cNvSpPr>
          <a:spLocks noChangeShapeType="1"/>
        </xdr:cNvSpPr>
      </xdr:nvSpPr>
      <xdr:spPr bwMode="auto">
        <a:xfrm rot="10800000">
          <a:off x="8835776" y="8801101"/>
          <a:ext cx="0" cy="234934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35</xdr:col>
      <xdr:colOff>8200</xdr:colOff>
      <xdr:row>84</xdr:row>
      <xdr:rowOff>50533</xdr:rowOff>
    </xdr:from>
    <xdr:to>
      <xdr:col>35</xdr:col>
      <xdr:colOff>9388</xdr:colOff>
      <xdr:row>85</xdr:row>
      <xdr:rowOff>202933</xdr:rowOff>
    </xdr:to>
    <xdr:sp macro="" textlink="">
      <xdr:nvSpPr>
        <xdr:cNvPr id="99" name="Line 640">
          <a:extLst>
            <a:ext uri="{FF2B5EF4-FFF2-40B4-BE49-F238E27FC236}">
              <a16:creationId xmlns:a16="http://schemas.microsoft.com/office/drawing/2014/main" id="{00000000-0008-0000-1500-000063000000}"/>
            </a:ext>
          </a:extLst>
        </xdr:cNvPr>
        <xdr:cNvSpPr>
          <a:spLocks noChangeShapeType="1"/>
        </xdr:cNvSpPr>
      </xdr:nvSpPr>
      <xdr:spPr bwMode="auto">
        <a:xfrm rot="5400000">
          <a:off x="8159336" y="10135962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33</xdr:col>
      <xdr:colOff>236322</xdr:colOff>
      <xdr:row>82</xdr:row>
      <xdr:rowOff>14819</xdr:rowOff>
    </xdr:from>
    <xdr:to>
      <xdr:col>33</xdr:col>
      <xdr:colOff>236322</xdr:colOff>
      <xdr:row>84</xdr:row>
      <xdr:rowOff>7938</xdr:rowOff>
    </xdr:to>
    <xdr:sp macro="" textlink="">
      <xdr:nvSpPr>
        <xdr:cNvPr id="100" name="Line 652">
          <a:extLst>
            <a:ext uri="{FF2B5EF4-FFF2-40B4-BE49-F238E27FC236}">
              <a16:creationId xmlns:a16="http://schemas.microsoft.com/office/drawing/2014/main" id="{00000000-0008-0000-1500-000064000000}"/>
            </a:ext>
          </a:extLst>
        </xdr:cNvPr>
        <xdr:cNvSpPr>
          <a:spLocks noChangeShapeType="1"/>
        </xdr:cNvSpPr>
      </xdr:nvSpPr>
      <xdr:spPr bwMode="auto">
        <a:xfrm rot="10800000">
          <a:off x="8096352" y="9476954"/>
          <a:ext cx="0" cy="42936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30689</xdr:colOff>
      <xdr:row>82</xdr:row>
      <xdr:rowOff>24347</xdr:rowOff>
    </xdr:from>
    <xdr:to>
      <xdr:col>35</xdr:col>
      <xdr:colOff>30689</xdr:colOff>
      <xdr:row>84</xdr:row>
      <xdr:rowOff>14821</xdr:rowOff>
    </xdr:to>
    <xdr:sp macro="" textlink="">
      <xdr:nvSpPr>
        <xdr:cNvPr id="101" name="Line 652">
          <a:extLst>
            <a:ext uri="{FF2B5EF4-FFF2-40B4-BE49-F238E27FC236}">
              <a16:creationId xmlns:a16="http://schemas.microsoft.com/office/drawing/2014/main" id="{00000000-0008-0000-1500-000065000000}"/>
            </a:ext>
          </a:extLst>
        </xdr:cNvPr>
        <xdr:cNvSpPr>
          <a:spLocks noChangeShapeType="1"/>
        </xdr:cNvSpPr>
      </xdr:nvSpPr>
      <xdr:spPr bwMode="auto">
        <a:xfrm rot="10800000">
          <a:off x="8363159" y="9478862"/>
          <a:ext cx="0" cy="43624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32</xdr:col>
      <xdr:colOff>21166</xdr:colOff>
      <xdr:row>83</xdr:row>
      <xdr:rowOff>201084</xdr:rowOff>
    </xdr:from>
    <xdr:to>
      <xdr:col>33</xdr:col>
      <xdr:colOff>202141</xdr:colOff>
      <xdr:row>83</xdr:row>
      <xdr:rowOff>201084</xdr:rowOff>
    </xdr:to>
    <xdr:sp macro="" textlink="">
      <xdr:nvSpPr>
        <xdr:cNvPr id="102" name="Line 695">
          <a:extLst>
            <a:ext uri="{FF2B5EF4-FFF2-40B4-BE49-F238E27FC236}">
              <a16:creationId xmlns:a16="http://schemas.microsoft.com/office/drawing/2014/main" id="{00000000-0008-0000-1500-000066000000}"/>
            </a:ext>
          </a:extLst>
        </xdr:cNvPr>
        <xdr:cNvSpPr>
          <a:spLocks noChangeShapeType="1"/>
        </xdr:cNvSpPr>
      </xdr:nvSpPr>
      <xdr:spPr bwMode="auto">
        <a:xfrm rot="5400000">
          <a:off x="7850716" y="9667029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30691</xdr:colOff>
      <xdr:row>83</xdr:row>
      <xdr:rowOff>195790</xdr:rowOff>
    </xdr:from>
    <xdr:to>
      <xdr:col>36</xdr:col>
      <xdr:colOff>211666</xdr:colOff>
      <xdr:row>83</xdr:row>
      <xdr:rowOff>195790</xdr:rowOff>
    </xdr:to>
    <xdr:sp macro="" textlink="">
      <xdr:nvSpPr>
        <xdr:cNvPr id="103" name="Line 696">
          <a:extLst>
            <a:ext uri="{FF2B5EF4-FFF2-40B4-BE49-F238E27FC236}">
              <a16:creationId xmlns:a16="http://schemas.microsoft.com/office/drawing/2014/main" id="{00000000-0008-0000-1500-000067000000}"/>
            </a:ext>
          </a:extLst>
        </xdr:cNvPr>
        <xdr:cNvSpPr>
          <a:spLocks noChangeShapeType="1"/>
        </xdr:cNvSpPr>
      </xdr:nvSpPr>
      <xdr:spPr bwMode="auto">
        <a:xfrm rot="5400000">
          <a:off x="8571759" y="9666497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31</xdr:col>
      <xdr:colOff>210788</xdr:colOff>
      <xdr:row>80</xdr:row>
      <xdr:rowOff>8520</xdr:rowOff>
    </xdr:from>
    <xdr:to>
      <xdr:col>31</xdr:col>
      <xdr:colOff>210788</xdr:colOff>
      <xdr:row>81</xdr:row>
      <xdr:rowOff>199021</xdr:rowOff>
    </xdr:to>
    <xdr:sp macro="" textlink="">
      <xdr:nvSpPr>
        <xdr:cNvPr id="104" name="Line 510">
          <a:extLst>
            <a:ext uri="{FF2B5EF4-FFF2-40B4-BE49-F238E27FC236}">
              <a16:creationId xmlns:a16="http://schemas.microsoft.com/office/drawing/2014/main" id="{00000000-0008-0000-1500-000068000000}"/>
            </a:ext>
          </a:extLst>
        </xdr:cNvPr>
        <xdr:cNvSpPr>
          <a:spLocks noChangeShapeType="1"/>
        </xdr:cNvSpPr>
      </xdr:nvSpPr>
      <xdr:spPr bwMode="auto">
        <a:xfrm>
          <a:off x="7588853" y="9030600"/>
          <a:ext cx="0" cy="40957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37</xdr:col>
      <xdr:colOff>37014</xdr:colOff>
      <xdr:row>80</xdr:row>
      <xdr:rowOff>2896</xdr:rowOff>
    </xdr:from>
    <xdr:to>
      <xdr:col>37</xdr:col>
      <xdr:colOff>37014</xdr:colOff>
      <xdr:row>81</xdr:row>
      <xdr:rowOff>185459</xdr:rowOff>
    </xdr:to>
    <xdr:sp macro="" textlink="">
      <xdr:nvSpPr>
        <xdr:cNvPr id="105" name="Line 510">
          <a:extLst>
            <a:ext uri="{FF2B5EF4-FFF2-40B4-BE49-F238E27FC236}">
              <a16:creationId xmlns:a16="http://schemas.microsoft.com/office/drawing/2014/main" id="{00000000-0008-0000-1500-000069000000}"/>
            </a:ext>
          </a:extLst>
        </xdr:cNvPr>
        <xdr:cNvSpPr>
          <a:spLocks noChangeShapeType="1"/>
        </xdr:cNvSpPr>
      </xdr:nvSpPr>
      <xdr:spPr bwMode="auto">
        <a:xfrm>
          <a:off x="8847639" y="9023071"/>
          <a:ext cx="0" cy="39973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34</xdr:col>
      <xdr:colOff>9433</xdr:colOff>
      <xdr:row>84</xdr:row>
      <xdr:rowOff>63503</xdr:rowOff>
    </xdr:from>
    <xdr:to>
      <xdr:col>34</xdr:col>
      <xdr:colOff>9433</xdr:colOff>
      <xdr:row>85</xdr:row>
      <xdr:rowOff>194164</xdr:rowOff>
    </xdr:to>
    <xdr:sp macro="" textlink="">
      <xdr:nvSpPr>
        <xdr:cNvPr id="106" name="Line 746">
          <a:extLst>
            <a:ext uri="{FF2B5EF4-FFF2-40B4-BE49-F238E27FC236}">
              <a16:creationId xmlns:a16="http://schemas.microsoft.com/office/drawing/2014/main" id="{00000000-0008-0000-1500-00006A000000}"/>
            </a:ext>
          </a:extLst>
        </xdr:cNvPr>
        <xdr:cNvSpPr>
          <a:spLocks noChangeShapeType="1"/>
        </xdr:cNvSpPr>
      </xdr:nvSpPr>
      <xdr:spPr bwMode="auto">
        <a:xfrm rot="5400000" flipV="1">
          <a:off x="7930815" y="10132941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35</xdr:col>
      <xdr:colOff>43104</xdr:colOff>
      <xdr:row>84</xdr:row>
      <xdr:rowOff>71010</xdr:rowOff>
    </xdr:from>
    <xdr:to>
      <xdr:col>35</xdr:col>
      <xdr:colOff>43104</xdr:colOff>
      <xdr:row>86</xdr:row>
      <xdr:rowOff>4</xdr:rowOff>
    </xdr:to>
    <xdr:sp macro="" textlink="">
      <xdr:nvSpPr>
        <xdr:cNvPr id="107" name="Line 746">
          <a:extLst>
            <a:ext uri="{FF2B5EF4-FFF2-40B4-BE49-F238E27FC236}">
              <a16:creationId xmlns:a16="http://schemas.microsoft.com/office/drawing/2014/main" id="{00000000-0008-0000-1500-00006B000000}"/>
            </a:ext>
          </a:extLst>
        </xdr:cNvPr>
        <xdr:cNvSpPr>
          <a:spLocks noChangeShapeType="1"/>
        </xdr:cNvSpPr>
      </xdr:nvSpPr>
      <xdr:spPr bwMode="auto">
        <a:xfrm rot="5400000" flipV="1">
          <a:off x="8194859" y="10150105"/>
          <a:ext cx="369049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32</xdr:col>
      <xdr:colOff>23948</xdr:colOff>
      <xdr:row>84</xdr:row>
      <xdr:rowOff>60631</xdr:rowOff>
    </xdr:from>
    <xdr:to>
      <xdr:col>32</xdr:col>
      <xdr:colOff>23948</xdr:colOff>
      <xdr:row>85</xdr:row>
      <xdr:rowOff>191292</xdr:rowOff>
    </xdr:to>
    <xdr:sp macro="" textlink="">
      <xdr:nvSpPr>
        <xdr:cNvPr id="108" name="Line 746">
          <a:extLst>
            <a:ext uri="{FF2B5EF4-FFF2-40B4-BE49-F238E27FC236}">
              <a16:creationId xmlns:a16="http://schemas.microsoft.com/office/drawing/2014/main" id="{00000000-0008-0000-1500-00006C000000}"/>
            </a:ext>
          </a:extLst>
        </xdr:cNvPr>
        <xdr:cNvSpPr>
          <a:spLocks noChangeShapeType="1"/>
        </xdr:cNvSpPr>
      </xdr:nvSpPr>
      <xdr:spPr bwMode="auto">
        <a:xfrm rot="5400000" flipV="1">
          <a:off x="7463365" y="10130069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36</xdr:col>
      <xdr:colOff>231807</xdr:colOff>
      <xdr:row>84</xdr:row>
      <xdr:rowOff>65620</xdr:rowOff>
    </xdr:from>
    <xdr:to>
      <xdr:col>36</xdr:col>
      <xdr:colOff>231807</xdr:colOff>
      <xdr:row>85</xdr:row>
      <xdr:rowOff>196281</xdr:rowOff>
    </xdr:to>
    <xdr:sp macro="" textlink="">
      <xdr:nvSpPr>
        <xdr:cNvPr id="109" name="Line 746">
          <a:extLst>
            <a:ext uri="{FF2B5EF4-FFF2-40B4-BE49-F238E27FC236}">
              <a16:creationId xmlns:a16="http://schemas.microsoft.com/office/drawing/2014/main" id="{00000000-0008-0000-1500-00006D000000}"/>
            </a:ext>
          </a:extLst>
        </xdr:cNvPr>
        <xdr:cNvSpPr>
          <a:spLocks noChangeShapeType="1"/>
        </xdr:cNvSpPr>
      </xdr:nvSpPr>
      <xdr:spPr bwMode="auto">
        <a:xfrm rot="5400000" flipV="1">
          <a:off x="8627534" y="10136963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32</xdr:col>
      <xdr:colOff>35574</xdr:colOff>
      <xdr:row>84</xdr:row>
      <xdr:rowOff>24823</xdr:rowOff>
    </xdr:from>
    <xdr:to>
      <xdr:col>33</xdr:col>
      <xdr:colOff>172459</xdr:colOff>
      <xdr:row>84</xdr:row>
      <xdr:rowOff>24823</xdr:rowOff>
    </xdr:to>
    <xdr:sp macro="" textlink="">
      <xdr:nvSpPr>
        <xdr:cNvPr id="110" name="Line 749">
          <a:extLst>
            <a:ext uri="{FF2B5EF4-FFF2-40B4-BE49-F238E27FC236}">
              <a16:creationId xmlns:a16="http://schemas.microsoft.com/office/drawing/2014/main" id="{00000000-0008-0000-1500-00006E000000}"/>
            </a:ext>
          </a:extLst>
        </xdr:cNvPr>
        <xdr:cNvSpPr>
          <a:spLocks noChangeShapeType="1"/>
        </xdr:cNvSpPr>
      </xdr:nvSpPr>
      <xdr:spPr bwMode="auto">
        <a:xfrm rot="5400000">
          <a:off x="7841174" y="9731888"/>
          <a:ext cx="0" cy="37120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35</xdr:col>
      <xdr:colOff>58081</xdr:colOff>
      <xdr:row>84</xdr:row>
      <xdr:rowOff>24245</xdr:rowOff>
    </xdr:from>
    <xdr:to>
      <xdr:col>36</xdr:col>
      <xdr:colOff>194966</xdr:colOff>
      <xdr:row>84</xdr:row>
      <xdr:rowOff>24245</xdr:rowOff>
    </xdr:to>
    <xdr:sp macro="" textlink="">
      <xdr:nvSpPr>
        <xdr:cNvPr id="111" name="Line 749">
          <a:extLst>
            <a:ext uri="{FF2B5EF4-FFF2-40B4-BE49-F238E27FC236}">
              <a16:creationId xmlns:a16="http://schemas.microsoft.com/office/drawing/2014/main" id="{00000000-0008-0000-1500-00006F000000}"/>
            </a:ext>
          </a:extLst>
        </xdr:cNvPr>
        <xdr:cNvSpPr>
          <a:spLocks noChangeShapeType="1"/>
        </xdr:cNvSpPr>
      </xdr:nvSpPr>
      <xdr:spPr bwMode="auto">
        <a:xfrm rot="5400000">
          <a:off x="8579009" y="9726547"/>
          <a:ext cx="0" cy="38072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7</xdr:col>
      <xdr:colOff>239151</xdr:colOff>
      <xdr:row>10</xdr:row>
      <xdr:rowOff>201051</xdr:rowOff>
    </xdr:from>
    <xdr:to>
      <xdr:col>9</xdr:col>
      <xdr:colOff>176432</xdr:colOff>
      <xdr:row>10</xdr:row>
      <xdr:rowOff>201051</xdr:rowOff>
    </xdr:to>
    <xdr:sp macro="" textlink="">
      <xdr:nvSpPr>
        <xdr:cNvPr id="112" name="Line 500">
          <a:extLst>
            <a:ext uri="{FF2B5EF4-FFF2-40B4-BE49-F238E27FC236}">
              <a16:creationId xmlns:a16="http://schemas.microsoft.com/office/drawing/2014/main" id="{00000000-0008-0000-1500-000070000000}"/>
            </a:ext>
          </a:extLst>
        </xdr:cNvPr>
        <xdr:cNvSpPr>
          <a:spLocks noChangeShapeType="1"/>
        </xdr:cNvSpPr>
      </xdr:nvSpPr>
      <xdr:spPr bwMode="auto">
        <a:xfrm rot="5400000">
          <a:off x="2111839" y="2446973"/>
          <a:ext cx="0" cy="40781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38100</xdr:colOff>
      <xdr:row>10</xdr:row>
      <xdr:rowOff>201052</xdr:rowOff>
    </xdr:from>
    <xdr:to>
      <xdr:col>12</xdr:col>
      <xdr:colOff>217170</xdr:colOff>
      <xdr:row>10</xdr:row>
      <xdr:rowOff>201052</xdr:rowOff>
    </xdr:to>
    <xdr:sp macro="" textlink="">
      <xdr:nvSpPr>
        <xdr:cNvPr id="113" name="Line 501">
          <a:extLst>
            <a:ext uri="{FF2B5EF4-FFF2-40B4-BE49-F238E27FC236}">
              <a16:creationId xmlns:a16="http://schemas.microsoft.com/office/drawing/2014/main" id="{00000000-0008-0000-1500-000071000000}"/>
            </a:ext>
          </a:extLst>
        </xdr:cNvPr>
        <xdr:cNvSpPr>
          <a:spLocks noChangeShapeType="1"/>
        </xdr:cNvSpPr>
      </xdr:nvSpPr>
      <xdr:spPr bwMode="auto">
        <a:xfrm rot="5400000">
          <a:off x="2865120" y="2443237"/>
          <a:ext cx="0" cy="41529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9</xdr:col>
      <xdr:colOff>212883</xdr:colOff>
      <xdr:row>10</xdr:row>
      <xdr:rowOff>196456</xdr:rowOff>
    </xdr:from>
    <xdr:to>
      <xdr:col>11</xdr:col>
      <xdr:colOff>20478</xdr:colOff>
      <xdr:row>10</xdr:row>
      <xdr:rowOff>196456</xdr:rowOff>
    </xdr:to>
    <xdr:sp macro="" textlink="">
      <xdr:nvSpPr>
        <xdr:cNvPr id="114" name="Line 749">
          <a:extLst>
            <a:ext uri="{FF2B5EF4-FFF2-40B4-BE49-F238E27FC236}">
              <a16:creationId xmlns:a16="http://schemas.microsoft.com/office/drawing/2014/main" id="{00000000-0008-0000-1500-000072000000}"/>
            </a:ext>
          </a:extLst>
        </xdr:cNvPr>
        <xdr:cNvSpPr>
          <a:spLocks noChangeShapeType="1"/>
        </xdr:cNvSpPr>
      </xdr:nvSpPr>
      <xdr:spPr bwMode="auto">
        <a:xfrm rot="5400000">
          <a:off x="2494121" y="2504363"/>
          <a:ext cx="0" cy="28384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29</xdr:col>
      <xdr:colOff>20262</xdr:colOff>
      <xdr:row>10</xdr:row>
      <xdr:rowOff>195490</xdr:rowOff>
    </xdr:from>
    <xdr:to>
      <xdr:col>30</xdr:col>
      <xdr:colOff>203143</xdr:colOff>
      <xdr:row>10</xdr:row>
      <xdr:rowOff>195490</xdr:rowOff>
    </xdr:to>
    <xdr:sp macro="" textlink="">
      <xdr:nvSpPr>
        <xdr:cNvPr id="115" name="Line 507">
          <a:extLst>
            <a:ext uri="{FF2B5EF4-FFF2-40B4-BE49-F238E27FC236}">
              <a16:creationId xmlns:a16="http://schemas.microsoft.com/office/drawing/2014/main" id="{00000000-0008-0000-1500-000073000000}"/>
            </a:ext>
          </a:extLst>
        </xdr:cNvPr>
        <xdr:cNvSpPr>
          <a:spLocks noChangeShapeType="1"/>
        </xdr:cNvSpPr>
      </xdr:nvSpPr>
      <xdr:spPr bwMode="auto">
        <a:xfrm rot="5400000">
          <a:off x="7136390" y="2431007"/>
          <a:ext cx="0" cy="42862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33</xdr:col>
      <xdr:colOff>242625</xdr:colOff>
      <xdr:row>83</xdr:row>
      <xdr:rowOff>205583</xdr:rowOff>
    </xdr:from>
    <xdr:to>
      <xdr:col>35</xdr:col>
      <xdr:colOff>28312</xdr:colOff>
      <xdr:row>83</xdr:row>
      <xdr:rowOff>205583</xdr:rowOff>
    </xdr:to>
    <xdr:sp macro="" textlink="">
      <xdr:nvSpPr>
        <xdr:cNvPr id="116" name="Line 640">
          <a:extLst>
            <a:ext uri="{FF2B5EF4-FFF2-40B4-BE49-F238E27FC236}">
              <a16:creationId xmlns:a16="http://schemas.microsoft.com/office/drawing/2014/main" id="{00000000-0008-0000-1500-000074000000}"/>
            </a:ext>
          </a:extLst>
        </xdr:cNvPr>
        <xdr:cNvSpPr>
          <a:spLocks noChangeShapeType="1"/>
        </xdr:cNvSpPr>
      </xdr:nvSpPr>
      <xdr:spPr bwMode="auto">
        <a:xfrm rot="5400000">
          <a:off x="8227909" y="9753919"/>
          <a:ext cx="0" cy="26574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5</xdr:col>
      <xdr:colOff>7857</xdr:colOff>
      <xdr:row>4</xdr:row>
      <xdr:rowOff>114301</xdr:rowOff>
    </xdr:from>
    <xdr:to>
      <xdr:col>7</xdr:col>
      <xdr:colOff>5953</xdr:colOff>
      <xdr:row>4</xdr:row>
      <xdr:rowOff>114301</xdr:rowOff>
    </xdr:to>
    <xdr:sp macro="" textlink="">
      <xdr:nvSpPr>
        <xdr:cNvPr id="117" name="Line 518">
          <a:extLst>
            <a:ext uri="{FF2B5EF4-FFF2-40B4-BE49-F238E27FC236}">
              <a16:creationId xmlns:a16="http://schemas.microsoft.com/office/drawing/2014/main" id="{00000000-0008-0000-1500-000075000000}"/>
            </a:ext>
          </a:extLst>
        </xdr:cNvPr>
        <xdr:cNvSpPr>
          <a:spLocks noChangeShapeType="1"/>
        </xdr:cNvSpPr>
      </xdr:nvSpPr>
      <xdr:spPr bwMode="auto">
        <a:xfrm rot="5400000">
          <a:off x="1437560" y="1010603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3</xdr:row>
      <xdr:rowOff>125808</xdr:rowOff>
    </xdr:from>
    <xdr:to>
      <xdr:col>7</xdr:col>
      <xdr:colOff>11905</xdr:colOff>
      <xdr:row>3</xdr:row>
      <xdr:rowOff>125808</xdr:rowOff>
    </xdr:to>
    <xdr:sp macro="" textlink="">
      <xdr:nvSpPr>
        <xdr:cNvPr id="118" name="Line 749">
          <a:extLst>
            <a:ext uri="{FF2B5EF4-FFF2-40B4-BE49-F238E27FC236}">
              <a16:creationId xmlns:a16="http://schemas.microsoft.com/office/drawing/2014/main" id="{00000000-0008-0000-1500-000076000000}"/>
            </a:ext>
          </a:extLst>
        </xdr:cNvPr>
        <xdr:cNvSpPr>
          <a:spLocks noChangeShapeType="1"/>
        </xdr:cNvSpPr>
      </xdr:nvSpPr>
      <xdr:spPr bwMode="auto">
        <a:xfrm rot="5400000">
          <a:off x="1436608" y="798035"/>
          <a:ext cx="0" cy="491965"/>
        </a:xfrm>
        <a:prstGeom prst="line">
          <a:avLst/>
        </a:prstGeom>
        <a:noFill/>
        <a:ln w="28575">
          <a:solidFill>
            <a:srgbClr val="FFC000"/>
          </a:solidFill>
          <a:round/>
          <a:headEnd/>
          <a:tailEnd/>
        </a:ln>
      </xdr:spPr>
    </xdr:sp>
    <xdr:clientData/>
  </xdr:twoCellAnchor>
  <xdr:twoCellAnchor>
    <xdr:from>
      <xdr:col>5</xdr:col>
      <xdr:colOff>1904</xdr:colOff>
      <xdr:row>1</xdr:row>
      <xdr:rowOff>135736</xdr:rowOff>
    </xdr:from>
    <xdr:to>
      <xdr:col>7</xdr:col>
      <xdr:colOff>3662</xdr:colOff>
      <xdr:row>1</xdr:row>
      <xdr:rowOff>135736</xdr:rowOff>
    </xdr:to>
    <xdr:sp macro="" textlink="">
      <xdr:nvSpPr>
        <xdr:cNvPr id="119" name="Line 749">
          <a:extLst>
            <a:ext uri="{FF2B5EF4-FFF2-40B4-BE49-F238E27FC236}">
              <a16:creationId xmlns:a16="http://schemas.microsoft.com/office/drawing/2014/main" id="{00000000-0008-0000-1500-000077000000}"/>
            </a:ext>
          </a:extLst>
        </xdr:cNvPr>
        <xdr:cNvSpPr>
          <a:spLocks noChangeShapeType="1"/>
        </xdr:cNvSpPr>
      </xdr:nvSpPr>
      <xdr:spPr bwMode="auto">
        <a:xfrm rot="5400000">
          <a:off x="1431533" y="36917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</xdr:col>
      <xdr:colOff>1904</xdr:colOff>
      <xdr:row>2</xdr:row>
      <xdr:rowOff>130093</xdr:rowOff>
    </xdr:from>
    <xdr:to>
      <xdr:col>7</xdr:col>
      <xdr:colOff>5952</xdr:colOff>
      <xdr:row>2</xdr:row>
      <xdr:rowOff>130093</xdr:rowOff>
    </xdr:to>
    <xdr:sp macro="" textlink="">
      <xdr:nvSpPr>
        <xdr:cNvPr id="120" name="Line 749">
          <a:extLst>
            <a:ext uri="{FF2B5EF4-FFF2-40B4-BE49-F238E27FC236}">
              <a16:creationId xmlns:a16="http://schemas.microsoft.com/office/drawing/2014/main" id="{00000000-0008-0000-1500-000078000000}"/>
            </a:ext>
          </a:extLst>
        </xdr:cNvPr>
        <xdr:cNvSpPr>
          <a:spLocks noChangeShapeType="1"/>
        </xdr:cNvSpPr>
      </xdr:nvSpPr>
      <xdr:spPr bwMode="auto">
        <a:xfrm rot="5400000">
          <a:off x="1433631" y="588126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</xdr:col>
      <xdr:colOff>15716</xdr:colOff>
      <xdr:row>5</xdr:row>
      <xdr:rowOff>114301</xdr:rowOff>
    </xdr:from>
    <xdr:to>
      <xdr:col>7</xdr:col>
      <xdr:colOff>0</xdr:colOff>
      <xdr:row>5</xdr:row>
      <xdr:rowOff>114301</xdr:rowOff>
    </xdr:to>
    <xdr:sp macro="" textlink="">
      <xdr:nvSpPr>
        <xdr:cNvPr id="121" name="Line 519">
          <a:extLst>
            <a:ext uri="{FF2B5EF4-FFF2-40B4-BE49-F238E27FC236}">
              <a16:creationId xmlns:a16="http://schemas.microsoft.com/office/drawing/2014/main" id="{00000000-0008-0000-1500-000079000000}"/>
            </a:ext>
          </a:extLst>
        </xdr:cNvPr>
        <xdr:cNvSpPr>
          <a:spLocks noChangeShapeType="1"/>
        </xdr:cNvSpPr>
      </xdr:nvSpPr>
      <xdr:spPr bwMode="auto">
        <a:xfrm rot="5400000">
          <a:off x="1438513" y="123848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</xdr:col>
      <xdr:colOff>11666</xdr:colOff>
      <xdr:row>6</xdr:row>
      <xdr:rowOff>98474</xdr:rowOff>
    </xdr:from>
    <xdr:to>
      <xdr:col>7</xdr:col>
      <xdr:colOff>0</xdr:colOff>
      <xdr:row>6</xdr:row>
      <xdr:rowOff>98474</xdr:rowOff>
    </xdr:to>
    <xdr:sp macro="" textlink="">
      <xdr:nvSpPr>
        <xdr:cNvPr id="122" name="Line 167">
          <a:extLst>
            <a:ext uri="{FF2B5EF4-FFF2-40B4-BE49-F238E27FC236}">
              <a16:creationId xmlns:a16="http://schemas.microsoft.com/office/drawing/2014/main" id="{00000000-0008-0000-1500-00007A000000}"/>
            </a:ext>
          </a:extLst>
        </xdr:cNvPr>
        <xdr:cNvSpPr>
          <a:spLocks noChangeShapeType="1"/>
        </xdr:cNvSpPr>
      </xdr:nvSpPr>
      <xdr:spPr bwMode="auto">
        <a:xfrm rot="5400000">
          <a:off x="1436488" y="1435902"/>
          <a:ext cx="0" cy="46077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5</xdr:col>
      <xdr:colOff>5476</xdr:colOff>
      <xdr:row>7</xdr:row>
      <xdr:rowOff>124303</xdr:rowOff>
    </xdr:from>
    <xdr:to>
      <xdr:col>7</xdr:col>
      <xdr:colOff>11192</xdr:colOff>
      <xdr:row>7</xdr:row>
      <xdr:rowOff>124303</xdr:rowOff>
    </xdr:to>
    <xdr:sp macro="" textlink="">
      <xdr:nvSpPr>
        <xdr:cNvPr id="123" name="Line 520">
          <a:extLst>
            <a:ext uri="{FF2B5EF4-FFF2-40B4-BE49-F238E27FC236}">
              <a16:creationId xmlns:a16="http://schemas.microsoft.com/office/drawing/2014/main" id="{00000000-0008-0000-1500-00007B000000}"/>
            </a:ext>
          </a:extLst>
        </xdr:cNvPr>
        <xdr:cNvSpPr>
          <a:spLocks noChangeShapeType="1"/>
        </xdr:cNvSpPr>
      </xdr:nvSpPr>
      <xdr:spPr bwMode="auto">
        <a:xfrm rot="5400000">
          <a:off x="1438989" y="1675925"/>
          <a:ext cx="0" cy="48196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38</xdr:col>
      <xdr:colOff>0</xdr:colOff>
      <xdr:row>24</xdr:row>
      <xdr:rowOff>0</xdr:rowOff>
    </xdr:from>
    <xdr:to>
      <xdr:col>38</xdr:col>
      <xdr:colOff>0</xdr:colOff>
      <xdr:row>24</xdr:row>
      <xdr:rowOff>15240</xdr:rowOff>
    </xdr:to>
    <xdr:grpSp>
      <xdr:nvGrpSpPr>
        <xdr:cNvPr id="124" name="Group 234">
          <a:extLst>
            <a:ext uri="{FF2B5EF4-FFF2-40B4-BE49-F238E27FC236}">
              <a16:creationId xmlns:a16="http://schemas.microsoft.com/office/drawing/2014/main" id="{00000000-0008-0000-1500-00007C000000}"/>
            </a:ext>
          </a:extLst>
        </xdr:cNvPr>
        <xdr:cNvGrpSpPr>
          <a:grpSpLocks/>
        </xdr:cNvGrpSpPr>
      </xdr:nvGrpSpPr>
      <xdr:grpSpPr bwMode="auto">
        <a:xfrm>
          <a:off x="9040813" y="4730750"/>
          <a:ext cx="0" cy="15240"/>
          <a:chOff x="403" y="448"/>
          <a:chExt cx="44" cy="4"/>
        </a:xfrm>
      </xdr:grpSpPr>
      <xdr:sp macro="" textlink="">
        <xdr:nvSpPr>
          <xdr:cNvPr id="125" name="Line 130">
            <a:extLst>
              <a:ext uri="{FF2B5EF4-FFF2-40B4-BE49-F238E27FC236}">
                <a16:creationId xmlns:a16="http://schemas.microsoft.com/office/drawing/2014/main" id="{00000000-0008-0000-1500-00007D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26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26" name="Line 131">
            <a:extLst>
              <a:ext uri="{FF2B5EF4-FFF2-40B4-BE49-F238E27FC236}">
                <a16:creationId xmlns:a16="http://schemas.microsoft.com/office/drawing/2014/main" id="{00000000-0008-0000-1500-00007E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30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22</xdr:row>
      <xdr:rowOff>0</xdr:rowOff>
    </xdr:from>
    <xdr:to>
      <xdr:col>38</xdr:col>
      <xdr:colOff>0</xdr:colOff>
      <xdr:row>22</xdr:row>
      <xdr:rowOff>15240</xdr:rowOff>
    </xdr:to>
    <xdr:grpSp>
      <xdr:nvGrpSpPr>
        <xdr:cNvPr id="127" name="Group 656">
          <a:extLst>
            <a:ext uri="{FF2B5EF4-FFF2-40B4-BE49-F238E27FC236}">
              <a16:creationId xmlns:a16="http://schemas.microsoft.com/office/drawing/2014/main" id="{00000000-0008-0000-1500-00007F000000}"/>
            </a:ext>
          </a:extLst>
        </xdr:cNvPr>
        <xdr:cNvGrpSpPr>
          <a:grpSpLocks/>
        </xdr:cNvGrpSpPr>
      </xdr:nvGrpSpPr>
      <xdr:grpSpPr bwMode="auto">
        <a:xfrm>
          <a:off x="9040813" y="4349750"/>
          <a:ext cx="0" cy="15240"/>
          <a:chOff x="353" y="423"/>
          <a:chExt cx="44" cy="4"/>
        </a:xfrm>
      </xdr:grpSpPr>
      <xdr:sp macro="" textlink="">
        <xdr:nvSpPr>
          <xdr:cNvPr id="128" name="Line 143">
            <a:extLst>
              <a:ext uri="{FF2B5EF4-FFF2-40B4-BE49-F238E27FC236}">
                <a16:creationId xmlns:a16="http://schemas.microsoft.com/office/drawing/2014/main" id="{00000000-0008-0000-1500-000080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29" name="Line 144">
            <a:extLst>
              <a:ext uri="{FF2B5EF4-FFF2-40B4-BE49-F238E27FC236}">
                <a16:creationId xmlns:a16="http://schemas.microsoft.com/office/drawing/2014/main" id="{00000000-0008-0000-1500-000081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22</xdr:row>
      <xdr:rowOff>0</xdr:rowOff>
    </xdr:from>
    <xdr:to>
      <xdr:col>38</xdr:col>
      <xdr:colOff>0</xdr:colOff>
      <xdr:row>22</xdr:row>
      <xdr:rowOff>15240</xdr:rowOff>
    </xdr:to>
    <xdr:grpSp>
      <xdr:nvGrpSpPr>
        <xdr:cNvPr id="130" name="Group 655">
          <a:extLst>
            <a:ext uri="{FF2B5EF4-FFF2-40B4-BE49-F238E27FC236}">
              <a16:creationId xmlns:a16="http://schemas.microsoft.com/office/drawing/2014/main" id="{00000000-0008-0000-1500-000082000000}"/>
            </a:ext>
          </a:extLst>
        </xdr:cNvPr>
        <xdr:cNvGrpSpPr>
          <a:grpSpLocks/>
        </xdr:cNvGrpSpPr>
      </xdr:nvGrpSpPr>
      <xdr:grpSpPr bwMode="auto">
        <a:xfrm>
          <a:off x="9040813" y="4349750"/>
          <a:ext cx="0" cy="15240"/>
          <a:chOff x="403" y="423"/>
          <a:chExt cx="44" cy="4"/>
        </a:xfrm>
      </xdr:grpSpPr>
      <xdr:sp macro="" textlink="">
        <xdr:nvSpPr>
          <xdr:cNvPr id="131" name="Line 146">
            <a:extLst>
              <a:ext uri="{FF2B5EF4-FFF2-40B4-BE49-F238E27FC236}">
                <a16:creationId xmlns:a16="http://schemas.microsoft.com/office/drawing/2014/main" id="{00000000-0008-0000-1500-000083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32" name="Line 147">
            <a:extLst>
              <a:ext uri="{FF2B5EF4-FFF2-40B4-BE49-F238E27FC236}">
                <a16:creationId xmlns:a16="http://schemas.microsoft.com/office/drawing/2014/main" id="{00000000-0008-0000-1500-00008400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11</xdr:col>
      <xdr:colOff>0</xdr:colOff>
      <xdr:row>24</xdr:row>
      <xdr:rowOff>127000</xdr:rowOff>
    </xdr:from>
    <xdr:to>
      <xdr:col>12</xdr:col>
      <xdr:colOff>6350</xdr:colOff>
      <xdr:row>26</xdr:row>
      <xdr:rowOff>0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0000000-0008-0000-1500-000085000000}"/>
            </a:ext>
          </a:extLst>
        </xdr:cNvPr>
        <xdr:cNvCxnSpPr/>
      </xdr:nvCxnSpPr>
      <xdr:spPr>
        <a:xfrm flipV="1">
          <a:off x="2619375" y="5426710"/>
          <a:ext cx="246380" cy="3073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24</xdr:row>
      <xdr:rowOff>133350</xdr:rowOff>
    </xdr:from>
    <xdr:to>
      <xdr:col>11</xdr:col>
      <xdr:colOff>12700</xdr:colOff>
      <xdr:row>26</xdr:row>
      <xdr:rowOff>6350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00000000-0008-0000-1500-000086000000}"/>
            </a:ext>
          </a:extLst>
        </xdr:cNvPr>
        <xdr:cNvCxnSpPr/>
      </xdr:nvCxnSpPr>
      <xdr:spPr>
        <a:xfrm flipV="1">
          <a:off x="2389505" y="5425440"/>
          <a:ext cx="246380" cy="3168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24</xdr:row>
      <xdr:rowOff>120650</xdr:rowOff>
    </xdr:from>
    <xdr:to>
      <xdr:col>18</xdr:col>
      <xdr:colOff>6350</xdr:colOff>
      <xdr:row>25</xdr:row>
      <xdr:rowOff>203200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00000000-0008-0000-1500-000087000000}"/>
            </a:ext>
          </a:extLst>
        </xdr:cNvPr>
        <xdr:cNvCxnSpPr/>
      </xdr:nvCxnSpPr>
      <xdr:spPr>
        <a:xfrm flipV="1">
          <a:off x="4048125" y="5418455"/>
          <a:ext cx="246380" cy="3035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6350</xdr:colOff>
      <xdr:row>24</xdr:row>
      <xdr:rowOff>127000</xdr:rowOff>
    </xdr:from>
    <xdr:to>
      <xdr:col>17</xdr:col>
      <xdr:colOff>12700</xdr:colOff>
      <xdr:row>26</xdr:row>
      <xdr:rowOff>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00000000-0008-0000-1500-000088000000}"/>
            </a:ext>
          </a:extLst>
        </xdr:cNvPr>
        <xdr:cNvCxnSpPr/>
      </xdr:nvCxnSpPr>
      <xdr:spPr>
        <a:xfrm flipV="1">
          <a:off x="3818255" y="5426710"/>
          <a:ext cx="246380" cy="3073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234950</xdr:colOff>
      <xdr:row>24</xdr:row>
      <xdr:rowOff>171450</xdr:rowOff>
    </xdr:from>
    <xdr:to>
      <xdr:col>24</xdr:col>
      <xdr:colOff>0</xdr:colOff>
      <xdr:row>26</xdr:row>
      <xdr:rowOff>44450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00000000-0008-0000-1500-000089000000}"/>
            </a:ext>
          </a:extLst>
        </xdr:cNvPr>
        <xdr:cNvCxnSpPr/>
      </xdr:nvCxnSpPr>
      <xdr:spPr>
        <a:xfrm flipV="1">
          <a:off x="5475605" y="5463540"/>
          <a:ext cx="239395" cy="3168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24</xdr:row>
      <xdr:rowOff>177800</xdr:rowOff>
    </xdr:from>
    <xdr:to>
      <xdr:col>23</xdr:col>
      <xdr:colOff>6350</xdr:colOff>
      <xdr:row>26</xdr:row>
      <xdr:rowOff>50800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00000000-0008-0000-1500-00008A000000}"/>
            </a:ext>
          </a:extLst>
        </xdr:cNvPr>
        <xdr:cNvCxnSpPr/>
      </xdr:nvCxnSpPr>
      <xdr:spPr>
        <a:xfrm flipV="1">
          <a:off x="5238750" y="5469890"/>
          <a:ext cx="246380" cy="31877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222250</xdr:colOff>
      <xdr:row>22</xdr:row>
      <xdr:rowOff>152400</xdr:rowOff>
    </xdr:from>
    <xdr:to>
      <xdr:col>23</xdr:col>
      <xdr:colOff>228600</xdr:colOff>
      <xdr:row>24</xdr:row>
      <xdr:rowOff>25400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00000000-0008-0000-1500-00008B000000}"/>
            </a:ext>
          </a:extLst>
        </xdr:cNvPr>
        <xdr:cNvCxnSpPr/>
      </xdr:nvCxnSpPr>
      <xdr:spPr>
        <a:xfrm flipV="1">
          <a:off x="5459095" y="5010150"/>
          <a:ext cx="246380" cy="3073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228600</xdr:colOff>
      <xdr:row>22</xdr:row>
      <xdr:rowOff>158750</xdr:rowOff>
    </xdr:from>
    <xdr:to>
      <xdr:col>22</xdr:col>
      <xdr:colOff>234950</xdr:colOff>
      <xdr:row>24</xdr:row>
      <xdr:rowOff>31750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00000000-0008-0000-1500-00008C000000}"/>
            </a:ext>
          </a:extLst>
        </xdr:cNvPr>
        <xdr:cNvCxnSpPr/>
      </xdr:nvCxnSpPr>
      <xdr:spPr>
        <a:xfrm flipV="1">
          <a:off x="5229225" y="5018405"/>
          <a:ext cx="246380" cy="3073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181706</xdr:colOff>
      <xdr:row>24</xdr:row>
      <xdr:rowOff>201248</xdr:rowOff>
    </xdr:from>
    <xdr:to>
      <xdr:col>28</xdr:col>
      <xdr:colOff>188057</xdr:colOff>
      <xdr:row>26</xdr:row>
      <xdr:rowOff>61060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00000000-0008-0000-1500-00008D000000}"/>
            </a:ext>
          </a:extLst>
        </xdr:cNvPr>
        <xdr:cNvCxnSpPr/>
      </xdr:nvCxnSpPr>
      <xdr:spPr>
        <a:xfrm flipV="1">
          <a:off x="6609176" y="5499053"/>
          <a:ext cx="246381" cy="29224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222250</xdr:colOff>
      <xdr:row>22</xdr:row>
      <xdr:rowOff>114300</xdr:rowOff>
    </xdr:from>
    <xdr:to>
      <xdr:col>29</xdr:col>
      <xdr:colOff>228600</xdr:colOff>
      <xdr:row>23</xdr:row>
      <xdr:rowOff>196850</xdr:rowOff>
    </xdr:to>
    <xdr:cxnSp macro="">
      <xdr:nvCxnSpPr>
        <xdr:cNvPr id="142" name="직선 연결선 141">
          <a:extLst>
            <a:ext uri="{FF2B5EF4-FFF2-40B4-BE49-F238E27FC236}">
              <a16:creationId xmlns:a16="http://schemas.microsoft.com/office/drawing/2014/main" id="{00000000-0008-0000-1500-00008E000000}"/>
            </a:ext>
          </a:extLst>
        </xdr:cNvPr>
        <xdr:cNvCxnSpPr/>
      </xdr:nvCxnSpPr>
      <xdr:spPr>
        <a:xfrm flipV="1">
          <a:off x="6887845" y="4972050"/>
          <a:ext cx="246380" cy="3035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228600</xdr:colOff>
      <xdr:row>22</xdr:row>
      <xdr:rowOff>120650</xdr:rowOff>
    </xdr:from>
    <xdr:to>
      <xdr:col>28</xdr:col>
      <xdr:colOff>234950</xdr:colOff>
      <xdr:row>23</xdr:row>
      <xdr:rowOff>203200</xdr:rowOff>
    </xdr:to>
    <xdr:cxnSp macro="">
      <xdr:nvCxnSpPr>
        <xdr:cNvPr id="143" name="직선 연결선 142">
          <a:extLst>
            <a:ext uri="{FF2B5EF4-FFF2-40B4-BE49-F238E27FC236}">
              <a16:creationId xmlns:a16="http://schemas.microsoft.com/office/drawing/2014/main" id="{00000000-0008-0000-1500-00008F000000}"/>
            </a:ext>
          </a:extLst>
        </xdr:cNvPr>
        <xdr:cNvCxnSpPr/>
      </xdr:nvCxnSpPr>
      <xdr:spPr>
        <a:xfrm flipV="1">
          <a:off x="6657975" y="4980305"/>
          <a:ext cx="246380" cy="3035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</xdr:colOff>
      <xdr:row>25</xdr:row>
      <xdr:rowOff>0</xdr:rowOff>
    </xdr:from>
    <xdr:to>
      <xdr:col>29</xdr:col>
      <xdr:colOff>12700</xdr:colOff>
      <xdr:row>26</xdr:row>
      <xdr:rowOff>82550</xdr:rowOff>
    </xdr:to>
    <xdr:cxnSp macro="">
      <xdr:nvCxnSpPr>
        <xdr:cNvPr id="144" name="직선 연결선 143">
          <a:extLst>
            <a:ext uri="{FF2B5EF4-FFF2-40B4-BE49-F238E27FC236}">
              <a16:creationId xmlns:a16="http://schemas.microsoft.com/office/drawing/2014/main" id="{00000000-0008-0000-1500-000090000000}"/>
            </a:ext>
          </a:extLst>
        </xdr:cNvPr>
        <xdr:cNvCxnSpPr/>
      </xdr:nvCxnSpPr>
      <xdr:spPr>
        <a:xfrm flipV="1">
          <a:off x="6675755" y="5514975"/>
          <a:ext cx="246380" cy="3035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199780</xdr:colOff>
      <xdr:row>24</xdr:row>
      <xdr:rowOff>206135</xdr:rowOff>
    </xdr:from>
    <xdr:to>
      <xdr:col>29</xdr:col>
      <xdr:colOff>199291</xdr:colOff>
      <xdr:row>26</xdr:row>
      <xdr:rowOff>65947</xdr:rowOff>
    </xdr:to>
    <xdr:cxnSp macro="">
      <xdr:nvCxnSpPr>
        <xdr:cNvPr id="145" name="직선 연결선 144">
          <a:extLst>
            <a:ext uri="{FF2B5EF4-FFF2-40B4-BE49-F238E27FC236}">
              <a16:creationId xmlns:a16="http://schemas.microsoft.com/office/drawing/2014/main" id="{00000000-0008-0000-1500-000091000000}"/>
            </a:ext>
          </a:extLst>
        </xdr:cNvPr>
        <xdr:cNvCxnSpPr/>
      </xdr:nvCxnSpPr>
      <xdr:spPr>
        <a:xfrm flipV="1">
          <a:off x="6869185" y="5505845"/>
          <a:ext cx="237636" cy="29224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41030</xdr:colOff>
      <xdr:row>24</xdr:row>
      <xdr:rowOff>185127</xdr:rowOff>
    </xdr:from>
    <xdr:to>
      <xdr:col>30</xdr:col>
      <xdr:colOff>47380</xdr:colOff>
      <xdr:row>26</xdr:row>
      <xdr:rowOff>58127</xdr:rowOff>
    </xdr:to>
    <xdr:cxnSp macro="">
      <xdr:nvCxnSpPr>
        <xdr:cNvPr id="146" name="직선 연결선 145">
          <a:extLst>
            <a:ext uri="{FF2B5EF4-FFF2-40B4-BE49-F238E27FC236}">
              <a16:creationId xmlns:a16="http://schemas.microsoft.com/office/drawing/2014/main" id="{00000000-0008-0000-1500-000092000000}"/>
            </a:ext>
          </a:extLst>
        </xdr:cNvPr>
        <xdr:cNvCxnSpPr/>
      </xdr:nvCxnSpPr>
      <xdr:spPr>
        <a:xfrm flipV="1">
          <a:off x="6946655" y="5479122"/>
          <a:ext cx="246380" cy="3092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175846</xdr:colOff>
      <xdr:row>24</xdr:row>
      <xdr:rowOff>193919</xdr:rowOff>
    </xdr:from>
    <xdr:to>
      <xdr:col>34</xdr:col>
      <xdr:colOff>182197</xdr:colOff>
      <xdr:row>26</xdr:row>
      <xdr:rowOff>53731</xdr:rowOff>
    </xdr:to>
    <xdr:cxnSp macro="">
      <xdr:nvCxnSpPr>
        <xdr:cNvPr id="147" name="직선 연결선 146">
          <a:extLst>
            <a:ext uri="{FF2B5EF4-FFF2-40B4-BE49-F238E27FC236}">
              <a16:creationId xmlns:a16="http://schemas.microsoft.com/office/drawing/2014/main" id="{00000000-0008-0000-1500-000093000000}"/>
            </a:ext>
          </a:extLst>
        </xdr:cNvPr>
        <xdr:cNvCxnSpPr/>
      </xdr:nvCxnSpPr>
      <xdr:spPr>
        <a:xfrm flipV="1">
          <a:off x="8030161" y="5489819"/>
          <a:ext cx="246381" cy="30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228600</xdr:colOff>
      <xdr:row>22</xdr:row>
      <xdr:rowOff>120650</xdr:rowOff>
    </xdr:from>
    <xdr:to>
      <xdr:col>35</xdr:col>
      <xdr:colOff>234950</xdr:colOff>
      <xdr:row>23</xdr:row>
      <xdr:rowOff>203200</xdr:rowOff>
    </xdr:to>
    <xdr:cxnSp macro="">
      <xdr:nvCxnSpPr>
        <xdr:cNvPr id="148" name="직선 연결선 147">
          <a:extLst>
            <a:ext uri="{FF2B5EF4-FFF2-40B4-BE49-F238E27FC236}">
              <a16:creationId xmlns:a16="http://schemas.microsoft.com/office/drawing/2014/main" id="{00000000-0008-0000-1500-000094000000}"/>
            </a:ext>
          </a:extLst>
        </xdr:cNvPr>
        <xdr:cNvCxnSpPr/>
      </xdr:nvCxnSpPr>
      <xdr:spPr>
        <a:xfrm flipV="1">
          <a:off x="8324850" y="4980305"/>
          <a:ext cx="246380" cy="3035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234950</xdr:colOff>
      <xdr:row>22</xdr:row>
      <xdr:rowOff>127000</xdr:rowOff>
    </xdr:from>
    <xdr:to>
      <xdr:col>35</xdr:col>
      <xdr:colOff>0</xdr:colOff>
      <xdr:row>24</xdr:row>
      <xdr:rowOff>0</xdr:rowOff>
    </xdr:to>
    <xdr:cxnSp macro="">
      <xdr:nvCxnSpPr>
        <xdr:cNvPr id="149" name="직선 연결선 148">
          <a:extLst>
            <a:ext uri="{FF2B5EF4-FFF2-40B4-BE49-F238E27FC236}">
              <a16:creationId xmlns:a16="http://schemas.microsoft.com/office/drawing/2014/main" id="{00000000-0008-0000-1500-000095000000}"/>
            </a:ext>
          </a:extLst>
        </xdr:cNvPr>
        <xdr:cNvCxnSpPr/>
      </xdr:nvCxnSpPr>
      <xdr:spPr>
        <a:xfrm flipV="1">
          <a:off x="8094980" y="4988560"/>
          <a:ext cx="239395" cy="3073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6350</xdr:colOff>
      <xdr:row>24</xdr:row>
      <xdr:rowOff>190500</xdr:rowOff>
    </xdr:from>
    <xdr:to>
      <xdr:col>35</xdr:col>
      <xdr:colOff>12700</xdr:colOff>
      <xdr:row>26</xdr:row>
      <xdr:rowOff>63500</xdr:rowOff>
    </xdr:to>
    <xdr:cxnSp macro="">
      <xdr:nvCxnSpPr>
        <xdr:cNvPr id="150" name="직선 연결선 149">
          <a:extLst>
            <a:ext uri="{FF2B5EF4-FFF2-40B4-BE49-F238E27FC236}">
              <a16:creationId xmlns:a16="http://schemas.microsoft.com/office/drawing/2014/main" id="{00000000-0008-0000-1500-000096000000}"/>
            </a:ext>
          </a:extLst>
        </xdr:cNvPr>
        <xdr:cNvCxnSpPr/>
      </xdr:nvCxnSpPr>
      <xdr:spPr>
        <a:xfrm flipV="1">
          <a:off x="8104505" y="5486400"/>
          <a:ext cx="246380" cy="3073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211504</xdr:colOff>
      <xdr:row>24</xdr:row>
      <xdr:rowOff>210527</xdr:rowOff>
    </xdr:from>
    <xdr:to>
      <xdr:col>35</xdr:col>
      <xdr:colOff>211015</xdr:colOff>
      <xdr:row>26</xdr:row>
      <xdr:rowOff>70339</xdr:rowOff>
    </xdr:to>
    <xdr:cxnSp macro="">
      <xdr:nvCxnSpPr>
        <xdr:cNvPr id="151" name="직선 연결선 150">
          <a:extLst>
            <a:ext uri="{FF2B5EF4-FFF2-40B4-BE49-F238E27FC236}">
              <a16:creationId xmlns:a16="http://schemas.microsoft.com/office/drawing/2014/main" id="{00000000-0008-0000-1500-000097000000}"/>
            </a:ext>
          </a:extLst>
        </xdr:cNvPr>
        <xdr:cNvCxnSpPr/>
      </xdr:nvCxnSpPr>
      <xdr:spPr>
        <a:xfrm flipV="1">
          <a:off x="8303944" y="5502617"/>
          <a:ext cx="237636" cy="2998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46893</xdr:colOff>
      <xdr:row>24</xdr:row>
      <xdr:rowOff>201247</xdr:rowOff>
    </xdr:from>
    <xdr:to>
      <xdr:col>36</xdr:col>
      <xdr:colOff>53243</xdr:colOff>
      <xdr:row>26</xdr:row>
      <xdr:rowOff>74247</xdr:rowOff>
    </xdr:to>
    <xdr:cxnSp macro="">
      <xdr:nvCxnSpPr>
        <xdr:cNvPr id="152" name="직선 연결선 151">
          <a:extLst>
            <a:ext uri="{FF2B5EF4-FFF2-40B4-BE49-F238E27FC236}">
              <a16:creationId xmlns:a16="http://schemas.microsoft.com/office/drawing/2014/main" id="{00000000-0008-0000-1500-000098000000}"/>
            </a:ext>
          </a:extLst>
        </xdr:cNvPr>
        <xdr:cNvCxnSpPr/>
      </xdr:nvCxnSpPr>
      <xdr:spPr>
        <a:xfrm flipV="1">
          <a:off x="8383173" y="5499052"/>
          <a:ext cx="246380" cy="3092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35169</xdr:colOff>
      <xdr:row>20</xdr:row>
      <xdr:rowOff>148981</xdr:rowOff>
    </xdr:from>
    <xdr:to>
      <xdr:col>36</xdr:col>
      <xdr:colOff>41519</xdr:colOff>
      <xdr:row>22</xdr:row>
      <xdr:rowOff>8793</xdr:rowOff>
    </xdr:to>
    <xdr:cxnSp macro="">
      <xdr:nvCxnSpPr>
        <xdr:cNvPr id="153" name="직선 연결선 152">
          <a:extLst>
            <a:ext uri="{FF2B5EF4-FFF2-40B4-BE49-F238E27FC236}">
              <a16:creationId xmlns:a16="http://schemas.microsoft.com/office/drawing/2014/main" id="{00000000-0008-0000-1500-000099000000}"/>
            </a:ext>
          </a:extLst>
        </xdr:cNvPr>
        <xdr:cNvCxnSpPr/>
      </xdr:nvCxnSpPr>
      <xdr:spPr>
        <a:xfrm flipV="1">
          <a:off x="8369544" y="4568581"/>
          <a:ext cx="244475" cy="2998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12211</xdr:colOff>
      <xdr:row>20</xdr:row>
      <xdr:rowOff>155331</xdr:rowOff>
    </xdr:from>
    <xdr:to>
      <xdr:col>35</xdr:col>
      <xdr:colOff>18561</xdr:colOff>
      <xdr:row>22</xdr:row>
      <xdr:rowOff>15143</xdr:rowOff>
    </xdr:to>
    <xdr:cxnSp macro="">
      <xdr:nvCxnSpPr>
        <xdr:cNvPr id="154" name="직선 연결선 153">
          <a:extLst>
            <a:ext uri="{FF2B5EF4-FFF2-40B4-BE49-F238E27FC236}">
              <a16:creationId xmlns:a16="http://schemas.microsoft.com/office/drawing/2014/main" id="{00000000-0008-0000-1500-00009A000000}"/>
            </a:ext>
          </a:extLst>
        </xdr:cNvPr>
        <xdr:cNvCxnSpPr/>
      </xdr:nvCxnSpPr>
      <xdr:spPr>
        <a:xfrm flipV="1">
          <a:off x="8112271" y="4574931"/>
          <a:ext cx="244475" cy="30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206710</xdr:colOff>
      <xdr:row>24</xdr:row>
      <xdr:rowOff>158256</xdr:rowOff>
    </xdr:from>
    <xdr:to>
      <xdr:col>40</xdr:col>
      <xdr:colOff>197185</xdr:colOff>
      <xdr:row>26</xdr:row>
      <xdr:rowOff>18068</xdr:rowOff>
    </xdr:to>
    <xdr:cxnSp macro="">
      <xdr:nvCxnSpPr>
        <xdr:cNvPr id="155" name="직선 연결선 154">
          <a:extLst>
            <a:ext uri="{FF2B5EF4-FFF2-40B4-BE49-F238E27FC236}">
              <a16:creationId xmlns:a16="http://schemas.microsoft.com/office/drawing/2014/main" id="{00000000-0008-0000-1500-00009B000000}"/>
            </a:ext>
          </a:extLst>
        </xdr:cNvPr>
        <xdr:cNvCxnSpPr/>
      </xdr:nvCxnSpPr>
      <xdr:spPr>
        <a:xfrm flipV="1">
          <a:off x="9497395" y="5456061"/>
          <a:ext cx="236220" cy="2998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25491</xdr:colOff>
      <xdr:row>24</xdr:row>
      <xdr:rowOff>184145</xdr:rowOff>
    </xdr:from>
    <xdr:to>
      <xdr:col>41</xdr:col>
      <xdr:colOff>15966</xdr:colOff>
      <xdr:row>26</xdr:row>
      <xdr:rowOff>57145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00000000-0008-0000-1500-00009C000000}"/>
            </a:ext>
          </a:extLst>
        </xdr:cNvPr>
        <xdr:cNvCxnSpPr/>
      </xdr:nvCxnSpPr>
      <xdr:spPr>
        <a:xfrm flipV="1">
          <a:off x="9556206" y="5478140"/>
          <a:ext cx="245745" cy="31686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199383</xdr:colOff>
      <xdr:row>24</xdr:row>
      <xdr:rowOff>186587</xdr:rowOff>
    </xdr:from>
    <xdr:to>
      <xdr:col>41</xdr:col>
      <xdr:colOff>188637</xdr:colOff>
      <xdr:row>26</xdr:row>
      <xdr:rowOff>46399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00000000-0008-0000-1500-00009D000000}"/>
            </a:ext>
          </a:extLst>
        </xdr:cNvPr>
        <xdr:cNvCxnSpPr/>
      </xdr:nvCxnSpPr>
      <xdr:spPr>
        <a:xfrm flipV="1">
          <a:off x="9735813" y="5480582"/>
          <a:ext cx="234999" cy="30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38435</xdr:colOff>
      <xdr:row>24</xdr:row>
      <xdr:rowOff>189030</xdr:rowOff>
    </xdr:from>
    <xdr:to>
      <xdr:col>42</xdr:col>
      <xdr:colOff>30863</xdr:colOff>
      <xdr:row>26</xdr:row>
      <xdr:rowOff>62030</xdr:rowOff>
    </xdr:to>
    <xdr:cxnSp macro="">
      <xdr:nvCxnSpPr>
        <xdr:cNvPr id="158" name="직선 연결선 157">
          <a:extLst>
            <a:ext uri="{FF2B5EF4-FFF2-40B4-BE49-F238E27FC236}">
              <a16:creationId xmlns:a16="http://schemas.microsoft.com/office/drawing/2014/main" id="{00000000-0008-0000-1500-00009E000000}"/>
            </a:ext>
          </a:extLst>
        </xdr:cNvPr>
        <xdr:cNvCxnSpPr/>
      </xdr:nvCxnSpPr>
      <xdr:spPr>
        <a:xfrm flipV="1">
          <a:off x="9820610" y="5484930"/>
          <a:ext cx="238173" cy="3073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190704</xdr:colOff>
      <xdr:row>22</xdr:row>
      <xdr:rowOff>179469</xdr:rowOff>
    </xdr:from>
    <xdr:to>
      <xdr:col>40</xdr:col>
      <xdr:colOff>181179</xdr:colOff>
      <xdr:row>24</xdr:row>
      <xdr:rowOff>39281</xdr:rowOff>
    </xdr:to>
    <xdr:cxnSp macro="">
      <xdr:nvCxnSpPr>
        <xdr:cNvPr id="159" name="직선 연결선 158">
          <a:extLst>
            <a:ext uri="{FF2B5EF4-FFF2-40B4-BE49-F238E27FC236}">
              <a16:creationId xmlns:a16="http://schemas.microsoft.com/office/drawing/2014/main" id="{00000000-0008-0000-1500-00009F000000}"/>
            </a:ext>
          </a:extLst>
        </xdr:cNvPr>
        <xdr:cNvCxnSpPr/>
      </xdr:nvCxnSpPr>
      <xdr:spPr>
        <a:xfrm flipV="1">
          <a:off x="9477579" y="5035314"/>
          <a:ext cx="236220" cy="2998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27069</xdr:colOff>
      <xdr:row>22</xdr:row>
      <xdr:rowOff>193635</xdr:rowOff>
    </xdr:from>
    <xdr:to>
      <xdr:col>41</xdr:col>
      <xdr:colOff>17544</xdr:colOff>
      <xdr:row>24</xdr:row>
      <xdr:rowOff>66635</xdr:rowOff>
    </xdr:to>
    <xdr:cxnSp macro="">
      <xdr:nvCxnSpPr>
        <xdr:cNvPr id="160" name="직선 연결선 159">
          <a:extLst>
            <a:ext uri="{FF2B5EF4-FFF2-40B4-BE49-F238E27FC236}">
              <a16:creationId xmlns:a16="http://schemas.microsoft.com/office/drawing/2014/main" id="{00000000-0008-0000-1500-0000A0000000}"/>
            </a:ext>
          </a:extLst>
        </xdr:cNvPr>
        <xdr:cNvCxnSpPr/>
      </xdr:nvCxnSpPr>
      <xdr:spPr>
        <a:xfrm flipV="1">
          <a:off x="9559689" y="5051385"/>
          <a:ext cx="243840" cy="3092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236130</xdr:colOff>
      <xdr:row>22</xdr:row>
      <xdr:rowOff>172631</xdr:rowOff>
    </xdr:from>
    <xdr:to>
      <xdr:col>41</xdr:col>
      <xdr:colOff>225384</xdr:colOff>
      <xdr:row>24</xdr:row>
      <xdr:rowOff>32443</xdr:rowOff>
    </xdr:to>
    <xdr:cxnSp macro="">
      <xdr:nvCxnSpPr>
        <xdr:cNvPr id="161" name="직선 연결선 160">
          <a:extLst>
            <a:ext uri="{FF2B5EF4-FFF2-40B4-BE49-F238E27FC236}">
              <a16:creationId xmlns:a16="http://schemas.microsoft.com/office/drawing/2014/main" id="{00000000-0008-0000-1500-0000A1000000}"/>
            </a:ext>
          </a:extLst>
        </xdr:cNvPr>
        <xdr:cNvCxnSpPr/>
      </xdr:nvCxnSpPr>
      <xdr:spPr>
        <a:xfrm flipV="1">
          <a:off x="9772560" y="5026571"/>
          <a:ext cx="234999" cy="2998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63459</xdr:colOff>
      <xdr:row>22</xdr:row>
      <xdr:rowOff>169212</xdr:rowOff>
    </xdr:from>
    <xdr:to>
      <xdr:col>42</xdr:col>
      <xdr:colOff>55887</xdr:colOff>
      <xdr:row>24</xdr:row>
      <xdr:rowOff>42212</xdr:rowOff>
    </xdr:to>
    <xdr:cxnSp macro="">
      <xdr:nvCxnSpPr>
        <xdr:cNvPr id="162" name="직선 연결선 161">
          <a:extLst>
            <a:ext uri="{FF2B5EF4-FFF2-40B4-BE49-F238E27FC236}">
              <a16:creationId xmlns:a16="http://schemas.microsoft.com/office/drawing/2014/main" id="{00000000-0008-0000-1500-0000A2000000}"/>
            </a:ext>
          </a:extLst>
        </xdr:cNvPr>
        <xdr:cNvCxnSpPr/>
      </xdr:nvCxnSpPr>
      <xdr:spPr>
        <a:xfrm flipV="1">
          <a:off x="9841824" y="5030772"/>
          <a:ext cx="247698" cy="3092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241390</xdr:colOff>
      <xdr:row>20</xdr:row>
      <xdr:rowOff>136523</xdr:rowOff>
    </xdr:from>
    <xdr:to>
      <xdr:col>41</xdr:col>
      <xdr:colOff>231865</xdr:colOff>
      <xdr:row>22</xdr:row>
      <xdr:rowOff>12698</xdr:rowOff>
    </xdr:to>
    <xdr:cxnSp macro="">
      <xdr:nvCxnSpPr>
        <xdr:cNvPr id="163" name="직선 연결선 162">
          <a:extLst>
            <a:ext uri="{FF2B5EF4-FFF2-40B4-BE49-F238E27FC236}">
              <a16:creationId xmlns:a16="http://schemas.microsoft.com/office/drawing/2014/main" id="{00000000-0008-0000-1500-0000A3000000}"/>
            </a:ext>
          </a:extLst>
        </xdr:cNvPr>
        <xdr:cNvCxnSpPr/>
      </xdr:nvCxnSpPr>
      <xdr:spPr>
        <a:xfrm flipV="1">
          <a:off x="9779725" y="4552313"/>
          <a:ext cx="234315" cy="3219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226492</xdr:colOff>
      <xdr:row>20</xdr:row>
      <xdr:rowOff>137011</xdr:rowOff>
    </xdr:from>
    <xdr:to>
      <xdr:col>40</xdr:col>
      <xdr:colOff>216967</xdr:colOff>
      <xdr:row>22</xdr:row>
      <xdr:rowOff>13186</xdr:rowOff>
    </xdr:to>
    <xdr:cxnSp macro="">
      <xdr:nvCxnSpPr>
        <xdr:cNvPr id="164" name="직선 연결선 163">
          <a:extLst>
            <a:ext uri="{FF2B5EF4-FFF2-40B4-BE49-F238E27FC236}">
              <a16:creationId xmlns:a16="http://schemas.microsoft.com/office/drawing/2014/main" id="{00000000-0008-0000-1500-0000A4000000}"/>
            </a:ext>
          </a:extLst>
        </xdr:cNvPr>
        <xdr:cNvCxnSpPr/>
      </xdr:nvCxnSpPr>
      <xdr:spPr>
        <a:xfrm flipV="1">
          <a:off x="9513367" y="4552801"/>
          <a:ext cx="234315" cy="3219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131679</xdr:colOff>
      <xdr:row>25</xdr:row>
      <xdr:rowOff>169244</xdr:rowOff>
    </xdr:from>
    <xdr:to>
      <xdr:col>10</xdr:col>
      <xdr:colOff>93262</xdr:colOff>
      <xdr:row>26</xdr:row>
      <xdr:rowOff>64469</xdr:rowOff>
    </xdr:to>
    <xdr:grpSp>
      <xdr:nvGrpSpPr>
        <xdr:cNvPr id="165" name="그룹 164">
          <a:extLst>
            <a:ext uri="{FF2B5EF4-FFF2-40B4-BE49-F238E27FC236}">
              <a16:creationId xmlns:a16="http://schemas.microsoft.com/office/drawing/2014/main" id="{00000000-0008-0000-1500-0000A5000000}"/>
            </a:ext>
          </a:extLst>
        </xdr:cNvPr>
        <xdr:cNvGrpSpPr/>
      </xdr:nvGrpSpPr>
      <xdr:grpSpPr>
        <a:xfrm>
          <a:off x="2274804" y="5090494"/>
          <a:ext cx="199708" cy="85725"/>
          <a:chOff x="2372059" y="3845092"/>
          <a:chExt cx="185070" cy="115303"/>
        </a:xfrm>
      </xdr:grpSpPr>
      <xdr:sp macro="" textlink="">
        <xdr:nvSpPr>
          <xdr:cNvPr id="166" name="직사각형 165">
            <a:extLst>
              <a:ext uri="{FF2B5EF4-FFF2-40B4-BE49-F238E27FC236}">
                <a16:creationId xmlns:a16="http://schemas.microsoft.com/office/drawing/2014/main" id="{00000000-0008-0000-1500-0000A6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7" name="순서도: 연결자 166">
            <a:extLst>
              <a:ext uri="{FF2B5EF4-FFF2-40B4-BE49-F238E27FC236}">
                <a16:creationId xmlns:a16="http://schemas.microsoft.com/office/drawing/2014/main" id="{00000000-0008-0000-1500-0000A7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8" name="순서도: 연결자 167">
            <a:extLst>
              <a:ext uri="{FF2B5EF4-FFF2-40B4-BE49-F238E27FC236}">
                <a16:creationId xmlns:a16="http://schemas.microsoft.com/office/drawing/2014/main" id="{00000000-0008-0000-1500-0000A8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142507</xdr:colOff>
      <xdr:row>25</xdr:row>
      <xdr:rowOff>171951</xdr:rowOff>
    </xdr:from>
    <xdr:to>
      <xdr:col>11</xdr:col>
      <xdr:colOff>96471</xdr:colOff>
      <xdr:row>26</xdr:row>
      <xdr:rowOff>59556</xdr:rowOff>
    </xdr:to>
    <xdr:grpSp>
      <xdr:nvGrpSpPr>
        <xdr:cNvPr id="169" name="그룹 168">
          <a:extLst>
            <a:ext uri="{FF2B5EF4-FFF2-40B4-BE49-F238E27FC236}">
              <a16:creationId xmlns:a16="http://schemas.microsoft.com/office/drawing/2014/main" id="{00000000-0008-0000-1500-0000A9000000}"/>
            </a:ext>
          </a:extLst>
        </xdr:cNvPr>
        <xdr:cNvGrpSpPr/>
      </xdr:nvGrpSpPr>
      <xdr:grpSpPr>
        <a:xfrm>
          <a:off x="2523757" y="5093201"/>
          <a:ext cx="192089" cy="78105"/>
          <a:chOff x="2372059" y="3845092"/>
          <a:chExt cx="185070" cy="115303"/>
        </a:xfrm>
      </xdr:grpSpPr>
      <xdr:sp macro="" textlink="">
        <xdr:nvSpPr>
          <xdr:cNvPr id="170" name="직사각형 169">
            <a:extLst>
              <a:ext uri="{FF2B5EF4-FFF2-40B4-BE49-F238E27FC236}">
                <a16:creationId xmlns:a16="http://schemas.microsoft.com/office/drawing/2014/main" id="{00000000-0008-0000-1500-0000AA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1" name="순서도: 연결자 170">
            <a:extLst>
              <a:ext uri="{FF2B5EF4-FFF2-40B4-BE49-F238E27FC236}">
                <a16:creationId xmlns:a16="http://schemas.microsoft.com/office/drawing/2014/main" id="{00000000-0008-0000-1500-0000AB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" name="순서도: 연결자 171">
            <a:extLst>
              <a:ext uri="{FF2B5EF4-FFF2-40B4-BE49-F238E27FC236}">
                <a16:creationId xmlns:a16="http://schemas.microsoft.com/office/drawing/2014/main" id="{00000000-0008-0000-1500-0000AC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15</xdr:col>
      <xdr:colOff>153235</xdr:colOff>
      <xdr:row>25</xdr:row>
      <xdr:rowOff>163129</xdr:rowOff>
    </xdr:from>
    <xdr:to>
      <xdr:col>16</xdr:col>
      <xdr:colOff>93864</xdr:colOff>
      <xdr:row>26</xdr:row>
      <xdr:rowOff>58354</xdr:rowOff>
    </xdr:to>
    <xdr:grpSp>
      <xdr:nvGrpSpPr>
        <xdr:cNvPr id="173" name="그룹 172">
          <a:extLst>
            <a:ext uri="{FF2B5EF4-FFF2-40B4-BE49-F238E27FC236}">
              <a16:creationId xmlns:a16="http://schemas.microsoft.com/office/drawing/2014/main" id="{00000000-0008-0000-1500-0000AD000000}"/>
            </a:ext>
          </a:extLst>
        </xdr:cNvPr>
        <xdr:cNvGrpSpPr/>
      </xdr:nvGrpSpPr>
      <xdr:grpSpPr>
        <a:xfrm>
          <a:off x="3725110" y="5084379"/>
          <a:ext cx="178754" cy="85725"/>
          <a:chOff x="2372059" y="3845092"/>
          <a:chExt cx="185070" cy="115303"/>
        </a:xfrm>
      </xdr:grpSpPr>
      <xdr:sp macro="" textlink="">
        <xdr:nvSpPr>
          <xdr:cNvPr id="174" name="직사각형 173">
            <a:extLst>
              <a:ext uri="{FF2B5EF4-FFF2-40B4-BE49-F238E27FC236}">
                <a16:creationId xmlns:a16="http://schemas.microsoft.com/office/drawing/2014/main" id="{00000000-0008-0000-1500-0000AE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5" name="순서도: 연결자 174">
            <a:extLst>
              <a:ext uri="{FF2B5EF4-FFF2-40B4-BE49-F238E27FC236}">
                <a16:creationId xmlns:a16="http://schemas.microsoft.com/office/drawing/2014/main" id="{00000000-0008-0000-1500-0000AF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6" name="순서도: 연결자 175">
            <a:extLst>
              <a:ext uri="{FF2B5EF4-FFF2-40B4-BE49-F238E27FC236}">
                <a16:creationId xmlns:a16="http://schemas.microsoft.com/office/drawing/2014/main" id="{00000000-0008-0000-1500-0000B0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16</xdr:col>
      <xdr:colOff>167874</xdr:colOff>
      <xdr:row>25</xdr:row>
      <xdr:rowOff>154406</xdr:rowOff>
    </xdr:from>
    <xdr:to>
      <xdr:col>17</xdr:col>
      <xdr:colOff>95167</xdr:colOff>
      <xdr:row>26</xdr:row>
      <xdr:rowOff>55346</xdr:rowOff>
    </xdr:to>
    <xdr:grpSp>
      <xdr:nvGrpSpPr>
        <xdr:cNvPr id="177" name="그룹 176">
          <a:extLst>
            <a:ext uri="{FF2B5EF4-FFF2-40B4-BE49-F238E27FC236}">
              <a16:creationId xmlns:a16="http://schemas.microsoft.com/office/drawing/2014/main" id="{00000000-0008-0000-1500-0000B1000000}"/>
            </a:ext>
          </a:extLst>
        </xdr:cNvPr>
        <xdr:cNvGrpSpPr/>
      </xdr:nvGrpSpPr>
      <xdr:grpSpPr>
        <a:xfrm>
          <a:off x="3977874" y="5075656"/>
          <a:ext cx="165418" cy="91440"/>
          <a:chOff x="2372059" y="3845092"/>
          <a:chExt cx="185070" cy="115303"/>
        </a:xfrm>
      </xdr:grpSpPr>
      <xdr:sp macro="" textlink="">
        <xdr:nvSpPr>
          <xdr:cNvPr id="178" name="직사각형 177">
            <a:extLst>
              <a:ext uri="{FF2B5EF4-FFF2-40B4-BE49-F238E27FC236}">
                <a16:creationId xmlns:a16="http://schemas.microsoft.com/office/drawing/2014/main" id="{00000000-0008-0000-1500-0000B2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9" name="순서도: 연결자 178">
            <a:extLst>
              <a:ext uri="{FF2B5EF4-FFF2-40B4-BE49-F238E27FC236}">
                <a16:creationId xmlns:a16="http://schemas.microsoft.com/office/drawing/2014/main" id="{00000000-0008-0000-1500-0000B3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80" name="순서도: 연결자 179">
            <a:extLst>
              <a:ext uri="{FF2B5EF4-FFF2-40B4-BE49-F238E27FC236}">
                <a16:creationId xmlns:a16="http://schemas.microsoft.com/office/drawing/2014/main" id="{00000000-0008-0000-1500-0000B4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21</xdr:col>
      <xdr:colOff>141505</xdr:colOff>
      <xdr:row>23</xdr:row>
      <xdr:rowOff>191503</xdr:rowOff>
    </xdr:from>
    <xdr:to>
      <xdr:col>22</xdr:col>
      <xdr:colOff>95468</xdr:colOff>
      <xdr:row>24</xdr:row>
      <xdr:rowOff>92444</xdr:rowOff>
    </xdr:to>
    <xdr:grpSp>
      <xdr:nvGrpSpPr>
        <xdr:cNvPr id="181" name="그룹 180">
          <a:extLst>
            <a:ext uri="{FF2B5EF4-FFF2-40B4-BE49-F238E27FC236}">
              <a16:creationId xmlns:a16="http://schemas.microsoft.com/office/drawing/2014/main" id="{00000000-0008-0000-1500-0000B5000000}"/>
            </a:ext>
          </a:extLst>
        </xdr:cNvPr>
        <xdr:cNvGrpSpPr/>
      </xdr:nvGrpSpPr>
      <xdr:grpSpPr>
        <a:xfrm>
          <a:off x="5142130" y="4731753"/>
          <a:ext cx="192088" cy="91441"/>
          <a:chOff x="2372059" y="3845092"/>
          <a:chExt cx="185070" cy="115303"/>
        </a:xfrm>
      </xdr:grpSpPr>
      <xdr:sp macro="" textlink="">
        <xdr:nvSpPr>
          <xdr:cNvPr id="182" name="직사각형 181">
            <a:extLst>
              <a:ext uri="{FF2B5EF4-FFF2-40B4-BE49-F238E27FC236}">
                <a16:creationId xmlns:a16="http://schemas.microsoft.com/office/drawing/2014/main" id="{00000000-0008-0000-1500-0000B6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83" name="순서도: 연결자 182">
            <a:extLst>
              <a:ext uri="{FF2B5EF4-FFF2-40B4-BE49-F238E27FC236}">
                <a16:creationId xmlns:a16="http://schemas.microsoft.com/office/drawing/2014/main" id="{00000000-0008-0000-1500-0000B7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84" name="순서도: 연결자 183">
            <a:extLst>
              <a:ext uri="{FF2B5EF4-FFF2-40B4-BE49-F238E27FC236}">
                <a16:creationId xmlns:a16="http://schemas.microsoft.com/office/drawing/2014/main" id="{00000000-0008-0000-1500-0000B8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22</xdr:col>
      <xdr:colOff>154238</xdr:colOff>
      <xdr:row>23</xdr:row>
      <xdr:rowOff>188495</xdr:rowOff>
    </xdr:from>
    <xdr:to>
      <xdr:col>23</xdr:col>
      <xdr:colOff>94867</xdr:colOff>
      <xdr:row>24</xdr:row>
      <xdr:rowOff>97056</xdr:rowOff>
    </xdr:to>
    <xdr:grpSp>
      <xdr:nvGrpSpPr>
        <xdr:cNvPr id="185" name="그룹 184">
          <a:extLst>
            <a:ext uri="{FF2B5EF4-FFF2-40B4-BE49-F238E27FC236}">
              <a16:creationId xmlns:a16="http://schemas.microsoft.com/office/drawing/2014/main" id="{00000000-0008-0000-1500-0000B9000000}"/>
            </a:ext>
          </a:extLst>
        </xdr:cNvPr>
        <xdr:cNvGrpSpPr/>
      </xdr:nvGrpSpPr>
      <xdr:grpSpPr>
        <a:xfrm>
          <a:off x="5392988" y="4728745"/>
          <a:ext cx="178754" cy="99061"/>
          <a:chOff x="2372059" y="3845092"/>
          <a:chExt cx="185070" cy="115303"/>
        </a:xfrm>
      </xdr:grpSpPr>
      <xdr:sp macro="" textlink="">
        <xdr:nvSpPr>
          <xdr:cNvPr id="186" name="직사각형 185">
            <a:extLst>
              <a:ext uri="{FF2B5EF4-FFF2-40B4-BE49-F238E27FC236}">
                <a16:creationId xmlns:a16="http://schemas.microsoft.com/office/drawing/2014/main" id="{00000000-0008-0000-1500-0000BA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87" name="순서도: 연결자 186">
            <a:extLst>
              <a:ext uri="{FF2B5EF4-FFF2-40B4-BE49-F238E27FC236}">
                <a16:creationId xmlns:a16="http://schemas.microsoft.com/office/drawing/2014/main" id="{00000000-0008-0000-1500-0000BB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88" name="순서도: 연결자 187">
            <a:extLst>
              <a:ext uri="{FF2B5EF4-FFF2-40B4-BE49-F238E27FC236}">
                <a16:creationId xmlns:a16="http://schemas.microsoft.com/office/drawing/2014/main" id="{00000000-0008-0000-1500-0000BC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27</xdr:col>
      <xdr:colOff>150395</xdr:colOff>
      <xdr:row>25</xdr:row>
      <xdr:rowOff>104574</xdr:rowOff>
    </xdr:from>
    <xdr:to>
      <xdr:col>28</xdr:col>
      <xdr:colOff>98644</xdr:colOff>
      <xdr:row>26</xdr:row>
      <xdr:rowOff>99059</xdr:rowOff>
    </xdr:to>
    <xdr:grpSp>
      <xdr:nvGrpSpPr>
        <xdr:cNvPr id="189" name="그룹 188">
          <a:extLst>
            <a:ext uri="{FF2B5EF4-FFF2-40B4-BE49-F238E27FC236}">
              <a16:creationId xmlns:a16="http://schemas.microsoft.com/office/drawing/2014/main" id="{00000000-0008-0000-1500-0000BD000000}"/>
            </a:ext>
          </a:extLst>
        </xdr:cNvPr>
        <xdr:cNvGrpSpPr/>
      </xdr:nvGrpSpPr>
      <xdr:grpSpPr>
        <a:xfrm>
          <a:off x="6579770" y="5025824"/>
          <a:ext cx="186374" cy="184985"/>
          <a:chOff x="3850105" y="3654592"/>
          <a:chExt cx="185070" cy="195513"/>
        </a:xfrm>
      </xdr:grpSpPr>
      <xdr:sp macro="" textlink="">
        <xdr:nvSpPr>
          <xdr:cNvPr id="190" name="직사각형 189">
            <a:extLst>
              <a:ext uri="{FF2B5EF4-FFF2-40B4-BE49-F238E27FC236}">
                <a16:creationId xmlns:a16="http://schemas.microsoft.com/office/drawing/2014/main" id="{00000000-0008-0000-1500-0000BE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1" name="순서도: 연결자 190">
            <a:extLst>
              <a:ext uri="{FF2B5EF4-FFF2-40B4-BE49-F238E27FC236}">
                <a16:creationId xmlns:a16="http://schemas.microsoft.com/office/drawing/2014/main" id="{00000000-0008-0000-1500-0000BF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2" name="순서도: 연결자 191">
            <a:extLst>
              <a:ext uri="{FF2B5EF4-FFF2-40B4-BE49-F238E27FC236}">
                <a16:creationId xmlns:a16="http://schemas.microsoft.com/office/drawing/2014/main" id="{00000000-0008-0000-1500-0000C0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3" name="순서도: 연결자 192">
            <a:extLst>
              <a:ext uri="{FF2B5EF4-FFF2-40B4-BE49-F238E27FC236}">
                <a16:creationId xmlns:a16="http://schemas.microsoft.com/office/drawing/2014/main" id="{00000000-0008-0000-1500-0000C1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4" name="순서도: 연결자 193">
            <a:extLst>
              <a:ext uri="{FF2B5EF4-FFF2-40B4-BE49-F238E27FC236}">
                <a16:creationId xmlns:a16="http://schemas.microsoft.com/office/drawing/2014/main" id="{00000000-0008-0000-1500-0000C2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28</xdr:col>
      <xdr:colOff>168644</xdr:colOff>
      <xdr:row>25</xdr:row>
      <xdr:rowOff>101566</xdr:rowOff>
    </xdr:from>
    <xdr:to>
      <xdr:col>29</xdr:col>
      <xdr:colOff>116892</xdr:colOff>
      <xdr:row>26</xdr:row>
      <xdr:rowOff>96051</xdr:rowOff>
    </xdr:to>
    <xdr:grpSp>
      <xdr:nvGrpSpPr>
        <xdr:cNvPr id="195" name="그룹 194">
          <a:extLst>
            <a:ext uri="{FF2B5EF4-FFF2-40B4-BE49-F238E27FC236}">
              <a16:creationId xmlns:a16="http://schemas.microsoft.com/office/drawing/2014/main" id="{00000000-0008-0000-1500-0000C3000000}"/>
            </a:ext>
          </a:extLst>
        </xdr:cNvPr>
        <xdr:cNvGrpSpPr/>
      </xdr:nvGrpSpPr>
      <xdr:grpSpPr>
        <a:xfrm>
          <a:off x="6836144" y="5022816"/>
          <a:ext cx="186373" cy="184985"/>
          <a:chOff x="3850105" y="3654592"/>
          <a:chExt cx="185070" cy="195513"/>
        </a:xfrm>
      </xdr:grpSpPr>
      <xdr:sp macro="" textlink="">
        <xdr:nvSpPr>
          <xdr:cNvPr id="196" name="직사각형 195">
            <a:extLst>
              <a:ext uri="{FF2B5EF4-FFF2-40B4-BE49-F238E27FC236}">
                <a16:creationId xmlns:a16="http://schemas.microsoft.com/office/drawing/2014/main" id="{00000000-0008-0000-1500-0000C4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7" name="순서도: 연결자 196">
            <a:extLst>
              <a:ext uri="{FF2B5EF4-FFF2-40B4-BE49-F238E27FC236}">
                <a16:creationId xmlns:a16="http://schemas.microsoft.com/office/drawing/2014/main" id="{00000000-0008-0000-1500-0000C5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8" name="순서도: 연결자 197">
            <a:extLst>
              <a:ext uri="{FF2B5EF4-FFF2-40B4-BE49-F238E27FC236}">
                <a16:creationId xmlns:a16="http://schemas.microsoft.com/office/drawing/2014/main" id="{00000000-0008-0000-1500-0000C6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99" name="순서도: 연결자 198">
            <a:extLst>
              <a:ext uri="{FF2B5EF4-FFF2-40B4-BE49-F238E27FC236}">
                <a16:creationId xmlns:a16="http://schemas.microsoft.com/office/drawing/2014/main" id="{00000000-0008-0000-1500-0000C7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00" name="순서도: 연결자 199">
            <a:extLst>
              <a:ext uri="{FF2B5EF4-FFF2-40B4-BE49-F238E27FC236}">
                <a16:creationId xmlns:a16="http://schemas.microsoft.com/office/drawing/2014/main" id="{00000000-0008-0000-1500-0000C8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27</xdr:col>
      <xdr:colOff>130376</xdr:colOff>
      <xdr:row>23</xdr:row>
      <xdr:rowOff>172954</xdr:rowOff>
    </xdr:from>
    <xdr:to>
      <xdr:col>28</xdr:col>
      <xdr:colOff>78625</xdr:colOff>
      <xdr:row>24</xdr:row>
      <xdr:rowOff>60560</xdr:rowOff>
    </xdr:to>
    <xdr:grpSp>
      <xdr:nvGrpSpPr>
        <xdr:cNvPr id="201" name="그룹 200">
          <a:extLst>
            <a:ext uri="{FF2B5EF4-FFF2-40B4-BE49-F238E27FC236}">
              <a16:creationId xmlns:a16="http://schemas.microsoft.com/office/drawing/2014/main" id="{00000000-0008-0000-1500-0000C9000000}"/>
            </a:ext>
          </a:extLst>
        </xdr:cNvPr>
        <xdr:cNvGrpSpPr/>
      </xdr:nvGrpSpPr>
      <xdr:grpSpPr>
        <a:xfrm>
          <a:off x="6559751" y="4713204"/>
          <a:ext cx="186374" cy="78106"/>
          <a:chOff x="2372059" y="3845092"/>
          <a:chExt cx="185070" cy="115303"/>
        </a:xfrm>
      </xdr:grpSpPr>
      <xdr:sp macro="" textlink="">
        <xdr:nvSpPr>
          <xdr:cNvPr id="202" name="직사각형 201">
            <a:extLst>
              <a:ext uri="{FF2B5EF4-FFF2-40B4-BE49-F238E27FC236}">
                <a16:creationId xmlns:a16="http://schemas.microsoft.com/office/drawing/2014/main" id="{00000000-0008-0000-1500-0000CA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03" name="순서도: 연결자 202">
            <a:extLst>
              <a:ext uri="{FF2B5EF4-FFF2-40B4-BE49-F238E27FC236}">
                <a16:creationId xmlns:a16="http://schemas.microsoft.com/office/drawing/2014/main" id="{00000000-0008-0000-1500-0000CB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04" name="순서도: 연결자 203">
            <a:extLst>
              <a:ext uri="{FF2B5EF4-FFF2-40B4-BE49-F238E27FC236}">
                <a16:creationId xmlns:a16="http://schemas.microsoft.com/office/drawing/2014/main" id="{00000000-0008-0000-1500-0000CC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28</xdr:col>
      <xdr:colOff>161959</xdr:colOff>
      <xdr:row>23</xdr:row>
      <xdr:rowOff>168041</xdr:rowOff>
    </xdr:from>
    <xdr:to>
      <xdr:col>29</xdr:col>
      <xdr:colOff>96872</xdr:colOff>
      <xdr:row>24</xdr:row>
      <xdr:rowOff>55647</xdr:rowOff>
    </xdr:to>
    <xdr:grpSp>
      <xdr:nvGrpSpPr>
        <xdr:cNvPr id="205" name="그룹 204">
          <a:extLst>
            <a:ext uri="{FF2B5EF4-FFF2-40B4-BE49-F238E27FC236}">
              <a16:creationId xmlns:a16="http://schemas.microsoft.com/office/drawing/2014/main" id="{00000000-0008-0000-1500-0000CD000000}"/>
            </a:ext>
          </a:extLst>
        </xdr:cNvPr>
        <xdr:cNvGrpSpPr/>
      </xdr:nvGrpSpPr>
      <xdr:grpSpPr>
        <a:xfrm>
          <a:off x="6829459" y="4708291"/>
          <a:ext cx="173038" cy="78106"/>
          <a:chOff x="2372059" y="3845092"/>
          <a:chExt cx="185070" cy="115303"/>
        </a:xfrm>
      </xdr:grpSpPr>
      <xdr:sp macro="" textlink="">
        <xdr:nvSpPr>
          <xdr:cNvPr id="206" name="직사각형 205">
            <a:extLst>
              <a:ext uri="{FF2B5EF4-FFF2-40B4-BE49-F238E27FC236}">
                <a16:creationId xmlns:a16="http://schemas.microsoft.com/office/drawing/2014/main" id="{00000000-0008-0000-1500-0000CE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07" name="순서도: 연결자 206">
            <a:extLst>
              <a:ext uri="{FF2B5EF4-FFF2-40B4-BE49-F238E27FC236}">
                <a16:creationId xmlns:a16="http://schemas.microsoft.com/office/drawing/2014/main" id="{00000000-0008-0000-1500-0000CF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08" name="순서도: 연결자 207">
            <a:extLst>
              <a:ext uri="{FF2B5EF4-FFF2-40B4-BE49-F238E27FC236}">
                <a16:creationId xmlns:a16="http://schemas.microsoft.com/office/drawing/2014/main" id="{00000000-0008-0000-1500-0000D0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148930</xdr:colOff>
      <xdr:row>25</xdr:row>
      <xdr:rowOff>103109</xdr:rowOff>
    </xdr:from>
    <xdr:to>
      <xdr:col>34</xdr:col>
      <xdr:colOff>97179</xdr:colOff>
      <xdr:row>26</xdr:row>
      <xdr:rowOff>97594</xdr:rowOff>
    </xdr:to>
    <xdr:grpSp>
      <xdr:nvGrpSpPr>
        <xdr:cNvPr id="209" name="그룹 208">
          <a:extLst>
            <a:ext uri="{FF2B5EF4-FFF2-40B4-BE49-F238E27FC236}">
              <a16:creationId xmlns:a16="http://schemas.microsoft.com/office/drawing/2014/main" id="{00000000-0008-0000-1500-0000D1000000}"/>
            </a:ext>
          </a:extLst>
        </xdr:cNvPr>
        <xdr:cNvGrpSpPr/>
      </xdr:nvGrpSpPr>
      <xdr:grpSpPr>
        <a:xfrm>
          <a:off x="8007055" y="5024359"/>
          <a:ext cx="186374" cy="184985"/>
          <a:chOff x="3850105" y="3654592"/>
          <a:chExt cx="185070" cy="195513"/>
        </a:xfrm>
      </xdr:grpSpPr>
      <xdr:sp macro="" textlink="">
        <xdr:nvSpPr>
          <xdr:cNvPr id="210" name="직사각형 209">
            <a:extLst>
              <a:ext uri="{FF2B5EF4-FFF2-40B4-BE49-F238E27FC236}">
                <a16:creationId xmlns:a16="http://schemas.microsoft.com/office/drawing/2014/main" id="{00000000-0008-0000-1500-0000D2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1" name="순서도: 연결자 210">
            <a:extLst>
              <a:ext uri="{FF2B5EF4-FFF2-40B4-BE49-F238E27FC236}">
                <a16:creationId xmlns:a16="http://schemas.microsoft.com/office/drawing/2014/main" id="{00000000-0008-0000-1500-0000D3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2" name="순서도: 연결자 211">
            <a:extLst>
              <a:ext uri="{FF2B5EF4-FFF2-40B4-BE49-F238E27FC236}">
                <a16:creationId xmlns:a16="http://schemas.microsoft.com/office/drawing/2014/main" id="{00000000-0008-0000-1500-0000D4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3" name="순서도: 연결자 212">
            <a:extLst>
              <a:ext uri="{FF2B5EF4-FFF2-40B4-BE49-F238E27FC236}">
                <a16:creationId xmlns:a16="http://schemas.microsoft.com/office/drawing/2014/main" id="{00000000-0008-0000-1500-0000D5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4" name="순서도: 연결자 213">
            <a:extLst>
              <a:ext uri="{FF2B5EF4-FFF2-40B4-BE49-F238E27FC236}">
                <a16:creationId xmlns:a16="http://schemas.microsoft.com/office/drawing/2014/main" id="{00000000-0008-0000-1500-0000D6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188574</xdr:colOff>
      <xdr:row>25</xdr:row>
      <xdr:rowOff>98196</xdr:rowOff>
    </xdr:from>
    <xdr:to>
      <xdr:col>35</xdr:col>
      <xdr:colOff>136822</xdr:colOff>
      <xdr:row>26</xdr:row>
      <xdr:rowOff>94586</xdr:rowOff>
    </xdr:to>
    <xdr:grpSp>
      <xdr:nvGrpSpPr>
        <xdr:cNvPr id="215" name="그룹 214">
          <a:extLst>
            <a:ext uri="{FF2B5EF4-FFF2-40B4-BE49-F238E27FC236}">
              <a16:creationId xmlns:a16="http://schemas.microsoft.com/office/drawing/2014/main" id="{00000000-0008-0000-1500-0000D7000000}"/>
            </a:ext>
          </a:extLst>
        </xdr:cNvPr>
        <xdr:cNvGrpSpPr/>
      </xdr:nvGrpSpPr>
      <xdr:grpSpPr>
        <a:xfrm>
          <a:off x="8284824" y="5019446"/>
          <a:ext cx="186373" cy="186890"/>
          <a:chOff x="3850105" y="3654592"/>
          <a:chExt cx="185070" cy="195513"/>
        </a:xfrm>
      </xdr:grpSpPr>
      <xdr:sp macro="" textlink="">
        <xdr:nvSpPr>
          <xdr:cNvPr id="216" name="직사각형 215">
            <a:extLst>
              <a:ext uri="{FF2B5EF4-FFF2-40B4-BE49-F238E27FC236}">
                <a16:creationId xmlns:a16="http://schemas.microsoft.com/office/drawing/2014/main" id="{00000000-0008-0000-1500-0000D8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7" name="순서도: 연결자 216">
            <a:extLst>
              <a:ext uri="{FF2B5EF4-FFF2-40B4-BE49-F238E27FC236}">
                <a16:creationId xmlns:a16="http://schemas.microsoft.com/office/drawing/2014/main" id="{00000000-0008-0000-1500-0000D9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8" name="순서도: 연결자 217">
            <a:extLst>
              <a:ext uri="{FF2B5EF4-FFF2-40B4-BE49-F238E27FC236}">
                <a16:creationId xmlns:a16="http://schemas.microsoft.com/office/drawing/2014/main" id="{00000000-0008-0000-1500-0000DA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9" name="순서도: 연결자 218">
            <a:extLst>
              <a:ext uri="{FF2B5EF4-FFF2-40B4-BE49-F238E27FC236}">
                <a16:creationId xmlns:a16="http://schemas.microsoft.com/office/drawing/2014/main" id="{00000000-0008-0000-1500-0000DB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20" name="순서도: 연결자 219">
            <a:extLst>
              <a:ext uri="{FF2B5EF4-FFF2-40B4-BE49-F238E27FC236}">
                <a16:creationId xmlns:a16="http://schemas.microsoft.com/office/drawing/2014/main" id="{00000000-0008-0000-1500-0000DC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171553</xdr:colOff>
      <xdr:row>21</xdr:row>
      <xdr:rowOff>154637</xdr:rowOff>
    </xdr:from>
    <xdr:to>
      <xdr:col>34</xdr:col>
      <xdr:colOff>98847</xdr:colOff>
      <xdr:row>22</xdr:row>
      <xdr:rowOff>55578</xdr:rowOff>
    </xdr:to>
    <xdr:grpSp>
      <xdr:nvGrpSpPr>
        <xdr:cNvPr id="221" name="그룹 220">
          <a:extLst>
            <a:ext uri="{FF2B5EF4-FFF2-40B4-BE49-F238E27FC236}">
              <a16:creationId xmlns:a16="http://schemas.microsoft.com/office/drawing/2014/main" id="{00000000-0008-0000-1500-0000DD000000}"/>
            </a:ext>
          </a:extLst>
        </xdr:cNvPr>
        <xdr:cNvGrpSpPr/>
      </xdr:nvGrpSpPr>
      <xdr:grpSpPr>
        <a:xfrm>
          <a:off x="8029678" y="4313887"/>
          <a:ext cx="165419" cy="91441"/>
          <a:chOff x="2372059" y="3845092"/>
          <a:chExt cx="185070" cy="115303"/>
        </a:xfrm>
      </xdr:grpSpPr>
      <xdr:sp macro="" textlink="">
        <xdr:nvSpPr>
          <xdr:cNvPr id="222" name="직사각형 221">
            <a:extLst>
              <a:ext uri="{FF2B5EF4-FFF2-40B4-BE49-F238E27FC236}">
                <a16:creationId xmlns:a16="http://schemas.microsoft.com/office/drawing/2014/main" id="{00000000-0008-0000-1500-0000DE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23" name="순서도: 연결자 222">
            <a:extLst>
              <a:ext uri="{FF2B5EF4-FFF2-40B4-BE49-F238E27FC236}">
                <a16:creationId xmlns:a16="http://schemas.microsoft.com/office/drawing/2014/main" id="{00000000-0008-0000-1500-0000DF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24" name="순서도: 연결자 223">
            <a:extLst>
              <a:ext uri="{FF2B5EF4-FFF2-40B4-BE49-F238E27FC236}">
                <a16:creationId xmlns:a16="http://schemas.microsoft.com/office/drawing/2014/main" id="{00000000-0008-0000-1500-0000E0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178371</xdr:colOff>
      <xdr:row>21</xdr:row>
      <xdr:rowOff>151629</xdr:rowOff>
    </xdr:from>
    <xdr:to>
      <xdr:col>35</xdr:col>
      <xdr:colOff>132334</xdr:colOff>
      <xdr:row>22</xdr:row>
      <xdr:rowOff>60190</xdr:rowOff>
    </xdr:to>
    <xdr:grpSp>
      <xdr:nvGrpSpPr>
        <xdr:cNvPr id="225" name="그룹 224">
          <a:extLst>
            <a:ext uri="{FF2B5EF4-FFF2-40B4-BE49-F238E27FC236}">
              <a16:creationId xmlns:a16="http://schemas.microsoft.com/office/drawing/2014/main" id="{00000000-0008-0000-1500-0000E1000000}"/>
            </a:ext>
          </a:extLst>
        </xdr:cNvPr>
        <xdr:cNvGrpSpPr/>
      </xdr:nvGrpSpPr>
      <xdr:grpSpPr>
        <a:xfrm>
          <a:off x="8274621" y="4310879"/>
          <a:ext cx="192088" cy="99061"/>
          <a:chOff x="2372059" y="3845092"/>
          <a:chExt cx="185070" cy="115303"/>
        </a:xfrm>
      </xdr:grpSpPr>
      <xdr:sp macro="" textlink="">
        <xdr:nvSpPr>
          <xdr:cNvPr id="226" name="직사각형 225">
            <a:extLst>
              <a:ext uri="{FF2B5EF4-FFF2-40B4-BE49-F238E27FC236}">
                <a16:creationId xmlns:a16="http://schemas.microsoft.com/office/drawing/2014/main" id="{00000000-0008-0000-1500-0000E2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27" name="순서도: 연결자 226">
            <a:extLst>
              <a:ext uri="{FF2B5EF4-FFF2-40B4-BE49-F238E27FC236}">
                <a16:creationId xmlns:a16="http://schemas.microsoft.com/office/drawing/2014/main" id="{00000000-0008-0000-1500-0000E3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28" name="순서도: 연결자 227">
            <a:extLst>
              <a:ext uri="{FF2B5EF4-FFF2-40B4-BE49-F238E27FC236}">
                <a16:creationId xmlns:a16="http://schemas.microsoft.com/office/drawing/2014/main" id="{00000000-0008-0000-1500-0000E400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171643</xdr:colOff>
      <xdr:row>25</xdr:row>
      <xdr:rowOff>101644</xdr:rowOff>
    </xdr:from>
    <xdr:to>
      <xdr:col>40</xdr:col>
      <xdr:colOff>95714</xdr:colOff>
      <xdr:row>26</xdr:row>
      <xdr:rowOff>96129</xdr:rowOff>
    </xdr:to>
    <xdr:grpSp>
      <xdr:nvGrpSpPr>
        <xdr:cNvPr id="229" name="그룹 228">
          <a:extLst>
            <a:ext uri="{FF2B5EF4-FFF2-40B4-BE49-F238E27FC236}">
              <a16:creationId xmlns:a16="http://schemas.microsoft.com/office/drawing/2014/main" id="{00000000-0008-0000-1500-0000E5000000}"/>
            </a:ext>
          </a:extLst>
        </xdr:cNvPr>
        <xdr:cNvGrpSpPr/>
      </xdr:nvGrpSpPr>
      <xdr:grpSpPr>
        <a:xfrm>
          <a:off x="9458518" y="5022894"/>
          <a:ext cx="170134" cy="184985"/>
          <a:chOff x="3850105" y="3654592"/>
          <a:chExt cx="185070" cy="195513"/>
        </a:xfrm>
      </xdr:grpSpPr>
      <xdr:sp macro="" textlink="">
        <xdr:nvSpPr>
          <xdr:cNvPr id="230" name="직사각형 229">
            <a:extLst>
              <a:ext uri="{FF2B5EF4-FFF2-40B4-BE49-F238E27FC236}">
                <a16:creationId xmlns:a16="http://schemas.microsoft.com/office/drawing/2014/main" id="{00000000-0008-0000-1500-0000E6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1" name="순서도: 연결자 230">
            <a:extLst>
              <a:ext uri="{FF2B5EF4-FFF2-40B4-BE49-F238E27FC236}">
                <a16:creationId xmlns:a16="http://schemas.microsoft.com/office/drawing/2014/main" id="{00000000-0008-0000-1500-0000E7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2" name="순서도: 연결자 231">
            <a:extLst>
              <a:ext uri="{FF2B5EF4-FFF2-40B4-BE49-F238E27FC236}">
                <a16:creationId xmlns:a16="http://schemas.microsoft.com/office/drawing/2014/main" id="{00000000-0008-0000-1500-0000E8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3" name="순서도: 연결자 232">
            <a:extLst>
              <a:ext uri="{FF2B5EF4-FFF2-40B4-BE49-F238E27FC236}">
                <a16:creationId xmlns:a16="http://schemas.microsoft.com/office/drawing/2014/main" id="{00000000-0008-0000-1500-0000E9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4" name="순서도: 연결자 233">
            <a:extLst>
              <a:ext uri="{FF2B5EF4-FFF2-40B4-BE49-F238E27FC236}">
                <a16:creationId xmlns:a16="http://schemas.microsoft.com/office/drawing/2014/main" id="{00000000-0008-0000-1500-0000EA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173334</xdr:colOff>
      <xdr:row>25</xdr:row>
      <xdr:rowOff>94826</xdr:rowOff>
    </xdr:from>
    <xdr:to>
      <xdr:col>41</xdr:col>
      <xdr:colOff>95497</xdr:colOff>
      <xdr:row>26</xdr:row>
      <xdr:rowOff>93121</xdr:rowOff>
    </xdr:to>
    <xdr:grpSp>
      <xdr:nvGrpSpPr>
        <xdr:cNvPr id="235" name="그룹 234">
          <a:extLst>
            <a:ext uri="{FF2B5EF4-FFF2-40B4-BE49-F238E27FC236}">
              <a16:creationId xmlns:a16="http://schemas.microsoft.com/office/drawing/2014/main" id="{00000000-0008-0000-1500-0000EB000000}"/>
            </a:ext>
          </a:extLst>
        </xdr:cNvPr>
        <xdr:cNvGrpSpPr/>
      </xdr:nvGrpSpPr>
      <xdr:grpSpPr>
        <a:xfrm>
          <a:off x="9706272" y="5016076"/>
          <a:ext cx="168225" cy="188795"/>
          <a:chOff x="3850105" y="3654592"/>
          <a:chExt cx="185070" cy="195513"/>
        </a:xfrm>
      </xdr:grpSpPr>
      <xdr:sp macro="" textlink="">
        <xdr:nvSpPr>
          <xdr:cNvPr id="236" name="직사각형 235">
            <a:extLst>
              <a:ext uri="{FF2B5EF4-FFF2-40B4-BE49-F238E27FC236}">
                <a16:creationId xmlns:a16="http://schemas.microsoft.com/office/drawing/2014/main" id="{00000000-0008-0000-1500-0000EC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7" name="순서도: 연결자 236">
            <a:extLst>
              <a:ext uri="{FF2B5EF4-FFF2-40B4-BE49-F238E27FC236}">
                <a16:creationId xmlns:a16="http://schemas.microsoft.com/office/drawing/2014/main" id="{00000000-0008-0000-1500-0000ED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8" name="순서도: 연결자 237">
            <a:extLst>
              <a:ext uri="{FF2B5EF4-FFF2-40B4-BE49-F238E27FC236}">
                <a16:creationId xmlns:a16="http://schemas.microsoft.com/office/drawing/2014/main" id="{00000000-0008-0000-1500-0000EE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" name="순서도: 연결자 238">
            <a:extLst>
              <a:ext uri="{FF2B5EF4-FFF2-40B4-BE49-F238E27FC236}">
                <a16:creationId xmlns:a16="http://schemas.microsoft.com/office/drawing/2014/main" id="{00000000-0008-0000-1500-0000EF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0" name="순서도: 연결자 239">
            <a:extLst>
              <a:ext uri="{FF2B5EF4-FFF2-40B4-BE49-F238E27FC236}">
                <a16:creationId xmlns:a16="http://schemas.microsoft.com/office/drawing/2014/main" id="{00000000-0008-0000-1500-0000F0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171788</xdr:colOff>
      <xdr:row>23</xdr:row>
      <xdr:rowOff>113215</xdr:rowOff>
    </xdr:from>
    <xdr:to>
      <xdr:col>40</xdr:col>
      <xdr:colOff>93954</xdr:colOff>
      <xdr:row>24</xdr:row>
      <xdr:rowOff>94365</xdr:rowOff>
    </xdr:to>
    <xdr:grpSp>
      <xdr:nvGrpSpPr>
        <xdr:cNvPr id="241" name="그룹 240">
          <a:extLst>
            <a:ext uri="{FF2B5EF4-FFF2-40B4-BE49-F238E27FC236}">
              <a16:creationId xmlns:a16="http://schemas.microsoft.com/office/drawing/2014/main" id="{00000000-0008-0000-1500-0000F1000000}"/>
            </a:ext>
          </a:extLst>
        </xdr:cNvPr>
        <xdr:cNvGrpSpPr/>
      </xdr:nvGrpSpPr>
      <xdr:grpSpPr>
        <a:xfrm>
          <a:off x="9458663" y="4653465"/>
          <a:ext cx="168229" cy="171650"/>
          <a:chOff x="3850105" y="3654592"/>
          <a:chExt cx="185070" cy="195513"/>
        </a:xfrm>
      </xdr:grpSpPr>
      <xdr:sp macro="" textlink="">
        <xdr:nvSpPr>
          <xdr:cNvPr id="242" name="직사각형 241">
            <a:extLst>
              <a:ext uri="{FF2B5EF4-FFF2-40B4-BE49-F238E27FC236}">
                <a16:creationId xmlns:a16="http://schemas.microsoft.com/office/drawing/2014/main" id="{00000000-0008-0000-1500-0000F2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3" name="순서도: 연결자 242">
            <a:extLst>
              <a:ext uri="{FF2B5EF4-FFF2-40B4-BE49-F238E27FC236}">
                <a16:creationId xmlns:a16="http://schemas.microsoft.com/office/drawing/2014/main" id="{00000000-0008-0000-1500-0000F3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" name="순서도: 연결자 243">
            <a:extLst>
              <a:ext uri="{FF2B5EF4-FFF2-40B4-BE49-F238E27FC236}">
                <a16:creationId xmlns:a16="http://schemas.microsoft.com/office/drawing/2014/main" id="{00000000-0008-0000-1500-0000F4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5" name="순서도: 연결자 244">
            <a:extLst>
              <a:ext uri="{FF2B5EF4-FFF2-40B4-BE49-F238E27FC236}">
                <a16:creationId xmlns:a16="http://schemas.microsoft.com/office/drawing/2014/main" id="{00000000-0008-0000-1500-0000F5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6" name="순서도: 연결자 245">
            <a:extLst>
              <a:ext uri="{FF2B5EF4-FFF2-40B4-BE49-F238E27FC236}">
                <a16:creationId xmlns:a16="http://schemas.microsoft.com/office/drawing/2014/main" id="{00000000-0008-0000-1500-0000F6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171574</xdr:colOff>
      <xdr:row>23</xdr:row>
      <xdr:rowOff>104492</xdr:rowOff>
    </xdr:from>
    <xdr:to>
      <xdr:col>41</xdr:col>
      <xdr:colOff>97547</xdr:colOff>
      <xdr:row>24</xdr:row>
      <xdr:rowOff>98977</xdr:rowOff>
    </xdr:to>
    <xdr:grpSp>
      <xdr:nvGrpSpPr>
        <xdr:cNvPr id="247" name="그룹 246">
          <a:extLst>
            <a:ext uri="{FF2B5EF4-FFF2-40B4-BE49-F238E27FC236}">
              <a16:creationId xmlns:a16="http://schemas.microsoft.com/office/drawing/2014/main" id="{00000000-0008-0000-1500-0000F7000000}"/>
            </a:ext>
          </a:extLst>
        </xdr:cNvPr>
        <xdr:cNvGrpSpPr/>
      </xdr:nvGrpSpPr>
      <xdr:grpSpPr>
        <a:xfrm>
          <a:off x="9704512" y="4644742"/>
          <a:ext cx="172035" cy="184985"/>
          <a:chOff x="3850105" y="3654592"/>
          <a:chExt cx="185070" cy="195513"/>
        </a:xfrm>
      </xdr:grpSpPr>
      <xdr:sp macro="" textlink="">
        <xdr:nvSpPr>
          <xdr:cNvPr id="248" name="직사각형 247">
            <a:extLst>
              <a:ext uri="{FF2B5EF4-FFF2-40B4-BE49-F238E27FC236}">
                <a16:creationId xmlns:a16="http://schemas.microsoft.com/office/drawing/2014/main" id="{00000000-0008-0000-1500-0000F800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9" name="순서도: 연결자 248">
            <a:extLst>
              <a:ext uri="{FF2B5EF4-FFF2-40B4-BE49-F238E27FC236}">
                <a16:creationId xmlns:a16="http://schemas.microsoft.com/office/drawing/2014/main" id="{00000000-0008-0000-1500-0000F900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0" name="순서도: 연결자 249">
            <a:extLst>
              <a:ext uri="{FF2B5EF4-FFF2-40B4-BE49-F238E27FC236}">
                <a16:creationId xmlns:a16="http://schemas.microsoft.com/office/drawing/2014/main" id="{00000000-0008-0000-1500-0000FA00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" name="순서도: 연결자 250">
            <a:extLst>
              <a:ext uri="{FF2B5EF4-FFF2-40B4-BE49-F238E27FC236}">
                <a16:creationId xmlns:a16="http://schemas.microsoft.com/office/drawing/2014/main" id="{00000000-0008-0000-1500-0000FB00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2" name="순서도: 연결자 251">
            <a:extLst>
              <a:ext uri="{FF2B5EF4-FFF2-40B4-BE49-F238E27FC236}">
                <a16:creationId xmlns:a16="http://schemas.microsoft.com/office/drawing/2014/main" id="{00000000-0008-0000-1500-0000FC00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163578</xdr:colOff>
      <xdr:row>27</xdr:row>
      <xdr:rowOff>130712</xdr:rowOff>
    </xdr:from>
    <xdr:to>
      <xdr:col>40</xdr:col>
      <xdr:colOff>91459</xdr:colOff>
      <xdr:row>28</xdr:row>
      <xdr:rowOff>18317</xdr:rowOff>
    </xdr:to>
    <xdr:grpSp>
      <xdr:nvGrpSpPr>
        <xdr:cNvPr id="253" name="그룹 252">
          <a:extLst>
            <a:ext uri="{FF2B5EF4-FFF2-40B4-BE49-F238E27FC236}">
              <a16:creationId xmlns:a16="http://schemas.microsoft.com/office/drawing/2014/main" id="{00000000-0008-0000-1500-0000FD000000}"/>
            </a:ext>
          </a:extLst>
        </xdr:cNvPr>
        <xdr:cNvGrpSpPr/>
      </xdr:nvGrpSpPr>
      <xdr:grpSpPr>
        <a:xfrm>
          <a:off x="9450453" y="5432962"/>
          <a:ext cx="173944" cy="78105"/>
          <a:chOff x="2372059" y="3845092"/>
          <a:chExt cx="185070" cy="115303"/>
        </a:xfrm>
      </xdr:grpSpPr>
      <xdr:sp macro="" textlink="">
        <xdr:nvSpPr>
          <xdr:cNvPr id="254" name="직사각형 253">
            <a:extLst>
              <a:ext uri="{FF2B5EF4-FFF2-40B4-BE49-F238E27FC236}">
                <a16:creationId xmlns:a16="http://schemas.microsoft.com/office/drawing/2014/main" id="{00000000-0008-0000-1500-0000FE00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5" name="순서도: 연결자 254">
            <a:extLst>
              <a:ext uri="{FF2B5EF4-FFF2-40B4-BE49-F238E27FC236}">
                <a16:creationId xmlns:a16="http://schemas.microsoft.com/office/drawing/2014/main" id="{00000000-0008-0000-1500-0000FF00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6" name="순서도: 연결자 255">
            <a:extLst>
              <a:ext uri="{FF2B5EF4-FFF2-40B4-BE49-F238E27FC236}">
                <a16:creationId xmlns:a16="http://schemas.microsoft.com/office/drawing/2014/main" id="{00000000-0008-0000-1500-00000001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171485</xdr:colOff>
      <xdr:row>21</xdr:row>
      <xdr:rowOff>150163</xdr:rowOff>
    </xdr:from>
    <xdr:to>
      <xdr:col>41</xdr:col>
      <xdr:colOff>97458</xdr:colOff>
      <xdr:row>22</xdr:row>
      <xdr:rowOff>58724</xdr:rowOff>
    </xdr:to>
    <xdr:grpSp>
      <xdr:nvGrpSpPr>
        <xdr:cNvPr id="257" name="그룹 256">
          <a:extLst>
            <a:ext uri="{FF2B5EF4-FFF2-40B4-BE49-F238E27FC236}">
              <a16:creationId xmlns:a16="http://schemas.microsoft.com/office/drawing/2014/main" id="{00000000-0008-0000-1500-000001010000}"/>
            </a:ext>
          </a:extLst>
        </xdr:cNvPr>
        <xdr:cNvGrpSpPr/>
      </xdr:nvGrpSpPr>
      <xdr:grpSpPr>
        <a:xfrm>
          <a:off x="9704423" y="4309413"/>
          <a:ext cx="172035" cy="99061"/>
          <a:chOff x="2372059" y="3845092"/>
          <a:chExt cx="185070" cy="115303"/>
        </a:xfrm>
      </xdr:grpSpPr>
      <xdr:sp macro="" textlink="">
        <xdr:nvSpPr>
          <xdr:cNvPr id="258" name="직사각형 257">
            <a:extLst>
              <a:ext uri="{FF2B5EF4-FFF2-40B4-BE49-F238E27FC236}">
                <a16:creationId xmlns:a16="http://schemas.microsoft.com/office/drawing/2014/main" id="{00000000-0008-0000-1500-00000201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9" name="순서도: 연결자 258">
            <a:extLst>
              <a:ext uri="{FF2B5EF4-FFF2-40B4-BE49-F238E27FC236}">
                <a16:creationId xmlns:a16="http://schemas.microsoft.com/office/drawing/2014/main" id="{00000000-0008-0000-1500-00000301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0" name="순서도: 연결자 259">
            <a:extLst>
              <a:ext uri="{FF2B5EF4-FFF2-40B4-BE49-F238E27FC236}">
                <a16:creationId xmlns:a16="http://schemas.microsoft.com/office/drawing/2014/main" id="{00000000-0008-0000-1500-00000401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21</xdr:col>
      <xdr:colOff>139222</xdr:colOff>
      <xdr:row>25</xdr:row>
      <xdr:rowOff>129718</xdr:rowOff>
    </xdr:from>
    <xdr:to>
      <xdr:col>22</xdr:col>
      <xdr:colOff>93184</xdr:colOff>
      <xdr:row>26</xdr:row>
      <xdr:rowOff>101343</xdr:rowOff>
    </xdr:to>
    <xdr:grpSp>
      <xdr:nvGrpSpPr>
        <xdr:cNvPr id="261" name="그룹 260">
          <a:extLst>
            <a:ext uri="{FF2B5EF4-FFF2-40B4-BE49-F238E27FC236}">
              <a16:creationId xmlns:a16="http://schemas.microsoft.com/office/drawing/2014/main" id="{00000000-0008-0000-1500-000005010000}"/>
            </a:ext>
          </a:extLst>
        </xdr:cNvPr>
        <xdr:cNvGrpSpPr/>
      </xdr:nvGrpSpPr>
      <xdr:grpSpPr>
        <a:xfrm>
          <a:off x="5139847" y="5050968"/>
          <a:ext cx="192087" cy="162125"/>
          <a:chOff x="3850105" y="3654592"/>
          <a:chExt cx="185070" cy="195513"/>
        </a:xfrm>
      </xdr:grpSpPr>
      <xdr:sp macro="" textlink="">
        <xdr:nvSpPr>
          <xdr:cNvPr id="262" name="직사각형 261">
            <a:extLst>
              <a:ext uri="{FF2B5EF4-FFF2-40B4-BE49-F238E27FC236}">
                <a16:creationId xmlns:a16="http://schemas.microsoft.com/office/drawing/2014/main" id="{00000000-0008-0000-1500-00000601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3" name="순서도: 연결자 262">
            <a:extLst>
              <a:ext uri="{FF2B5EF4-FFF2-40B4-BE49-F238E27FC236}">
                <a16:creationId xmlns:a16="http://schemas.microsoft.com/office/drawing/2014/main" id="{00000000-0008-0000-1500-00000701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4" name="순서도: 연결자 263">
            <a:extLst>
              <a:ext uri="{FF2B5EF4-FFF2-40B4-BE49-F238E27FC236}">
                <a16:creationId xmlns:a16="http://schemas.microsoft.com/office/drawing/2014/main" id="{00000000-0008-0000-1500-00000801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5" name="순서도: 연결자 264">
            <a:extLst>
              <a:ext uri="{FF2B5EF4-FFF2-40B4-BE49-F238E27FC236}">
                <a16:creationId xmlns:a16="http://schemas.microsoft.com/office/drawing/2014/main" id="{00000000-0008-0000-1500-00000901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6" name="순서도: 연결자 265">
            <a:extLst>
              <a:ext uri="{FF2B5EF4-FFF2-40B4-BE49-F238E27FC236}">
                <a16:creationId xmlns:a16="http://schemas.microsoft.com/office/drawing/2014/main" id="{00000000-0008-0000-1500-00000A01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22</xdr:col>
      <xdr:colOff>134774</xdr:colOff>
      <xdr:row>25</xdr:row>
      <xdr:rowOff>130146</xdr:rowOff>
    </xdr:from>
    <xdr:to>
      <xdr:col>23</xdr:col>
      <xdr:colOff>88737</xdr:colOff>
      <xdr:row>26</xdr:row>
      <xdr:rowOff>111296</xdr:rowOff>
    </xdr:to>
    <xdr:grpSp>
      <xdr:nvGrpSpPr>
        <xdr:cNvPr id="267" name="그룹 266">
          <a:extLst>
            <a:ext uri="{FF2B5EF4-FFF2-40B4-BE49-F238E27FC236}">
              <a16:creationId xmlns:a16="http://schemas.microsoft.com/office/drawing/2014/main" id="{00000000-0008-0000-1500-00000B010000}"/>
            </a:ext>
          </a:extLst>
        </xdr:cNvPr>
        <xdr:cNvGrpSpPr/>
      </xdr:nvGrpSpPr>
      <xdr:grpSpPr>
        <a:xfrm>
          <a:off x="5373524" y="5051396"/>
          <a:ext cx="192088" cy="171650"/>
          <a:chOff x="3850105" y="3654592"/>
          <a:chExt cx="185070" cy="195513"/>
        </a:xfrm>
      </xdr:grpSpPr>
      <xdr:sp macro="" textlink="">
        <xdr:nvSpPr>
          <xdr:cNvPr id="268" name="직사각형 267">
            <a:extLst>
              <a:ext uri="{FF2B5EF4-FFF2-40B4-BE49-F238E27FC236}">
                <a16:creationId xmlns:a16="http://schemas.microsoft.com/office/drawing/2014/main" id="{00000000-0008-0000-1500-00000C01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9" name="순서도: 연결자 268">
            <a:extLst>
              <a:ext uri="{FF2B5EF4-FFF2-40B4-BE49-F238E27FC236}">
                <a16:creationId xmlns:a16="http://schemas.microsoft.com/office/drawing/2014/main" id="{00000000-0008-0000-1500-00000D01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0" name="순서도: 연결자 269">
            <a:extLst>
              <a:ext uri="{FF2B5EF4-FFF2-40B4-BE49-F238E27FC236}">
                <a16:creationId xmlns:a16="http://schemas.microsoft.com/office/drawing/2014/main" id="{00000000-0008-0000-1500-00000E01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1" name="순서도: 연결자 270">
            <a:extLst>
              <a:ext uri="{FF2B5EF4-FFF2-40B4-BE49-F238E27FC236}">
                <a16:creationId xmlns:a16="http://schemas.microsoft.com/office/drawing/2014/main" id="{00000000-0008-0000-1500-00000F01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2" name="순서도: 연결자 271">
            <a:extLst>
              <a:ext uri="{FF2B5EF4-FFF2-40B4-BE49-F238E27FC236}">
                <a16:creationId xmlns:a16="http://schemas.microsoft.com/office/drawing/2014/main" id="{00000000-0008-0000-1500-00001001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164464</xdr:colOff>
      <xdr:row>23</xdr:row>
      <xdr:rowOff>91440</xdr:rowOff>
    </xdr:from>
    <xdr:to>
      <xdr:col>34</xdr:col>
      <xdr:colOff>93661</xdr:colOff>
      <xdr:row>24</xdr:row>
      <xdr:rowOff>85924</xdr:rowOff>
    </xdr:to>
    <xdr:grpSp>
      <xdr:nvGrpSpPr>
        <xdr:cNvPr id="273" name="그룹 272">
          <a:extLst>
            <a:ext uri="{FF2B5EF4-FFF2-40B4-BE49-F238E27FC236}">
              <a16:creationId xmlns:a16="http://schemas.microsoft.com/office/drawing/2014/main" id="{00000000-0008-0000-1500-000011010000}"/>
            </a:ext>
          </a:extLst>
        </xdr:cNvPr>
        <xdr:cNvGrpSpPr/>
      </xdr:nvGrpSpPr>
      <xdr:grpSpPr>
        <a:xfrm>
          <a:off x="8022589" y="4631690"/>
          <a:ext cx="167322" cy="184984"/>
          <a:chOff x="3850105" y="3654592"/>
          <a:chExt cx="185070" cy="195513"/>
        </a:xfrm>
      </xdr:grpSpPr>
      <xdr:sp macro="" textlink="">
        <xdr:nvSpPr>
          <xdr:cNvPr id="274" name="직사각형 273">
            <a:extLst>
              <a:ext uri="{FF2B5EF4-FFF2-40B4-BE49-F238E27FC236}">
                <a16:creationId xmlns:a16="http://schemas.microsoft.com/office/drawing/2014/main" id="{00000000-0008-0000-1500-00001201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5" name="순서도: 연결자 274">
            <a:extLst>
              <a:ext uri="{FF2B5EF4-FFF2-40B4-BE49-F238E27FC236}">
                <a16:creationId xmlns:a16="http://schemas.microsoft.com/office/drawing/2014/main" id="{00000000-0008-0000-1500-00001301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6" name="순서도: 연결자 275">
            <a:extLst>
              <a:ext uri="{FF2B5EF4-FFF2-40B4-BE49-F238E27FC236}">
                <a16:creationId xmlns:a16="http://schemas.microsoft.com/office/drawing/2014/main" id="{00000000-0008-0000-1500-00001401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7" name="순서도: 연결자 276">
            <a:extLst>
              <a:ext uri="{FF2B5EF4-FFF2-40B4-BE49-F238E27FC236}">
                <a16:creationId xmlns:a16="http://schemas.microsoft.com/office/drawing/2014/main" id="{00000000-0008-0000-1500-00001501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8" name="순서도: 연결자 277">
            <a:extLst>
              <a:ext uri="{FF2B5EF4-FFF2-40B4-BE49-F238E27FC236}">
                <a16:creationId xmlns:a16="http://schemas.microsoft.com/office/drawing/2014/main" id="{00000000-0008-0000-1500-00001601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169752</xdr:colOff>
      <xdr:row>23</xdr:row>
      <xdr:rowOff>95678</xdr:rowOff>
    </xdr:from>
    <xdr:to>
      <xdr:col>35</xdr:col>
      <xdr:colOff>118000</xdr:colOff>
      <xdr:row>24</xdr:row>
      <xdr:rowOff>92067</xdr:rowOff>
    </xdr:to>
    <xdr:grpSp>
      <xdr:nvGrpSpPr>
        <xdr:cNvPr id="279" name="그룹 278">
          <a:extLst>
            <a:ext uri="{FF2B5EF4-FFF2-40B4-BE49-F238E27FC236}">
              <a16:creationId xmlns:a16="http://schemas.microsoft.com/office/drawing/2014/main" id="{00000000-0008-0000-1500-000017010000}"/>
            </a:ext>
          </a:extLst>
        </xdr:cNvPr>
        <xdr:cNvGrpSpPr/>
      </xdr:nvGrpSpPr>
      <xdr:grpSpPr>
        <a:xfrm>
          <a:off x="8266002" y="4635928"/>
          <a:ext cx="186373" cy="186889"/>
          <a:chOff x="3850105" y="3654592"/>
          <a:chExt cx="185070" cy="195513"/>
        </a:xfrm>
      </xdr:grpSpPr>
      <xdr:sp macro="" textlink="">
        <xdr:nvSpPr>
          <xdr:cNvPr id="280" name="직사각형 279">
            <a:extLst>
              <a:ext uri="{FF2B5EF4-FFF2-40B4-BE49-F238E27FC236}">
                <a16:creationId xmlns:a16="http://schemas.microsoft.com/office/drawing/2014/main" id="{00000000-0008-0000-1500-00001801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81" name="순서도: 연결자 280">
            <a:extLst>
              <a:ext uri="{FF2B5EF4-FFF2-40B4-BE49-F238E27FC236}">
                <a16:creationId xmlns:a16="http://schemas.microsoft.com/office/drawing/2014/main" id="{00000000-0008-0000-1500-00001901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82" name="순서도: 연결자 281">
            <a:extLst>
              <a:ext uri="{FF2B5EF4-FFF2-40B4-BE49-F238E27FC236}">
                <a16:creationId xmlns:a16="http://schemas.microsoft.com/office/drawing/2014/main" id="{00000000-0008-0000-1500-00001A01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83" name="순서도: 연결자 282">
            <a:extLst>
              <a:ext uri="{FF2B5EF4-FFF2-40B4-BE49-F238E27FC236}">
                <a16:creationId xmlns:a16="http://schemas.microsoft.com/office/drawing/2014/main" id="{00000000-0008-0000-1500-00001B01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84" name="순서도: 연결자 283">
            <a:extLst>
              <a:ext uri="{FF2B5EF4-FFF2-40B4-BE49-F238E27FC236}">
                <a16:creationId xmlns:a16="http://schemas.microsoft.com/office/drawing/2014/main" id="{00000000-0008-0000-1500-00001C01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35</xdr:col>
      <xdr:colOff>166687</xdr:colOff>
      <xdr:row>96</xdr:row>
      <xdr:rowOff>127970</xdr:rowOff>
    </xdr:from>
    <xdr:to>
      <xdr:col>36</xdr:col>
      <xdr:colOff>197803</xdr:colOff>
      <xdr:row>96</xdr:row>
      <xdr:rowOff>127970</xdr:rowOff>
    </xdr:to>
    <xdr:sp macro="" textlink="">
      <xdr:nvSpPr>
        <xdr:cNvPr id="285" name="Line 746">
          <a:extLst>
            <a:ext uri="{FF2B5EF4-FFF2-40B4-BE49-F238E27FC236}">
              <a16:creationId xmlns:a16="http://schemas.microsoft.com/office/drawing/2014/main" id="{00000000-0008-0000-1500-00001D010000}"/>
            </a:ext>
          </a:extLst>
        </xdr:cNvPr>
        <xdr:cNvSpPr>
          <a:spLocks noChangeShapeType="1"/>
        </xdr:cNvSpPr>
      </xdr:nvSpPr>
      <xdr:spPr bwMode="auto">
        <a:xfrm>
          <a:off x="8504872" y="12657155"/>
          <a:ext cx="26733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39</xdr:col>
      <xdr:colOff>223572</xdr:colOff>
      <xdr:row>84</xdr:row>
      <xdr:rowOff>46300</xdr:rowOff>
    </xdr:from>
    <xdr:to>
      <xdr:col>39</xdr:col>
      <xdr:colOff>224760</xdr:colOff>
      <xdr:row>85</xdr:row>
      <xdr:rowOff>198700</xdr:rowOff>
    </xdr:to>
    <xdr:sp macro="" textlink="">
      <xdr:nvSpPr>
        <xdr:cNvPr id="286" name="Line 640">
          <a:extLst>
            <a:ext uri="{FF2B5EF4-FFF2-40B4-BE49-F238E27FC236}">
              <a16:creationId xmlns:a16="http://schemas.microsoft.com/office/drawing/2014/main" id="{00000000-0008-0000-1500-00001E010000}"/>
            </a:ext>
          </a:extLst>
        </xdr:cNvPr>
        <xdr:cNvSpPr>
          <a:spLocks noChangeShapeType="1"/>
        </xdr:cNvSpPr>
      </xdr:nvSpPr>
      <xdr:spPr bwMode="auto">
        <a:xfrm rot="5400000">
          <a:off x="9323398" y="10129824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38</xdr:col>
      <xdr:colOff>20637</xdr:colOff>
      <xdr:row>81</xdr:row>
      <xdr:rowOff>201614</xdr:rowOff>
    </xdr:from>
    <xdr:to>
      <xdr:col>39</xdr:col>
      <xdr:colOff>201612</xdr:colOff>
      <xdr:row>81</xdr:row>
      <xdr:rowOff>201614</xdr:rowOff>
    </xdr:to>
    <xdr:sp macro="" textlink="">
      <xdr:nvSpPr>
        <xdr:cNvPr id="287" name="Line 695">
          <a:extLst>
            <a:ext uri="{FF2B5EF4-FFF2-40B4-BE49-F238E27FC236}">
              <a16:creationId xmlns:a16="http://schemas.microsoft.com/office/drawing/2014/main" id="{00000000-0008-0000-1500-00001F010000}"/>
            </a:ext>
          </a:extLst>
        </xdr:cNvPr>
        <xdr:cNvSpPr>
          <a:spLocks noChangeShapeType="1"/>
        </xdr:cNvSpPr>
      </xdr:nvSpPr>
      <xdr:spPr bwMode="auto">
        <a:xfrm rot="5400000">
          <a:off x="9273222" y="9225599"/>
          <a:ext cx="0" cy="43434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53973</xdr:colOff>
      <xdr:row>81</xdr:row>
      <xdr:rowOff>193670</xdr:rowOff>
    </xdr:from>
    <xdr:to>
      <xdr:col>42</xdr:col>
      <xdr:colOff>206373</xdr:colOff>
      <xdr:row>81</xdr:row>
      <xdr:rowOff>193670</xdr:rowOff>
    </xdr:to>
    <xdr:sp macro="" textlink="">
      <xdr:nvSpPr>
        <xdr:cNvPr id="288" name="Line 696">
          <a:extLst>
            <a:ext uri="{FF2B5EF4-FFF2-40B4-BE49-F238E27FC236}">
              <a16:creationId xmlns:a16="http://schemas.microsoft.com/office/drawing/2014/main" id="{00000000-0008-0000-1500-000020010000}"/>
            </a:ext>
          </a:extLst>
        </xdr:cNvPr>
        <xdr:cNvSpPr>
          <a:spLocks noChangeShapeType="1"/>
        </xdr:cNvSpPr>
      </xdr:nvSpPr>
      <xdr:spPr bwMode="auto">
        <a:xfrm rot="5400000">
          <a:off x="10039983" y="9232895"/>
          <a:ext cx="0" cy="40005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38</xdr:col>
      <xdr:colOff>20637</xdr:colOff>
      <xdr:row>86</xdr:row>
      <xdr:rowOff>24870</xdr:rowOff>
    </xdr:from>
    <xdr:to>
      <xdr:col>39</xdr:col>
      <xdr:colOff>201612</xdr:colOff>
      <xdr:row>86</xdr:row>
      <xdr:rowOff>24870</xdr:rowOff>
    </xdr:to>
    <xdr:sp macro="" textlink="">
      <xdr:nvSpPr>
        <xdr:cNvPr id="289" name="Line 697">
          <a:extLst>
            <a:ext uri="{FF2B5EF4-FFF2-40B4-BE49-F238E27FC236}">
              <a16:creationId xmlns:a16="http://schemas.microsoft.com/office/drawing/2014/main" id="{00000000-0008-0000-1500-000021010000}"/>
            </a:ext>
          </a:extLst>
        </xdr:cNvPr>
        <xdr:cNvSpPr>
          <a:spLocks noChangeShapeType="1"/>
        </xdr:cNvSpPr>
      </xdr:nvSpPr>
      <xdr:spPr bwMode="auto">
        <a:xfrm rot="5400000">
          <a:off x="9273222" y="10138515"/>
          <a:ext cx="0" cy="43434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61912</xdr:colOff>
      <xdr:row>86</xdr:row>
      <xdr:rowOff>30163</xdr:rowOff>
    </xdr:from>
    <xdr:to>
      <xdr:col>42</xdr:col>
      <xdr:colOff>237595</xdr:colOff>
      <xdr:row>86</xdr:row>
      <xdr:rowOff>30163</xdr:rowOff>
    </xdr:to>
    <xdr:sp macro="" textlink="">
      <xdr:nvSpPr>
        <xdr:cNvPr id="290" name="Line 698">
          <a:extLst>
            <a:ext uri="{FF2B5EF4-FFF2-40B4-BE49-F238E27FC236}">
              <a16:creationId xmlns:a16="http://schemas.microsoft.com/office/drawing/2014/main" id="{00000000-0008-0000-1500-000022010000}"/>
            </a:ext>
          </a:extLst>
        </xdr:cNvPr>
        <xdr:cNvSpPr>
          <a:spLocks noChangeShapeType="1"/>
        </xdr:cNvSpPr>
      </xdr:nvSpPr>
      <xdr:spPr bwMode="auto">
        <a:xfrm rot="5400000">
          <a:off x="10054801" y="10148359"/>
          <a:ext cx="0" cy="42904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37</xdr:col>
      <xdr:colOff>214932</xdr:colOff>
      <xdr:row>84</xdr:row>
      <xdr:rowOff>55880</xdr:rowOff>
    </xdr:from>
    <xdr:to>
      <xdr:col>37</xdr:col>
      <xdr:colOff>214932</xdr:colOff>
      <xdr:row>86</xdr:row>
      <xdr:rowOff>6139</xdr:rowOff>
    </xdr:to>
    <xdr:sp macro="" textlink="">
      <xdr:nvSpPr>
        <xdr:cNvPr id="291" name="Line 721">
          <a:extLst>
            <a:ext uri="{FF2B5EF4-FFF2-40B4-BE49-F238E27FC236}">
              <a16:creationId xmlns:a16="http://schemas.microsoft.com/office/drawing/2014/main" id="{00000000-0008-0000-1500-000023010000}"/>
            </a:ext>
          </a:extLst>
        </xdr:cNvPr>
        <xdr:cNvSpPr>
          <a:spLocks noChangeShapeType="1"/>
        </xdr:cNvSpPr>
      </xdr:nvSpPr>
      <xdr:spPr bwMode="auto">
        <a:xfrm>
          <a:off x="9021747" y="9956165"/>
          <a:ext cx="0" cy="38650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43</xdr:col>
      <xdr:colOff>23809</xdr:colOff>
      <xdr:row>84</xdr:row>
      <xdr:rowOff>49148</xdr:rowOff>
    </xdr:from>
    <xdr:to>
      <xdr:col>43</xdr:col>
      <xdr:colOff>23809</xdr:colOff>
      <xdr:row>85</xdr:row>
      <xdr:rowOff>205782</xdr:rowOff>
    </xdr:to>
    <xdr:sp macro="" textlink="">
      <xdr:nvSpPr>
        <xdr:cNvPr id="292" name="Line 723">
          <a:extLst>
            <a:ext uri="{FF2B5EF4-FFF2-40B4-BE49-F238E27FC236}">
              <a16:creationId xmlns:a16="http://schemas.microsoft.com/office/drawing/2014/main" id="{00000000-0008-0000-1500-000024010000}"/>
            </a:ext>
          </a:extLst>
        </xdr:cNvPr>
        <xdr:cNvSpPr>
          <a:spLocks noChangeShapeType="1"/>
        </xdr:cNvSpPr>
      </xdr:nvSpPr>
      <xdr:spPr bwMode="auto">
        <a:xfrm>
          <a:off x="10287949" y="9947528"/>
          <a:ext cx="0" cy="37761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39</xdr:col>
      <xdr:colOff>233099</xdr:colOff>
      <xdr:row>86</xdr:row>
      <xdr:rowOff>27002</xdr:rowOff>
    </xdr:from>
    <xdr:to>
      <xdr:col>41</xdr:col>
      <xdr:colOff>33074</xdr:colOff>
      <xdr:row>86</xdr:row>
      <xdr:rowOff>27002</xdr:rowOff>
    </xdr:to>
    <xdr:sp macro="" textlink="">
      <xdr:nvSpPr>
        <xdr:cNvPr id="293" name="Line 749">
          <a:extLst>
            <a:ext uri="{FF2B5EF4-FFF2-40B4-BE49-F238E27FC236}">
              <a16:creationId xmlns:a16="http://schemas.microsoft.com/office/drawing/2014/main" id="{00000000-0008-0000-1500-000025010000}"/>
            </a:ext>
          </a:extLst>
        </xdr:cNvPr>
        <xdr:cNvSpPr>
          <a:spLocks noChangeShapeType="1"/>
        </xdr:cNvSpPr>
      </xdr:nvSpPr>
      <xdr:spPr bwMode="auto">
        <a:xfrm rot="5400000">
          <a:off x="9667612" y="10213989"/>
          <a:ext cx="0" cy="29146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39</xdr:col>
      <xdr:colOff>223838</xdr:colOff>
      <xdr:row>81</xdr:row>
      <xdr:rowOff>200026</xdr:rowOff>
    </xdr:from>
    <xdr:to>
      <xdr:col>41</xdr:col>
      <xdr:colOff>9525</xdr:colOff>
      <xdr:row>81</xdr:row>
      <xdr:rowOff>200026</xdr:rowOff>
    </xdr:to>
    <xdr:sp macro="" textlink="">
      <xdr:nvSpPr>
        <xdr:cNvPr id="294" name="Line 640">
          <a:extLst>
            <a:ext uri="{FF2B5EF4-FFF2-40B4-BE49-F238E27FC236}">
              <a16:creationId xmlns:a16="http://schemas.microsoft.com/office/drawing/2014/main" id="{00000000-0008-0000-1500-000026010000}"/>
            </a:ext>
          </a:extLst>
        </xdr:cNvPr>
        <xdr:cNvSpPr>
          <a:spLocks noChangeShapeType="1"/>
        </xdr:cNvSpPr>
      </xdr:nvSpPr>
      <xdr:spPr bwMode="auto">
        <a:xfrm rot="5400000">
          <a:off x="9651207" y="9298782"/>
          <a:ext cx="0" cy="28479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39</xdr:col>
      <xdr:colOff>221458</xdr:colOff>
      <xdr:row>79</xdr:row>
      <xdr:rowOff>189710</xdr:rowOff>
    </xdr:from>
    <xdr:to>
      <xdr:col>41</xdr:col>
      <xdr:colOff>7145</xdr:colOff>
      <xdr:row>79</xdr:row>
      <xdr:rowOff>189710</xdr:rowOff>
    </xdr:to>
    <xdr:sp macro="" textlink="">
      <xdr:nvSpPr>
        <xdr:cNvPr id="295" name="Line 640">
          <a:extLst>
            <a:ext uri="{FF2B5EF4-FFF2-40B4-BE49-F238E27FC236}">
              <a16:creationId xmlns:a16="http://schemas.microsoft.com/office/drawing/2014/main" id="{00000000-0008-0000-1500-000027010000}"/>
            </a:ext>
          </a:extLst>
        </xdr:cNvPr>
        <xdr:cNvSpPr>
          <a:spLocks noChangeShapeType="1"/>
        </xdr:cNvSpPr>
      </xdr:nvSpPr>
      <xdr:spPr bwMode="auto">
        <a:xfrm rot="5400000">
          <a:off x="9648827" y="8848411"/>
          <a:ext cx="0" cy="28479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39</xdr:col>
      <xdr:colOff>232570</xdr:colOff>
      <xdr:row>80</xdr:row>
      <xdr:rowOff>15876</xdr:rowOff>
    </xdr:from>
    <xdr:to>
      <xdr:col>39</xdr:col>
      <xdr:colOff>232570</xdr:colOff>
      <xdr:row>82</xdr:row>
      <xdr:rowOff>6351</xdr:rowOff>
    </xdr:to>
    <xdr:sp macro="" textlink="">
      <xdr:nvSpPr>
        <xdr:cNvPr id="296" name="Line 652">
          <a:extLst>
            <a:ext uri="{FF2B5EF4-FFF2-40B4-BE49-F238E27FC236}">
              <a16:creationId xmlns:a16="http://schemas.microsoft.com/office/drawing/2014/main" id="{00000000-0008-0000-1500-000028010000}"/>
            </a:ext>
          </a:extLst>
        </xdr:cNvPr>
        <xdr:cNvSpPr>
          <a:spLocks noChangeShapeType="1"/>
        </xdr:cNvSpPr>
      </xdr:nvSpPr>
      <xdr:spPr bwMode="auto">
        <a:xfrm rot="10800000">
          <a:off x="9521350" y="9039861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19843</xdr:colOff>
      <xdr:row>80</xdr:row>
      <xdr:rowOff>9527</xdr:rowOff>
    </xdr:from>
    <xdr:to>
      <xdr:col>41</xdr:col>
      <xdr:colOff>19843</xdr:colOff>
      <xdr:row>82</xdr:row>
      <xdr:rowOff>2</xdr:rowOff>
    </xdr:to>
    <xdr:sp macro="" textlink="">
      <xdr:nvSpPr>
        <xdr:cNvPr id="297" name="Line 652">
          <a:extLst>
            <a:ext uri="{FF2B5EF4-FFF2-40B4-BE49-F238E27FC236}">
              <a16:creationId xmlns:a16="http://schemas.microsoft.com/office/drawing/2014/main" id="{00000000-0008-0000-1500-000029010000}"/>
            </a:ext>
          </a:extLst>
        </xdr:cNvPr>
        <xdr:cNvSpPr>
          <a:spLocks noChangeShapeType="1"/>
        </xdr:cNvSpPr>
      </xdr:nvSpPr>
      <xdr:spPr bwMode="auto">
        <a:xfrm rot="10800000">
          <a:off x="9798208" y="9031607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37</xdr:col>
      <xdr:colOff>220230</xdr:colOff>
      <xdr:row>81</xdr:row>
      <xdr:rowOff>205371</xdr:rowOff>
    </xdr:from>
    <xdr:to>
      <xdr:col>37</xdr:col>
      <xdr:colOff>220230</xdr:colOff>
      <xdr:row>83</xdr:row>
      <xdr:rowOff>184205</xdr:rowOff>
    </xdr:to>
    <xdr:sp macro="" textlink="">
      <xdr:nvSpPr>
        <xdr:cNvPr id="298" name="Line 510">
          <a:extLst>
            <a:ext uri="{FF2B5EF4-FFF2-40B4-BE49-F238E27FC236}">
              <a16:creationId xmlns:a16="http://schemas.microsoft.com/office/drawing/2014/main" id="{00000000-0008-0000-1500-00002A010000}"/>
            </a:ext>
          </a:extLst>
        </xdr:cNvPr>
        <xdr:cNvSpPr>
          <a:spLocks noChangeShapeType="1"/>
        </xdr:cNvSpPr>
      </xdr:nvSpPr>
      <xdr:spPr bwMode="auto">
        <a:xfrm>
          <a:off x="9028950" y="9448431"/>
          <a:ext cx="0" cy="411269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43</xdr:col>
      <xdr:colOff>16741</xdr:colOff>
      <xdr:row>82</xdr:row>
      <xdr:rowOff>19829</xdr:rowOff>
    </xdr:from>
    <xdr:to>
      <xdr:col>43</xdr:col>
      <xdr:colOff>16741</xdr:colOff>
      <xdr:row>84</xdr:row>
      <xdr:rowOff>1309</xdr:rowOff>
    </xdr:to>
    <xdr:sp macro="" textlink="">
      <xdr:nvSpPr>
        <xdr:cNvPr id="299" name="Line 510">
          <a:extLst>
            <a:ext uri="{FF2B5EF4-FFF2-40B4-BE49-F238E27FC236}">
              <a16:creationId xmlns:a16="http://schemas.microsoft.com/office/drawing/2014/main" id="{00000000-0008-0000-1500-00002B010000}"/>
            </a:ext>
          </a:extLst>
        </xdr:cNvPr>
        <xdr:cNvSpPr>
          <a:spLocks noChangeShapeType="1"/>
        </xdr:cNvSpPr>
      </xdr:nvSpPr>
      <xdr:spPr bwMode="auto">
        <a:xfrm>
          <a:off x="10288501" y="9474344"/>
          <a:ext cx="0" cy="42344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8200</xdr:colOff>
      <xdr:row>84</xdr:row>
      <xdr:rowOff>50533</xdr:rowOff>
    </xdr:from>
    <xdr:to>
      <xdr:col>41</xdr:col>
      <xdr:colOff>9388</xdr:colOff>
      <xdr:row>85</xdr:row>
      <xdr:rowOff>202933</xdr:rowOff>
    </xdr:to>
    <xdr:sp macro="" textlink="">
      <xdr:nvSpPr>
        <xdr:cNvPr id="300" name="Line 640">
          <a:extLst>
            <a:ext uri="{FF2B5EF4-FFF2-40B4-BE49-F238E27FC236}">
              <a16:creationId xmlns:a16="http://schemas.microsoft.com/office/drawing/2014/main" id="{00000000-0008-0000-1500-00002C010000}"/>
            </a:ext>
          </a:extLst>
        </xdr:cNvPr>
        <xdr:cNvSpPr>
          <a:spLocks noChangeShapeType="1"/>
        </xdr:cNvSpPr>
      </xdr:nvSpPr>
      <xdr:spPr bwMode="auto">
        <a:xfrm rot="5400000">
          <a:off x="9607136" y="10135962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39</xdr:col>
      <xdr:colOff>236322</xdr:colOff>
      <xdr:row>82</xdr:row>
      <xdr:rowOff>14819</xdr:rowOff>
    </xdr:from>
    <xdr:to>
      <xdr:col>39</xdr:col>
      <xdr:colOff>236322</xdr:colOff>
      <xdr:row>84</xdr:row>
      <xdr:rowOff>7938</xdr:rowOff>
    </xdr:to>
    <xdr:sp macro="" textlink="">
      <xdr:nvSpPr>
        <xdr:cNvPr id="301" name="Line 652">
          <a:extLst>
            <a:ext uri="{FF2B5EF4-FFF2-40B4-BE49-F238E27FC236}">
              <a16:creationId xmlns:a16="http://schemas.microsoft.com/office/drawing/2014/main" id="{00000000-0008-0000-1500-00002D010000}"/>
            </a:ext>
          </a:extLst>
        </xdr:cNvPr>
        <xdr:cNvSpPr>
          <a:spLocks noChangeShapeType="1"/>
        </xdr:cNvSpPr>
      </xdr:nvSpPr>
      <xdr:spPr bwMode="auto">
        <a:xfrm rot="10800000">
          <a:off x="9525102" y="9476954"/>
          <a:ext cx="0" cy="42936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22751</xdr:colOff>
      <xdr:row>82</xdr:row>
      <xdr:rowOff>24347</xdr:rowOff>
    </xdr:from>
    <xdr:to>
      <xdr:col>41</xdr:col>
      <xdr:colOff>22751</xdr:colOff>
      <xdr:row>84</xdr:row>
      <xdr:rowOff>14821</xdr:rowOff>
    </xdr:to>
    <xdr:sp macro="" textlink="">
      <xdr:nvSpPr>
        <xdr:cNvPr id="302" name="Line 652">
          <a:extLst>
            <a:ext uri="{FF2B5EF4-FFF2-40B4-BE49-F238E27FC236}">
              <a16:creationId xmlns:a16="http://schemas.microsoft.com/office/drawing/2014/main" id="{00000000-0008-0000-1500-00002E010000}"/>
            </a:ext>
          </a:extLst>
        </xdr:cNvPr>
        <xdr:cNvSpPr>
          <a:spLocks noChangeShapeType="1"/>
        </xdr:cNvSpPr>
      </xdr:nvSpPr>
      <xdr:spPr bwMode="auto">
        <a:xfrm rot="10800000">
          <a:off x="9801116" y="9478862"/>
          <a:ext cx="0" cy="43624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  <xdr:txBody>
        <a:bodyPr/>
        <a:lstStyle/>
        <a:p>
          <a:r>
            <a:rPr lang="ko-KR" altLang="en-US"/>
            <a:t> </a:t>
          </a:r>
        </a:p>
      </xdr:txBody>
    </xdr:sp>
    <xdr:clientData/>
  </xdr:twoCellAnchor>
  <xdr:twoCellAnchor>
    <xdr:from>
      <xdr:col>38</xdr:col>
      <xdr:colOff>21166</xdr:colOff>
      <xdr:row>83</xdr:row>
      <xdr:rowOff>201084</xdr:rowOff>
    </xdr:from>
    <xdr:to>
      <xdr:col>39</xdr:col>
      <xdr:colOff>202141</xdr:colOff>
      <xdr:row>83</xdr:row>
      <xdr:rowOff>201084</xdr:rowOff>
    </xdr:to>
    <xdr:sp macro="" textlink="">
      <xdr:nvSpPr>
        <xdr:cNvPr id="303" name="Line 695">
          <a:extLst>
            <a:ext uri="{FF2B5EF4-FFF2-40B4-BE49-F238E27FC236}">
              <a16:creationId xmlns:a16="http://schemas.microsoft.com/office/drawing/2014/main" id="{00000000-0008-0000-1500-00002F010000}"/>
            </a:ext>
          </a:extLst>
        </xdr:cNvPr>
        <xdr:cNvSpPr>
          <a:spLocks noChangeShapeType="1"/>
        </xdr:cNvSpPr>
      </xdr:nvSpPr>
      <xdr:spPr bwMode="auto">
        <a:xfrm rot="5400000">
          <a:off x="9274704" y="9662266"/>
          <a:ext cx="0" cy="43624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30691</xdr:colOff>
      <xdr:row>83</xdr:row>
      <xdr:rowOff>195790</xdr:rowOff>
    </xdr:from>
    <xdr:to>
      <xdr:col>42</xdr:col>
      <xdr:colOff>211666</xdr:colOff>
      <xdr:row>83</xdr:row>
      <xdr:rowOff>195790</xdr:rowOff>
    </xdr:to>
    <xdr:sp macro="" textlink="">
      <xdr:nvSpPr>
        <xdr:cNvPr id="304" name="Line 696">
          <a:extLst>
            <a:ext uri="{FF2B5EF4-FFF2-40B4-BE49-F238E27FC236}">
              <a16:creationId xmlns:a16="http://schemas.microsoft.com/office/drawing/2014/main" id="{00000000-0008-0000-1500-000030010000}"/>
            </a:ext>
          </a:extLst>
        </xdr:cNvPr>
        <xdr:cNvSpPr>
          <a:spLocks noChangeShapeType="1"/>
        </xdr:cNvSpPr>
      </xdr:nvSpPr>
      <xdr:spPr bwMode="auto">
        <a:xfrm rot="5400000">
          <a:off x="10024321" y="9661735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37</xdr:col>
      <xdr:colOff>215829</xdr:colOff>
      <xdr:row>80</xdr:row>
      <xdr:rowOff>3621</xdr:rowOff>
    </xdr:from>
    <xdr:to>
      <xdr:col>37</xdr:col>
      <xdr:colOff>215829</xdr:colOff>
      <xdr:row>81</xdr:row>
      <xdr:rowOff>194122</xdr:rowOff>
    </xdr:to>
    <xdr:sp macro="" textlink="">
      <xdr:nvSpPr>
        <xdr:cNvPr id="305" name="Line 510">
          <a:extLst>
            <a:ext uri="{FF2B5EF4-FFF2-40B4-BE49-F238E27FC236}">
              <a16:creationId xmlns:a16="http://schemas.microsoft.com/office/drawing/2014/main" id="{00000000-0008-0000-1500-000031010000}"/>
            </a:ext>
          </a:extLst>
        </xdr:cNvPr>
        <xdr:cNvSpPr>
          <a:spLocks noChangeShapeType="1"/>
        </xdr:cNvSpPr>
      </xdr:nvSpPr>
      <xdr:spPr bwMode="auto">
        <a:xfrm>
          <a:off x="9022644" y="9023796"/>
          <a:ext cx="0" cy="40957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43</xdr:col>
      <xdr:colOff>26988</xdr:colOff>
      <xdr:row>80</xdr:row>
      <xdr:rowOff>2896</xdr:rowOff>
    </xdr:from>
    <xdr:to>
      <xdr:col>43</xdr:col>
      <xdr:colOff>26988</xdr:colOff>
      <xdr:row>81</xdr:row>
      <xdr:rowOff>185459</xdr:rowOff>
    </xdr:to>
    <xdr:sp macro="" textlink="">
      <xdr:nvSpPr>
        <xdr:cNvPr id="306" name="Line 510">
          <a:extLst>
            <a:ext uri="{FF2B5EF4-FFF2-40B4-BE49-F238E27FC236}">
              <a16:creationId xmlns:a16="http://schemas.microsoft.com/office/drawing/2014/main" id="{00000000-0008-0000-1500-000032010000}"/>
            </a:ext>
          </a:extLst>
        </xdr:cNvPr>
        <xdr:cNvSpPr>
          <a:spLocks noChangeShapeType="1"/>
        </xdr:cNvSpPr>
      </xdr:nvSpPr>
      <xdr:spPr bwMode="auto">
        <a:xfrm>
          <a:off x="10293033" y="9023071"/>
          <a:ext cx="0" cy="39973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40</xdr:col>
      <xdr:colOff>1495</xdr:colOff>
      <xdr:row>84</xdr:row>
      <xdr:rowOff>63503</xdr:rowOff>
    </xdr:from>
    <xdr:to>
      <xdr:col>40</xdr:col>
      <xdr:colOff>1495</xdr:colOff>
      <xdr:row>85</xdr:row>
      <xdr:rowOff>194164</xdr:rowOff>
    </xdr:to>
    <xdr:sp macro="" textlink="">
      <xdr:nvSpPr>
        <xdr:cNvPr id="307" name="Line 746">
          <a:extLst>
            <a:ext uri="{FF2B5EF4-FFF2-40B4-BE49-F238E27FC236}">
              <a16:creationId xmlns:a16="http://schemas.microsoft.com/office/drawing/2014/main" id="{00000000-0008-0000-1500-000033010000}"/>
            </a:ext>
          </a:extLst>
        </xdr:cNvPr>
        <xdr:cNvSpPr>
          <a:spLocks noChangeShapeType="1"/>
        </xdr:cNvSpPr>
      </xdr:nvSpPr>
      <xdr:spPr bwMode="auto">
        <a:xfrm rot="5400000" flipV="1">
          <a:off x="9359247" y="10132941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41</xdr:col>
      <xdr:colOff>43104</xdr:colOff>
      <xdr:row>84</xdr:row>
      <xdr:rowOff>71010</xdr:rowOff>
    </xdr:from>
    <xdr:to>
      <xdr:col>41</xdr:col>
      <xdr:colOff>43104</xdr:colOff>
      <xdr:row>86</xdr:row>
      <xdr:rowOff>4</xdr:rowOff>
    </xdr:to>
    <xdr:sp macro="" textlink="">
      <xdr:nvSpPr>
        <xdr:cNvPr id="308" name="Line 746">
          <a:extLst>
            <a:ext uri="{FF2B5EF4-FFF2-40B4-BE49-F238E27FC236}">
              <a16:creationId xmlns:a16="http://schemas.microsoft.com/office/drawing/2014/main" id="{00000000-0008-0000-1500-000034010000}"/>
            </a:ext>
          </a:extLst>
        </xdr:cNvPr>
        <xdr:cNvSpPr>
          <a:spLocks noChangeShapeType="1"/>
        </xdr:cNvSpPr>
      </xdr:nvSpPr>
      <xdr:spPr bwMode="auto">
        <a:xfrm rot="5400000" flipV="1">
          <a:off x="9642659" y="10150105"/>
          <a:ext cx="369049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38</xdr:col>
      <xdr:colOff>16010</xdr:colOff>
      <xdr:row>84</xdr:row>
      <xdr:rowOff>60631</xdr:rowOff>
    </xdr:from>
    <xdr:to>
      <xdr:col>38</xdr:col>
      <xdr:colOff>16010</xdr:colOff>
      <xdr:row>85</xdr:row>
      <xdr:rowOff>191292</xdr:rowOff>
    </xdr:to>
    <xdr:sp macro="" textlink="">
      <xdr:nvSpPr>
        <xdr:cNvPr id="309" name="Line 746">
          <a:extLst>
            <a:ext uri="{FF2B5EF4-FFF2-40B4-BE49-F238E27FC236}">
              <a16:creationId xmlns:a16="http://schemas.microsoft.com/office/drawing/2014/main" id="{00000000-0008-0000-1500-000035010000}"/>
            </a:ext>
          </a:extLst>
        </xdr:cNvPr>
        <xdr:cNvSpPr>
          <a:spLocks noChangeShapeType="1"/>
        </xdr:cNvSpPr>
      </xdr:nvSpPr>
      <xdr:spPr bwMode="auto">
        <a:xfrm rot="5400000" flipV="1">
          <a:off x="8882272" y="10130069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42</xdr:col>
      <xdr:colOff>231807</xdr:colOff>
      <xdr:row>84</xdr:row>
      <xdr:rowOff>65620</xdr:rowOff>
    </xdr:from>
    <xdr:to>
      <xdr:col>42</xdr:col>
      <xdr:colOff>231807</xdr:colOff>
      <xdr:row>85</xdr:row>
      <xdr:rowOff>196281</xdr:rowOff>
    </xdr:to>
    <xdr:sp macro="" textlink="">
      <xdr:nvSpPr>
        <xdr:cNvPr id="310" name="Line 746">
          <a:extLst>
            <a:ext uri="{FF2B5EF4-FFF2-40B4-BE49-F238E27FC236}">
              <a16:creationId xmlns:a16="http://schemas.microsoft.com/office/drawing/2014/main" id="{00000000-0008-0000-1500-000036010000}"/>
            </a:ext>
          </a:extLst>
        </xdr:cNvPr>
        <xdr:cNvSpPr>
          <a:spLocks noChangeShapeType="1"/>
        </xdr:cNvSpPr>
      </xdr:nvSpPr>
      <xdr:spPr bwMode="auto">
        <a:xfrm rot="5400000" flipV="1">
          <a:off x="10084859" y="10136963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41</xdr:col>
      <xdr:colOff>58081</xdr:colOff>
      <xdr:row>84</xdr:row>
      <xdr:rowOff>24245</xdr:rowOff>
    </xdr:from>
    <xdr:to>
      <xdr:col>42</xdr:col>
      <xdr:colOff>194966</xdr:colOff>
      <xdr:row>84</xdr:row>
      <xdr:rowOff>24245</xdr:rowOff>
    </xdr:to>
    <xdr:sp macro="" textlink="">
      <xdr:nvSpPr>
        <xdr:cNvPr id="311" name="Line 749">
          <a:extLst>
            <a:ext uri="{FF2B5EF4-FFF2-40B4-BE49-F238E27FC236}">
              <a16:creationId xmlns:a16="http://schemas.microsoft.com/office/drawing/2014/main" id="{00000000-0008-0000-1500-000037010000}"/>
            </a:ext>
          </a:extLst>
        </xdr:cNvPr>
        <xdr:cNvSpPr>
          <a:spLocks noChangeShapeType="1"/>
        </xdr:cNvSpPr>
      </xdr:nvSpPr>
      <xdr:spPr bwMode="auto">
        <a:xfrm rot="5400000">
          <a:off x="10031571" y="9721785"/>
          <a:ext cx="0" cy="39025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242625</xdr:colOff>
      <xdr:row>83</xdr:row>
      <xdr:rowOff>205583</xdr:rowOff>
    </xdr:from>
    <xdr:to>
      <xdr:col>41</xdr:col>
      <xdr:colOff>28312</xdr:colOff>
      <xdr:row>83</xdr:row>
      <xdr:rowOff>205583</xdr:rowOff>
    </xdr:to>
    <xdr:sp macro="" textlink="">
      <xdr:nvSpPr>
        <xdr:cNvPr id="312" name="Line 640">
          <a:extLst>
            <a:ext uri="{FF2B5EF4-FFF2-40B4-BE49-F238E27FC236}">
              <a16:creationId xmlns:a16="http://schemas.microsoft.com/office/drawing/2014/main" id="{00000000-0008-0000-1500-000038010000}"/>
            </a:ext>
          </a:extLst>
        </xdr:cNvPr>
        <xdr:cNvSpPr>
          <a:spLocks noChangeShapeType="1"/>
        </xdr:cNvSpPr>
      </xdr:nvSpPr>
      <xdr:spPr bwMode="auto">
        <a:xfrm rot="5400000">
          <a:off x="9670946" y="9749157"/>
          <a:ext cx="0" cy="27527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32</xdr:col>
      <xdr:colOff>35574</xdr:colOff>
      <xdr:row>84</xdr:row>
      <xdr:rowOff>24823</xdr:rowOff>
    </xdr:from>
    <xdr:to>
      <xdr:col>33</xdr:col>
      <xdr:colOff>188334</xdr:colOff>
      <xdr:row>84</xdr:row>
      <xdr:rowOff>24823</xdr:rowOff>
    </xdr:to>
    <xdr:sp macro="" textlink="">
      <xdr:nvSpPr>
        <xdr:cNvPr id="313" name="Line 749">
          <a:extLst>
            <a:ext uri="{FF2B5EF4-FFF2-40B4-BE49-F238E27FC236}">
              <a16:creationId xmlns:a16="http://schemas.microsoft.com/office/drawing/2014/main" id="{00000000-0008-0000-1500-000039010000}"/>
            </a:ext>
          </a:extLst>
        </xdr:cNvPr>
        <xdr:cNvSpPr>
          <a:spLocks noChangeShapeType="1"/>
        </xdr:cNvSpPr>
      </xdr:nvSpPr>
      <xdr:spPr bwMode="auto">
        <a:xfrm rot="5400000">
          <a:off x="7851017" y="9722045"/>
          <a:ext cx="0" cy="39088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38</xdr:col>
      <xdr:colOff>63500</xdr:colOff>
      <xdr:row>84</xdr:row>
      <xdr:rowOff>23814</xdr:rowOff>
    </xdr:from>
    <xdr:to>
      <xdr:col>39</xdr:col>
      <xdr:colOff>200385</xdr:colOff>
      <xdr:row>84</xdr:row>
      <xdr:rowOff>23814</xdr:rowOff>
    </xdr:to>
    <xdr:sp macro="" textlink="">
      <xdr:nvSpPr>
        <xdr:cNvPr id="314" name="Line 749">
          <a:extLst>
            <a:ext uri="{FF2B5EF4-FFF2-40B4-BE49-F238E27FC236}">
              <a16:creationId xmlns:a16="http://schemas.microsoft.com/office/drawing/2014/main" id="{00000000-0008-0000-1500-00003A010000}"/>
            </a:ext>
          </a:extLst>
        </xdr:cNvPr>
        <xdr:cNvSpPr>
          <a:spLocks noChangeShapeType="1"/>
        </xdr:cNvSpPr>
      </xdr:nvSpPr>
      <xdr:spPr bwMode="auto">
        <a:xfrm rot="5400000">
          <a:off x="9294040" y="9721354"/>
          <a:ext cx="0" cy="39025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204968</xdr:colOff>
      <xdr:row>82</xdr:row>
      <xdr:rowOff>28396</xdr:rowOff>
    </xdr:from>
    <xdr:to>
      <xdr:col>39</xdr:col>
      <xdr:colOff>204968</xdr:colOff>
      <xdr:row>84</xdr:row>
      <xdr:rowOff>6531</xdr:rowOff>
    </xdr:to>
    <xdr:sp macro="" textlink="">
      <xdr:nvSpPr>
        <xdr:cNvPr id="315" name="Line 749">
          <a:extLst>
            <a:ext uri="{FF2B5EF4-FFF2-40B4-BE49-F238E27FC236}">
              <a16:creationId xmlns:a16="http://schemas.microsoft.com/office/drawing/2014/main" id="{00000000-0008-0000-1500-00003B010000}"/>
            </a:ext>
          </a:extLst>
        </xdr:cNvPr>
        <xdr:cNvSpPr>
          <a:spLocks noChangeShapeType="1"/>
        </xdr:cNvSpPr>
      </xdr:nvSpPr>
      <xdr:spPr bwMode="auto">
        <a:xfrm rot="10800000">
          <a:off x="9495653" y="9484816"/>
          <a:ext cx="0" cy="42009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40</xdr:col>
      <xdr:colOff>238302</xdr:colOff>
      <xdr:row>82</xdr:row>
      <xdr:rowOff>22046</xdr:rowOff>
    </xdr:from>
    <xdr:to>
      <xdr:col>40</xdr:col>
      <xdr:colOff>238302</xdr:colOff>
      <xdr:row>84</xdr:row>
      <xdr:rowOff>181</xdr:rowOff>
    </xdr:to>
    <xdr:sp macro="" textlink="">
      <xdr:nvSpPr>
        <xdr:cNvPr id="316" name="Line 749">
          <a:extLst>
            <a:ext uri="{FF2B5EF4-FFF2-40B4-BE49-F238E27FC236}">
              <a16:creationId xmlns:a16="http://schemas.microsoft.com/office/drawing/2014/main" id="{00000000-0008-0000-1500-00003C010000}"/>
            </a:ext>
          </a:extLst>
        </xdr:cNvPr>
        <xdr:cNvSpPr>
          <a:spLocks noChangeShapeType="1"/>
        </xdr:cNvSpPr>
      </xdr:nvSpPr>
      <xdr:spPr bwMode="auto">
        <a:xfrm rot="10800000">
          <a:off x="9774732" y="9476561"/>
          <a:ext cx="0" cy="42009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8</xdr:col>
      <xdr:colOff>10989</xdr:colOff>
      <xdr:row>86</xdr:row>
      <xdr:rowOff>22224</xdr:rowOff>
    </xdr:from>
    <xdr:to>
      <xdr:col>9</xdr:col>
      <xdr:colOff>191964</xdr:colOff>
      <xdr:row>86</xdr:row>
      <xdr:rowOff>22224</xdr:rowOff>
    </xdr:to>
    <xdr:sp macro="" textlink="">
      <xdr:nvSpPr>
        <xdr:cNvPr id="317" name="Line 684">
          <a:extLst>
            <a:ext uri="{FF2B5EF4-FFF2-40B4-BE49-F238E27FC236}">
              <a16:creationId xmlns:a16="http://schemas.microsoft.com/office/drawing/2014/main" id="{00000000-0008-0000-1500-00003D010000}"/>
            </a:ext>
          </a:extLst>
        </xdr:cNvPr>
        <xdr:cNvSpPr>
          <a:spLocks noChangeShapeType="1"/>
        </xdr:cNvSpPr>
      </xdr:nvSpPr>
      <xdr:spPr bwMode="auto">
        <a:xfrm rot="5400000">
          <a:off x="2126492" y="10144441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38100</xdr:colOff>
      <xdr:row>86</xdr:row>
      <xdr:rowOff>22224</xdr:rowOff>
    </xdr:from>
    <xdr:to>
      <xdr:col>12</xdr:col>
      <xdr:colOff>219075</xdr:colOff>
      <xdr:row>86</xdr:row>
      <xdr:rowOff>22224</xdr:rowOff>
    </xdr:to>
    <xdr:sp macro="" textlink="">
      <xdr:nvSpPr>
        <xdr:cNvPr id="318" name="Line 685">
          <a:extLst>
            <a:ext uri="{FF2B5EF4-FFF2-40B4-BE49-F238E27FC236}">
              <a16:creationId xmlns:a16="http://schemas.microsoft.com/office/drawing/2014/main" id="{00000000-0008-0000-1500-00003E010000}"/>
            </a:ext>
          </a:extLst>
        </xdr:cNvPr>
        <xdr:cNvSpPr>
          <a:spLocks noChangeShapeType="1"/>
        </xdr:cNvSpPr>
      </xdr:nvSpPr>
      <xdr:spPr bwMode="auto">
        <a:xfrm rot="5400000">
          <a:off x="2866073" y="10144441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9</xdr:col>
      <xdr:colOff>202406</xdr:colOff>
      <xdr:row>86</xdr:row>
      <xdr:rowOff>22232</xdr:rowOff>
    </xdr:from>
    <xdr:to>
      <xdr:col>11</xdr:col>
      <xdr:colOff>2381</xdr:colOff>
      <xdr:row>86</xdr:row>
      <xdr:rowOff>22232</xdr:rowOff>
    </xdr:to>
    <xdr:sp macro="" textlink="">
      <xdr:nvSpPr>
        <xdr:cNvPr id="319" name="Line 749">
          <a:extLst>
            <a:ext uri="{FF2B5EF4-FFF2-40B4-BE49-F238E27FC236}">
              <a16:creationId xmlns:a16="http://schemas.microsoft.com/office/drawing/2014/main" id="{00000000-0008-0000-1500-00003F010000}"/>
            </a:ext>
          </a:extLst>
        </xdr:cNvPr>
        <xdr:cNvSpPr>
          <a:spLocks noChangeShapeType="1"/>
        </xdr:cNvSpPr>
      </xdr:nvSpPr>
      <xdr:spPr bwMode="auto">
        <a:xfrm rot="5400000">
          <a:off x="2485549" y="10216839"/>
          <a:ext cx="0" cy="27241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38</xdr:col>
      <xdr:colOff>39006</xdr:colOff>
      <xdr:row>82</xdr:row>
      <xdr:rowOff>16331</xdr:rowOff>
    </xdr:from>
    <xdr:to>
      <xdr:col>38</xdr:col>
      <xdr:colOff>39006</xdr:colOff>
      <xdr:row>83</xdr:row>
      <xdr:rowOff>198936</xdr:rowOff>
    </xdr:to>
    <xdr:sp macro="" textlink="">
      <xdr:nvSpPr>
        <xdr:cNvPr id="320" name="Line 749">
          <a:extLst>
            <a:ext uri="{FF2B5EF4-FFF2-40B4-BE49-F238E27FC236}">
              <a16:creationId xmlns:a16="http://schemas.microsoft.com/office/drawing/2014/main" id="{00000000-0008-0000-1500-000040010000}"/>
            </a:ext>
          </a:extLst>
        </xdr:cNvPr>
        <xdr:cNvSpPr>
          <a:spLocks noChangeShapeType="1"/>
        </xdr:cNvSpPr>
      </xdr:nvSpPr>
      <xdr:spPr bwMode="auto">
        <a:xfrm rot="10800000">
          <a:off x="9078231" y="9478466"/>
          <a:ext cx="0" cy="39977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42</xdr:col>
      <xdr:colOff>209958</xdr:colOff>
      <xdr:row>81</xdr:row>
      <xdr:rowOff>215222</xdr:rowOff>
    </xdr:from>
    <xdr:to>
      <xdr:col>42</xdr:col>
      <xdr:colOff>209958</xdr:colOff>
      <xdr:row>83</xdr:row>
      <xdr:rowOff>187642</xdr:rowOff>
    </xdr:to>
    <xdr:sp macro="" textlink="">
      <xdr:nvSpPr>
        <xdr:cNvPr id="321" name="Line 749">
          <a:extLst>
            <a:ext uri="{FF2B5EF4-FFF2-40B4-BE49-F238E27FC236}">
              <a16:creationId xmlns:a16="http://schemas.microsoft.com/office/drawing/2014/main" id="{00000000-0008-0000-1500-000041010000}"/>
            </a:ext>
          </a:extLst>
        </xdr:cNvPr>
        <xdr:cNvSpPr>
          <a:spLocks noChangeShapeType="1"/>
        </xdr:cNvSpPr>
      </xdr:nvSpPr>
      <xdr:spPr bwMode="auto">
        <a:xfrm rot="10800000">
          <a:off x="10235973" y="9450662"/>
          <a:ext cx="0" cy="41438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88</xdr:row>
      <xdr:rowOff>114300</xdr:rowOff>
    </xdr:from>
    <xdr:to>
      <xdr:col>42</xdr:col>
      <xdr:colOff>207168</xdr:colOff>
      <xdr:row>88</xdr:row>
      <xdr:rowOff>114300</xdr:rowOff>
    </xdr:to>
    <xdr:sp macro="" textlink="">
      <xdr:nvSpPr>
        <xdr:cNvPr id="322" name="Line 746">
          <a:extLst>
            <a:ext uri="{FF2B5EF4-FFF2-40B4-BE49-F238E27FC236}">
              <a16:creationId xmlns:a16="http://schemas.microsoft.com/office/drawing/2014/main" id="{00000000-0008-0000-1500-000042010000}"/>
            </a:ext>
          </a:extLst>
        </xdr:cNvPr>
        <xdr:cNvSpPr>
          <a:spLocks noChangeShapeType="1"/>
        </xdr:cNvSpPr>
      </xdr:nvSpPr>
      <xdr:spPr bwMode="auto">
        <a:xfrm rot="5400000">
          <a:off x="10097928" y="10744200"/>
          <a:ext cx="0" cy="28575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89</xdr:row>
      <xdr:rowOff>114300</xdr:rowOff>
    </xdr:from>
    <xdr:to>
      <xdr:col>42</xdr:col>
      <xdr:colOff>207168</xdr:colOff>
      <xdr:row>89</xdr:row>
      <xdr:rowOff>114300</xdr:rowOff>
    </xdr:to>
    <xdr:sp macro="" textlink="">
      <xdr:nvSpPr>
        <xdr:cNvPr id="323" name="Line 747">
          <a:extLst>
            <a:ext uri="{FF2B5EF4-FFF2-40B4-BE49-F238E27FC236}">
              <a16:creationId xmlns:a16="http://schemas.microsoft.com/office/drawing/2014/main" id="{00000000-0008-0000-1500-000043010000}"/>
            </a:ext>
          </a:extLst>
        </xdr:cNvPr>
        <xdr:cNvSpPr>
          <a:spLocks noChangeShapeType="1"/>
        </xdr:cNvSpPr>
      </xdr:nvSpPr>
      <xdr:spPr bwMode="auto">
        <a:xfrm rot="5400000">
          <a:off x="10097928" y="10963275"/>
          <a:ext cx="0" cy="285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92</xdr:row>
      <xdr:rowOff>133350</xdr:rowOff>
    </xdr:from>
    <xdr:to>
      <xdr:col>42</xdr:col>
      <xdr:colOff>207168</xdr:colOff>
      <xdr:row>92</xdr:row>
      <xdr:rowOff>133350</xdr:rowOff>
    </xdr:to>
    <xdr:sp macro="" textlink="">
      <xdr:nvSpPr>
        <xdr:cNvPr id="324" name="Line 748">
          <a:extLst>
            <a:ext uri="{FF2B5EF4-FFF2-40B4-BE49-F238E27FC236}">
              <a16:creationId xmlns:a16="http://schemas.microsoft.com/office/drawing/2014/main" id="{00000000-0008-0000-1500-000044010000}"/>
            </a:ext>
          </a:extLst>
        </xdr:cNvPr>
        <xdr:cNvSpPr>
          <a:spLocks noChangeShapeType="1"/>
        </xdr:cNvSpPr>
      </xdr:nvSpPr>
      <xdr:spPr bwMode="auto">
        <a:xfrm rot="5400000">
          <a:off x="10097928" y="11635740"/>
          <a:ext cx="0" cy="28575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93</xdr:row>
      <xdr:rowOff>114300</xdr:rowOff>
    </xdr:from>
    <xdr:to>
      <xdr:col>42</xdr:col>
      <xdr:colOff>207168</xdr:colOff>
      <xdr:row>93</xdr:row>
      <xdr:rowOff>114300</xdr:rowOff>
    </xdr:to>
    <xdr:sp macro="" textlink="">
      <xdr:nvSpPr>
        <xdr:cNvPr id="325" name="Line 749">
          <a:extLst>
            <a:ext uri="{FF2B5EF4-FFF2-40B4-BE49-F238E27FC236}">
              <a16:creationId xmlns:a16="http://schemas.microsoft.com/office/drawing/2014/main" id="{00000000-0008-0000-1500-000045010000}"/>
            </a:ext>
          </a:extLst>
        </xdr:cNvPr>
        <xdr:cNvSpPr>
          <a:spLocks noChangeShapeType="1"/>
        </xdr:cNvSpPr>
      </xdr:nvSpPr>
      <xdr:spPr bwMode="auto">
        <a:xfrm rot="5400000">
          <a:off x="10097928" y="11839575"/>
          <a:ext cx="0" cy="28575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94</xdr:row>
      <xdr:rowOff>123827</xdr:rowOff>
    </xdr:from>
    <xdr:to>
      <xdr:col>42</xdr:col>
      <xdr:colOff>207168</xdr:colOff>
      <xdr:row>94</xdr:row>
      <xdr:rowOff>123827</xdr:rowOff>
    </xdr:to>
    <xdr:sp macro="" textlink="">
      <xdr:nvSpPr>
        <xdr:cNvPr id="326" name="Line 640">
          <a:extLst>
            <a:ext uri="{FF2B5EF4-FFF2-40B4-BE49-F238E27FC236}">
              <a16:creationId xmlns:a16="http://schemas.microsoft.com/office/drawing/2014/main" id="{00000000-0008-0000-1500-000046010000}"/>
            </a:ext>
          </a:extLst>
        </xdr:cNvPr>
        <xdr:cNvSpPr>
          <a:spLocks noChangeShapeType="1"/>
        </xdr:cNvSpPr>
      </xdr:nvSpPr>
      <xdr:spPr bwMode="auto">
        <a:xfrm rot="5400000">
          <a:off x="10097928" y="12070082"/>
          <a:ext cx="0" cy="28575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41</xdr:col>
      <xdr:colOff>183356</xdr:colOff>
      <xdr:row>95</xdr:row>
      <xdr:rowOff>116672</xdr:rowOff>
    </xdr:from>
    <xdr:to>
      <xdr:col>42</xdr:col>
      <xdr:colOff>207168</xdr:colOff>
      <xdr:row>95</xdr:row>
      <xdr:rowOff>116672</xdr:rowOff>
    </xdr:to>
    <xdr:sp macro="" textlink="">
      <xdr:nvSpPr>
        <xdr:cNvPr id="327" name="Line 640">
          <a:extLst>
            <a:ext uri="{FF2B5EF4-FFF2-40B4-BE49-F238E27FC236}">
              <a16:creationId xmlns:a16="http://schemas.microsoft.com/office/drawing/2014/main" id="{00000000-0008-0000-1500-000047010000}"/>
            </a:ext>
          </a:extLst>
        </xdr:cNvPr>
        <xdr:cNvSpPr>
          <a:spLocks noChangeShapeType="1"/>
        </xdr:cNvSpPr>
      </xdr:nvSpPr>
      <xdr:spPr bwMode="auto">
        <a:xfrm rot="5400000">
          <a:off x="10102215" y="12284383"/>
          <a:ext cx="0" cy="27717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41</xdr:col>
      <xdr:colOff>166687</xdr:colOff>
      <xdr:row>96</xdr:row>
      <xdr:rowOff>127970</xdr:rowOff>
    </xdr:from>
    <xdr:to>
      <xdr:col>42</xdr:col>
      <xdr:colOff>197803</xdr:colOff>
      <xdr:row>96</xdr:row>
      <xdr:rowOff>127970</xdr:rowOff>
    </xdr:to>
    <xdr:sp macro="" textlink="">
      <xdr:nvSpPr>
        <xdr:cNvPr id="328" name="Line 746">
          <a:extLst>
            <a:ext uri="{FF2B5EF4-FFF2-40B4-BE49-F238E27FC236}">
              <a16:creationId xmlns:a16="http://schemas.microsoft.com/office/drawing/2014/main" id="{00000000-0008-0000-1500-000048010000}"/>
            </a:ext>
          </a:extLst>
        </xdr:cNvPr>
        <xdr:cNvSpPr>
          <a:spLocks noChangeShapeType="1"/>
        </xdr:cNvSpPr>
      </xdr:nvSpPr>
      <xdr:spPr bwMode="auto">
        <a:xfrm>
          <a:off x="9952672" y="12657155"/>
          <a:ext cx="276861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40</xdr:col>
      <xdr:colOff>133385</xdr:colOff>
      <xdr:row>27</xdr:row>
      <xdr:rowOff>132618</xdr:rowOff>
    </xdr:from>
    <xdr:to>
      <xdr:col>41</xdr:col>
      <xdr:colOff>59358</xdr:colOff>
      <xdr:row>28</xdr:row>
      <xdr:rowOff>54513</xdr:rowOff>
    </xdr:to>
    <xdr:grpSp>
      <xdr:nvGrpSpPr>
        <xdr:cNvPr id="329" name="그룹 328">
          <a:extLst>
            <a:ext uri="{FF2B5EF4-FFF2-40B4-BE49-F238E27FC236}">
              <a16:creationId xmlns:a16="http://schemas.microsoft.com/office/drawing/2014/main" id="{00000000-0008-0000-1500-000049010000}"/>
            </a:ext>
          </a:extLst>
        </xdr:cNvPr>
        <xdr:cNvGrpSpPr/>
      </xdr:nvGrpSpPr>
      <xdr:grpSpPr>
        <a:xfrm>
          <a:off x="9666323" y="5434868"/>
          <a:ext cx="172035" cy="112395"/>
          <a:chOff x="2372059" y="3845092"/>
          <a:chExt cx="185070" cy="115303"/>
        </a:xfrm>
      </xdr:grpSpPr>
      <xdr:sp macro="" textlink="">
        <xdr:nvSpPr>
          <xdr:cNvPr id="330" name="직사각형 329">
            <a:extLst>
              <a:ext uri="{FF2B5EF4-FFF2-40B4-BE49-F238E27FC236}">
                <a16:creationId xmlns:a16="http://schemas.microsoft.com/office/drawing/2014/main" id="{00000000-0008-0000-1500-00004A01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1" name="순서도: 연결자 330">
            <a:extLst>
              <a:ext uri="{FF2B5EF4-FFF2-40B4-BE49-F238E27FC236}">
                <a16:creationId xmlns:a16="http://schemas.microsoft.com/office/drawing/2014/main" id="{00000000-0008-0000-1500-00004B01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2" name="순서도: 연결자 331">
            <a:extLst>
              <a:ext uri="{FF2B5EF4-FFF2-40B4-BE49-F238E27FC236}">
                <a16:creationId xmlns:a16="http://schemas.microsoft.com/office/drawing/2014/main" id="{00000000-0008-0000-1500-00004C01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136006</xdr:colOff>
      <xdr:row>21</xdr:row>
      <xdr:rowOff>139435</xdr:rowOff>
    </xdr:from>
    <xdr:to>
      <xdr:col>40</xdr:col>
      <xdr:colOff>63887</xdr:colOff>
      <xdr:row>22</xdr:row>
      <xdr:rowOff>53711</xdr:rowOff>
    </xdr:to>
    <xdr:grpSp>
      <xdr:nvGrpSpPr>
        <xdr:cNvPr id="333" name="그룹 332">
          <a:extLst>
            <a:ext uri="{FF2B5EF4-FFF2-40B4-BE49-F238E27FC236}">
              <a16:creationId xmlns:a16="http://schemas.microsoft.com/office/drawing/2014/main" id="{00000000-0008-0000-1500-00004D010000}"/>
            </a:ext>
          </a:extLst>
        </xdr:cNvPr>
        <xdr:cNvGrpSpPr/>
      </xdr:nvGrpSpPr>
      <xdr:grpSpPr>
        <a:xfrm>
          <a:off x="9422881" y="4298685"/>
          <a:ext cx="173944" cy="104776"/>
          <a:chOff x="2372059" y="3845092"/>
          <a:chExt cx="185070" cy="115303"/>
        </a:xfrm>
      </xdr:grpSpPr>
      <xdr:sp macro="" textlink="">
        <xdr:nvSpPr>
          <xdr:cNvPr id="334" name="직사각형 333">
            <a:extLst>
              <a:ext uri="{FF2B5EF4-FFF2-40B4-BE49-F238E27FC236}">
                <a16:creationId xmlns:a16="http://schemas.microsoft.com/office/drawing/2014/main" id="{00000000-0008-0000-1500-00004E01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5" name="순서도: 연결자 334">
            <a:extLst>
              <a:ext uri="{FF2B5EF4-FFF2-40B4-BE49-F238E27FC236}">
                <a16:creationId xmlns:a16="http://schemas.microsoft.com/office/drawing/2014/main" id="{00000000-0008-0000-1500-00004F01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6" name="순서도: 연결자 335">
            <a:extLst>
              <a:ext uri="{FF2B5EF4-FFF2-40B4-BE49-F238E27FC236}">
                <a16:creationId xmlns:a16="http://schemas.microsoft.com/office/drawing/2014/main" id="{00000000-0008-0000-1500-00005001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96453</xdr:colOff>
      <xdr:row>27</xdr:row>
      <xdr:rowOff>134152</xdr:rowOff>
    </xdr:from>
    <xdr:to>
      <xdr:col>34</xdr:col>
      <xdr:colOff>53911</xdr:colOff>
      <xdr:row>28</xdr:row>
      <xdr:rowOff>35092</xdr:rowOff>
    </xdr:to>
    <xdr:grpSp>
      <xdr:nvGrpSpPr>
        <xdr:cNvPr id="337" name="그룹 336">
          <a:extLst>
            <a:ext uri="{FF2B5EF4-FFF2-40B4-BE49-F238E27FC236}">
              <a16:creationId xmlns:a16="http://schemas.microsoft.com/office/drawing/2014/main" id="{00000000-0008-0000-1500-000051010000}"/>
            </a:ext>
          </a:extLst>
        </xdr:cNvPr>
        <xdr:cNvGrpSpPr/>
      </xdr:nvGrpSpPr>
      <xdr:grpSpPr>
        <a:xfrm>
          <a:off x="7954578" y="5436402"/>
          <a:ext cx="195583" cy="91440"/>
          <a:chOff x="2372059" y="3845092"/>
          <a:chExt cx="185070" cy="115303"/>
        </a:xfrm>
      </xdr:grpSpPr>
      <xdr:sp macro="" textlink="">
        <xdr:nvSpPr>
          <xdr:cNvPr id="338" name="직사각형 337">
            <a:extLst>
              <a:ext uri="{FF2B5EF4-FFF2-40B4-BE49-F238E27FC236}">
                <a16:creationId xmlns:a16="http://schemas.microsoft.com/office/drawing/2014/main" id="{00000000-0008-0000-1500-00005201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9" name="순서도: 연결자 338">
            <a:extLst>
              <a:ext uri="{FF2B5EF4-FFF2-40B4-BE49-F238E27FC236}">
                <a16:creationId xmlns:a16="http://schemas.microsoft.com/office/drawing/2014/main" id="{00000000-0008-0000-1500-00005301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40" name="순서도: 연결자 339">
            <a:extLst>
              <a:ext uri="{FF2B5EF4-FFF2-40B4-BE49-F238E27FC236}">
                <a16:creationId xmlns:a16="http://schemas.microsoft.com/office/drawing/2014/main" id="{00000000-0008-0000-1500-00005401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155527</xdr:colOff>
      <xdr:row>27</xdr:row>
      <xdr:rowOff>135741</xdr:rowOff>
    </xdr:from>
    <xdr:to>
      <xdr:col>35</xdr:col>
      <xdr:colOff>122508</xdr:colOff>
      <xdr:row>28</xdr:row>
      <xdr:rowOff>50016</xdr:rowOff>
    </xdr:to>
    <xdr:grpSp>
      <xdr:nvGrpSpPr>
        <xdr:cNvPr id="341" name="그룹 340">
          <a:extLst>
            <a:ext uri="{FF2B5EF4-FFF2-40B4-BE49-F238E27FC236}">
              <a16:creationId xmlns:a16="http://schemas.microsoft.com/office/drawing/2014/main" id="{00000000-0008-0000-1500-000055010000}"/>
            </a:ext>
          </a:extLst>
        </xdr:cNvPr>
        <xdr:cNvGrpSpPr/>
      </xdr:nvGrpSpPr>
      <xdr:grpSpPr>
        <a:xfrm>
          <a:off x="8251777" y="5437991"/>
          <a:ext cx="205106" cy="104775"/>
          <a:chOff x="2372059" y="3845092"/>
          <a:chExt cx="185070" cy="115303"/>
        </a:xfrm>
      </xdr:grpSpPr>
      <xdr:sp macro="" textlink="">
        <xdr:nvSpPr>
          <xdr:cNvPr id="342" name="직사각형 341">
            <a:extLst>
              <a:ext uri="{FF2B5EF4-FFF2-40B4-BE49-F238E27FC236}">
                <a16:creationId xmlns:a16="http://schemas.microsoft.com/office/drawing/2014/main" id="{00000000-0008-0000-1500-00005601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43" name="순서도: 연결자 342">
            <a:extLst>
              <a:ext uri="{FF2B5EF4-FFF2-40B4-BE49-F238E27FC236}">
                <a16:creationId xmlns:a16="http://schemas.microsoft.com/office/drawing/2014/main" id="{00000000-0008-0000-1500-00005701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44" name="순서도: 연결자 343">
            <a:extLst>
              <a:ext uri="{FF2B5EF4-FFF2-40B4-BE49-F238E27FC236}">
                <a16:creationId xmlns:a16="http://schemas.microsoft.com/office/drawing/2014/main" id="{00000000-0008-0000-1500-00005801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17</xdr:col>
      <xdr:colOff>221932</xdr:colOff>
      <xdr:row>88</xdr:row>
      <xdr:rowOff>114301</xdr:rowOff>
    </xdr:from>
    <xdr:to>
      <xdr:col>19</xdr:col>
      <xdr:colOff>20002</xdr:colOff>
      <xdr:row>88</xdr:row>
      <xdr:rowOff>114301</xdr:rowOff>
    </xdr:to>
    <xdr:sp macro="" textlink="">
      <xdr:nvSpPr>
        <xdr:cNvPr id="345" name="Line 693">
          <a:extLst>
            <a:ext uri="{FF2B5EF4-FFF2-40B4-BE49-F238E27FC236}">
              <a16:creationId xmlns:a16="http://schemas.microsoft.com/office/drawing/2014/main" id="{00000000-0008-0000-1500-000059010000}"/>
            </a:ext>
          </a:extLst>
        </xdr:cNvPr>
        <xdr:cNvSpPr>
          <a:spLocks noChangeShapeType="1"/>
        </xdr:cNvSpPr>
      </xdr:nvSpPr>
      <xdr:spPr bwMode="auto">
        <a:xfrm rot="5400000">
          <a:off x="4404360" y="10750868"/>
          <a:ext cx="0" cy="27241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221932</xdr:colOff>
      <xdr:row>92</xdr:row>
      <xdr:rowOff>107633</xdr:rowOff>
    </xdr:from>
    <xdr:to>
      <xdr:col>19</xdr:col>
      <xdr:colOff>20002</xdr:colOff>
      <xdr:row>92</xdr:row>
      <xdr:rowOff>107633</xdr:rowOff>
    </xdr:to>
    <xdr:sp macro="" textlink="">
      <xdr:nvSpPr>
        <xdr:cNvPr id="346" name="Line 694">
          <a:extLst>
            <a:ext uri="{FF2B5EF4-FFF2-40B4-BE49-F238E27FC236}">
              <a16:creationId xmlns:a16="http://schemas.microsoft.com/office/drawing/2014/main" id="{00000000-0008-0000-1500-00005A010000}"/>
            </a:ext>
          </a:extLst>
        </xdr:cNvPr>
        <xdr:cNvSpPr>
          <a:spLocks noChangeShapeType="1"/>
        </xdr:cNvSpPr>
      </xdr:nvSpPr>
      <xdr:spPr bwMode="auto">
        <a:xfrm rot="5400000">
          <a:off x="4404360" y="11618595"/>
          <a:ext cx="0" cy="272415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23</xdr:col>
      <xdr:colOff>171515</xdr:colOff>
      <xdr:row>88</xdr:row>
      <xdr:rowOff>116750</xdr:rowOff>
    </xdr:from>
    <xdr:to>
      <xdr:col>24</xdr:col>
      <xdr:colOff>182599</xdr:colOff>
      <xdr:row>88</xdr:row>
      <xdr:rowOff>116750</xdr:rowOff>
    </xdr:to>
    <xdr:sp macro="" textlink="">
      <xdr:nvSpPr>
        <xdr:cNvPr id="347" name="Line 726">
          <a:extLst>
            <a:ext uri="{FF2B5EF4-FFF2-40B4-BE49-F238E27FC236}">
              <a16:creationId xmlns:a16="http://schemas.microsoft.com/office/drawing/2014/main" id="{00000000-0008-0000-1500-00005B010000}"/>
            </a:ext>
          </a:extLst>
        </xdr:cNvPr>
        <xdr:cNvSpPr>
          <a:spLocks noChangeShapeType="1"/>
        </xdr:cNvSpPr>
      </xdr:nvSpPr>
      <xdr:spPr bwMode="auto">
        <a:xfrm rot="5400000">
          <a:off x="5770137" y="10763968"/>
          <a:ext cx="0" cy="25111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89</xdr:row>
      <xdr:rowOff>102388</xdr:rowOff>
    </xdr:from>
    <xdr:to>
      <xdr:col>24</xdr:col>
      <xdr:colOff>166040</xdr:colOff>
      <xdr:row>89</xdr:row>
      <xdr:rowOff>102388</xdr:rowOff>
    </xdr:to>
    <xdr:sp macro="" textlink="">
      <xdr:nvSpPr>
        <xdr:cNvPr id="348" name="Line 727">
          <a:extLst>
            <a:ext uri="{FF2B5EF4-FFF2-40B4-BE49-F238E27FC236}">
              <a16:creationId xmlns:a16="http://schemas.microsoft.com/office/drawing/2014/main" id="{00000000-0008-0000-1500-00005C010000}"/>
            </a:ext>
          </a:extLst>
        </xdr:cNvPr>
        <xdr:cNvSpPr>
          <a:spLocks noChangeShapeType="1"/>
        </xdr:cNvSpPr>
      </xdr:nvSpPr>
      <xdr:spPr bwMode="auto">
        <a:xfrm rot="5400000">
          <a:off x="5757388" y="10962966"/>
          <a:ext cx="0" cy="2549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95</xdr:row>
      <xdr:rowOff>121438</xdr:rowOff>
    </xdr:from>
    <xdr:to>
      <xdr:col>24</xdr:col>
      <xdr:colOff>166040</xdr:colOff>
      <xdr:row>95</xdr:row>
      <xdr:rowOff>121438</xdr:rowOff>
    </xdr:to>
    <xdr:sp macro="" textlink="">
      <xdr:nvSpPr>
        <xdr:cNvPr id="349" name="Line 728">
          <a:extLst>
            <a:ext uri="{FF2B5EF4-FFF2-40B4-BE49-F238E27FC236}">
              <a16:creationId xmlns:a16="http://schemas.microsoft.com/office/drawing/2014/main" id="{00000000-0008-0000-1500-00005D010000}"/>
            </a:ext>
          </a:extLst>
        </xdr:cNvPr>
        <xdr:cNvSpPr>
          <a:spLocks noChangeShapeType="1"/>
        </xdr:cNvSpPr>
      </xdr:nvSpPr>
      <xdr:spPr bwMode="auto">
        <a:xfrm rot="5400000">
          <a:off x="5757388" y="12302181"/>
          <a:ext cx="0" cy="25492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90</xdr:row>
      <xdr:rowOff>90485</xdr:rowOff>
    </xdr:from>
    <xdr:to>
      <xdr:col>24</xdr:col>
      <xdr:colOff>166040</xdr:colOff>
      <xdr:row>90</xdr:row>
      <xdr:rowOff>90485</xdr:rowOff>
    </xdr:to>
    <xdr:sp macro="" textlink="">
      <xdr:nvSpPr>
        <xdr:cNvPr id="350" name="Line 729">
          <a:extLst>
            <a:ext uri="{FF2B5EF4-FFF2-40B4-BE49-F238E27FC236}">
              <a16:creationId xmlns:a16="http://schemas.microsoft.com/office/drawing/2014/main" id="{00000000-0008-0000-1500-00005E010000}"/>
            </a:ext>
          </a:extLst>
        </xdr:cNvPr>
        <xdr:cNvSpPr>
          <a:spLocks noChangeShapeType="1"/>
        </xdr:cNvSpPr>
      </xdr:nvSpPr>
      <xdr:spPr bwMode="auto">
        <a:xfrm rot="5400000">
          <a:off x="5757388" y="11177758"/>
          <a:ext cx="0" cy="254924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92</xdr:row>
      <xdr:rowOff>111915</xdr:rowOff>
    </xdr:from>
    <xdr:to>
      <xdr:col>24</xdr:col>
      <xdr:colOff>166040</xdr:colOff>
      <xdr:row>92</xdr:row>
      <xdr:rowOff>111915</xdr:rowOff>
    </xdr:to>
    <xdr:sp macro="" textlink="">
      <xdr:nvSpPr>
        <xdr:cNvPr id="351" name="Line 640">
          <a:extLst>
            <a:ext uri="{FF2B5EF4-FFF2-40B4-BE49-F238E27FC236}">
              <a16:creationId xmlns:a16="http://schemas.microsoft.com/office/drawing/2014/main" id="{00000000-0008-0000-1500-00005F010000}"/>
            </a:ext>
          </a:extLst>
        </xdr:cNvPr>
        <xdr:cNvSpPr>
          <a:spLocks noChangeShapeType="1"/>
        </xdr:cNvSpPr>
      </xdr:nvSpPr>
      <xdr:spPr bwMode="auto">
        <a:xfrm rot="5400000">
          <a:off x="5757388" y="11633528"/>
          <a:ext cx="0" cy="254924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93</xdr:row>
      <xdr:rowOff>111913</xdr:rowOff>
    </xdr:from>
    <xdr:to>
      <xdr:col>24</xdr:col>
      <xdr:colOff>166040</xdr:colOff>
      <xdr:row>93</xdr:row>
      <xdr:rowOff>111913</xdr:rowOff>
    </xdr:to>
    <xdr:sp macro="" textlink="">
      <xdr:nvSpPr>
        <xdr:cNvPr id="352" name="Line 525">
          <a:extLst>
            <a:ext uri="{FF2B5EF4-FFF2-40B4-BE49-F238E27FC236}">
              <a16:creationId xmlns:a16="http://schemas.microsoft.com/office/drawing/2014/main" id="{00000000-0008-0000-1500-000060010000}"/>
            </a:ext>
          </a:extLst>
        </xdr:cNvPr>
        <xdr:cNvSpPr>
          <a:spLocks noChangeShapeType="1"/>
        </xdr:cNvSpPr>
      </xdr:nvSpPr>
      <xdr:spPr bwMode="auto">
        <a:xfrm rot="5400000">
          <a:off x="5757388" y="11852601"/>
          <a:ext cx="0" cy="254924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17</xdr:col>
      <xdr:colOff>216217</xdr:colOff>
      <xdr:row>89</xdr:row>
      <xdr:rowOff>127014</xdr:rowOff>
    </xdr:from>
    <xdr:to>
      <xdr:col>19</xdr:col>
      <xdr:colOff>146</xdr:colOff>
      <xdr:row>89</xdr:row>
      <xdr:rowOff>127014</xdr:rowOff>
    </xdr:to>
    <xdr:sp macro="" textlink="">
      <xdr:nvSpPr>
        <xdr:cNvPr id="353" name="Line 640">
          <a:extLst>
            <a:ext uri="{FF2B5EF4-FFF2-40B4-BE49-F238E27FC236}">
              <a16:creationId xmlns:a16="http://schemas.microsoft.com/office/drawing/2014/main" id="{00000000-0008-0000-1500-000061010000}"/>
            </a:ext>
          </a:extLst>
        </xdr:cNvPr>
        <xdr:cNvSpPr>
          <a:spLocks noChangeShapeType="1"/>
        </xdr:cNvSpPr>
      </xdr:nvSpPr>
      <xdr:spPr bwMode="auto">
        <a:xfrm rot="5400000">
          <a:off x="4392527" y="10990679"/>
          <a:ext cx="0" cy="263989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17</xdr:col>
      <xdr:colOff>221932</xdr:colOff>
      <xdr:row>90</xdr:row>
      <xdr:rowOff>96208</xdr:rowOff>
    </xdr:from>
    <xdr:to>
      <xdr:col>19</xdr:col>
      <xdr:colOff>18244</xdr:colOff>
      <xdr:row>90</xdr:row>
      <xdr:rowOff>96208</xdr:rowOff>
    </xdr:to>
    <xdr:sp macro="" textlink="">
      <xdr:nvSpPr>
        <xdr:cNvPr id="354" name="Line 749">
          <a:extLst>
            <a:ext uri="{FF2B5EF4-FFF2-40B4-BE49-F238E27FC236}">
              <a16:creationId xmlns:a16="http://schemas.microsoft.com/office/drawing/2014/main" id="{00000000-0008-0000-1500-000062010000}"/>
            </a:ext>
          </a:extLst>
        </xdr:cNvPr>
        <xdr:cNvSpPr>
          <a:spLocks noChangeShapeType="1"/>
        </xdr:cNvSpPr>
      </xdr:nvSpPr>
      <xdr:spPr bwMode="auto">
        <a:xfrm rot="5400000">
          <a:off x="4407291" y="11164184"/>
          <a:ext cx="0" cy="278277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23</xdr:col>
      <xdr:colOff>154781</xdr:colOff>
      <xdr:row>94</xdr:row>
      <xdr:rowOff>135724</xdr:rowOff>
    </xdr:from>
    <xdr:to>
      <xdr:col>24</xdr:col>
      <xdr:colOff>178593</xdr:colOff>
      <xdr:row>94</xdr:row>
      <xdr:rowOff>135724</xdr:rowOff>
    </xdr:to>
    <xdr:sp macro="" textlink="">
      <xdr:nvSpPr>
        <xdr:cNvPr id="355" name="Line 640">
          <a:extLst>
            <a:ext uri="{FF2B5EF4-FFF2-40B4-BE49-F238E27FC236}">
              <a16:creationId xmlns:a16="http://schemas.microsoft.com/office/drawing/2014/main" id="{00000000-0008-0000-1500-000063010000}"/>
            </a:ext>
          </a:extLst>
        </xdr:cNvPr>
        <xdr:cNvSpPr>
          <a:spLocks noChangeShapeType="1"/>
        </xdr:cNvSpPr>
      </xdr:nvSpPr>
      <xdr:spPr bwMode="auto">
        <a:xfrm rot="5400000">
          <a:off x="5760720" y="12090075"/>
          <a:ext cx="0" cy="25812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11</xdr:col>
      <xdr:colOff>210570</xdr:colOff>
      <xdr:row>88</xdr:row>
      <xdr:rowOff>122996</xdr:rowOff>
    </xdr:from>
    <xdr:to>
      <xdr:col>13</xdr:col>
      <xdr:colOff>18165</xdr:colOff>
      <xdr:row>88</xdr:row>
      <xdr:rowOff>122996</xdr:rowOff>
    </xdr:to>
    <xdr:sp macro="" textlink="">
      <xdr:nvSpPr>
        <xdr:cNvPr id="356" name="Line 689">
          <a:extLst>
            <a:ext uri="{FF2B5EF4-FFF2-40B4-BE49-F238E27FC236}">
              <a16:creationId xmlns:a16="http://schemas.microsoft.com/office/drawing/2014/main" id="{00000000-0008-0000-1500-000064010000}"/>
            </a:ext>
          </a:extLst>
        </xdr:cNvPr>
        <xdr:cNvSpPr>
          <a:spLocks noChangeShapeType="1"/>
        </xdr:cNvSpPr>
      </xdr:nvSpPr>
      <xdr:spPr bwMode="auto">
        <a:xfrm rot="5400000">
          <a:off x="2971868" y="10751943"/>
          <a:ext cx="0" cy="29146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218190</xdr:colOff>
      <xdr:row>92</xdr:row>
      <xdr:rowOff>103401</xdr:rowOff>
    </xdr:from>
    <xdr:to>
      <xdr:col>13</xdr:col>
      <xdr:colOff>18165</xdr:colOff>
      <xdr:row>92</xdr:row>
      <xdr:rowOff>103401</xdr:rowOff>
    </xdr:to>
    <xdr:sp macro="" textlink="">
      <xdr:nvSpPr>
        <xdr:cNvPr id="357" name="Line 525">
          <a:extLst>
            <a:ext uri="{FF2B5EF4-FFF2-40B4-BE49-F238E27FC236}">
              <a16:creationId xmlns:a16="http://schemas.microsoft.com/office/drawing/2014/main" id="{00000000-0008-0000-1500-000065010000}"/>
            </a:ext>
          </a:extLst>
        </xdr:cNvPr>
        <xdr:cNvSpPr>
          <a:spLocks noChangeShapeType="1"/>
        </xdr:cNvSpPr>
      </xdr:nvSpPr>
      <xdr:spPr bwMode="auto">
        <a:xfrm rot="5400000">
          <a:off x="2976630" y="11609601"/>
          <a:ext cx="0" cy="281940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12</xdr:col>
      <xdr:colOff>1973</xdr:colOff>
      <xdr:row>93</xdr:row>
      <xdr:rowOff>93066</xdr:rowOff>
    </xdr:from>
    <xdr:to>
      <xdr:col>13</xdr:col>
      <xdr:colOff>18165</xdr:colOff>
      <xdr:row>93</xdr:row>
      <xdr:rowOff>93066</xdr:rowOff>
    </xdr:to>
    <xdr:sp macro="" textlink="">
      <xdr:nvSpPr>
        <xdr:cNvPr id="358" name="Line 640">
          <a:extLst>
            <a:ext uri="{FF2B5EF4-FFF2-40B4-BE49-F238E27FC236}">
              <a16:creationId xmlns:a16="http://schemas.microsoft.com/office/drawing/2014/main" id="{00000000-0008-0000-1500-000066010000}"/>
            </a:ext>
          </a:extLst>
        </xdr:cNvPr>
        <xdr:cNvSpPr>
          <a:spLocks noChangeShapeType="1"/>
        </xdr:cNvSpPr>
      </xdr:nvSpPr>
      <xdr:spPr bwMode="auto">
        <a:xfrm rot="5400000">
          <a:off x="2988537" y="11835962"/>
          <a:ext cx="0" cy="25812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11</xdr:col>
      <xdr:colOff>218190</xdr:colOff>
      <xdr:row>89</xdr:row>
      <xdr:rowOff>87296</xdr:rowOff>
    </xdr:from>
    <xdr:to>
      <xdr:col>13</xdr:col>
      <xdr:colOff>18165</xdr:colOff>
      <xdr:row>89</xdr:row>
      <xdr:rowOff>87296</xdr:rowOff>
    </xdr:to>
    <xdr:sp macro="" textlink="">
      <xdr:nvSpPr>
        <xdr:cNvPr id="359" name="Line 749">
          <a:extLst>
            <a:ext uri="{FF2B5EF4-FFF2-40B4-BE49-F238E27FC236}">
              <a16:creationId xmlns:a16="http://schemas.microsoft.com/office/drawing/2014/main" id="{00000000-0008-0000-1500-000067010000}"/>
            </a:ext>
          </a:extLst>
        </xdr:cNvPr>
        <xdr:cNvSpPr>
          <a:spLocks noChangeShapeType="1"/>
        </xdr:cNvSpPr>
      </xdr:nvSpPr>
      <xdr:spPr bwMode="auto">
        <a:xfrm rot="5400000">
          <a:off x="2976630" y="10940081"/>
          <a:ext cx="0" cy="2819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14</xdr:col>
      <xdr:colOff>18549</xdr:colOff>
      <xdr:row>86</xdr:row>
      <xdr:rowOff>27573</xdr:rowOff>
    </xdr:from>
    <xdr:to>
      <xdr:col>15</xdr:col>
      <xdr:colOff>199524</xdr:colOff>
      <xdr:row>86</xdr:row>
      <xdr:rowOff>27573</xdr:rowOff>
    </xdr:to>
    <xdr:sp macro="" textlink="">
      <xdr:nvSpPr>
        <xdr:cNvPr id="360" name="Line 668">
          <a:extLst>
            <a:ext uri="{FF2B5EF4-FFF2-40B4-BE49-F238E27FC236}">
              <a16:creationId xmlns:a16="http://schemas.microsoft.com/office/drawing/2014/main" id="{00000000-0008-0000-1500-000068010000}"/>
            </a:ext>
          </a:extLst>
        </xdr:cNvPr>
        <xdr:cNvSpPr>
          <a:spLocks noChangeShapeType="1"/>
        </xdr:cNvSpPr>
      </xdr:nvSpPr>
      <xdr:spPr bwMode="auto">
        <a:xfrm rot="5400000">
          <a:off x="3564707" y="10151695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48126</xdr:colOff>
      <xdr:row>86</xdr:row>
      <xdr:rowOff>27573</xdr:rowOff>
    </xdr:from>
    <xdr:to>
      <xdr:col>18</xdr:col>
      <xdr:colOff>229101</xdr:colOff>
      <xdr:row>86</xdr:row>
      <xdr:rowOff>27573</xdr:rowOff>
    </xdr:to>
    <xdr:sp macro="" textlink="">
      <xdr:nvSpPr>
        <xdr:cNvPr id="361" name="Line 669">
          <a:extLst>
            <a:ext uri="{FF2B5EF4-FFF2-40B4-BE49-F238E27FC236}">
              <a16:creationId xmlns:a16="http://schemas.microsoft.com/office/drawing/2014/main" id="{00000000-0008-0000-1500-000069010000}"/>
            </a:ext>
          </a:extLst>
        </xdr:cNvPr>
        <xdr:cNvSpPr>
          <a:spLocks noChangeShapeType="1"/>
        </xdr:cNvSpPr>
      </xdr:nvSpPr>
      <xdr:spPr bwMode="auto">
        <a:xfrm rot="5400000">
          <a:off x="4306754" y="10151695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15</xdr:col>
      <xdr:colOff>223782</xdr:colOff>
      <xdr:row>83</xdr:row>
      <xdr:rowOff>126273</xdr:rowOff>
    </xdr:from>
    <xdr:to>
      <xdr:col>15</xdr:col>
      <xdr:colOff>223782</xdr:colOff>
      <xdr:row>85</xdr:row>
      <xdr:rowOff>209184</xdr:rowOff>
    </xdr:to>
    <xdr:sp macro="" textlink="">
      <xdr:nvSpPr>
        <xdr:cNvPr id="362" name="Line 517">
          <a:extLst>
            <a:ext uri="{FF2B5EF4-FFF2-40B4-BE49-F238E27FC236}">
              <a16:creationId xmlns:a16="http://schemas.microsoft.com/office/drawing/2014/main" id="{00000000-0008-0000-1500-00006A010000}"/>
            </a:ext>
          </a:extLst>
        </xdr:cNvPr>
        <xdr:cNvSpPr>
          <a:spLocks noChangeShapeType="1"/>
        </xdr:cNvSpPr>
      </xdr:nvSpPr>
      <xdr:spPr bwMode="auto">
        <a:xfrm>
          <a:off x="3793752" y="9807483"/>
          <a:ext cx="0" cy="521061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13</xdr:col>
      <xdr:colOff>224863</xdr:colOff>
      <xdr:row>84</xdr:row>
      <xdr:rowOff>56197</xdr:rowOff>
    </xdr:from>
    <xdr:to>
      <xdr:col>13</xdr:col>
      <xdr:colOff>224863</xdr:colOff>
      <xdr:row>86</xdr:row>
      <xdr:rowOff>20955</xdr:rowOff>
    </xdr:to>
    <xdr:sp macro="" textlink="">
      <xdr:nvSpPr>
        <xdr:cNvPr id="363" name="Line 510">
          <a:extLst>
            <a:ext uri="{FF2B5EF4-FFF2-40B4-BE49-F238E27FC236}">
              <a16:creationId xmlns:a16="http://schemas.microsoft.com/office/drawing/2014/main" id="{00000000-0008-0000-1500-00006B010000}"/>
            </a:ext>
          </a:extLst>
        </xdr:cNvPr>
        <xdr:cNvSpPr>
          <a:spLocks noChangeShapeType="1"/>
        </xdr:cNvSpPr>
      </xdr:nvSpPr>
      <xdr:spPr bwMode="auto">
        <a:xfrm>
          <a:off x="3320488" y="9956482"/>
          <a:ext cx="0" cy="39528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13</xdr:col>
      <xdr:colOff>224826</xdr:colOff>
      <xdr:row>82</xdr:row>
      <xdr:rowOff>27877</xdr:rowOff>
    </xdr:from>
    <xdr:to>
      <xdr:col>13</xdr:col>
      <xdr:colOff>224826</xdr:colOff>
      <xdr:row>84</xdr:row>
      <xdr:rowOff>475</xdr:rowOff>
    </xdr:to>
    <xdr:sp macro="" textlink="">
      <xdr:nvSpPr>
        <xdr:cNvPr id="364" name="Line 510">
          <a:extLst>
            <a:ext uri="{FF2B5EF4-FFF2-40B4-BE49-F238E27FC236}">
              <a16:creationId xmlns:a16="http://schemas.microsoft.com/office/drawing/2014/main" id="{00000000-0008-0000-1500-00006C010000}"/>
            </a:ext>
          </a:extLst>
        </xdr:cNvPr>
        <xdr:cNvSpPr>
          <a:spLocks noChangeShapeType="1"/>
        </xdr:cNvSpPr>
      </xdr:nvSpPr>
      <xdr:spPr bwMode="auto">
        <a:xfrm>
          <a:off x="3320451" y="9484297"/>
          <a:ext cx="0" cy="41265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19</xdr:col>
      <xdr:colOff>30041</xdr:colOff>
      <xdr:row>84</xdr:row>
      <xdr:rowOff>20883</xdr:rowOff>
    </xdr:from>
    <xdr:to>
      <xdr:col>19</xdr:col>
      <xdr:colOff>30041</xdr:colOff>
      <xdr:row>85</xdr:row>
      <xdr:rowOff>219810</xdr:rowOff>
    </xdr:to>
    <xdr:sp macro="" textlink="">
      <xdr:nvSpPr>
        <xdr:cNvPr id="365" name="Line 510">
          <a:extLst>
            <a:ext uri="{FF2B5EF4-FFF2-40B4-BE49-F238E27FC236}">
              <a16:creationId xmlns:a16="http://schemas.microsoft.com/office/drawing/2014/main" id="{00000000-0008-0000-1500-00006D010000}"/>
            </a:ext>
          </a:extLst>
        </xdr:cNvPr>
        <xdr:cNvSpPr>
          <a:spLocks noChangeShapeType="1"/>
        </xdr:cNvSpPr>
      </xdr:nvSpPr>
      <xdr:spPr bwMode="auto">
        <a:xfrm>
          <a:off x="4552511" y="9913548"/>
          <a:ext cx="0" cy="41990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19</xdr:col>
      <xdr:colOff>32497</xdr:colOff>
      <xdr:row>82</xdr:row>
      <xdr:rowOff>3262</xdr:rowOff>
    </xdr:from>
    <xdr:to>
      <xdr:col>19</xdr:col>
      <xdr:colOff>32497</xdr:colOff>
      <xdr:row>83</xdr:row>
      <xdr:rowOff>193762</xdr:rowOff>
    </xdr:to>
    <xdr:sp macro="" textlink="">
      <xdr:nvSpPr>
        <xdr:cNvPr id="366" name="Line 510">
          <a:extLst>
            <a:ext uri="{FF2B5EF4-FFF2-40B4-BE49-F238E27FC236}">
              <a16:creationId xmlns:a16="http://schemas.microsoft.com/office/drawing/2014/main" id="{00000000-0008-0000-1500-00006E010000}"/>
            </a:ext>
          </a:extLst>
        </xdr:cNvPr>
        <xdr:cNvSpPr>
          <a:spLocks noChangeShapeType="1"/>
        </xdr:cNvSpPr>
      </xdr:nvSpPr>
      <xdr:spPr bwMode="auto">
        <a:xfrm>
          <a:off x="4554967" y="9461587"/>
          <a:ext cx="0" cy="40957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18747</xdr:colOff>
      <xdr:row>83</xdr:row>
      <xdr:rowOff>131988</xdr:rowOff>
    </xdr:from>
    <xdr:to>
      <xdr:col>17</xdr:col>
      <xdr:colOff>18747</xdr:colOff>
      <xdr:row>86</xdr:row>
      <xdr:rowOff>3796</xdr:rowOff>
    </xdr:to>
    <xdr:sp macro="" textlink="">
      <xdr:nvSpPr>
        <xdr:cNvPr id="367" name="Line 517">
          <a:extLst>
            <a:ext uri="{FF2B5EF4-FFF2-40B4-BE49-F238E27FC236}">
              <a16:creationId xmlns:a16="http://schemas.microsoft.com/office/drawing/2014/main" id="{00000000-0008-0000-1500-00006F010000}"/>
            </a:ext>
          </a:extLst>
        </xdr:cNvPr>
        <xdr:cNvSpPr>
          <a:spLocks noChangeShapeType="1"/>
        </xdr:cNvSpPr>
      </xdr:nvSpPr>
      <xdr:spPr bwMode="auto">
        <a:xfrm>
          <a:off x="4070682" y="9813198"/>
          <a:ext cx="0" cy="525223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15</xdr:col>
      <xdr:colOff>231321</xdr:colOff>
      <xdr:row>86</xdr:row>
      <xdr:rowOff>30139</xdr:rowOff>
    </xdr:from>
    <xdr:to>
      <xdr:col>17</xdr:col>
      <xdr:colOff>31296</xdr:colOff>
      <xdr:row>86</xdr:row>
      <xdr:rowOff>30139</xdr:rowOff>
    </xdr:to>
    <xdr:sp macro="" textlink="">
      <xdr:nvSpPr>
        <xdr:cNvPr id="368" name="Line 749">
          <a:extLst>
            <a:ext uri="{FF2B5EF4-FFF2-40B4-BE49-F238E27FC236}">
              <a16:creationId xmlns:a16="http://schemas.microsoft.com/office/drawing/2014/main" id="{00000000-0008-0000-1500-000070010000}"/>
            </a:ext>
          </a:extLst>
        </xdr:cNvPr>
        <xdr:cNvSpPr>
          <a:spLocks noChangeShapeType="1"/>
        </xdr:cNvSpPr>
      </xdr:nvSpPr>
      <xdr:spPr bwMode="auto">
        <a:xfrm rot="5400000">
          <a:off x="3940356" y="10225699"/>
          <a:ext cx="0" cy="27432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15</xdr:col>
      <xdr:colOff>236832</xdr:colOff>
      <xdr:row>83</xdr:row>
      <xdr:rowOff>204374</xdr:rowOff>
    </xdr:from>
    <xdr:to>
      <xdr:col>17</xdr:col>
      <xdr:colOff>22519</xdr:colOff>
      <xdr:row>83</xdr:row>
      <xdr:rowOff>204374</xdr:rowOff>
    </xdr:to>
    <xdr:sp macro="" textlink="">
      <xdr:nvSpPr>
        <xdr:cNvPr id="369" name="Line 640">
          <a:extLst>
            <a:ext uri="{FF2B5EF4-FFF2-40B4-BE49-F238E27FC236}">
              <a16:creationId xmlns:a16="http://schemas.microsoft.com/office/drawing/2014/main" id="{00000000-0008-0000-1500-000071010000}"/>
            </a:ext>
          </a:extLst>
        </xdr:cNvPr>
        <xdr:cNvSpPr>
          <a:spLocks noChangeShapeType="1"/>
        </xdr:cNvSpPr>
      </xdr:nvSpPr>
      <xdr:spPr bwMode="auto">
        <a:xfrm rot="5400000">
          <a:off x="3938723" y="9757473"/>
          <a:ext cx="0" cy="25622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20</xdr:col>
      <xdr:colOff>28575</xdr:colOff>
      <xdr:row>83</xdr:row>
      <xdr:rowOff>209550</xdr:rowOff>
    </xdr:from>
    <xdr:to>
      <xdr:col>21</xdr:col>
      <xdr:colOff>209550</xdr:colOff>
      <xdr:row>83</xdr:row>
      <xdr:rowOff>209550</xdr:rowOff>
    </xdr:to>
    <xdr:sp macro="" textlink="">
      <xdr:nvSpPr>
        <xdr:cNvPr id="370" name="Line 695">
          <a:extLst>
            <a:ext uri="{FF2B5EF4-FFF2-40B4-BE49-F238E27FC236}">
              <a16:creationId xmlns:a16="http://schemas.microsoft.com/office/drawing/2014/main" id="{00000000-0008-0000-1500-000072010000}"/>
            </a:ext>
          </a:extLst>
        </xdr:cNvPr>
        <xdr:cNvSpPr>
          <a:spLocks noChangeShapeType="1"/>
        </xdr:cNvSpPr>
      </xdr:nvSpPr>
      <xdr:spPr bwMode="auto">
        <a:xfrm rot="5400000">
          <a:off x="4997768" y="9674542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23</xdr:col>
      <xdr:colOff>38100</xdr:colOff>
      <xdr:row>83</xdr:row>
      <xdr:rowOff>209550</xdr:rowOff>
    </xdr:from>
    <xdr:to>
      <xdr:col>24</xdr:col>
      <xdr:colOff>219075</xdr:colOff>
      <xdr:row>83</xdr:row>
      <xdr:rowOff>209550</xdr:rowOff>
    </xdr:to>
    <xdr:sp macro="" textlink="">
      <xdr:nvSpPr>
        <xdr:cNvPr id="371" name="Line 696">
          <a:extLst>
            <a:ext uri="{FF2B5EF4-FFF2-40B4-BE49-F238E27FC236}">
              <a16:creationId xmlns:a16="http://schemas.microsoft.com/office/drawing/2014/main" id="{00000000-0008-0000-1500-000073010000}"/>
            </a:ext>
          </a:extLst>
        </xdr:cNvPr>
        <xdr:cNvSpPr>
          <a:spLocks noChangeShapeType="1"/>
        </xdr:cNvSpPr>
      </xdr:nvSpPr>
      <xdr:spPr bwMode="auto">
        <a:xfrm rot="5400000">
          <a:off x="5723573" y="9674542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20</xdr:col>
      <xdr:colOff>28575</xdr:colOff>
      <xdr:row>86</xdr:row>
      <xdr:rowOff>28074</xdr:rowOff>
    </xdr:from>
    <xdr:to>
      <xdr:col>21</xdr:col>
      <xdr:colOff>209550</xdr:colOff>
      <xdr:row>86</xdr:row>
      <xdr:rowOff>28074</xdr:rowOff>
    </xdr:to>
    <xdr:sp macro="" textlink="">
      <xdr:nvSpPr>
        <xdr:cNvPr id="372" name="Line 697">
          <a:extLst>
            <a:ext uri="{FF2B5EF4-FFF2-40B4-BE49-F238E27FC236}">
              <a16:creationId xmlns:a16="http://schemas.microsoft.com/office/drawing/2014/main" id="{00000000-0008-0000-1500-000074010000}"/>
            </a:ext>
          </a:extLst>
        </xdr:cNvPr>
        <xdr:cNvSpPr>
          <a:spLocks noChangeShapeType="1"/>
        </xdr:cNvSpPr>
      </xdr:nvSpPr>
      <xdr:spPr bwMode="auto">
        <a:xfrm rot="5400000">
          <a:off x="4997768" y="10152196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58152</xdr:colOff>
      <xdr:row>86</xdr:row>
      <xdr:rowOff>28074</xdr:rowOff>
    </xdr:from>
    <xdr:to>
      <xdr:col>24</xdr:col>
      <xdr:colOff>239127</xdr:colOff>
      <xdr:row>86</xdr:row>
      <xdr:rowOff>28074</xdr:rowOff>
    </xdr:to>
    <xdr:sp macro="" textlink="">
      <xdr:nvSpPr>
        <xdr:cNvPr id="373" name="Line 698">
          <a:extLst>
            <a:ext uri="{FF2B5EF4-FFF2-40B4-BE49-F238E27FC236}">
              <a16:creationId xmlns:a16="http://schemas.microsoft.com/office/drawing/2014/main" id="{00000000-0008-0000-1500-000075010000}"/>
            </a:ext>
          </a:extLst>
        </xdr:cNvPr>
        <xdr:cNvSpPr>
          <a:spLocks noChangeShapeType="1"/>
        </xdr:cNvSpPr>
      </xdr:nvSpPr>
      <xdr:spPr bwMode="auto">
        <a:xfrm rot="5400000">
          <a:off x="5743625" y="10148386"/>
          <a:ext cx="0" cy="42481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19</xdr:col>
      <xdr:colOff>209550</xdr:colOff>
      <xdr:row>84</xdr:row>
      <xdr:rowOff>38100</xdr:rowOff>
    </xdr:from>
    <xdr:to>
      <xdr:col>19</xdr:col>
      <xdr:colOff>209550</xdr:colOff>
      <xdr:row>85</xdr:row>
      <xdr:rowOff>200025</xdr:rowOff>
    </xdr:to>
    <xdr:sp macro="" textlink="">
      <xdr:nvSpPr>
        <xdr:cNvPr id="374" name="Line 721">
          <a:extLst>
            <a:ext uri="{FF2B5EF4-FFF2-40B4-BE49-F238E27FC236}">
              <a16:creationId xmlns:a16="http://schemas.microsoft.com/office/drawing/2014/main" id="{00000000-0008-0000-1500-000076010000}"/>
            </a:ext>
          </a:extLst>
        </xdr:cNvPr>
        <xdr:cNvSpPr>
          <a:spLocks noChangeShapeType="1"/>
        </xdr:cNvSpPr>
      </xdr:nvSpPr>
      <xdr:spPr bwMode="auto">
        <a:xfrm>
          <a:off x="4730115" y="9934575"/>
          <a:ext cx="0" cy="38290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25</xdr:col>
      <xdr:colOff>47625</xdr:colOff>
      <xdr:row>84</xdr:row>
      <xdr:rowOff>38100</xdr:rowOff>
    </xdr:from>
    <xdr:to>
      <xdr:col>25</xdr:col>
      <xdr:colOff>47625</xdr:colOff>
      <xdr:row>85</xdr:row>
      <xdr:rowOff>200025</xdr:rowOff>
    </xdr:to>
    <xdr:sp macro="" textlink="">
      <xdr:nvSpPr>
        <xdr:cNvPr id="375" name="Line 723">
          <a:extLst>
            <a:ext uri="{FF2B5EF4-FFF2-40B4-BE49-F238E27FC236}">
              <a16:creationId xmlns:a16="http://schemas.microsoft.com/office/drawing/2014/main" id="{00000000-0008-0000-1500-000077010000}"/>
            </a:ext>
          </a:extLst>
        </xdr:cNvPr>
        <xdr:cNvSpPr>
          <a:spLocks noChangeShapeType="1"/>
        </xdr:cNvSpPr>
      </xdr:nvSpPr>
      <xdr:spPr bwMode="auto">
        <a:xfrm>
          <a:off x="6002655" y="9934575"/>
          <a:ext cx="0" cy="38290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23</xdr:col>
      <xdr:colOff>24523</xdr:colOff>
      <xdr:row>84</xdr:row>
      <xdr:rowOff>58909</xdr:rowOff>
    </xdr:from>
    <xdr:to>
      <xdr:col>23</xdr:col>
      <xdr:colOff>24523</xdr:colOff>
      <xdr:row>85</xdr:row>
      <xdr:rowOff>213359</xdr:rowOff>
    </xdr:to>
    <xdr:sp macro="" textlink="">
      <xdr:nvSpPr>
        <xdr:cNvPr id="376" name="Line 640">
          <a:extLst>
            <a:ext uri="{FF2B5EF4-FFF2-40B4-BE49-F238E27FC236}">
              <a16:creationId xmlns:a16="http://schemas.microsoft.com/office/drawing/2014/main" id="{00000000-0008-0000-1500-000078010000}"/>
            </a:ext>
          </a:extLst>
        </xdr:cNvPr>
        <xdr:cNvSpPr>
          <a:spLocks noChangeShapeType="1"/>
        </xdr:cNvSpPr>
      </xdr:nvSpPr>
      <xdr:spPr bwMode="auto">
        <a:xfrm rot="5400000">
          <a:off x="5310825" y="10138337"/>
          <a:ext cx="373525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23</xdr:col>
      <xdr:colOff>22744</xdr:colOff>
      <xdr:row>81</xdr:row>
      <xdr:rowOff>114299</xdr:rowOff>
    </xdr:from>
    <xdr:to>
      <xdr:col>23</xdr:col>
      <xdr:colOff>22744</xdr:colOff>
      <xdr:row>83</xdr:row>
      <xdr:rowOff>202882</xdr:rowOff>
    </xdr:to>
    <xdr:sp macro="" textlink="">
      <xdr:nvSpPr>
        <xdr:cNvPr id="377" name="Line 517">
          <a:extLst>
            <a:ext uri="{FF2B5EF4-FFF2-40B4-BE49-F238E27FC236}">
              <a16:creationId xmlns:a16="http://schemas.microsoft.com/office/drawing/2014/main" id="{00000000-0008-0000-1500-000079010000}"/>
            </a:ext>
          </a:extLst>
        </xdr:cNvPr>
        <xdr:cNvSpPr>
          <a:spLocks noChangeShapeType="1"/>
        </xdr:cNvSpPr>
      </xdr:nvSpPr>
      <xdr:spPr bwMode="auto">
        <a:xfrm>
          <a:off x="5495809" y="9353549"/>
          <a:ext cx="0" cy="530543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19</xdr:col>
      <xdr:colOff>219823</xdr:colOff>
      <xdr:row>82</xdr:row>
      <xdr:rowOff>19388</xdr:rowOff>
    </xdr:from>
    <xdr:to>
      <xdr:col>19</xdr:col>
      <xdr:colOff>219823</xdr:colOff>
      <xdr:row>83</xdr:row>
      <xdr:rowOff>217100</xdr:rowOff>
    </xdr:to>
    <xdr:sp macro="" textlink="">
      <xdr:nvSpPr>
        <xdr:cNvPr id="378" name="Line 510">
          <a:extLst>
            <a:ext uri="{FF2B5EF4-FFF2-40B4-BE49-F238E27FC236}">
              <a16:creationId xmlns:a16="http://schemas.microsoft.com/office/drawing/2014/main" id="{00000000-0008-0000-1500-00007A010000}"/>
            </a:ext>
          </a:extLst>
        </xdr:cNvPr>
        <xdr:cNvSpPr>
          <a:spLocks noChangeShapeType="1"/>
        </xdr:cNvSpPr>
      </xdr:nvSpPr>
      <xdr:spPr bwMode="auto">
        <a:xfrm>
          <a:off x="4742293" y="9473903"/>
          <a:ext cx="0" cy="41678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25</xdr:col>
      <xdr:colOff>45246</xdr:colOff>
      <xdr:row>82</xdr:row>
      <xdr:rowOff>35719</xdr:rowOff>
    </xdr:from>
    <xdr:to>
      <xdr:col>25</xdr:col>
      <xdr:colOff>45246</xdr:colOff>
      <xdr:row>84</xdr:row>
      <xdr:rowOff>11907</xdr:rowOff>
    </xdr:to>
    <xdr:sp macro="" textlink="">
      <xdr:nvSpPr>
        <xdr:cNvPr id="379" name="Line 510">
          <a:extLst>
            <a:ext uri="{FF2B5EF4-FFF2-40B4-BE49-F238E27FC236}">
              <a16:creationId xmlns:a16="http://schemas.microsoft.com/office/drawing/2014/main" id="{00000000-0008-0000-1500-00007B010000}"/>
            </a:ext>
          </a:extLst>
        </xdr:cNvPr>
        <xdr:cNvSpPr>
          <a:spLocks noChangeShapeType="1"/>
        </xdr:cNvSpPr>
      </xdr:nvSpPr>
      <xdr:spPr bwMode="auto">
        <a:xfrm>
          <a:off x="6000276" y="9494044"/>
          <a:ext cx="0" cy="41814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19</xdr:col>
      <xdr:colOff>218393</xdr:colOff>
      <xdr:row>80</xdr:row>
      <xdr:rowOff>203834</xdr:rowOff>
    </xdr:from>
    <xdr:to>
      <xdr:col>19</xdr:col>
      <xdr:colOff>218393</xdr:colOff>
      <xdr:row>82</xdr:row>
      <xdr:rowOff>51434</xdr:rowOff>
    </xdr:to>
    <xdr:sp macro="" textlink="">
      <xdr:nvSpPr>
        <xdr:cNvPr id="380" name="Line 729">
          <a:extLst>
            <a:ext uri="{FF2B5EF4-FFF2-40B4-BE49-F238E27FC236}">
              <a16:creationId xmlns:a16="http://schemas.microsoft.com/office/drawing/2014/main" id="{00000000-0008-0000-1500-00007C010000}"/>
            </a:ext>
          </a:extLst>
        </xdr:cNvPr>
        <xdr:cNvSpPr>
          <a:spLocks noChangeShapeType="1"/>
        </xdr:cNvSpPr>
      </xdr:nvSpPr>
      <xdr:spPr bwMode="auto">
        <a:xfrm rot="10800000">
          <a:off x="4740863" y="9227819"/>
          <a:ext cx="0" cy="28575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25</xdr:col>
      <xdr:colOff>42201</xdr:colOff>
      <xdr:row>80</xdr:row>
      <xdr:rowOff>182915</xdr:rowOff>
    </xdr:from>
    <xdr:to>
      <xdr:col>25</xdr:col>
      <xdr:colOff>42201</xdr:colOff>
      <xdr:row>82</xdr:row>
      <xdr:rowOff>30735</xdr:rowOff>
    </xdr:to>
    <xdr:sp macro="" textlink="">
      <xdr:nvSpPr>
        <xdr:cNvPr id="381" name="Line 729">
          <a:extLst>
            <a:ext uri="{FF2B5EF4-FFF2-40B4-BE49-F238E27FC236}">
              <a16:creationId xmlns:a16="http://schemas.microsoft.com/office/drawing/2014/main" id="{00000000-0008-0000-1500-00007D010000}"/>
            </a:ext>
          </a:extLst>
        </xdr:cNvPr>
        <xdr:cNvSpPr>
          <a:spLocks noChangeShapeType="1"/>
        </xdr:cNvSpPr>
      </xdr:nvSpPr>
      <xdr:spPr bwMode="auto">
        <a:xfrm rot="10800000">
          <a:off x="5997231" y="9201185"/>
          <a:ext cx="0" cy="28597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21</xdr:col>
      <xdr:colOff>225225</xdr:colOff>
      <xdr:row>84</xdr:row>
      <xdr:rowOff>57035</xdr:rowOff>
    </xdr:from>
    <xdr:to>
      <xdr:col>21</xdr:col>
      <xdr:colOff>225225</xdr:colOff>
      <xdr:row>85</xdr:row>
      <xdr:rowOff>206577</xdr:rowOff>
    </xdr:to>
    <xdr:sp macro="" textlink="">
      <xdr:nvSpPr>
        <xdr:cNvPr id="382" name="Line 640">
          <a:extLst>
            <a:ext uri="{FF2B5EF4-FFF2-40B4-BE49-F238E27FC236}">
              <a16:creationId xmlns:a16="http://schemas.microsoft.com/office/drawing/2014/main" id="{00000000-0008-0000-1500-00007E010000}"/>
            </a:ext>
          </a:extLst>
        </xdr:cNvPr>
        <xdr:cNvSpPr>
          <a:spLocks noChangeShapeType="1"/>
        </xdr:cNvSpPr>
      </xdr:nvSpPr>
      <xdr:spPr bwMode="auto">
        <a:xfrm rot="5400000">
          <a:off x="5041541" y="10141629"/>
          <a:ext cx="368617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21</xdr:col>
      <xdr:colOff>225526</xdr:colOff>
      <xdr:row>81</xdr:row>
      <xdr:rowOff>111921</xdr:rowOff>
    </xdr:from>
    <xdr:to>
      <xdr:col>21</xdr:col>
      <xdr:colOff>225526</xdr:colOff>
      <xdr:row>83</xdr:row>
      <xdr:rowOff>192884</xdr:rowOff>
    </xdr:to>
    <xdr:sp macro="" textlink="">
      <xdr:nvSpPr>
        <xdr:cNvPr id="383" name="Line 517">
          <a:extLst>
            <a:ext uri="{FF2B5EF4-FFF2-40B4-BE49-F238E27FC236}">
              <a16:creationId xmlns:a16="http://schemas.microsoft.com/office/drawing/2014/main" id="{00000000-0008-0000-1500-00007F010000}"/>
            </a:ext>
          </a:extLst>
        </xdr:cNvPr>
        <xdr:cNvSpPr>
          <a:spLocks noChangeShapeType="1"/>
        </xdr:cNvSpPr>
      </xdr:nvSpPr>
      <xdr:spPr bwMode="auto">
        <a:xfrm>
          <a:off x="5226151" y="9351171"/>
          <a:ext cx="0" cy="519113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21</xdr:col>
      <xdr:colOff>219074</xdr:colOff>
      <xdr:row>86</xdr:row>
      <xdr:rowOff>39983</xdr:rowOff>
    </xdr:from>
    <xdr:to>
      <xdr:col>23</xdr:col>
      <xdr:colOff>19049</xdr:colOff>
      <xdr:row>86</xdr:row>
      <xdr:rowOff>39983</xdr:rowOff>
    </xdr:to>
    <xdr:sp macro="" textlink="">
      <xdr:nvSpPr>
        <xdr:cNvPr id="384" name="Line 749">
          <a:extLst>
            <a:ext uri="{FF2B5EF4-FFF2-40B4-BE49-F238E27FC236}">
              <a16:creationId xmlns:a16="http://schemas.microsoft.com/office/drawing/2014/main" id="{00000000-0008-0000-1500-000080010000}"/>
            </a:ext>
          </a:extLst>
        </xdr:cNvPr>
        <xdr:cNvSpPr>
          <a:spLocks noChangeShapeType="1"/>
        </xdr:cNvSpPr>
      </xdr:nvSpPr>
      <xdr:spPr bwMode="auto">
        <a:xfrm rot="5400000">
          <a:off x="5358764" y="10233638"/>
          <a:ext cx="0" cy="2819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22</xdr:col>
      <xdr:colOff>2248</xdr:colOff>
      <xdr:row>83</xdr:row>
      <xdr:rowOff>197292</xdr:rowOff>
    </xdr:from>
    <xdr:to>
      <xdr:col>23</xdr:col>
      <xdr:colOff>18440</xdr:colOff>
      <xdr:row>83</xdr:row>
      <xdr:rowOff>197292</xdr:rowOff>
    </xdr:to>
    <xdr:sp macro="" textlink="">
      <xdr:nvSpPr>
        <xdr:cNvPr id="385" name="Line 640">
          <a:extLst>
            <a:ext uri="{FF2B5EF4-FFF2-40B4-BE49-F238E27FC236}">
              <a16:creationId xmlns:a16="http://schemas.microsoft.com/office/drawing/2014/main" id="{00000000-0008-0000-1500-000081010000}"/>
            </a:ext>
          </a:extLst>
        </xdr:cNvPr>
        <xdr:cNvSpPr>
          <a:spLocks noChangeShapeType="1"/>
        </xdr:cNvSpPr>
      </xdr:nvSpPr>
      <xdr:spPr bwMode="auto">
        <a:xfrm rot="5400000">
          <a:off x="5370062" y="9747533"/>
          <a:ext cx="0" cy="25812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26</xdr:col>
      <xdr:colOff>28575</xdr:colOff>
      <xdr:row>83</xdr:row>
      <xdr:rowOff>209550</xdr:rowOff>
    </xdr:from>
    <xdr:to>
      <xdr:col>27</xdr:col>
      <xdr:colOff>209550</xdr:colOff>
      <xdr:row>83</xdr:row>
      <xdr:rowOff>209550</xdr:rowOff>
    </xdr:to>
    <xdr:sp macro="" textlink="">
      <xdr:nvSpPr>
        <xdr:cNvPr id="386" name="Line 634">
          <a:extLst>
            <a:ext uri="{FF2B5EF4-FFF2-40B4-BE49-F238E27FC236}">
              <a16:creationId xmlns:a16="http://schemas.microsoft.com/office/drawing/2014/main" id="{00000000-0008-0000-1500-000082010000}"/>
            </a:ext>
          </a:extLst>
        </xdr:cNvPr>
        <xdr:cNvSpPr>
          <a:spLocks noChangeShapeType="1"/>
        </xdr:cNvSpPr>
      </xdr:nvSpPr>
      <xdr:spPr bwMode="auto">
        <a:xfrm rot="5400000">
          <a:off x="6426518" y="9674542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29</xdr:col>
      <xdr:colOff>38100</xdr:colOff>
      <xdr:row>83</xdr:row>
      <xdr:rowOff>209550</xdr:rowOff>
    </xdr:from>
    <xdr:to>
      <xdr:col>30</xdr:col>
      <xdr:colOff>219075</xdr:colOff>
      <xdr:row>83</xdr:row>
      <xdr:rowOff>209550</xdr:rowOff>
    </xdr:to>
    <xdr:sp macro="" textlink="">
      <xdr:nvSpPr>
        <xdr:cNvPr id="387" name="Line 635">
          <a:extLst>
            <a:ext uri="{FF2B5EF4-FFF2-40B4-BE49-F238E27FC236}">
              <a16:creationId xmlns:a16="http://schemas.microsoft.com/office/drawing/2014/main" id="{00000000-0008-0000-1500-000083010000}"/>
            </a:ext>
          </a:extLst>
        </xdr:cNvPr>
        <xdr:cNvSpPr>
          <a:spLocks noChangeShapeType="1"/>
        </xdr:cNvSpPr>
      </xdr:nvSpPr>
      <xdr:spPr bwMode="auto">
        <a:xfrm rot="5400000">
          <a:off x="7152323" y="9674542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26</xdr:col>
      <xdr:colOff>28575</xdr:colOff>
      <xdr:row>86</xdr:row>
      <xdr:rowOff>38100</xdr:rowOff>
    </xdr:from>
    <xdr:to>
      <xdr:col>27</xdr:col>
      <xdr:colOff>209550</xdr:colOff>
      <xdr:row>86</xdr:row>
      <xdr:rowOff>38100</xdr:rowOff>
    </xdr:to>
    <xdr:sp macro="" textlink="">
      <xdr:nvSpPr>
        <xdr:cNvPr id="388" name="Line 711">
          <a:extLst>
            <a:ext uri="{FF2B5EF4-FFF2-40B4-BE49-F238E27FC236}">
              <a16:creationId xmlns:a16="http://schemas.microsoft.com/office/drawing/2014/main" id="{00000000-0008-0000-1500-000084010000}"/>
            </a:ext>
          </a:extLst>
        </xdr:cNvPr>
        <xdr:cNvSpPr>
          <a:spLocks noChangeShapeType="1"/>
        </xdr:cNvSpPr>
      </xdr:nvSpPr>
      <xdr:spPr bwMode="auto">
        <a:xfrm rot="5400000">
          <a:off x="6426518" y="10164127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29</xdr:col>
      <xdr:colOff>38100</xdr:colOff>
      <xdr:row>86</xdr:row>
      <xdr:rowOff>38100</xdr:rowOff>
    </xdr:from>
    <xdr:to>
      <xdr:col>30</xdr:col>
      <xdr:colOff>219075</xdr:colOff>
      <xdr:row>86</xdr:row>
      <xdr:rowOff>38100</xdr:rowOff>
    </xdr:to>
    <xdr:sp macro="" textlink="">
      <xdr:nvSpPr>
        <xdr:cNvPr id="389" name="Line 712">
          <a:extLst>
            <a:ext uri="{FF2B5EF4-FFF2-40B4-BE49-F238E27FC236}">
              <a16:creationId xmlns:a16="http://schemas.microsoft.com/office/drawing/2014/main" id="{00000000-0008-0000-1500-000085010000}"/>
            </a:ext>
          </a:extLst>
        </xdr:cNvPr>
        <xdr:cNvSpPr>
          <a:spLocks noChangeShapeType="1"/>
        </xdr:cNvSpPr>
      </xdr:nvSpPr>
      <xdr:spPr bwMode="auto">
        <a:xfrm rot="5400000">
          <a:off x="7152323" y="10164127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25</xdr:col>
      <xdr:colOff>218196</xdr:colOff>
      <xdr:row>84</xdr:row>
      <xdr:rowOff>57150</xdr:rowOff>
    </xdr:from>
    <xdr:to>
      <xdr:col>25</xdr:col>
      <xdr:colOff>218196</xdr:colOff>
      <xdr:row>85</xdr:row>
      <xdr:rowOff>205740</xdr:rowOff>
    </xdr:to>
    <xdr:sp macro="" textlink="">
      <xdr:nvSpPr>
        <xdr:cNvPr id="390" name="Line 741">
          <a:extLst>
            <a:ext uri="{FF2B5EF4-FFF2-40B4-BE49-F238E27FC236}">
              <a16:creationId xmlns:a16="http://schemas.microsoft.com/office/drawing/2014/main" id="{00000000-0008-0000-1500-000086010000}"/>
            </a:ext>
          </a:extLst>
        </xdr:cNvPr>
        <xdr:cNvSpPr>
          <a:spLocks noChangeShapeType="1"/>
        </xdr:cNvSpPr>
      </xdr:nvSpPr>
      <xdr:spPr bwMode="auto">
        <a:xfrm>
          <a:off x="6169416" y="9949815"/>
          <a:ext cx="0" cy="37528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31</xdr:col>
      <xdr:colOff>18256</xdr:colOff>
      <xdr:row>84</xdr:row>
      <xdr:rowOff>53340</xdr:rowOff>
    </xdr:from>
    <xdr:to>
      <xdr:col>31</xdr:col>
      <xdr:colOff>18256</xdr:colOff>
      <xdr:row>85</xdr:row>
      <xdr:rowOff>209550</xdr:rowOff>
    </xdr:to>
    <xdr:sp macro="" textlink="">
      <xdr:nvSpPr>
        <xdr:cNvPr id="391" name="Line 742">
          <a:extLst>
            <a:ext uri="{FF2B5EF4-FFF2-40B4-BE49-F238E27FC236}">
              <a16:creationId xmlns:a16="http://schemas.microsoft.com/office/drawing/2014/main" id="{00000000-0008-0000-1500-000087010000}"/>
            </a:ext>
          </a:extLst>
        </xdr:cNvPr>
        <xdr:cNvSpPr>
          <a:spLocks noChangeShapeType="1"/>
        </xdr:cNvSpPr>
      </xdr:nvSpPr>
      <xdr:spPr bwMode="auto">
        <a:xfrm>
          <a:off x="7403941" y="9953625"/>
          <a:ext cx="0" cy="36766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27</xdr:col>
      <xdr:colOff>223838</xdr:colOff>
      <xdr:row>86</xdr:row>
      <xdr:rowOff>30958</xdr:rowOff>
    </xdr:from>
    <xdr:to>
      <xdr:col>29</xdr:col>
      <xdr:colOff>23813</xdr:colOff>
      <xdr:row>86</xdr:row>
      <xdr:rowOff>30958</xdr:rowOff>
    </xdr:to>
    <xdr:sp macro="" textlink="">
      <xdr:nvSpPr>
        <xdr:cNvPr id="392" name="Line 749">
          <a:extLst>
            <a:ext uri="{FF2B5EF4-FFF2-40B4-BE49-F238E27FC236}">
              <a16:creationId xmlns:a16="http://schemas.microsoft.com/office/drawing/2014/main" id="{00000000-0008-0000-1500-000088010000}"/>
            </a:ext>
          </a:extLst>
        </xdr:cNvPr>
        <xdr:cNvSpPr>
          <a:spLocks noChangeShapeType="1"/>
        </xdr:cNvSpPr>
      </xdr:nvSpPr>
      <xdr:spPr bwMode="auto">
        <a:xfrm rot="5400000">
          <a:off x="6788468" y="10226518"/>
          <a:ext cx="0" cy="27432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28</xdr:col>
      <xdr:colOff>226719</xdr:colOff>
      <xdr:row>84</xdr:row>
      <xdr:rowOff>22646</xdr:rowOff>
    </xdr:from>
    <xdr:to>
      <xdr:col>28</xdr:col>
      <xdr:colOff>226719</xdr:colOff>
      <xdr:row>85</xdr:row>
      <xdr:rowOff>211865</xdr:rowOff>
    </xdr:to>
    <xdr:sp macro="" textlink="">
      <xdr:nvSpPr>
        <xdr:cNvPr id="393" name="Line 640">
          <a:extLst>
            <a:ext uri="{FF2B5EF4-FFF2-40B4-BE49-F238E27FC236}">
              <a16:creationId xmlns:a16="http://schemas.microsoft.com/office/drawing/2014/main" id="{00000000-0008-0000-1500-000089010000}"/>
            </a:ext>
          </a:extLst>
        </xdr:cNvPr>
        <xdr:cNvSpPr>
          <a:spLocks noChangeShapeType="1"/>
        </xdr:cNvSpPr>
      </xdr:nvSpPr>
      <xdr:spPr bwMode="auto">
        <a:xfrm rot="5400000">
          <a:off x="6690072" y="10119458"/>
          <a:ext cx="408294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  <xdr:txBody>
        <a:bodyPr/>
        <a:lstStyle/>
        <a:p>
          <a:endParaRPr lang="ko-KR" altLang="en-US"/>
        </a:p>
      </xdr:txBody>
    </xdr:sp>
    <xdr:clientData/>
  </xdr:twoCellAnchor>
  <xdr:twoCellAnchor>
    <xdr:from>
      <xdr:col>25</xdr:col>
      <xdr:colOff>217276</xdr:colOff>
      <xdr:row>81</xdr:row>
      <xdr:rowOff>212195</xdr:rowOff>
    </xdr:from>
    <xdr:to>
      <xdr:col>25</xdr:col>
      <xdr:colOff>217276</xdr:colOff>
      <xdr:row>83</xdr:row>
      <xdr:rowOff>182668</xdr:rowOff>
    </xdr:to>
    <xdr:sp macro="" textlink="">
      <xdr:nvSpPr>
        <xdr:cNvPr id="394" name="Line 510">
          <a:extLst>
            <a:ext uri="{FF2B5EF4-FFF2-40B4-BE49-F238E27FC236}">
              <a16:creationId xmlns:a16="http://schemas.microsoft.com/office/drawing/2014/main" id="{00000000-0008-0000-1500-00008A010000}"/>
            </a:ext>
          </a:extLst>
        </xdr:cNvPr>
        <xdr:cNvSpPr>
          <a:spLocks noChangeShapeType="1"/>
        </xdr:cNvSpPr>
      </xdr:nvSpPr>
      <xdr:spPr bwMode="auto">
        <a:xfrm>
          <a:off x="6168496" y="9447635"/>
          <a:ext cx="0" cy="41052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31</xdr:col>
      <xdr:colOff>37049</xdr:colOff>
      <xdr:row>82</xdr:row>
      <xdr:rowOff>8705</xdr:rowOff>
    </xdr:from>
    <xdr:to>
      <xdr:col>31</xdr:col>
      <xdr:colOff>37049</xdr:colOff>
      <xdr:row>83</xdr:row>
      <xdr:rowOff>196892</xdr:rowOff>
    </xdr:to>
    <xdr:sp macro="" textlink="">
      <xdr:nvSpPr>
        <xdr:cNvPr id="395" name="Line 510">
          <a:extLst>
            <a:ext uri="{FF2B5EF4-FFF2-40B4-BE49-F238E27FC236}">
              <a16:creationId xmlns:a16="http://schemas.microsoft.com/office/drawing/2014/main" id="{00000000-0008-0000-1500-00008B010000}"/>
            </a:ext>
          </a:extLst>
        </xdr:cNvPr>
        <xdr:cNvSpPr>
          <a:spLocks noChangeShapeType="1"/>
        </xdr:cNvSpPr>
      </xdr:nvSpPr>
      <xdr:spPr bwMode="auto">
        <a:xfrm>
          <a:off x="7418924" y="9468935"/>
          <a:ext cx="0" cy="40726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29</xdr:col>
      <xdr:colOff>30949</xdr:colOff>
      <xdr:row>81</xdr:row>
      <xdr:rowOff>123825</xdr:rowOff>
    </xdr:from>
    <xdr:to>
      <xdr:col>29</xdr:col>
      <xdr:colOff>30949</xdr:colOff>
      <xdr:row>83</xdr:row>
      <xdr:rowOff>204788</xdr:rowOff>
    </xdr:to>
    <xdr:sp macro="" textlink="">
      <xdr:nvSpPr>
        <xdr:cNvPr id="396" name="Line 517">
          <a:extLst>
            <a:ext uri="{FF2B5EF4-FFF2-40B4-BE49-F238E27FC236}">
              <a16:creationId xmlns:a16="http://schemas.microsoft.com/office/drawing/2014/main" id="{00000000-0008-0000-1500-00008C010000}"/>
            </a:ext>
          </a:extLst>
        </xdr:cNvPr>
        <xdr:cNvSpPr>
          <a:spLocks noChangeShapeType="1"/>
        </xdr:cNvSpPr>
      </xdr:nvSpPr>
      <xdr:spPr bwMode="auto">
        <a:xfrm>
          <a:off x="6934669" y="9364980"/>
          <a:ext cx="0" cy="521018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27</xdr:col>
      <xdr:colOff>225012</xdr:colOff>
      <xdr:row>84</xdr:row>
      <xdr:rowOff>22194</xdr:rowOff>
    </xdr:from>
    <xdr:to>
      <xdr:col>27</xdr:col>
      <xdr:colOff>225012</xdr:colOff>
      <xdr:row>85</xdr:row>
      <xdr:rowOff>169802</xdr:rowOff>
    </xdr:to>
    <xdr:sp macro="" textlink="">
      <xdr:nvSpPr>
        <xdr:cNvPr id="397" name="Line 640">
          <a:extLst>
            <a:ext uri="{FF2B5EF4-FFF2-40B4-BE49-F238E27FC236}">
              <a16:creationId xmlns:a16="http://schemas.microsoft.com/office/drawing/2014/main" id="{00000000-0008-0000-1500-00008D010000}"/>
            </a:ext>
          </a:extLst>
        </xdr:cNvPr>
        <xdr:cNvSpPr>
          <a:spLocks noChangeShapeType="1"/>
        </xdr:cNvSpPr>
      </xdr:nvSpPr>
      <xdr:spPr bwMode="auto">
        <a:xfrm rot="5400000">
          <a:off x="6467235" y="10102011"/>
          <a:ext cx="374303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27</xdr:col>
      <xdr:colOff>217785</xdr:colOff>
      <xdr:row>81</xdr:row>
      <xdr:rowOff>123352</xdr:rowOff>
    </xdr:from>
    <xdr:to>
      <xdr:col>27</xdr:col>
      <xdr:colOff>217785</xdr:colOff>
      <xdr:row>83</xdr:row>
      <xdr:rowOff>206220</xdr:rowOff>
    </xdr:to>
    <xdr:sp macro="" textlink="">
      <xdr:nvSpPr>
        <xdr:cNvPr id="398" name="Line 517">
          <a:extLst>
            <a:ext uri="{FF2B5EF4-FFF2-40B4-BE49-F238E27FC236}">
              <a16:creationId xmlns:a16="http://schemas.microsoft.com/office/drawing/2014/main" id="{00000000-0008-0000-1500-00008E010000}"/>
            </a:ext>
          </a:extLst>
        </xdr:cNvPr>
        <xdr:cNvSpPr>
          <a:spLocks noChangeShapeType="1"/>
        </xdr:cNvSpPr>
      </xdr:nvSpPr>
      <xdr:spPr bwMode="auto">
        <a:xfrm>
          <a:off x="6645255" y="9364507"/>
          <a:ext cx="0" cy="522923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27</xdr:col>
      <xdr:colOff>215336</xdr:colOff>
      <xdr:row>81</xdr:row>
      <xdr:rowOff>194304</xdr:rowOff>
    </xdr:from>
    <xdr:to>
      <xdr:col>29</xdr:col>
      <xdr:colOff>16263</xdr:colOff>
      <xdr:row>81</xdr:row>
      <xdr:rowOff>194304</xdr:rowOff>
    </xdr:to>
    <xdr:sp macro="" textlink="">
      <xdr:nvSpPr>
        <xdr:cNvPr id="399" name="Line 640">
          <a:extLst>
            <a:ext uri="{FF2B5EF4-FFF2-40B4-BE49-F238E27FC236}">
              <a16:creationId xmlns:a16="http://schemas.microsoft.com/office/drawing/2014/main" id="{00000000-0008-0000-1500-00008F010000}"/>
            </a:ext>
          </a:extLst>
        </xdr:cNvPr>
        <xdr:cNvSpPr>
          <a:spLocks noChangeShapeType="1"/>
        </xdr:cNvSpPr>
      </xdr:nvSpPr>
      <xdr:spPr bwMode="auto">
        <a:xfrm rot="5400000">
          <a:off x="6783300" y="9291155"/>
          <a:ext cx="0" cy="28479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27</xdr:col>
      <xdr:colOff>230985</xdr:colOff>
      <xdr:row>83</xdr:row>
      <xdr:rowOff>203620</xdr:rowOff>
    </xdr:from>
    <xdr:to>
      <xdr:col>29</xdr:col>
      <xdr:colOff>16672</xdr:colOff>
      <xdr:row>83</xdr:row>
      <xdr:rowOff>203620</xdr:rowOff>
    </xdr:to>
    <xdr:sp macro="" textlink="">
      <xdr:nvSpPr>
        <xdr:cNvPr id="400" name="Line 640">
          <a:extLst>
            <a:ext uri="{FF2B5EF4-FFF2-40B4-BE49-F238E27FC236}">
              <a16:creationId xmlns:a16="http://schemas.microsoft.com/office/drawing/2014/main" id="{00000000-0008-0000-1500-000090010000}"/>
            </a:ext>
          </a:extLst>
        </xdr:cNvPr>
        <xdr:cNvSpPr>
          <a:spLocks noChangeShapeType="1"/>
        </xdr:cNvSpPr>
      </xdr:nvSpPr>
      <xdr:spPr bwMode="auto">
        <a:xfrm rot="5400000">
          <a:off x="6793234" y="9751956"/>
          <a:ext cx="0" cy="26574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26</xdr:col>
      <xdr:colOff>24319</xdr:colOff>
      <xdr:row>84</xdr:row>
      <xdr:rowOff>56711</xdr:rowOff>
    </xdr:from>
    <xdr:to>
      <xdr:col>26</xdr:col>
      <xdr:colOff>24319</xdr:colOff>
      <xdr:row>85</xdr:row>
      <xdr:rowOff>192405</xdr:rowOff>
    </xdr:to>
    <xdr:sp macro="" textlink="">
      <xdr:nvSpPr>
        <xdr:cNvPr id="401" name="Line 746">
          <a:extLst>
            <a:ext uri="{FF2B5EF4-FFF2-40B4-BE49-F238E27FC236}">
              <a16:creationId xmlns:a16="http://schemas.microsoft.com/office/drawing/2014/main" id="{00000000-0008-0000-1500-000091010000}"/>
            </a:ext>
          </a:extLst>
        </xdr:cNvPr>
        <xdr:cNvSpPr>
          <a:spLocks noChangeShapeType="1"/>
        </xdr:cNvSpPr>
      </xdr:nvSpPr>
      <xdr:spPr bwMode="auto">
        <a:xfrm rot="5400000" flipV="1">
          <a:off x="6036279" y="10132476"/>
          <a:ext cx="350959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30</xdr:col>
      <xdr:colOff>216878</xdr:colOff>
      <xdr:row>84</xdr:row>
      <xdr:rowOff>56422</xdr:rowOff>
    </xdr:from>
    <xdr:to>
      <xdr:col>30</xdr:col>
      <xdr:colOff>216878</xdr:colOff>
      <xdr:row>85</xdr:row>
      <xdr:rowOff>212189</xdr:rowOff>
    </xdr:to>
    <xdr:sp macro="" textlink="">
      <xdr:nvSpPr>
        <xdr:cNvPr id="402" name="Line 746">
          <a:extLst>
            <a:ext uri="{FF2B5EF4-FFF2-40B4-BE49-F238E27FC236}">
              <a16:creationId xmlns:a16="http://schemas.microsoft.com/office/drawing/2014/main" id="{00000000-0008-0000-1500-000092010000}"/>
            </a:ext>
          </a:extLst>
        </xdr:cNvPr>
        <xdr:cNvSpPr>
          <a:spLocks noChangeShapeType="1"/>
        </xdr:cNvSpPr>
      </xdr:nvSpPr>
      <xdr:spPr bwMode="auto">
        <a:xfrm rot="5400000" flipV="1">
          <a:off x="7173207" y="10140318"/>
          <a:ext cx="367222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  <xdr:txBody>
        <a:bodyPr/>
        <a:lstStyle/>
        <a:p>
          <a:r>
            <a:rPr lang="en-US" altLang="ko-KR"/>
            <a:t>`</a:t>
          </a:r>
          <a:endParaRPr lang="ko-KR" altLang="en-US"/>
        </a:p>
      </xdr:txBody>
    </xdr:sp>
    <xdr:clientData/>
  </xdr:twoCellAnchor>
  <xdr:twoCellAnchor>
    <xdr:from>
      <xdr:col>28</xdr:col>
      <xdr:colOff>16082</xdr:colOff>
      <xdr:row>84</xdr:row>
      <xdr:rowOff>21757</xdr:rowOff>
    </xdr:from>
    <xdr:to>
      <xdr:col>28</xdr:col>
      <xdr:colOff>16082</xdr:colOff>
      <xdr:row>85</xdr:row>
      <xdr:rowOff>208379</xdr:rowOff>
    </xdr:to>
    <xdr:sp macro="" textlink="">
      <xdr:nvSpPr>
        <xdr:cNvPr id="403" name="Line 746">
          <a:extLst>
            <a:ext uri="{FF2B5EF4-FFF2-40B4-BE49-F238E27FC236}">
              <a16:creationId xmlns:a16="http://schemas.microsoft.com/office/drawing/2014/main" id="{00000000-0008-0000-1500-000093010000}"/>
            </a:ext>
          </a:extLst>
        </xdr:cNvPr>
        <xdr:cNvSpPr>
          <a:spLocks noChangeShapeType="1"/>
        </xdr:cNvSpPr>
      </xdr:nvSpPr>
      <xdr:spPr bwMode="auto">
        <a:xfrm rot="5400000" flipV="1">
          <a:off x="6480733" y="10121081"/>
          <a:ext cx="413317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29</xdr:col>
      <xdr:colOff>23536</xdr:colOff>
      <xdr:row>84</xdr:row>
      <xdr:rowOff>14731</xdr:rowOff>
    </xdr:from>
    <xdr:to>
      <xdr:col>29</xdr:col>
      <xdr:colOff>23536</xdr:colOff>
      <xdr:row>85</xdr:row>
      <xdr:rowOff>201718</xdr:rowOff>
    </xdr:to>
    <xdr:sp macro="" textlink="">
      <xdr:nvSpPr>
        <xdr:cNvPr id="404" name="Line 746">
          <a:extLst>
            <a:ext uri="{FF2B5EF4-FFF2-40B4-BE49-F238E27FC236}">
              <a16:creationId xmlns:a16="http://schemas.microsoft.com/office/drawing/2014/main" id="{00000000-0008-0000-1500-000094010000}"/>
            </a:ext>
          </a:extLst>
        </xdr:cNvPr>
        <xdr:cNvSpPr>
          <a:spLocks noChangeShapeType="1"/>
        </xdr:cNvSpPr>
      </xdr:nvSpPr>
      <xdr:spPr bwMode="auto">
        <a:xfrm rot="5400000" flipV="1">
          <a:off x="6723272" y="10117095"/>
          <a:ext cx="404157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29</xdr:col>
      <xdr:colOff>178392</xdr:colOff>
      <xdr:row>88</xdr:row>
      <xdr:rowOff>114300</xdr:rowOff>
    </xdr:from>
    <xdr:to>
      <xdr:col>30</xdr:col>
      <xdr:colOff>216492</xdr:colOff>
      <xdr:row>88</xdr:row>
      <xdr:rowOff>114300</xdr:rowOff>
    </xdr:to>
    <xdr:sp macro="" textlink="">
      <xdr:nvSpPr>
        <xdr:cNvPr id="405" name="Line 746">
          <a:extLst>
            <a:ext uri="{FF2B5EF4-FFF2-40B4-BE49-F238E27FC236}">
              <a16:creationId xmlns:a16="http://schemas.microsoft.com/office/drawing/2014/main" id="{00000000-0008-0000-1500-000095010000}"/>
            </a:ext>
          </a:extLst>
        </xdr:cNvPr>
        <xdr:cNvSpPr>
          <a:spLocks noChangeShapeType="1"/>
        </xdr:cNvSpPr>
      </xdr:nvSpPr>
      <xdr:spPr bwMode="auto">
        <a:xfrm rot="5400000">
          <a:off x="7218320" y="10748962"/>
          <a:ext cx="0" cy="27622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29</xdr:col>
      <xdr:colOff>178392</xdr:colOff>
      <xdr:row>89</xdr:row>
      <xdr:rowOff>114300</xdr:rowOff>
    </xdr:from>
    <xdr:to>
      <xdr:col>30</xdr:col>
      <xdr:colOff>216492</xdr:colOff>
      <xdr:row>89</xdr:row>
      <xdr:rowOff>114300</xdr:rowOff>
    </xdr:to>
    <xdr:sp macro="" textlink="">
      <xdr:nvSpPr>
        <xdr:cNvPr id="406" name="Line 747">
          <a:extLst>
            <a:ext uri="{FF2B5EF4-FFF2-40B4-BE49-F238E27FC236}">
              <a16:creationId xmlns:a16="http://schemas.microsoft.com/office/drawing/2014/main" id="{00000000-0008-0000-1500-000096010000}"/>
            </a:ext>
          </a:extLst>
        </xdr:cNvPr>
        <xdr:cNvSpPr>
          <a:spLocks noChangeShapeType="1"/>
        </xdr:cNvSpPr>
      </xdr:nvSpPr>
      <xdr:spPr bwMode="auto">
        <a:xfrm rot="5400000">
          <a:off x="7218320" y="10968037"/>
          <a:ext cx="0" cy="27622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29</xdr:col>
      <xdr:colOff>178392</xdr:colOff>
      <xdr:row>96</xdr:row>
      <xdr:rowOff>129540</xdr:rowOff>
    </xdr:from>
    <xdr:to>
      <xdr:col>30</xdr:col>
      <xdr:colOff>216492</xdr:colOff>
      <xdr:row>96</xdr:row>
      <xdr:rowOff>129540</xdr:rowOff>
    </xdr:to>
    <xdr:sp macro="" textlink="">
      <xdr:nvSpPr>
        <xdr:cNvPr id="407" name="Line 748">
          <a:extLst>
            <a:ext uri="{FF2B5EF4-FFF2-40B4-BE49-F238E27FC236}">
              <a16:creationId xmlns:a16="http://schemas.microsoft.com/office/drawing/2014/main" id="{00000000-0008-0000-1500-000097010000}"/>
            </a:ext>
          </a:extLst>
        </xdr:cNvPr>
        <xdr:cNvSpPr>
          <a:spLocks noChangeShapeType="1"/>
        </xdr:cNvSpPr>
      </xdr:nvSpPr>
      <xdr:spPr bwMode="auto">
        <a:xfrm rot="5400000">
          <a:off x="7218320" y="12520612"/>
          <a:ext cx="0" cy="27622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29</xdr:col>
      <xdr:colOff>178392</xdr:colOff>
      <xdr:row>92</xdr:row>
      <xdr:rowOff>130974</xdr:rowOff>
    </xdr:from>
    <xdr:to>
      <xdr:col>30</xdr:col>
      <xdr:colOff>216492</xdr:colOff>
      <xdr:row>92</xdr:row>
      <xdr:rowOff>130974</xdr:rowOff>
    </xdr:to>
    <xdr:sp macro="" textlink="">
      <xdr:nvSpPr>
        <xdr:cNvPr id="408" name="Line 640">
          <a:extLst>
            <a:ext uri="{FF2B5EF4-FFF2-40B4-BE49-F238E27FC236}">
              <a16:creationId xmlns:a16="http://schemas.microsoft.com/office/drawing/2014/main" id="{00000000-0008-0000-1500-000098010000}"/>
            </a:ext>
          </a:extLst>
        </xdr:cNvPr>
        <xdr:cNvSpPr>
          <a:spLocks noChangeShapeType="1"/>
        </xdr:cNvSpPr>
      </xdr:nvSpPr>
      <xdr:spPr bwMode="auto">
        <a:xfrm rot="5400000">
          <a:off x="7218320" y="11645746"/>
          <a:ext cx="0" cy="276225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29</xdr:col>
      <xdr:colOff>178392</xdr:colOff>
      <xdr:row>93</xdr:row>
      <xdr:rowOff>134306</xdr:rowOff>
    </xdr:from>
    <xdr:to>
      <xdr:col>30</xdr:col>
      <xdr:colOff>216492</xdr:colOff>
      <xdr:row>93</xdr:row>
      <xdr:rowOff>134306</xdr:rowOff>
    </xdr:to>
    <xdr:sp macro="" textlink="">
      <xdr:nvSpPr>
        <xdr:cNvPr id="409" name="Line 694">
          <a:extLst>
            <a:ext uri="{FF2B5EF4-FFF2-40B4-BE49-F238E27FC236}">
              <a16:creationId xmlns:a16="http://schemas.microsoft.com/office/drawing/2014/main" id="{00000000-0008-0000-1500-000099010000}"/>
            </a:ext>
          </a:extLst>
        </xdr:cNvPr>
        <xdr:cNvSpPr>
          <a:spLocks noChangeShapeType="1"/>
        </xdr:cNvSpPr>
      </xdr:nvSpPr>
      <xdr:spPr bwMode="auto">
        <a:xfrm rot="5400000">
          <a:off x="7218320" y="11860533"/>
          <a:ext cx="0" cy="276225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29</xdr:col>
      <xdr:colOff>178392</xdr:colOff>
      <xdr:row>90</xdr:row>
      <xdr:rowOff>111920</xdr:rowOff>
    </xdr:from>
    <xdr:to>
      <xdr:col>30</xdr:col>
      <xdr:colOff>216492</xdr:colOff>
      <xdr:row>90</xdr:row>
      <xdr:rowOff>111920</xdr:rowOff>
    </xdr:to>
    <xdr:sp macro="" textlink="">
      <xdr:nvSpPr>
        <xdr:cNvPr id="410" name="Line 749">
          <a:extLst>
            <a:ext uri="{FF2B5EF4-FFF2-40B4-BE49-F238E27FC236}">
              <a16:creationId xmlns:a16="http://schemas.microsoft.com/office/drawing/2014/main" id="{00000000-0008-0000-1500-00009A010000}"/>
            </a:ext>
          </a:extLst>
        </xdr:cNvPr>
        <xdr:cNvSpPr>
          <a:spLocks noChangeShapeType="1"/>
        </xdr:cNvSpPr>
      </xdr:nvSpPr>
      <xdr:spPr bwMode="auto">
        <a:xfrm rot="5400000">
          <a:off x="7218320" y="11184732"/>
          <a:ext cx="0" cy="27622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29</xdr:col>
      <xdr:colOff>196490</xdr:colOff>
      <xdr:row>94</xdr:row>
      <xdr:rowOff>131914</xdr:rowOff>
    </xdr:from>
    <xdr:to>
      <xdr:col>30</xdr:col>
      <xdr:colOff>216492</xdr:colOff>
      <xdr:row>94</xdr:row>
      <xdr:rowOff>131914</xdr:rowOff>
    </xdr:to>
    <xdr:sp macro="" textlink="">
      <xdr:nvSpPr>
        <xdr:cNvPr id="411" name="Line 640">
          <a:extLst>
            <a:ext uri="{FF2B5EF4-FFF2-40B4-BE49-F238E27FC236}">
              <a16:creationId xmlns:a16="http://schemas.microsoft.com/office/drawing/2014/main" id="{00000000-0008-0000-1500-00009B010000}"/>
            </a:ext>
          </a:extLst>
        </xdr:cNvPr>
        <xdr:cNvSpPr>
          <a:spLocks noChangeShapeType="1"/>
        </xdr:cNvSpPr>
      </xdr:nvSpPr>
      <xdr:spPr bwMode="auto">
        <a:xfrm rot="5400000">
          <a:off x="7230226" y="12096743"/>
          <a:ext cx="0" cy="25241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29</xdr:col>
      <xdr:colOff>178392</xdr:colOff>
      <xdr:row>95</xdr:row>
      <xdr:rowOff>114300</xdr:rowOff>
    </xdr:from>
    <xdr:to>
      <xdr:col>30</xdr:col>
      <xdr:colOff>216492</xdr:colOff>
      <xdr:row>95</xdr:row>
      <xdr:rowOff>114300</xdr:rowOff>
    </xdr:to>
    <xdr:sp macro="" textlink="">
      <xdr:nvSpPr>
        <xdr:cNvPr id="412" name="Line 746">
          <a:extLst>
            <a:ext uri="{FF2B5EF4-FFF2-40B4-BE49-F238E27FC236}">
              <a16:creationId xmlns:a16="http://schemas.microsoft.com/office/drawing/2014/main" id="{00000000-0008-0000-1500-00009C010000}"/>
            </a:ext>
          </a:extLst>
        </xdr:cNvPr>
        <xdr:cNvSpPr>
          <a:spLocks noChangeShapeType="1"/>
        </xdr:cNvSpPr>
      </xdr:nvSpPr>
      <xdr:spPr bwMode="auto">
        <a:xfrm rot="5400000">
          <a:off x="7218320" y="12282487"/>
          <a:ext cx="0" cy="276225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9</xdr:col>
      <xdr:colOff>222279</xdr:colOff>
      <xdr:row>8</xdr:row>
      <xdr:rowOff>136057</xdr:rowOff>
    </xdr:from>
    <xdr:to>
      <xdr:col>9</xdr:col>
      <xdr:colOff>222279</xdr:colOff>
      <xdr:row>10</xdr:row>
      <xdr:rowOff>169371</xdr:rowOff>
    </xdr:to>
    <xdr:sp macro="" textlink="">
      <xdr:nvSpPr>
        <xdr:cNvPr id="413" name="Line 520">
          <a:extLst>
            <a:ext uri="{FF2B5EF4-FFF2-40B4-BE49-F238E27FC236}">
              <a16:creationId xmlns:a16="http://schemas.microsoft.com/office/drawing/2014/main" id="{00000000-0008-0000-1500-00009D010000}"/>
            </a:ext>
          </a:extLst>
        </xdr:cNvPr>
        <xdr:cNvSpPr>
          <a:spLocks noChangeShapeType="1"/>
        </xdr:cNvSpPr>
      </xdr:nvSpPr>
      <xdr:spPr bwMode="auto">
        <a:xfrm rot="10800000" flipH="1">
          <a:off x="2363499" y="2142022"/>
          <a:ext cx="0" cy="47908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11</xdr:col>
      <xdr:colOff>16669</xdr:colOff>
      <xdr:row>8</xdr:row>
      <xdr:rowOff>120316</xdr:rowOff>
    </xdr:from>
    <xdr:to>
      <xdr:col>11</xdr:col>
      <xdr:colOff>16669</xdr:colOff>
      <xdr:row>10</xdr:row>
      <xdr:rowOff>187116</xdr:rowOff>
    </xdr:to>
    <xdr:sp macro="" textlink="">
      <xdr:nvSpPr>
        <xdr:cNvPr id="414" name="Line 520">
          <a:extLst>
            <a:ext uri="{FF2B5EF4-FFF2-40B4-BE49-F238E27FC236}">
              <a16:creationId xmlns:a16="http://schemas.microsoft.com/office/drawing/2014/main" id="{00000000-0008-0000-1500-00009E010000}"/>
            </a:ext>
          </a:extLst>
        </xdr:cNvPr>
        <xdr:cNvSpPr>
          <a:spLocks noChangeShapeType="1"/>
        </xdr:cNvSpPr>
      </xdr:nvSpPr>
      <xdr:spPr bwMode="auto">
        <a:xfrm rot="10800000" flipH="1">
          <a:off x="2639854" y="2131996"/>
          <a:ext cx="0" cy="50304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5</xdr:col>
      <xdr:colOff>4048</xdr:colOff>
      <xdr:row>8</xdr:row>
      <xdr:rowOff>100685</xdr:rowOff>
    </xdr:from>
    <xdr:to>
      <xdr:col>6</xdr:col>
      <xdr:colOff>233838</xdr:colOff>
      <xdr:row>8</xdr:row>
      <xdr:rowOff>100685</xdr:rowOff>
    </xdr:to>
    <xdr:sp macro="" textlink="">
      <xdr:nvSpPr>
        <xdr:cNvPr id="415" name="Line 520">
          <a:extLst>
            <a:ext uri="{FF2B5EF4-FFF2-40B4-BE49-F238E27FC236}">
              <a16:creationId xmlns:a16="http://schemas.microsoft.com/office/drawing/2014/main" id="{00000000-0008-0000-1500-00009F010000}"/>
            </a:ext>
          </a:extLst>
        </xdr:cNvPr>
        <xdr:cNvSpPr>
          <a:spLocks noChangeShapeType="1"/>
        </xdr:cNvSpPr>
      </xdr:nvSpPr>
      <xdr:spPr bwMode="auto">
        <a:xfrm rot="5400000">
          <a:off x="1430536" y="1872692"/>
          <a:ext cx="0" cy="467915"/>
        </a:xfrm>
        <a:prstGeom prst="line">
          <a:avLst/>
        </a:prstGeom>
        <a:ln w="28575">
          <a:headEnd/>
          <a:tailEnd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15</xdr:col>
      <xdr:colOff>216325</xdr:colOff>
      <xdr:row>8</xdr:row>
      <xdr:rowOff>55213</xdr:rowOff>
    </xdr:from>
    <xdr:to>
      <xdr:col>15</xdr:col>
      <xdr:colOff>216325</xdr:colOff>
      <xdr:row>10</xdr:row>
      <xdr:rowOff>172641</xdr:rowOff>
    </xdr:to>
    <xdr:sp macro="" textlink="">
      <xdr:nvSpPr>
        <xdr:cNvPr id="416" name="Line 520">
          <a:extLst>
            <a:ext uri="{FF2B5EF4-FFF2-40B4-BE49-F238E27FC236}">
              <a16:creationId xmlns:a16="http://schemas.microsoft.com/office/drawing/2014/main" id="{00000000-0008-0000-1500-0000A0010000}"/>
            </a:ext>
          </a:extLst>
        </xdr:cNvPr>
        <xdr:cNvSpPr>
          <a:spLocks noChangeShapeType="1"/>
        </xdr:cNvSpPr>
      </xdr:nvSpPr>
      <xdr:spPr bwMode="auto">
        <a:xfrm rot="10800000">
          <a:off x="3784390" y="2068798"/>
          <a:ext cx="0" cy="547958"/>
        </a:xfrm>
        <a:prstGeom prst="line">
          <a:avLst/>
        </a:prstGeom>
        <a:ln>
          <a:headEnd/>
          <a:tailEnd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17</xdr:col>
      <xdr:colOff>27709</xdr:colOff>
      <xdr:row>8</xdr:row>
      <xdr:rowOff>57388</xdr:rowOff>
    </xdr:from>
    <xdr:to>
      <xdr:col>17</xdr:col>
      <xdr:colOff>27709</xdr:colOff>
      <xdr:row>10</xdr:row>
      <xdr:rowOff>172641</xdr:rowOff>
    </xdr:to>
    <xdr:sp macro="" textlink="">
      <xdr:nvSpPr>
        <xdr:cNvPr id="417" name="Line 520">
          <a:extLst>
            <a:ext uri="{FF2B5EF4-FFF2-40B4-BE49-F238E27FC236}">
              <a16:creationId xmlns:a16="http://schemas.microsoft.com/office/drawing/2014/main" id="{00000000-0008-0000-1500-0000A1010000}"/>
            </a:ext>
          </a:extLst>
        </xdr:cNvPr>
        <xdr:cNvSpPr>
          <a:spLocks noChangeShapeType="1"/>
        </xdr:cNvSpPr>
      </xdr:nvSpPr>
      <xdr:spPr bwMode="auto">
        <a:xfrm rot="10800000">
          <a:off x="4073929" y="2063353"/>
          <a:ext cx="0" cy="553403"/>
        </a:xfrm>
        <a:prstGeom prst="line">
          <a:avLst/>
        </a:prstGeom>
        <a:ln>
          <a:headEnd/>
          <a:tailEnd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21</xdr:col>
      <xdr:colOff>226896</xdr:colOff>
      <xdr:row>6</xdr:row>
      <xdr:rowOff>190499</xdr:rowOff>
    </xdr:from>
    <xdr:to>
      <xdr:col>21</xdr:col>
      <xdr:colOff>226896</xdr:colOff>
      <xdr:row>8</xdr:row>
      <xdr:rowOff>174781</xdr:rowOff>
    </xdr:to>
    <xdr:sp macro="" textlink="">
      <xdr:nvSpPr>
        <xdr:cNvPr id="418" name="Line 520">
          <a:extLst>
            <a:ext uri="{FF2B5EF4-FFF2-40B4-BE49-F238E27FC236}">
              <a16:creationId xmlns:a16="http://schemas.microsoft.com/office/drawing/2014/main" id="{00000000-0008-0000-1500-0000A2010000}"/>
            </a:ext>
          </a:extLst>
        </xdr:cNvPr>
        <xdr:cNvSpPr>
          <a:spLocks noChangeShapeType="1"/>
        </xdr:cNvSpPr>
      </xdr:nvSpPr>
      <xdr:spPr bwMode="auto">
        <a:xfrm rot="10800000" flipH="1">
          <a:off x="5227521" y="1762124"/>
          <a:ext cx="0" cy="418622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23</xdr:col>
      <xdr:colOff>16155</xdr:colOff>
      <xdr:row>6</xdr:row>
      <xdr:rowOff>208961</xdr:rowOff>
    </xdr:from>
    <xdr:to>
      <xdr:col>23</xdr:col>
      <xdr:colOff>16155</xdr:colOff>
      <xdr:row>8</xdr:row>
      <xdr:rowOff>189912</xdr:rowOff>
    </xdr:to>
    <xdr:sp macro="" textlink="">
      <xdr:nvSpPr>
        <xdr:cNvPr id="419" name="Line 520">
          <a:extLst>
            <a:ext uri="{FF2B5EF4-FFF2-40B4-BE49-F238E27FC236}">
              <a16:creationId xmlns:a16="http://schemas.microsoft.com/office/drawing/2014/main" id="{00000000-0008-0000-1500-0000A3010000}"/>
            </a:ext>
          </a:extLst>
        </xdr:cNvPr>
        <xdr:cNvSpPr>
          <a:spLocks noChangeShapeType="1"/>
        </xdr:cNvSpPr>
      </xdr:nvSpPr>
      <xdr:spPr bwMode="auto">
        <a:xfrm rot="10800000" flipH="1">
          <a:off x="5496840" y="1784396"/>
          <a:ext cx="0" cy="415291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15</xdr:col>
      <xdr:colOff>212989</xdr:colOff>
      <xdr:row>8</xdr:row>
      <xdr:rowOff>212323</xdr:rowOff>
    </xdr:from>
    <xdr:to>
      <xdr:col>17</xdr:col>
      <xdr:colOff>20362</xdr:colOff>
      <xdr:row>8</xdr:row>
      <xdr:rowOff>212323</xdr:rowOff>
    </xdr:to>
    <xdr:sp macro="" textlink="">
      <xdr:nvSpPr>
        <xdr:cNvPr id="420" name="Line 749">
          <a:extLst>
            <a:ext uri="{FF2B5EF4-FFF2-40B4-BE49-F238E27FC236}">
              <a16:creationId xmlns:a16="http://schemas.microsoft.com/office/drawing/2014/main" id="{00000000-0008-0000-1500-0000A4010000}"/>
            </a:ext>
          </a:extLst>
        </xdr:cNvPr>
        <xdr:cNvSpPr>
          <a:spLocks noChangeShapeType="1"/>
        </xdr:cNvSpPr>
      </xdr:nvSpPr>
      <xdr:spPr bwMode="auto">
        <a:xfrm rot="5400000">
          <a:off x="3922866" y="2076476"/>
          <a:ext cx="0" cy="28362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10</xdr:col>
      <xdr:colOff>17947</xdr:colOff>
      <xdr:row>9</xdr:row>
      <xdr:rowOff>8954</xdr:rowOff>
    </xdr:from>
    <xdr:to>
      <xdr:col>10</xdr:col>
      <xdr:colOff>228962</xdr:colOff>
      <xdr:row>9</xdr:row>
      <xdr:rowOff>8954</xdr:rowOff>
    </xdr:to>
    <xdr:sp macro="" textlink="">
      <xdr:nvSpPr>
        <xdr:cNvPr id="421" name="Line 749">
          <a:extLst>
            <a:ext uri="{FF2B5EF4-FFF2-40B4-BE49-F238E27FC236}">
              <a16:creationId xmlns:a16="http://schemas.microsoft.com/office/drawing/2014/main" id="{00000000-0008-0000-1500-0000A5010000}"/>
            </a:ext>
          </a:extLst>
        </xdr:cNvPr>
        <xdr:cNvSpPr>
          <a:spLocks noChangeShapeType="1"/>
        </xdr:cNvSpPr>
      </xdr:nvSpPr>
      <xdr:spPr bwMode="auto">
        <a:xfrm rot="5400000">
          <a:off x="2506610" y="2136106"/>
          <a:ext cx="0" cy="20720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27</xdr:col>
      <xdr:colOff>222024</xdr:colOff>
      <xdr:row>7</xdr:row>
      <xdr:rowOff>16669</xdr:rowOff>
    </xdr:from>
    <xdr:to>
      <xdr:col>29</xdr:col>
      <xdr:colOff>25440</xdr:colOff>
      <xdr:row>7</xdr:row>
      <xdr:rowOff>16669</xdr:rowOff>
    </xdr:to>
    <xdr:sp macro="" textlink="">
      <xdr:nvSpPr>
        <xdr:cNvPr id="424" name="Line 749">
          <a:extLst>
            <a:ext uri="{FF2B5EF4-FFF2-40B4-BE49-F238E27FC236}">
              <a16:creationId xmlns:a16="http://schemas.microsoft.com/office/drawing/2014/main" id="{00000000-0008-0000-1500-0000A8010000}"/>
            </a:ext>
          </a:extLst>
        </xdr:cNvPr>
        <xdr:cNvSpPr>
          <a:spLocks noChangeShapeType="1"/>
        </xdr:cNvSpPr>
      </xdr:nvSpPr>
      <xdr:spPr bwMode="auto">
        <a:xfrm rot="5400000">
          <a:off x="6788375" y="1672298"/>
          <a:ext cx="0" cy="277761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21</xdr:col>
      <xdr:colOff>218319</xdr:colOff>
      <xdr:row>6</xdr:row>
      <xdr:rowOff>200522</xdr:rowOff>
    </xdr:from>
    <xdr:to>
      <xdr:col>23</xdr:col>
      <xdr:colOff>21737</xdr:colOff>
      <xdr:row>6</xdr:row>
      <xdr:rowOff>200522</xdr:rowOff>
    </xdr:to>
    <xdr:sp macro="" textlink="">
      <xdr:nvSpPr>
        <xdr:cNvPr id="425" name="Line 749">
          <a:extLst>
            <a:ext uri="{FF2B5EF4-FFF2-40B4-BE49-F238E27FC236}">
              <a16:creationId xmlns:a16="http://schemas.microsoft.com/office/drawing/2014/main" id="{00000000-0008-0000-1500-0000A9010000}"/>
            </a:ext>
          </a:extLst>
        </xdr:cNvPr>
        <xdr:cNvSpPr>
          <a:spLocks noChangeShapeType="1"/>
        </xdr:cNvSpPr>
      </xdr:nvSpPr>
      <xdr:spPr bwMode="auto">
        <a:xfrm rot="5400000">
          <a:off x="5355921" y="1635170"/>
          <a:ext cx="0" cy="27776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33</xdr:col>
      <xdr:colOff>221564</xdr:colOff>
      <xdr:row>4</xdr:row>
      <xdr:rowOff>210500</xdr:rowOff>
    </xdr:from>
    <xdr:to>
      <xdr:col>33</xdr:col>
      <xdr:colOff>221564</xdr:colOff>
      <xdr:row>6</xdr:row>
      <xdr:rowOff>172875</xdr:rowOff>
    </xdr:to>
    <xdr:sp macro="" textlink="">
      <xdr:nvSpPr>
        <xdr:cNvPr id="426" name="Line 520">
          <a:extLst>
            <a:ext uri="{FF2B5EF4-FFF2-40B4-BE49-F238E27FC236}">
              <a16:creationId xmlns:a16="http://schemas.microsoft.com/office/drawing/2014/main" id="{00000000-0008-0000-1500-0000AA010000}"/>
            </a:ext>
          </a:extLst>
        </xdr:cNvPr>
        <xdr:cNvSpPr>
          <a:spLocks noChangeShapeType="1"/>
        </xdr:cNvSpPr>
      </xdr:nvSpPr>
      <xdr:spPr bwMode="auto">
        <a:xfrm rot="10800000" flipH="1">
          <a:off x="8077784" y="1340165"/>
          <a:ext cx="0" cy="40052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15269</xdr:colOff>
      <xdr:row>4</xdr:row>
      <xdr:rowOff>202818</xdr:rowOff>
    </xdr:from>
    <xdr:to>
      <xdr:col>35</xdr:col>
      <xdr:colOff>15269</xdr:colOff>
      <xdr:row>6</xdr:row>
      <xdr:rowOff>189308</xdr:rowOff>
    </xdr:to>
    <xdr:sp macro="" textlink="">
      <xdr:nvSpPr>
        <xdr:cNvPr id="427" name="Line 520">
          <a:extLst>
            <a:ext uri="{FF2B5EF4-FFF2-40B4-BE49-F238E27FC236}">
              <a16:creationId xmlns:a16="http://schemas.microsoft.com/office/drawing/2014/main" id="{00000000-0008-0000-1500-0000AB010000}"/>
            </a:ext>
          </a:extLst>
        </xdr:cNvPr>
        <xdr:cNvSpPr>
          <a:spLocks noChangeShapeType="1"/>
        </xdr:cNvSpPr>
      </xdr:nvSpPr>
      <xdr:spPr bwMode="auto">
        <a:xfrm rot="10800000" flipH="1">
          <a:off x="8353454" y="1340103"/>
          <a:ext cx="0" cy="42083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34</xdr:col>
      <xdr:colOff>2119</xdr:colOff>
      <xdr:row>4</xdr:row>
      <xdr:rowOff>200991</xdr:rowOff>
    </xdr:from>
    <xdr:to>
      <xdr:col>35</xdr:col>
      <xdr:colOff>22707</xdr:colOff>
      <xdr:row>4</xdr:row>
      <xdr:rowOff>200991</xdr:rowOff>
    </xdr:to>
    <xdr:sp macro="" textlink="">
      <xdr:nvSpPr>
        <xdr:cNvPr id="428" name="Line 749">
          <a:extLst>
            <a:ext uri="{FF2B5EF4-FFF2-40B4-BE49-F238E27FC236}">
              <a16:creationId xmlns:a16="http://schemas.microsoft.com/office/drawing/2014/main" id="{00000000-0008-0000-1500-0000AC010000}"/>
            </a:ext>
          </a:extLst>
        </xdr:cNvPr>
        <xdr:cNvSpPr>
          <a:spLocks noChangeShapeType="1"/>
        </xdr:cNvSpPr>
      </xdr:nvSpPr>
      <xdr:spPr bwMode="auto">
        <a:xfrm rot="5400000">
          <a:off x="8225821" y="1208919"/>
          <a:ext cx="0" cy="25490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11</xdr:col>
      <xdr:colOff>5476</xdr:colOff>
      <xdr:row>12</xdr:row>
      <xdr:rowOff>124303</xdr:rowOff>
    </xdr:from>
    <xdr:to>
      <xdr:col>13</xdr:col>
      <xdr:colOff>11192</xdr:colOff>
      <xdr:row>12</xdr:row>
      <xdr:rowOff>124303</xdr:rowOff>
    </xdr:to>
    <xdr:sp macro="" textlink="">
      <xdr:nvSpPr>
        <xdr:cNvPr id="431" name="Line 520">
          <a:extLst>
            <a:ext uri="{FF2B5EF4-FFF2-40B4-BE49-F238E27FC236}">
              <a16:creationId xmlns:a16="http://schemas.microsoft.com/office/drawing/2014/main" id="{00000000-0008-0000-1500-0000AF010000}"/>
            </a:ext>
          </a:extLst>
        </xdr:cNvPr>
        <xdr:cNvSpPr>
          <a:spLocks noChangeShapeType="1"/>
        </xdr:cNvSpPr>
      </xdr:nvSpPr>
      <xdr:spPr bwMode="auto">
        <a:xfrm rot="5400000">
          <a:off x="2867739" y="2771300"/>
          <a:ext cx="0" cy="48196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11</xdr:col>
      <xdr:colOff>15716</xdr:colOff>
      <xdr:row>13</xdr:row>
      <xdr:rowOff>114301</xdr:rowOff>
    </xdr:from>
    <xdr:to>
      <xdr:col>13</xdr:col>
      <xdr:colOff>0</xdr:colOff>
      <xdr:row>13</xdr:row>
      <xdr:rowOff>114301</xdr:rowOff>
    </xdr:to>
    <xdr:sp macro="" textlink="">
      <xdr:nvSpPr>
        <xdr:cNvPr id="432" name="Line 519">
          <a:extLst>
            <a:ext uri="{FF2B5EF4-FFF2-40B4-BE49-F238E27FC236}">
              <a16:creationId xmlns:a16="http://schemas.microsoft.com/office/drawing/2014/main" id="{00000000-0008-0000-1500-0000B0010000}"/>
            </a:ext>
          </a:extLst>
        </xdr:cNvPr>
        <xdr:cNvSpPr>
          <a:spLocks noChangeShapeType="1"/>
        </xdr:cNvSpPr>
      </xdr:nvSpPr>
      <xdr:spPr bwMode="auto">
        <a:xfrm rot="5400000">
          <a:off x="2867263" y="299108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1904</xdr:colOff>
      <xdr:row>14</xdr:row>
      <xdr:rowOff>130093</xdr:rowOff>
    </xdr:from>
    <xdr:to>
      <xdr:col>13</xdr:col>
      <xdr:colOff>5952</xdr:colOff>
      <xdr:row>14</xdr:row>
      <xdr:rowOff>130093</xdr:rowOff>
    </xdr:to>
    <xdr:sp macro="" textlink="">
      <xdr:nvSpPr>
        <xdr:cNvPr id="433" name="Line 749">
          <a:extLst>
            <a:ext uri="{FF2B5EF4-FFF2-40B4-BE49-F238E27FC236}">
              <a16:creationId xmlns:a16="http://schemas.microsoft.com/office/drawing/2014/main" id="{00000000-0008-0000-1500-0000B1010000}"/>
            </a:ext>
          </a:extLst>
        </xdr:cNvPr>
        <xdr:cNvSpPr>
          <a:spLocks noChangeShapeType="1"/>
        </xdr:cNvSpPr>
      </xdr:nvSpPr>
      <xdr:spPr bwMode="auto">
        <a:xfrm rot="5400000">
          <a:off x="2862381" y="3217026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11</xdr:col>
      <xdr:colOff>1904</xdr:colOff>
      <xdr:row>15</xdr:row>
      <xdr:rowOff>135736</xdr:rowOff>
    </xdr:from>
    <xdr:to>
      <xdr:col>13</xdr:col>
      <xdr:colOff>3662</xdr:colOff>
      <xdr:row>15</xdr:row>
      <xdr:rowOff>135736</xdr:rowOff>
    </xdr:to>
    <xdr:sp macro="" textlink="">
      <xdr:nvSpPr>
        <xdr:cNvPr id="434" name="Line 749">
          <a:extLst>
            <a:ext uri="{FF2B5EF4-FFF2-40B4-BE49-F238E27FC236}">
              <a16:creationId xmlns:a16="http://schemas.microsoft.com/office/drawing/2014/main" id="{00000000-0008-0000-1500-0000B2010000}"/>
            </a:ext>
          </a:extLst>
        </xdr:cNvPr>
        <xdr:cNvSpPr>
          <a:spLocks noChangeShapeType="1"/>
        </xdr:cNvSpPr>
      </xdr:nvSpPr>
      <xdr:spPr bwMode="auto">
        <a:xfrm rot="5400000">
          <a:off x="2860283" y="343622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17</xdr:col>
      <xdr:colOff>4048</xdr:colOff>
      <xdr:row>12</xdr:row>
      <xdr:rowOff>100685</xdr:rowOff>
    </xdr:from>
    <xdr:to>
      <xdr:col>18</xdr:col>
      <xdr:colOff>233838</xdr:colOff>
      <xdr:row>12</xdr:row>
      <xdr:rowOff>100685</xdr:rowOff>
    </xdr:to>
    <xdr:sp macro="" textlink="">
      <xdr:nvSpPr>
        <xdr:cNvPr id="435" name="Line 520">
          <a:extLst>
            <a:ext uri="{FF2B5EF4-FFF2-40B4-BE49-F238E27FC236}">
              <a16:creationId xmlns:a16="http://schemas.microsoft.com/office/drawing/2014/main" id="{00000000-0008-0000-1500-0000B3010000}"/>
            </a:ext>
          </a:extLst>
        </xdr:cNvPr>
        <xdr:cNvSpPr>
          <a:spLocks noChangeShapeType="1"/>
        </xdr:cNvSpPr>
      </xdr:nvSpPr>
      <xdr:spPr bwMode="auto">
        <a:xfrm rot="5400000">
          <a:off x="4288036" y="2748992"/>
          <a:ext cx="0" cy="467915"/>
        </a:xfrm>
        <a:prstGeom prst="line">
          <a:avLst/>
        </a:prstGeom>
        <a:ln w="28575">
          <a:headEnd/>
          <a:tailEnd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17</xdr:col>
      <xdr:colOff>15716</xdr:colOff>
      <xdr:row>13</xdr:row>
      <xdr:rowOff>114301</xdr:rowOff>
    </xdr:from>
    <xdr:to>
      <xdr:col>19</xdr:col>
      <xdr:colOff>0</xdr:colOff>
      <xdr:row>13</xdr:row>
      <xdr:rowOff>114301</xdr:rowOff>
    </xdr:to>
    <xdr:sp macro="" textlink="">
      <xdr:nvSpPr>
        <xdr:cNvPr id="436" name="Line 519">
          <a:extLst>
            <a:ext uri="{FF2B5EF4-FFF2-40B4-BE49-F238E27FC236}">
              <a16:creationId xmlns:a16="http://schemas.microsoft.com/office/drawing/2014/main" id="{00000000-0008-0000-1500-0000B4010000}"/>
            </a:ext>
          </a:extLst>
        </xdr:cNvPr>
        <xdr:cNvSpPr>
          <a:spLocks noChangeShapeType="1"/>
        </xdr:cNvSpPr>
      </xdr:nvSpPr>
      <xdr:spPr bwMode="auto">
        <a:xfrm rot="5400000">
          <a:off x="4296013" y="299108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1904</xdr:colOff>
      <xdr:row>14</xdr:row>
      <xdr:rowOff>130093</xdr:rowOff>
    </xdr:from>
    <xdr:to>
      <xdr:col>19</xdr:col>
      <xdr:colOff>5952</xdr:colOff>
      <xdr:row>14</xdr:row>
      <xdr:rowOff>130093</xdr:rowOff>
    </xdr:to>
    <xdr:sp macro="" textlink="">
      <xdr:nvSpPr>
        <xdr:cNvPr id="437" name="Line 749">
          <a:extLst>
            <a:ext uri="{FF2B5EF4-FFF2-40B4-BE49-F238E27FC236}">
              <a16:creationId xmlns:a16="http://schemas.microsoft.com/office/drawing/2014/main" id="{00000000-0008-0000-1500-0000B5010000}"/>
            </a:ext>
          </a:extLst>
        </xdr:cNvPr>
        <xdr:cNvSpPr>
          <a:spLocks noChangeShapeType="1"/>
        </xdr:cNvSpPr>
      </xdr:nvSpPr>
      <xdr:spPr bwMode="auto">
        <a:xfrm rot="5400000">
          <a:off x="4291131" y="3217026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17</xdr:col>
      <xdr:colOff>1904</xdr:colOff>
      <xdr:row>15</xdr:row>
      <xdr:rowOff>135736</xdr:rowOff>
    </xdr:from>
    <xdr:to>
      <xdr:col>19</xdr:col>
      <xdr:colOff>3662</xdr:colOff>
      <xdr:row>15</xdr:row>
      <xdr:rowOff>135736</xdr:rowOff>
    </xdr:to>
    <xdr:sp macro="" textlink="">
      <xdr:nvSpPr>
        <xdr:cNvPr id="438" name="Line 749">
          <a:extLst>
            <a:ext uri="{FF2B5EF4-FFF2-40B4-BE49-F238E27FC236}">
              <a16:creationId xmlns:a16="http://schemas.microsoft.com/office/drawing/2014/main" id="{00000000-0008-0000-1500-0000B6010000}"/>
            </a:ext>
          </a:extLst>
        </xdr:cNvPr>
        <xdr:cNvSpPr>
          <a:spLocks noChangeShapeType="1"/>
        </xdr:cNvSpPr>
      </xdr:nvSpPr>
      <xdr:spPr bwMode="auto">
        <a:xfrm rot="5400000">
          <a:off x="4289033" y="343622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23</xdr:col>
      <xdr:colOff>5476</xdr:colOff>
      <xdr:row>12</xdr:row>
      <xdr:rowOff>124303</xdr:rowOff>
    </xdr:from>
    <xdr:to>
      <xdr:col>25</xdr:col>
      <xdr:colOff>11192</xdr:colOff>
      <xdr:row>12</xdr:row>
      <xdr:rowOff>124303</xdr:rowOff>
    </xdr:to>
    <xdr:sp macro="" textlink="">
      <xdr:nvSpPr>
        <xdr:cNvPr id="439" name="Line 520">
          <a:extLst>
            <a:ext uri="{FF2B5EF4-FFF2-40B4-BE49-F238E27FC236}">
              <a16:creationId xmlns:a16="http://schemas.microsoft.com/office/drawing/2014/main" id="{00000000-0008-0000-1500-0000B7010000}"/>
            </a:ext>
          </a:extLst>
        </xdr:cNvPr>
        <xdr:cNvSpPr>
          <a:spLocks noChangeShapeType="1"/>
        </xdr:cNvSpPr>
      </xdr:nvSpPr>
      <xdr:spPr bwMode="auto">
        <a:xfrm rot="5400000">
          <a:off x="5725239" y="2771300"/>
          <a:ext cx="0" cy="48196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23</xdr:col>
      <xdr:colOff>7857</xdr:colOff>
      <xdr:row>13</xdr:row>
      <xdr:rowOff>114301</xdr:rowOff>
    </xdr:from>
    <xdr:to>
      <xdr:col>25</xdr:col>
      <xdr:colOff>5953</xdr:colOff>
      <xdr:row>13</xdr:row>
      <xdr:rowOff>114301</xdr:rowOff>
    </xdr:to>
    <xdr:sp macro="" textlink="">
      <xdr:nvSpPr>
        <xdr:cNvPr id="440" name="Line 518">
          <a:extLst>
            <a:ext uri="{FF2B5EF4-FFF2-40B4-BE49-F238E27FC236}">
              <a16:creationId xmlns:a16="http://schemas.microsoft.com/office/drawing/2014/main" id="{00000000-0008-0000-1500-0000B8010000}"/>
            </a:ext>
          </a:extLst>
        </xdr:cNvPr>
        <xdr:cNvSpPr>
          <a:spLocks noChangeShapeType="1"/>
        </xdr:cNvSpPr>
      </xdr:nvSpPr>
      <xdr:spPr bwMode="auto">
        <a:xfrm rot="5400000">
          <a:off x="5723810" y="298227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23</xdr:col>
      <xdr:colOff>15716</xdr:colOff>
      <xdr:row>14</xdr:row>
      <xdr:rowOff>114301</xdr:rowOff>
    </xdr:from>
    <xdr:to>
      <xdr:col>25</xdr:col>
      <xdr:colOff>0</xdr:colOff>
      <xdr:row>14</xdr:row>
      <xdr:rowOff>114301</xdr:rowOff>
    </xdr:to>
    <xdr:sp macro="" textlink="">
      <xdr:nvSpPr>
        <xdr:cNvPr id="441" name="Line 519">
          <a:extLst>
            <a:ext uri="{FF2B5EF4-FFF2-40B4-BE49-F238E27FC236}">
              <a16:creationId xmlns:a16="http://schemas.microsoft.com/office/drawing/2014/main" id="{00000000-0008-0000-1500-0000B9010000}"/>
            </a:ext>
          </a:extLst>
        </xdr:cNvPr>
        <xdr:cNvSpPr>
          <a:spLocks noChangeShapeType="1"/>
        </xdr:cNvSpPr>
      </xdr:nvSpPr>
      <xdr:spPr bwMode="auto">
        <a:xfrm rot="5400000">
          <a:off x="5724763" y="3210164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1904</xdr:colOff>
      <xdr:row>15</xdr:row>
      <xdr:rowOff>130093</xdr:rowOff>
    </xdr:from>
    <xdr:to>
      <xdr:col>25</xdr:col>
      <xdr:colOff>5952</xdr:colOff>
      <xdr:row>15</xdr:row>
      <xdr:rowOff>130093</xdr:rowOff>
    </xdr:to>
    <xdr:sp macro="" textlink="">
      <xdr:nvSpPr>
        <xdr:cNvPr id="442" name="Line 749">
          <a:extLst>
            <a:ext uri="{FF2B5EF4-FFF2-40B4-BE49-F238E27FC236}">
              <a16:creationId xmlns:a16="http://schemas.microsoft.com/office/drawing/2014/main" id="{00000000-0008-0000-1500-0000BA010000}"/>
            </a:ext>
          </a:extLst>
        </xdr:cNvPr>
        <xdr:cNvSpPr>
          <a:spLocks noChangeShapeType="1"/>
        </xdr:cNvSpPr>
      </xdr:nvSpPr>
      <xdr:spPr bwMode="auto">
        <a:xfrm rot="5400000">
          <a:off x="5719881" y="3436101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23</xdr:col>
      <xdr:colOff>1904</xdr:colOff>
      <xdr:row>16</xdr:row>
      <xdr:rowOff>135736</xdr:rowOff>
    </xdr:from>
    <xdr:to>
      <xdr:col>25</xdr:col>
      <xdr:colOff>3662</xdr:colOff>
      <xdr:row>16</xdr:row>
      <xdr:rowOff>135736</xdr:rowOff>
    </xdr:to>
    <xdr:sp macro="" textlink="">
      <xdr:nvSpPr>
        <xdr:cNvPr id="443" name="Line 749">
          <a:extLst>
            <a:ext uri="{FF2B5EF4-FFF2-40B4-BE49-F238E27FC236}">
              <a16:creationId xmlns:a16="http://schemas.microsoft.com/office/drawing/2014/main" id="{00000000-0008-0000-1500-0000BB010000}"/>
            </a:ext>
          </a:extLst>
        </xdr:cNvPr>
        <xdr:cNvSpPr>
          <a:spLocks noChangeShapeType="1"/>
        </xdr:cNvSpPr>
      </xdr:nvSpPr>
      <xdr:spPr bwMode="auto">
        <a:xfrm rot="5400000">
          <a:off x="5717783" y="3655297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29</xdr:col>
      <xdr:colOff>4048</xdr:colOff>
      <xdr:row>12</xdr:row>
      <xdr:rowOff>100685</xdr:rowOff>
    </xdr:from>
    <xdr:to>
      <xdr:col>30</xdr:col>
      <xdr:colOff>233838</xdr:colOff>
      <xdr:row>12</xdr:row>
      <xdr:rowOff>100685</xdr:rowOff>
    </xdr:to>
    <xdr:sp macro="" textlink="">
      <xdr:nvSpPr>
        <xdr:cNvPr id="444" name="Line 520">
          <a:extLst>
            <a:ext uri="{FF2B5EF4-FFF2-40B4-BE49-F238E27FC236}">
              <a16:creationId xmlns:a16="http://schemas.microsoft.com/office/drawing/2014/main" id="{00000000-0008-0000-1500-0000BC010000}"/>
            </a:ext>
          </a:extLst>
        </xdr:cNvPr>
        <xdr:cNvSpPr>
          <a:spLocks noChangeShapeType="1"/>
        </xdr:cNvSpPr>
      </xdr:nvSpPr>
      <xdr:spPr bwMode="auto">
        <a:xfrm rot="5400000">
          <a:off x="7145536" y="2748992"/>
          <a:ext cx="0" cy="467915"/>
        </a:xfrm>
        <a:prstGeom prst="line">
          <a:avLst/>
        </a:prstGeom>
        <a:ln w="28575">
          <a:headEnd/>
          <a:tailEnd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29</xdr:col>
      <xdr:colOff>7857</xdr:colOff>
      <xdr:row>13</xdr:row>
      <xdr:rowOff>114301</xdr:rowOff>
    </xdr:from>
    <xdr:to>
      <xdr:col>31</xdr:col>
      <xdr:colOff>5953</xdr:colOff>
      <xdr:row>13</xdr:row>
      <xdr:rowOff>114301</xdr:rowOff>
    </xdr:to>
    <xdr:sp macro="" textlink="">
      <xdr:nvSpPr>
        <xdr:cNvPr id="445" name="Line 518">
          <a:extLst>
            <a:ext uri="{FF2B5EF4-FFF2-40B4-BE49-F238E27FC236}">
              <a16:creationId xmlns:a16="http://schemas.microsoft.com/office/drawing/2014/main" id="{00000000-0008-0000-1500-0000BD010000}"/>
            </a:ext>
          </a:extLst>
        </xdr:cNvPr>
        <xdr:cNvSpPr>
          <a:spLocks noChangeShapeType="1"/>
        </xdr:cNvSpPr>
      </xdr:nvSpPr>
      <xdr:spPr bwMode="auto">
        <a:xfrm rot="5400000">
          <a:off x="7152560" y="298227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15716</xdr:colOff>
      <xdr:row>14</xdr:row>
      <xdr:rowOff>114301</xdr:rowOff>
    </xdr:from>
    <xdr:to>
      <xdr:col>31</xdr:col>
      <xdr:colOff>0</xdr:colOff>
      <xdr:row>14</xdr:row>
      <xdr:rowOff>114301</xdr:rowOff>
    </xdr:to>
    <xdr:sp macro="" textlink="">
      <xdr:nvSpPr>
        <xdr:cNvPr id="446" name="Line 519">
          <a:extLst>
            <a:ext uri="{FF2B5EF4-FFF2-40B4-BE49-F238E27FC236}">
              <a16:creationId xmlns:a16="http://schemas.microsoft.com/office/drawing/2014/main" id="{00000000-0008-0000-1500-0000BE010000}"/>
            </a:ext>
          </a:extLst>
        </xdr:cNvPr>
        <xdr:cNvSpPr>
          <a:spLocks noChangeShapeType="1"/>
        </xdr:cNvSpPr>
      </xdr:nvSpPr>
      <xdr:spPr bwMode="auto">
        <a:xfrm rot="5400000">
          <a:off x="7153513" y="3210164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29</xdr:col>
      <xdr:colOff>1904</xdr:colOff>
      <xdr:row>15</xdr:row>
      <xdr:rowOff>130093</xdr:rowOff>
    </xdr:from>
    <xdr:to>
      <xdr:col>31</xdr:col>
      <xdr:colOff>5952</xdr:colOff>
      <xdr:row>15</xdr:row>
      <xdr:rowOff>130093</xdr:rowOff>
    </xdr:to>
    <xdr:sp macro="" textlink="">
      <xdr:nvSpPr>
        <xdr:cNvPr id="447" name="Line 749">
          <a:extLst>
            <a:ext uri="{FF2B5EF4-FFF2-40B4-BE49-F238E27FC236}">
              <a16:creationId xmlns:a16="http://schemas.microsoft.com/office/drawing/2014/main" id="{00000000-0008-0000-1500-0000BF010000}"/>
            </a:ext>
          </a:extLst>
        </xdr:cNvPr>
        <xdr:cNvSpPr>
          <a:spLocks noChangeShapeType="1"/>
        </xdr:cNvSpPr>
      </xdr:nvSpPr>
      <xdr:spPr bwMode="auto">
        <a:xfrm rot="5400000">
          <a:off x="7148631" y="3436101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29</xdr:col>
      <xdr:colOff>1904</xdr:colOff>
      <xdr:row>16</xdr:row>
      <xdr:rowOff>135736</xdr:rowOff>
    </xdr:from>
    <xdr:to>
      <xdr:col>31</xdr:col>
      <xdr:colOff>3662</xdr:colOff>
      <xdr:row>16</xdr:row>
      <xdr:rowOff>135736</xdr:rowOff>
    </xdr:to>
    <xdr:sp macro="" textlink="">
      <xdr:nvSpPr>
        <xdr:cNvPr id="448" name="Line 749">
          <a:extLst>
            <a:ext uri="{FF2B5EF4-FFF2-40B4-BE49-F238E27FC236}">
              <a16:creationId xmlns:a16="http://schemas.microsoft.com/office/drawing/2014/main" id="{00000000-0008-0000-1500-0000C0010000}"/>
            </a:ext>
          </a:extLst>
        </xdr:cNvPr>
        <xdr:cNvSpPr>
          <a:spLocks noChangeShapeType="1"/>
        </xdr:cNvSpPr>
      </xdr:nvSpPr>
      <xdr:spPr bwMode="auto">
        <a:xfrm rot="5400000">
          <a:off x="7146533" y="3655297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35</xdr:col>
      <xdr:colOff>7381</xdr:colOff>
      <xdr:row>12</xdr:row>
      <xdr:rowOff>126208</xdr:rowOff>
    </xdr:from>
    <xdr:to>
      <xdr:col>37</xdr:col>
      <xdr:colOff>13097</xdr:colOff>
      <xdr:row>12</xdr:row>
      <xdr:rowOff>126208</xdr:rowOff>
    </xdr:to>
    <xdr:sp macro="" textlink="">
      <xdr:nvSpPr>
        <xdr:cNvPr id="449" name="Line 520">
          <a:extLst>
            <a:ext uri="{FF2B5EF4-FFF2-40B4-BE49-F238E27FC236}">
              <a16:creationId xmlns:a16="http://schemas.microsoft.com/office/drawing/2014/main" id="{00000000-0008-0000-1500-0000C1010000}"/>
            </a:ext>
          </a:extLst>
        </xdr:cNvPr>
        <xdr:cNvSpPr>
          <a:spLocks noChangeShapeType="1"/>
        </xdr:cNvSpPr>
      </xdr:nvSpPr>
      <xdr:spPr bwMode="auto">
        <a:xfrm rot="5400000">
          <a:off x="8582739" y="2583975"/>
          <a:ext cx="0" cy="48196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  <xdr:txBody>
        <a:bodyPr/>
        <a:lstStyle/>
        <a:p>
          <a:endParaRPr lang="ko-KR" altLang="en-US"/>
        </a:p>
      </xdr:txBody>
    </xdr:sp>
    <xdr:clientData/>
  </xdr:twoCellAnchor>
  <xdr:twoCellAnchor>
    <xdr:from>
      <xdr:col>35</xdr:col>
      <xdr:colOff>7857</xdr:colOff>
      <xdr:row>13</xdr:row>
      <xdr:rowOff>114301</xdr:rowOff>
    </xdr:from>
    <xdr:to>
      <xdr:col>37</xdr:col>
      <xdr:colOff>5953</xdr:colOff>
      <xdr:row>13</xdr:row>
      <xdr:rowOff>114301</xdr:rowOff>
    </xdr:to>
    <xdr:sp macro="" textlink="">
      <xdr:nvSpPr>
        <xdr:cNvPr id="450" name="Line 518">
          <a:extLst>
            <a:ext uri="{FF2B5EF4-FFF2-40B4-BE49-F238E27FC236}">
              <a16:creationId xmlns:a16="http://schemas.microsoft.com/office/drawing/2014/main" id="{00000000-0008-0000-1500-0000C2010000}"/>
            </a:ext>
          </a:extLst>
        </xdr:cNvPr>
        <xdr:cNvSpPr>
          <a:spLocks noChangeShapeType="1"/>
        </xdr:cNvSpPr>
      </xdr:nvSpPr>
      <xdr:spPr bwMode="auto">
        <a:xfrm rot="5400000">
          <a:off x="8581310" y="298227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15716</xdr:colOff>
      <xdr:row>14</xdr:row>
      <xdr:rowOff>114301</xdr:rowOff>
    </xdr:from>
    <xdr:to>
      <xdr:col>37</xdr:col>
      <xdr:colOff>0</xdr:colOff>
      <xdr:row>14</xdr:row>
      <xdr:rowOff>114301</xdr:rowOff>
    </xdr:to>
    <xdr:sp macro="" textlink="">
      <xdr:nvSpPr>
        <xdr:cNvPr id="451" name="Line 519">
          <a:extLst>
            <a:ext uri="{FF2B5EF4-FFF2-40B4-BE49-F238E27FC236}">
              <a16:creationId xmlns:a16="http://schemas.microsoft.com/office/drawing/2014/main" id="{00000000-0008-0000-1500-0000C3010000}"/>
            </a:ext>
          </a:extLst>
        </xdr:cNvPr>
        <xdr:cNvSpPr>
          <a:spLocks noChangeShapeType="1"/>
        </xdr:cNvSpPr>
      </xdr:nvSpPr>
      <xdr:spPr bwMode="auto">
        <a:xfrm rot="5400000">
          <a:off x="8582263" y="3210164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1904</xdr:colOff>
      <xdr:row>15</xdr:row>
      <xdr:rowOff>130093</xdr:rowOff>
    </xdr:from>
    <xdr:to>
      <xdr:col>37</xdr:col>
      <xdr:colOff>5952</xdr:colOff>
      <xdr:row>15</xdr:row>
      <xdr:rowOff>130093</xdr:rowOff>
    </xdr:to>
    <xdr:sp macro="" textlink="">
      <xdr:nvSpPr>
        <xdr:cNvPr id="452" name="Line 749">
          <a:extLst>
            <a:ext uri="{FF2B5EF4-FFF2-40B4-BE49-F238E27FC236}">
              <a16:creationId xmlns:a16="http://schemas.microsoft.com/office/drawing/2014/main" id="{00000000-0008-0000-1500-0000C4010000}"/>
            </a:ext>
          </a:extLst>
        </xdr:cNvPr>
        <xdr:cNvSpPr>
          <a:spLocks noChangeShapeType="1"/>
        </xdr:cNvSpPr>
      </xdr:nvSpPr>
      <xdr:spPr bwMode="auto">
        <a:xfrm rot="5400000">
          <a:off x="8577381" y="3436101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35</xdr:col>
      <xdr:colOff>1904</xdr:colOff>
      <xdr:row>16</xdr:row>
      <xdr:rowOff>135736</xdr:rowOff>
    </xdr:from>
    <xdr:to>
      <xdr:col>37</xdr:col>
      <xdr:colOff>3662</xdr:colOff>
      <xdr:row>16</xdr:row>
      <xdr:rowOff>135736</xdr:rowOff>
    </xdr:to>
    <xdr:sp macro="" textlink="">
      <xdr:nvSpPr>
        <xdr:cNvPr id="453" name="Line 749">
          <a:extLst>
            <a:ext uri="{FF2B5EF4-FFF2-40B4-BE49-F238E27FC236}">
              <a16:creationId xmlns:a16="http://schemas.microsoft.com/office/drawing/2014/main" id="{00000000-0008-0000-1500-0000C5010000}"/>
            </a:ext>
          </a:extLst>
        </xdr:cNvPr>
        <xdr:cNvSpPr>
          <a:spLocks noChangeShapeType="1"/>
        </xdr:cNvSpPr>
      </xdr:nvSpPr>
      <xdr:spPr bwMode="auto">
        <a:xfrm rot="5400000">
          <a:off x="8575283" y="3655297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4048</xdr:colOff>
      <xdr:row>12</xdr:row>
      <xdr:rowOff>100685</xdr:rowOff>
    </xdr:from>
    <xdr:to>
      <xdr:col>42</xdr:col>
      <xdr:colOff>233838</xdr:colOff>
      <xdr:row>12</xdr:row>
      <xdr:rowOff>100685</xdr:rowOff>
    </xdr:to>
    <xdr:sp macro="" textlink="">
      <xdr:nvSpPr>
        <xdr:cNvPr id="454" name="Line 520">
          <a:extLst>
            <a:ext uri="{FF2B5EF4-FFF2-40B4-BE49-F238E27FC236}">
              <a16:creationId xmlns:a16="http://schemas.microsoft.com/office/drawing/2014/main" id="{00000000-0008-0000-1500-0000C6010000}"/>
            </a:ext>
          </a:extLst>
        </xdr:cNvPr>
        <xdr:cNvSpPr>
          <a:spLocks noChangeShapeType="1"/>
        </xdr:cNvSpPr>
      </xdr:nvSpPr>
      <xdr:spPr bwMode="auto">
        <a:xfrm rot="5400000">
          <a:off x="10026848" y="2744230"/>
          <a:ext cx="0" cy="477440"/>
        </a:xfrm>
        <a:prstGeom prst="line">
          <a:avLst/>
        </a:prstGeom>
        <a:ln w="28575">
          <a:headEnd/>
          <a:tailEnd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sp>
    <xdr:clientData/>
  </xdr:twoCellAnchor>
  <xdr:twoCellAnchor>
    <xdr:from>
      <xdr:col>41</xdr:col>
      <xdr:colOff>7857</xdr:colOff>
      <xdr:row>13</xdr:row>
      <xdr:rowOff>114301</xdr:rowOff>
    </xdr:from>
    <xdr:to>
      <xdr:col>43</xdr:col>
      <xdr:colOff>5953</xdr:colOff>
      <xdr:row>13</xdr:row>
      <xdr:rowOff>114301</xdr:rowOff>
    </xdr:to>
    <xdr:sp macro="" textlink="">
      <xdr:nvSpPr>
        <xdr:cNvPr id="455" name="Line 518">
          <a:extLst>
            <a:ext uri="{FF2B5EF4-FFF2-40B4-BE49-F238E27FC236}">
              <a16:creationId xmlns:a16="http://schemas.microsoft.com/office/drawing/2014/main" id="{00000000-0008-0000-1500-0000C7010000}"/>
            </a:ext>
          </a:extLst>
        </xdr:cNvPr>
        <xdr:cNvSpPr>
          <a:spLocks noChangeShapeType="1"/>
        </xdr:cNvSpPr>
      </xdr:nvSpPr>
      <xdr:spPr bwMode="auto">
        <a:xfrm rot="5400000">
          <a:off x="10033873" y="2977515"/>
          <a:ext cx="0" cy="48387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15716</xdr:colOff>
      <xdr:row>15</xdr:row>
      <xdr:rowOff>114301</xdr:rowOff>
    </xdr:from>
    <xdr:to>
      <xdr:col>43</xdr:col>
      <xdr:colOff>0</xdr:colOff>
      <xdr:row>15</xdr:row>
      <xdr:rowOff>114301</xdr:rowOff>
    </xdr:to>
    <xdr:sp macro="" textlink="">
      <xdr:nvSpPr>
        <xdr:cNvPr id="456" name="Line 519">
          <a:extLst>
            <a:ext uri="{FF2B5EF4-FFF2-40B4-BE49-F238E27FC236}">
              <a16:creationId xmlns:a16="http://schemas.microsoft.com/office/drawing/2014/main" id="{00000000-0008-0000-1500-0000C8010000}"/>
            </a:ext>
          </a:extLst>
        </xdr:cNvPr>
        <xdr:cNvSpPr>
          <a:spLocks noChangeShapeType="1"/>
        </xdr:cNvSpPr>
      </xdr:nvSpPr>
      <xdr:spPr bwMode="auto">
        <a:xfrm rot="5400000">
          <a:off x="10034826" y="3424476"/>
          <a:ext cx="0" cy="466249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1904</xdr:colOff>
      <xdr:row>16</xdr:row>
      <xdr:rowOff>130093</xdr:rowOff>
    </xdr:from>
    <xdr:to>
      <xdr:col>43</xdr:col>
      <xdr:colOff>5952</xdr:colOff>
      <xdr:row>16</xdr:row>
      <xdr:rowOff>130093</xdr:rowOff>
    </xdr:to>
    <xdr:sp macro="" textlink="">
      <xdr:nvSpPr>
        <xdr:cNvPr id="457" name="Line 749">
          <a:extLst>
            <a:ext uri="{FF2B5EF4-FFF2-40B4-BE49-F238E27FC236}">
              <a16:creationId xmlns:a16="http://schemas.microsoft.com/office/drawing/2014/main" id="{00000000-0008-0000-1500-0000C9010000}"/>
            </a:ext>
          </a:extLst>
        </xdr:cNvPr>
        <xdr:cNvSpPr>
          <a:spLocks noChangeShapeType="1"/>
        </xdr:cNvSpPr>
      </xdr:nvSpPr>
      <xdr:spPr bwMode="auto">
        <a:xfrm rot="5400000">
          <a:off x="10029943" y="3650414"/>
          <a:ext cx="0" cy="491728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41</xdr:col>
      <xdr:colOff>1904</xdr:colOff>
      <xdr:row>17</xdr:row>
      <xdr:rowOff>135736</xdr:rowOff>
    </xdr:from>
    <xdr:to>
      <xdr:col>43</xdr:col>
      <xdr:colOff>3662</xdr:colOff>
      <xdr:row>17</xdr:row>
      <xdr:rowOff>135736</xdr:rowOff>
    </xdr:to>
    <xdr:sp macro="" textlink="">
      <xdr:nvSpPr>
        <xdr:cNvPr id="458" name="Line 749">
          <a:extLst>
            <a:ext uri="{FF2B5EF4-FFF2-40B4-BE49-F238E27FC236}">
              <a16:creationId xmlns:a16="http://schemas.microsoft.com/office/drawing/2014/main" id="{00000000-0008-0000-1500-0000CA010000}"/>
            </a:ext>
          </a:extLst>
        </xdr:cNvPr>
        <xdr:cNvSpPr>
          <a:spLocks noChangeShapeType="1"/>
        </xdr:cNvSpPr>
      </xdr:nvSpPr>
      <xdr:spPr bwMode="auto">
        <a:xfrm rot="5400000">
          <a:off x="10027846" y="3869609"/>
          <a:ext cx="0" cy="48753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11666</xdr:colOff>
      <xdr:row>14</xdr:row>
      <xdr:rowOff>98474</xdr:rowOff>
    </xdr:from>
    <xdr:to>
      <xdr:col>43</xdr:col>
      <xdr:colOff>0</xdr:colOff>
      <xdr:row>14</xdr:row>
      <xdr:rowOff>98474</xdr:rowOff>
    </xdr:to>
    <xdr:sp macro="" textlink="">
      <xdr:nvSpPr>
        <xdr:cNvPr id="459" name="Line 167">
          <a:extLst>
            <a:ext uri="{FF2B5EF4-FFF2-40B4-BE49-F238E27FC236}">
              <a16:creationId xmlns:a16="http://schemas.microsoft.com/office/drawing/2014/main" id="{00000000-0008-0000-1500-0000CB010000}"/>
            </a:ext>
          </a:extLst>
        </xdr:cNvPr>
        <xdr:cNvSpPr>
          <a:spLocks noChangeShapeType="1"/>
        </xdr:cNvSpPr>
      </xdr:nvSpPr>
      <xdr:spPr bwMode="auto">
        <a:xfrm rot="5400000">
          <a:off x="10032801" y="3183739"/>
          <a:ext cx="0" cy="470299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111</xdr:row>
      <xdr:rowOff>114300</xdr:rowOff>
    </xdr:from>
    <xdr:to>
      <xdr:col>36</xdr:col>
      <xdr:colOff>207168</xdr:colOff>
      <xdr:row>111</xdr:row>
      <xdr:rowOff>114300</xdr:rowOff>
    </xdr:to>
    <xdr:sp macro="" textlink="">
      <xdr:nvSpPr>
        <xdr:cNvPr id="460" name="Line 746">
          <a:extLst>
            <a:ext uri="{FF2B5EF4-FFF2-40B4-BE49-F238E27FC236}">
              <a16:creationId xmlns:a16="http://schemas.microsoft.com/office/drawing/2014/main" id="{00000000-0008-0000-1500-0000CC010000}"/>
            </a:ext>
          </a:extLst>
        </xdr:cNvPr>
        <xdr:cNvSpPr>
          <a:spLocks noChangeShapeType="1"/>
        </xdr:cNvSpPr>
      </xdr:nvSpPr>
      <xdr:spPr bwMode="auto">
        <a:xfrm rot="5400000">
          <a:off x="8645366" y="15787687"/>
          <a:ext cx="0" cy="27622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112</xdr:row>
      <xdr:rowOff>114300</xdr:rowOff>
    </xdr:from>
    <xdr:to>
      <xdr:col>36</xdr:col>
      <xdr:colOff>207168</xdr:colOff>
      <xdr:row>112</xdr:row>
      <xdr:rowOff>114300</xdr:rowOff>
    </xdr:to>
    <xdr:sp macro="" textlink="">
      <xdr:nvSpPr>
        <xdr:cNvPr id="461" name="Line 747">
          <a:extLst>
            <a:ext uri="{FF2B5EF4-FFF2-40B4-BE49-F238E27FC236}">
              <a16:creationId xmlns:a16="http://schemas.microsoft.com/office/drawing/2014/main" id="{00000000-0008-0000-1500-0000CD010000}"/>
            </a:ext>
          </a:extLst>
        </xdr:cNvPr>
        <xdr:cNvSpPr>
          <a:spLocks noChangeShapeType="1"/>
        </xdr:cNvSpPr>
      </xdr:nvSpPr>
      <xdr:spPr bwMode="auto">
        <a:xfrm rot="5400000">
          <a:off x="8645366" y="16006762"/>
          <a:ext cx="0" cy="27622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116</xdr:row>
      <xdr:rowOff>133350</xdr:rowOff>
    </xdr:from>
    <xdr:to>
      <xdr:col>36</xdr:col>
      <xdr:colOff>207168</xdr:colOff>
      <xdr:row>116</xdr:row>
      <xdr:rowOff>133350</xdr:rowOff>
    </xdr:to>
    <xdr:sp macro="" textlink="">
      <xdr:nvSpPr>
        <xdr:cNvPr id="462" name="Line 748">
          <a:extLst>
            <a:ext uri="{FF2B5EF4-FFF2-40B4-BE49-F238E27FC236}">
              <a16:creationId xmlns:a16="http://schemas.microsoft.com/office/drawing/2014/main" id="{00000000-0008-0000-1500-0000CE010000}"/>
            </a:ext>
          </a:extLst>
        </xdr:cNvPr>
        <xdr:cNvSpPr>
          <a:spLocks noChangeShapeType="1"/>
        </xdr:cNvSpPr>
      </xdr:nvSpPr>
      <xdr:spPr bwMode="auto">
        <a:xfrm rot="5400000">
          <a:off x="8645366" y="16898302"/>
          <a:ext cx="0" cy="27622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117</xdr:row>
      <xdr:rowOff>114300</xdr:rowOff>
    </xdr:from>
    <xdr:to>
      <xdr:col>36</xdr:col>
      <xdr:colOff>207168</xdr:colOff>
      <xdr:row>117</xdr:row>
      <xdr:rowOff>114300</xdr:rowOff>
    </xdr:to>
    <xdr:sp macro="" textlink="">
      <xdr:nvSpPr>
        <xdr:cNvPr id="463" name="Line 749">
          <a:extLst>
            <a:ext uri="{FF2B5EF4-FFF2-40B4-BE49-F238E27FC236}">
              <a16:creationId xmlns:a16="http://schemas.microsoft.com/office/drawing/2014/main" id="{00000000-0008-0000-1500-0000CF010000}"/>
            </a:ext>
          </a:extLst>
        </xdr:cNvPr>
        <xdr:cNvSpPr>
          <a:spLocks noChangeShapeType="1"/>
        </xdr:cNvSpPr>
      </xdr:nvSpPr>
      <xdr:spPr bwMode="auto">
        <a:xfrm rot="5400000">
          <a:off x="8645366" y="17102137"/>
          <a:ext cx="0" cy="27622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35</xdr:col>
      <xdr:colOff>169068</xdr:colOff>
      <xdr:row>118</xdr:row>
      <xdr:rowOff>123827</xdr:rowOff>
    </xdr:from>
    <xdr:to>
      <xdr:col>36</xdr:col>
      <xdr:colOff>207168</xdr:colOff>
      <xdr:row>118</xdr:row>
      <xdr:rowOff>123827</xdr:rowOff>
    </xdr:to>
    <xdr:sp macro="" textlink="">
      <xdr:nvSpPr>
        <xdr:cNvPr id="464" name="Line 640">
          <a:extLst>
            <a:ext uri="{FF2B5EF4-FFF2-40B4-BE49-F238E27FC236}">
              <a16:creationId xmlns:a16="http://schemas.microsoft.com/office/drawing/2014/main" id="{00000000-0008-0000-1500-0000D0010000}"/>
            </a:ext>
          </a:extLst>
        </xdr:cNvPr>
        <xdr:cNvSpPr>
          <a:spLocks noChangeShapeType="1"/>
        </xdr:cNvSpPr>
      </xdr:nvSpPr>
      <xdr:spPr bwMode="auto">
        <a:xfrm rot="5400000">
          <a:off x="8645366" y="17332644"/>
          <a:ext cx="0" cy="276225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35</xdr:col>
      <xdr:colOff>183356</xdr:colOff>
      <xdr:row>119</xdr:row>
      <xdr:rowOff>116672</xdr:rowOff>
    </xdr:from>
    <xdr:to>
      <xdr:col>36</xdr:col>
      <xdr:colOff>207168</xdr:colOff>
      <xdr:row>119</xdr:row>
      <xdr:rowOff>116672</xdr:rowOff>
    </xdr:to>
    <xdr:sp macro="" textlink="">
      <xdr:nvSpPr>
        <xdr:cNvPr id="465" name="Line 640">
          <a:extLst>
            <a:ext uri="{FF2B5EF4-FFF2-40B4-BE49-F238E27FC236}">
              <a16:creationId xmlns:a16="http://schemas.microsoft.com/office/drawing/2014/main" id="{00000000-0008-0000-1500-0000D1010000}"/>
            </a:ext>
          </a:extLst>
        </xdr:cNvPr>
        <xdr:cNvSpPr>
          <a:spLocks noChangeShapeType="1"/>
        </xdr:cNvSpPr>
      </xdr:nvSpPr>
      <xdr:spPr bwMode="auto">
        <a:xfrm rot="5400000">
          <a:off x="8649652" y="17546946"/>
          <a:ext cx="0" cy="26765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33</xdr:col>
      <xdr:colOff>215634</xdr:colOff>
      <xdr:row>107</xdr:row>
      <xdr:rowOff>46300</xdr:rowOff>
    </xdr:from>
    <xdr:to>
      <xdr:col>33</xdr:col>
      <xdr:colOff>216822</xdr:colOff>
      <xdr:row>108</xdr:row>
      <xdr:rowOff>198700</xdr:rowOff>
    </xdr:to>
    <xdr:sp macro="" textlink="">
      <xdr:nvSpPr>
        <xdr:cNvPr id="466" name="Line 640">
          <a:extLst>
            <a:ext uri="{FF2B5EF4-FFF2-40B4-BE49-F238E27FC236}">
              <a16:creationId xmlns:a16="http://schemas.microsoft.com/office/drawing/2014/main" id="{00000000-0008-0000-1500-0000D2010000}"/>
            </a:ext>
          </a:extLst>
        </xdr:cNvPr>
        <xdr:cNvSpPr>
          <a:spLocks noChangeShapeType="1"/>
        </xdr:cNvSpPr>
      </xdr:nvSpPr>
      <xdr:spPr bwMode="auto">
        <a:xfrm rot="5400000">
          <a:off x="7884805" y="15168549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32</xdr:col>
      <xdr:colOff>20637</xdr:colOff>
      <xdr:row>104</xdr:row>
      <xdr:rowOff>201614</xdr:rowOff>
    </xdr:from>
    <xdr:to>
      <xdr:col>33</xdr:col>
      <xdr:colOff>201612</xdr:colOff>
      <xdr:row>104</xdr:row>
      <xdr:rowOff>201614</xdr:rowOff>
    </xdr:to>
    <xdr:sp macro="" textlink="">
      <xdr:nvSpPr>
        <xdr:cNvPr id="467" name="Line 695">
          <a:extLst>
            <a:ext uri="{FF2B5EF4-FFF2-40B4-BE49-F238E27FC236}">
              <a16:creationId xmlns:a16="http://schemas.microsoft.com/office/drawing/2014/main" id="{00000000-0008-0000-1500-0000D3010000}"/>
            </a:ext>
          </a:extLst>
        </xdr:cNvPr>
        <xdr:cNvSpPr>
          <a:spLocks noChangeShapeType="1"/>
        </xdr:cNvSpPr>
      </xdr:nvSpPr>
      <xdr:spPr bwMode="auto">
        <a:xfrm rot="5400000">
          <a:off x="7849235" y="14269086"/>
          <a:ext cx="0" cy="42481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53973</xdr:colOff>
      <xdr:row>104</xdr:row>
      <xdr:rowOff>193670</xdr:rowOff>
    </xdr:from>
    <xdr:to>
      <xdr:col>36</xdr:col>
      <xdr:colOff>206373</xdr:colOff>
      <xdr:row>104</xdr:row>
      <xdr:rowOff>193670</xdr:rowOff>
    </xdr:to>
    <xdr:sp macro="" textlink="">
      <xdr:nvSpPr>
        <xdr:cNvPr id="468" name="Line 696">
          <a:extLst>
            <a:ext uri="{FF2B5EF4-FFF2-40B4-BE49-F238E27FC236}">
              <a16:creationId xmlns:a16="http://schemas.microsoft.com/office/drawing/2014/main" id="{00000000-0008-0000-1500-0000D4010000}"/>
            </a:ext>
          </a:extLst>
        </xdr:cNvPr>
        <xdr:cNvSpPr>
          <a:spLocks noChangeShapeType="1"/>
        </xdr:cNvSpPr>
      </xdr:nvSpPr>
      <xdr:spPr bwMode="auto">
        <a:xfrm rot="5400000">
          <a:off x="8587421" y="14276382"/>
          <a:ext cx="0" cy="39052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32</xdr:col>
      <xdr:colOff>28575</xdr:colOff>
      <xdr:row>109</xdr:row>
      <xdr:rowOff>48684</xdr:rowOff>
    </xdr:from>
    <xdr:to>
      <xdr:col>33</xdr:col>
      <xdr:colOff>209550</xdr:colOff>
      <xdr:row>109</xdr:row>
      <xdr:rowOff>48684</xdr:rowOff>
    </xdr:to>
    <xdr:sp macro="" textlink="">
      <xdr:nvSpPr>
        <xdr:cNvPr id="469" name="Line 697">
          <a:extLst>
            <a:ext uri="{FF2B5EF4-FFF2-40B4-BE49-F238E27FC236}">
              <a16:creationId xmlns:a16="http://schemas.microsoft.com/office/drawing/2014/main" id="{00000000-0008-0000-1500-0000D5010000}"/>
            </a:ext>
          </a:extLst>
        </xdr:cNvPr>
        <xdr:cNvSpPr>
          <a:spLocks noChangeShapeType="1"/>
        </xdr:cNvSpPr>
      </xdr:nvSpPr>
      <xdr:spPr bwMode="auto">
        <a:xfrm rot="5400000">
          <a:off x="7855268" y="15215341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69850</xdr:colOff>
      <xdr:row>109</xdr:row>
      <xdr:rowOff>38101</xdr:rowOff>
    </xdr:from>
    <xdr:to>
      <xdr:col>37</xdr:col>
      <xdr:colOff>7408</xdr:colOff>
      <xdr:row>109</xdr:row>
      <xdr:rowOff>38101</xdr:rowOff>
    </xdr:to>
    <xdr:sp macro="" textlink="">
      <xdr:nvSpPr>
        <xdr:cNvPr id="470" name="Line 698">
          <a:extLst>
            <a:ext uri="{FF2B5EF4-FFF2-40B4-BE49-F238E27FC236}">
              <a16:creationId xmlns:a16="http://schemas.microsoft.com/office/drawing/2014/main" id="{00000000-0008-0000-1500-0000D6010000}"/>
            </a:ext>
          </a:extLst>
        </xdr:cNvPr>
        <xdr:cNvSpPr>
          <a:spLocks noChangeShapeType="1"/>
        </xdr:cNvSpPr>
      </xdr:nvSpPr>
      <xdr:spPr bwMode="auto">
        <a:xfrm rot="5400000">
          <a:off x="8611129" y="15202642"/>
          <a:ext cx="0" cy="41761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31</xdr:col>
      <xdr:colOff>205992</xdr:colOff>
      <xdr:row>107</xdr:row>
      <xdr:rowOff>55880</xdr:rowOff>
    </xdr:from>
    <xdr:to>
      <xdr:col>31</xdr:col>
      <xdr:colOff>205992</xdr:colOff>
      <xdr:row>109</xdr:row>
      <xdr:rowOff>6139</xdr:rowOff>
    </xdr:to>
    <xdr:sp macro="" textlink="">
      <xdr:nvSpPr>
        <xdr:cNvPr id="471" name="Line 721">
          <a:extLst>
            <a:ext uri="{FF2B5EF4-FFF2-40B4-BE49-F238E27FC236}">
              <a16:creationId xmlns:a16="http://schemas.microsoft.com/office/drawing/2014/main" id="{00000000-0008-0000-1500-0000D7010000}"/>
            </a:ext>
          </a:extLst>
        </xdr:cNvPr>
        <xdr:cNvSpPr>
          <a:spLocks noChangeShapeType="1"/>
        </xdr:cNvSpPr>
      </xdr:nvSpPr>
      <xdr:spPr bwMode="auto">
        <a:xfrm>
          <a:off x="7591677" y="14994890"/>
          <a:ext cx="0" cy="38650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37</xdr:col>
      <xdr:colOff>31749</xdr:colOff>
      <xdr:row>107</xdr:row>
      <xdr:rowOff>65024</xdr:rowOff>
    </xdr:from>
    <xdr:to>
      <xdr:col>37</xdr:col>
      <xdr:colOff>31749</xdr:colOff>
      <xdr:row>109</xdr:row>
      <xdr:rowOff>15283</xdr:rowOff>
    </xdr:to>
    <xdr:sp macro="" textlink="">
      <xdr:nvSpPr>
        <xdr:cNvPr id="472" name="Line 723">
          <a:extLst>
            <a:ext uri="{FF2B5EF4-FFF2-40B4-BE49-F238E27FC236}">
              <a16:creationId xmlns:a16="http://schemas.microsoft.com/office/drawing/2014/main" id="{00000000-0008-0000-1500-0000D8010000}"/>
            </a:ext>
          </a:extLst>
        </xdr:cNvPr>
        <xdr:cNvSpPr>
          <a:spLocks noChangeShapeType="1"/>
        </xdr:cNvSpPr>
      </xdr:nvSpPr>
      <xdr:spPr bwMode="auto">
        <a:xfrm>
          <a:off x="8840469" y="14998319"/>
          <a:ext cx="0" cy="39412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33</xdr:col>
      <xdr:colOff>225161</xdr:colOff>
      <xdr:row>109</xdr:row>
      <xdr:rowOff>42878</xdr:rowOff>
    </xdr:from>
    <xdr:to>
      <xdr:col>35</xdr:col>
      <xdr:colOff>25136</xdr:colOff>
      <xdr:row>109</xdr:row>
      <xdr:rowOff>42878</xdr:rowOff>
    </xdr:to>
    <xdr:sp macro="" textlink="">
      <xdr:nvSpPr>
        <xdr:cNvPr id="473" name="Line 749">
          <a:extLst>
            <a:ext uri="{FF2B5EF4-FFF2-40B4-BE49-F238E27FC236}">
              <a16:creationId xmlns:a16="http://schemas.microsoft.com/office/drawing/2014/main" id="{00000000-0008-0000-1500-0000D9010000}"/>
            </a:ext>
          </a:extLst>
        </xdr:cNvPr>
        <xdr:cNvSpPr>
          <a:spLocks noChangeShapeType="1"/>
        </xdr:cNvSpPr>
      </xdr:nvSpPr>
      <xdr:spPr bwMode="auto">
        <a:xfrm rot="5400000">
          <a:off x="8219494" y="15281925"/>
          <a:ext cx="0" cy="27241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33</xdr:col>
      <xdr:colOff>223838</xdr:colOff>
      <xdr:row>104</xdr:row>
      <xdr:rowOff>200026</xdr:rowOff>
    </xdr:from>
    <xdr:to>
      <xdr:col>35</xdr:col>
      <xdr:colOff>9525</xdr:colOff>
      <xdr:row>104</xdr:row>
      <xdr:rowOff>200026</xdr:rowOff>
    </xdr:to>
    <xdr:sp macro="" textlink="">
      <xdr:nvSpPr>
        <xdr:cNvPr id="474" name="Line 640">
          <a:extLst>
            <a:ext uri="{FF2B5EF4-FFF2-40B4-BE49-F238E27FC236}">
              <a16:creationId xmlns:a16="http://schemas.microsoft.com/office/drawing/2014/main" id="{00000000-0008-0000-1500-0000DA010000}"/>
            </a:ext>
          </a:extLst>
        </xdr:cNvPr>
        <xdr:cNvSpPr>
          <a:spLocks noChangeShapeType="1"/>
        </xdr:cNvSpPr>
      </xdr:nvSpPr>
      <xdr:spPr bwMode="auto">
        <a:xfrm rot="5400000">
          <a:off x="8212932" y="14347032"/>
          <a:ext cx="0" cy="26574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31</xdr:col>
      <xdr:colOff>207613</xdr:colOff>
      <xdr:row>105</xdr:row>
      <xdr:rowOff>30719</xdr:rowOff>
    </xdr:from>
    <xdr:to>
      <xdr:col>31</xdr:col>
      <xdr:colOff>207613</xdr:colOff>
      <xdr:row>107</xdr:row>
      <xdr:rowOff>9553</xdr:rowOff>
    </xdr:to>
    <xdr:sp macro="" textlink="">
      <xdr:nvSpPr>
        <xdr:cNvPr id="475" name="Line 510">
          <a:extLst>
            <a:ext uri="{FF2B5EF4-FFF2-40B4-BE49-F238E27FC236}">
              <a16:creationId xmlns:a16="http://schemas.microsoft.com/office/drawing/2014/main" id="{00000000-0008-0000-1500-0000DB010000}"/>
            </a:ext>
          </a:extLst>
        </xdr:cNvPr>
        <xdr:cNvSpPr>
          <a:spLocks noChangeShapeType="1"/>
        </xdr:cNvSpPr>
      </xdr:nvSpPr>
      <xdr:spPr bwMode="auto">
        <a:xfrm>
          <a:off x="7593298" y="14525864"/>
          <a:ext cx="0" cy="42079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37</xdr:col>
      <xdr:colOff>26767</xdr:colOff>
      <xdr:row>105</xdr:row>
      <xdr:rowOff>19829</xdr:rowOff>
    </xdr:from>
    <xdr:to>
      <xdr:col>37</xdr:col>
      <xdr:colOff>26767</xdr:colOff>
      <xdr:row>107</xdr:row>
      <xdr:rowOff>1309</xdr:rowOff>
    </xdr:to>
    <xdr:sp macro="" textlink="">
      <xdr:nvSpPr>
        <xdr:cNvPr id="476" name="Line 510">
          <a:extLst>
            <a:ext uri="{FF2B5EF4-FFF2-40B4-BE49-F238E27FC236}">
              <a16:creationId xmlns:a16="http://schemas.microsoft.com/office/drawing/2014/main" id="{00000000-0008-0000-1500-0000DC010000}"/>
            </a:ext>
          </a:extLst>
        </xdr:cNvPr>
        <xdr:cNvSpPr>
          <a:spLocks noChangeShapeType="1"/>
        </xdr:cNvSpPr>
      </xdr:nvSpPr>
      <xdr:spPr bwMode="auto">
        <a:xfrm>
          <a:off x="8835487" y="14513069"/>
          <a:ext cx="0" cy="42344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31</xdr:col>
      <xdr:colOff>209046</xdr:colOff>
      <xdr:row>103</xdr:row>
      <xdr:rowOff>189727</xdr:rowOff>
    </xdr:from>
    <xdr:to>
      <xdr:col>31</xdr:col>
      <xdr:colOff>209046</xdr:colOff>
      <xdr:row>104</xdr:row>
      <xdr:rowOff>200434</xdr:rowOff>
    </xdr:to>
    <xdr:sp macro="" textlink="">
      <xdr:nvSpPr>
        <xdr:cNvPr id="477" name="Line 729">
          <a:extLst>
            <a:ext uri="{FF2B5EF4-FFF2-40B4-BE49-F238E27FC236}">
              <a16:creationId xmlns:a16="http://schemas.microsoft.com/office/drawing/2014/main" id="{00000000-0008-0000-1500-0000DD010000}"/>
            </a:ext>
          </a:extLst>
        </xdr:cNvPr>
        <xdr:cNvSpPr>
          <a:spLocks noChangeShapeType="1"/>
        </xdr:cNvSpPr>
      </xdr:nvSpPr>
      <xdr:spPr bwMode="auto">
        <a:xfrm rot="10800000" flipH="1">
          <a:off x="7594731" y="14248627"/>
          <a:ext cx="0" cy="231687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37</xdr:col>
      <xdr:colOff>17531</xdr:colOff>
      <xdr:row>104</xdr:row>
      <xdr:rowOff>4624</xdr:rowOff>
    </xdr:from>
    <xdr:to>
      <xdr:col>37</xdr:col>
      <xdr:colOff>17531</xdr:colOff>
      <xdr:row>104</xdr:row>
      <xdr:rowOff>200098</xdr:rowOff>
    </xdr:to>
    <xdr:sp macro="" textlink="">
      <xdr:nvSpPr>
        <xdr:cNvPr id="478" name="Line 729">
          <a:extLst>
            <a:ext uri="{FF2B5EF4-FFF2-40B4-BE49-F238E27FC236}">
              <a16:creationId xmlns:a16="http://schemas.microsoft.com/office/drawing/2014/main" id="{00000000-0008-0000-1500-0000DE010000}"/>
            </a:ext>
          </a:extLst>
        </xdr:cNvPr>
        <xdr:cNvSpPr>
          <a:spLocks noChangeShapeType="1"/>
        </xdr:cNvSpPr>
      </xdr:nvSpPr>
      <xdr:spPr bwMode="auto">
        <a:xfrm rot="10800000">
          <a:off x="8831966" y="14284504"/>
          <a:ext cx="0" cy="195474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35</xdr:col>
      <xdr:colOff>8200</xdr:colOff>
      <xdr:row>107</xdr:row>
      <xdr:rowOff>50533</xdr:rowOff>
    </xdr:from>
    <xdr:to>
      <xdr:col>35</xdr:col>
      <xdr:colOff>9388</xdr:colOff>
      <xdr:row>108</xdr:row>
      <xdr:rowOff>202933</xdr:rowOff>
    </xdr:to>
    <xdr:sp macro="" textlink="">
      <xdr:nvSpPr>
        <xdr:cNvPr id="479" name="Line 640">
          <a:extLst>
            <a:ext uri="{FF2B5EF4-FFF2-40B4-BE49-F238E27FC236}">
              <a16:creationId xmlns:a16="http://schemas.microsoft.com/office/drawing/2014/main" id="{00000000-0008-0000-1500-0000DF010000}"/>
            </a:ext>
          </a:extLst>
        </xdr:cNvPr>
        <xdr:cNvSpPr>
          <a:spLocks noChangeShapeType="1"/>
        </xdr:cNvSpPr>
      </xdr:nvSpPr>
      <xdr:spPr bwMode="auto">
        <a:xfrm rot="5400000">
          <a:off x="8159336" y="15174687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34</xdr:col>
      <xdr:colOff>6906</xdr:colOff>
      <xdr:row>105</xdr:row>
      <xdr:rowOff>18629</xdr:rowOff>
    </xdr:from>
    <xdr:to>
      <xdr:col>34</xdr:col>
      <xdr:colOff>6906</xdr:colOff>
      <xdr:row>107</xdr:row>
      <xdr:rowOff>9843</xdr:rowOff>
    </xdr:to>
    <xdr:sp macro="" textlink="">
      <xdr:nvSpPr>
        <xdr:cNvPr id="480" name="Line 652">
          <a:extLst>
            <a:ext uri="{FF2B5EF4-FFF2-40B4-BE49-F238E27FC236}">
              <a16:creationId xmlns:a16="http://schemas.microsoft.com/office/drawing/2014/main" id="{00000000-0008-0000-1500-0000E0010000}"/>
            </a:ext>
          </a:extLst>
        </xdr:cNvPr>
        <xdr:cNvSpPr>
          <a:spLocks noChangeShapeType="1"/>
        </xdr:cNvSpPr>
      </xdr:nvSpPr>
      <xdr:spPr bwMode="auto">
        <a:xfrm rot="10800000">
          <a:off x="8105061" y="14519489"/>
          <a:ext cx="0" cy="427459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30689</xdr:colOff>
      <xdr:row>105</xdr:row>
      <xdr:rowOff>24347</xdr:rowOff>
    </xdr:from>
    <xdr:to>
      <xdr:col>35</xdr:col>
      <xdr:colOff>30689</xdr:colOff>
      <xdr:row>107</xdr:row>
      <xdr:rowOff>14821</xdr:rowOff>
    </xdr:to>
    <xdr:sp macro="" textlink="">
      <xdr:nvSpPr>
        <xdr:cNvPr id="481" name="Line 652">
          <a:extLst>
            <a:ext uri="{FF2B5EF4-FFF2-40B4-BE49-F238E27FC236}">
              <a16:creationId xmlns:a16="http://schemas.microsoft.com/office/drawing/2014/main" id="{00000000-0008-0000-1500-0000E1010000}"/>
            </a:ext>
          </a:extLst>
        </xdr:cNvPr>
        <xdr:cNvSpPr>
          <a:spLocks noChangeShapeType="1"/>
        </xdr:cNvSpPr>
      </xdr:nvSpPr>
      <xdr:spPr bwMode="auto">
        <a:xfrm rot="10800000">
          <a:off x="8363159" y="14517587"/>
          <a:ext cx="0" cy="43624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32</xdr:col>
      <xdr:colOff>21166</xdr:colOff>
      <xdr:row>106</xdr:row>
      <xdr:rowOff>201084</xdr:rowOff>
    </xdr:from>
    <xdr:to>
      <xdr:col>33</xdr:col>
      <xdr:colOff>202141</xdr:colOff>
      <xdr:row>106</xdr:row>
      <xdr:rowOff>201084</xdr:rowOff>
    </xdr:to>
    <xdr:sp macro="" textlink="">
      <xdr:nvSpPr>
        <xdr:cNvPr id="482" name="Line 695">
          <a:extLst>
            <a:ext uri="{FF2B5EF4-FFF2-40B4-BE49-F238E27FC236}">
              <a16:creationId xmlns:a16="http://schemas.microsoft.com/office/drawing/2014/main" id="{00000000-0008-0000-1500-0000E2010000}"/>
            </a:ext>
          </a:extLst>
        </xdr:cNvPr>
        <xdr:cNvSpPr>
          <a:spLocks noChangeShapeType="1"/>
        </xdr:cNvSpPr>
      </xdr:nvSpPr>
      <xdr:spPr bwMode="auto">
        <a:xfrm rot="5400000">
          <a:off x="7850716" y="14705754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30691</xdr:colOff>
      <xdr:row>106</xdr:row>
      <xdr:rowOff>195790</xdr:rowOff>
    </xdr:from>
    <xdr:to>
      <xdr:col>36</xdr:col>
      <xdr:colOff>211666</xdr:colOff>
      <xdr:row>106</xdr:row>
      <xdr:rowOff>195790</xdr:rowOff>
    </xdr:to>
    <xdr:sp macro="" textlink="">
      <xdr:nvSpPr>
        <xdr:cNvPr id="483" name="Line 696">
          <a:extLst>
            <a:ext uri="{FF2B5EF4-FFF2-40B4-BE49-F238E27FC236}">
              <a16:creationId xmlns:a16="http://schemas.microsoft.com/office/drawing/2014/main" id="{00000000-0008-0000-1500-0000E3010000}"/>
            </a:ext>
          </a:extLst>
        </xdr:cNvPr>
        <xdr:cNvSpPr>
          <a:spLocks noChangeShapeType="1"/>
        </xdr:cNvSpPr>
      </xdr:nvSpPr>
      <xdr:spPr bwMode="auto">
        <a:xfrm rot="5400000">
          <a:off x="8571759" y="14705222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34</xdr:col>
      <xdr:colOff>9433</xdr:colOff>
      <xdr:row>107</xdr:row>
      <xdr:rowOff>63503</xdr:rowOff>
    </xdr:from>
    <xdr:to>
      <xdr:col>34</xdr:col>
      <xdr:colOff>9433</xdr:colOff>
      <xdr:row>108</xdr:row>
      <xdr:rowOff>194164</xdr:rowOff>
    </xdr:to>
    <xdr:sp macro="" textlink="">
      <xdr:nvSpPr>
        <xdr:cNvPr id="484" name="Line 746">
          <a:extLst>
            <a:ext uri="{FF2B5EF4-FFF2-40B4-BE49-F238E27FC236}">
              <a16:creationId xmlns:a16="http://schemas.microsoft.com/office/drawing/2014/main" id="{00000000-0008-0000-1500-0000E4010000}"/>
            </a:ext>
          </a:extLst>
        </xdr:cNvPr>
        <xdr:cNvSpPr>
          <a:spLocks noChangeShapeType="1"/>
        </xdr:cNvSpPr>
      </xdr:nvSpPr>
      <xdr:spPr bwMode="auto">
        <a:xfrm rot="5400000" flipV="1">
          <a:off x="7930815" y="15171666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35</xdr:col>
      <xdr:colOff>43104</xdr:colOff>
      <xdr:row>107</xdr:row>
      <xdr:rowOff>71010</xdr:rowOff>
    </xdr:from>
    <xdr:to>
      <xdr:col>35</xdr:col>
      <xdr:colOff>43104</xdr:colOff>
      <xdr:row>109</xdr:row>
      <xdr:rowOff>4</xdr:rowOff>
    </xdr:to>
    <xdr:sp macro="" textlink="">
      <xdr:nvSpPr>
        <xdr:cNvPr id="485" name="Line 746">
          <a:extLst>
            <a:ext uri="{FF2B5EF4-FFF2-40B4-BE49-F238E27FC236}">
              <a16:creationId xmlns:a16="http://schemas.microsoft.com/office/drawing/2014/main" id="{00000000-0008-0000-1500-0000E5010000}"/>
            </a:ext>
          </a:extLst>
        </xdr:cNvPr>
        <xdr:cNvSpPr>
          <a:spLocks noChangeShapeType="1"/>
        </xdr:cNvSpPr>
      </xdr:nvSpPr>
      <xdr:spPr bwMode="auto">
        <a:xfrm rot="5400000" flipV="1">
          <a:off x="8194859" y="15188830"/>
          <a:ext cx="369049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32</xdr:col>
      <xdr:colOff>23948</xdr:colOff>
      <xdr:row>107</xdr:row>
      <xdr:rowOff>60631</xdr:rowOff>
    </xdr:from>
    <xdr:to>
      <xdr:col>32</xdr:col>
      <xdr:colOff>23948</xdr:colOff>
      <xdr:row>108</xdr:row>
      <xdr:rowOff>191292</xdr:rowOff>
    </xdr:to>
    <xdr:sp macro="" textlink="">
      <xdr:nvSpPr>
        <xdr:cNvPr id="486" name="Line 746">
          <a:extLst>
            <a:ext uri="{FF2B5EF4-FFF2-40B4-BE49-F238E27FC236}">
              <a16:creationId xmlns:a16="http://schemas.microsoft.com/office/drawing/2014/main" id="{00000000-0008-0000-1500-0000E6010000}"/>
            </a:ext>
          </a:extLst>
        </xdr:cNvPr>
        <xdr:cNvSpPr>
          <a:spLocks noChangeShapeType="1"/>
        </xdr:cNvSpPr>
      </xdr:nvSpPr>
      <xdr:spPr bwMode="auto">
        <a:xfrm rot="5400000" flipV="1">
          <a:off x="7463365" y="15168794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36</xdr:col>
      <xdr:colOff>231807</xdr:colOff>
      <xdr:row>107</xdr:row>
      <xdr:rowOff>65620</xdr:rowOff>
    </xdr:from>
    <xdr:to>
      <xdr:col>36</xdr:col>
      <xdr:colOff>231807</xdr:colOff>
      <xdr:row>108</xdr:row>
      <xdr:rowOff>196281</xdr:rowOff>
    </xdr:to>
    <xdr:sp macro="" textlink="">
      <xdr:nvSpPr>
        <xdr:cNvPr id="487" name="Line 746">
          <a:extLst>
            <a:ext uri="{FF2B5EF4-FFF2-40B4-BE49-F238E27FC236}">
              <a16:creationId xmlns:a16="http://schemas.microsoft.com/office/drawing/2014/main" id="{00000000-0008-0000-1500-0000E7010000}"/>
            </a:ext>
          </a:extLst>
        </xdr:cNvPr>
        <xdr:cNvSpPr>
          <a:spLocks noChangeShapeType="1"/>
        </xdr:cNvSpPr>
      </xdr:nvSpPr>
      <xdr:spPr bwMode="auto">
        <a:xfrm rot="5400000" flipV="1">
          <a:off x="8627534" y="15175688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32</xdr:col>
      <xdr:colOff>35574</xdr:colOff>
      <xdr:row>107</xdr:row>
      <xdr:rowOff>24823</xdr:rowOff>
    </xdr:from>
    <xdr:to>
      <xdr:col>33</xdr:col>
      <xdr:colOff>172459</xdr:colOff>
      <xdr:row>107</xdr:row>
      <xdr:rowOff>24823</xdr:rowOff>
    </xdr:to>
    <xdr:sp macro="" textlink="">
      <xdr:nvSpPr>
        <xdr:cNvPr id="488" name="Line 749">
          <a:extLst>
            <a:ext uri="{FF2B5EF4-FFF2-40B4-BE49-F238E27FC236}">
              <a16:creationId xmlns:a16="http://schemas.microsoft.com/office/drawing/2014/main" id="{00000000-0008-0000-1500-0000E8010000}"/>
            </a:ext>
          </a:extLst>
        </xdr:cNvPr>
        <xdr:cNvSpPr>
          <a:spLocks noChangeShapeType="1"/>
        </xdr:cNvSpPr>
      </xdr:nvSpPr>
      <xdr:spPr bwMode="auto">
        <a:xfrm rot="5400000">
          <a:off x="7841174" y="14770613"/>
          <a:ext cx="0" cy="37120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35</xdr:col>
      <xdr:colOff>58081</xdr:colOff>
      <xdr:row>107</xdr:row>
      <xdr:rowOff>24245</xdr:rowOff>
    </xdr:from>
    <xdr:to>
      <xdr:col>36</xdr:col>
      <xdr:colOff>194966</xdr:colOff>
      <xdr:row>107</xdr:row>
      <xdr:rowOff>24245</xdr:rowOff>
    </xdr:to>
    <xdr:sp macro="" textlink="">
      <xdr:nvSpPr>
        <xdr:cNvPr id="489" name="Line 749">
          <a:extLst>
            <a:ext uri="{FF2B5EF4-FFF2-40B4-BE49-F238E27FC236}">
              <a16:creationId xmlns:a16="http://schemas.microsoft.com/office/drawing/2014/main" id="{00000000-0008-0000-1500-0000E9010000}"/>
            </a:ext>
          </a:extLst>
        </xdr:cNvPr>
        <xdr:cNvSpPr>
          <a:spLocks noChangeShapeType="1"/>
        </xdr:cNvSpPr>
      </xdr:nvSpPr>
      <xdr:spPr bwMode="auto">
        <a:xfrm rot="5400000">
          <a:off x="8579009" y="14765272"/>
          <a:ext cx="0" cy="38072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33</xdr:col>
      <xdr:colOff>242625</xdr:colOff>
      <xdr:row>106</xdr:row>
      <xdr:rowOff>205583</xdr:rowOff>
    </xdr:from>
    <xdr:to>
      <xdr:col>35</xdr:col>
      <xdr:colOff>28312</xdr:colOff>
      <xdr:row>106</xdr:row>
      <xdr:rowOff>205583</xdr:rowOff>
    </xdr:to>
    <xdr:sp macro="" textlink="">
      <xdr:nvSpPr>
        <xdr:cNvPr id="490" name="Line 640">
          <a:extLst>
            <a:ext uri="{FF2B5EF4-FFF2-40B4-BE49-F238E27FC236}">
              <a16:creationId xmlns:a16="http://schemas.microsoft.com/office/drawing/2014/main" id="{00000000-0008-0000-1500-0000EA010000}"/>
            </a:ext>
          </a:extLst>
        </xdr:cNvPr>
        <xdr:cNvSpPr>
          <a:spLocks noChangeShapeType="1"/>
        </xdr:cNvSpPr>
      </xdr:nvSpPr>
      <xdr:spPr bwMode="auto">
        <a:xfrm rot="5400000">
          <a:off x="8227909" y="14792644"/>
          <a:ext cx="0" cy="26574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35</xdr:col>
      <xdr:colOff>166687</xdr:colOff>
      <xdr:row>120</xdr:row>
      <xdr:rowOff>127970</xdr:rowOff>
    </xdr:from>
    <xdr:to>
      <xdr:col>36</xdr:col>
      <xdr:colOff>197803</xdr:colOff>
      <xdr:row>120</xdr:row>
      <xdr:rowOff>127970</xdr:rowOff>
    </xdr:to>
    <xdr:sp macro="" textlink="">
      <xdr:nvSpPr>
        <xdr:cNvPr id="491" name="Line 746">
          <a:extLst>
            <a:ext uri="{FF2B5EF4-FFF2-40B4-BE49-F238E27FC236}">
              <a16:creationId xmlns:a16="http://schemas.microsoft.com/office/drawing/2014/main" id="{00000000-0008-0000-1500-0000EB010000}"/>
            </a:ext>
          </a:extLst>
        </xdr:cNvPr>
        <xdr:cNvSpPr>
          <a:spLocks noChangeShapeType="1"/>
        </xdr:cNvSpPr>
      </xdr:nvSpPr>
      <xdr:spPr bwMode="auto">
        <a:xfrm>
          <a:off x="8504872" y="17914955"/>
          <a:ext cx="26733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39</xdr:col>
      <xdr:colOff>223572</xdr:colOff>
      <xdr:row>107</xdr:row>
      <xdr:rowOff>46300</xdr:rowOff>
    </xdr:from>
    <xdr:to>
      <xdr:col>39</xdr:col>
      <xdr:colOff>224760</xdr:colOff>
      <xdr:row>108</xdr:row>
      <xdr:rowOff>198700</xdr:rowOff>
    </xdr:to>
    <xdr:sp macro="" textlink="">
      <xdr:nvSpPr>
        <xdr:cNvPr id="492" name="Line 640">
          <a:extLst>
            <a:ext uri="{FF2B5EF4-FFF2-40B4-BE49-F238E27FC236}">
              <a16:creationId xmlns:a16="http://schemas.microsoft.com/office/drawing/2014/main" id="{00000000-0008-0000-1500-0000EC010000}"/>
            </a:ext>
          </a:extLst>
        </xdr:cNvPr>
        <xdr:cNvSpPr>
          <a:spLocks noChangeShapeType="1"/>
        </xdr:cNvSpPr>
      </xdr:nvSpPr>
      <xdr:spPr bwMode="auto">
        <a:xfrm rot="5400000">
          <a:off x="9323398" y="15168549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38</xdr:col>
      <xdr:colOff>20637</xdr:colOff>
      <xdr:row>104</xdr:row>
      <xdr:rowOff>201614</xdr:rowOff>
    </xdr:from>
    <xdr:to>
      <xdr:col>39</xdr:col>
      <xdr:colOff>201612</xdr:colOff>
      <xdr:row>104</xdr:row>
      <xdr:rowOff>201614</xdr:rowOff>
    </xdr:to>
    <xdr:sp macro="" textlink="">
      <xdr:nvSpPr>
        <xdr:cNvPr id="493" name="Line 695">
          <a:extLst>
            <a:ext uri="{FF2B5EF4-FFF2-40B4-BE49-F238E27FC236}">
              <a16:creationId xmlns:a16="http://schemas.microsoft.com/office/drawing/2014/main" id="{00000000-0008-0000-1500-0000ED010000}"/>
            </a:ext>
          </a:extLst>
        </xdr:cNvPr>
        <xdr:cNvSpPr>
          <a:spLocks noChangeShapeType="1"/>
        </xdr:cNvSpPr>
      </xdr:nvSpPr>
      <xdr:spPr bwMode="auto">
        <a:xfrm rot="5400000">
          <a:off x="9273222" y="14264324"/>
          <a:ext cx="0" cy="43434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53973</xdr:colOff>
      <xdr:row>104</xdr:row>
      <xdr:rowOff>193670</xdr:rowOff>
    </xdr:from>
    <xdr:to>
      <xdr:col>42</xdr:col>
      <xdr:colOff>206373</xdr:colOff>
      <xdr:row>104</xdr:row>
      <xdr:rowOff>193670</xdr:rowOff>
    </xdr:to>
    <xdr:sp macro="" textlink="">
      <xdr:nvSpPr>
        <xdr:cNvPr id="494" name="Line 696">
          <a:extLst>
            <a:ext uri="{FF2B5EF4-FFF2-40B4-BE49-F238E27FC236}">
              <a16:creationId xmlns:a16="http://schemas.microsoft.com/office/drawing/2014/main" id="{00000000-0008-0000-1500-0000EE010000}"/>
            </a:ext>
          </a:extLst>
        </xdr:cNvPr>
        <xdr:cNvSpPr>
          <a:spLocks noChangeShapeType="1"/>
        </xdr:cNvSpPr>
      </xdr:nvSpPr>
      <xdr:spPr bwMode="auto">
        <a:xfrm rot="5400000">
          <a:off x="10039983" y="14271620"/>
          <a:ext cx="0" cy="40005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38</xdr:col>
      <xdr:colOff>20637</xdr:colOff>
      <xdr:row>109</xdr:row>
      <xdr:rowOff>24870</xdr:rowOff>
    </xdr:from>
    <xdr:to>
      <xdr:col>39</xdr:col>
      <xdr:colOff>201612</xdr:colOff>
      <xdr:row>109</xdr:row>
      <xdr:rowOff>24870</xdr:rowOff>
    </xdr:to>
    <xdr:sp macro="" textlink="">
      <xdr:nvSpPr>
        <xdr:cNvPr id="495" name="Line 697">
          <a:extLst>
            <a:ext uri="{FF2B5EF4-FFF2-40B4-BE49-F238E27FC236}">
              <a16:creationId xmlns:a16="http://schemas.microsoft.com/office/drawing/2014/main" id="{00000000-0008-0000-1500-0000EF010000}"/>
            </a:ext>
          </a:extLst>
        </xdr:cNvPr>
        <xdr:cNvSpPr>
          <a:spLocks noChangeShapeType="1"/>
        </xdr:cNvSpPr>
      </xdr:nvSpPr>
      <xdr:spPr bwMode="auto">
        <a:xfrm rot="5400000">
          <a:off x="9273222" y="15177240"/>
          <a:ext cx="0" cy="43434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61912</xdr:colOff>
      <xdr:row>109</xdr:row>
      <xdr:rowOff>30163</xdr:rowOff>
    </xdr:from>
    <xdr:to>
      <xdr:col>42</xdr:col>
      <xdr:colOff>237595</xdr:colOff>
      <xdr:row>109</xdr:row>
      <xdr:rowOff>30163</xdr:rowOff>
    </xdr:to>
    <xdr:sp macro="" textlink="">
      <xdr:nvSpPr>
        <xdr:cNvPr id="496" name="Line 698">
          <a:extLst>
            <a:ext uri="{FF2B5EF4-FFF2-40B4-BE49-F238E27FC236}">
              <a16:creationId xmlns:a16="http://schemas.microsoft.com/office/drawing/2014/main" id="{00000000-0008-0000-1500-0000F0010000}"/>
            </a:ext>
          </a:extLst>
        </xdr:cNvPr>
        <xdr:cNvSpPr>
          <a:spLocks noChangeShapeType="1"/>
        </xdr:cNvSpPr>
      </xdr:nvSpPr>
      <xdr:spPr bwMode="auto">
        <a:xfrm rot="5400000">
          <a:off x="10054801" y="15187084"/>
          <a:ext cx="0" cy="42904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37</xdr:col>
      <xdr:colOff>214932</xdr:colOff>
      <xdr:row>107</xdr:row>
      <xdr:rowOff>55880</xdr:rowOff>
    </xdr:from>
    <xdr:to>
      <xdr:col>37</xdr:col>
      <xdr:colOff>214932</xdr:colOff>
      <xdr:row>109</xdr:row>
      <xdr:rowOff>6139</xdr:rowOff>
    </xdr:to>
    <xdr:sp macro="" textlink="">
      <xdr:nvSpPr>
        <xdr:cNvPr id="497" name="Line 721">
          <a:extLst>
            <a:ext uri="{FF2B5EF4-FFF2-40B4-BE49-F238E27FC236}">
              <a16:creationId xmlns:a16="http://schemas.microsoft.com/office/drawing/2014/main" id="{00000000-0008-0000-1500-0000F1010000}"/>
            </a:ext>
          </a:extLst>
        </xdr:cNvPr>
        <xdr:cNvSpPr>
          <a:spLocks noChangeShapeType="1"/>
        </xdr:cNvSpPr>
      </xdr:nvSpPr>
      <xdr:spPr bwMode="auto">
        <a:xfrm>
          <a:off x="9021747" y="14994890"/>
          <a:ext cx="0" cy="38650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43</xdr:col>
      <xdr:colOff>23809</xdr:colOff>
      <xdr:row>107</xdr:row>
      <xdr:rowOff>49148</xdr:rowOff>
    </xdr:from>
    <xdr:to>
      <xdr:col>43</xdr:col>
      <xdr:colOff>23809</xdr:colOff>
      <xdr:row>108</xdr:row>
      <xdr:rowOff>205782</xdr:rowOff>
    </xdr:to>
    <xdr:sp macro="" textlink="">
      <xdr:nvSpPr>
        <xdr:cNvPr id="498" name="Line 723">
          <a:extLst>
            <a:ext uri="{FF2B5EF4-FFF2-40B4-BE49-F238E27FC236}">
              <a16:creationId xmlns:a16="http://schemas.microsoft.com/office/drawing/2014/main" id="{00000000-0008-0000-1500-0000F2010000}"/>
            </a:ext>
          </a:extLst>
        </xdr:cNvPr>
        <xdr:cNvSpPr>
          <a:spLocks noChangeShapeType="1"/>
        </xdr:cNvSpPr>
      </xdr:nvSpPr>
      <xdr:spPr bwMode="auto">
        <a:xfrm>
          <a:off x="10287949" y="14986253"/>
          <a:ext cx="0" cy="37761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39</xdr:col>
      <xdr:colOff>233099</xdr:colOff>
      <xdr:row>109</xdr:row>
      <xdr:rowOff>27002</xdr:rowOff>
    </xdr:from>
    <xdr:to>
      <xdr:col>41</xdr:col>
      <xdr:colOff>33074</xdr:colOff>
      <xdr:row>109</xdr:row>
      <xdr:rowOff>27002</xdr:rowOff>
    </xdr:to>
    <xdr:sp macro="" textlink="">
      <xdr:nvSpPr>
        <xdr:cNvPr id="499" name="Line 749">
          <a:extLst>
            <a:ext uri="{FF2B5EF4-FFF2-40B4-BE49-F238E27FC236}">
              <a16:creationId xmlns:a16="http://schemas.microsoft.com/office/drawing/2014/main" id="{00000000-0008-0000-1500-0000F3010000}"/>
            </a:ext>
          </a:extLst>
        </xdr:cNvPr>
        <xdr:cNvSpPr>
          <a:spLocks noChangeShapeType="1"/>
        </xdr:cNvSpPr>
      </xdr:nvSpPr>
      <xdr:spPr bwMode="auto">
        <a:xfrm rot="5400000">
          <a:off x="9667612" y="15252714"/>
          <a:ext cx="0" cy="29146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39</xdr:col>
      <xdr:colOff>223838</xdr:colOff>
      <xdr:row>104</xdr:row>
      <xdr:rowOff>200026</xdr:rowOff>
    </xdr:from>
    <xdr:to>
      <xdr:col>41</xdr:col>
      <xdr:colOff>9525</xdr:colOff>
      <xdr:row>104</xdr:row>
      <xdr:rowOff>200026</xdr:rowOff>
    </xdr:to>
    <xdr:sp macro="" textlink="">
      <xdr:nvSpPr>
        <xdr:cNvPr id="500" name="Line 640">
          <a:extLst>
            <a:ext uri="{FF2B5EF4-FFF2-40B4-BE49-F238E27FC236}">
              <a16:creationId xmlns:a16="http://schemas.microsoft.com/office/drawing/2014/main" id="{00000000-0008-0000-1500-0000F4010000}"/>
            </a:ext>
          </a:extLst>
        </xdr:cNvPr>
        <xdr:cNvSpPr>
          <a:spLocks noChangeShapeType="1"/>
        </xdr:cNvSpPr>
      </xdr:nvSpPr>
      <xdr:spPr bwMode="auto">
        <a:xfrm rot="5400000">
          <a:off x="9651207" y="14337507"/>
          <a:ext cx="0" cy="28479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39</xdr:col>
      <xdr:colOff>239964</xdr:colOff>
      <xdr:row>102</xdr:row>
      <xdr:rowOff>210121</xdr:rowOff>
    </xdr:from>
    <xdr:to>
      <xdr:col>41</xdr:col>
      <xdr:colOff>29461</xdr:colOff>
      <xdr:row>102</xdr:row>
      <xdr:rowOff>210121</xdr:rowOff>
    </xdr:to>
    <xdr:sp macro="" textlink="">
      <xdr:nvSpPr>
        <xdr:cNvPr id="501" name="Line 640">
          <a:extLst>
            <a:ext uri="{FF2B5EF4-FFF2-40B4-BE49-F238E27FC236}">
              <a16:creationId xmlns:a16="http://schemas.microsoft.com/office/drawing/2014/main" id="{00000000-0008-0000-1500-0000F5010000}"/>
            </a:ext>
          </a:extLst>
        </xdr:cNvPr>
        <xdr:cNvSpPr>
          <a:spLocks noChangeShapeType="1"/>
        </xdr:cNvSpPr>
      </xdr:nvSpPr>
      <xdr:spPr bwMode="auto">
        <a:xfrm rot="5400000">
          <a:off x="9669238" y="13905642"/>
          <a:ext cx="0" cy="28098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39</xdr:col>
      <xdr:colOff>232570</xdr:colOff>
      <xdr:row>103</xdr:row>
      <xdr:rowOff>15876</xdr:rowOff>
    </xdr:from>
    <xdr:to>
      <xdr:col>39</xdr:col>
      <xdr:colOff>232570</xdr:colOff>
      <xdr:row>105</xdr:row>
      <xdr:rowOff>6351</xdr:rowOff>
    </xdr:to>
    <xdr:sp macro="" textlink="">
      <xdr:nvSpPr>
        <xdr:cNvPr id="502" name="Line 652">
          <a:extLst>
            <a:ext uri="{FF2B5EF4-FFF2-40B4-BE49-F238E27FC236}">
              <a16:creationId xmlns:a16="http://schemas.microsoft.com/office/drawing/2014/main" id="{00000000-0008-0000-1500-0000F6010000}"/>
            </a:ext>
          </a:extLst>
        </xdr:cNvPr>
        <xdr:cNvSpPr>
          <a:spLocks noChangeShapeType="1"/>
        </xdr:cNvSpPr>
      </xdr:nvSpPr>
      <xdr:spPr bwMode="auto">
        <a:xfrm rot="10800000">
          <a:off x="9521350" y="14078586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19843</xdr:colOff>
      <xdr:row>103</xdr:row>
      <xdr:rowOff>9527</xdr:rowOff>
    </xdr:from>
    <xdr:to>
      <xdr:col>41</xdr:col>
      <xdr:colOff>19843</xdr:colOff>
      <xdr:row>105</xdr:row>
      <xdr:rowOff>2</xdr:rowOff>
    </xdr:to>
    <xdr:sp macro="" textlink="">
      <xdr:nvSpPr>
        <xdr:cNvPr id="503" name="Line 652">
          <a:extLst>
            <a:ext uri="{FF2B5EF4-FFF2-40B4-BE49-F238E27FC236}">
              <a16:creationId xmlns:a16="http://schemas.microsoft.com/office/drawing/2014/main" id="{00000000-0008-0000-1500-0000F7010000}"/>
            </a:ext>
          </a:extLst>
        </xdr:cNvPr>
        <xdr:cNvSpPr>
          <a:spLocks noChangeShapeType="1"/>
        </xdr:cNvSpPr>
      </xdr:nvSpPr>
      <xdr:spPr bwMode="auto">
        <a:xfrm rot="10800000">
          <a:off x="9798208" y="14070332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37</xdr:col>
      <xdr:colOff>220230</xdr:colOff>
      <xdr:row>104</xdr:row>
      <xdr:rowOff>205371</xdr:rowOff>
    </xdr:from>
    <xdr:to>
      <xdr:col>37</xdr:col>
      <xdr:colOff>220230</xdr:colOff>
      <xdr:row>106</xdr:row>
      <xdr:rowOff>184205</xdr:rowOff>
    </xdr:to>
    <xdr:sp macro="" textlink="">
      <xdr:nvSpPr>
        <xdr:cNvPr id="504" name="Line 510">
          <a:extLst>
            <a:ext uri="{FF2B5EF4-FFF2-40B4-BE49-F238E27FC236}">
              <a16:creationId xmlns:a16="http://schemas.microsoft.com/office/drawing/2014/main" id="{00000000-0008-0000-1500-0000F8010000}"/>
            </a:ext>
          </a:extLst>
        </xdr:cNvPr>
        <xdr:cNvSpPr>
          <a:spLocks noChangeShapeType="1"/>
        </xdr:cNvSpPr>
      </xdr:nvSpPr>
      <xdr:spPr bwMode="auto">
        <a:xfrm>
          <a:off x="9028950" y="14487156"/>
          <a:ext cx="0" cy="411269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43</xdr:col>
      <xdr:colOff>16741</xdr:colOff>
      <xdr:row>105</xdr:row>
      <xdr:rowOff>19829</xdr:rowOff>
    </xdr:from>
    <xdr:to>
      <xdr:col>43</xdr:col>
      <xdr:colOff>16741</xdr:colOff>
      <xdr:row>107</xdr:row>
      <xdr:rowOff>1309</xdr:rowOff>
    </xdr:to>
    <xdr:sp macro="" textlink="">
      <xdr:nvSpPr>
        <xdr:cNvPr id="505" name="Line 510">
          <a:extLst>
            <a:ext uri="{FF2B5EF4-FFF2-40B4-BE49-F238E27FC236}">
              <a16:creationId xmlns:a16="http://schemas.microsoft.com/office/drawing/2014/main" id="{00000000-0008-0000-1500-0000F9010000}"/>
            </a:ext>
          </a:extLst>
        </xdr:cNvPr>
        <xdr:cNvSpPr>
          <a:spLocks noChangeShapeType="1"/>
        </xdr:cNvSpPr>
      </xdr:nvSpPr>
      <xdr:spPr bwMode="auto">
        <a:xfrm>
          <a:off x="10288501" y="14513069"/>
          <a:ext cx="0" cy="42344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8200</xdr:colOff>
      <xdr:row>107</xdr:row>
      <xdr:rowOff>50533</xdr:rowOff>
    </xdr:from>
    <xdr:to>
      <xdr:col>41</xdr:col>
      <xdr:colOff>9388</xdr:colOff>
      <xdr:row>108</xdr:row>
      <xdr:rowOff>202933</xdr:rowOff>
    </xdr:to>
    <xdr:sp macro="" textlink="">
      <xdr:nvSpPr>
        <xdr:cNvPr id="506" name="Line 640">
          <a:extLst>
            <a:ext uri="{FF2B5EF4-FFF2-40B4-BE49-F238E27FC236}">
              <a16:creationId xmlns:a16="http://schemas.microsoft.com/office/drawing/2014/main" id="{00000000-0008-0000-1500-0000FA010000}"/>
            </a:ext>
          </a:extLst>
        </xdr:cNvPr>
        <xdr:cNvSpPr>
          <a:spLocks noChangeShapeType="1"/>
        </xdr:cNvSpPr>
      </xdr:nvSpPr>
      <xdr:spPr bwMode="auto">
        <a:xfrm rot="5400000">
          <a:off x="9607136" y="15174687"/>
          <a:ext cx="371475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39</xdr:col>
      <xdr:colOff>236322</xdr:colOff>
      <xdr:row>105</xdr:row>
      <xdr:rowOff>14819</xdr:rowOff>
    </xdr:from>
    <xdr:to>
      <xdr:col>39</xdr:col>
      <xdr:colOff>236322</xdr:colOff>
      <xdr:row>107</xdr:row>
      <xdr:rowOff>7938</xdr:rowOff>
    </xdr:to>
    <xdr:sp macro="" textlink="">
      <xdr:nvSpPr>
        <xdr:cNvPr id="507" name="Line 652">
          <a:extLst>
            <a:ext uri="{FF2B5EF4-FFF2-40B4-BE49-F238E27FC236}">
              <a16:creationId xmlns:a16="http://schemas.microsoft.com/office/drawing/2014/main" id="{00000000-0008-0000-1500-0000FB010000}"/>
            </a:ext>
          </a:extLst>
        </xdr:cNvPr>
        <xdr:cNvSpPr>
          <a:spLocks noChangeShapeType="1"/>
        </xdr:cNvSpPr>
      </xdr:nvSpPr>
      <xdr:spPr bwMode="auto">
        <a:xfrm rot="10800000">
          <a:off x="9525102" y="14515679"/>
          <a:ext cx="0" cy="42936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22751</xdr:colOff>
      <xdr:row>105</xdr:row>
      <xdr:rowOff>24347</xdr:rowOff>
    </xdr:from>
    <xdr:to>
      <xdr:col>41</xdr:col>
      <xdr:colOff>22751</xdr:colOff>
      <xdr:row>107</xdr:row>
      <xdr:rowOff>14821</xdr:rowOff>
    </xdr:to>
    <xdr:sp macro="" textlink="">
      <xdr:nvSpPr>
        <xdr:cNvPr id="508" name="Line 652">
          <a:extLst>
            <a:ext uri="{FF2B5EF4-FFF2-40B4-BE49-F238E27FC236}">
              <a16:creationId xmlns:a16="http://schemas.microsoft.com/office/drawing/2014/main" id="{00000000-0008-0000-1500-0000FC010000}"/>
            </a:ext>
          </a:extLst>
        </xdr:cNvPr>
        <xdr:cNvSpPr>
          <a:spLocks noChangeShapeType="1"/>
        </xdr:cNvSpPr>
      </xdr:nvSpPr>
      <xdr:spPr bwMode="auto">
        <a:xfrm rot="10800000">
          <a:off x="9801116" y="14517587"/>
          <a:ext cx="0" cy="43624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  <xdr:txBody>
        <a:bodyPr/>
        <a:lstStyle/>
        <a:p>
          <a:r>
            <a:rPr lang="ko-KR" altLang="en-US"/>
            <a:t> </a:t>
          </a:r>
        </a:p>
      </xdr:txBody>
    </xdr:sp>
    <xdr:clientData/>
  </xdr:twoCellAnchor>
  <xdr:twoCellAnchor>
    <xdr:from>
      <xdr:col>38</xdr:col>
      <xdr:colOff>21166</xdr:colOff>
      <xdr:row>106</xdr:row>
      <xdr:rowOff>201084</xdr:rowOff>
    </xdr:from>
    <xdr:to>
      <xdr:col>39</xdr:col>
      <xdr:colOff>202141</xdr:colOff>
      <xdr:row>106</xdr:row>
      <xdr:rowOff>201084</xdr:rowOff>
    </xdr:to>
    <xdr:sp macro="" textlink="">
      <xdr:nvSpPr>
        <xdr:cNvPr id="509" name="Line 695">
          <a:extLst>
            <a:ext uri="{FF2B5EF4-FFF2-40B4-BE49-F238E27FC236}">
              <a16:creationId xmlns:a16="http://schemas.microsoft.com/office/drawing/2014/main" id="{00000000-0008-0000-1500-0000FD010000}"/>
            </a:ext>
          </a:extLst>
        </xdr:cNvPr>
        <xdr:cNvSpPr>
          <a:spLocks noChangeShapeType="1"/>
        </xdr:cNvSpPr>
      </xdr:nvSpPr>
      <xdr:spPr bwMode="auto">
        <a:xfrm rot="5400000">
          <a:off x="9274704" y="14700991"/>
          <a:ext cx="0" cy="43624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30691</xdr:colOff>
      <xdr:row>106</xdr:row>
      <xdr:rowOff>195790</xdr:rowOff>
    </xdr:from>
    <xdr:to>
      <xdr:col>42</xdr:col>
      <xdr:colOff>211666</xdr:colOff>
      <xdr:row>106</xdr:row>
      <xdr:rowOff>195790</xdr:rowOff>
    </xdr:to>
    <xdr:sp macro="" textlink="">
      <xdr:nvSpPr>
        <xdr:cNvPr id="510" name="Line 696">
          <a:extLst>
            <a:ext uri="{FF2B5EF4-FFF2-40B4-BE49-F238E27FC236}">
              <a16:creationId xmlns:a16="http://schemas.microsoft.com/office/drawing/2014/main" id="{00000000-0008-0000-1500-0000FE010000}"/>
            </a:ext>
          </a:extLst>
        </xdr:cNvPr>
        <xdr:cNvSpPr>
          <a:spLocks noChangeShapeType="1"/>
        </xdr:cNvSpPr>
      </xdr:nvSpPr>
      <xdr:spPr bwMode="auto">
        <a:xfrm rot="5400000">
          <a:off x="10024321" y="14700460"/>
          <a:ext cx="0" cy="42672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37</xdr:col>
      <xdr:colOff>259916</xdr:colOff>
      <xdr:row>103</xdr:row>
      <xdr:rowOff>8520</xdr:rowOff>
    </xdr:from>
    <xdr:to>
      <xdr:col>37</xdr:col>
      <xdr:colOff>259916</xdr:colOff>
      <xdr:row>104</xdr:row>
      <xdr:rowOff>199021</xdr:rowOff>
    </xdr:to>
    <xdr:sp macro="" textlink="">
      <xdr:nvSpPr>
        <xdr:cNvPr id="511" name="Line 510">
          <a:extLst>
            <a:ext uri="{FF2B5EF4-FFF2-40B4-BE49-F238E27FC236}">
              <a16:creationId xmlns:a16="http://schemas.microsoft.com/office/drawing/2014/main" id="{00000000-0008-0000-1500-0000FF010000}"/>
            </a:ext>
          </a:extLst>
        </xdr:cNvPr>
        <xdr:cNvSpPr>
          <a:spLocks noChangeShapeType="1"/>
        </xdr:cNvSpPr>
      </xdr:nvSpPr>
      <xdr:spPr bwMode="auto">
        <a:xfrm>
          <a:off x="9040061" y="14069325"/>
          <a:ext cx="0" cy="40957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43</xdr:col>
      <xdr:colOff>26988</xdr:colOff>
      <xdr:row>103</xdr:row>
      <xdr:rowOff>2896</xdr:rowOff>
    </xdr:from>
    <xdr:to>
      <xdr:col>43</xdr:col>
      <xdr:colOff>26988</xdr:colOff>
      <xdr:row>104</xdr:row>
      <xdr:rowOff>185459</xdr:rowOff>
    </xdr:to>
    <xdr:sp macro="" textlink="">
      <xdr:nvSpPr>
        <xdr:cNvPr id="512" name="Line 510">
          <a:extLst>
            <a:ext uri="{FF2B5EF4-FFF2-40B4-BE49-F238E27FC236}">
              <a16:creationId xmlns:a16="http://schemas.microsoft.com/office/drawing/2014/main" id="{00000000-0008-0000-1500-000000020000}"/>
            </a:ext>
          </a:extLst>
        </xdr:cNvPr>
        <xdr:cNvSpPr>
          <a:spLocks noChangeShapeType="1"/>
        </xdr:cNvSpPr>
      </xdr:nvSpPr>
      <xdr:spPr bwMode="auto">
        <a:xfrm>
          <a:off x="10293033" y="14061796"/>
          <a:ext cx="0" cy="39973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40</xdr:col>
      <xdr:colOff>1495</xdr:colOff>
      <xdr:row>107</xdr:row>
      <xdr:rowOff>63503</xdr:rowOff>
    </xdr:from>
    <xdr:to>
      <xdr:col>40</xdr:col>
      <xdr:colOff>1495</xdr:colOff>
      <xdr:row>108</xdr:row>
      <xdr:rowOff>194164</xdr:rowOff>
    </xdr:to>
    <xdr:sp macro="" textlink="">
      <xdr:nvSpPr>
        <xdr:cNvPr id="513" name="Line 746">
          <a:extLst>
            <a:ext uri="{FF2B5EF4-FFF2-40B4-BE49-F238E27FC236}">
              <a16:creationId xmlns:a16="http://schemas.microsoft.com/office/drawing/2014/main" id="{00000000-0008-0000-1500-000001020000}"/>
            </a:ext>
          </a:extLst>
        </xdr:cNvPr>
        <xdr:cNvSpPr>
          <a:spLocks noChangeShapeType="1"/>
        </xdr:cNvSpPr>
      </xdr:nvSpPr>
      <xdr:spPr bwMode="auto">
        <a:xfrm rot="5400000" flipV="1">
          <a:off x="9359247" y="15171666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41</xdr:col>
      <xdr:colOff>43104</xdr:colOff>
      <xdr:row>107</xdr:row>
      <xdr:rowOff>71010</xdr:rowOff>
    </xdr:from>
    <xdr:to>
      <xdr:col>41</xdr:col>
      <xdr:colOff>43104</xdr:colOff>
      <xdr:row>109</xdr:row>
      <xdr:rowOff>4</xdr:rowOff>
    </xdr:to>
    <xdr:sp macro="" textlink="">
      <xdr:nvSpPr>
        <xdr:cNvPr id="514" name="Line 746">
          <a:extLst>
            <a:ext uri="{FF2B5EF4-FFF2-40B4-BE49-F238E27FC236}">
              <a16:creationId xmlns:a16="http://schemas.microsoft.com/office/drawing/2014/main" id="{00000000-0008-0000-1500-000002020000}"/>
            </a:ext>
          </a:extLst>
        </xdr:cNvPr>
        <xdr:cNvSpPr>
          <a:spLocks noChangeShapeType="1"/>
        </xdr:cNvSpPr>
      </xdr:nvSpPr>
      <xdr:spPr bwMode="auto">
        <a:xfrm rot="5400000" flipV="1">
          <a:off x="9642659" y="15188830"/>
          <a:ext cx="369049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38</xdr:col>
      <xdr:colOff>16010</xdr:colOff>
      <xdr:row>107</xdr:row>
      <xdr:rowOff>60631</xdr:rowOff>
    </xdr:from>
    <xdr:to>
      <xdr:col>38</xdr:col>
      <xdr:colOff>16010</xdr:colOff>
      <xdr:row>108</xdr:row>
      <xdr:rowOff>191292</xdr:rowOff>
    </xdr:to>
    <xdr:sp macro="" textlink="">
      <xdr:nvSpPr>
        <xdr:cNvPr id="515" name="Line 746">
          <a:extLst>
            <a:ext uri="{FF2B5EF4-FFF2-40B4-BE49-F238E27FC236}">
              <a16:creationId xmlns:a16="http://schemas.microsoft.com/office/drawing/2014/main" id="{00000000-0008-0000-1500-000003020000}"/>
            </a:ext>
          </a:extLst>
        </xdr:cNvPr>
        <xdr:cNvSpPr>
          <a:spLocks noChangeShapeType="1"/>
        </xdr:cNvSpPr>
      </xdr:nvSpPr>
      <xdr:spPr bwMode="auto">
        <a:xfrm rot="5400000" flipV="1">
          <a:off x="8882272" y="15168794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42</xdr:col>
      <xdr:colOff>231807</xdr:colOff>
      <xdr:row>107</xdr:row>
      <xdr:rowOff>65620</xdr:rowOff>
    </xdr:from>
    <xdr:to>
      <xdr:col>42</xdr:col>
      <xdr:colOff>231807</xdr:colOff>
      <xdr:row>108</xdr:row>
      <xdr:rowOff>196281</xdr:rowOff>
    </xdr:to>
    <xdr:sp macro="" textlink="">
      <xdr:nvSpPr>
        <xdr:cNvPr id="516" name="Line 746">
          <a:extLst>
            <a:ext uri="{FF2B5EF4-FFF2-40B4-BE49-F238E27FC236}">
              <a16:creationId xmlns:a16="http://schemas.microsoft.com/office/drawing/2014/main" id="{00000000-0008-0000-1500-000004020000}"/>
            </a:ext>
          </a:extLst>
        </xdr:cNvPr>
        <xdr:cNvSpPr>
          <a:spLocks noChangeShapeType="1"/>
        </xdr:cNvSpPr>
      </xdr:nvSpPr>
      <xdr:spPr bwMode="auto">
        <a:xfrm rot="5400000" flipV="1">
          <a:off x="10084859" y="15175688"/>
          <a:ext cx="35354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41</xdr:col>
      <xdr:colOff>58081</xdr:colOff>
      <xdr:row>107</xdr:row>
      <xdr:rowOff>24245</xdr:rowOff>
    </xdr:from>
    <xdr:to>
      <xdr:col>42</xdr:col>
      <xdr:colOff>194966</xdr:colOff>
      <xdr:row>107</xdr:row>
      <xdr:rowOff>24245</xdr:rowOff>
    </xdr:to>
    <xdr:sp macro="" textlink="">
      <xdr:nvSpPr>
        <xdr:cNvPr id="517" name="Line 749">
          <a:extLst>
            <a:ext uri="{FF2B5EF4-FFF2-40B4-BE49-F238E27FC236}">
              <a16:creationId xmlns:a16="http://schemas.microsoft.com/office/drawing/2014/main" id="{00000000-0008-0000-1500-000005020000}"/>
            </a:ext>
          </a:extLst>
        </xdr:cNvPr>
        <xdr:cNvSpPr>
          <a:spLocks noChangeShapeType="1"/>
        </xdr:cNvSpPr>
      </xdr:nvSpPr>
      <xdr:spPr bwMode="auto">
        <a:xfrm rot="5400000">
          <a:off x="10031571" y="14760510"/>
          <a:ext cx="0" cy="39025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242625</xdr:colOff>
      <xdr:row>106</xdr:row>
      <xdr:rowOff>205583</xdr:rowOff>
    </xdr:from>
    <xdr:to>
      <xdr:col>41</xdr:col>
      <xdr:colOff>28312</xdr:colOff>
      <xdr:row>106</xdr:row>
      <xdr:rowOff>205583</xdr:rowOff>
    </xdr:to>
    <xdr:sp macro="" textlink="">
      <xdr:nvSpPr>
        <xdr:cNvPr id="518" name="Line 640">
          <a:extLst>
            <a:ext uri="{FF2B5EF4-FFF2-40B4-BE49-F238E27FC236}">
              <a16:creationId xmlns:a16="http://schemas.microsoft.com/office/drawing/2014/main" id="{00000000-0008-0000-1500-000006020000}"/>
            </a:ext>
          </a:extLst>
        </xdr:cNvPr>
        <xdr:cNvSpPr>
          <a:spLocks noChangeShapeType="1"/>
        </xdr:cNvSpPr>
      </xdr:nvSpPr>
      <xdr:spPr bwMode="auto">
        <a:xfrm rot="5400000">
          <a:off x="9670946" y="14787882"/>
          <a:ext cx="0" cy="27527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32</xdr:col>
      <xdr:colOff>35574</xdr:colOff>
      <xdr:row>107</xdr:row>
      <xdr:rowOff>24823</xdr:rowOff>
    </xdr:from>
    <xdr:to>
      <xdr:col>33</xdr:col>
      <xdr:colOff>188334</xdr:colOff>
      <xdr:row>107</xdr:row>
      <xdr:rowOff>24823</xdr:rowOff>
    </xdr:to>
    <xdr:sp macro="" textlink="">
      <xdr:nvSpPr>
        <xdr:cNvPr id="519" name="Line 749">
          <a:extLst>
            <a:ext uri="{FF2B5EF4-FFF2-40B4-BE49-F238E27FC236}">
              <a16:creationId xmlns:a16="http://schemas.microsoft.com/office/drawing/2014/main" id="{00000000-0008-0000-1500-000007020000}"/>
            </a:ext>
          </a:extLst>
        </xdr:cNvPr>
        <xdr:cNvSpPr>
          <a:spLocks noChangeShapeType="1"/>
        </xdr:cNvSpPr>
      </xdr:nvSpPr>
      <xdr:spPr bwMode="auto">
        <a:xfrm rot="5400000">
          <a:off x="7851017" y="14760770"/>
          <a:ext cx="0" cy="39088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38</xdr:col>
      <xdr:colOff>63500</xdr:colOff>
      <xdr:row>107</xdr:row>
      <xdr:rowOff>23814</xdr:rowOff>
    </xdr:from>
    <xdr:to>
      <xdr:col>39</xdr:col>
      <xdr:colOff>200385</xdr:colOff>
      <xdr:row>107</xdr:row>
      <xdr:rowOff>23814</xdr:rowOff>
    </xdr:to>
    <xdr:sp macro="" textlink="">
      <xdr:nvSpPr>
        <xdr:cNvPr id="520" name="Line 749">
          <a:extLst>
            <a:ext uri="{FF2B5EF4-FFF2-40B4-BE49-F238E27FC236}">
              <a16:creationId xmlns:a16="http://schemas.microsoft.com/office/drawing/2014/main" id="{00000000-0008-0000-1500-000008020000}"/>
            </a:ext>
          </a:extLst>
        </xdr:cNvPr>
        <xdr:cNvSpPr>
          <a:spLocks noChangeShapeType="1"/>
        </xdr:cNvSpPr>
      </xdr:nvSpPr>
      <xdr:spPr bwMode="auto">
        <a:xfrm rot="5400000">
          <a:off x="9294040" y="14760079"/>
          <a:ext cx="0" cy="39025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204968</xdr:colOff>
      <xdr:row>105</xdr:row>
      <xdr:rowOff>28396</xdr:rowOff>
    </xdr:from>
    <xdr:to>
      <xdr:col>39</xdr:col>
      <xdr:colOff>204968</xdr:colOff>
      <xdr:row>107</xdr:row>
      <xdr:rowOff>6531</xdr:rowOff>
    </xdr:to>
    <xdr:sp macro="" textlink="">
      <xdr:nvSpPr>
        <xdr:cNvPr id="521" name="Line 749">
          <a:extLst>
            <a:ext uri="{FF2B5EF4-FFF2-40B4-BE49-F238E27FC236}">
              <a16:creationId xmlns:a16="http://schemas.microsoft.com/office/drawing/2014/main" id="{00000000-0008-0000-1500-000009020000}"/>
            </a:ext>
          </a:extLst>
        </xdr:cNvPr>
        <xdr:cNvSpPr>
          <a:spLocks noChangeShapeType="1"/>
        </xdr:cNvSpPr>
      </xdr:nvSpPr>
      <xdr:spPr bwMode="auto">
        <a:xfrm rot="10800000">
          <a:off x="9495653" y="14523541"/>
          <a:ext cx="0" cy="42009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40</xdr:col>
      <xdr:colOff>238302</xdr:colOff>
      <xdr:row>105</xdr:row>
      <xdr:rowOff>22046</xdr:rowOff>
    </xdr:from>
    <xdr:to>
      <xdr:col>40</xdr:col>
      <xdr:colOff>238302</xdr:colOff>
      <xdr:row>107</xdr:row>
      <xdr:rowOff>181</xdr:rowOff>
    </xdr:to>
    <xdr:sp macro="" textlink="">
      <xdr:nvSpPr>
        <xdr:cNvPr id="522" name="Line 749">
          <a:extLst>
            <a:ext uri="{FF2B5EF4-FFF2-40B4-BE49-F238E27FC236}">
              <a16:creationId xmlns:a16="http://schemas.microsoft.com/office/drawing/2014/main" id="{00000000-0008-0000-1500-00000A020000}"/>
            </a:ext>
          </a:extLst>
        </xdr:cNvPr>
        <xdr:cNvSpPr>
          <a:spLocks noChangeShapeType="1"/>
        </xdr:cNvSpPr>
      </xdr:nvSpPr>
      <xdr:spPr bwMode="auto">
        <a:xfrm rot="10800000">
          <a:off x="9774732" y="14515286"/>
          <a:ext cx="0" cy="420095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8</xdr:col>
      <xdr:colOff>10989</xdr:colOff>
      <xdr:row>109</xdr:row>
      <xdr:rowOff>22224</xdr:rowOff>
    </xdr:from>
    <xdr:to>
      <xdr:col>9</xdr:col>
      <xdr:colOff>191964</xdr:colOff>
      <xdr:row>109</xdr:row>
      <xdr:rowOff>22224</xdr:rowOff>
    </xdr:to>
    <xdr:sp macro="" textlink="">
      <xdr:nvSpPr>
        <xdr:cNvPr id="523" name="Line 684">
          <a:extLst>
            <a:ext uri="{FF2B5EF4-FFF2-40B4-BE49-F238E27FC236}">
              <a16:creationId xmlns:a16="http://schemas.microsoft.com/office/drawing/2014/main" id="{00000000-0008-0000-1500-00000B020000}"/>
            </a:ext>
          </a:extLst>
        </xdr:cNvPr>
        <xdr:cNvSpPr>
          <a:spLocks noChangeShapeType="1"/>
        </xdr:cNvSpPr>
      </xdr:nvSpPr>
      <xdr:spPr bwMode="auto">
        <a:xfrm rot="5400000">
          <a:off x="2126492" y="15183166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38100</xdr:colOff>
      <xdr:row>109</xdr:row>
      <xdr:rowOff>22224</xdr:rowOff>
    </xdr:from>
    <xdr:to>
      <xdr:col>12</xdr:col>
      <xdr:colOff>219075</xdr:colOff>
      <xdr:row>109</xdr:row>
      <xdr:rowOff>22224</xdr:rowOff>
    </xdr:to>
    <xdr:sp macro="" textlink="">
      <xdr:nvSpPr>
        <xdr:cNvPr id="524" name="Line 685">
          <a:extLst>
            <a:ext uri="{FF2B5EF4-FFF2-40B4-BE49-F238E27FC236}">
              <a16:creationId xmlns:a16="http://schemas.microsoft.com/office/drawing/2014/main" id="{00000000-0008-0000-1500-00000C020000}"/>
            </a:ext>
          </a:extLst>
        </xdr:cNvPr>
        <xdr:cNvSpPr>
          <a:spLocks noChangeShapeType="1"/>
        </xdr:cNvSpPr>
      </xdr:nvSpPr>
      <xdr:spPr bwMode="auto">
        <a:xfrm rot="5400000">
          <a:off x="2866073" y="15183166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9</xdr:col>
      <xdr:colOff>202406</xdr:colOff>
      <xdr:row>109</xdr:row>
      <xdr:rowOff>22232</xdr:rowOff>
    </xdr:from>
    <xdr:to>
      <xdr:col>11</xdr:col>
      <xdr:colOff>2381</xdr:colOff>
      <xdr:row>109</xdr:row>
      <xdr:rowOff>22232</xdr:rowOff>
    </xdr:to>
    <xdr:sp macro="" textlink="">
      <xdr:nvSpPr>
        <xdr:cNvPr id="525" name="Line 749">
          <a:extLst>
            <a:ext uri="{FF2B5EF4-FFF2-40B4-BE49-F238E27FC236}">
              <a16:creationId xmlns:a16="http://schemas.microsoft.com/office/drawing/2014/main" id="{00000000-0008-0000-1500-00000D020000}"/>
            </a:ext>
          </a:extLst>
        </xdr:cNvPr>
        <xdr:cNvSpPr>
          <a:spLocks noChangeShapeType="1"/>
        </xdr:cNvSpPr>
      </xdr:nvSpPr>
      <xdr:spPr bwMode="auto">
        <a:xfrm rot="5400000">
          <a:off x="2485549" y="15255564"/>
          <a:ext cx="0" cy="27241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38</xdr:col>
      <xdr:colOff>22406</xdr:colOff>
      <xdr:row>105</xdr:row>
      <xdr:rowOff>12521</xdr:rowOff>
    </xdr:from>
    <xdr:to>
      <xdr:col>38</xdr:col>
      <xdr:colOff>22406</xdr:colOff>
      <xdr:row>106</xdr:row>
      <xdr:rowOff>197031</xdr:rowOff>
    </xdr:to>
    <xdr:sp macro="" textlink="">
      <xdr:nvSpPr>
        <xdr:cNvPr id="526" name="Line 749">
          <a:extLst>
            <a:ext uri="{FF2B5EF4-FFF2-40B4-BE49-F238E27FC236}">
              <a16:creationId xmlns:a16="http://schemas.microsoft.com/office/drawing/2014/main" id="{00000000-0008-0000-1500-00000E020000}"/>
            </a:ext>
          </a:extLst>
        </xdr:cNvPr>
        <xdr:cNvSpPr>
          <a:spLocks noChangeShapeType="1"/>
        </xdr:cNvSpPr>
      </xdr:nvSpPr>
      <xdr:spPr bwMode="auto">
        <a:xfrm rot="10800000">
          <a:off x="9057821" y="14513381"/>
          <a:ext cx="0" cy="40168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42</xdr:col>
      <xdr:colOff>230369</xdr:colOff>
      <xdr:row>104</xdr:row>
      <xdr:rowOff>204609</xdr:rowOff>
    </xdr:from>
    <xdr:to>
      <xdr:col>42</xdr:col>
      <xdr:colOff>230369</xdr:colOff>
      <xdr:row>106</xdr:row>
      <xdr:rowOff>182744</xdr:rowOff>
    </xdr:to>
    <xdr:sp macro="" textlink="">
      <xdr:nvSpPr>
        <xdr:cNvPr id="527" name="Line 749">
          <a:extLst>
            <a:ext uri="{FF2B5EF4-FFF2-40B4-BE49-F238E27FC236}">
              <a16:creationId xmlns:a16="http://schemas.microsoft.com/office/drawing/2014/main" id="{00000000-0008-0000-1500-00000F020000}"/>
            </a:ext>
          </a:extLst>
        </xdr:cNvPr>
        <xdr:cNvSpPr>
          <a:spLocks noChangeShapeType="1"/>
        </xdr:cNvSpPr>
      </xdr:nvSpPr>
      <xdr:spPr bwMode="auto">
        <a:xfrm rot="10800000">
          <a:off x="10260194" y="14486394"/>
          <a:ext cx="0" cy="41057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111</xdr:row>
      <xdr:rowOff>114300</xdr:rowOff>
    </xdr:from>
    <xdr:to>
      <xdr:col>42</xdr:col>
      <xdr:colOff>207168</xdr:colOff>
      <xdr:row>111</xdr:row>
      <xdr:rowOff>114300</xdr:rowOff>
    </xdr:to>
    <xdr:sp macro="" textlink="">
      <xdr:nvSpPr>
        <xdr:cNvPr id="528" name="Line 746">
          <a:extLst>
            <a:ext uri="{FF2B5EF4-FFF2-40B4-BE49-F238E27FC236}">
              <a16:creationId xmlns:a16="http://schemas.microsoft.com/office/drawing/2014/main" id="{00000000-0008-0000-1500-000010020000}"/>
            </a:ext>
          </a:extLst>
        </xdr:cNvPr>
        <xdr:cNvSpPr>
          <a:spLocks noChangeShapeType="1"/>
        </xdr:cNvSpPr>
      </xdr:nvSpPr>
      <xdr:spPr bwMode="auto">
        <a:xfrm rot="5400000">
          <a:off x="10097928" y="15782925"/>
          <a:ext cx="0" cy="28575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112</xdr:row>
      <xdr:rowOff>114300</xdr:rowOff>
    </xdr:from>
    <xdr:to>
      <xdr:col>42</xdr:col>
      <xdr:colOff>207168</xdr:colOff>
      <xdr:row>112</xdr:row>
      <xdr:rowOff>114300</xdr:rowOff>
    </xdr:to>
    <xdr:sp macro="" textlink="">
      <xdr:nvSpPr>
        <xdr:cNvPr id="529" name="Line 747">
          <a:extLst>
            <a:ext uri="{FF2B5EF4-FFF2-40B4-BE49-F238E27FC236}">
              <a16:creationId xmlns:a16="http://schemas.microsoft.com/office/drawing/2014/main" id="{00000000-0008-0000-1500-000011020000}"/>
            </a:ext>
          </a:extLst>
        </xdr:cNvPr>
        <xdr:cNvSpPr>
          <a:spLocks noChangeShapeType="1"/>
        </xdr:cNvSpPr>
      </xdr:nvSpPr>
      <xdr:spPr bwMode="auto">
        <a:xfrm rot="5400000">
          <a:off x="10097928" y="16002000"/>
          <a:ext cx="0" cy="285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116</xdr:row>
      <xdr:rowOff>133350</xdr:rowOff>
    </xdr:from>
    <xdr:to>
      <xdr:col>42</xdr:col>
      <xdr:colOff>207168</xdr:colOff>
      <xdr:row>116</xdr:row>
      <xdr:rowOff>133350</xdr:rowOff>
    </xdr:to>
    <xdr:sp macro="" textlink="">
      <xdr:nvSpPr>
        <xdr:cNvPr id="530" name="Line 748">
          <a:extLst>
            <a:ext uri="{FF2B5EF4-FFF2-40B4-BE49-F238E27FC236}">
              <a16:creationId xmlns:a16="http://schemas.microsoft.com/office/drawing/2014/main" id="{00000000-0008-0000-1500-000012020000}"/>
            </a:ext>
          </a:extLst>
        </xdr:cNvPr>
        <xdr:cNvSpPr>
          <a:spLocks noChangeShapeType="1"/>
        </xdr:cNvSpPr>
      </xdr:nvSpPr>
      <xdr:spPr bwMode="auto">
        <a:xfrm rot="5400000">
          <a:off x="10097928" y="16893540"/>
          <a:ext cx="0" cy="28575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117</xdr:row>
      <xdr:rowOff>114300</xdr:rowOff>
    </xdr:from>
    <xdr:to>
      <xdr:col>42</xdr:col>
      <xdr:colOff>207168</xdr:colOff>
      <xdr:row>117</xdr:row>
      <xdr:rowOff>114300</xdr:rowOff>
    </xdr:to>
    <xdr:sp macro="" textlink="">
      <xdr:nvSpPr>
        <xdr:cNvPr id="531" name="Line 749">
          <a:extLst>
            <a:ext uri="{FF2B5EF4-FFF2-40B4-BE49-F238E27FC236}">
              <a16:creationId xmlns:a16="http://schemas.microsoft.com/office/drawing/2014/main" id="{00000000-0008-0000-1500-000013020000}"/>
            </a:ext>
          </a:extLst>
        </xdr:cNvPr>
        <xdr:cNvSpPr>
          <a:spLocks noChangeShapeType="1"/>
        </xdr:cNvSpPr>
      </xdr:nvSpPr>
      <xdr:spPr bwMode="auto">
        <a:xfrm rot="5400000">
          <a:off x="10097928" y="17097375"/>
          <a:ext cx="0" cy="285750"/>
        </a:xfrm>
        <a:prstGeom prst="line">
          <a:avLst/>
        </a:prstGeom>
        <a:noFill/>
        <a:ln w="28575">
          <a:solidFill>
            <a:schemeClr val="bg1">
              <a:lumMod val="50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169068</xdr:colOff>
      <xdr:row>118</xdr:row>
      <xdr:rowOff>123827</xdr:rowOff>
    </xdr:from>
    <xdr:to>
      <xdr:col>42</xdr:col>
      <xdr:colOff>207168</xdr:colOff>
      <xdr:row>118</xdr:row>
      <xdr:rowOff>123827</xdr:rowOff>
    </xdr:to>
    <xdr:sp macro="" textlink="">
      <xdr:nvSpPr>
        <xdr:cNvPr id="532" name="Line 640">
          <a:extLst>
            <a:ext uri="{FF2B5EF4-FFF2-40B4-BE49-F238E27FC236}">
              <a16:creationId xmlns:a16="http://schemas.microsoft.com/office/drawing/2014/main" id="{00000000-0008-0000-1500-000014020000}"/>
            </a:ext>
          </a:extLst>
        </xdr:cNvPr>
        <xdr:cNvSpPr>
          <a:spLocks noChangeShapeType="1"/>
        </xdr:cNvSpPr>
      </xdr:nvSpPr>
      <xdr:spPr bwMode="auto">
        <a:xfrm rot="5400000">
          <a:off x="10097928" y="17327882"/>
          <a:ext cx="0" cy="28575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41</xdr:col>
      <xdr:colOff>183356</xdr:colOff>
      <xdr:row>119</xdr:row>
      <xdr:rowOff>116672</xdr:rowOff>
    </xdr:from>
    <xdr:to>
      <xdr:col>42</xdr:col>
      <xdr:colOff>207168</xdr:colOff>
      <xdr:row>119</xdr:row>
      <xdr:rowOff>116672</xdr:rowOff>
    </xdr:to>
    <xdr:sp macro="" textlink="">
      <xdr:nvSpPr>
        <xdr:cNvPr id="533" name="Line 640">
          <a:extLst>
            <a:ext uri="{FF2B5EF4-FFF2-40B4-BE49-F238E27FC236}">
              <a16:creationId xmlns:a16="http://schemas.microsoft.com/office/drawing/2014/main" id="{00000000-0008-0000-1500-000015020000}"/>
            </a:ext>
          </a:extLst>
        </xdr:cNvPr>
        <xdr:cNvSpPr>
          <a:spLocks noChangeShapeType="1"/>
        </xdr:cNvSpPr>
      </xdr:nvSpPr>
      <xdr:spPr bwMode="auto">
        <a:xfrm rot="5400000">
          <a:off x="10102215" y="17542183"/>
          <a:ext cx="0" cy="27717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41</xdr:col>
      <xdr:colOff>166687</xdr:colOff>
      <xdr:row>120</xdr:row>
      <xdr:rowOff>127970</xdr:rowOff>
    </xdr:from>
    <xdr:to>
      <xdr:col>42</xdr:col>
      <xdr:colOff>197803</xdr:colOff>
      <xdr:row>120</xdr:row>
      <xdr:rowOff>127970</xdr:rowOff>
    </xdr:to>
    <xdr:sp macro="" textlink="">
      <xdr:nvSpPr>
        <xdr:cNvPr id="534" name="Line 746">
          <a:extLst>
            <a:ext uri="{FF2B5EF4-FFF2-40B4-BE49-F238E27FC236}">
              <a16:creationId xmlns:a16="http://schemas.microsoft.com/office/drawing/2014/main" id="{00000000-0008-0000-1500-000016020000}"/>
            </a:ext>
          </a:extLst>
        </xdr:cNvPr>
        <xdr:cNvSpPr>
          <a:spLocks noChangeShapeType="1"/>
        </xdr:cNvSpPr>
      </xdr:nvSpPr>
      <xdr:spPr bwMode="auto">
        <a:xfrm>
          <a:off x="9952672" y="17914955"/>
          <a:ext cx="276861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17</xdr:col>
      <xdr:colOff>235745</xdr:colOff>
      <xdr:row>111</xdr:row>
      <xdr:rowOff>114301</xdr:rowOff>
    </xdr:from>
    <xdr:to>
      <xdr:col>19</xdr:col>
      <xdr:colOff>35720</xdr:colOff>
      <xdr:row>111</xdr:row>
      <xdr:rowOff>114301</xdr:rowOff>
    </xdr:to>
    <xdr:sp macro="" textlink="">
      <xdr:nvSpPr>
        <xdr:cNvPr id="535" name="Line 693">
          <a:extLst>
            <a:ext uri="{FF2B5EF4-FFF2-40B4-BE49-F238E27FC236}">
              <a16:creationId xmlns:a16="http://schemas.microsoft.com/office/drawing/2014/main" id="{00000000-0008-0000-1500-000017020000}"/>
            </a:ext>
          </a:extLst>
        </xdr:cNvPr>
        <xdr:cNvSpPr>
          <a:spLocks noChangeShapeType="1"/>
        </xdr:cNvSpPr>
      </xdr:nvSpPr>
      <xdr:spPr bwMode="auto">
        <a:xfrm rot="5400000">
          <a:off x="4422935" y="15788641"/>
          <a:ext cx="0" cy="27432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149534</xdr:colOff>
      <xdr:row>111</xdr:row>
      <xdr:rowOff>124078</xdr:rowOff>
    </xdr:from>
    <xdr:to>
      <xdr:col>24</xdr:col>
      <xdr:colOff>160618</xdr:colOff>
      <xdr:row>111</xdr:row>
      <xdr:rowOff>124078</xdr:rowOff>
    </xdr:to>
    <xdr:sp macro="" textlink="">
      <xdr:nvSpPr>
        <xdr:cNvPr id="536" name="Line 726">
          <a:extLst>
            <a:ext uri="{FF2B5EF4-FFF2-40B4-BE49-F238E27FC236}">
              <a16:creationId xmlns:a16="http://schemas.microsoft.com/office/drawing/2014/main" id="{00000000-0008-0000-1500-000018020000}"/>
            </a:ext>
          </a:extLst>
        </xdr:cNvPr>
        <xdr:cNvSpPr>
          <a:spLocks noChangeShapeType="1"/>
        </xdr:cNvSpPr>
      </xdr:nvSpPr>
      <xdr:spPr bwMode="auto">
        <a:xfrm rot="5400000">
          <a:off x="5751966" y="15811926"/>
          <a:ext cx="0" cy="25111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112</xdr:row>
      <xdr:rowOff>102388</xdr:rowOff>
    </xdr:from>
    <xdr:to>
      <xdr:col>24</xdr:col>
      <xdr:colOff>166040</xdr:colOff>
      <xdr:row>112</xdr:row>
      <xdr:rowOff>102388</xdr:rowOff>
    </xdr:to>
    <xdr:sp macro="" textlink="">
      <xdr:nvSpPr>
        <xdr:cNvPr id="537" name="Line 727">
          <a:extLst>
            <a:ext uri="{FF2B5EF4-FFF2-40B4-BE49-F238E27FC236}">
              <a16:creationId xmlns:a16="http://schemas.microsoft.com/office/drawing/2014/main" id="{00000000-0008-0000-1500-000019020000}"/>
            </a:ext>
          </a:extLst>
        </xdr:cNvPr>
        <xdr:cNvSpPr>
          <a:spLocks noChangeShapeType="1"/>
        </xdr:cNvSpPr>
      </xdr:nvSpPr>
      <xdr:spPr bwMode="auto">
        <a:xfrm rot="5400000">
          <a:off x="5757388" y="16001691"/>
          <a:ext cx="0" cy="2549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119</xdr:row>
      <xdr:rowOff>121438</xdr:rowOff>
    </xdr:from>
    <xdr:to>
      <xdr:col>24</xdr:col>
      <xdr:colOff>166040</xdr:colOff>
      <xdr:row>119</xdr:row>
      <xdr:rowOff>121438</xdr:rowOff>
    </xdr:to>
    <xdr:sp macro="" textlink="">
      <xdr:nvSpPr>
        <xdr:cNvPr id="538" name="Line 728">
          <a:extLst>
            <a:ext uri="{FF2B5EF4-FFF2-40B4-BE49-F238E27FC236}">
              <a16:creationId xmlns:a16="http://schemas.microsoft.com/office/drawing/2014/main" id="{00000000-0008-0000-1500-00001A020000}"/>
            </a:ext>
          </a:extLst>
        </xdr:cNvPr>
        <xdr:cNvSpPr>
          <a:spLocks noChangeShapeType="1"/>
        </xdr:cNvSpPr>
      </xdr:nvSpPr>
      <xdr:spPr bwMode="auto">
        <a:xfrm rot="5400000">
          <a:off x="5757388" y="17559981"/>
          <a:ext cx="0" cy="254924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113</xdr:row>
      <xdr:rowOff>90485</xdr:rowOff>
    </xdr:from>
    <xdr:to>
      <xdr:col>24</xdr:col>
      <xdr:colOff>166040</xdr:colOff>
      <xdr:row>113</xdr:row>
      <xdr:rowOff>90485</xdr:rowOff>
    </xdr:to>
    <xdr:sp macro="" textlink="">
      <xdr:nvSpPr>
        <xdr:cNvPr id="539" name="Line 729">
          <a:extLst>
            <a:ext uri="{FF2B5EF4-FFF2-40B4-BE49-F238E27FC236}">
              <a16:creationId xmlns:a16="http://schemas.microsoft.com/office/drawing/2014/main" id="{00000000-0008-0000-1500-00001B020000}"/>
            </a:ext>
          </a:extLst>
        </xdr:cNvPr>
        <xdr:cNvSpPr>
          <a:spLocks noChangeShapeType="1"/>
        </xdr:cNvSpPr>
      </xdr:nvSpPr>
      <xdr:spPr bwMode="auto">
        <a:xfrm rot="5400000">
          <a:off x="5757388" y="16216483"/>
          <a:ext cx="0" cy="254924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116</xdr:row>
      <xdr:rowOff>111915</xdr:rowOff>
    </xdr:from>
    <xdr:to>
      <xdr:col>24</xdr:col>
      <xdr:colOff>166040</xdr:colOff>
      <xdr:row>116</xdr:row>
      <xdr:rowOff>111915</xdr:rowOff>
    </xdr:to>
    <xdr:sp macro="" textlink="">
      <xdr:nvSpPr>
        <xdr:cNvPr id="540" name="Line 640">
          <a:extLst>
            <a:ext uri="{FF2B5EF4-FFF2-40B4-BE49-F238E27FC236}">
              <a16:creationId xmlns:a16="http://schemas.microsoft.com/office/drawing/2014/main" id="{00000000-0008-0000-1500-00001C020000}"/>
            </a:ext>
          </a:extLst>
        </xdr:cNvPr>
        <xdr:cNvSpPr>
          <a:spLocks noChangeShapeType="1"/>
        </xdr:cNvSpPr>
      </xdr:nvSpPr>
      <xdr:spPr bwMode="auto">
        <a:xfrm rot="5400000">
          <a:off x="5757388" y="16891328"/>
          <a:ext cx="0" cy="254924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23</xdr:col>
      <xdr:colOff>153051</xdr:colOff>
      <xdr:row>117</xdr:row>
      <xdr:rowOff>111913</xdr:rowOff>
    </xdr:from>
    <xdr:to>
      <xdr:col>24</xdr:col>
      <xdr:colOff>166040</xdr:colOff>
      <xdr:row>117</xdr:row>
      <xdr:rowOff>111913</xdr:rowOff>
    </xdr:to>
    <xdr:sp macro="" textlink="">
      <xdr:nvSpPr>
        <xdr:cNvPr id="541" name="Line 525">
          <a:extLst>
            <a:ext uri="{FF2B5EF4-FFF2-40B4-BE49-F238E27FC236}">
              <a16:creationId xmlns:a16="http://schemas.microsoft.com/office/drawing/2014/main" id="{00000000-0008-0000-1500-00001D020000}"/>
            </a:ext>
          </a:extLst>
        </xdr:cNvPr>
        <xdr:cNvSpPr>
          <a:spLocks noChangeShapeType="1"/>
        </xdr:cNvSpPr>
      </xdr:nvSpPr>
      <xdr:spPr bwMode="auto">
        <a:xfrm rot="5400000">
          <a:off x="5757388" y="17110401"/>
          <a:ext cx="0" cy="254924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18</xdr:col>
      <xdr:colOff>2382</xdr:colOff>
      <xdr:row>117</xdr:row>
      <xdr:rowOff>130008</xdr:rowOff>
    </xdr:from>
    <xdr:to>
      <xdr:col>18</xdr:col>
      <xdr:colOff>234462</xdr:colOff>
      <xdr:row>117</xdr:row>
      <xdr:rowOff>130008</xdr:rowOff>
    </xdr:to>
    <xdr:sp macro="" textlink="">
      <xdr:nvSpPr>
        <xdr:cNvPr id="542" name="Line 640">
          <a:extLst>
            <a:ext uri="{FF2B5EF4-FFF2-40B4-BE49-F238E27FC236}">
              <a16:creationId xmlns:a16="http://schemas.microsoft.com/office/drawing/2014/main" id="{00000000-0008-0000-1500-00001E020000}"/>
            </a:ext>
          </a:extLst>
        </xdr:cNvPr>
        <xdr:cNvSpPr>
          <a:spLocks noChangeShapeType="1"/>
        </xdr:cNvSpPr>
      </xdr:nvSpPr>
      <xdr:spPr bwMode="auto">
        <a:xfrm rot="5400000">
          <a:off x="4405625" y="17142775"/>
          <a:ext cx="0" cy="233985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18</xdr:col>
      <xdr:colOff>2381</xdr:colOff>
      <xdr:row>112</xdr:row>
      <xdr:rowOff>100018</xdr:rowOff>
    </xdr:from>
    <xdr:to>
      <xdr:col>19</xdr:col>
      <xdr:colOff>40481</xdr:colOff>
      <xdr:row>112</xdr:row>
      <xdr:rowOff>100018</xdr:rowOff>
    </xdr:to>
    <xdr:sp macro="" textlink="">
      <xdr:nvSpPr>
        <xdr:cNvPr id="543" name="Line 749">
          <a:extLst>
            <a:ext uri="{FF2B5EF4-FFF2-40B4-BE49-F238E27FC236}">
              <a16:creationId xmlns:a16="http://schemas.microsoft.com/office/drawing/2014/main" id="{00000000-0008-0000-1500-00001F020000}"/>
            </a:ext>
          </a:extLst>
        </xdr:cNvPr>
        <xdr:cNvSpPr>
          <a:spLocks noChangeShapeType="1"/>
        </xdr:cNvSpPr>
      </xdr:nvSpPr>
      <xdr:spPr bwMode="auto">
        <a:xfrm rot="5400000">
          <a:off x="4426744" y="15988670"/>
          <a:ext cx="0" cy="27622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23</xdr:col>
      <xdr:colOff>154781</xdr:colOff>
      <xdr:row>118</xdr:row>
      <xdr:rowOff>135724</xdr:rowOff>
    </xdr:from>
    <xdr:to>
      <xdr:col>24</xdr:col>
      <xdr:colOff>178593</xdr:colOff>
      <xdr:row>118</xdr:row>
      <xdr:rowOff>135724</xdr:rowOff>
    </xdr:to>
    <xdr:sp macro="" textlink="">
      <xdr:nvSpPr>
        <xdr:cNvPr id="544" name="Line 640">
          <a:extLst>
            <a:ext uri="{FF2B5EF4-FFF2-40B4-BE49-F238E27FC236}">
              <a16:creationId xmlns:a16="http://schemas.microsoft.com/office/drawing/2014/main" id="{00000000-0008-0000-1500-000020020000}"/>
            </a:ext>
          </a:extLst>
        </xdr:cNvPr>
        <xdr:cNvSpPr>
          <a:spLocks noChangeShapeType="1"/>
        </xdr:cNvSpPr>
      </xdr:nvSpPr>
      <xdr:spPr bwMode="auto">
        <a:xfrm rot="5400000">
          <a:off x="5760720" y="17347875"/>
          <a:ext cx="0" cy="25812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11</xdr:col>
      <xdr:colOff>163624</xdr:colOff>
      <xdr:row>111</xdr:row>
      <xdr:rowOff>114286</xdr:rowOff>
    </xdr:from>
    <xdr:to>
      <xdr:col>12</xdr:col>
      <xdr:colOff>224584</xdr:colOff>
      <xdr:row>111</xdr:row>
      <xdr:rowOff>114286</xdr:rowOff>
    </xdr:to>
    <xdr:sp macro="" textlink="">
      <xdr:nvSpPr>
        <xdr:cNvPr id="545" name="Line 689">
          <a:extLst>
            <a:ext uri="{FF2B5EF4-FFF2-40B4-BE49-F238E27FC236}">
              <a16:creationId xmlns:a16="http://schemas.microsoft.com/office/drawing/2014/main" id="{00000000-0008-0000-1500-000021020000}"/>
            </a:ext>
          </a:extLst>
        </xdr:cNvPr>
        <xdr:cNvSpPr>
          <a:spLocks noChangeShapeType="1"/>
        </xdr:cNvSpPr>
      </xdr:nvSpPr>
      <xdr:spPr bwMode="auto">
        <a:xfrm rot="5400000">
          <a:off x="2932542" y="15778148"/>
          <a:ext cx="0" cy="29527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163624</xdr:colOff>
      <xdr:row>116</xdr:row>
      <xdr:rowOff>131431</xdr:rowOff>
    </xdr:from>
    <xdr:to>
      <xdr:col>12</xdr:col>
      <xdr:colOff>224584</xdr:colOff>
      <xdr:row>116</xdr:row>
      <xdr:rowOff>131431</xdr:rowOff>
    </xdr:to>
    <xdr:sp macro="" textlink="">
      <xdr:nvSpPr>
        <xdr:cNvPr id="546" name="Line 525">
          <a:extLst>
            <a:ext uri="{FF2B5EF4-FFF2-40B4-BE49-F238E27FC236}">
              <a16:creationId xmlns:a16="http://schemas.microsoft.com/office/drawing/2014/main" id="{00000000-0008-0000-1500-000022020000}"/>
            </a:ext>
          </a:extLst>
        </xdr:cNvPr>
        <xdr:cNvSpPr>
          <a:spLocks noChangeShapeType="1"/>
        </xdr:cNvSpPr>
      </xdr:nvSpPr>
      <xdr:spPr bwMode="auto">
        <a:xfrm rot="5400000">
          <a:off x="2932542" y="16894478"/>
          <a:ext cx="0" cy="295275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11</xdr:col>
      <xdr:colOff>212202</xdr:colOff>
      <xdr:row>117</xdr:row>
      <xdr:rowOff>95242</xdr:rowOff>
    </xdr:from>
    <xdr:to>
      <xdr:col>12</xdr:col>
      <xdr:colOff>224584</xdr:colOff>
      <xdr:row>117</xdr:row>
      <xdr:rowOff>95242</xdr:rowOff>
    </xdr:to>
    <xdr:sp macro="" textlink="">
      <xdr:nvSpPr>
        <xdr:cNvPr id="547" name="Line 640">
          <a:extLst>
            <a:ext uri="{FF2B5EF4-FFF2-40B4-BE49-F238E27FC236}">
              <a16:creationId xmlns:a16="http://schemas.microsoft.com/office/drawing/2014/main" id="{00000000-0008-0000-1500-000023020000}"/>
            </a:ext>
          </a:extLst>
        </xdr:cNvPr>
        <xdr:cNvSpPr>
          <a:spLocks noChangeShapeType="1"/>
        </xdr:cNvSpPr>
      </xdr:nvSpPr>
      <xdr:spPr bwMode="auto">
        <a:xfrm rot="5400000">
          <a:off x="2953973" y="17098796"/>
          <a:ext cx="0" cy="25241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11</xdr:col>
      <xdr:colOff>175054</xdr:colOff>
      <xdr:row>112</xdr:row>
      <xdr:rowOff>78586</xdr:rowOff>
    </xdr:from>
    <xdr:to>
      <xdr:col>12</xdr:col>
      <xdr:colOff>224584</xdr:colOff>
      <xdr:row>112</xdr:row>
      <xdr:rowOff>78586</xdr:rowOff>
    </xdr:to>
    <xdr:sp macro="" textlink="">
      <xdr:nvSpPr>
        <xdr:cNvPr id="548" name="Line 749">
          <a:extLst>
            <a:ext uri="{FF2B5EF4-FFF2-40B4-BE49-F238E27FC236}">
              <a16:creationId xmlns:a16="http://schemas.microsoft.com/office/drawing/2014/main" id="{00000000-0008-0000-1500-000024020000}"/>
            </a:ext>
          </a:extLst>
        </xdr:cNvPr>
        <xdr:cNvSpPr>
          <a:spLocks noChangeShapeType="1"/>
        </xdr:cNvSpPr>
      </xdr:nvSpPr>
      <xdr:spPr bwMode="auto">
        <a:xfrm rot="5400000">
          <a:off x="2935399" y="15964381"/>
          <a:ext cx="0" cy="28956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14</xdr:col>
      <xdr:colOff>18549</xdr:colOff>
      <xdr:row>109</xdr:row>
      <xdr:rowOff>27573</xdr:rowOff>
    </xdr:from>
    <xdr:to>
      <xdr:col>15</xdr:col>
      <xdr:colOff>199524</xdr:colOff>
      <xdr:row>109</xdr:row>
      <xdr:rowOff>27573</xdr:rowOff>
    </xdr:to>
    <xdr:sp macro="" textlink="">
      <xdr:nvSpPr>
        <xdr:cNvPr id="549" name="Line 668">
          <a:extLst>
            <a:ext uri="{FF2B5EF4-FFF2-40B4-BE49-F238E27FC236}">
              <a16:creationId xmlns:a16="http://schemas.microsoft.com/office/drawing/2014/main" id="{00000000-0008-0000-1500-000025020000}"/>
            </a:ext>
          </a:extLst>
        </xdr:cNvPr>
        <xdr:cNvSpPr>
          <a:spLocks noChangeShapeType="1"/>
        </xdr:cNvSpPr>
      </xdr:nvSpPr>
      <xdr:spPr bwMode="auto">
        <a:xfrm rot="5400000">
          <a:off x="3564707" y="15190420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48126</xdr:colOff>
      <xdr:row>109</xdr:row>
      <xdr:rowOff>27573</xdr:rowOff>
    </xdr:from>
    <xdr:to>
      <xdr:col>18</xdr:col>
      <xdr:colOff>229101</xdr:colOff>
      <xdr:row>109</xdr:row>
      <xdr:rowOff>27573</xdr:rowOff>
    </xdr:to>
    <xdr:sp macro="" textlink="">
      <xdr:nvSpPr>
        <xdr:cNvPr id="550" name="Line 669">
          <a:extLst>
            <a:ext uri="{FF2B5EF4-FFF2-40B4-BE49-F238E27FC236}">
              <a16:creationId xmlns:a16="http://schemas.microsoft.com/office/drawing/2014/main" id="{00000000-0008-0000-1500-000026020000}"/>
            </a:ext>
          </a:extLst>
        </xdr:cNvPr>
        <xdr:cNvSpPr>
          <a:spLocks noChangeShapeType="1"/>
        </xdr:cNvSpPr>
      </xdr:nvSpPr>
      <xdr:spPr bwMode="auto">
        <a:xfrm rot="5400000">
          <a:off x="4306754" y="15190420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15</xdr:col>
      <xdr:colOff>227134</xdr:colOff>
      <xdr:row>109</xdr:row>
      <xdr:rowOff>32611</xdr:rowOff>
    </xdr:from>
    <xdr:to>
      <xdr:col>17</xdr:col>
      <xdr:colOff>19636</xdr:colOff>
      <xdr:row>109</xdr:row>
      <xdr:rowOff>32611</xdr:rowOff>
    </xdr:to>
    <xdr:sp macro="" textlink="">
      <xdr:nvSpPr>
        <xdr:cNvPr id="551" name="Line 749">
          <a:extLst>
            <a:ext uri="{FF2B5EF4-FFF2-40B4-BE49-F238E27FC236}">
              <a16:creationId xmlns:a16="http://schemas.microsoft.com/office/drawing/2014/main" id="{00000000-0008-0000-1500-000027020000}"/>
            </a:ext>
          </a:extLst>
        </xdr:cNvPr>
        <xdr:cNvSpPr>
          <a:spLocks noChangeShapeType="1"/>
        </xdr:cNvSpPr>
      </xdr:nvSpPr>
      <xdr:spPr bwMode="auto">
        <a:xfrm rot="5400000">
          <a:off x="3931480" y="15271585"/>
          <a:ext cx="0" cy="264942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15</xdr:col>
      <xdr:colOff>233546</xdr:colOff>
      <xdr:row>106</xdr:row>
      <xdr:rowOff>204561</xdr:rowOff>
    </xdr:from>
    <xdr:to>
      <xdr:col>17</xdr:col>
      <xdr:colOff>23043</xdr:colOff>
      <xdr:row>106</xdr:row>
      <xdr:rowOff>204561</xdr:rowOff>
    </xdr:to>
    <xdr:sp macro="" textlink="">
      <xdr:nvSpPr>
        <xdr:cNvPr id="552" name="Line 640">
          <a:extLst>
            <a:ext uri="{FF2B5EF4-FFF2-40B4-BE49-F238E27FC236}">
              <a16:creationId xmlns:a16="http://schemas.microsoft.com/office/drawing/2014/main" id="{00000000-0008-0000-1500-000028020000}"/>
            </a:ext>
          </a:extLst>
        </xdr:cNvPr>
        <xdr:cNvSpPr>
          <a:spLocks noChangeShapeType="1"/>
        </xdr:cNvSpPr>
      </xdr:nvSpPr>
      <xdr:spPr bwMode="auto">
        <a:xfrm rot="5400000">
          <a:off x="3937342" y="14794480"/>
          <a:ext cx="0" cy="26003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20</xdr:col>
      <xdr:colOff>28575</xdr:colOff>
      <xdr:row>106</xdr:row>
      <xdr:rowOff>209550</xdr:rowOff>
    </xdr:from>
    <xdr:to>
      <xdr:col>21</xdr:col>
      <xdr:colOff>209550</xdr:colOff>
      <xdr:row>106</xdr:row>
      <xdr:rowOff>209550</xdr:rowOff>
    </xdr:to>
    <xdr:sp macro="" textlink="">
      <xdr:nvSpPr>
        <xdr:cNvPr id="553" name="Line 695">
          <a:extLst>
            <a:ext uri="{FF2B5EF4-FFF2-40B4-BE49-F238E27FC236}">
              <a16:creationId xmlns:a16="http://schemas.microsoft.com/office/drawing/2014/main" id="{00000000-0008-0000-1500-000029020000}"/>
            </a:ext>
          </a:extLst>
        </xdr:cNvPr>
        <xdr:cNvSpPr>
          <a:spLocks noChangeShapeType="1"/>
        </xdr:cNvSpPr>
      </xdr:nvSpPr>
      <xdr:spPr bwMode="auto">
        <a:xfrm rot="5400000">
          <a:off x="4997768" y="14713267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23</xdr:col>
      <xdr:colOff>38100</xdr:colOff>
      <xdr:row>106</xdr:row>
      <xdr:rowOff>209550</xdr:rowOff>
    </xdr:from>
    <xdr:to>
      <xdr:col>24</xdr:col>
      <xdr:colOff>219075</xdr:colOff>
      <xdr:row>106</xdr:row>
      <xdr:rowOff>209550</xdr:rowOff>
    </xdr:to>
    <xdr:sp macro="" textlink="">
      <xdr:nvSpPr>
        <xdr:cNvPr id="554" name="Line 696">
          <a:extLst>
            <a:ext uri="{FF2B5EF4-FFF2-40B4-BE49-F238E27FC236}">
              <a16:creationId xmlns:a16="http://schemas.microsoft.com/office/drawing/2014/main" id="{00000000-0008-0000-1500-00002A020000}"/>
            </a:ext>
          </a:extLst>
        </xdr:cNvPr>
        <xdr:cNvSpPr>
          <a:spLocks noChangeShapeType="1"/>
        </xdr:cNvSpPr>
      </xdr:nvSpPr>
      <xdr:spPr bwMode="auto">
        <a:xfrm rot="5400000">
          <a:off x="5723573" y="14713267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20</xdr:col>
      <xdr:colOff>28575</xdr:colOff>
      <xdr:row>109</xdr:row>
      <xdr:rowOff>28074</xdr:rowOff>
    </xdr:from>
    <xdr:to>
      <xdr:col>21</xdr:col>
      <xdr:colOff>209550</xdr:colOff>
      <xdr:row>109</xdr:row>
      <xdr:rowOff>28074</xdr:rowOff>
    </xdr:to>
    <xdr:sp macro="" textlink="">
      <xdr:nvSpPr>
        <xdr:cNvPr id="555" name="Line 697">
          <a:extLst>
            <a:ext uri="{FF2B5EF4-FFF2-40B4-BE49-F238E27FC236}">
              <a16:creationId xmlns:a16="http://schemas.microsoft.com/office/drawing/2014/main" id="{00000000-0008-0000-1500-00002B020000}"/>
            </a:ext>
          </a:extLst>
        </xdr:cNvPr>
        <xdr:cNvSpPr>
          <a:spLocks noChangeShapeType="1"/>
        </xdr:cNvSpPr>
      </xdr:nvSpPr>
      <xdr:spPr bwMode="auto">
        <a:xfrm rot="5400000">
          <a:off x="4997768" y="15190921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58152</xdr:colOff>
      <xdr:row>109</xdr:row>
      <xdr:rowOff>28074</xdr:rowOff>
    </xdr:from>
    <xdr:to>
      <xdr:col>24</xdr:col>
      <xdr:colOff>239127</xdr:colOff>
      <xdr:row>109</xdr:row>
      <xdr:rowOff>28074</xdr:rowOff>
    </xdr:to>
    <xdr:sp macro="" textlink="">
      <xdr:nvSpPr>
        <xdr:cNvPr id="556" name="Line 698">
          <a:extLst>
            <a:ext uri="{FF2B5EF4-FFF2-40B4-BE49-F238E27FC236}">
              <a16:creationId xmlns:a16="http://schemas.microsoft.com/office/drawing/2014/main" id="{00000000-0008-0000-1500-00002C020000}"/>
            </a:ext>
          </a:extLst>
        </xdr:cNvPr>
        <xdr:cNvSpPr>
          <a:spLocks noChangeShapeType="1"/>
        </xdr:cNvSpPr>
      </xdr:nvSpPr>
      <xdr:spPr bwMode="auto">
        <a:xfrm rot="5400000">
          <a:off x="5743625" y="15187111"/>
          <a:ext cx="0" cy="42481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19</xdr:col>
      <xdr:colOff>209550</xdr:colOff>
      <xdr:row>107</xdr:row>
      <xdr:rowOff>38100</xdr:rowOff>
    </xdr:from>
    <xdr:to>
      <xdr:col>19</xdr:col>
      <xdr:colOff>209550</xdr:colOff>
      <xdr:row>108</xdr:row>
      <xdr:rowOff>200025</xdr:rowOff>
    </xdr:to>
    <xdr:sp macro="" textlink="">
      <xdr:nvSpPr>
        <xdr:cNvPr id="557" name="Line 721">
          <a:extLst>
            <a:ext uri="{FF2B5EF4-FFF2-40B4-BE49-F238E27FC236}">
              <a16:creationId xmlns:a16="http://schemas.microsoft.com/office/drawing/2014/main" id="{00000000-0008-0000-1500-00002D020000}"/>
            </a:ext>
          </a:extLst>
        </xdr:cNvPr>
        <xdr:cNvSpPr>
          <a:spLocks noChangeShapeType="1"/>
        </xdr:cNvSpPr>
      </xdr:nvSpPr>
      <xdr:spPr bwMode="auto">
        <a:xfrm>
          <a:off x="4730115" y="14973300"/>
          <a:ext cx="0" cy="38290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25</xdr:col>
      <xdr:colOff>47625</xdr:colOff>
      <xdr:row>107</xdr:row>
      <xdr:rowOff>38100</xdr:rowOff>
    </xdr:from>
    <xdr:to>
      <xdr:col>25</xdr:col>
      <xdr:colOff>47625</xdr:colOff>
      <xdr:row>108</xdr:row>
      <xdr:rowOff>200025</xdr:rowOff>
    </xdr:to>
    <xdr:sp macro="" textlink="">
      <xdr:nvSpPr>
        <xdr:cNvPr id="558" name="Line 723">
          <a:extLst>
            <a:ext uri="{FF2B5EF4-FFF2-40B4-BE49-F238E27FC236}">
              <a16:creationId xmlns:a16="http://schemas.microsoft.com/office/drawing/2014/main" id="{00000000-0008-0000-1500-00002E020000}"/>
            </a:ext>
          </a:extLst>
        </xdr:cNvPr>
        <xdr:cNvSpPr>
          <a:spLocks noChangeShapeType="1"/>
        </xdr:cNvSpPr>
      </xdr:nvSpPr>
      <xdr:spPr bwMode="auto">
        <a:xfrm>
          <a:off x="6002655" y="14973300"/>
          <a:ext cx="0" cy="38290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23</xdr:col>
      <xdr:colOff>20290</xdr:colOff>
      <xdr:row>107</xdr:row>
      <xdr:rowOff>30023</xdr:rowOff>
    </xdr:from>
    <xdr:to>
      <xdr:col>23</xdr:col>
      <xdr:colOff>20290</xdr:colOff>
      <xdr:row>108</xdr:row>
      <xdr:rowOff>212485</xdr:rowOff>
    </xdr:to>
    <xdr:sp macro="" textlink="">
      <xdr:nvSpPr>
        <xdr:cNvPr id="559" name="Line 640">
          <a:extLst>
            <a:ext uri="{FF2B5EF4-FFF2-40B4-BE49-F238E27FC236}">
              <a16:creationId xmlns:a16="http://schemas.microsoft.com/office/drawing/2014/main" id="{00000000-0008-0000-1500-00002F020000}"/>
            </a:ext>
          </a:extLst>
        </xdr:cNvPr>
        <xdr:cNvSpPr>
          <a:spLocks noChangeShapeType="1"/>
        </xdr:cNvSpPr>
      </xdr:nvSpPr>
      <xdr:spPr bwMode="auto">
        <a:xfrm rot="5400000">
          <a:off x="5293539" y="15163134"/>
          <a:ext cx="399632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19</xdr:col>
      <xdr:colOff>201268</xdr:colOff>
      <xdr:row>105</xdr:row>
      <xdr:rowOff>165295</xdr:rowOff>
    </xdr:from>
    <xdr:to>
      <xdr:col>19</xdr:col>
      <xdr:colOff>201268</xdr:colOff>
      <xdr:row>107</xdr:row>
      <xdr:rowOff>12895</xdr:rowOff>
    </xdr:to>
    <xdr:sp macro="" textlink="">
      <xdr:nvSpPr>
        <xdr:cNvPr id="560" name="Line 729">
          <a:extLst>
            <a:ext uri="{FF2B5EF4-FFF2-40B4-BE49-F238E27FC236}">
              <a16:creationId xmlns:a16="http://schemas.microsoft.com/office/drawing/2014/main" id="{00000000-0008-0000-1500-000030020000}"/>
            </a:ext>
          </a:extLst>
        </xdr:cNvPr>
        <xdr:cNvSpPr>
          <a:spLocks noChangeShapeType="1"/>
        </xdr:cNvSpPr>
      </xdr:nvSpPr>
      <xdr:spPr bwMode="auto">
        <a:xfrm rot="10800000">
          <a:off x="4727548" y="14666155"/>
          <a:ext cx="0" cy="28575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25</xdr:col>
      <xdr:colOff>49528</xdr:colOff>
      <xdr:row>105</xdr:row>
      <xdr:rowOff>182916</xdr:rowOff>
    </xdr:from>
    <xdr:to>
      <xdr:col>25</xdr:col>
      <xdr:colOff>49528</xdr:colOff>
      <xdr:row>107</xdr:row>
      <xdr:rowOff>30736</xdr:rowOff>
    </xdr:to>
    <xdr:sp macro="" textlink="">
      <xdr:nvSpPr>
        <xdr:cNvPr id="561" name="Line 729">
          <a:extLst>
            <a:ext uri="{FF2B5EF4-FFF2-40B4-BE49-F238E27FC236}">
              <a16:creationId xmlns:a16="http://schemas.microsoft.com/office/drawing/2014/main" id="{00000000-0008-0000-1500-000031020000}"/>
            </a:ext>
          </a:extLst>
        </xdr:cNvPr>
        <xdr:cNvSpPr>
          <a:spLocks noChangeShapeType="1"/>
        </xdr:cNvSpPr>
      </xdr:nvSpPr>
      <xdr:spPr bwMode="auto">
        <a:xfrm rot="10800000">
          <a:off x="6004558" y="14678061"/>
          <a:ext cx="0" cy="28597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21</xdr:col>
      <xdr:colOff>227423</xdr:colOff>
      <xdr:row>107</xdr:row>
      <xdr:rowOff>29634</xdr:rowOff>
    </xdr:from>
    <xdr:to>
      <xdr:col>21</xdr:col>
      <xdr:colOff>227423</xdr:colOff>
      <xdr:row>108</xdr:row>
      <xdr:rowOff>212484</xdr:rowOff>
    </xdr:to>
    <xdr:sp macro="" textlink="">
      <xdr:nvSpPr>
        <xdr:cNvPr id="562" name="Line 640">
          <a:extLst>
            <a:ext uri="{FF2B5EF4-FFF2-40B4-BE49-F238E27FC236}">
              <a16:creationId xmlns:a16="http://schemas.microsoft.com/office/drawing/2014/main" id="{00000000-0008-0000-1500-000032020000}"/>
            </a:ext>
          </a:extLst>
        </xdr:cNvPr>
        <xdr:cNvSpPr>
          <a:spLocks noChangeShapeType="1"/>
        </xdr:cNvSpPr>
      </xdr:nvSpPr>
      <xdr:spPr bwMode="auto">
        <a:xfrm rot="5400000">
          <a:off x="5028038" y="15162939"/>
          <a:ext cx="400020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21</xdr:col>
      <xdr:colOff>219074</xdr:colOff>
      <xdr:row>109</xdr:row>
      <xdr:rowOff>39983</xdr:rowOff>
    </xdr:from>
    <xdr:to>
      <xdr:col>23</xdr:col>
      <xdr:colOff>19049</xdr:colOff>
      <xdr:row>109</xdr:row>
      <xdr:rowOff>39983</xdr:rowOff>
    </xdr:to>
    <xdr:sp macro="" textlink="">
      <xdr:nvSpPr>
        <xdr:cNvPr id="563" name="Line 749">
          <a:extLst>
            <a:ext uri="{FF2B5EF4-FFF2-40B4-BE49-F238E27FC236}">
              <a16:creationId xmlns:a16="http://schemas.microsoft.com/office/drawing/2014/main" id="{00000000-0008-0000-1500-000033020000}"/>
            </a:ext>
          </a:extLst>
        </xdr:cNvPr>
        <xdr:cNvSpPr>
          <a:spLocks noChangeShapeType="1"/>
        </xdr:cNvSpPr>
      </xdr:nvSpPr>
      <xdr:spPr bwMode="auto">
        <a:xfrm rot="5400000">
          <a:off x="5358764" y="15272363"/>
          <a:ext cx="0" cy="2819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21</xdr:col>
      <xdr:colOff>236186</xdr:colOff>
      <xdr:row>106</xdr:row>
      <xdr:rowOff>197816</xdr:rowOff>
    </xdr:from>
    <xdr:to>
      <xdr:col>23</xdr:col>
      <xdr:colOff>14400</xdr:colOff>
      <xdr:row>106</xdr:row>
      <xdr:rowOff>197816</xdr:rowOff>
    </xdr:to>
    <xdr:sp macro="" textlink="">
      <xdr:nvSpPr>
        <xdr:cNvPr id="564" name="Line 640">
          <a:extLst>
            <a:ext uri="{FF2B5EF4-FFF2-40B4-BE49-F238E27FC236}">
              <a16:creationId xmlns:a16="http://schemas.microsoft.com/office/drawing/2014/main" id="{00000000-0008-0000-1500-000034020000}"/>
            </a:ext>
          </a:extLst>
        </xdr:cNvPr>
        <xdr:cNvSpPr>
          <a:spLocks noChangeShapeType="1"/>
        </xdr:cNvSpPr>
      </xdr:nvSpPr>
      <xdr:spPr bwMode="auto">
        <a:xfrm rot="5400000">
          <a:off x="5366901" y="14787661"/>
          <a:ext cx="0" cy="256369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26</xdr:col>
      <xdr:colOff>28575</xdr:colOff>
      <xdr:row>106</xdr:row>
      <xdr:rowOff>209550</xdr:rowOff>
    </xdr:from>
    <xdr:to>
      <xdr:col>27</xdr:col>
      <xdr:colOff>209550</xdr:colOff>
      <xdr:row>106</xdr:row>
      <xdr:rowOff>209550</xdr:rowOff>
    </xdr:to>
    <xdr:sp macro="" textlink="">
      <xdr:nvSpPr>
        <xdr:cNvPr id="565" name="Line 634">
          <a:extLst>
            <a:ext uri="{FF2B5EF4-FFF2-40B4-BE49-F238E27FC236}">
              <a16:creationId xmlns:a16="http://schemas.microsoft.com/office/drawing/2014/main" id="{00000000-0008-0000-1500-000035020000}"/>
            </a:ext>
          </a:extLst>
        </xdr:cNvPr>
        <xdr:cNvSpPr>
          <a:spLocks noChangeShapeType="1"/>
        </xdr:cNvSpPr>
      </xdr:nvSpPr>
      <xdr:spPr bwMode="auto">
        <a:xfrm rot="5400000">
          <a:off x="6426518" y="14713267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29</xdr:col>
      <xdr:colOff>38100</xdr:colOff>
      <xdr:row>106</xdr:row>
      <xdr:rowOff>209550</xdr:rowOff>
    </xdr:from>
    <xdr:to>
      <xdr:col>30</xdr:col>
      <xdr:colOff>219075</xdr:colOff>
      <xdr:row>106</xdr:row>
      <xdr:rowOff>209550</xdr:rowOff>
    </xdr:to>
    <xdr:sp macro="" textlink="">
      <xdr:nvSpPr>
        <xdr:cNvPr id="566" name="Line 635">
          <a:extLst>
            <a:ext uri="{FF2B5EF4-FFF2-40B4-BE49-F238E27FC236}">
              <a16:creationId xmlns:a16="http://schemas.microsoft.com/office/drawing/2014/main" id="{00000000-0008-0000-1500-000036020000}"/>
            </a:ext>
          </a:extLst>
        </xdr:cNvPr>
        <xdr:cNvSpPr>
          <a:spLocks noChangeShapeType="1"/>
        </xdr:cNvSpPr>
      </xdr:nvSpPr>
      <xdr:spPr bwMode="auto">
        <a:xfrm rot="5400000">
          <a:off x="7152323" y="14713267"/>
          <a:ext cx="0" cy="41719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26</xdr:col>
      <xdr:colOff>28575</xdr:colOff>
      <xdr:row>109</xdr:row>
      <xdr:rowOff>38100</xdr:rowOff>
    </xdr:from>
    <xdr:to>
      <xdr:col>27</xdr:col>
      <xdr:colOff>209550</xdr:colOff>
      <xdr:row>109</xdr:row>
      <xdr:rowOff>38100</xdr:rowOff>
    </xdr:to>
    <xdr:sp macro="" textlink="">
      <xdr:nvSpPr>
        <xdr:cNvPr id="567" name="Line 711">
          <a:extLst>
            <a:ext uri="{FF2B5EF4-FFF2-40B4-BE49-F238E27FC236}">
              <a16:creationId xmlns:a16="http://schemas.microsoft.com/office/drawing/2014/main" id="{00000000-0008-0000-1500-000037020000}"/>
            </a:ext>
          </a:extLst>
        </xdr:cNvPr>
        <xdr:cNvSpPr>
          <a:spLocks noChangeShapeType="1"/>
        </xdr:cNvSpPr>
      </xdr:nvSpPr>
      <xdr:spPr bwMode="auto">
        <a:xfrm rot="5400000">
          <a:off x="6426518" y="15202852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29</xdr:col>
      <xdr:colOff>38100</xdr:colOff>
      <xdr:row>109</xdr:row>
      <xdr:rowOff>38100</xdr:rowOff>
    </xdr:from>
    <xdr:to>
      <xdr:col>30</xdr:col>
      <xdr:colOff>219075</xdr:colOff>
      <xdr:row>109</xdr:row>
      <xdr:rowOff>38100</xdr:rowOff>
    </xdr:to>
    <xdr:sp macro="" textlink="">
      <xdr:nvSpPr>
        <xdr:cNvPr id="568" name="Line 712">
          <a:extLst>
            <a:ext uri="{FF2B5EF4-FFF2-40B4-BE49-F238E27FC236}">
              <a16:creationId xmlns:a16="http://schemas.microsoft.com/office/drawing/2014/main" id="{00000000-0008-0000-1500-000038020000}"/>
            </a:ext>
          </a:extLst>
        </xdr:cNvPr>
        <xdr:cNvSpPr>
          <a:spLocks noChangeShapeType="1"/>
        </xdr:cNvSpPr>
      </xdr:nvSpPr>
      <xdr:spPr bwMode="auto">
        <a:xfrm rot="5400000">
          <a:off x="7152323" y="15202852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25</xdr:col>
      <xdr:colOff>209550</xdr:colOff>
      <xdr:row>107</xdr:row>
      <xdr:rowOff>47625</xdr:rowOff>
    </xdr:from>
    <xdr:to>
      <xdr:col>25</xdr:col>
      <xdr:colOff>209550</xdr:colOff>
      <xdr:row>108</xdr:row>
      <xdr:rowOff>209550</xdr:rowOff>
    </xdr:to>
    <xdr:sp macro="" textlink="">
      <xdr:nvSpPr>
        <xdr:cNvPr id="569" name="Line 741">
          <a:extLst>
            <a:ext uri="{FF2B5EF4-FFF2-40B4-BE49-F238E27FC236}">
              <a16:creationId xmlns:a16="http://schemas.microsoft.com/office/drawing/2014/main" id="{00000000-0008-0000-1500-000039020000}"/>
            </a:ext>
          </a:extLst>
        </xdr:cNvPr>
        <xdr:cNvSpPr>
          <a:spLocks noChangeShapeType="1"/>
        </xdr:cNvSpPr>
      </xdr:nvSpPr>
      <xdr:spPr bwMode="auto">
        <a:xfrm>
          <a:off x="6158865" y="14984730"/>
          <a:ext cx="0" cy="37528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31</xdr:col>
      <xdr:colOff>37599</xdr:colOff>
      <xdr:row>107</xdr:row>
      <xdr:rowOff>47625</xdr:rowOff>
    </xdr:from>
    <xdr:to>
      <xdr:col>31</xdr:col>
      <xdr:colOff>37599</xdr:colOff>
      <xdr:row>108</xdr:row>
      <xdr:rowOff>209550</xdr:rowOff>
    </xdr:to>
    <xdr:sp macro="" textlink="">
      <xdr:nvSpPr>
        <xdr:cNvPr id="570" name="Line 742">
          <a:extLst>
            <a:ext uri="{FF2B5EF4-FFF2-40B4-BE49-F238E27FC236}">
              <a16:creationId xmlns:a16="http://schemas.microsoft.com/office/drawing/2014/main" id="{00000000-0008-0000-1500-00003A020000}"/>
            </a:ext>
          </a:extLst>
        </xdr:cNvPr>
        <xdr:cNvSpPr>
          <a:spLocks noChangeShapeType="1"/>
        </xdr:cNvSpPr>
      </xdr:nvSpPr>
      <xdr:spPr bwMode="auto">
        <a:xfrm>
          <a:off x="7419474" y="14984730"/>
          <a:ext cx="0" cy="37528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27</xdr:col>
      <xdr:colOff>223838</xdr:colOff>
      <xdr:row>109</xdr:row>
      <xdr:rowOff>30958</xdr:rowOff>
    </xdr:from>
    <xdr:to>
      <xdr:col>29</xdr:col>
      <xdr:colOff>23813</xdr:colOff>
      <xdr:row>109</xdr:row>
      <xdr:rowOff>30958</xdr:rowOff>
    </xdr:to>
    <xdr:sp macro="" textlink="">
      <xdr:nvSpPr>
        <xdr:cNvPr id="571" name="Line 749">
          <a:extLst>
            <a:ext uri="{FF2B5EF4-FFF2-40B4-BE49-F238E27FC236}">
              <a16:creationId xmlns:a16="http://schemas.microsoft.com/office/drawing/2014/main" id="{00000000-0008-0000-1500-00003B020000}"/>
            </a:ext>
          </a:extLst>
        </xdr:cNvPr>
        <xdr:cNvSpPr>
          <a:spLocks noChangeShapeType="1"/>
        </xdr:cNvSpPr>
      </xdr:nvSpPr>
      <xdr:spPr bwMode="auto">
        <a:xfrm rot="5400000">
          <a:off x="6788468" y="15265243"/>
          <a:ext cx="0" cy="27432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28</xdr:col>
      <xdr:colOff>229789</xdr:colOff>
      <xdr:row>107</xdr:row>
      <xdr:rowOff>47626</xdr:rowOff>
    </xdr:from>
    <xdr:to>
      <xdr:col>28</xdr:col>
      <xdr:colOff>230977</xdr:colOff>
      <xdr:row>108</xdr:row>
      <xdr:rowOff>204787</xdr:rowOff>
    </xdr:to>
    <xdr:sp macro="" textlink="">
      <xdr:nvSpPr>
        <xdr:cNvPr id="572" name="Line 640">
          <a:extLst>
            <a:ext uri="{FF2B5EF4-FFF2-40B4-BE49-F238E27FC236}">
              <a16:creationId xmlns:a16="http://schemas.microsoft.com/office/drawing/2014/main" id="{00000000-0008-0000-1500-00003C020000}"/>
            </a:ext>
          </a:extLst>
        </xdr:cNvPr>
        <xdr:cNvSpPr>
          <a:spLocks noChangeShapeType="1"/>
        </xdr:cNvSpPr>
      </xdr:nvSpPr>
      <xdr:spPr bwMode="auto">
        <a:xfrm rot="5400000">
          <a:off x="6708812" y="15173208"/>
          <a:ext cx="378141" cy="1188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25</xdr:col>
      <xdr:colOff>210472</xdr:colOff>
      <xdr:row>105</xdr:row>
      <xdr:rowOff>9176</xdr:rowOff>
    </xdr:from>
    <xdr:to>
      <xdr:col>25</xdr:col>
      <xdr:colOff>210472</xdr:colOff>
      <xdr:row>106</xdr:row>
      <xdr:rowOff>206888</xdr:rowOff>
    </xdr:to>
    <xdr:sp macro="" textlink="">
      <xdr:nvSpPr>
        <xdr:cNvPr id="573" name="Line 510">
          <a:extLst>
            <a:ext uri="{FF2B5EF4-FFF2-40B4-BE49-F238E27FC236}">
              <a16:creationId xmlns:a16="http://schemas.microsoft.com/office/drawing/2014/main" id="{00000000-0008-0000-1500-00003D020000}"/>
            </a:ext>
          </a:extLst>
        </xdr:cNvPr>
        <xdr:cNvSpPr>
          <a:spLocks noChangeShapeType="1"/>
        </xdr:cNvSpPr>
      </xdr:nvSpPr>
      <xdr:spPr bwMode="auto">
        <a:xfrm>
          <a:off x="6159787" y="14508131"/>
          <a:ext cx="0" cy="41869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31</xdr:col>
      <xdr:colOff>30246</xdr:colOff>
      <xdr:row>104</xdr:row>
      <xdr:rowOff>217708</xdr:rowOff>
    </xdr:from>
    <xdr:to>
      <xdr:col>31</xdr:col>
      <xdr:colOff>30246</xdr:colOff>
      <xdr:row>106</xdr:row>
      <xdr:rowOff>197706</xdr:rowOff>
    </xdr:to>
    <xdr:sp macro="" textlink="">
      <xdr:nvSpPr>
        <xdr:cNvPr id="574" name="Line 510">
          <a:extLst>
            <a:ext uri="{FF2B5EF4-FFF2-40B4-BE49-F238E27FC236}">
              <a16:creationId xmlns:a16="http://schemas.microsoft.com/office/drawing/2014/main" id="{00000000-0008-0000-1500-00003E020000}"/>
            </a:ext>
          </a:extLst>
        </xdr:cNvPr>
        <xdr:cNvSpPr>
          <a:spLocks noChangeShapeType="1"/>
        </xdr:cNvSpPr>
      </xdr:nvSpPr>
      <xdr:spPr bwMode="auto">
        <a:xfrm>
          <a:off x="7410216" y="14493778"/>
          <a:ext cx="0" cy="42195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27</xdr:col>
      <xdr:colOff>211700</xdr:colOff>
      <xdr:row>107</xdr:row>
      <xdr:rowOff>13607</xdr:rowOff>
    </xdr:from>
    <xdr:to>
      <xdr:col>27</xdr:col>
      <xdr:colOff>211700</xdr:colOff>
      <xdr:row>109</xdr:row>
      <xdr:rowOff>2</xdr:rowOff>
    </xdr:to>
    <xdr:sp macro="" textlink="">
      <xdr:nvSpPr>
        <xdr:cNvPr id="575" name="Line 640">
          <a:extLst>
            <a:ext uri="{FF2B5EF4-FFF2-40B4-BE49-F238E27FC236}">
              <a16:creationId xmlns:a16="http://schemas.microsoft.com/office/drawing/2014/main" id="{00000000-0008-0000-1500-00003F020000}"/>
            </a:ext>
          </a:extLst>
        </xdr:cNvPr>
        <xdr:cNvSpPr>
          <a:spLocks noChangeShapeType="1"/>
        </xdr:cNvSpPr>
      </xdr:nvSpPr>
      <xdr:spPr bwMode="auto">
        <a:xfrm rot="5400000">
          <a:off x="6426897" y="15162985"/>
          <a:ext cx="420735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27</xdr:col>
      <xdr:colOff>233569</xdr:colOff>
      <xdr:row>104</xdr:row>
      <xdr:rowOff>200295</xdr:rowOff>
    </xdr:from>
    <xdr:to>
      <xdr:col>29</xdr:col>
      <xdr:colOff>15446</xdr:colOff>
      <xdr:row>104</xdr:row>
      <xdr:rowOff>200295</xdr:rowOff>
    </xdr:to>
    <xdr:sp macro="" textlink="">
      <xdr:nvSpPr>
        <xdr:cNvPr id="576" name="Line 640">
          <a:extLst>
            <a:ext uri="{FF2B5EF4-FFF2-40B4-BE49-F238E27FC236}">
              <a16:creationId xmlns:a16="http://schemas.microsoft.com/office/drawing/2014/main" id="{00000000-0008-0000-1500-000040020000}"/>
            </a:ext>
          </a:extLst>
        </xdr:cNvPr>
        <xdr:cNvSpPr>
          <a:spLocks noChangeShapeType="1"/>
        </xdr:cNvSpPr>
      </xdr:nvSpPr>
      <xdr:spPr bwMode="auto">
        <a:xfrm rot="5400000">
          <a:off x="6794865" y="14350159"/>
          <a:ext cx="0" cy="260032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27</xdr:col>
      <xdr:colOff>230985</xdr:colOff>
      <xdr:row>106</xdr:row>
      <xdr:rowOff>188107</xdr:rowOff>
    </xdr:from>
    <xdr:to>
      <xdr:col>29</xdr:col>
      <xdr:colOff>16672</xdr:colOff>
      <xdr:row>106</xdr:row>
      <xdr:rowOff>188107</xdr:rowOff>
    </xdr:to>
    <xdr:sp macro="" textlink="">
      <xdr:nvSpPr>
        <xdr:cNvPr id="577" name="Line 640">
          <a:extLst>
            <a:ext uri="{FF2B5EF4-FFF2-40B4-BE49-F238E27FC236}">
              <a16:creationId xmlns:a16="http://schemas.microsoft.com/office/drawing/2014/main" id="{00000000-0008-0000-1500-000041020000}"/>
            </a:ext>
          </a:extLst>
        </xdr:cNvPr>
        <xdr:cNvSpPr>
          <a:spLocks noChangeShapeType="1"/>
        </xdr:cNvSpPr>
      </xdr:nvSpPr>
      <xdr:spPr bwMode="auto">
        <a:xfrm rot="5400000">
          <a:off x="6793234" y="14771358"/>
          <a:ext cx="0" cy="26574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26</xdr:col>
      <xdr:colOff>25094</xdr:colOff>
      <xdr:row>107</xdr:row>
      <xdr:rowOff>47628</xdr:rowOff>
    </xdr:from>
    <xdr:to>
      <xdr:col>26</xdr:col>
      <xdr:colOff>25094</xdr:colOff>
      <xdr:row>108</xdr:row>
      <xdr:rowOff>177984</xdr:rowOff>
    </xdr:to>
    <xdr:sp macro="" textlink="">
      <xdr:nvSpPr>
        <xdr:cNvPr id="578" name="Line 746">
          <a:extLst>
            <a:ext uri="{FF2B5EF4-FFF2-40B4-BE49-F238E27FC236}">
              <a16:creationId xmlns:a16="http://schemas.microsoft.com/office/drawing/2014/main" id="{00000000-0008-0000-1500-000042020000}"/>
            </a:ext>
          </a:extLst>
        </xdr:cNvPr>
        <xdr:cNvSpPr>
          <a:spLocks noChangeShapeType="1"/>
        </xdr:cNvSpPr>
      </xdr:nvSpPr>
      <xdr:spPr bwMode="auto">
        <a:xfrm rot="5400000" flipV="1">
          <a:off x="6040676" y="15156591"/>
          <a:ext cx="343716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30</xdr:col>
      <xdr:colOff>223656</xdr:colOff>
      <xdr:row>107</xdr:row>
      <xdr:rowOff>54688</xdr:rowOff>
    </xdr:from>
    <xdr:to>
      <xdr:col>30</xdr:col>
      <xdr:colOff>223656</xdr:colOff>
      <xdr:row>108</xdr:row>
      <xdr:rowOff>173902</xdr:rowOff>
    </xdr:to>
    <xdr:sp macro="" textlink="">
      <xdr:nvSpPr>
        <xdr:cNvPr id="579" name="Line 746">
          <a:extLst>
            <a:ext uri="{FF2B5EF4-FFF2-40B4-BE49-F238E27FC236}">
              <a16:creationId xmlns:a16="http://schemas.microsoft.com/office/drawing/2014/main" id="{00000000-0008-0000-1500-000043020000}"/>
            </a:ext>
          </a:extLst>
        </xdr:cNvPr>
        <xdr:cNvSpPr>
          <a:spLocks noChangeShapeType="1"/>
        </xdr:cNvSpPr>
      </xdr:nvSpPr>
      <xdr:spPr bwMode="auto">
        <a:xfrm rot="5400000" flipV="1">
          <a:off x="7200166" y="15159033"/>
          <a:ext cx="330669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28</xdr:col>
      <xdr:colOff>27367</xdr:colOff>
      <xdr:row>107</xdr:row>
      <xdr:rowOff>27217</xdr:rowOff>
    </xdr:from>
    <xdr:to>
      <xdr:col>28</xdr:col>
      <xdr:colOff>27367</xdr:colOff>
      <xdr:row>108</xdr:row>
      <xdr:rowOff>207920</xdr:rowOff>
    </xdr:to>
    <xdr:sp macro="" textlink="">
      <xdr:nvSpPr>
        <xdr:cNvPr id="580" name="Line 746">
          <a:extLst>
            <a:ext uri="{FF2B5EF4-FFF2-40B4-BE49-F238E27FC236}">
              <a16:creationId xmlns:a16="http://schemas.microsoft.com/office/drawing/2014/main" id="{00000000-0008-0000-1500-000044020000}"/>
            </a:ext>
          </a:extLst>
        </xdr:cNvPr>
        <xdr:cNvSpPr>
          <a:spLocks noChangeShapeType="1"/>
        </xdr:cNvSpPr>
      </xdr:nvSpPr>
      <xdr:spPr bwMode="auto">
        <a:xfrm rot="5400000" flipV="1">
          <a:off x="6490215" y="15163259"/>
          <a:ext cx="405493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29</xdr:col>
      <xdr:colOff>33700</xdr:colOff>
      <xdr:row>107</xdr:row>
      <xdr:rowOff>20410</xdr:rowOff>
    </xdr:from>
    <xdr:to>
      <xdr:col>29</xdr:col>
      <xdr:colOff>33700</xdr:colOff>
      <xdr:row>109</xdr:row>
      <xdr:rowOff>21231</xdr:rowOff>
    </xdr:to>
    <xdr:sp macro="" textlink="">
      <xdr:nvSpPr>
        <xdr:cNvPr id="581" name="Line 746">
          <a:extLst>
            <a:ext uri="{FF2B5EF4-FFF2-40B4-BE49-F238E27FC236}">
              <a16:creationId xmlns:a16="http://schemas.microsoft.com/office/drawing/2014/main" id="{00000000-0008-0000-1500-000045020000}"/>
            </a:ext>
          </a:extLst>
        </xdr:cNvPr>
        <xdr:cNvSpPr>
          <a:spLocks noChangeShapeType="1"/>
        </xdr:cNvSpPr>
      </xdr:nvSpPr>
      <xdr:spPr bwMode="auto">
        <a:xfrm rot="5400000" flipV="1">
          <a:off x="6717934" y="15171286"/>
          <a:ext cx="438971" cy="0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29</xdr:col>
      <xdr:colOff>215535</xdr:colOff>
      <xdr:row>111</xdr:row>
      <xdr:rowOff>114300</xdr:rowOff>
    </xdr:from>
    <xdr:to>
      <xdr:col>31</xdr:col>
      <xdr:colOff>21225</xdr:colOff>
      <xdr:row>111</xdr:row>
      <xdr:rowOff>114300</xdr:rowOff>
    </xdr:to>
    <xdr:sp macro="" textlink="">
      <xdr:nvSpPr>
        <xdr:cNvPr id="582" name="Line 746">
          <a:extLst>
            <a:ext uri="{FF2B5EF4-FFF2-40B4-BE49-F238E27FC236}">
              <a16:creationId xmlns:a16="http://schemas.microsoft.com/office/drawing/2014/main" id="{00000000-0008-0000-1500-000046020000}"/>
            </a:ext>
          </a:extLst>
        </xdr:cNvPr>
        <xdr:cNvSpPr>
          <a:spLocks noChangeShapeType="1"/>
        </xdr:cNvSpPr>
      </xdr:nvSpPr>
      <xdr:spPr bwMode="auto">
        <a:xfrm rot="5400000">
          <a:off x="7258320" y="15784830"/>
          <a:ext cx="0" cy="28194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29</xdr:col>
      <xdr:colOff>215535</xdr:colOff>
      <xdr:row>112</xdr:row>
      <xdr:rowOff>114300</xdr:rowOff>
    </xdr:from>
    <xdr:to>
      <xdr:col>31</xdr:col>
      <xdr:colOff>21225</xdr:colOff>
      <xdr:row>112</xdr:row>
      <xdr:rowOff>114300</xdr:rowOff>
    </xdr:to>
    <xdr:sp macro="" textlink="">
      <xdr:nvSpPr>
        <xdr:cNvPr id="583" name="Line 747">
          <a:extLst>
            <a:ext uri="{FF2B5EF4-FFF2-40B4-BE49-F238E27FC236}">
              <a16:creationId xmlns:a16="http://schemas.microsoft.com/office/drawing/2014/main" id="{00000000-0008-0000-1500-000047020000}"/>
            </a:ext>
          </a:extLst>
        </xdr:cNvPr>
        <xdr:cNvSpPr>
          <a:spLocks noChangeShapeType="1"/>
        </xdr:cNvSpPr>
      </xdr:nvSpPr>
      <xdr:spPr bwMode="auto">
        <a:xfrm rot="5400000">
          <a:off x="7258320" y="16003905"/>
          <a:ext cx="0" cy="28194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29</xdr:col>
      <xdr:colOff>215535</xdr:colOff>
      <xdr:row>117</xdr:row>
      <xdr:rowOff>127163</xdr:rowOff>
    </xdr:from>
    <xdr:to>
      <xdr:col>31</xdr:col>
      <xdr:colOff>21225</xdr:colOff>
      <xdr:row>117</xdr:row>
      <xdr:rowOff>127163</xdr:rowOff>
    </xdr:to>
    <xdr:sp macro="" textlink="">
      <xdr:nvSpPr>
        <xdr:cNvPr id="584" name="Line 640">
          <a:extLst>
            <a:ext uri="{FF2B5EF4-FFF2-40B4-BE49-F238E27FC236}">
              <a16:creationId xmlns:a16="http://schemas.microsoft.com/office/drawing/2014/main" id="{00000000-0008-0000-1500-000048020000}"/>
            </a:ext>
          </a:extLst>
        </xdr:cNvPr>
        <xdr:cNvSpPr>
          <a:spLocks noChangeShapeType="1"/>
        </xdr:cNvSpPr>
      </xdr:nvSpPr>
      <xdr:spPr bwMode="auto">
        <a:xfrm rot="5400000">
          <a:off x="7258320" y="17115953"/>
          <a:ext cx="0" cy="28194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29</xdr:col>
      <xdr:colOff>215535</xdr:colOff>
      <xdr:row>118</xdr:row>
      <xdr:rowOff>124780</xdr:rowOff>
    </xdr:from>
    <xdr:to>
      <xdr:col>31</xdr:col>
      <xdr:colOff>21225</xdr:colOff>
      <xdr:row>118</xdr:row>
      <xdr:rowOff>124780</xdr:rowOff>
    </xdr:to>
    <xdr:sp macro="" textlink="">
      <xdr:nvSpPr>
        <xdr:cNvPr id="585" name="Line 694">
          <a:extLst>
            <a:ext uri="{FF2B5EF4-FFF2-40B4-BE49-F238E27FC236}">
              <a16:creationId xmlns:a16="http://schemas.microsoft.com/office/drawing/2014/main" id="{00000000-0008-0000-1500-000049020000}"/>
            </a:ext>
          </a:extLst>
        </xdr:cNvPr>
        <xdr:cNvSpPr>
          <a:spLocks noChangeShapeType="1"/>
        </xdr:cNvSpPr>
      </xdr:nvSpPr>
      <xdr:spPr bwMode="auto">
        <a:xfrm rot="5400000">
          <a:off x="7258320" y="17330740"/>
          <a:ext cx="0" cy="281940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29</xdr:col>
      <xdr:colOff>215535</xdr:colOff>
      <xdr:row>113</xdr:row>
      <xdr:rowOff>111920</xdr:rowOff>
    </xdr:from>
    <xdr:to>
      <xdr:col>31</xdr:col>
      <xdr:colOff>21225</xdr:colOff>
      <xdr:row>113</xdr:row>
      <xdr:rowOff>111920</xdr:rowOff>
    </xdr:to>
    <xdr:sp macro="" textlink="">
      <xdr:nvSpPr>
        <xdr:cNvPr id="586" name="Line 749">
          <a:extLst>
            <a:ext uri="{FF2B5EF4-FFF2-40B4-BE49-F238E27FC236}">
              <a16:creationId xmlns:a16="http://schemas.microsoft.com/office/drawing/2014/main" id="{00000000-0008-0000-1500-00004A020000}"/>
            </a:ext>
          </a:extLst>
        </xdr:cNvPr>
        <xdr:cNvSpPr>
          <a:spLocks noChangeShapeType="1"/>
        </xdr:cNvSpPr>
      </xdr:nvSpPr>
      <xdr:spPr bwMode="auto">
        <a:xfrm rot="5400000">
          <a:off x="7258320" y="16220600"/>
          <a:ext cx="0" cy="2819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30</xdr:col>
      <xdr:colOff>1223</xdr:colOff>
      <xdr:row>119</xdr:row>
      <xdr:rowOff>131914</xdr:rowOff>
    </xdr:from>
    <xdr:to>
      <xdr:col>31</xdr:col>
      <xdr:colOff>21225</xdr:colOff>
      <xdr:row>119</xdr:row>
      <xdr:rowOff>131914</xdr:rowOff>
    </xdr:to>
    <xdr:sp macro="" textlink="">
      <xdr:nvSpPr>
        <xdr:cNvPr id="587" name="Line 640">
          <a:extLst>
            <a:ext uri="{FF2B5EF4-FFF2-40B4-BE49-F238E27FC236}">
              <a16:creationId xmlns:a16="http://schemas.microsoft.com/office/drawing/2014/main" id="{00000000-0008-0000-1500-00004B020000}"/>
            </a:ext>
          </a:extLst>
        </xdr:cNvPr>
        <xdr:cNvSpPr>
          <a:spLocks noChangeShapeType="1"/>
        </xdr:cNvSpPr>
      </xdr:nvSpPr>
      <xdr:spPr bwMode="auto">
        <a:xfrm rot="5400000">
          <a:off x="7272132" y="17572665"/>
          <a:ext cx="0" cy="25431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29</xdr:col>
      <xdr:colOff>238124</xdr:colOff>
      <xdr:row>120</xdr:row>
      <xdr:rowOff>105050</xdr:rowOff>
    </xdr:from>
    <xdr:to>
      <xdr:col>31</xdr:col>
      <xdr:colOff>21226</xdr:colOff>
      <xdr:row>120</xdr:row>
      <xdr:rowOff>105050</xdr:rowOff>
    </xdr:to>
    <xdr:sp macro="" textlink="">
      <xdr:nvSpPr>
        <xdr:cNvPr id="588" name="Line 746">
          <a:extLst>
            <a:ext uri="{FF2B5EF4-FFF2-40B4-BE49-F238E27FC236}">
              <a16:creationId xmlns:a16="http://schemas.microsoft.com/office/drawing/2014/main" id="{00000000-0008-0000-1500-00004C020000}"/>
            </a:ext>
          </a:extLst>
        </xdr:cNvPr>
        <xdr:cNvSpPr>
          <a:spLocks noChangeShapeType="1"/>
        </xdr:cNvSpPr>
      </xdr:nvSpPr>
      <xdr:spPr bwMode="auto">
        <a:xfrm rot="5400000">
          <a:off x="7272473" y="17759501"/>
          <a:ext cx="0" cy="253637"/>
        </a:xfrm>
        <a:prstGeom prst="line">
          <a:avLst/>
        </a:prstGeom>
        <a:noFill/>
        <a:ln w="28575">
          <a:solidFill>
            <a:srgbClr val="002060"/>
          </a:solidFill>
          <a:round/>
          <a:headEnd/>
          <a:tailEnd/>
        </a:ln>
      </xdr:spPr>
    </xdr:sp>
    <xdr:clientData/>
  </xdr:twoCellAnchor>
  <xdr:twoCellAnchor>
    <xdr:from>
      <xdr:col>15</xdr:col>
      <xdr:colOff>225957</xdr:colOff>
      <xdr:row>107</xdr:row>
      <xdr:rowOff>21981</xdr:rowOff>
    </xdr:from>
    <xdr:to>
      <xdr:col>15</xdr:col>
      <xdr:colOff>225957</xdr:colOff>
      <xdr:row>108</xdr:row>
      <xdr:rowOff>203503</xdr:rowOff>
    </xdr:to>
    <xdr:sp macro="" textlink="">
      <xdr:nvSpPr>
        <xdr:cNvPr id="589" name="Line 640">
          <a:extLst>
            <a:ext uri="{FF2B5EF4-FFF2-40B4-BE49-F238E27FC236}">
              <a16:creationId xmlns:a16="http://schemas.microsoft.com/office/drawing/2014/main" id="{00000000-0008-0000-1500-00004D020000}"/>
            </a:ext>
          </a:extLst>
        </xdr:cNvPr>
        <xdr:cNvSpPr>
          <a:spLocks noChangeShapeType="1"/>
        </xdr:cNvSpPr>
      </xdr:nvSpPr>
      <xdr:spPr bwMode="auto">
        <a:xfrm rot="5400000">
          <a:off x="3593723" y="15157480"/>
          <a:ext cx="408217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15</xdr:col>
      <xdr:colOff>225957</xdr:colOff>
      <xdr:row>107</xdr:row>
      <xdr:rowOff>21981</xdr:rowOff>
    </xdr:from>
    <xdr:to>
      <xdr:col>15</xdr:col>
      <xdr:colOff>225957</xdr:colOff>
      <xdr:row>108</xdr:row>
      <xdr:rowOff>211123</xdr:rowOff>
    </xdr:to>
    <xdr:sp macro="" textlink="">
      <xdr:nvSpPr>
        <xdr:cNvPr id="590" name="Line 640">
          <a:extLst>
            <a:ext uri="{FF2B5EF4-FFF2-40B4-BE49-F238E27FC236}">
              <a16:creationId xmlns:a16="http://schemas.microsoft.com/office/drawing/2014/main" id="{00000000-0008-0000-1500-00004E020000}"/>
            </a:ext>
          </a:extLst>
        </xdr:cNvPr>
        <xdr:cNvSpPr>
          <a:spLocks noChangeShapeType="1"/>
        </xdr:cNvSpPr>
      </xdr:nvSpPr>
      <xdr:spPr bwMode="auto">
        <a:xfrm rot="5400000">
          <a:off x="3593723" y="15157480"/>
          <a:ext cx="408217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17</xdr:col>
      <xdr:colOff>24179</xdr:colOff>
      <xdr:row>107</xdr:row>
      <xdr:rowOff>20369</xdr:rowOff>
    </xdr:from>
    <xdr:to>
      <xdr:col>17</xdr:col>
      <xdr:colOff>24179</xdr:colOff>
      <xdr:row>108</xdr:row>
      <xdr:rowOff>211416</xdr:rowOff>
    </xdr:to>
    <xdr:sp macro="" textlink="">
      <xdr:nvSpPr>
        <xdr:cNvPr id="591" name="Line 640">
          <a:extLst>
            <a:ext uri="{FF2B5EF4-FFF2-40B4-BE49-F238E27FC236}">
              <a16:creationId xmlns:a16="http://schemas.microsoft.com/office/drawing/2014/main" id="{00000000-0008-0000-1500-00004F020000}"/>
            </a:ext>
          </a:extLst>
        </xdr:cNvPr>
        <xdr:cNvSpPr>
          <a:spLocks noChangeShapeType="1"/>
        </xdr:cNvSpPr>
      </xdr:nvSpPr>
      <xdr:spPr bwMode="auto">
        <a:xfrm rot="5400000">
          <a:off x="3863433" y="15156820"/>
          <a:ext cx="410122" cy="0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17</xdr:col>
      <xdr:colOff>228226</xdr:colOff>
      <xdr:row>116</xdr:row>
      <xdr:rowOff>111916</xdr:rowOff>
    </xdr:from>
    <xdr:to>
      <xdr:col>18</xdr:col>
      <xdr:colOff>239310</xdr:colOff>
      <xdr:row>116</xdr:row>
      <xdr:rowOff>111916</xdr:rowOff>
    </xdr:to>
    <xdr:sp macro="" textlink="">
      <xdr:nvSpPr>
        <xdr:cNvPr id="592" name="Line 640">
          <a:extLst>
            <a:ext uri="{FF2B5EF4-FFF2-40B4-BE49-F238E27FC236}">
              <a16:creationId xmlns:a16="http://schemas.microsoft.com/office/drawing/2014/main" id="{00000000-0008-0000-1500-000050020000}"/>
            </a:ext>
          </a:extLst>
        </xdr:cNvPr>
        <xdr:cNvSpPr>
          <a:spLocks noChangeShapeType="1"/>
        </xdr:cNvSpPr>
      </xdr:nvSpPr>
      <xdr:spPr bwMode="auto">
        <a:xfrm rot="5400000">
          <a:off x="4401908" y="16893234"/>
          <a:ext cx="0" cy="251114"/>
        </a:xfrm>
        <a:prstGeom prst="line">
          <a:avLst/>
        </a:prstGeom>
        <a:noFill/>
        <a:ln w="28575">
          <a:solidFill>
            <a:srgbClr val="FF9900"/>
          </a:solidFill>
          <a:round/>
          <a:headEnd/>
          <a:tailEnd/>
        </a:ln>
      </xdr:spPr>
    </xdr:sp>
    <xdr:clientData/>
  </xdr:twoCellAnchor>
  <xdr:twoCellAnchor>
    <xdr:from>
      <xdr:col>17</xdr:col>
      <xdr:colOff>227427</xdr:colOff>
      <xdr:row>118</xdr:row>
      <xdr:rowOff>107560</xdr:rowOff>
    </xdr:from>
    <xdr:to>
      <xdr:col>19</xdr:col>
      <xdr:colOff>23738</xdr:colOff>
      <xdr:row>118</xdr:row>
      <xdr:rowOff>107560</xdr:rowOff>
    </xdr:to>
    <xdr:sp macro="" textlink="">
      <xdr:nvSpPr>
        <xdr:cNvPr id="593" name="Line 748">
          <a:extLst>
            <a:ext uri="{FF2B5EF4-FFF2-40B4-BE49-F238E27FC236}">
              <a16:creationId xmlns:a16="http://schemas.microsoft.com/office/drawing/2014/main" id="{00000000-0008-0000-1500-000051020000}"/>
            </a:ext>
          </a:extLst>
        </xdr:cNvPr>
        <xdr:cNvSpPr>
          <a:spLocks noChangeShapeType="1"/>
        </xdr:cNvSpPr>
      </xdr:nvSpPr>
      <xdr:spPr bwMode="auto">
        <a:xfrm rot="5400000">
          <a:off x="4409928" y="17316304"/>
          <a:ext cx="0" cy="268751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14</xdr:col>
      <xdr:colOff>19782</xdr:colOff>
      <xdr:row>106</xdr:row>
      <xdr:rowOff>202373</xdr:rowOff>
    </xdr:from>
    <xdr:to>
      <xdr:col>15</xdr:col>
      <xdr:colOff>191232</xdr:colOff>
      <xdr:row>106</xdr:row>
      <xdr:rowOff>202373</xdr:rowOff>
    </xdr:to>
    <xdr:sp macro="" textlink="">
      <xdr:nvSpPr>
        <xdr:cNvPr id="594" name="Line 695">
          <a:extLst>
            <a:ext uri="{FF2B5EF4-FFF2-40B4-BE49-F238E27FC236}">
              <a16:creationId xmlns:a16="http://schemas.microsoft.com/office/drawing/2014/main" id="{00000000-0008-0000-1500-000052020000}"/>
            </a:ext>
          </a:extLst>
        </xdr:cNvPr>
        <xdr:cNvSpPr>
          <a:spLocks noChangeShapeType="1"/>
        </xdr:cNvSpPr>
      </xdr:nvSpPr>
      <xdr:spPr bwMode="auto">
        <a:xfrm rot="5400000">
          <a:off x="3556415" y="14715615"/>
          <a:ext cx="0" cy="41338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17</xdr:col>
      <xdr:colOff>51288</xdr:colOff>
      <xdr:row>106</xdr:row>
      <xdr:rowOff>202373</xdr:rowOff>
    </xdr:from>
    <xdr:to>
      <xdr:col>18</xdr:col>
      <xdr:colOff>236073</xdr:colOff>
      <xdr:row>106</xdr:row>
      <xdr:rowOff>202373</xdr:rowOff>
    </xdr:to>
    <xdr:sp macro="" textlink="">
      <xdr:nvSpPr>
        <xdr:cNvPr id="595" name="Line 696">
          <a:extLst>
            <a:ext uri="{FF2B5EF4-FFF2-40B4-BE49-F238E27FC236}">
              <a16:creationId xmlns:a16="http://schemas.microsoft.com/office/drawing/2014/main" id="{00000000-0008-0000-1500-000053020000}"/>
            </a:ext>
          </a:extLst>
        </xdr:cNvPr>
        <xdr:cNvSpPr>
          <a:spLocks noChangeShapeType="1"/>
        </xdr:cNvSpPr>
      </xdr:nvSpPr>
      <xdr:spPr bwMode="auto">
        <a:xfrm rot="5400000">
          <a:off x="4313726" y="14711805"/>
          <a:ext cx="0" cy="42100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20</xdr:col>
      <xdr:colOff>34144</xdr:colOff>
      <xdr:row>105</xdr:row>
      <xdr:rowOff>217023</xdr:rowOff>
    </xdr:from>
    <xdr:to>
      <xdr:col>21</xdr:col>
      <xdr:colOff>218929</xdr:colOff>
      <xdr:row>105</xdr:row>
      <xdr:rowOff>217023</xdr:rowOff>
    </xdr:to>
    <xdr:sp macro="" textlink="">
      <xdr:nvSpPr>
        <xdr:cNvPr id="596" name="Line 695">
          <a:extLst>
            <a:ext uri="{FF2B5EF4-FFF2-40B4-BE49-F238E27FC236}">
              <a16:creationId xmlns:a16="http://schemas.microsoft.com/office/drawing/2014/main" id="{00000000-0008-0000-1500-000054020000}"/>
            </a:ext>
          </a:extLst>
        </xdr:cNvPr>
        <xdr:cNvSpPr>
          <a:spLocks noChangeShapeType="1"/>
        </xdr:cNvSpPr>
      </xdr:nvSpPr>
      <xdr:spPr bwMode="auto">
        <a:xfrm rot="5400000">
          <a:off x="5006194" y="14498808"/>
          <a:ext cx="0" cy="42291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23</xdr:col>
      <xdr:colOff>39565</xdr:colOff>
      <xdr:row>105</xdr:row>
      <xdr:rowOff>213213</xdr:rowOff>
    </xdr:from>
    <xdr:to>
      <xdr:col>24</xdr:col>
      <xdr:colOff>224351</xdr:colOff>
      <xdr:row>105</xdr:row>
      <xdr:rowOff>213213</xdr:rowOff>
    </xdr:to>
    <xdr:sp macro="" textlink="">
      <xdr:nvSpPr>
        <xdr:cNvPr id="597" name="Line 695">
          <a:extLst>
            <a:ext uri="{FF2B5EF4-FFF2-40B4-BE49-F238E27FC236}">
              <a16:creationId xmlns:a16="http://schemas.microsoft.com/office/drawing/2014/main" id="{00000000-0008-0000-1500-000055020000}"/>
            </a:ext>
          </a:extLst>
        </xdr:cNvPr>
        <xdr:cNvSpPr>
          <a:spLocks noChangeShapeType="1"/>
        </xdr:cNvSpPr>
      </xdr:nvSpPr>
      <xdr:spPr bwMode="auto">
        <a:xfrm rot="5400000">
          <a:off x="5726943" y="14495950"/>
          <a:ext cx="0" cy="42100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22</xdr:col>
      <xdr:colOff>2438</xdr:colOff>
      <xdr:row>105</xdr:row>
      <xdr:rowOff>212013</xdr:rowOff>
    </xdr:from>
    <xdr:to>
      <xdr:col>22</xdr:col>
      <xdr:colOff>2438</xdr:colOff>
      <xdr:row>107</xdr:row>
      <xdr:rowOff>6383</xdr:rowOff>
    </xdr:to>
    <xdr:sp macro="" textlink="">
      <xdr:nvSpPr>
        <xdr:cNvPr id="598" name="Line 640">
          <a:extLst>
            <a:ext uri="{FF2B5EF4-FFF2-40B4-BE49-F238E27FC236}">
              <a16:creationId xmlns:a16="http://schemas.microsoft.com/office/drawing/2014/main" id="{00000000-0008-0000-1500-000056020000}"/>
            </a:ext>
          </a:extLst>
        </xdr:cNvPr>
        <xdr:cNvSpPr>
          <a:spLocks noChangeShapeType="1"/>
        </xdr:cNvSpPr>
      </xdr:nvSpPr>
      <xdr:spPr bwMode="auto">
        <a:xfrm>
          <a:off x="5241188" y="14705253"/>
          <a:ext cx="0" cy="238235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23</xdr:col>
      <xdr:colOff>17091</xdr:colOff>
      <xdr:row>105</xdr:row>
      <xdr:rowOff>200876</xdr:rowOff>
    </xdr:from>
    <xdr:to>
      <xdr:col>23</xdr:col>
      <xdr:colOff>17091</xdr:colOff>
      <xdr:row>107</xdr:row>
      <xdr:rowOff>8581</xdr:rowOff>
    </xdr:to>
    <xdr:sp macro="" textlink="">
      <xdr:nvSpPr>
        <xdr:cNvPr id="599" name="Line 640">
          <a:extLst>
            <a:ext uri="{FF2B5EF4-FFF2-40B4-BE49-F238E27FC236}">
              <a16:creationId xmlns:a16="http://schemas.microsoft.com/office/drawing/2014/main" id="{00000000-0008-0000-1500-000057020000}"/>
            </a:ext>
          </a:extLst>
        </xdr:cNvPr>
        <xdr:cNvSpPr>
          <a:spLocks noChangeShapeType="1"/>
        </xdr:cNvSpPr>
      </xdr:nvSpPr>
      <xdr:spPr bwMode="auto">
        <a:xfrm>
          <a:off x="5497776" y="14699831"/>
          <a:ext cx="0" cy="245855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21</xdr:col>
      <xdr:colOff>238091</xdr:colOff>
      <xdr:row>106</xdr:row>
      <xdr:rowOff>1895</xdr:rowOff>
    </xdr:from>
    <xdr:to>
      <xdr:col>23</xdr:col>
      <xdr:colOff>20115</xdr:colOff>
      <xdr:row>106</xdr:row>
      <xdr:rowOff>1895</xdr:rowOff>
    </xdr:to>
    <xdr:sp macro="" textlink="">
      <xdr:nvSpPr>
        <xdr:cNvPr id="600" name="Line 640">
          <a:extLst>
            <a:ext uri="{FF2B5EF4-FFF2-40B4-BE49-F238E27FC236}">
              <a16:creationId xmlns:a16="http://schemas.microsoft.com/office/drawing/2014/main" id="{00000000-0008-0000-1500-000058020000}"/>
            </a:ext>
          </a:extLst>
        </xdr:cNvPr>
        <xdr:cNvSpPr>
          <a:spLocks noChangeShapeType="1"/>
        </xdr:cNvSpPr>
      </xdr:nvSpPr>
      <xdr:spPr bwMode="auto">
        <a:xfrm rot="5400000">
          <a:off x="5366901" y="14591740"/>
          <a:ext cx="0" cy="252559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19</xdr:col>
      <xdr:colOff>207351</xdr:colOff>
      <xdr:row>103</xdr:row>
      <xdr:rowOff>201637</xdr:rowOff>
    </xdr:from>
    <xdr:to>
      <xdr:col>19</xdr:col>
      <xdr:colOff>207351</xdr:colOff>
      <xdr:row>105</xdr:row>
      <xdr:rowOff>151375</xdr:rowOff>
    </xdr:to>
    <xdr:sp macro="" textlink="">
      <xdr:nvSpPr>
        <xdr:cNvPr id="601" name="Line 721">
          <a:extLst>
            <a:ext uri="{FF2B5EF4-FFF2-40B4-BE49-F238E27FC236}">
              <a16:creationId xmlns:a16="http://schemas.microsoft.com/office/drawing/2014/main" id="{00000000-0008-0000-1500-000059020000}"/>
            </a:ext>
          </a:extLst>
        </xdr:cNvPr>
        <xdr:cNvSpPr>
          <a:spLocks noChangeShapeType="1"/>
        </xdr:cNvSpPr>
      </xdr:nvSpPr>
      <xdr:spPr bwMode="auto">
        <a:xfrm>
          <a:off x="4735536" y="14262442"/>
          <a:ext cx="0" cy="385983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25</xdr:col>
      <xdr:colOff>49968</xdr:colOff>
      <xdr:row>103</xdr:row>
      <xdr:rowOff>218196</xdr:rowOff>
    </xdr:from>
    <xdr:to>
      <xdr:col>25</xdr:col>
      <xdr:colOff>49968</xdr:colOff>
      <xdr:row>105</xdr:row>
      <xdr:rowOff>164124</xdr:rowOff>
    </xdr:to>
    <xdr:sp macro="" textlink="">
      <xdr:nvSpPr>
        <xdr:cNvPr id="602" name="Line 721">
          <a:extLst>
            <a:ext uri="{FF2B5EF4-FFF2-40B4-BE49-F238E27FC236}">
              <a16:creationId xmlns:a16="http://schemas.microsoft.com/office/drawing/2014/main" id="{00000000-0008-0000-1500-00005A020000}"/>
            </a:ext>
          </a:extLst>
        </xdr:cNvPr>
        <xdr:cNvSpPr>
          <a:spLocks noChangeShapeType="1"/>
        </xdr:cNvSpPr>
      </xdr:nvSpPr>
      <xdr:spPr bwMode="auto">
        <a:xfrm>
          <a:off x="6006903" y="14275191"/>
          <a:ext cx="0" cy="389793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13</xdr:col>
      <xdr:colOff>222152</xdr:colOff>
      <xdr:row>107</xdr:row>
      <xdr:rowOff>29601</xdr:rowOff>
    </xdr:from>
    <xdr:to>
      <xdr:col>13</xdr:col>
      <xdr:colOff>222152</xdr:colOff>
      <xdr:row>108</xdr:row>
      <xdr:rowOff>187716</xdr:rowOff>
    </xdr:to>
    <xdr:sp macro="" textlink="">
      <xdr:nvSpPr>
        <xdr:cNvPr id="603" name="Line 721">
          <a:extLst>
            <a:ext uri="{FF2B5EF4-FFF2-40B4-BE49-F238E27FC236}">
              <a16:creationId xmlns:a16="http://schemas.microsoft.com/office/drawing/2014/main" id="{00000000-0008-0000-1500-00005B020000}"/>
            </a:ext>
          </a:extLst>
        </xdr:cNvPr>
        <xdr:cNvSpPr>
          <a:spLocks noChangeShapeType="1"/>
        </xdr:cNvSpPr>
      </xdr:nvSpPr>
      <xdr:spPr bwMode="auto">
        <a:xfrm>
          <a:off x="3315872" y="14962896"/>
          <a:ext cx="0" cy="37909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13</xdr:col>
      <xdr:colOff>218635</xdr:colOff>
      <xdr:row>105</xdr:row>
      <xdr:rowOff>33411</xdr:rowOff>
    </xdr:from>
    <xdr:to>
      <xdr:col>13</xdr:col>
      <xdr:colOff>218635</xdr:colOff>
      <xdr:row>106</xdr:row>
      <xdr:rowOff>183906</xdr:rowOff>
    </xdr:to>
    <xdr:sp macro="" textlink="">
      <xdr:nvSpPr>
        <xdr:cNvPr id="604" name="Line 721">
          <a:extLst>
            <a:ext uri="{FF2B5EF4-FFF2-40B4-BE49-F238E27FC236}">
              <a16:creationId xmlns:a16="http://schemas.microsoft.com/office/drawing/2014/main" id="{00000000-0008-0000-1500-00005C020000}"/>
            </a:ext>
          </a:extLst>
        </xdr:cNvPr>
        <xdr:cNvSpPr>
          <a:spLocks noChangeShapeType="1"/>
        </xdr:cNvSpPr>
      </xdr:nvSpPr>
      <xdr:spPr bwMode="auto">
        <a:xfrm>
          <a:off x="3312355" y="14528556"/>
          <a:ext cx="0" cy="36957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19</xdr:col>
      <xdr:colOff>33558</xdr:colOff>
      <xdr:row>107</xdr:row>
      <xdr:rowOff>35023</xdr:rowOff>
    </xdr:from>
    <xdr:to>
      <xdr:col>19</xdr:col>
      <xdr:colOff>33558</xdr:colOff>
      <xdr:row>108</xdr:row>
      <xdr:rowOff>202663</xdr:rowOff>
    </xdr:to>
    <xdr:sp macro="" textlink="">
      <xdr:nvSpPr>
        <xdr:cNvPr id="605" name="Line 721">
          <a:extLst>
            <a:ext uri="{FF2B5EF4-FFF2-40B4-BE49-F238E27FC236}">
              <a16:creationId xmlns:a16="http://schemas.microsoft.com/office/drawing/2014/main" id="{00000000-0008-0000-1500-00005D020000}"/>
            </a:ext>
          </a:extLst>
        </xdr:cNvPr>
        <xdr:cNvSpPr>
          <a:spLocks noChangeShapeType="1"/>
        </xdr:cNvSpPr>
      </xdr:nvSpPr>
      <xdr:spPr bwMode="auto">
        <a:xfrm>
          <a:off x="4556028" y="14970223"/>
          <a:ext cx="0" cy="390525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19</xdr:col>
      <xdr:colOff>31652</xdr:colOff>
      <xdr:row>105</xdr:row>
      <xdr:rowOff>26084</xdr:rowOff>
    </xdr:from>
    <xdr:to>
      <xdr:col>19</xdr:col>
      <xdr:colOff>31652</xdr:colOff>
      <xdr:row>106</xdr:row>
      <xdr:rowOff>176579</xdr:rowOff>
    </xdr:to>
    <xdr:sp macro="" textlink="">
      <xdr:nvSpPr>
        <xdr:cNvPr id="606" name="Line 721">
          <a:extLst>
            <a:ext uri="{FF2B5EF4-FFF2-40B4-BE49-F238E27FC236}">
              <a16:creationId xmlns:a16="http://schemas.microsoft.com/office/drawing/2014/main" id="{00000000-0008-0000-1500-00005E020000}"/>
            </a:ext>
          </a:extLst>
        </xdr:cNvPr>
        <xdr:cNvSpPr>
          <a:spLocks noChangeShapeType="1"/>
        </xdr:cNvSpPr>
      </xdr:nvSpPr>
      <xdr:spPr bwMode="auto">
        <a:xfrm>
          <a:off x="4554122" y="14519324"/>
          <a:ext cx="0" cy="36957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27</xdr:col>
      <xdr:colOff>223868</xdr:colOff>
      <xdr:row>104</xdr:row>
      <xdr:rowOff>213188</xdr:rowOff>
    </xdr:from>
    <xdr:to>
      <xdr:col>27</xdr:col>
      <xdr:colOff>223868</xdr:colOff>
      <xdr:row>106</xdr:row>
      <xdr:rowOff>190499</xdr:rowOff>
    </xdr:to>
    <xdr:sp macro="" textlink="">
      <xdr:nvSpPr>
        <xdr:cNvPr id="607" name="Line 652">
          <a:extLst>
            <a:ext uri="{FF2B5EF4-FFF2-40B4-BE49-F238E27FC236}">
              <a16:creationId xmlns:a16="http://schemas.microsoft.com/office/drawing/2014/main" id="{00000000-0008-0000-1500-00005F020000}"/>
            </a:ext>
          </a:extLst>
        </xdr:cNvPr>
        <xdr:cNvSpPr>
          <a:spLocks noChangeShapeType="1"/>
        </xdr:cNvSpPr>
      </xdr:nvSpPr>
      <xdr:spPr bwMode="auto">
        <a:xfrm rot="10800000">
          <a:off x="6651338" y="14487353"/>
          <a:ext cx="0" cy="419271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29</xdr:col>
      <xdr:colOff>26564</xdr:colOff>
      <xdr:row>105</xdr:row>
      <xdr:rowOff>2278</xdr:rowOff>
    </xdr:from>
    <xdr:to>
      <xdr:col>29</xdr:col>
      <xdr:colOff>26564</xdr:colOff>
      <xdr:row>106</xdr:row>
      <xdr:rowOff>199208</xdr:rowOff>
    </xdr:to>
    <xdr:sp macro="" textlink="">
      <xdr:nvSpPr>
        <xdr:cNvPr id="608" name="Line 652">
          <a:extLst>
            <a:ext uri="{FF2B5EF4-FFF2-40B4-BE49-F238E27FC236}">
              <a16:creationId xmlns:a16="http://schemas.microsoft.com/office/drawing/2014/main" id="{00000000-0008-0000-1500-000060020000}"/>
            </a:ext>
          </a:extLst>
        </xdr:cNvPr>
        <xdr:cNvSpPr>
          <a:spLocks noChangeShapeType="1"/>
        </xdr:cNvSpPr>
      </xdr:nvSpPr>
      <xdr:spPr bwMode="auto">
        <a:xfrm rot="10800000">
          <a:off x="6928379" y="14499328"/>
          <a:ext cx="0" cy="41791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26</xdr:col>
      <xdr:colOff>35379</xdr:colOff>
      <xdr:row>104</xdr:row>
      <xdr:rowOff>206452</xdr:rowOff>
    </xdr:from>
    <xdr:to>
      <xdr:col>27</xdr:col>
      <xdr:colOff>208734</xdr:colOff>
      <xdr:row>104</xdr:row>
      <xdr:rowOff>206452</xdr:rowOff>
    </xdr:to>
    <xdr:sp macro="" textlink="">
      <xdr:nvSpPr>
        <xdr:cNvPr id="609" name="Line 634">
          <a:extLst>
            <a:ext uri="{FF2B5EF4-FFF2-40B4-BE49-F238E27FC236}">
              <a16:creationId xmlns:a16="http://schemas.microsoft.com/office/drawing/2014/main" id="{00000000-0008-0000-1500-000061020000}"/>
            </a:ext>
          </a:extLst>
        </xdr:cNvPr>
        <xdr:cNvSpPr>
          <a:spLocks noChangeShapeType="1"/>
        </xdr:cNvSpPr>
      </xdr:nvSpPr>
      <xdr:spPr bwMode="auto">
        <a:xfrm rot="5400000">
          <a:off x="6434274" y="14280592"/>
          <a:ext cx="0" cy="41529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29</xdr:col>
      <xdr:colOff>41094</xdr:colOff>
      <xdr:row>104</xdr:row>
      <xdr:rowOff>206452</xdr:rowOff>
    </xdr:from>
    <xdr:to>
      <xdr:col>30</xdr:col>
      <xdr:colOff>223974</xdr:colOff>
      <xdr:row>104</xdr:row>
      <xdr:rowOff>206452</xdr:rowOff>
    </xdr:to>
    <xdr:sp macro="" textlink="">
      <xdr:nvSpPr>
        <xdr:cNvPr id="610" name="Line 635">
          <a:extLst>
            <a:ext uri="{FF2B5EF4-FFF2-40B4-BE49-F238E27FC236}">
              <a16:creationId xmlns:a16="http://schemas.microsoft.com/office/drawing/2014/main" id="{00000000-0008-0000-1500-000062020000}"/>
            </a:ext>
          </a:extLst>
        </xdr:cNvPr>
        <xdr:cNvSpPr>
          <a:spLocks noChangeShapeType="1"/>
        </xdr:cNvSpPr>
      </xdr:nvSpPr>
      <xdr:spPr bwMode="auto">
        <a:xfrm rot="5400000">
          <a:off x="7156269" y="14278687"/>
          <a:ext cx="0" cy="41910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25</xdr:col>
      <xdr:colOff>212730</xdr:colOff>
      <xdr:row>103</xdr:row>
      <xdr:rowOff>37451</xdr:rowOff>
    </xdr:from>
    <xdr:to>
      <xdr:col>25</xdr:col>
      <xdr:colOff>212730</xdr:colOff>
      <xdr:row>104</xdr:row>
      <xdr:rowOff>197283</xdr:rowOff>
    </xdr:to>
    <xdr:sp macro="" textlink="">
      <xdr:nvSpPr>
        <xdr:cNvPr id="611" name="Line 721">
          <a:extLst>
            <a:ext uri="{FF2B5EF4-FFF2-40B4-BE49-F238E27FC236}">
              <a16:creationId xmlns:a16="http://schemas.microsoft.com/office/drawing/2014/main" id="{00000000-0008-0000-1500-000063020000}"/>
            </a:ext>
          </a:extLst>
        </xdr:cNvPr>
        <xdr:cNvSpPr>
          <a:spLocks noChangeShapeType="1"/>
        </xdr:cNvSpPr>
      </xdr:nvSpPr>
      <xdr:spPr bwMode="auto">
        <a:xfrm>
          <a:off x="6162045" y="14096351"/>
          <a:ext cx="0" cy="380812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31</xdr:col>
      <xdr:colOff>25139</xdr:colOff>
      <xdr:row>103</xdr:row>
      <xdr:rowOff>48295</xdr:rowOff>
    </xdr:from>
    <xdr:to>
      <xdr:col>31</xdr:col>
      <xdr:colOff>25139</xdr:colOff>
      <xdr:row>104</xdr:row>
      <xdr:rowOff>206222</xdr:rowOff>
    </xdr:to>
    <xdr:sp macro="" textlink="">
      <xdr:nvSpPr>
        <xdr:cNvPr id="612" name="Line 721">
          <a:extLst>
            <a:ext uri="{FF2B5EF4-FFF2-40B4-BE49-F238E27FC236}">
              <a16:creationId xmlns:a16="http://schemas.microsoft.com/office/drawing/2014/main" id="{00000000-0008-0000-1500-000064020000}"/>
            </a:ext>
          </a:extLst>
        </xdr:cNvPr>
        <xdr:cNvSpPr>
          <a:spLocks noChangeShapeType="1"/>
        </xdr:cNvSpPr>
      </xdr:nvSpPr>
      <xdr:spPr bwMode="auto">
        <a:xfrm>
          <a:off x="7403204" y="14109100"/>
          <a:ext cx="0" cy="378907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32</xdr:col>
      <xdr:colOff>31843</xdr:colOff>
      <xdr:row>103</xdr:row>
      <xdr:rowOff>211077</xdr:rowOff>
    </xdr:from>
    <xdr:to>
      <xdr:col>33</xdr:col>
      <xdr:colOff>224248</xdr:colOff>
      <xdr:row>103</xdr:row>
      <xdr:rowOff>211077</xdr:rowOff>
    </xdr:to>
    <xdr:sp macro="" textlink="">
      <xdr:nvSpPr>
        <xdr:cNvPr id="613" name="Line 634">
          <a:extLst>
            <a:ext uri="{FF2B5EF4-FFF2-40B4-BE49-F238E27FC236}">
              <a16:creationId xmlns:a16="http://schemas.microsoft.com/office/drawing/2014/main" id="{00000000-0008-0000-1500-000065020000}"/>
            </a:ext>
          </a:extLst>
        </xdr:cNvPr>
        <xdr:cNvSpPr>
          <a:spLocks noChangeShapeType="1"/>
        </xdr:cNvSpPr>
      </xdr:nvSpPr>
      <xdr:spPr bwMode="auto">
        <a:xfrm rot="5400000">
          <a:off x="7865203" y="14050902"/>
          <a:ext cx="0" cy="43053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56608</xdr:colOff>
      <xdr:row>103</xdr:row>
      <xdr:rowOff>211077</xdr:rowOff>
    </xdr:from>
    <xdr:to>
      <xdr:col>36</xdr:col>
      <xdr:colOff>218533</xdr:colOff>
      <xdr:row>103</xdr:row>
      <xdr:rowOff>211077</xdr:rowOff>
    </xdr:to>
    <xdr:sp macro="" textlink="">
      <xdr:nvSpPr>
        <xdr:cNvPr id="614" name="Line 635">
          <a:extLst>
            <a:ext uri="{FF2B5EF4-FFF2-40B4-BE49-F238E27FC236}">
              <a16:creationId xmlns:a16="http://schemas.microsoft.com/office/drawing/2014/main" id="{00000000-0008-0000-1500-000066020000}"/>
            </a:ext>
          </a:extLst>
        </xdr:cNvPr>
        <xdr:cNvSpPr>
          <a:spLocks noChangeShapeType="1"/>
        </xdr:cNvSpPr>
      </xdr:nvSpPr>
      <xdr:spPr bwMode="auto">
        <a:xfrm rot="5400000">
          <a:off x="8591961" y="14068999"/>
          <a:ext cx="0" cy="39433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35</xdr:col>
      <xdr:colOff>14853</xdr:colOff>
      <xdr:row>103</xdr:row>
      <xdr:rowOff>181785</xdr:rowOff>
    </xdr:from>
    <xdr:to>
      <xdr:col>35</xdr:col>
      <xdr:colOff>14853</xdr:colOff>
      <xdr:row>105</xdr:row>
      <xdr:rowOff>921</xdr:rowOff>
    </xdr:to>
    <xdr:sp macro="" textlink="">
      <xdr:nvSpPr>
        <xdr:cNvPr id="615" name="Line 640">
          <a:extLst>
            <a:ext uri="{FF2B5EF4-FFF2-40B4-BE49-F238E27FC236}">
              <a16:creationId xmlns:a16="http://schemas.microsoft.com/office/drawing/2014/main" id="{00000000-0008-0000-1500-000067020000}"/>
            </a:ext>
          </a:extLst>
        </xdr:cNvPr>
        <xdr:cNvSpPr>
          <a:spLocks noChangeShapeType="1"/>
        </xdr:cNvSpPr>
      </xdr:nvSpPr>
      <xdr:spPr bwMode="auto">
        <a:xfrm>
          <a:off x="8353038" y="14238780"/>
          <a:ext cx="0" cy="259191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33</xdr:col>
      <xdr:colOff>225763</xdr:colOff>
      <xdr:row>103</xdr:row>
      <xdr:rowOff>183459</xdr:rowOff>
    </xdr:from>
    <xdr:to>
      <xdr:col>33</xdr:col>
      <xdr:colOff>225763</xdr:colOff>
      <xdr:row>104</xdr:row>
      <xdr:rowOff>212689</xdr:rowOff>
    </xdr:to>
    <xdr:sp macro="" textlink="">
      <xdr:nvSpPr>
        <xdr:cNvPr id="616" name="Line 640">
          <a:extLst>
            <a:ext uri="{FF2B5EF4-FFF2-40B4-BE49-F238E27FC236}">
              <a16:creationId xmlns:a16="http://schemas.microsoft.com/office/drawing/2014/main" id="{00000000-0008-0000-1500-000068020000}"/>
            </a:ext>
          </a:extLst>
        </xdr:cNvPr>
        <xdr:cNvSpPr>
          <a:spLocks noChangeShapeType="1"/>
        </xdr:cNvSpPr>
      </xdr:nvSpPr>
      <xdr:spPr bwMode="auto">
        <a:xfrm>
          <a:off x="8083888" y="14240454"/>
          <a:ext cx="0" cy="246400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34</xdr:col>
      <xdr:colOff>12446</xdr:colOff>
      <xdr:row>104</xdr:row>
      <xdr:rowOff>1152</xdr:rowOff>
    </xdr:from>
    <xdr:to>
      <xdr:col>35</xdr:col>
      <xdr:colOff>45783</xdr:colOff>
      <xdr:row>104</xdr:row>
      <xdr:rowOff>1152</xdr:rowOff>
    </xdr:to>
    <xdr:sp macro="" textlink="">
      <xdr:nvSpPr>
        <xdr:cNvPr id="617" name="Line 640">
          <a:extLst>
            <a:ext uri="{FF2B5EF4-FFF2-40B4-BE49-F238E27FC236}">
              <a16:creationId xmlns:a16="http://schemas.microsoft.com/office/drawing/2014/main" id="{00000000-0008-0000-1500-000069020000}"/>
            </a:ext>
          </a:extLst>
        </xdr:cNvPr>
        <xdr:cNvSpPr>
          <a:spLocks noChangeShapeType="1"/>
        </xdr:cNvSpPr>
      </xdr:nvSpPr>
      <xdr:spPr bwMode="auto">
        <a:xfrm rot="5400000">
          <a:off x="8247285" y="14144348"/>
          <a:ext cx="0" cy="269557"/>
        </a:xfrm>
        <a:prstGeom prst="line">
          <a:avLst/>
        </a:prstGeom>
        <a:ln w="28575"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38</xdr:col>
      <xdr:colOff>55790</xdr:colOff>
      <xdr:row>102</xdr:row>
      <xdr:rowOff>210263</xdr:rowOff>
    </xdr:from>
    <xdr:to>
      <xdr:col>39</xdr:col>
      <xdr:colOff>222341</xdr:colOff>
      <xdr:row>102</xdr:row>
      <xdr:rowOff>210263</xdr:rowOff>
    </xdr:to>
    <xdr:sp macro="" textlink="">
      <xdr:nvSpPr>
        <xdr:cNvPr id="618" name="Line 634">
          <a:extLst>
            <a:ext uri="{FF2B5EF4-FFF2-40B4-BE49-F238E27FC236}">
              <a16:creationId xmlns:a16="http://schemas.microsoft.com/office/drawing/2014/main" id="{00000000-0008-0000-1500-00006A020000}"/>
            </a:ext>
          </a:extLst>
        </xdr:cNvPr>
        <xdr:cNvSpPr>
          <a:spLocks noChangeShapeType="1"/>
        </xdr:cNvSpPr>
      </xdr:nvSpPr>
      <xdr:spPr bwMode="auto">
        <a:xfrm rot="5400000">
          <a:off x="9303068" y="13842035"/>
          <a:ext cx="0" cy="40848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41094</xdr:colOff>
      <xdr:row>102</xdr:row>
      <xdr:rowOff>210263</xdr:rowOff>
    </xdr:from>
    <xdr:to>
      <xdr:col>42</xdr:col>
      <xdr:colOff>213360</xdr:colOff>
      <xdr:row>102</xdr:row>
      <xdr:rowOff>210263</xdr:rowOff>
    </xdr:to>
    <xdr:sp macro="" textlink="">
      <xdr:nvSpPr>
        <xdr:cNvPr id="619" name="Line 635">
          <a:extLst>
            <a:ext uri="{FF2B5EF4-FFF2-40B4-BE49-F238E27FC236}">
              <a16:creationId xmlns:a16="http://schemas.microsoft.com/office/drawing/2014/main" id="{00000000-0008-0000-1500-00006B020000}"/>
            </a:ext>
          </a:extLst>
        </xdr:cNvPr>
        <xdr:cNvSpPr>
          <a:spLocks noChangeShapeType="1"/>
        </xdr:cNvSpPr>
      </xdr:nvSpPr>
      <xdr:spPr bwMode="auto">
        <a:xfrm rot="5400000">
          <a:off x="10031322" y="13838225"/>
          <a:ext cx="0" cy="41610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31</xdr:col>
      <xdr:colOff>222527</xdr:colOff>
      <xdr:row>102</xdr:row>
      <xdr:rowOff>3434</xdr:rowOff>
    </xdr:from>
    <xdr:to>
      <xdr:col>31</xdr:col>
      <xdr:colOff>222527</xdr:colOff>
      <xdr:row>103</xdr:row>
      <xdr:rowOff>167075</xdr:rowOff>
    </xdr:to>
    <xdr:sp macro="" textlink="">
      <xdr:nvSpPr>
        <xdr:cNvPr id="620" name="Line 721">
          <a:extLst>
            <a:ext uri="{FF2B5EF4-FFF2-40B4-BE49-F238E27FC236}">
              <a16:creationId xmlns:a16="http://schemas.microsoft.com/office/drawing/2014/main" id="{00000000-0008-0000-1500-00006C020000}"/>
            </a:ext>
          </a:extLst>
        </xdr:cNvPr>
        <xdr:cNvSpPr>
          <a:spLocks noChangeShapeType="1"/>
        </xdr:cNvSpPr>
      </xdr:nvSpPr>
      <xdr:spPr bwMode="auto">
        <a:xfrm>
          <a:off x="7602497" y="13843259"/>
          <a:ext cx="0" cy="386526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37</xdr:col>
      <xdr:colOff>34936</xdr:colOff>
      <xdr:row>102</xdr:row>
      <xdr:rowOff>19993</xdr:rowOff>
    </xdr:from>
    <xdr:to>
      <xdr:col>37</xdr:col>
      <xdr:colOff>34936</xdr:colOff>
      <xdr:row>103</xdr:row>
      <xdr:rowOff>172204</xdr:rowOff>
    </xdr:to>
    <xdr:sp macro="" textlink="">
      <xdr:nvSpPr>
        <xdr:cNvPr id="621" name="Line 721">
          <a:extLst>
            <a:ext uri="{FF2B5EF4-FFF2-40B4-BE49-F238E27FC236}">
              <a16:creationId xmlns:a16="http://schemas.microsoft.com/office/drawing/2014/main" id="{00000000-0008-0000-1500-00006D020000}"/>
            </a:ext>
          </a:extLst>
        </xdr:cNvPr>
        <xdr:cNvSpPr>
          <a:spLocks noChangeShapeType="1"/>
        </xdr:cNvSpPr>
      </xdr:nvSpPr>
      <xdr:spPr bwMode="auto">
        <a:xfrm>
          <a:off x="8845561" y="13856008"/>
          <a:ext cx="0" cy="371286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37</xdr:col>
      <xdr:colOff>231236</xdr:colOff>
      <xdr:row>101</xdr:row>
      <xdr:rowOff>21939</xdr:rowOff>
    </xdr:from>
    <xdr:to>
      <xdr:col>37</xdr:col>
      <xdr:colOff>231236</xdr:colOff>
      <xdr:row>102</xdr:row>
      <xdr:rowOff>191296</xdr:rowOff>
    </xdr:to>
    <xdr:sp macro="" textlink="">
      <xdr:nvSpPr>
        <xdr:cNvPr id="622" name="Line 721">
          <a:extLst>
            <a:ext uri="{FF2B5EF4-FFF2-40B4-BE49-F238E27FC236}">
              <a16:creationId xmlns:a16="http://schemas.microsoft.com/office/drawing/2014/main" id="{00000000-0008-0000-1500-00006E020000}"/>
            </a:ext>
          </a:extLst>
        </xdr:cNvPr>
        <xdr:cNvSpPr>
          <a:spLocks noChangeShapeType="1"/>
        </xdr:cNvSpPr>
      </xdr:nvSpPr>
      <xdr:spPr bwMode="auto">
        <a:xfrm>
          <a:off x="9041861" y="13638879"/>
          <a:ext cx="0" cy="392242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43</xdr:col>
      <xdr:colOff>23234</xdr:colOff>
      <xdr:row>101</xdr:row>
      <xdr:rowOff>44213</xdr:rowOff>
    </xdr:from>
    <xdr:to>
      <xdr:col>43</xdr:col>
      <xdr:colOff>23234</xdr:colOff>
      <xdr:row>102</xdr:row>
      <xdr:rowOff>188805</xdr:rowOff>
    </xdr:to>
    <xdr:sp macro="" textlink="">
      <xdr:nvSpPr>
        <xdr:cNvPr id="623" name="Line 721">
          <a:extLst>
            <a:ext uri="{FF2B5EF4-FFF2-40B4-BE49-F238E27FC236}">
              <a16:creationId xmlns:a16="http://schemas.microsoft.com/office/drawing/2014/main" id="{00000000-0008-0000-1500-00006F020000}"/>
            </a:ext>
          </a:extLst>
        </xdr:cNvPr>
        <xdr:cNvSpPr>
          <a:spLocks noChangeShapeType="1"/>
        </xdr:cNvSpPr>
      </xdr:nvSpPr>
      <xdr:spPr bwMode="auto">
        <a:xfrm>
          <a:off x="10287374" y="13666868"/>
          <a:ext cx="0" cy="361762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29</xdr:col>
      <xdr:colOff>215535</xdr:colOff>
      <xdr:row>116</xdr:row>
      <xdr:rowOff>129540</xdr:rowOff>
    </xdr:from>
    <xdr:to>
      <xdr:col>31</xdr:col>
      <xdr:colOff>21225</xdr:colOff>
      <xdr:row>116</xdr:row>
      <xdr:rowOff>129540</xdr:rowOff>
    </xdr:to>
    <xdr:sp macro="" textlink="">
      <xdr:nvSpPr>
        <xdr:cNvPr id="624" name="Line 748">
          <a:extLst>
            <a:ext uri="{FF2B5EF4-FFF2-40B4-BE49-F238E27FC236}">
              <a16:creationId xmlns:a16="http://schemas.microsoft.com/office/drawing/2014/main" id="{00000000-0008-0000-1500-000070020000}"/>
            </a:ext>
          </a:extLst>
        </xdr:cNvPr>
        <xdr:cNvSpPr>
          <a:spLocks noChangeShapeType="1"/>
        </xdr:cNvSpPr>
      </xdr:nvSpPr>
      <xdr:spPr bwMode="auto">
        <a:xfrm rot="5400000">
          <a:off x="7258320" y="16899255"/>
          <a:ext cx="0" cy="28194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37</xdr:col>
      <xdr:colOff>222088</xdr:colOff>
      <xdr:row>78</xdr:row>
      <xdr:rowOff>16412</xdr:rowOff>
    </xdr:from>
    <xdr:to>
      <xdr:col>37</xdr:col>
      <xdr:colOff>222088</xdr:colOff>
      <xdr:row>79</xdr:row>
      <xdr:rowOff>201198</xdr:rowOff>
    </xdr:to>
    <xdr:sp macro="" textlink="">
      <xdr:nvSpPr>
        <xdr:cNvPr id="625" name="Line 510">
          <a:extLst>
            <a:ext uri="{FF2B5EF4-FFF2-40B4-BE49-F238E27FC236}">
              <a16:creationId xmlns:a16="http://schemas.microsoft.com/office/drawing/2014/main" id="{00000000-0008-0000-1500-000071020000}"/>
            </a:ext>
          </a:extLst>
        </xdr:cNvPr>
        <xdr:cNvSpPr>
          <a:spLocks noChangeShapeType="1"/>
        </xdr:cNvSpPr>
      </xdr:nvSpPr>
      <xdr:spPr bwMode="auto">
        <a:xfrm>
          <a:off x="9030808" y="8602247"/>
          <a:ext cx="0" cy="40195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43</xdr:col>
      <xdr:colOff>35126</xdr:colOff>
      <xdr:row>77</xdr:row>
      <xdr:rowOff>214532</xdr:rowOff>
    </xdr:from>
    <xdr:to>
      <xdr:col>43</xdr:col>
      <xdr:colOff>35126</xdr:colOff>
      <xdr:row>79</xdr:row>
      <xdr:rowOff>187319</xdr:rowOff>
    </xdr:to>
    <xdr:sp macro="" textlink="">
      <xdr:nvSpPr>
        <xdr:cNvPr id="626" name="Line 510">
          <a:extLst>
            <a:ext uri="{FF2B5EF4-FFF2-40B4-BE49-F238E27FC236}">
              <a16:creationId xmlns:a16="http://schemas.microsoft.com/office/drawing/2014/main" id="{00000000-0008-0000-1500-000072020000}"/>
            </a:ext>
          </a:extLst>
        </xdr:cNvPr>
        <xdr:cNvSpPr>
          <a:spLocks noChangeShapeType="1"/>
        </xdr:cNvSpPr>
      </xdr:nvSpPr>
      <xdr:spPr bwMode="auto">
        <a:xfrm>
          <a:off x="10303076" y="8573672"/>
          <a:ext cx="0" cy="41474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9</xdr:col>
      <xdr:colOff>225686</xdr:colOff>
      <xdr:row>83</xdr:row>
      <xdr:rowOff>158386</xdr:rowOff>
    </xdr:from>
    <xdr:to>
      <xdr:col>9</xdr:col>
      <xdr:colOff>225686</xdr:colOff>
      <xdr:row>86</xdr:row>
      <xdr:rowOff>23583</xdr:rowOff>
    </xdr:to>
    <xdr:sp macro="" textlink="">
      <xdr:nvSpPr>
        <xdr:cNvPr id="627" name="Line 517">
          <a:extLst>
            <a:ext uri="{FF2B5EF4-FFF2-40B4-BE49-F238E27FC236}">
              <a16:creationId xmlns:a16="http://schemas.microsoft.com/office/drawing/2014/main" id="{00000000-0008-0000-1500-000073020000}"/>
            </a:ext>
          </a:extLst>
        </xdr:cNvPr>
        <xdr:cNvSpPr>
          <a:spLocks noChangeShapeType="1"/>
        </xdr:cNvSpPr>
      </xdr:nvSpPr>
      <xdr:spPr bwMode="auto">
        <a:xfrm>
          <a:off x="2368811" y="9837691"/>
          <a:ext cx="0" cy="516707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11</xdr:col>
      <xdr:colOff>20651</xdr:colOff>
      <xdr:row>83</xdr:row>
      <xdr:rowOff>156481</xdr:rowOff>
    </xdr:from>
    <xdr:to>
      <xdr:col>11</xdr:col>
      <xdr:colOff>20651</xdr:colOff>
      <xdr:row>86</xdr:row>
      <xdr:rowOff>37814</xdr:rowOff>
    </xdr:to>
    <xdr:sp macro="" textlink="">
      <xdr:nvSpPr>
        <xdr:cNvPr id="628" name="Line 517">
          <a:extLst>
            <a:ext uri="{FF2B5EF4-FFF2-40B4-BE49-F238E27FC236}">
              <a16:creationId xmlns:a16="http://schemas.microsoft.com/office/drawing/2014/main" id="{00000000-0008-0000-1500-000074020000}"/>
            </a:ext>
          </a:extLst>
        </xdr:cNvPr>
        <xdr:cNvSpPr>
          <a:spLocks noChangeShapeType="1"/>
        </xdr:cNvSpPr>
      </xdr:nvSpPr>
      <xdr:spPr bwMode="auto">
        <a:xfrm>
          <a:off x="2636216" y="9835786"/>
          <a:ext cx="0" cy="536653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10</xdr:col>
      <xdr:colOff>894</xdr:colOff>
      <xdr:row>106</xdr:row>
      <xdr:rowOff>183422</xdr:rowOff>
    </xdr:from>
    <xdr:to>
      <xdr:col>10</xdr:col>
      <xdr:colOff>894</xdr:colOff>
      <xdr:row>109</xdr:row>
      <xdr:rowOff>12423</xdr:rowOff>
    </xdr:to>
    <xdr:sp macro="" textlink="">
      <xdr:nvSpPr>
        <xdr:cNvPr id="629" name="Line 517">
          <a:extLst>
            <a:ext uri="{FF2B5EF4-FFF2-40B4-BE49-F238E27FC236}">
              <a16:creationId xmlns:a16="http://schemas.microsoft.com/office/drawing/2014/main" id="{00000000-0008-0000-1500-000075020000}"/>
            </a:ext>
          </a:extLst>
        </xdr:cNvPr>
        <xdr:cNvSpPr>
          <a:spLocks noChangeShapeType="1"/>
        </xdr:cNvSpPr>
      </xdr:nvSpPr>
      <xdr:spPr bwMode="auto">
        <a:xfrm>
          <a:off x="2382144" y="14897642"/>
          <a:ext cx="0" cy="491941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11</xdr:col>
      <xdr:colOff>18744</xdr:colOff>
      <xdr:row>106</xdr:row>
      <xdr:rowOff>188321</xdr:rowOff>
    </xdr:from>
    <xdr:to>
      <xdr:col>11</xdr:col>
      <xdr:colOff>18744</xdr:colOff>
      <xdr:row>108</xdr:row>
      <xdr:rowOff>216882</xdr:rowOff>
    </xdr:to>
    <xdr:sp macro="" textlink="">
      <xdr:nvSpPr>
        <xdr:cNvPr id="630" name="Line 517">
          <a:extLst>
            <a:ext uri="{FF2B5EF4-FFF2-40B4-BE49-F238E27FC236}">
              <a16:creationId xmlns:a16="http://schemas.microsoft.com/office/drawing/2014/main" id="{00000000-0008-0000-1500-000076020000}"/>
            </a:ext>
          </a:extLst>
        </xdr:cNvPr>
        <xdr:cNvSpPr>
          <a:spLocks noChangeShapeType="1"/>
        </xdr:cNvSpPr>
      </xdr:nvSpPr>
      <xdr:spPr bwMode="auto">
        <a:xfrm>
          <a:off x="2641929" y="14904446"/>
          <a:ext cx="0" cy="462901"/>
        </a:xfrm>
        <a:prstGeom prst="line">
          <a:avLst/>
        </a:prstGeom>
        <a:noFill/>
        <a:ln w="28575">
          <a:solidFill>
            <a:srgbClr val="C00000"/>
          </a:solidFill>
          <a:round/>
          <a:headEnd/>
          <a:tailEnd/>
        </a:ln>
      </xdr:spPr>
    </xdr:sp>
    <xdr:clientData/>
  </xdr:twoCellAnchor>
  <xdr:twoCellAnchor>
    <xdr:from>
      <xdr:col>25</xdr:col>
      <xdr:colOff>217190</xdr:colOff>
      <xdr:row>80</xdr:row>
      <xdr:rowOff>13144</xdr:rowOff>
    </xdr:from>
    <xdr:to>
      <xdr:col>25</xdr:col>
      <xdr:colOff>217190</xdr:colOff>
      <xdr:row>81</xdr:row>
      <xdr:rowOff>203645</xdr:rowOff>
    </xdr:to>
    <xdr:sp macro="" textlink="">
      <xdr:nvSpPr>
        <xdr:cNvPr id="631" name="Line 510">
          <a:extLst>
            <a:ext uri="{FF2B5EF4-FFF2-40B4-BE49-F238E27FC236}">
              <a16:creationId xmlns:a16="http://schemas.microsoft.com/office/drawing/2014/main" id="{00000000-0008-0000-1500-000077020000}"/>
            </a:ext>
          </a:extLst>
        </xdr:cNvPr>
        <xdr:cNvSpPr>
          <a:spLocks noChangeShapeType="1"/>
        </xdr:cNvSpPr>
      </xdr:nvSpPr>
      <xdr:spPr bwMode="auto">
        <a:xfrm>
          <a:off x="6168410" y="9037129"/>
          <a:ext cx="0" cy="40957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31</xdr:col>
      <xdr:colOff>37031</xdr:colOff>
      <xdr:row>79</xdr:row>
      <xdr:rowOff>217526</xdr:rowOff>
    </xdr:from>
    <xdr:to>
      <xdr:col>31</xdr:col>
      <xdr:colOff>37031</xdr:colOff>
      <xdr:row>81</xdr:row>
      <xdr:rowOff>197932</xdr:rowOff>
    </xdr:to>
    <xdr:sp macro="" textlink="">
      <xdr:nvSpPr>
        <xdr:cNvPr id="632" name="Line 510">
          <a:extLst>
            <a:ext uri="{FF2B5EF4-FFF2-40B4-BE49-F238E27FC236}">
              <a16:creationId xmlns:a16="http://schemas.microsoft.com/office/drawing/2014/main" id="{00000000-0008-0000-1500-000078020000}"/>
            </a:ext>
          </a:extLst>
        </xdr:cNvPr>
        <xdr:cNvSpPr>
          <a:spLocks noChangeShapeType="1"/>
        </xdr:cNvSpPr>
      </xdr:nvSpPr>
      <xdr:spPr bwMode="auto">
        <a:xfrm>
          <a:off x="7418906" y="9016721"/>
          <a:ext cx="0" cy="42236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7</xdr:col>
      <xdr:colOff>224863</xdr:colOff>
      <xdr:row>84</xdr:row>
      <xdr:rowOff>40859</xdr:rowOff>
    </xdr:from>
    <xdr:to>
      <xdr:col>7</xdr:col>
      <xdr:colOff>224863</xdr:colOff>
      <xdr:row>85</xdr:row>
      <xdr:rowOff>220247</xdr:rowOff>
    </xdr:to>
    <xdr:sp macro="" textlink="">
      <xdr:nvSpPr>
        <xdr:cNvPr id="633" name="Line 510">
          <a:extLst>
            <a:ext uri="{FF2B5EF4-FFF2-40B4-BE49-F238E27FC236}">
              <a16:creationId xmlns:a16="http://schemas.microsoft.com/office/drawing/2014/main" id="{00000000-0008-0000-1500-000079020000}"/>
            </a:ext>
          </a:extLst>
        </xdr:cNvPr>
        <xdr:cNvSpPr>
          <a:spLocks noChangeShapeType="1"/>
        </xdr:cNvSpPr>
      </xdr:nvSpPr>
      <xdr:spPr bwMode="auto">
        <a:xfrm>
          <a:off x="1891738" y="9937334"/>
          <a:ext cx="0" cy="39655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13</xdr:col>
      <xdr:colOff>8328</xdr:colOff>
      <xdr:row>84</xdr:row>
      <xdr:rowOff>58322</xdr:rowOff>
    </xdr:from>
    <xdr:to>
      <xdr:col>13</xdr:col>
      <xdr:colOff>8328</xdr:colOff>
      <xdr:row>86</xdr:row>
      <xdr:rowOff>11650</xdr:rowOff>
    </xdr:to>
    <xdr:sp macro="" textlink="">
      <xdr:nvSpPr>
        <xdr:cNvPr id="634" name="Line 510">
          <a:extLst>
            <a:ext uri="{FF2B5EF4-FFF2-40B4-BE49-F238E27FC236}">
              <a16:creationId xmlns:a16="http://schemas.microsoft.com/office/drawing/2014/main" id="{00000000-0008-0000-1500-00007A020000}"/>
            </a:ext>
          </a:extLst>
        </xdr:cNvPr>
        <xdr:cNvSpPr>
          <a:spLocks noChangeShapeType="1"/>
        </xdr:cNvSpPr>
      </xdr:nvSpPr>
      <xdr:spPr bwMode="auto">
        <a:xfrm>
          <a:off x="3105858" y="9950987"/>
          <a:ext cx="0" cy="39909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7</xdr:col>
      <xdr:colOff>214583</xdr:colOff>
      <xdr:row>82</xdr:row>
      <xdr:rowOff>213096</xdr:rowOff>
    </xdr:from>
    <xdr:to>
      <xdr:col>7</xdr:col>
      <xdr:colOff>214583</xdr:colOff>
      <xdr:row>84</xdr:row>
      <xdr:rowOff>56886</xdr:rowOff>
    </xdr:to>
    <xdr:sp macro="" textlink="">
      <xdr:nvSpPr>
        <xdr:cNvPr id="635" name="Line 729">
          <a:extLst>
            <a:ext uri="{FF2B5EF4-FFF2-40B4-BE49-F238E27FC236}">
              <a16:creationId xmlns:a16="http://schemas.microsoft.com/office/drawing/2014/main" id="{00000000-0008-0000-1500-00007B020000}"/>
            </a:ext>
          </a:extLst>
        </xdr:cNvPr>
        <xdr:cNvSpPr>
          <a:spLocks noChangeShapeType="1"/>
        </xdr:cNvSpPr>
      </xdr:nvSpPr>
      <xdr:spPr bwMode="auto">
        <a:xfrm rot="10800000">
          <a:off x="1877648" y="9667611"/>
          <a:ext cx="0" cy="28956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13</xdr:col>
      <xdr:colOff>16166</xdr:colOff>
      <xdr:row>82</xdr:row>
      <xdr:rowOff>204242</xdr:rowOff>
    </xdr:from>
    <xdr:to>
      <xdr:col>13</xdr:col>
      <xdr:colOff>16166</xdr:colOff>
      <xdr:row>84</xdr:row>
      <xdr:rowOff>50157</xdr:rowOff>
    </xdr:to>
    <xdr:sp macro="" textlink="">
      <xdr:nvSpPr>
        <xdr:cNvPr id="636" name="Line 729">
          <a:extLst>
            <a:ext uri="{FF2B5EF4-FFF2-40B4-BE49-F238E27FC236}">
              <a16:creationId xmlns:a16="http://schemas.microsoft.com/office/drawing/2014/main" id="{00000000-0008-0000-1500-00007C020000}"/>
            </a:ext>
          </a:extLst>
        </xdr:cNvPr>
        <xdr:cNvSpPr>
          <a:spLocks noChangeShapeType="1"/>
        </xdr:cNvSpPr>
      </xdr:nvSpPr>
      <xdr:spPr bwMode="auto">
        <a:xfrm rot="10800000">
          <a:off x="3115601" y="9666377"/>
          <a:ext cx="0" cy="28406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7</xdr:col>
      <xdr:colOff>220148</xdr:colOff>
      <xdr:row>107</xdr:row>
      <xdr:rowOff>53152</xdr:rowOff>
    </xdr:from>
    <xdr:to>
      <xdr:col>7</xdr:col>
      <xdr:colOff>220148</xdr:colOff>
      <xdr:row>109</xdr:row>
      <xdr:rowOff>19815</xdr:rowOff>
    </xdr:to>
    <xdr:sp macro="" textlink="">
      <xdr:nvSpPr>
        <xdr:cNvPr id="637" name="Line 510">
          <a:extLst>
            <a:ext uri="{FF2B5EF4-FFF2-40B4-BE49-F238E27FC236}">
              <a16:creationId xmlns:a16="http://schemas.microsoft.com/office/drawing/2014/main" id="{00000000-0008-0000-1500-00007D020000}"/>
            </a:ext>
          </a:extLst>
        </xdr:cNvPr>
        <xdr:cNvSpPr>
          <a:spLocks noChangeShapeType="1"/>
        </xdr:cNvSpPr>
      </xdr:nvSpPr>
      <xdr:spPr bwMode="auto">
        <a:xfrm>
          <a:off x="1885118" y="14992162"/>
          <a:ext cx="0" cy="39719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13</xdr:col>
      <xdr:colOff>31552</xdr:colOff>
      <xdr:row>107</xdr:row>
      <xdr:rowOff>13148</xdr:rowOff>
    </xdr:from>
    <xdr:to>
      <xdr:col>13</xdr:col>
      <xdr:colOff>31552</xdr:colOff>
      <xdr:row>108</xdr:row>
      <xdr:rowOff>194441</xdr:rowOff>
    </xdr:to>
    <xdr:sp macro="" textlink="">
      <xdr:nvSpPr>
        <xdr:cNvPr id="638" name="Line 510">
          <a:extLst>
            <a:ext uri="{FF2B5EF4-FFF2-40B4-BE49-F238E27FC236}">
              <a16:creationId xmlns:a16="http://schemas.microsoft.com/office/drawing/2014/main" id="{00000000-0008-0000-1500-00007E020000}"/>
            </a:ext>
          </a:extLst>
        </xdr:cNvPr>
        <xdr:cNvSpPr>
          <a:spLocks noChangeShapeType="1"/>
        </xdr:cNvSpPr>
      </xdr:nvSpPr>
      <xdr:spPr bwMode="auto">
        <a:xfrm>
          <a:off x="3125272" y="14952158"/>
          <a:ext cx="0" cy="39846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7</xdr:col>
      <xdr:colOff>222250</xdr:colOff>
      <xdr:row>106</xdr:row>
      <xdr:rowOff>1234</xdr:rowOff>
    </xdr:from>
    <xdr:to>
      <xdr:col>7</xdr:col>
      <xdr:colOff>222250</xdr:colOff>
      <xdr:row>107</xdr:row>
      <xdr:rowOff>76799</xdr:rowOff>
    </xdr:to>
    <xdr:sp macro="" textlink="">
      <xdr:nvSpPr>
        <xdr:cNvPr id="639" name="Line 729">
          <a:extLst>
            <a:ext uri="{FF2B5EF4-FFF2-40B4-BE49-F238E27FC236}">
              <a16:creationId xmlns:a16="http://schemas.microsoft.com/office/drawing/2014/main" id="{00000000-0008-0000-1500-00007F020000}"/>
            </a:ext>
          </a:extLst>
        </xdr:cNvPr>
        <xdr:cNvSpPr>
          <a:spLocks noChangeShapeType="1"/>
        </xdr:cNvSpPr>
      </xdr:nvSpPr>
      <xdr:spPr bwMode="auto">
        <a:xfrm rot="10800000">
          <a:off x="1887220" y="14717359"/>
          <a:ext cx="0" cy="2946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13</xdr:col>
      <xdr:colOff>35263</xdr:colOff>
      <xdr:row>106</xdr:row>
      <xdr:rowOff>0</xdr:rowOff>
    </xdr:from>
    <xdr:to>
      <xdr:col>13</xdr:col>
      <xdr:colOff>35263</xdr:colOff>
      <xdr:row>107</xdr:row>
      <xdr:rowOff>66260</xdr:rowOff>
    </xdr:to>
    <xdr:sp macro="" textlink="">
      <xdr:nvSpPr>
        <xdr:cNvPr id="640" name="Line 729">
          <a:extLst>
            <a:ext uri="{FF2B5EF4-FFF2-40B4-BE49-F238E27FC236}">
              <a16:creationId xmlns:a16="http://schemas.microsoft.com/office/drawing/2014/main" id="{00000000-0008-0000-1500-000080020000}"/>
            </a:ext>
          </a:extLst>
        </xdr:cNvPr>
        <xdr:cNvSpPr>
          <a:spLocks noChangeShapeType="1"/>
        </xdr:cNvSpPr>
      </xdr:nvSpPr>
      <xdr:spPr bwMode="auto">
        <a:xfrm rot="10800000">
          <a:off x="3130888" y="14716125"/>
          <a:ext cx="0" cy="28343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33</xdr:col>
      <xdr:colOff>221996</xdr:colOff>
      <xdr:row>84</xdr:row>
      <xdr:rowOff>38347</xdr:rowOff>
    </xdr:from>
    <xdr:to>
      <xdr:col>35</xdr:col>
      <xdr:colOff>20383</xdr:colOff>
      <xdr:row>84</xdr:row>
      <xdr:rowOff>38347</xdr:rowOff>
    </xdr:to>
    <xdr:sp macro="" textlink="">
      <xdr:nvSpPr>
        <xdr:cNvPr id="641" name="Line 640">
          <a:extLst>
            <a:ext uri="{FF2B5EF4-FFF2-40B4-BE49-F238E27FC236}">
              <a16:creationId xmlns:a16="http://schemas.microsoft.com/office/drawing/2014/main" id="{00000000-0008-0000-1500-000081020000}"/>
            </a:ext>
          </a:extLst>
        </xdr:cNvPr>
        <xdr:cNvSpPr>
          <a:spLocks noChangeShapeType="1"/>
        </xdr:cNvSpPr>
      </xdr:nvSpPr>
      <xdr:spPr bwMode="auto">
        <a:xfrm rot="5400000">
          <a:off x="8214582" y="9798456"/>
          <a:ext cx="0" cy="272732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40</xdr:col>
      <xdr:colOff>12446</xdr:colOff>
      <xdr:row>84</xdr:row>
      <xdr:rowOff>38348</xdr:rowOff>
    </xdr:from>
    <xdr:to>
      <xdr:col>41</xdr:col>
      <xdr:colOff>26733</xdr:colOff>
      <xdr:row>84</xdr:row>
      <xdr:rowOff>38348</xdr:rowOff>
    </xdr:to>
    <xdr:sp macro="" textlink="">
      <xdr:nvSpPr>
        <xdr:cNvPr id="642" name="Line 640">
          <a:extLst>
            <a:ext uri="{FF2B5EF4-FFF2-40B4-BE49-F238E27FC236}">
              <a16:creationId xmlns:a16="http://schemas.microsoft.com/office/drawing/2014/main" id="{00000000-0008-0000-1500-000082020000}"/>
            </a:ext>
          </a:extLst>
        </xdr:cNvPr>
        <xdr:cNvSpPr>
          <a:spLocks noChangeShapeType="1"/>
        </xdr:cNvSpPr>
      </xdr:nvSpPr>
      <xdr:spPr bwMode="auto">
        <a:xfrm rot="5400000">
          <a:off x="9678892" y="9806712"/>
          <a:ext cx="0" cy="256222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35</xdr:col>
      <xdr:colOff>177546</xdr:colOff>
      <xdr:row>97</xdr:row>
      <xdr:rowOff>114549</xdr:rowOff>
    </xdr:from>
    <xdr:to>
      <xdr:col>36</xdr:col>
      <xdr:colOff>210883</xdr:colOff>
      <xdr:row>97</xdr:row>
      <xdr:rowOff>114549</xdr:rowOff>
    </xdr:to>
    <xdr:sp macro="" textlink="">
      <xdr:nvSpPr>
        <xdr:cNvPr id="643" name="Line 640">
          <a:extLst>
            <a:ext uri="{FF2B5EF4-FFF2-40B4-BE49-F238E27FC236}">
              <a16:creationId xmlns:a16="http://schemas.microsoft.com/office/drawing/2014/main" id="{00000000-0008-0000-1500-000083020000}"/>
            </a:ext>
          </a:extLst>
        </xdr:cNvPr>
        <xdr:cNvSpPr>
          <a:spLocks noChangeShapeType="1"/>
        </xdr:cNvSpPr>
      </xdr:nvSpPr>
      <xdr:spPr bwMode="auto">
        <a:xfrm rot="5400000">
          <a:off x="8643842" y="12723268"/>
          <a:ext cx="0" cy="271462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41</xdr:col>
      <xdr:colOff>177546</xdr:colOff>
      <xdr:row>97</xdr:row>
      <xdr:rowOff>114549</xdr:rowOff>
    </xdr:from>
    <xdr:to>
      <xdr:col>42</xdr:col>
      <xdr:colOff>210883</xdr:colOff>
      <xdr:row>97</xdr:row>
      <xdr:rowOff>114549</xdr:rowOff>
    </xdr:to>
    <xdr:sp macro="" textlink="">
      <xdr:nvSpPr>
        <xdr:cNvPr id="644" name="Line 640">
          <a:extLst>
            <a:ext uri="{FF2B5EF4-FFF2-40B4-BE49-F238E27FC236}">
              <a16:creationId xmlns:a16="http://schemas.microsoft.com/office/drawing/2014/main" id="{00000000-0008-0000-1500-000084020000}"/>
            </a:ext>
          </a:extLst>
        </xdr:cNvPr>
        <xdr:cNvSpPr>
          <a:spLocks noChangeShapeType="1"/>
        </xdr:cNvSpPr>
      </xdr:nvSpPr>
      <xdr:spPr bwMode="auto">
        <a:xfrm rot="5400000">
          <a:off x="10096405" y="12718505"/>
          <a:ext cx="0" cy="280987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35</xdr:col>
      <xdr:colOff>177546</xdr:colOff>
      <xdr:row>121</xdr:row>
      <xdr:rowOff>114549</xdr:rowOff>
    </xdr:from>
    <xdr:to>
      <xdr:col>36</xdr:col>
      <xdr:colOff>210883</xdr:colOff>
      <xdr:row>121</xdr:row>
      <xdr:rowOff>114549</xdr:rowOff>
    </xdr:to>
    <xdr:sp macro="" textlink="">
      <xdr:nvSpPr>
        <xdr:cNvPr id="645" name="Line 640">
          <a:extLst>
            <a:ext uri="{FF2B5EF4-FFF2-40B4-BE49-F238E27FC236}">
              <a16:creationId xmlns:a16="http://schemas.microsoft.com/office/drawing/2014/main" id="{00000000-0008-0000-1500-000085020000}"/>
            </a:ext>
          </a:extLst>
        </xdr:cNvPr>
        <xdr:cNvSpPr>
          <a:spLocks noChangeShapeType="1"/>
        </xdr:cNvSpPr>
      </xdr:nvSpPr>
      <xdr:spPr bwMode="auto">
        <a:xfrm rot="5400000">
          <a:off x="8643842" y="17981068"/>
          <a:ext cx="0" cy="271462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41</xdr:col>
      <xdr:colOff>177546</xdr:colOff>
      <xdr:row>121</xdr:row>
      <xdr:rowOff>114549</xdr:rowOff>
    </xdr:from>
    <xdr:to>
      <xdr:col>42</xdr:col>
      <xdr:colOff>210883</xdr:colOff>
      <xdr:row>121</xdr:row>
      <xdr:rowOff>114549</xdr:rowOff>
    </xdr:to>
    <xdr:sp macro="" textlink="">
      <xdr:nvSpPr>
        <xdr:cNvPr id="646" name="Line 640">
          <a:extLst>
            <a:ext uri="{FF2B5EF4-FFF2-40B4-BE49-F238E27FC236}">
              <a16:creationId xmlns:a16="http://schemas.microsoft.com/office/drawing/2014/main" id="{00000000-0008-0000-1500-000086020000}"/>
            </a:ext>
          </a:extLst>
        </xdr:cNvPr>
        <xdr:cNvSpPr>
          <a:spLocks noChangeShapeType="1"/>
        </xdr:cNvSpPr>
      </xdr:nvSpPr>
      <xdr:spPr bwMode="auto">
        <a:xfrm rot="5400000">
          <a:off x="10096405" y="17976305"/>
          <a:ext cx="0" cy="280987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33</xdr:col>
      <xdr:colOff>202946</xdr:colOff>
      <xdr:row>107</xdr:row>
      <xdr:rowOff>32000</xdr:rowOff>
    </xdr:from>
    <xdr:to>
      <xdr:col>35</xdr:col>
      <xdr:colOff>1333</xdr:colOff>
      <xdr:row>107</xdr:row>
      <xdr:rowOff>32000</xdr:rowOff>
    </xdr:to>
    <xdr:sp macro="" textlink="">
      <xdr:nvSpPr>
        <xdr:cNvPr id="647" name="Line 640">
          <a:extLst>
            <a:ext uri="{FF2B5EF4-FFF2-40B4-BE49-F238E27FC236}">
              <a16:creationId xmlns:a16="http://schemas.microsoft.com/office/drawing/2014/main" id="{00000000-0008-0000-1500-000087020000}"/>
            </a:ext>
          </a:extLst>
        </xdr:cNvPr>
        <xdr:cNvSpPr>
          <a:spLocks noChangeShapeType="1"/>
        </xdr:cNvSpPr>
      </xdr:nvSpPr>
      <xdr:spPr bwMode="auto">
        <a:xfrm rot="5400000">
          <a:off x="8200295" y="14829881"/>
          <a:ext cx="0" cy="270827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39</xdr:col>
      <xdr:colOff>247396</xdr:colOff>
      <xdr:row>107</xdr:row>
      <xdr:rowOff>32001</xdr:rowOff>
    </xdr:from>
    <xdr:to>
      <xdr:col>41</xdr:col>
      <xdr:colOff>7683</xdr:colOff>
      <xdr:row>107</xdr:row>
      <xdr:rowOff>32001</xdr:rowOff>
    </xdr:to>
    <xdr:sp macro="" textlink="">
      <xdr:nvSpPr>
        <xdr:cNvPr id="648" name="Line 640">
          <a:extLst>
            <a:ext uri="{FF2B5EF4-FFF2-40B4-BE49-F238E27FC236}">
              <a16:creationId xmlns:a16="http://schemas.microsoft.com/office/drawing/2014/main" id="{00000000-0008-0000-1500-000088020000}"/>
            </a:ext>
          </a:extLst>
        </xdr:cNvPr>
        <xdr:cNvSpPr>
          <a:spLocks noChangeShapeType="1"/>
        </xdr:cNvSpPr>
      </xdr:nvSpPr>
      <xdr:spPr bwMode="auto">
        <a:xfrm rot="5400000">
          <a:off x="9664922" y="14838455"/>
          <a:ext cx="0" cy="253682"/>
        </a:xfrm>
        <a:prstGeom prst="line">
          <a:avLst/>
        </a:prstGeom>
        <a:ln w="28575">
          <a:solidFill>
            <a:srgbClr val="7030A0"/>
          </a:solidFill>
          <a:headEnd/>
          <a:tailEnd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sp>
    <xdr:clientData/>
  </xdr:twoCellAnchor>
  <xdr:twoCellAnchor>
    <xdr:from>
      <xdr:col>38</xdr:col>
      <xdr:colOff>0</xdr:colOff>
      <xdr:row>62</xdr:row>
      <xdr:rowOff>0</xdr:rowOff>
    </xdr:from>
    <xdr:to>
      <xdr:col>38</xdr:col>
      <xdr:colOff>0</xdr:colOff>
      <xdr:row>62</xdr:row>
      <xdr:rowOff>19050</xdr:rowOff>
    </xdr:to>
    <xdr:grpSp>
      <xdr:nvGrpSpPr>
        <xdr:cNvPr id="819" name="Group 234">
          <a:extLst>
            <a:ext uri="{FF2B5EF4-FFF2-40B4-BE49-F238E27FC236}">
              <a16:creationId xmlns:a16="http://schemas.microsoft.com/office/drawing/2014/main" id="{00000000-0008-0000-1500-000033030000}"/>
            </a:ext>
          </a:extLst>
        </xdr:cNvPr>
        <xdr:cNvGrpSpPr>
          <a:grpSpLocks/>
        </xdr:cNvGrpSpPr>
      </xdr:nvGrpSpPr>
      <xdr:grpSpPr bwMode="auto">
        <a:xfrm>
          <a:off x="9040813" y="12128500"/>
          <a:ext cx="0" cy="19050"/>
          <a:chOff x="403" y="448"/>
          <a:chExt cx="44" cy="4"/>
        </a:xfrm>
      </xdr:grpSpPr>
      <xdr:sp macro="" textlink="">
        <xdr:nvSpPr>
          <xdr:cNvPr id="820" name="Line 130">
            <a:extLst>
              <a:ext uri="{FF2B5EF4-FFF2-40B4-BE49-F238E27FC236}">
                <a16:creationId xmlns:a16="http://schemas.microsoft.com/office/drawing/2014/main" id="{00000000-0008-0000-1500-00003403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26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821" name="Line 131">
            <a:extLst>
              <a:ext uri="{FF2B5EF4-FFF2-40B4-BE49-F238E27FC236}">
                <a16:creationId xmlns:a16="http://schemas.microsoft.com/office/drawing/2014/main" id="{00000000-0008-0000-1500-00003503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30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60</xdr:row>
      <xdr:rowOff>0</xdr:rowOff>
    </xdr:from>
    <xdr:to>
      <xdr:col>38</xdr:col>
      <xdr:colOff>0</xdr:colOff>
      <xdr:row>60</xdr:row>
      <xdr:rowOff>19050</xdr:rowOff>
    </xdr:to>
    <xdr:grpSp>
      <xdr:nvGrpSpPr>
        <xdr:cNvPr id="822" name="Group 656">
          <a:extLst>
            <a:ext uri="{FF2B5EF4-FFF2-40B4-BE49-F238E27FC236}">
              <a16:creationId xmlns:a16="http://schemas.microsoft.com/office/drawing/2014/main" id="{00000000-0008-0000-1500-000036030000}"/>
            </a:ext>
          </a:extLst>
        </xdr:cNvPr>
        <xdr:cNvGrpSpPr>
          <a:grpSpLocks/>
        </xdr:cNvGrpSpPr>
      </xdr:nvGrpSpPr>
      <xdr:grpSpPr bwMode="auto">
        <a:xfrm>
          <a:off x="9040813" y="11747500"/>
          <a:ext cx="0" cy="19050"/>
          <a:chOff x="353" y="423"/>
          <a:chExt cx="44" cy="4"/>
        </a:xfrm>
      </xdr:grpSpPr>
      <xdr:sp macro="" textlink="">
        <xdr:nvSpPr>
          <xdr:cNvPr id="823" name="Line 143">
            <a:extLst>
              <a:ext uri="{FF2B5EF4-FFF2-40B4-BE49-F238E27FC236}">
                <a16:creationId xmlns:a16="http://schemas.microsoft.com/office/drawing/2014/main" id="{00000000-0008-0000-1500-00003703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824" name="Line 144">
            <a:extLst>
              <a:ext uri="{FF2B5EF4-FFF2-40B4-BE49-F238E27FC236}">
                <a16:creationId xmlns:a16="http://schemas.microsoft.com/office/drawing/2014/main" id="{00000000-0008-0000-1500-00003803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60</xdr:row>
      <xdr:rowOff>0</xdr:rowOff>
    </xdr:from>
    <xdr:to>
      <xdr:col>38</xdr:col>
      <xdr:colOff>0</xdr:colOff>
      <xdr:row>60</xdr:row>
      <xdr:rowOff>19050</xdr:rowOff>
    </xdr:to>
    <xdr:grpSp>
      <xdr:nvGrpSpPr>
        <xdr:cNvPr id="825" name="Group 655">
          <a:extLst>
            <a:ext uri="{FF2B5EF4-FFF2-40B4-BE49-F238E27FC236}">
              <a16:creationId xmlns:a16="http://schemas.microsoft.com/office/drawing/2014/main" id="{00000000-0008-0000-1500-000039030000}"/>
            </a:ext>
          </a:extLst>
        </xdr:cNvPr>
        <xdr:cNvGrpSpPr>
          <a:grpSpLocks/>
        </xdr:cNvGrpSpPr>
      </xdr:nvGrpSpPr>
      <xdr:grpSpPr bwMode="auto">
        <a:xfrm>
          <a:off x="9040813" y="11747500"/>
          <a:ext cx="0" cy="19050"/>
          <a:chOff x="403" y="423"/>
          <a:chExt cx="44" cy="4"/>
        </a:xfrm>
      </xdr:grpSpPr>
      <xdr:sp macro="" textlink="">
        <xdr:nvSpPr>
          <xdr:cNvPr id="826" name="Line 146">
            <a:extLst>
              <a:ext uri="{FF2B5EF4-FFF2-40B4-BE49-F238E27FC236}">
                <a16:creationId xmlns:a16="http://schemas.microsoft.com/office/drawing/2014/main" id="{00000000-0008-0000-1500-00003A03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827" name="Line 147">
            <a:extLst>
              <a:ext uri="{FF2B5EF4-FFF2-40B4-BE49-F238E27FC236}">
                <a16:creationId xmlns:a16="http://schemas.microsoft.com/office/drawing/2014/main" id="{00000000-0008-0000-1500-00003B03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11</xdr:col>
      <xdr:colOff>1905</xdr:colOff>
      <xdr:row>63</xdr:row>
      <xdr:rowOff>140621</xdr:rowOff>
    </xdr:from>
    <xdr:to>
      <xdr:col>12</xdr:col>
      <xdr:colOff>15875</xdr:colOff>
      <xdr:row>65</xdr:row>
      <xdr:rowOff>17432</xdr:rowOff>
    </xdr:to>
    <xdr:cxnSp macro="">
      <xdr:nvCxnSpPr>
        <xdr:cNvPr id="828" name="직선 연결선 827">
          <a:extLst>
            <a:ext uri="{FF2B5EF4-FFF2-40B4-BE49-F238E27FC236}">
              <a16:creationId xmlns:a16="http://schemas.microsoft.com/office/drawing/2014/main" id="{00000000-0008-0000-1500-00003C030000}"/>
            </a:ext>
          </a:extLst>
        </xdr:cNvPr>
        <xdr:cNvCxnSpPr/>
      </xdr:nvCxnSpPr>
      <xdr:spPr>
        <a:xfrm flipV="1">
          <a:off x="13187226" y="5624300"/>
          <a:ext cx="224881" cy="31223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15875</xdr:colOff>
      <xdr:row>63</xdr:row>
      <xdr:rowOff>129826</xdr:rowOff>
    </xdr:from>
    <xdr:to>
      <xdr:col>11</xdr:col>
      <xdr:colOff>20320</xdr:colOff>
      <xdr:row>65</xdr:row>
      <xdr:rowOff>27592</xdr:rowOff>
    </xdr:to>
    <xdr:cxnSp macro="">
      <xdr:nvCxnSpPr>
        <xdr:cNvPr id="829" name="직선 연결선 828">
          <a:extLst>
            <a:ext uri="{FF2B5EF4-FFF2-40B4-BE49-F238E27FC236}">
              <a16:creationId xmlns:a16="http://schemas.microsoft.com/office/drawing/2014/main" id="{00000000-0008-0000-1500-00003D030000}"/>
            </a:ext>
          </a:extLst>
        </xdr:cNvPr>
        <xdr:cNvCxnSpPr/>
      </xdr:nvCxnSpPr>
      <xdr:spPr>
        <a:xfrm flipV="1">
          <a:off x="12963071" y="5613505"/>
          <a:ext cx="242570" cy="33319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62</xdr:row>
      <xdr:rowOff>120650</xdr:rowOff>
    </xdr:from>
    <xdr:to>
      <xdr:col>18</xdr:col>
      <xdr:colOff>6350</xdr:colOff>
      <xdr:row>63</xdr:row>
      <xdr:rowOff>203200</xdr:rowOff>
    </xdr:to>
    <xdr:cxnSp macro="">
      <xdr:nvCxnSpPr>
        <xdr:cNvPr id="830" name="직선 연결선 829">
          <a:extLst>
            <a:ext uri="{FF2B5EF4-FFF2-40B4-BE49-F238E27FC236}">
              <a16:creationId xmlns:a16="http://schemas.microsoft.com/office/drawing/2014/main" id="{00000000-0008-0000-1500-00003E030000}"/>
            </a:ext>
          </a:extLst>
        </xdr:cNvPr>
        <xdr:cNvCxnSpPr/>
      </xdr:nvCxnSpPr>
      <xdr:spPr>
        <a:xfrm flipV="1">
          <a:off x="4048125" y="5388519"/>
          <a:ext cx="246380" cy="30217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6350</xdr:colOff>
      <xdr:row>62</xdr:row>
      <xdr:rowOff>127000</xdr:rowOff>
    </xdr:from>
    <xdr:to>
      <xdr:col>17</xdr:col>
      <xdr:colOff>12700</xdr:colOff>
      <xdr:row>64</xdr:row>
      <xdr:rowOff>0</xdr:rowOff>
    </xdr:to>
    <xdr:cxnSp macro="">
      <xdr:nvCxnSpPr>
        <xdr:cNvPr id="831" name="직선 연결선 830">
          <a:extLst>
            <a:ext uri="{FF2B5EF4-FFF2-40B4-BE49-F238E27FC236}">
              <a16:creationId xmlns:a16="http://schemas.microsoft.com/office/drawing/2014/main" id="{00000000-0008-0000-1500-00003F030000}"/>
            </a:ext>
          </a:extLst>
        </xdr:cNvPr>
        <xdr:cNvCxnSpPr/>
      </xdr:nvCxnSpPr>
      <xdr:spPr>
        <a:xfrm flipV="1">
          <a:off x="3818255" y="5396774"/>
          <a:ext cx="246380" cy="30461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234950</xdr:colOff>
      <xdr:row>62</xdr:row>
      <xdr:rowOff>171450</xdr:rowOff>
    </xdr:from>
    <xdr:to>
      <xdr:col>24</xdr:col>
      <xdr:colOff>0</xdr:colOff>
      <xdr:row>64</xdr:row>
      <xdr:rowOff>44450</xdr:rowOff>
    </xdr:to>
    <xdr:cxnSp macro="">
      <xdr:nvCxnSpPr>
        <xdr:cNvPr id="832" name="직선 연결선 831">
          <a:extLst>
            <a:ext uri="{FF2B5EF4-FFF2-40B4-BE49-F238E27FC236}">
              <a16:creationId xmlns:a16="http://schemas.microsoft.com/office/drawing/2014/main" id="{00000000-0008-0000-1500-000040030000}"/>
            </a:ext>
          </a:extLst>
        </xdr:cNvPr>
        <xdr:cNvCxnSpPr/>
      </xdr:nvCxnSpPr>
      <xdr:spPr>
        <a:xfrm flipV="1">
          <a:off x="5475605" y="5433604"/>
          <a:ext cx="239395" cy="3141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62</xdr:row>
      <xdr:rowOff>177800</xdr:rowOff>
    </xdr:from>
    <xdr:to>
      <xdr:col>23</xdr:col>
      <xdr:colOff>6350</xdr:colOff>
      <xdr:row>64</xdr:row>
      <xdr:rowOff>50800</xdr:rowOff>
    </xdr:to>
    <xdr:cxnSp macro="">
      <xdr:nvCxnSpPr>
        <xdr:cNvPr id="833" name="직선 연결선 832">
          <a:extLst>
            <a:ext uri="{FF2B5EF4-FFF2-40B4-BE49-F238E27FC236}">
              <a16:creationId xmlns:a16="http://schemas.microsoft.com/office/drawing/2014/main" id="{00000000-0008-0000-1500-000041030000}"/>
            </a:ext>
          </a:extLst>
        </xdr:cNvPr>
        <xdr:cNvCxnSpPr/>
      </xdr:nvCxnSpPr>
      <xdr:spPr>
        <a:xfrm flipV="1">
          <a:off x="5238750" y="5439954"/>
          <a:ext cx="246380" cy="31604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212725</xdr:colOff>
      <xdr:row>61</xdr:row>
      <xdr:rowOff>109685</xdr:rowOff>
    </xdr:from>
    <xdr:to>
      <xdr:col>23</xdr:col>
      <xdr:colOff>228600</xdr:colOff>
      <xdr:row>62</xdr:row>
      <xdr:rowOff>190874</xdr:rowOff>
    </xdr:to>
    <xdr:cxnSp macro="">
      <xdr:nvCxnSpPr>
        <xdr:cNvPr id="834" name="직선 연결선 833">
          <a:extLst>
            <a:ext uri="{FF2B5EF4-FFF2-40B4-BE49-F238E27FC236}">
              <a16:creationId xmlns:a16="http://schemas.microsoft.com/office/drawing/2014/main" id="{00000000-0008-0000-1500-000042030000}"/>
            </a:ext>
          </a:extLst>
        </xdr:cNvPr>
        <xdr:cNvCxnSpPr/>
      </xdr:nvCxnSpPr>
      <xdr:spPr>
        <a:xfrm flipV="1">
          <a:off x="15881350" y="5157935"/>
          <a:ext cx="254000" cy="29890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228600</xdr:colOff>
      <xdr:row>61</xdr:row>
      <xdr:rowOff>119845</xdr:rowOff>
    </xdr:from>
    <xdr:to>
      <xdr:col>23</xdr:col>
      <xdr:colOff>635</xdr:colOff>
      <xdr:row>62</xdr:row>
      <xdr:rowOff>204844</xdr:rowOff>
    </xdr:to>
    <xdr:cxnSp macro="">
      <xdr:nvCxnSpPr>
        <xdr:cNvPr id="835" name="직선 연결선 834">
          <a:extLst>
            <a:ext uri="{FF2B5EF4-FFF2-40B4-BE49-F238E27FC236}">
              <a16:creationId xmlns:a16="http://schemas.microsoft.com/office/drawing/2014/main" id="{00000000-0008-0000-1500-000043030000}"/>
            </a:ext>
          </a:extLst>
        </xdr:cNvPr>
        <xdr:cNvCxnSpPr/>
      </xdr:nvCxnSpPr>
      <xdr:spPr>
        <a:xfrm flipV="1">
          <a:off x="15659100" y="5168095"/>
          <a:ext cx="248285" cy="30271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181706</xdr:colOff>
      <xdr:row>62</xdr:row>
      <xdr:rowOff>201248</xdr:rowOff>
    </xdr:from>
    <xdr:to>
      <xdr:col>28</xdr:col>
      <xdr:colOff>188057</xdr:colOff>
      <xdr:row>64</xdr:row>
      <xdr:rowOff>61060</xdr:rowOff>
    </xdr:to>
    <xdr:cxnSp macro="">
      <xdr:nvCxnSpPr>
        <xdr:cNvPr id="836" name="직선 연결선 835">
          <a:extLst>
            <a:ext uri="{FF2B5EF4-FFF2-40B4-BE49-F238E27FC236}">
              <a16:creationId xmlns:a16="http://schemas.microsoft.com/office/drawing/2014/main" id="{00000000-0008-0000-1500-000044030000}"/>
            </a:ext>
          </a:extLst>
        </xdr:cNvPr>
        <xdr:cNvCxnSpPr/>
      </xdr:nvCxnSpPr>
      <xdr:spPr>
        <a:xfrm flipV="1">
          <a:off x="6609176" y="5469117"/>
          <a:ext cx="246381" cy="2895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222250</xdr:colOff>
      <xdr:row>60</xdr:row>
      <xdr:rowOff>114300</xdr:rowOff>
    </xdr:from>
    <xdr:to>
      <xdr:col>29</xdr:col>
      <xdr:colOff>228600</xdr:colOff>
      <xdr:row>61</xdr:row>
      <xdr:rowOff>196850</xdr:rowOff>
    </xdr:to>
    <xdr:cxnSp macro="">
      <xdr:nvCxnSpPr>
        <xdr:cNvPr id="837" name="직선 연결선 836">
          <a:extLst>
            <a:ext uri="{FF2B5EF4-FFF2-40B4-BE49-F238E27FC236}">
              <a16:creationId xmlns:a16="http://schemas.microsoft.com/office/drawing/2014/main" id="{00000000-0008-0000-1500-000045030000}"/>
            </a:ext>
          </a:extLst>
        </xdr:cNvPr>
        <xdr:cNvCxnSpPr/>
      </xdr:nvCxnSpPr>
      <xdr:spPr>
        <a:xfrm flipV="1">
          <a:off x="6887845" y="4944836"/>
          <a:ext cx="246380" cy="30216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228600</xdr:colOff>
      <xdr:row>60</xdr:row>
      <xdr:rowOff>120650</xdr:rowOff>
    </xdr:from>
    <xdr:to>
      <xdr:col>28</xdr:col>
      <xdr:colOff>234950</xdr:colOff>
      <xdr:row>61</xdr:row>
      <xdr:rowOff>203200</xdr:rowOff>
    </xdr:to>
    <xdr:cxnSp macro="">
      <xdr:nvCxnSpPr>
        <xdr:cNvPr id="838" name="직선 연결선 837">
          <a:extLst>
            <a:ext uri="{FF2B5EF4-FFF2-40B4-BE49-F238E27FC236}">
              <a16:creationId xmlns:a16="http://schemas.microsoft.com/office/drawing/2014/main" id="{00000000-0008-0000-1500-000046030000}"/>
            </a:ext>
          </a:extLst>
        </xdr:cNvPr>
        <xdr:cNvCxnSpPr/>
      </xdr:nvCxnSpPr>
      <xdr:spPr>
        <a:xfrm flipV="1">
          <a:off x="6657975" y="4953091"/>
          <a:ext cx="246380" cy="30216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</xdr:colOff>
      <xdr:row>63</xdr:row>
      <xdr:rowOff>0</xdr:rowOff>
    </xdr:from>
    <xdr:to>
      <xdr:col>29</xdr:col>
      <xdr:colOff>12700</xdr:colOff>
      <xdr:row>64</xdr:row>
      <xdr:rowOff>82550</xdr:rowOff>
    </xdr:to>
    <xdr:cxnSp macro="">
      <xdr:nvCxnSpPr>
        <xdr:cNvPr id="839" name="직선 연결선 838">
          <a:extLst>
            <a:ext uri="{FF2B5EF4-FFF2-40B4-BE49-F238E27FC236}">
              <a16:creationId xmlns:a16="http://schemas.microsoft.com/office/drawing/2014/main" id="{00000000-0008-0000-1500-000047030000}"/>
            </a:ext>
          </a:extLst>
        </xdr:cNvPr>
        <xdr:cNvCxnSpPr/>
      </xdr:nvCxnSpPr>
      <xdr:spPr>
        <a:xfrm flipV="1">
          <a:off x="6675755" y="5483679"/>
          <a:ext cx="246380" cy="30216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199780</xdr:colOff>
      <xdr:row>62</xdr:row>
      <xdr:rowOff>206135</xdr:rowOff>
    </xdr:from>
    <xdr:to>
      <xdr:col>29</xdr:col>
      <xdr:colOff>199291</xdr:colOff>
      <xdr:row>64</xdr:row>
      <xdr:rowOff>65947</xdr:rowOff>
    </xdr:to>
    <xdr:cxnSp macro="">
      <xdr:nvCxnSpPr>
        <xdr:cNvPr id="840" name="직선 연결선 839">
          <a:extLst>
            <a:ext uri="{FF2B5EF4-FFF2-40B4-BE49-F238E27FC236}">
              <a16:creationId xmlns:a16="http://schemas.microsoft.com/office/drawing/2014/main" id="{00000000-0008-0000-1500-000048030000}"/>
            </a:ext>
          </a:extLst>
        </xdr:cNvPr>
        <xdr:cNvCxnSpPr/>
      </xdr:nvCxnSpPr>
      <xdr:spPr>
        <a:xfrm flipV="1">
          <a:off x="6869185" y="5475909"/>
          <a:ext cx="237636" cy="28952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41030</xdr:colOff>
      <xdr:row>62</xdr:row>
      <xdr:rowOff>185127</xdr:rowOff>
    </xdr:from>
    <xdr:to>
      <xdr:col>30</xdr:col>
      <xdr:colOff>47380</xdr:colOff>
      <xdr:row>64</xdr:row>
      <xdr:rowOff>58127</xdr:rowOff>
    </xdr:to>
    <xdr:cxnSp macro="">
      <xdr:nvCxnSpPr>
        <xdr:cNvPr id="841" name="직선 연결선 840">
          <a:extLst>
            <a:ext uri="{FF2B5EF4-FFF2-40B4-BE49-F238E27FC236}">
              <a16:creationId xmlns:a16="http://schemas.microsoft.com/office/drawing/2014/main" id="{00000000-0008-0000-1500-000049030000}"/>
            </a:ext>
          </a:extLst>
        </xdr:cNvPr>
        <xdr:cNvCxnSpPr/>
      </xdr:nvCxnSpPr>
      <xdr:spPr>
        <a:xfrm flipV="1">
          <a:off x="6946655" y="5449186"/>
          <a:ext cx="246380" cy="3065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175846</xdr:colOff>
      <xdr:row>62</xdr:row>
      <xdr:rowOff>193919</xdr:rowOff>
    </xdr:from>
    <xdr:to>
      <xdr:col>34</xdr:col>
      <xdr:colOff>182197</xdr:colOff>
      <xdr:row>64</xdr:row>
      <xdr:rowOff>53731</xdr:rowOff>
    </xdr:to>
    <xdr:cxnSp macro="">
      <xdr:nvCxnSpPr>
        <xdr:cNvPr id="842" name="직선 연결선 841">
          <a:extLst>
            <a:ext uri="{FF2B5EF4-FFF2-40B4-BE49-F238E27FC236}">
              <a16:creationId xmlns:a16="http://schemas.microsoft.com/office/drawing/2014/main" id="{00000000-0008-0000-1500-00004A030000}"/>
            </a:ext>
          </a:extLst>
        </xdr:cNvPr>
        <xdr:cNvCxnSpPr/>
      </xdr:nvCxnSpPr>
      <xdr:spPr>
        <a:xfrm flipV="1">
          <a:off x="8030161" y="5459883"/>
          <a:ext cx="246381" cy="2990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228600</xdr:colOff>
      <xdr:row>60</xdr:row>
      <xdr:rowOff>120650</xdr:rowOff>
    </xdr:from>
    <xdr:to>
      <xdr:col>35</xdr:col>
      <xdr:colOff>234950</xdr:colOff>
      <xdr:row>61</xdr:row>
      <xdr:rowOff>203200</xdr:rowOff>
    </xdr:to>
    <xdr:cxnSp macro="">
      <xdr:nvCxnSpPr>
        <xdr:cNvPr id="843" name="직선 연결선 842">
          <a:extLst>
            <a:ext uri="{FF2B5EF4-FFF2-40B4-BE49-F238E27FC236}">
              <a16:creationId xmlns:a16="http://schemas.microsoft.com/office/drawing/2014/main" id="{00000000-0008-0000-1500-00004B030000}"/>
            </a:ext>
          </a:extLst>
        </xdr:cNvPr>
        <xdr:cNvCxnSpPr/>
      </xdr:nvCxnSpPr>
      <xdr:spPr>
        <a:xfrm flipV="1">
          <a:off x="8324850" y="4953091"/>
          <a:ext cx="246380" cy="30216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234950</xdr:colOff>
      <xdr:row>60</xdr:row>
      <xdr:rowOff>127000</xdr:rowOff>
    </xdr:from>
    <xdr:to>
      <xdr:col>35</xdr:col>
      <xdr:colOff>0</xdr:colOff>
      <xdr:row>62</xdr:row>
      <xdr:rowOff>0</xdr:rowOff>
    </xdr:to>
    <xdr:cxnSp macro="">
      <xdr:nvCxnSpPr>
        <xdr:cNvPr id="844" name="직선 연결선 843">
          <a:extLst>
            <a:ext uri="{FF2B5EF4-FFF2-40B4-BE49-F238E27FC236}">
              <a16:creationId xmlns:a16="http://schemas.microsoft.com/office/drawing/2014/main" id="{00000000-0008-0000-1500-00004C030000}"/>
            </a:ext>
          </a:extLst>
        </xdr:cNvPr>
        <xdr:cNvCxnSpPr/>
      </xdr:nvCxnSpPr>
      <xdr:spPr>
        <a:xfrm flipV="1">
          <a:off x="8094980" y="4961346"/>
          <a:ext cx="239395" cy="3046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6350</xdr:colOff>
      <xdr:row>62</xdr:row>
      <xdr:rowOff>190500</xdr:rowOff>
    </xdr:from>
    <xdr:to>
      <xdr:col>35</xdr:col>
      <xdr:colOff>12700</xdr:colOff>
      <xdr:row>64</xdr:row>
      <xdr:rowOff>63500</xdr:rowOff>
    </xdr:to>
    <xdr:cxnSp macro="">
      <xdr:nvCxnSpPr>
        <xdr:cNvPr id="845" name="직선 연결선 844">
          <a:extLst>
            <a:ext uri="{FF2B5EF4-FFF2-40B4-BE49-F238E27FC236}">
              <a16:creationId xmlns:a16="http://schemas.microsoft.com/office/drawing/2014/main" id="{00000000-0008-0000-1500-00004D030000}"/>
            </a:ext>
          </a:extLst>
        </xdr:cNvPr>
        <xdr:cNvCxnSpPr/>
      </xdr:nvCxnSpPr>
      <xdr:spPr>
        <a:xfrm flipV="1">
          <a:off x="8104505" y="5456464"/>
          <a:ext cx="246380" cy="30461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211504</xdr:colOff>
      <xdr:row>62</xdr:row>
      <xdr:rowOff>210527</xdr:rowOff>
    </xdr:from>
    <xdr:to>
      <xdr:col>35</xdr:col>
      <xdr:colOff>211015</xdr:colOff>
      <xdr:row>64</xdr:row>
      <xdr:rowOff>70339</xdr:rowOff>
    </xdr:to>
    <xdr:cxnSp macro="">
      <xdr:nvCxnSpPr>
        <xdr:cNvPr id="846" name="직선 연결선 845">
          <a:extLst>
            <a:ext uri="{FF2B5EF4-FFF2-40B4-BE49-F238E27FC236}">
              <a16:creationId xmlns:a16="http://schemas.microsoft.com/office/drawing/2014/main" id="{00000000-0008-0000-1500-00004E030000}"/>
            </a:ext>
          </a:extLst>
        </xdr:cNvPr>
        <xdr:cNvCxnSpPr/>
      </xdr:nvCxnSpPr>
      <xdr:spPr>
        <a:xfrm flipV="1">
          <a:off x="8303944" y="5472681"/>
          <a:ext cx="237636" cy="2971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46893</xdr:colOff>
      <xdr:row>62</xdr:row>
      <xdr:rowOff>201247</xdr:rowOff>
    </xdr:from>
    <xdr:to>
      <xdr:col>36</xdr:col>
      <xdr:colOff>53243</xdr:colOff>
      <xdr:row>64</xdr:row>
      <xdr:rowOff>74247</xdr:rowOff>
    </xdr:to>
    <xdr:cxnSp macro="">
      <xdr:nvCxnSpPr>
        <xdr:cNvPr id="847" name="직선 연결선 846">
          <a:extLst>
            <a:ext uri="{FF2B5EF4-FFF2-40B4-BE49-F238E27FC236}">
              <a16:creationId xmlns:a16="http://schemas.microsoft.com/office/drawing/2014/main" id="{00000000-0008-0000-1500-00004F030000}"/>
            </a:ext>
          </a:extLst>
        </xdr:cNvPr>
        <xdr:cNvCxnSpPr/>
      </xdr:nvCxnSpPr>
      <xdr:spPr>
        <a:xfrm flipV="1">
          <a:off x="8383173" y="5469116"/>
          <a:ext cx="246380" cy="3065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35169</xdr:colOff>
      <xdr:row>59</xdr:row>
      <xdr:rowOff>158520</xdr:rowOff>
    </xdr:from>
    <xdr:to>
      <xdr:col>36</xdr:col>
      <xdr:colOff>41519</xdr:colOff>
      <xdr:row>61</xdr:row>
      <xdr:rowOff>8807</xdr:rowOff>
    </xdr:to>
    <xdr:cxnSp macro="">
      <xdr:nvCxnSpPr>
        <xdr:cNvPr id="848" name="직선 연결선 847">
          <a:extLst>
            <a:ext uri="{FF2B5EF4-FFF2-40B4-BE49-F238E27FC236}">
              <a16:creationId xmlns:a16="http://schemas.microsoft.com/office/drawing/2014/main" id="{00000000-0008-0000-1500-000050030000}"/>
            </a:ext>
          </a:extLst>
        </xdr:cNvPr>
        <xdr:cNvCxnSpPr/>
      </xdr:nvCxnSpPr>
      <xdr:spPr>
        <a:xfrm flipV="1">
          <a:off x="18738187" y="4771341"/>
          <a:ext cx="224064" cy="28571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19831</xdr:colOff>
      <xdr:row>59</xdr:row>
      <xdr:rowOff>153440</xdr:rowOff>
    </xdr:from>
    <xdr:to>
      <xdr:col>35</xdr:col>
      <xdr:colOff>18561</xdr:colOff>
      <xdr:row>61</xdr:row>
      <xdr:rowOff>17062</xdr:rowOff>
    </xdr:to>
    <xdr:cxnSp macro="">
      <xdr:nvCxnSpPr>
        <xdr:cNvPr id="849" name="직선 연결선 848">
          <a:extLst>
            <a:ext uri="{FF2B5EF4-FFF2-40B4-BE49-F238E27FC236}">
              <a16:creationId xmlns:a16="http://schemas.microsoft.com/office/drawing/2014/main" id="{00000000-0008-0000-1500-000051030000}"/>
            </a:ext>
          </a:extLst>
        </xdr:cNvPr>
        <xdr:cNvCxnSpPr/>
      </xdr:nvCxnSpPr>
      <xdr:spPr>
        <a:xfrm flipV="1">
          <a:off x="18505135" y="4766261"/>
          <a:ext cx="216444" cy="2990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206710</xdr:colOff>
      <xdr:row>62</xdr:row>
      <xdr:rowOff>158256</xdr:rowOff>
    </xdr:from>
    <xdr:to>
      <xdr:col>40</xdr:col>
      <xdr:colOff>197185</xdr:colOff>
      <xdr:row>64</xdr:row>
      <xdr:rowOff>18068</xdr:rowOff>
    </xdr:to>
    <xdr:cxnSp macro="">
      <xdr:nvCxnSpPr>
        <xdr:cNvPr id="850" name="직선 연결선 849">
          <a:extLst>
            <a:ext uri="{FF2B5EF4-FFF2-40B4-BE49-F238E27FC236}">
              <a16:creationId xmlns:a16="http://schemas.microsoft.com/office/drawing/2014/main" id="{00000000-0008-0000-1500-000052030000}"/>
            </a:ext>
          </a:extLst>
        </xdr:cNvPr>
        <xdr:cNvCxnSpPr/>
      </xdr:nvCxnSpPr>
      <xdr:spPr>
        <a:xfrm flipV="1">
          <a:off x="9497395" y="5426125"/>
          <a:ext cx="233499" cy="2971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25491</xdr:colOff>
      <xdr:row>62</xdr:row>
      <xdr:rowOff>184145</xdr:rowOff>
    </xdr:from>
    <xdr:to>
      <xdr:col>41</xdr:col>
      <xdr:colOff>15966</xdr:colOff>
      <xdr:row>64</xdr:row>
      <xdr:rowOff>57145</xdr:rowOff>
    </xdr:to>
    <xdr:cxnSp macro="">
      <xdr:nvCxnSpPr>
        <xdr:cNvPr id="851" name="직선 연결선 850">
          <a:extLst>
            <a:ext uri="{FF2B5EF4-FFF2-40B4-BE49-F238E27FC236}">
              <a16:creationId xmlns:a16="http://schemas.microsoft.com/office/drawing/2014/main" id="{00000000-0008-0000-1500-000053030000}"/>
            </a:ext>
          </a:extLst>
        </xdr:cNvPr>
        <xdr:cNvCxnSpPr/>
      </xdr:nvCxnSpPr>
      <xdr:spPr>
        <a:xfrm flipV="1">
          <a:off x="9553485" y="5448204"/>
          <a:ext cx="243023" cy="31414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199383</xdr:colOff>
      <xdr:row>62</xdr:row>
      <xdr:rowOff>186587</xdr:rowOff>
    </xdr:from>
    <xdr:to>
      <xdr:col>41</xdr:col>
      <xdr:colOff>188637</xdr:colOff>
      <xdr:row>64</xdr:row>
      <xdr:rowOff>46399</xdr:rowOff>
    </xdr:to>
    <xdr:cxnSp macro="">
      <xdr:nvCxnSpPr>
        <xdr:cNvPr id="852" name="직선 연결선 851">
          <a:extLst>
            <a:ext uri="{FF2B5EF4-FFF2-40B4-BE49-F238E27FC236}">
              <a16:creationId xmlns:a16="http://schemas.microsoft.com/office/drawing/2014/main" id="{00000000-0008-0000-1500-000054030000}"/>
            </a:ext>
          </a:extLst>
        </xdr:cNvPr>
        <xdr:cNvCxnSpPr/>
      </xdr:nvCxnSpPr>
      <xdr:spPr>
        <a:xfrm flipV="1">
          <a:off x="9733092" y="5450646"/>
          <a:ext cx="232277" cy="2990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38435</xdr:colOff>
      <xdr:row>62</xdr:row>
      <xdr:rowOff>189030</xdr:rowOff>
    </xdr:from>
    <xdr:to>
      <xdr:col>42</xdr:col>
      <xdr:colOff>30863</xdr:colOff>
      <xdr:row>64</xdr:row>
      <xdr:rowOff>62030</xdr:rowOff>
    </xdr:to>
    <xdr:cxnSp macro="">
      <xdr:nvCxnSpPr>
        <xdr:cNvPr id="853" name="직선 연결선 852">
          <a:extLst>
            <a:ext uri="{FF2B5EF4-FFF2-40B4-BE49-F238E27FC236}">
              <a16:creationId xmlns:a16="http://schemas.microsoft.com/office/drawing/2014/main" id="{00000000-0008-0000-1500-000055030000}"/>
            </a:ext>
          </a:extLst>
        </xdr:cNvPr>
        <xdr:cNvCxnSpPr/>
      </xdr:nvCxnSpPr>
      <xdr:spPr>
        <a:xfrm flipV="1">
          <a:off x="9815167" y="5454994"/>
          <a:ext cx="235452" cy="30461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190704</xdr:colOff>
      <xdr:row>60</xdr:row>
      <xdr:rowOff>179469</xdr:rowOff>
    </xdr:from>
    <xdr:to>
      <xdr:col>40</xdr:col>
      <xdr:colOff>181179</xdr:colOff>
      <xdr:row>62</xdr:row>
      <xdr:rowOff>39281</xdr:rowOff>
    </xdr:to>
    <xdr:cxnSp macro="">
      <xdr:nvCxnSpPr>
        <xdr:cNvPr id="854" name="직선 연결선 853">
          <a:extLst>
            <a:ext uri="{FF2B5EF4-FFF2-40B4-BE49-F238E27FC236}">
              <a16:creationId xmlns:a16="http://schemas.microsoft.com/office/drawing/2014/main" id="{00000000-0008-0000-1500-000056030000}"/>
            </a:ext>
          </a:extLst>
        </xdr:cNvPr>
        <xdr:cNvCxnSpPr/>
      </xdr:nvCxnSpPr>
      <xdr:spPr>
        <a:xfrm flipV="1">
          <a:off x="9477579" y="5008100"/>
          <a:ext cx="233499" cy="2971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27069</xdr:colOff>
      <xdr:row>60</xdr:row>
      <xdr:rowOff>193635</xdr:rowOff>
    </xdr:from>
    <xdr:to>
      <xdr:col>41</xdr:col>
      <xdr:colOff>17544</xdr:colOff>
      <xdr:row>62</xdr:row>
      <xdr:rowOff>66635</xdr:rowOff>
    </xdr:to>
    <xdr:cxnSp macro="">
      <xdr:nvCxnSpPr>
        <xdr:cNvPr id="855" name="직선 연결선 854">
          <a:extLst>
            <a:ext uri="{FF2B5EF4-FFF2-40B4-BE49-F238E27FC236}">
              <a16:creationId xmlns:a16="http://schemas.microsoft.com/office/drawing/2014/main" id="{00000000-0008-0000-1500-000057030000}"/>
            </a:ext>
          </a:extLst>
        </xdr:cNvPr>
        <xdr:cNvCxnSpPr/>
      </xdr:nvCxnSpPr>
      <xdr:spPr>
        <a:xfrm flipV="1">
          <a:off x="9556968" y="5024171"/>
          <a:ext cx="241118" cy="306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236130</xdr:colOff>
      <xdr:row>60</xdr:row>
      <xdr:rowOff>172631</xdr:rowOff>
    </xdr:from>
    <xdr:to>
      <xdr:col>41</xdr:col>
      <xdr:colOff>225384</xdr:colOff>
      <xdr:row>62</xdr:row>
      <xdr:rowOff>32443</xdr:rowOff>
    </xdr:to>
    <xdr:cxnSp macro="">
      <xdr:nvCxnSpPr>
        <xdr:cNvPr id="856" name="직선 연결선 855">
          <a:extLst>
            <a:ext uri="{FF2B5EF4-FFF2-40B4-BE49-F238E27FC236}">
              <a16:creationId xmlns:a16="http://schemas.microsoft.com/office/drawing/2014/main" id="{00000000-0008-0000-1500-000058030000}"/>
            </a:ext>
          </a:extLst>
        </xdr:cNvPr>
        <xdr:cNvCxnSpPr/>
      </xdr:nvCxnSpPr>
      <xdr:spPr>
        <a:xfrm flipV="1">
          <a:off x="9769839" y="4999357"/>
          <a:ext cx="232277" cy="2971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63459</xdr:colOff>
      <xdr:row>60</xdr:row>
      <xdr:rowOff>169212</xdr:rowOff>
    </xdr:from>
    <xdr:to>
      <xdr:col>42</xdr:col>
      <xdr:colOff>55887</xdr:colOff>
      <xdr:row>62</xdr:row>
      <xdr:rowOff>42212</xdr:rowOff>
    </xdr:to>
    <xdr:cxnSp macro="">
      <xdr:nvCxnSpPr>
        <xdr:cNvPr id="857" name="직선 연결선 856">
          <a:extLst>
            <a:ext uri="{FF2B5EF4-FFF2-40B4-BE49-F238E27FC236}">
              <a16:creationId xmlns:a16="http://schemas.microsoft.com/office/drawing/2014/main" id="{00000000-0008-0000-1500-000059030000}"/>
            </a:ext>
          </a:extLst>
        </xdr:cNvPr>
        <xdr:cNvCxnSpPr/>
      </xdr:nvCxnSpPr>
      <xdr:spPr>
        <a:xfrm flipV="1">
          <a:off x="9836381" y="5003558"/>
          <a:ext cx="244977" cy="3065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241390</xdr:colOff>
      <xdr:row>58</xdr:row>
      <xdr:rowOff>136523</xdr:rowOff>
    </xdr:from>
    <xdr:to>
      <xdr:col>41</xdr:col>
      <xdr:colOff>231865</xdr:colOff>
      <xdr:row>60</xdr:row>
      <xdr:rowOff>12698</xdr:rowOff>
    </xdr:to>
    <xdr:cxnSp macro="">
      <xdr:nvCxnSpPr>
        <xdr:cNvPr id="858" name="직선 연결선 857">
          <a:extLst>
            <a:ext uri="{FF2B5EF4-FFF2-40B4-BE49-F238E27FC236}">
              <a16:creationId xmlns:a16="http://schemas.microsoft.com/office/drawing/2014/main" id="{00000000-0008-0000-1500-00005A030000}"/>
            </a:ext>
          </a:extLst>
        </xdr:cNvPr>
        <xdr:cNvCxnSpPr/>
      </xdr:nvCxnSpPr>
      <xdr:spPr>
        <a:xfrm flipV="1">
          <a:off x="9777004" y="4527820"/>
          <a:ext cx="231593" cy="3192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226492</xdr:colOff>
      <xdr:row>58</xdr:row>
      <xdr:rowOff>137011</xdr:rowOff>
    </xdr:from>
    <xdr:to>
      <xdr:col>40</xdr:col>
      <xdr:colOff>216967</xdr:colOff>
      <xdr:row>60</xdr:row>
      <xdr:rowOff>13186</xdr:rowOff>
    </xdr:to>
    <xdr:cxnSp macro="">
      <xdr:nvCxnSpPr>
        <xdr:cNvPr id="859" name="직선 연결선 858">
          <a:extLst>
            <a:ext uri="{FF2B5EF4-FFF2-40B4-BE49-F238E27FC236}">
              <a16:creationId xmlns:a16="http://schemas.microsoft.com/office/drawing/2014/main" id="{00000000-0008-0000-1500-00005B030000}"/>
            </a:ext>
          </a:extLst>
        </xdr:cNvPr>
        <xdr:cNvCxnSpPr/>
      </xdr:nvCxnSpPr>
      <xdr:spPr>
        <a:xfrm flipV="1">
          <a:off x="9513367" y="4528308"/>
          <a:ext cx="231594" cy="31922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135489</xdr:colOff>
      <xdr:row>64</xdr:row>
      <xdr:rowOff>184771</xdr:rowOff>
    </xdr:from>
    <xdr:to>
      <xdr:col>10</xdr:col>
      <xdr:colOff>97072</xdr:colOff>
      <xdr:row>65</xdr:row>
      <xdr:rowOff>70471</xdr:rowOff>
    </xdr:to>
    <xdr:grpSp>
      <xdr:nvGrpSpPr>
        <xdr:cNvPr id="860" name="그룹 859">
          <a:extLst>
            <a:ext uri="{FF2B5EF4-FFF2-40B4-BE49-F238E27FC236}">
              <a16:creationId xmlns:a16="http://schemas.microsoft.com/office/drawing/2014/main" id="{00000000-0008-0000-1500-00005C030000}"/>
            </a:ext>
          </a:extLst>
        </xdr:cNvPr>
        <xdr:cNvGrpSpPr/>
      </xdr:nvGrpSpPr>
      <xdr:grpSpPr>
        <a:xfrm>
          <a:off x="2278614" y="12694271"/>
          <a:ext cx="199708" cy="76200"/>
          <a:chOff x="2372059" y="3845092"/>
          <a:chExt cx="185070" cy="115303"/>
        </a:xfrm>
      </xdr:grpSpPr>
      <xdr:sp macro="" textlink="">
        <xdr:nvSpPr>
          <xdr:cNvPr id="861" name="직사각형 860">
            <a:extLst>
              <a:ext uri="{FF2B5EF4-FFF2-40B4-BE49-F238E27FC236}">
                <a16:creationId xmlns:a16="http://schemas.microsoft.com/office/drawing/2014/main" id="{00000000-0008-0000-1500-00005D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62" name="순서도: 연결자 861">
            <a:extLst>
              <a:ext uri="{FF2B5EF4-FFF2-40B4-BE49-F238E27FC236}">
                <a16:creationId xmlns:a16="http://schemas.microsoft.com/office/drawing/2014/main" id="{00000000-0008-0000-1500-00005E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63" name="순서도: 연결자 862">
            <a:extLst>
              <a:ext uri="{FF2B5EF4-FFF2-40B4-BE49-F238E27FC236}">
                <a16:creationId xmlns:a16="http://schemas.microsoft.com/office/drawing/2014/main" id="{00000000-0008-0000-1500-00005F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10</xdr:col>
      <xdr:colOff>132982</xdr:colOff>
      <xdr:row>64</xdr:row>
      <xdr:rowOff>174143</xdr:rowOff>
    </xdr:from>
    <xdr:to>
      <xdr:col>11</xdr:col>
      <xdr:colOff>92661</xdr:colOff>
      <xdr:row>65</xdr:row>
      <xdr:rowOff>65558</xdr:rowOff>
    </xdr:to>
    <xdr:grpSp>
      <xdr:nvGrpSpPr>
        <xdr:cNvPr id="864" name="그룹 863">
          <a:extLst>
            <a:ext uri="{FF2B5EF4-FFF2-40B4-BE49-F238E27FC236}">
              <a16:creationId xmlns:a16="http://schemas.microsoft.com/office/drawing/2014/main" id="{00000000-0008-0000-1500-000060030000}"/>
            </a:ext>
          </a:extLst>
        </xdr:cNvPr>
        <xdr:cNvGrpSpPr/>
      </xdr:nvGrpSpPr>
      <xdr:grpSpPr>
        <a:xfrm>
          <a:off x="2514232" y="12683643"/>
          <a:ext cx="197804" cy="81915"/>
          <a:chOff x="2372059" y="3845092"/>
          <a:chExt cx="185070" cy="115303"/>
        </a:xfrm>
      </xdr:grpSpPr>
      <xdr:sp macro="" textlink="">
        <xdr:nvSpPr>
          <xdr:cNvPr id="865" name="직사각형 864">
            <a:extLst>
              <a:ext uri="{FF2B5EF4-FFF2-40B4-BE49-F238E27FC236}">
                <a16:creationId xmlns:a16="http://schemas.microsoft.com/office/drawing/2014/main" id="{00000000-0008-0000-1500-000061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66" name="순서도: 연결자 865">
            <a:extLst>
              <a:ext uri="{FF2B5EF4-FFF2-40B4-BE49-F238E27FC236}">
                <a16:creationId xmlns:a16="http://schemas.microsoft.com/office/drawing/2014/main" id="{00000000-0008-0000-1500-000062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67" name="순서도: 연결자 866">
            <a:extLst>
              <a:ext uri="{FF2B5EF4-FFF2-40B4-BE49-F238E27FC236}">
                <a16:creationId xmlns:a16="http://schemas.microsoft.com/office/drawing/2014/main" id="{00000000-0008-0000-1500-000063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15</xdr:col>
      <xdr:colOff>153235</xdr:colOff>
      <xdr:row>63</xdr:row>
      <xdr:rowOff>165034</xdr:rowOff>
    </xdr:from>
    <xdr:to>
      <xdr:col>16</xdr:col>
      <xdr:colOff>97674</xdr:colOff>
      <xdr:row>64</xdr:row>
      <xdr:rowOff>54544</xdr:rowOff>
    </xdr:to>
    <xdr:grpSp>
      <xdr:nvGrpSpPr>
        <xdr:cNvPr id="868" name="그룹 867">
          <a:extLst>
            <a:ext uri="{FF2B5EF4-FFF2-40B4-BE49-F238E27FC236}">
              <a16:creationId xmlns:a16="http://schemas.microsoft.com/office/drawing/2014/main" id="{00000000-0008-0000-1500-000064030000}"/>
            </a:ext>
          </a:extLst>
        </xdr:cNvPr>
        <xdr:cNvGrpSpPr/>
      </xdr:nvGrpSpPr>
      <xdr:grpSpPr>
        <a:xfrm>
          <a:off x="3725110" y="12484034"/>
          <a:ext cx="182564" cy="80010"/>
          <a:chOff x="2372059" y="3845092"/>
          <a:chExt cx="185070" cy="115303"/>
        </a:xfrm>
      </xdr:grpSpPr>
      <xdr:sp macro="" textlink="">
        <xdr:nvSpPr>
          <xdr:cNvPr id="869" name="직사각형 868">
            <a:extLst>
              <a:ext uri="{FF2B5EF4-FFF2-40B4-BE49-F238E27FC236}">
                <a16:creationId xmlns:a16="http://schemas.microsoft.com/office/drawing/2014/main" id="{00000000-0008-0000-1500-000065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70" name="순서도: 연결자 869">
            <a:extLst>
              <a:ext uri="{FF2B5EF4-FFF2-40B4-BE49-F238E27FC236}">
                <a16:creationId xmlns:a16="http://schemas.microsoft.com/office/drawing/2014/main" id="{00000000-0008-0000-1500-000066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71" name="순서도: 연결자 870">
            <a:extLst>
              <a:ext uri="{FF2B5EF4-FFF2-40B4-BE49-F238E27FC236}">
                <a16:creationId xmlns:a16="http://schemas.microsoft.com/office/drawing/2014/main" id="{00000000-0008-0000-1500-000067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16</xdr:col>
      <xdr:colOff>171684</xdr:colOff>
      <xdr:row>63</xdr:row>
      <xdr:rowOff>154406</xdr:rowOff>
    </xdr:from>
    <xdr:to>
      <xdr:col>17</xdr:col>
      <xdr:colOff>98977</xdr:colOff>
      <xdr:row>64</xdr:row>
      <xdr:rowOff>59156</xdr:rowOff>
    </xdr:to>
    <xdr:grpSp>
      <xdr:nvGrpSpPr>
        <xdr:cNvPr id="872" name="그룹 871">
          <a:extLst>
            <a:ext uri="{FF2B5EF4-FFF2-40B4-BE49-F238E27FC236}">
              <a16:creationId xmlns:a16="http://schemas.microsoft.com/office/drawing/2014/main" id="{00000000-0008-0000-1500-000068030000}"/>
            </a:ext>
          </a:extLst>
        </xdr:cNvPr>
        <xdr:cNvGrpSpPr/>
      </xdr:nvGrpSpPr>
      <xdr:grpSpPr>
        <a:xfrm>
          <a:off x="3981684" y="12473406"/>
          <a:ext cx="165418" cy="95250"/>
          <a:chOff x="2372059" y="3845092"/>
          <a:chExt cx="185070" cy="115303"/>
        </a:xfrm>
      </xdr:grpSpPr>
      <xdr:sp macro="" textlink="">
        <xdr:nvSpPr>
          <xdr:cNvPr id="873" name="직사각형 872">
            <a:extLst>
              <a:ext uri="{FF2B5EF4-FFF2-40B4-BE49-F238E27FC236}">
                <a16:creationId xmlns:a16="http://schemas.microsoft.com/office/drawing/2014/main" id="{00000000-0008-0000-1500-000069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74" name="순서도: 연결자 873">
            <a:extLst>
              <a:ext uri="{FF2B5EF4-FFF2-40B4-BE49-F238E27FC236}">
                <a16:creationId xmlns:a16="http://schemas.microsoft.com/office/drawing/2014/main" id="{00000000-0008-0000-1500-00006A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75" name="순서도: 연결자 874">
            <a:extLst>
              <a:ext uri="{FF2B5EF4-FFF2-40B4-BE49-F238E27FC236}">
                <a16:creationId xmlns:a16="http://schemas.microsoft.com/office/drawing/2014/main" id="{00000000-0008-0000-1500-00006B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21</xdr:col>
      <xdr:colOff>131980</xdr:colOff>
      <xdr:row>62</xdr:row>
      <xdr:rowOff>148788</xdr:rowOff>
    </xdr:from>
    <xdr:to>
      <xdr:col>22</xdr:col>
      <xdr:colOff>91658</xdr:colOff>
      <xdr:row>63</xdr:row>
      <xdr:rowOff>57348</xdr:rowOff>
    </xdr:to>
    <xdr:grpSp>
      <xdr:nvGrpSpPr>
        <xdr:cNvPr id="876" name="그룹 875">
          <a:extLst>
            <a:ext uri="{FF2B5EF4-FFF2-40B4-BE49-F238E27FC236}">
              <a16:creationId xmlns:a16="http://schemas.microsoft.com/office/drawing/2014/main" id="{00000000-0008-0000-1500-00006C030000}"/>
            </a:ext>
          </a:extLst>
        </xdr:cNvPr>
        <xdr:cNvGrpSpPr/>
      </xdr:nvGrpSpPr>
      <xdr:grpSpPr>
        <a:xfrm>
          <a:off x="5132605" y="12277288"/>
          <a:ext cx="197803" cy="99060"/>
          <a:chOff x="2372059" y="3845092"/>
          <a:chExt cx="185070" cy="115303"/>
        </a:xfrm>
      </xdr:grpSpPr>
      <xdr:sp macro="" textlink="">
        <xdr:nvSpPr>
          <xdr:cNvPr id="877" name="직사각형 876">
            <a:extLst>
              <a:ext uri="{FF2B5EF4-FFF2-40B4-BE49-F238E27FC236}">
                <a16:creationId xmlns:a16="http://schemas.microsoft.com/office/drawing/2014/main" id="{00000000-0008-0000-1500-00006D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78" name="순서도: 연결자 877">
            <a:extLst>
              <a:ext uri="{FF2B5EF4-FFF2-40B4-BE49-F238E27FC236}">
                <a16:creationId xmlns:a16="http://schemas.microsoft.com/office/drawing/2014/main" id="{00000000-0008-0000-1500-00006E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79" name="순서도: 연결자 878">
            <a:extLst>
              <a:ext uri="{FF2B5EF4-FFF2-40B4-BE49-F238E27FC236}">
                <a16:creationId xmlns:a16="http://schemas.microsoft.com/office/drawing/2014/main" id="{00000000-0008-0000-1500-00006F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22</xdr:col>
      <xdr:colOff>154238</xdr:colOff>
      <xdr:row>62</xdr:row>
      <xdr:rowOff>141970</xdr:rowOff>
    </xdr:from>
    <xdr:to>
      <xdr:col>23</xdr:col>
      <xdr:colOff>98677</xdr:colOff>
      <xdr:row>63</xdr:row>
      <xdr:rowOff>46720</xdr:rowOff>
    </xdr:to>
    <xdr:grpSp>
      <xdr:nvGrpSpPr>
        <xdr:cNvPr id="880" name="그룹 879">
          <a:extLst>
            <a:ext uri="{FF2B5EF4-FFF2-40B4-BE49-F238E27FC236}">
              <a16:creationId xmlns:a16="http://schemas.microsoft.com/office/drawing/2014/main" id="{00000000-0008-0000-1500-000070030000}"/>
            </a:ext>
          </a:extLst>
        </xdr:cNvPr>
        <xdr:cNvGrpSpPr/>
      </xdr:nvGrpSpPr>
      <xdr:grpSpPr>
        <a:xfrm>
          <a:off x="5392988" y="12270470"/>
          <a:ext cx="182564" cy="95250"/>
          <a:chOff x="2372059" y="3845092"/>
          <a:chExt cx="185070" cy="115303"/>
        </a:xfrm>
      </xdr:grpSpPr>
      <xdr:sp macro="" textlink="">
        <xdr:nvSpPr>
          <xdr:cNvPr id="881" name="직사각형 880">
            <a:extLst>
              <a:ext uri="{FF2B5EF4-FFF2-40B4-BE49-F238E27FC236}">
                <a16:creationId xmlns:a16="http://schemas.microsoft.com/office/drawing/2014/main" id="{00000000-0008-0000-1500-000071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82" name="순서도: 연결자 881">
            <a:extLst>
              <a:ext uri="{FF2B5EF4-FFF2-40B4-BE49-F238E27FC236}">
                <a16:creationId xmlns:a16="http://schemas.microsoft.com/office/drawing/2014/main" id="{00000000-0008-0000-1500-000072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83" name="순서도: 연결자 882">
            <a:extLst>
              <a:ext uri="{FF2B5EF4-FFF2-40B4-BE49-F238E27FC236}">
                <a16:creationId xmlns:a16="http://schemas.microsoft.com/office/drawing/2014/main" id="{00000000-0008-0000-1500-000073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27</xdr:col>
      <xdr:colOff>150395</xdr:colOff>
      <xdr:row>63</xdr:row>
      <xdr:rowOff>102669</xdr:rowOff>
    </xdr:from>
    <xdr:to>
      <xdr:col>28</xdr:col>
      <xdr:colOff>94834</xdr:colOff>
      <xdr:row>64</xdr:row>
      <xdr:rowOff>95249</xdr:rowOff>
    </xdr:to>
    <xdr:grpSp>
      <xdr:nvGrpSpPr>
        <xdr:cNvPr id="884" name="그룹 883">
          <a:extLst>
            <a:ext uri="{FF2B5EF4-FFF2-40B4-BE49-F238E27FC236}">
              <a16:creationId xmlns:a16="http://schemas.microsoft.com/office/drawing/2014/main" id="{00000000-0008-0000-1500-000074030000}"/>
            </a:ext>
          </a:extLst>
        </xdr:cNvPr>
        <xdr:cNvGrpSpPr/>
      </xdr:nvGrpSpPr>
      <xdr:grpSpPr>
        <a:xfrm>
          <a:off x="6579770" y="12421669"/>
          <a:ext cx="182564" cy="183080"/>
          <a:chOff x="3850105" y="3654592"/>
          <a:chExt cx="185070" cy="195513"/>
        </a:xfrm>
      </xdr:grpSpPr>
      <xdr:sp macro="" textlink="">
        <xdr:nvSpPr>
          <xdr:cNvPr id="885" name="직사각형 884">
            <a:extLst>
              <a:ext uri="{FF2B5EF4-FFF2-40B4-BE49-F238E27FC236}">
                <a16:creationId xmlns:a16="http://schemas.microsoft.com/office/drawing/2014/main" id="{00000000-0008-0000-1500-000075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86" name="순서도: 연결자 885">
            <a:extLst>
              <a:ext uri="{FF2B5EF4-FFF2-40B4-BE49-F238E27FC236}">
                <a16:creationId xmlns:a16="http://schemas.microsoft.com/office/drawing/2014/main" id="{00000000-0008-0000-1500-000076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87" name="순서도: 연결자 886">
            <a:extLst>
              <a:ext uri="{FF2B5EF4-FFF2-40B4-BE49-F238E27FC236}">
                <a16:creationId xmlns:a16="http://schemas.microsoft.com/office/drawing/2014/main" id="{00000000-0008-0000-1500-000077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88" name="순서도: 연결자 887">
            <a:extLst>
              <a:ext uri="{FF2B5EF4-FFF2-40B4-BE49-F238E27FC236}">
                <a16:creationId xmlns:a16="http://schemas.microsoft.com/office/drawing/2014/main" id="{00000000-0008-0000-1500-000078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89" name="순서도: 연결자 888">
            <a:extLst>
              <a:ext uri="{FF2B5EF4-FFF2-40B4-BE49-F238E27FC236}">
                <a16:creationId xmlns:a16="http://schemas.microsoft.com/office/drawing/2014/main" id="{00000000-0008-0000-1500-000079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28</xdr:col>
      <xdr:colOff>172454</xdr:colOff>
      <xdr:row>63</xdr:row>
      <xdr:rowOff>97756</xdr:rowOff>
    </xdr:from>
    <xdr:to>
      <xdr:col>29</xdr:col>
      <xdr:colOff>116892</xdr:colOff>
      <xdr:row>64</xdr:row>
      <xdr:rowOff>92241</xdr:rowOff>
    </xdr:to>
    <xdr:grpSp>
      <xdr:nvGrpSpPr>
        <xdr:cNvPr id="890" name="그룹 889">
          <a:extLst>
            <a:ext uri="{FF2B5EF4-FFF2-40B4-BE49-F238E27FC236}">
              <a16:creationId xmlns:a16="http://schemas.microsoft.com/office/drawing/2014/main" id="{00000000-0008-0000-1500-00007A030000}"/>
            </a:ext>
          </a:extLst>
        </xdr:cNvPr>
        <xdr:cNvGrpSpPr/>
      </xdr:nvGrpSpPr>
      <xdr:grpSpPr>
        <a:xfrm>
          <a:off x="6839954" y="12416756"/>
          <a:ext cx="182563" cy="184985"/>
          <a:chOff x="3850105" y="3654592"/>
          <a:chExt cx="185070" cy="195513"/>
        </a:xfrm>
      </xdr:grpSpPr>
      <xdr:sp macro="" textlink="">
        <xdr:nvSpPr>
          <xdr:cNvPr id="891" name="직사각형 890">
            <a:extLst>
              <a:ext uri="{FF2B5EF4-FFF2-40B4-BE49-F238E27FC236}">
                <a16:creationId xmlns:a16="http://schemas.microsoft.com/office/drawing/2014/main" id="{00000000-0008-0000-1500-00007B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92" name="순서도: 연결자 891">
            <a:extLst>
              <a:ext uri="{FF2B5EF4-FFF2-40B4-BE49-F238E27FC236}">
                <a16:creationId xmlns:a16="http://schemas.microsoft.com/office/drawing/2014/main" id="{00000000-0008-0000-1500-00007C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93" name="순서도: 연결자 892">
            <a:extLst>
              <a:ext uri="{FF2B5EF4-FFF2-40B4-BE49-F238E27FC236}">
                <a16:creationId xmlns:a16="http://schemas.microsoft.com/office/drawing/2014/main" id="{00000000-0008-0000-1500-00007D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94" name="순서도: 연결자 893">
            <a:extLst>
              <a:ext uri="{FF2B5EF4-FFF2-40B4-BE49-F238E27FC236}">
                <a16:creationId xmlns:a16="http://schemas.microsoft.com/office/drawing/2014/main" id="{00000000-0008-0000-1500-00007E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95" name="순서도: 연결자 894">
            <a:extLst>
              <a:ext uri="{FF2B5EF4-FFF2-40B4-BE49-F238E27FC236}">
                <a16:creationId xmlns:a16="http://schemas.microsoft.com/office/drawing/2014/main" id="{00000000-0008-0000-1500-00007F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27</xdr:col>
      <xdr:colOff>134186</xdr:colOff>
      <xdr:row>61</xdr:row>
      <xdr:rowOff>169144</xdr:rowOff>
    </xdr:from>
    <xdr:to>
      <xdr:col>28</xdr:col>
      <xdr:colOff>78625</xdr:colOff>
      <xdr:row>62</xdr:row>
      <xdr:rowOff>56750</xdr:rowOff>
    </xdr:to>
    <xdr:grpSp>
      <xdr:nvGrpSpPr>
        <xdr:cNvPr id="896" name="그룹 895">
          <a:extLst>
            <a:ext uri="{FF2B5EF4-FFF2-40B4-BE49-F238E27FC236}">
              <a16:creationId xmlns:a16="http://schemas.microsoft.com/office/drawing/2014/main" id="{00000000-0008-0000-1500-000080030000}"/>
            </a:ext>
          </a:extLst>
        </xdr:cNvPr>
        <xdr:cNvGrpSpPr/>
      </xdr:nvGrpSpPr>
      <xdr:grpSpPr>
        <a:xfrm>
          <a:off x="6563561" y="12107144"/>
          <a:ext cx="182564" cy="78106"/>
          <a:chOff x="2372059" y="3845092"/>
          <a:chExt cx="185070" cy="115303"/>
        </a:xfrm>
      </xdr:grpSpPr>
      <xdr:sp macro="" textlink="">
        <xdr:nvSpPr>
          <xdr:cNvPr id="897" name="직사각형 896">
            <a:extLst>
              <a:ext uri="{FF2B5EF4-FFF2-40B4-BE49-F238E27FC236}">
                <a16:creationId xmlns:a16="http://schemas.microsoft.com/office/drawing/2014/main" id="{00000000-0008-0000-1500-000081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98" name="순서도: 연결자 897">
            <a:extLst>
              <a:ext uri="{FF2B5EF4-FFF2-40B4-BE49-F238E27FC236}">
                <a16:creationId xmlns:a16="http://schemas.microsoft.com/office/drawing/2014/main" id="{00000000-0008-0000-1500-000082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899" name="순서도: 연결자 898">
            <a:extLst>
              <a:ext uri="{FF2B5EF4-FFF2-40B4-BE49-F238E27FC236}">
                <a16:creationId xmlns:a16="http://schemas.microsoft.com/office/drawing/2014/main" id="{00000000-0008-0000-1500-000083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28</xdr:col>
      <xdr:colOff>163864</xdr:colOff>
      <xdr:row>61</xdr:row>
      <xdr:rowOff>171851</xdr:rowOff>
    </xdr:from>
    <xdr:to>
      <xdr:col>29</xdr:col>
      <xdr:colOff>93062</xdr:colOff>
      <xdr:row>62</xdr:row>
      <xdr:rowOff>59457</xdr:rowOff>
    </xdr:to>
    <xdr:grpSp>
      <xdr:nvGrpSpPr>
        <xdr:cNvPr id="900" name="그룹 899">
          <a:extLst>
            <a:ext uri="{FF2B5EF4-FFF2-40B4-BE49-F238E27FC236}">
              <a16:creationId xmlns:a16="http://schemas.microsoft.com/office/drawing/2014/main" id="{00000000-0008-0000-1500-000084030000}"/>
            </a:ext>
          </a:extLst>
        </xdr:cNvPr>
        <xdr:cNvGrpSpPr/>
      </xdr:nvGrpSpPr>
      <xdr:grpSpPr>
        <a:xfrm>
          <a:off x="6831364" y="12109851"/>
          <a:ext cx="167323" cy="78106"/>
          <a:chOff x="2372059" y="3845092"/>
          <a:chExt cx="185070" cy="115303"/>
        </a:xfrm>
      </xdr:grpSpPr>
      <xdr:sp macro="" textlink="">
        <xdr:nvSpPr>
          <xdr:cNvPr id="901" name="직사각형 900">
            <a:extLst>
              <a:ext uri="{FF2B5EF4-FFF2-40B4-BE49-F238E27FC236}">
                <a16:creationId xmlns:a16="http://schemas.microsoft.com/office/drawing/2014/main" id="{00000000-0008-0000-1500-000085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02" name="순서도: 연결자 901">
            <a:extLst>
              <a:ext uri="{FF2B5EF4-FFF2-40B4-BE49-F238E27FC236}">
                <a16:creationId xmlns:a16="http://schemas.microsoft.com/office/drawing/2014/main" id="{00000000-0008-0000-1500-000086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03" name="순서도: 연결자 902">
            <a:extLst>
              <a:ext uri="{FF2B5EF4-FFF2-40B4-BE49-F238E27FC236}">
                <a16:creationId xmlns:a16="http://schemas.microsoft.com/office/drawing/2014/main" id="{00000000-0008-0000-1500-000087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148930</xdr:colOff>
      <xdr:row>63</xdr:row>
      <xdr:rowOff>101204</xdr:rowOff>
    </xdr:from>
    <xdr:to>
      <xdr:col>34</xdr:col>
      <xdr:colOff>93369</xdr:colOff>
      <xdr:row>64</xdr:row>
      <xdr:rowOff>93784</xdr:rowOff>
    </xdr:to>
    <xdr:grpSp>
      <xdr:nvGrpSpPr>
        <xdr:cNvPr id="904" name="그룹 903">
          <a:extLst>
            <a:ext uri="{FF2B5EF4-FFF2-40B4-BE49-F238E27FC236}">
              <a16:creationId xmlns:a16="http://schemas.microsoft.com/office/drawing/2014/main" id="{00000000-0008-0000-1500-000088030000}"/>
            </a:ext>
          </a:extLst>
        </xdr:cNvPr>
        <xdr:cNvGrpSpPr/>
      </xdr:nvGrpSpPr>
      <xdr:grpSpPr>
        <a:xfrm>
          <a:off x="8007055" y="12420204"/>
          <a:ext cx="182564" cy="183080"/>
          <a:chOff x="3850105" y="3654592"/>
          <a:chExt cx="185070" cy="195513"/>
        </a:xfrm>
      </xdr:grpSpPr>
      <xdr:sp macro="" textlink="">
        <xdr:nvSpPr>
          <xdr:cNvPr id="905" name="직사각형 904">
            <a:extLst>
              <a:ext uri="{FF2B5EF4-FFF2-40B4-BE49-F238E27FC236}">
                <a16:creationId xmlns:a16="http://schemas.microsoft.com/office/drawing/2014/main" id="{00000000-0008-0000-1500-000089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06" name="순서도: 연결자 905">
            <a:extLst>
              <a:ext uri="{FF2B5EF4-FFF2-40B4-BE49-F238E27FC236}">
                <a16:creationId xmlns:a16="http://schemas.microsoft.com/office/drawing/2014/main" id="{00000000-0008-0000-1500-00008A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07" name="순서도: 연결자 906">
            <a:extLst>
              <a:ext uri="{FF2B5EF4-FFF2-40B4-BE49-F238E27FC236}">
                <a16:creationId xmlns:a16="http://schemas.microsoft.com/office/drawing/2014/main" id="{00000000-0008-0000-1500-00008B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08" name="순서도: 연결자 907">
            <a:extLst>
              <a:ext uri="{FF2B5EF4-FFF2-40B4-BE49-F238E27FC236}">
                <a16:creationId xmlns:a16="http://schemas.microsoft.com/office/drawing/2014/main" id="{00000000-0008-0000-1500-00008C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09" name="순서도: 연결자 908">
            <a:extLst>
              <a:ext uri="{FF2B5EF4-FFF2-40B4-BE49-F238E27FC236}">
                <a16:creationId xmlns:a16="http://schemas.microsoft.com/office/drawing/2014/main" id="{00000000-0008-0000-1500-00008D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188574</xdr:colOff>
      <xdr:row>63</xdr:row>
      <xdr:rowOff>94386</xdr:rowOff>
    </xdr:from>
    <xdr:to>
      <xdr:col>35</xdr:col>
      <xdr:colOff>133012</xdr:colOff>
      <xdr:row>64</xdr:row>
      <xdr:rowOff>98396</xdr:rowOff>
    </xdr:to>
    <xdr:grpSp>
      <xdr:nvGrpSpPr>
        <xdr:cNvPr id="910" name="그룹 909">
          <a:extLst>
            <a:ext uri="{FF2B5EF4-FFF2-40B4-BE49-F238E27FC236}">
              <a16:creationId xmlns:a16="http://schemas.microsoft.com/office/drawing/2014/main" id="{00000000-0008-0000-1500-00008E030000}"/>
            </a:ext>
          </a:extLst>
        </xdr:cNvPr>
        <xdr:cNvGrpSpPr/>
      </xdr:nvGrpSpPr>
      <xdr:grpSpPr>
        <a:xfrm>
          <a:off x="8284824" y="12413386"/>
          <a:ext cx="182563" cy="194510"/>
          <a:chOff x="3850105" y="3654592"/>
          <a:chExt cx="185070" cy="195513"/>
        </a:xfrm>
      </xdr:grpSpPr>
      <xdr:sp macro="" textlink="">
        <xdr:nvSpPr>
          <xdr:cNvPr id="911" name="직사각형 910">
            <a:extLst>
              <a:ext uri="{FF2B5EF4-FFF2-40B4-BE49-F238E27FC236}">
                <a16:creationId xmlns:a16="http://schemas.microsoft.com/office/drawing/2014/main" id="{00000000-0008-0000-1500-00008F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12" name="순서도: 연결자 911">
            <a:extLst>
              <a:ext uri="{FF2B5EF4-FFF2-40B4-BE49-F238E27FC236}">
                <a16:creationId xmlns:a16="http://schemas.microsoft.com/office/drawing/2014/main" id="{00000000-0008-0000-1500-000090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13" name="순서도: 연결자 912">
            <a:extLst>
              <a:ext uri="{FF2B5EF4-FFF2-40B4-BE49-F238E27FC236}">
                <a16:creationId xmlns:a16="http://schemas.microsoft.com/office/drawing/2014/main" id="{00000000-0008-0000-1500-000091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14" name="순서도: 연결자 913">
            <a:extLst>
              <a:ext uri="{FF2B5EF4-FFF2-40B4-BE49-F238E27FC236}">
                <a16:creationId xmlns:a16="http://schemas.microsoft.com/office/drawing/2014/main" id="{00000000-0008-0000-1500-000092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15" name="순서도: 연결자 914">
            <a:extLst>
              <a:ext uri="{FF2B5EF4-FFF2-40B4-BE49-F238E27FC236}">
                <a16:creationId xmlns:a16="http://schemas.microsoft.com/office/drawing/2014/main" id="{00000000-0008-0000-1500-000093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171553</xdr:colOff>
      <xdr:row>60</xdr:row>
      <xdr:rowOff>160365</xdr:rowOff>
    </xdr:from>
    <xdr:to>
      <xdr:col>34</xdr:col>
      <xdr:colOff>98847</xdr:colOff>
      <xdr:row>61</xdr:row>
      <xdr:rowOff>49877</xdr:rowOff>
    </xdr:to>
    <xdr:grpSp>
      <xdr:nvGrpSpPr>
        <xdr:cNvPr id="916" name="그룹 915">
          <a:extLst>
            <a:ext uri="{FF2B5EF4-FFF2-40B4-BE49-F238E27FC236}">
              <a16:creationId xmlns:a16="http://schemas.microsoft.com/office/drawing/2014/main" id="{00000000-0008-0000-1500-000094030000}"/>
            </a:ext>
          </a:extLst>
        </xdr:cNvPr>
        <xdr:cNvGrpSpPr/>
      </xdr:nvGrpSpPr>
      <xdr:grpSpPr>
        <a:xfrm>
          <a:off x="8029678" y="11907865"/>
          <a:ext cx="165419" cy="80012"/>
          <a:chOff x="2372059" y="3845092"/>
          <a:chExt cx="185070" cy="115303"/>
        </a:xfrm>
      </xdr:grpSpPr>
      <xdr:sp macro="" textlink="">
        <xdr:nvSpPr>
          <xdr:cNvPr id="917" name="직사각형 916">
            <a:extLst>
              <a:ext uri="{FF2B5EF4-FFF2-40B4-BE49-F238E27FC236}">
                <a16:creationId xmlns:a16="http://schemas.microsoft.com/office/drawing/2014/main" id="{00000000-0008-0000-1500-000095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18" name="순서도: 연결자 917">
            <a:extLst>
              <a:ext uri="{FF2B5EF4-FFF2-40B4-BE49-F238E27FC236}">
                <a16:creationId xmlns:a16="http://schemas.microsoft.com/office/drawing/2014/main" id="{00000000-0008-0000-1500-000096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19" name="순서도: 연결자 918">
            <a:extLst>
              <a:ext uri="{FF2B5EF4-FFF2-40B4-BE49-F238E27FC236}">
                <a16:creationId xmlns:a16="http://schemas.microsoft.com/office/drawing/2014/main" id="{00000000-0008-0000-1500-000097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174561</xdr:colOff>
      <xdr:row>60</xdr:row>
      <xdr:rowOff>151642</xdr:rowOff>
    </xdr:from>
    <xdr:to>
      <xdr:col>35</xdr:col>
      <xdr:colOff>136144</xdr:colOff>
      <xdr:row>61</xdr:row>
      <xdr:rowOff>56394</xdr:rowOff>
    </xdr:to>
    <xdr:grpSp>
      <xdr:nvGrpSpPr>
        <xdr:cNvPr id="920" name="그룹 919">
          <a:extLst>
            <a:ext uri="{FF2B5EF4-FFF2-40B4-BE49-F238E27FC236}">
              <a16:creationId xmlns:a16="http://schemas.microsoft.com/office/drawing/2014/main" id="{00000000-0008-0000-1500-000098030000}"/>
            </a:ext>
          </a:extLst>
        </xdr:cNvPr>
        <xdr:cNvGrpSpPr/>
      </xdr:nvGrpSpPr>
      <xdr:grpSpPr>
        <a:xfrm>
          <a:off x="8270811" y="11899142"/>
          <a:ext cx="199708" cy="95252"/>
          <a:chOff x="2372059" y="3845092"/>
          <a:chExt cx="185070" cy="115303"/>
        </a:xfrm>
      </xdr:grpSpPr>
      <xdr:sp macro="" textlink="">
        <xdr:nvSpPr>
          <xdr:cNvPr id="921" name="직사각형 920">
            <a:extLst>
              <a:ext uri="{FF2B5EF4-FFF2-40B4-BE49-F238E27FC236}">
                <a16:creationId xmlns:a16="http://schemas.microsoft.com/office/drawing/2014/main" id="{00000000-0008-0000-1500-000099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22" name="순서도: 연결자 921">
            <a:extLst>
              <a:ext uri="{FF2B5EF4-FFF2-40B4-BE49-F238E27FC236}">
                <a16:creationId xmlns:a16="http://schemas.microsoft.com/office/drawing/2014/main" id="{00000000-0008-0000-1500-00009A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23" name="순서도: 연결자 922">
            <a:extLst>
              <a:ext uri="{FF2B5EF4-FFF2-40B4-BE49-F238E27FC236}">
                <a16:creationId xmlns:a16="http://schemas.microsoft.com/office/drawing/2014/main" id="{00000000-0008-0000-1500-00009B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167833</xdr:colOff>
      <xdr:row>63</xdr:row>
      <xdr:rowOff>97834</xdr:rowOff>
    </xdr:from>
    <xdr:to>
      <xdr:col>40</xdr:col>
      <xdr:colOff>91904</xdr:colOff>
      <xdr:row>64</xdr:row>
      <xdr:rowOff>92319</xdr:rowOff>
    </xdr:to>
    <xdr:grpSp>
      <xdr:nvGrpSpPr>
        <xdr:cNvPr id="924" name="그룹 923">
          <a:extLst>
            <a:ext uri="{FF2B5EF4-FFF2-40B4-BE49-F238E27FC236}">
              <a16:creationId xmlns:a16="http://schemas.microsoft.com/office/drawing/2014/main" id="{00000000-0008-0000-1500-00009C030000}"/>
            </a:ext>
          </a:extLst>
        </xdr:cNvPr>
        <xdr:cNvGrpSpPr/>
      </xdr:nvGrpSpPr>
      <xdr:grpSpPr>
        <a:xfrm>
          <a:off x="9454708" y="12416834"/>
          <a:ext cx="170134" cy="184985"/>
          <a:chOff x="3850105" y="3654592"/>
          <a:chExt cx="185070" cy="195513"/>
        </a:xfrm>
      </xdr:grpSpPr>
      <xdr:sp macro="" textlink="">
        <xdr:nvSpPr>
          <xdr:cNvPr id="925" name="직사각형 924">
            <a:extLst>
              <a:ext uri="{FF2B5EF4-FFF2-40B4-BE49-F238E27FC236}">
                <a16:creationId xmlns:a16="http://schemas.microsoft.com/office/drawing/2014/main" id="{00000000-0008-0000-1500-00009D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26" name="순서도: 연결자 925">
            <a:extLst>
              <a:ext uri="{FF2B5EF4-FFF2-40B4-BE49-F238E27FC236}">
                <a16:creationId xmlns:a16="http://schemas.microsoft.com/office/drawing/2014/main" id="{00000000-0008-0000-1500-00009E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27" name="순서도: 연결자 926">
            <a:extLst>
              <a:ext uri="{FF2B5EF4-FFF2-40B4-BE49-F238E27FC236}">
                <a16:creationId xmlns:a16="http://schemas.microsoft.com/office/drawing/2014/main" id="{00000000-0008-0000-1500-00009F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28" name="순서도: 연결자 927">
            <a:extLst>
              <a:ext uri="{FF2B5EF4-FFF2-40B4-BE49-F238E27FC236}">
                <a16:creationId xmlns:a16="http://schemas.microsoft.com/office/drawing/2014/main" id="{00000000-0008-0000-1500-0000A0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29" name="순서도: 연결자 928">
            <a:extLst>
              <a:ext uri="{FF2B5EF4-FFF2-40B4-BE49-F238E27FC236}">
                <a16:creationId xmlns:a16="http://schemas.microsoft.com/office/drawing/2014/main" id="{00000000-0008-0000-1500-0000A1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169524</xdr:colOff>
      <xdr:row>63</xdr:row>
      <xdr:rowOff>98636</xdr:rowOff>
    </xdr:from>
    <xdr:to>
      <xdr:col>41</xdr:col>
      <xdr:colOff>91687</xdr:colOff>
      <xdr:row>64</xdr:row>
      <xdr:rowOff>96931</xdr:rowOff>
    </xdr:to>
    <xdr:grpSp>
      <xdr:nvGrpSpPr>
        <xdr:cNvPr id="930" name="그룹 929">
          <a:extLst>
            <a:ext uri="{FF2B5EF4-FFF2-40B4-BE49-F238E27FC236}">
              <a16:creationId xmlns:a16="http://schemas.microsoft.com/office/drawing/2014/main" id="{00000000-0008-0000-1500-0000A2030000}"/>
            </a:ext>
          </a:extLst>
        </xdr:cNvPr>
        <xdr:cNvGrpSpPr/>
      </xdr:nvGrpSpPr>
      <xdr:grpSpPr>
        <a:xfrm>
          <a:off x="9702462" y="12417636"/>
          <a:ext cx="168225" cy="188795"/>
          <a:chOff x="3850105" y="3654592"/>
          <a:chExt cx="185070" cy="195513"/>
        </a:xfrm>
      </xdr:grpSpPr>
      <xdr:sp macro="" textlink="">
        <xdr:nvSpPr>
          <xdr:cNvPr id="931" name="직사각형 930">
            <a:extLst>
              <a:ext uri="{FF2B5EF4-FFF2-40B4-BE49-F238E27FC236}">
                <a16:creationId xmlns:a16="http://schemas.microsoft.com/office/drawing/2014/main" id="{00000000-0008-0000-1500-0000A3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32" name="순서도: 연결자 931">
            <a:extLst>
              <a:ext uri="{FF2B5EF4-FFF2-40B4-BE49-F238E27FC236}">
                <a16:creationId xmlns:a16="http://schemas.microsoft.com/office/drawing/2014/main" id="{00000000-0008-0000-1500-0000A4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33" name="순서도: 연결자 932">
            <a:extLst>
              <a:ext uri="{FF2B5EF4-FFF2-40B4-BE49-F238E27FC236}">
                <a16:creationId xmlns:a16="http://schemas.microsoft.com/office/drawing/2014/main" id="{00000000-0008-0000-1500-0000A5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34" name="순서도: 연결자 933">
            <a:extLst>
              <a:ext uri="{FF2B5EF4-FFF2-40B4-BE49-F238E27FC236}">
                <a16:creationId xmlns:a16="http://schemas.microsoft.com/office/drawing/2014/main" id="{00000000-0008-0000-1500-0000A6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35" name="순서도: 연결자 934">
            <a:extLst>
              <a:ext uri="{FF2B5EF4-FFF2-40B4-BE49-F238E27FC236}">
                <a16:creationId xmlns:a16="http://schemas.microsoft.com/office/drawing/2014/main" id="{00000000-0008-0000-1500-0000A7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167978</xdr:colOff>
      <xdr:row>61</xdr:row>
      <xdr:rowOff>113215</xdr:rowOff>
    </xdr:from>
    <xdr:to>
      <xdr:col>40</xdr:col>
      <xdr:colOff>97764</xdr:colOff>
      <xdr:row>62</xdr:row>
      <xdr:rowOff>98175</xdr:rowOff>
    </xdr:to>
    <xdr:grpSp>
      <xdr:nvGrpSpPr>
        <xdr:cNvPr id="936" name="그룹 935">
          <a:extLst>
            <a:ext uri="{FF2B5EF4-FFF2-40B4-BE49-F238E27FC236}">
              <a16:creationId xmlns:a16="http://schemas.microsoft.com/office/drawing/2014/main" id="{00000000-0008-0000-1500-0000A8030000}"/>
            </a:ext>
          </a:extLst>
        </xdr:cNvPr>
        <xdr:cNvGrpSpPr/>
      </xdr:nvGrpSpPr>
      <xdr:grpSpPr>
        <a:xfrm>
          <a:off x="9454853" y="12051215"/>
          <a:ext cx="175849" cy="175460"/>
          <a:chOff x="3850105" y="3654592"/>
          <a:chExt cx="185070" cy="195513"/>
        </a:xfrm>
      </xdr:grpSpPr>
      <xdr:sp macro="" textlink="">
        <xdr:nvSpPr>
          <xdr:cNvPr id="937" name="직사각형 936">
            <a:extLst>
              <a:ext uri="{FF2B5EF4-FFF2-40B4-BE49-F238E27FC236}">
                <a16:creationId xmlns:a16="http://schemas.microsoft.com/office/drawing/2014/main" id="{00000000-0008-0000-1500-0000A9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38" name="순서도: 연결자 937">
            <a:extLst>
              <a:ext uri="{FF2B5EF4-FFF2-40B4-BE49-F238E27FC236}">
                <a16:creationId xmlns:a16="http://schemas.microsoft.com/office/drawing/2014/main" id="{00000000-0008-0000-1500-0000AA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39" name="순서도: 연결자 938">
            <a:extLst>
              <a:ext uri="{FF2B5EF4-FFF2-40B4-BE49-F238E27FC236}">
                <a16:creationId xmlns:a16="http://schemas.microsoft.com/office/drawing/2014/main" id="{00000000-0008-0000-1500-0000AB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40" name="순서도: 연결자 939">
            <a:extLst>
              <a:ext uri="{FF2B5EF4-FFF2-40B4-BE49-F238E27FC236}">
                <a16:creationId xmlns:a16="http://schemas.microsoft.com/office/drawing/2014/main" id="{00000000-0008-0000-1500-0000AC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41" name="순서도: 연결자 940">
            <a:extLst>
              <a:ext uri="{FF2B5EF4-FFF2-40B4-BE49-F238E27FC236}">
                <a16:creationId xmlns:a16="http://schemas.microsoft.com/office/drawing/2014/main" id="{00000000-0008-0000-1500-0000AD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167764</xdr:colOff>
      <xdr:row>61</xdr:row>
      <xdr:rowOff>102587</xdr:rowOff>
    </xdr:from>
    <xdr:to>
      <xdr:col>41</xdr:col>
      <xdr:colOff>93737</xdr:colOff>
      <xdr:row>62</xdr:row>
      <xdr:rowOff>95167</xdr:rowOff>
    </xdr:to>
    <xdr:grpSp>
      <xdr:nvGrpSpPr>
        <xdr:cNvPr id="942" name="그룹 941">
          <a:extLst>
            <a:ext uri="{FF2B5EF4-FFF2-40B4-BE49-F238E27FC236}">
              <a16:creationId xmlns:a16="http://schemas.microsoft.com/office/drawing/2014/main" id="{00000000-0008-0000-1500-0000AE030000}"/>
            </a:ext>
          </a:extLst>
        </xdr:cNvPr>
        <xdr:cNvGrpSpPr/>
      </xdr:nvGrpSpPr>
      <xdr:grpSpPr>
        <a:xfrm>
          <a:off x="9700702" y="12040587"/>
          <a:ext cx="172035" cy="183080"/>
          <a:chOff x="3850105" y="3654592"/>
          <a:chExt cx="185070" cy="195513"/>
        </a:xfrm>
      </xdr:grpSpPr>
      <xdr:sp macro="" textlink="">
        <xdr:nvSpPr>
          <xdr:cNvPr id="943" name="직사각형 942">
            <a:extLst>
              <a:ext uri="{FF2B5EF4-FFF2-40B4-BE49-F238E27FC236}">
                <a16:creationId xmlns:a16="http://schemas.microsoft.com/office/drawing/2014/main" id="{00000000-0008-0000-1500-0000AF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44" name="순서도: 연결자 943">
            <a:extLst>
              <a:ext uri="{FF2B5EF4-FFF2-40B4-BE49-F238E27FC236}">
                <a16:creationId xmlns:a16="http://schemas.microsoft.com/office/drawing/2014/main" id="{00000000-0008-0000-1500-0000B0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45" name="순서도: 연결자 944">
            <a:extLst>
              <a:ext uri="{FF2B5EF4-FFF2-40B4-BE49-F238E27FC236}">
                <a16:creationId xmlns:a16="http://schemas.microsoft.com/office/drawing/2014/main" id="{00000000-0008-0000-1500-0000B1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46" name="순서도: 연결자 945">
            <a:extLst>
              <a:ext uri="{FF2B5EF4-FFF2-40B4-BE49-F238E27FC236}">
                <a16:creationId xmlns:a16="http://schemas.microsoft.com/office/drawing/2014/main" id="{00000000-0008-0000-1500-0000B2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47" name="순서도: 연결자 946">
            <a:extLst>
              <a:ext uri="{FF2B5EF4-FFF2-40B4-BE49-F238E27FC236}">
                <a16:creationId xmlns:a16="http://schemas.microsoft.com/office/drawing/2014/main" id="{00000000-0008-0000-1500-0000B3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165483</xdr:colOff>
      <xdr:row>65</xdr:row>
      <xdr:rowOff>134522</xdr:rowOff>
    </xdr:from>
    <xdr:to>
      <xdr:col>40</xdr:col>
      <xdr:colOff>95269</xdr:colOff>
      <xdr:row>66</xdr:row>
      <xdr:rowOff>22127</xdr:rowOff>
    </xdr:to>
    <xdr:grpSp>
      <xdr:nvGrpSpPr>
        <xdr:cNvPr id="948" name="그룹 947">
          <a:extLst>
            <a:ext uri="{FF2B5EF4-FFF2-40B4-BE49-F238E27FC236}">
              <a16:creationId xmlns:a16="http://schemas.microsoft.com/office/drawing/2014/main" id="{00000000-0008-0000-1500-0000B4030000}"/>
            </a:ext>
          </a:extLst>
        </xdr:cNvPr>
        <xdr:cNvGrpSpPr/>
      </xdr:nvGrpSpPr>
      <xdr:grpSpPr>
        <a:xfrm>
          <a:off x="9452358" y="12834522"/>
          <a:ext cx="175849" cy="78105"/>
          <a:chOff x="2372059" y="3845092"/>
          <a:chExt cx="185070" cy="115303"/>
        </a:xfrm>
      </xdr:grpSpPr>
      <xdr:sp macro="" textlink="">
        <xdr:nvSpPr>
          <xdr:cNvPr id="949" name="직사각형 948">
            <a:extLst>
              <a:ext uri="{FF2B5EF4-FFF2-40B4-BE49-F238E27FC236}">
                <a16:creationId xmlns:a16="http://schemas.microsoft.com/office/drawing/2014/main" id="{00000000-0008-0000-1500-0000B5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50" name="순서도: 연결자 949">
            <a:extLst>
              <a:ext uri="{FF2B5EF4-FFF2-40B4-BE49-F238E27FC236}">
                <a16:creationId xmlns:a16="http://schemas.microsoft.com/office/drawing/2014/main" id="{00000000-0008-0000-1500-0000B6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51" name="순서도: 연결자 950">
            <a:extLst>
              <a:ext uri="{FF2B5EF4-FFF2-40B4-BE49-F238E27FC236}">
                <a16:creationId xmlns:a16="http://schemas.microsoft.com/office/drawing/2014/main" id="{00000000-0008-0000-1500-0000B7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167675</xdr:colOff>
      <xdr:row>59</xdr:row>
      <xdr:rowOff>150163</xdr:rowOff>
    </xdr:from>
    <xdr:to>
      <xdr:col>41</xdr:col>
      <xdr:colOff>93648</xdr:colOff>
      <xdr:row>60</xdr:row>
      <xdr:rowOff>54914</xdr:rowOff>
    </xdr:to>
    <xdr:grpSp>
      <xdr:nvGrpSpPr>
        <xdr:cNvPr id="952" name="그룹 951">
          <a:extLst>
            <a:ext uri="{FF2B5EF4-FFF2-40B4-BE49-F238E27FC236}">
              <a16:creationId xmlns:a16="http://schemas.microsoft.com/office/drawing/2014/main" id="{00000000-0008-0000-1500-0000B8030000}"/>
            </a:ext>
          </a:extLst>
        </xdr:cNvPr>
        <xdr:cNvGrpSpPr/>
      </xdr:nvGrpSpPr>
      <xdr:grpSpPr>
        <a:xfrm>
          <a:off x="9700613" y="11707163"/>
          <a:ext cx="172035" cy="95251"/>
          <a:chOff x="2372059" y="3845092"/>
          <a:chExt cx="185070" cy="115303"/>
        </a:xfrm>
      </xdr:grpSpPr>
      <xdr:sp macro="" textlink="">
        <xdr:nvSpPr>
          <xdr:cNvPr id="953" name="직사각형 952">
            <a:extLst>
              <a:ext uri="{FF2B5EF4-FFF2-40B4-BE49-F238E27FC236}">
                <a16:creationId xmlns:a16="http://schemas.microsoft.com/office/drawing/2014/main" id="{00000000-0008-0000-1500-0000B9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54" name="순서도: 연결자 953">
            <a:extLst>
              <a:ext uri="{FF2B5EF4-FFF2-40B4-BE49-F238E27FC236}">
                <a16:creationId xmlns:a16="http://schemas.microsoft.com/office/drawing/2014/main" id="{00000000-0008-0000-1500-0000BA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55" name="순서도: 연결자 954">
            <a:extLst>
              <a:ext uri="{FF2B5EF4-FFF2-40B4-BE49-F238E27FC236}">
                <a16:creationId xmlns:a16="http://schemas.microsoft.com/office/drawing/2014/main" id="{00000000-0008-0000-1500-0000BB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21</xdr:col>
      <xdr:colOff>135412</xdr:colOff>
      <xdr:row>63</xdr:row>
      <xdr:rowOff>133528</xdr:rowOff>
    </xdr:from>
    <xdr:to>
      <xdr:col>22</xdr:col>
      <xdr:colOff>96994</xdr:colOff>
      <xdr:row>64</xdr:row>
      <xdr:rowOff>97533</xdr:rowOff>
    </xdr:to>
    <xdr:grpSp>
      <xdr:nvGrpSpPr>
        <xdr:cNvPr id="956" name="그룹 955">
          <a:extLst>
            <a:ext uri="{FF2B5EF4-FFF2-40B4-BE49-F238E27FC236}">
              <a16:creationId xmlns:a16="http://schemas.microsoft.com/office/drawing/2014/main" id="{00000000-0008-0000-1500-0000BC030000}"/>
            </a:ext>
          </a:extLst>
        </xdr:cNvPr>
        <xdr:cNvGrpSpPr/>
      </xdr:nvGrpSpPr>
      <xdr:grpSpPr>
        <a:xfrm>
          <a:off x="5136037" y="12452528"/>
          <a:ext cx="199707" cy="154505"/>
          <a:chOff x="3850105" y="3654592"/>
          <a:chExt cx="185070" cy="195513"/>
        </a:xfrm>
      </xdr:grpSpPr>
      <xdr:sp macro="" textlink="">
        <xdr:nvSpPr>
          <xdr:cNvPr id="957" name="직사각형 956">
            <a:extLst>
              <a:ext uri="{FF2B5EF4-FFF2-40B4-BE49-F238E27FC236}">
                <a16:creationId xmlns:a16="http://schemas.microsoft.com/office/drawing/2014/main" id="{00000000-0008-0000-1500-0000BD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58" name="순서도: 연결자 957">
            <a:extLst>
              <a:ext uri="{FF2B5EF4-FFF2-40B4-BE49-F238E27FC236}">
                <a16:creationId xmlns:a16="http://schemas.microsoft.com/office/drawing/2014/main" id="{00000000-0008-0000-1500-0000BE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59" name="순서도: 연결자 958">
            <a:extLst>
              <a:ext uri="{FF2B5EF4-FFF2-40B4-BE49-F238E27FC236}">
                <a16:creationId xmlns:a16="http://schemas.microsoft.com/office/drawing/2014/main" id="{00000000-0008-0000-1500-0000BF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60" name="순서도: 연결자 959">
            <a:extLst>
              <a:ext uri="{FF2B5EF4-FFF2-40B4-BE49-F238E27FC236}">
                <a16:creationId xmlns:a16="http://schemas.microsoft.com/office/drawing/2014/main" id="{00000000-0008-0000-1500-0000C0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61" name="순서도: 연결자 960">
            <a:extLst>
              <a:ext uri="{FF2B5EF4-FFF2-40B4-BE49-F238E27FC236}">
                <a16:creationId xmlns:a16="http://schemas.microsoft.com/office/drawing/2014/main" id="{00000000-0008-0000-1500-0000C1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22</xdr:col>
      <xdr:colOff>130964</xdr:colOff>
      <xdr:row>63</xdr:row>
      <xdr:rowOff>133956</xdr:rowOff>
    </xdr:from>
    <xdr:to>
      <xdr:col>23</xdr:col>
      <xdr:colOff>92547</xdr:colOff>
      <xdr:row>64</xdr:row>
      <xdr:rowOff>111296</xdr:rowOff>
    </xdr:to>
    <xdr:grpSp>
      <xdr:nvGrpSpPr>
        <xdr:cNvPr id="962" name="그룹 961">
          <a:extLst>
            <a:ext uri="{FF2B5EF4-FFF2-40B4-BE49-F238E27FC236}">
              <a16:creationId xmlns:a16="http://schemas.microsoft.com/office/drawing/2014/main" id="{00000000-0008-0000-1500-0000C2030000}"/>
            </a:ext>
          </a:extLst>
        </xdr:cNvPr>
        <xdr:cNvGrpSpPr/>
      </xdr:nvGrpSpPr>
      <xdr:grpSpPr>
        <a:xfrm>
          <a:off x="5369714" y="12452956"/>
          <a:ext cx="199708" cy="167840"/>
          <a:chOff x="3850105" y="3654592"/>
          <a:chExt cx="185070" cy="195513"/>
        </a:xfrm>
      </xdr:grpSpPr>
      <xdr:sp macro="" textlink="">
        <xdr:nvSpPr>
          <xdr:cNvPr id="963" name="직사각형 962">
            <a:extLst>
              <a:ext uri="{FF2B5EF4-FFF2-40B4-BE49-F238E27FC236}">
                <a16:creationId xmlns:a16="http://schemas.microsoft.com/office/drawing/2014/main" id="{00000000-0008-0000-1500-0000C3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64" name="순서도: 연결자 963">
            <a:extLst>
              <a:ext uri="{FF2B5EF4-FFF2-40B4-BE49-F238E27FC236}">
                <a16:creationId xmlns:a16="http://schemas.microsoft.com/office/drawing/2014/main" id="{00000000-0008-0000-1500-0000C4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65" name="순서도: 연결자 964">
            <a:extLst>
              <a:ext uri="{FF2B5EF4-FFF2-40B4-BE49-F238E27FC236}">
                <a16:creationId xmlns:a16="http://schemas.microsoft.com/office/drawing/2014/main" id="{00000000-0008-0000-1500-0000C5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66" name="순서도: 연결자 965">
            <a:extLst>
              <a:ext uri="{FF2B5EF4-FFF2-40B4-BE49-F238E27FC236}">
                <a16:creationId xmlns:a16="http://schemas.microsoft.com/office/drawing/2014/main" id="{00000000-0008-0000-1500-0000C6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67" name="순서도: 연결자 966">
            <a:extLst>
              <a:ext uri="{FF2B5EF4-FFF2-40B4-BE49-F238E27FC236}">
                <a16:creationId xmlns:a16="http://schemas.microsoft.com/office/drawing/2014/main" id="{00000000-0008-0000-1500-0000C7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168274</xdr:colOff>
      <xdr:row>61</xdr:row>
      <xdr:rowOff>95250</xdr:rowOff>
    </xdr:from>
    <xdr:to>
      <xdr:col>34</xdr:col>
      <xdr:colOff>97471</xdr:colOff>
      <xdr:row>62</xdr:row>
      <xdr:rowOff>87829</xdr:rowOff>
    </xdr:to>
    <xdr:grpSp>
      <xdr:nvGrpSpPr>
        <xdr:cNvPr id="968" name="그룹 967">
          <a:extLst>
            <a:ext uri="{FF2B5EF4-FFF2-40B4-BE49-F238E27FC236}">
              <a16:creationId xmlns:a16="http://schemas.microsoft.com/office/drawing/2014/main" id="{00000000-0008-0000-1500-0000C8030000}"/>
            </a:ext>
          </a:extLst>
        </xdr:cNvPr>
        <xdr:cNvGrpSpPr/>
      </xdr:nvGrpSpPr>
      <xdr:grpSpPr>
        <a:xfrm>
          <a:off x="8026399" y="12033250"/>
          <a:ext cx="167322" cy="183079"/>
          <a:chOff x="3850105" y="3654592"/>
          <a:chExt cx="185070" cy="195513"/>
        </a:xfrm>
      </xdr:grpSpPr>
      <xdr:sp macro="" textlink="">
        <xdr:nvSpPr>
          <xdr:cNvPr id="969" name="직사각형 968">
            <a:extLst>
              <a:ext uri="{FF2B5EF4-FFF2-40B4-BE49-F238E27FC236}">
                <a16:creationId xmlns:a16="http://schemas.microsoft.com/office/drawing/2014/main" id="{00000000-0008-0000-1500-0000C9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0" name="순서도: 연결자 969">
            <a:extLst>
              <a:ext uri="{FF2B5EF4-FFF2-40B4-BE49-F238E27FC236}">
                <a16:creationId xmlns:a16="http://schemas.microsoft.com/office/drawing/2014/main" id="{00000000-0008-0000-1500-0000CA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1" name="순서도: 연결자 970">
            <a:extLst>
              <a:ext uri="{FF2B5EF4-FFF2-40B4-BE49-F238E27FC236}">
                <a16:creationId xmlns:a16="http://schemas.microsoft.com/office/drawing/2014/main" id="{00000000-0008-0000-1500-0000CB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2" name="순서도: 연결자 971">
            <a:extLst>
              <a:ext uri="{FF2B5EF4-FFF2-40B4-BE49-F238E27FC236}">
                <a16:creationId xmlns:a16="http://schemas.microsoft.com/office/drawing/2014/main" id="{00000000-0008-0000-1500-0000CC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3" name="순서도: 연결자 972">
            <a:extLst>
              <a:ext uri="{FF2B5EF4-FFF2-40B4-BE49-F238E27FC236}">
                <a16:creationId xmlns:a16="http://schemas.microsoft.com/office/drawing/2014/main" id="{00000000-0008-0000-1500-0000CD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173562</xdr:colOff>
      <xdr:row>61</xdr:row>
      <xdr:rowOff>91868</xdr:rowOff>
    </xdr:from>
    <xdr:to>
      <xdr:col>35</xdr:col>
      <xdr:colOff>118000</xdr:colOff>
      <xdr:row>62</xdr:row>
      <xdr:rowOff>95877</xdr:rowOff>
    </xdr:to>
    <xdr:grpSp>
      <xdr:nvGrpSpPr>
        <xdr:cNvPr id="974" name="그룹 973">
          <a:extLst>
            <a:ext uri="{FF2B5EF4-FFF2-40B4-BE49-F238E27FC236}">
              <a16:creationId xmlns:a16="http://schemas.microsoft.com/office/drawing/2014/main" id="{00000000-0008-0000-1500-0000CE030000}"/>
            </a:ext>
          </a:extLst>
        </xdr:cNvPr>
        <xdr:cNvGrpSpPr/>
      </xdr:nvGrpSpPr>
      <xdr:grpSpPr>
        <a:xfrm>
          <a:off x="8269812" y="12029868"/>
          <a:ext cx="182563" cy="194509"/>
          <a:chOff x="3850105" y="3654592"/>
          <a:chExt cx="185070" cy="195513"/>
        </a:xfrm>
      </xdr:grpSpPr>
      <xdr:sp macro="" textlink="">
        <xdr:nvSpPr>
          <xdr:cNvPr id="975" name="직사각형 974">
            <a:extLst>
              <a:ext uri="{FF2B5EF4-FFF2-40B4-BE49-F238E27FC236}">
                <a16:creationId xmlns:a16="http://schemas.microsoft.com/office/drawing/2014/main" id="{00000000-0008-0000-1500-0000CF03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6" name="순서도: 연결자 975">
            <a:extLst>
              <a:ext uri="{FF2B5EF4-FFF2-40B4-BE49-F238E27FC236}">
                <a16:creationId xmlns:a16="http://schemas.microsoft.com/office/drawing/2014/main" id="{00000000-0008-0000-1500-0000D003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7" name="순서도: 연결자 976">
            <a:extLst>
              <a:ext uri="{FF2B5EF4-FFF2-40B4-BE49-F238E27FC236}">
                <a16:creationId xmlns:a16="http://schemas.microsoft.com/office/drawing/2014/main" id="{00000000-0008-0000-1500-0000D103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8" name="순서도: 연결자 977">
            <a:extLst>
              <a:ext uri="{FF2B5EF4-FFF2-40B4-BE49-F238E27FC236}">
                <a16:creationId xmlns:a16="http://schemas.microsoft.com/office/drawing/2014/main" id="{00000000-0008-0000-1500-0000D203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79" name="순서도: 연결자 978">
            <a:extLst>
              <a:ext uri="{FF2B5EF4-FFF2-40B4-BE49-F238E27FC236}">
                <a16:creationId xmlns:a16="http://schemas.microsoft.com/office/drawing/2014/main" id="{00000000-0008-0000-1500-0000D303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129575</xdr:colOff>
      <xdr:row>65</xdr:row>
      <xdr:rowOff>136428</xdr:rowOff>
    </xdr:from>
    <xdr:to>
      <xdr:col>41</xdr:col>
      <xdr:colOff>55548</xdr:colOff>
      <xdr:row>66</xdr:row>
      <xdr:rowOff>58323</xdr:rowOff>
    </xdr:to>
    <xdr:grpSp>
      <xdr:nvGrpSpPr>
        <xdr:cNvPr id="980" name="그룹 979">
          <a:extLst>
            <a:ext uri="{FF2B5EF4-FFF2-40B4-BE49-F238E27FC236}">
              <a16:creationId xmlns:a16="http://schemas.microsoft.com/office/drawing/2014/main" id="{00000000-0008-0000-1500-0000D4030000}"/>
            </a:ext>
          </a:extLst>
        </xdr:cNvPr>
        <xdr:cNvGrpSpPr/>
      </xdr:nvGrpSpPr>
      <xdr:grpSpPr>
        <a:xfrm>
          <a:off x="9662513" y="12836428"/>
          <a:ext cx="172035" cy="112395"/>
          <a:chOff x="2372059" y="3845092"/>
          <a:chExt cx="185070" cy="115303"/>
        </a:xfrm>
      </xdr:grpSpPr>
      <xdr:sp macro="" textlink="">
        <xdr:nvSpPr>
          <xdr:cNvPr id="981" name="직사각형 980">
            <a:extLst>
              <a:ext uri="{FF2B5EF4-FFF2-40B4-BE49-F238E27FC236}">
                <a16:creationId xmlns:a16="http://schemas.microsoft.com/office/drawing/2014/main" id="{00000000-0008-0000-1500-0000D5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82" name="순서도: 연결자 981">
            <a:extLst>
              <a:ext uri="{FF2B5EF4-FFF2-40B4-BE49-F238E27FC236}">
                <a16:creationId xmlns:a16="http://schemas.microsoft.com/office/drawing/2014/main" id="{00000000-0008-0000-1500-0000D6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83" name="순서도: 연결자 982">
            <a:extLst>
              <a:ext uri="{FF2B5EF4-FFF2-40B4-BE49-F238E27FC236}">
                <a16:creationId xmlns:a16="http://schemas.microsoft.com/office/drawing/2014/main" id="{00000000-0008-0000-1500-0000D7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132196</xdr:colOff>
      <xdr:row>59</xdr:row>
      <xdr:rowOff>135625</xdr:rowOff>
    </xdr:from>
    <xdr:to>
      <xdr:col>40</xdr:col>
      <xdr:colOff>60077</xdr:colOff>
      <xdr:row>60</xdr:row>
      <xdr:rowOff>57521</xdr:rowOff>
    </xdr:to>
    <xdr:grpSp>
      <xdr:nvGrpSpPr>
        <xdr:cNvPr id="984" name="그룹 983">
          <a:extLst>
            <a:ext uri="{FF2B5EF4-FFF2-40B4-BE49-F238E27FC236}">
              <a16:creationId xmlns:a16="http://schemas.microsoft.com/office/drawing/2014/main" id="{00000000-0008-0000-1500-0000D8030000}"/>
            </a:ext>
          </a:extLst>
        </xdr:cNvPr>
        <xdr:cNvGrpSpPr/>
      </xdr:nvGrpSpPr>
      <xdr:grpSpPr>
        <a:xfrm>
          <a:off x="9419071" y="11692625"/>
          <a:ext cx="173944" cy="112396"/>
          <a:chOff x="2372059" y="3845092"/>
          <a:chExt cx="185070" cy="115303"/>
        </a:xfrm>
      </xdr:grpSpPr>
      <xdr:sp macro="" textlink="">
        <xdr:nvSpPr>
          <xdr:cNvPr id="985" name="직사각형 984">
            <a:extLst>
              <a:ext uri="{FF2B5EF4-FFF2-40B4-BE49-F238E27FC236}">
                <a16:creationId xmlns:a16="http://schemas.microsoft.com/office/drawing/2014/main" id="{00000000-0008-0000-1500-0000D9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86" name="순서도: 연결자 985">
            <a:extLst>
              <a:ext uri="{FF2B5EF4-FFF2-40B4-BE49-F238E27FC236}">
                <a16:creationId xmlns:a16="http://schemas.microsoft.com/office/drawing/2014/main" id="{00000000-0008-0000-1500-0000DA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87" name="순서도: 연결자 986">
            <a:extLst>
              <a:ext uri="{FF2B5EF4-FFF2-40B4-BE49-F238E27FC236}">
                <a16:creationId xmlns:a16="http://schemas.microsoft.com/office/drawing/2014/main" id="{00000000-0008-0000-1500-0000DB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33</xdr:col>
      <xdr:colOff>92643</xdr:colOff>
      <xdr:row>65</xdr:row>
      <xdr:rowOff>130342</xdr:rowOff>
    </xdr:from>
    <xdr:to>
      <xdr:col>34</xdr:col>
      <xdr:colOff>57721</xdr:colOff>
      <xdr:row>66</xdr:row>
      <xdr:rowOff>35092</xdr:rowOff>
    </xdr:to>
    <xdr:grpSp>
      <xdr:nvGrpSpPr>
        <xdr:cNvPr id="988" name="그룹 987">
          <a:extLst>
            <a:ext uri="{FF2B5EF4-FFF2-40B4-BE49-F238E27FC236}">
              <a16:creationId xmlns:a16="http://schemas.microsoft.com/office/drawing/2014/main" id="{00000000-0008-0000-1500-0000DC030000}"/>
            </a:ext>
          </a:extLst>
        </xdr:cNvPr>
        <xdr:cNvGrpSpPr/>
      </xdr:nvGrpSpPr>
      <xdr:grpSpPr>
        <a:xfrm>
          <a:off x="7950768" y="12830342"/>
          <a:ext cx="203203" cy="95250"/>
          <a:chOff x="2372059" y="3845092"/>
          <a:chExt cx="185070" cy="115303"/>
        </a:xfrm>
      </xdr:grpSpPr>
      <xdr:sp macro="" textlink="">
        <xdr:nvSpPr>
          <xdr:cNvPr id="989" name="직사각형 988">
            <a:extLst>
              <a:ext uri="{FF2B5EF4-FFF2-40B4-BE49-F238E27FC236}">
                <a16:creationId xmlns:a16="http://schemas.microsoft.com/office/drawing/2014/main" id="{00000000-0008-0000-1500-0000DD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90" name="순서도: 연결자 989">
            <a:extLst>
              <a:ext uri="{FF2B5EF4-FFF2-40B4-BE49-F238E27FC236}">
                <a16:creationId xmlns:a16="http://schemas.microsoft.com/office/drawing/2014/main" id="{00000000-0008-0000-1500-0000DE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91" name="순서도: 연결자 990">
            <a:extLst>
              <a:ext uri="{FF2B5EF4-FFF2-40B4-BE49-F238E27FC236}">
                <a16:creationId xmlns:a16="http://schemas.microsoft.com/office/drawing/2014/main" id="{00000000-0008-0000-1500-0000DF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34</xdr:col>
      <xdr:colOff>155527</xdr:colOff>
      <xdr:row>65</xdr:row>
      <xdr:rowOff>131931</xdr:rowOff>
    </xdr:from>
    <xdr:to>
      <xdr:col>35</xdr:col>
      <xdr:colOff>124413</xdr:colOff>
      <xdr:row>66</xdr:row>
      <xdr:rowOff>53826</xdr:rowOff>
    </xdr:to>
    <xdr:grpSp>
      <xdr:nvGrpSpPr>
        <xdr:cNvPr id="992" name="그룹 991">
          <a:extLst>
            <a:ext uri="{FF2B5EF4-FFF2-40B4-BE49-F238E27FC236}">
              <a16:creationId xmlns:a16="http://schemas.microsoft.com/office/drawing/2014/main" id="{00000000-0008-0000-1500-0000E0030000}"/>
            </a:ext>
          </a:extLst>
        </xdr:cNvPr>
        <xdr:cNvGrpSpPr/>
      </xdr:nvGrpSpPr>
      <xdr:grpSpPr>
        <a:xfrm>
          <a:off x="8251777" y="12831931"/>
          <a:ext cx="207011" cy="112395"/>
          <a:chOff x="2372059" y="3845092"/>
          <a:chExt cx="185070" cy="115303"/>
        </a:xfrm>
      </xdr:grpSpPr>
      <xdr:sp macro="" textlink="">
        <xdr:nvSpPr>
          <xdr:cNvPr id="993" name="직사각형 992">
            <a:extLst>
              <a:ext uri="{FF2B5EF4-FFF2-40B4-BE49-F238E27FC236}">
                <a16:creationId xmlns:a16="http://schemas.microsoft.com/office/drawing/2014/main" id="{00000000-0008-0000-1500-0000E103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94" name="순서도: 연결자 993">
            <a:extLst>
              <a:ext uri="{FF2B5EF4-FFF2-40B4-BE49-F238E27FC236}">
                <a16:creationId xmlns:a16="http://schemas.microsoft.com/office/drawing/2014/main" id="{00000000-0008-0000-1500-0000E203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995" name="순서도: 연결자 994">
            <a:extLst>
              <a:ext uri="{FF2B5EF4-FFF2-40B4-BE49-F238E27FC236}">
                <a16:creationId xmlns:a16="http://schemas.microsoft.com/office/drawing/2014/main" id="{00000000-0008-0000-1500-0000E303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20</xdr:col>
      <xdr:colOff>8523</xdr:colOff>
      <xdr:row>46</xdr:row>
      <xdr:rowOff>199524</xdr:rowOff>
    </xdr:from>
    <xdr:to>
      <xdr:col>21</xdr:col>
      <xdr:colOff>189498</xdr:colOff>
      <xdr:row>46</xdr:row>
      <xdr:rowOff>199524</xdr:rowOff>
    </xdr:to>
    <xdr:sp macro="" textlink="">
      <xdr:nvSpPr>
        <xdr:cNvPr id="1139" name="Line 492">
          <a:extLst>
            <a:ext uri="{FF2B5EF4-FFF2-40B4-BE49-F238E27FC236}">
              <a16:creationId xmlns:a16="http://schemas.microsoft.com/office/drawing/2014/main" id="{00000000-0008-0000-1500-000073040000}"/>
            </a:ext>
          </a:extLst>
        </xdr:cNvPr>
        <xdr:cNvSpPr>
          <a:spLocks noChangeShapeType="1"/>
        </xdr:cNvSpPr>
      </xdr:nvSpPr>
      <xdr:spPr bwMode="auto">
        <a:xfrm rot="5400000">
          <a:off x="15387589" y="1802581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23</xdr:col>
      <xdr:colOff>48126</xdr:colOff>
      <xdr:row>46</xdr:row>
      <xdr:rowOff>199524</xdr:rowOff>
    </xdr:from>
    <xdr:to>
      <xdr:col>24</xdr:col>
      <xdr:colOff>229101</xdr:colOff>
      <xdr:row>46</xdr:row>
      <xdr:rowOff>199524</xdr:rowOff>
    </xdr:to>
    <xdr:sp macro="" textlink="">
      <xdr:nvSpPr>
        <xdr:cNvPr id="1140" name="Line 493">
          <a:extLst>
            <a:ext uri="{FF2B5EF4-FFF2-40B4-BE49-F238E27FC236}">
              <a16:creationId xmlns:a16="http://schemas.microsoft.com/office/drawing/2014/main" id="{00000000-0008-0000-1500-000074040000}"/>
            </a:ext>
          </a:extLst>
        </xdr:cNvPr>
        <xdr:cNvSpPr>
          <a:spLocks noChangeShapeType="1"/>
        </xdr:cNvSpPr>
      </xdr:nvSpPr>
      <xdr:spPr bwMode="auto">
        <a:xfrm rot="5400000">
          <a:off x="16141567" y="1802581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26</xdr:col>
      <xdr:colOff>28575</xdr:colOff>
      <xdr:row>46</xdr:row>
      <xdr:rowOff>219075</xdr:rowOff>
    </xdr:from>
    <xdr:to>
      <xdr:col>27</xdr:col>
      <xdr:colOff>209550</xdr:colOff>
      <xdr:row>46</xdr:row>
      <xdr:rowOff>219075</xdr:rowOff>
    </xdr:to>
    <xdr:sp macro="" textlink="">
      <xdr:nvSpPr>
        <xdr:cNvPr id="1141" name="Line 505">
          <a:extLst>
            <a:ext uri="{FF2B5EF4-FFF2-40B4-BE49-F238E27FC236}">
              <a16:creationId xmlns:a16="http://schemas.microsoft.com/office/drawing/2014/main" id="{00000000-0008-0000-1500-000075040000}"/>
            </a:ext>
          </a:extLst>
        </xdr:cNvPr>
        <xdr:cNvSpPr>
          <a:spLocks noChangeShapeType="1"/>
        </xdr:cNvSpPr>
      </xdr:nvSpPr>
      <xdr:spPr bwMode="auto">
        <a:xfrm rot="5400000">
          <a:off x="16832581" y="18183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48126</xdr:colOff>
      <xdr:row>46</xdr:row>
      <xdr:rowOff>199524</xdr:rowOff>
    </xdr:from>
    <xdr:to>
      <xdr:col>30</xdr:col>
      <xdr:colOff>229101</xdr:colOff>
      <xdr:row>46</xdr:row>
      <xdr:rowOff>199524</xdr:rowOff>
    </xdr:to>
    <xdr:sp macro="" textlink="">
      <xdr:nvSpPr>
        <xdr:cNvPr id="1142" name="Line 506">
          <a:extLst>
            <a:ext uri="{FF2B5EF4-FFF2-40B4-BE49-F238E27FC236}">
              <a16:creationId xmlns:a16="http://schemas.microsoft.com/office/drawing/2014/main" id="{00000000-0008-0000-1500-000076040000}"/>
            </a:ext>
          </a:extLst>
        </xdr:cNvPr>
        <xdr:cNvSpPr>
          <a:spLocks noChangeShapeType="1"/>
        </xdr:cNvSpPr>
      </xdr:nvSpPr>
      <xdr:spPr bwMode="auto">
        <a:xfrm rot="5400000">
          <a:off x="17570317" y="1802581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26</xdr:col>
      <xdr:colOff>17145</xdr:colOff>
      <xdr:row>48</xdr:row>
      <xdr:rowOff>206574</xdr:rowOff>
    </xdr:from>
    <xdr:to>
      <xdr:col>27</xdr:col>
      <xdr:colOff>172641</xdr:colOff>
      <xdr:row>48</xdr:row>
      <xdr:rowOff>206574</xdr:rowOff>
    </xdr:to>
    <xdr:sp macro="" textlink="">
      <xdr:nvSpPr>
        <xdr:cNvPr id="1143" name="Line 507">
          <a:extLst>
            <a:ext uri="{FF2B5EF4-FFF2-40B4-BE49-F238E27FC236}">
              <a16:creationId xmlns:a16="http://schemas.microsoft.com/office/drawing/2014/main" id="{00000000-0008-0000-1500-000077040000}"/>
            </a:ext>
          </a:extLst>
        </xdr:cNvPr>
        <xdr:cNvSpPr>
          <a:spLocks noChangeShapeType="1"/>
        </xdr:cNvSpPr>
      </xdr:nvSpPr>
      <xdr:spPr bwMode="auto">
        <a:xfrm rot="5400000">
          <a:off x="16811269" y="2271633"/>
          <a:ext cx="0" cy="38600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26</xdr:col>
      <xdr:colOff>23964</xdr:colOff>
      <xdr:row>47</xdr:row>
      <xdr:rowOff>15241</xdr:rowOff>
    </xdr:from>
    <xdr:to>
      <xdr:col>26</xdr:col>
      <xdr:colOff>23964</xdr:colOff>
      <xdr:row>49</xdr:row>
      <xdr:rowOff>1732</xdr:rowOff>
    </xdr:to>
    <xdr:sp macro="" textlink="">
      <xdr:nvSpPr>
        <xdr:cNvPr id="1144" name="Line 510">
          <a:extLst>
            <a:ext uri="{FF2B5EF4-FFF2-40B4-BE49-F238E27FC236}">
              <a16:creationId xmlns:a16="http://schemas.microsoft.com/office/drawing/2014/main" id="{00000000-0008-0000-1500-000078040000}"/>
            </a:ext>
          </a:extLst>
        </xdr:cNvPr>
        <xdr:cNvSpPr>
          <a:spLocks noChangeShapeType="1"/>
        </xdr:cNvSpPr>
      </xdr:nvSpPr>
      <xdr:spPr bwMode="auto">
        <a:xfrm>
          <a:off x="16617467" y="2051051"/>
          <a:ext cx="0" cy="42718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30</xdr:col>
      <xdr:colOff>223123</xdr:colOff>
      <xdr:row>47</xdr:row>
      <xdr:rowOff>15240</xdr:rowOff>
    </xdr:from>
    <xdr:to>
      <xdr:col>30</xdr:col>
      <xdr:colOff>223123</xdr:colOff>
      <xdr:row>48</xdr:row>
      <xdr:rowOff>205740</xdr:rowOff>
    </xdr:to>
    <xdr:sp macro="" textlink="">
      <xdr:nvSpPr>
        <xdr:cNvPr id="1145" name="Line 512">
          <a:extLst>
            <a:ext uri="{FF2B5EF4-FFF2-40B4-BE49-F238E27FC236}">
              <a16:creationId xmlns:a16="http://schemas.microsoft.com/office/drawing/2014/main" id="{00000000-0008-0000-1500-000079040000}"/>
            </a:ext>
          </a:extLst>
        </xdr:cNvPr>
        <xdr:cNvSpPr>
          <a:spLocks noChangeShapeType="1"/>
        </xdr:cNvSpPr>
      </xdr:nvSpPr>
      <xdr:spPr bwMode="auto">
        <a:xfrm>
          <a:off x="17771031" y="2051050"/>
          <a:ext cx="0" cy="412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15</xdr:col>
      <xdr:colOff>199138</xdr:colOff>
      <xdr:row>46</xdr:row>
      <xdr:rowOff>186281</xdr:rowOff>
    </xdr:from>
    <xdr:to>
      <xdr:col>15</xdr:col>
      <xdr:colOff>199138</xdr:colOff>
      <xdr:row>48</xdr:row>
      <xdr:rowOff>216353</xdr:rowOff>
    </xdr:to>
    <xdr:sp macro="" textlink="">
      <xdr:nvSpPr>
        <xdr:cNvPr id="1146" name="Line 513">
          <a:extLst>
            <a:ext uri="{FF2B5EF4-FFF2-40B4-BE49-F238E27FC236}">
              <a16:creationId xmlns:a16="http://schemas.microsoft.com/office/drawing/2014/main" id="{00000000-0008-0000-1500-00007A040000}"/>
            </a:ext>
          </a:extLst>
        </xdr:cNvPr>
        <xdr:cNvSpPr>
          <a:spLocks noChangeShapeType="1"/>
        </xdr:cNvSpPr>
      </xdr:nvSpPr>
      <xdr:spPr bwMode="auto">
        <a:xfrm flipH="1">
          <a:off x="14210731" y="1994126"/>
          <a:ext cx="0" cy="472667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28</xdr:col>
      <xdr:colOff>225137</xdr:colOff>
      <xdr:row>47</xdr:row>
      <xdr:rowOff>22298</xdr:rowOff>
    </xdr:from>
    <xdr:to>
      <xdr:col>28</xdr:col>
      <xdr:colOff>228600</xdr:colOff>
      <xdr:row>48</xdr:row>
      <xdr:rowOff>181842</xdr:rowOff>
    </xdr:to>
    <xdr:sp macro="" textlink="">
      <xdr:nvSpPr>
        <xdr:cNvPr id="1147" name="Line 514">
          <a:extLst>
            <a:ext uri="{FF2B5EF4-FFF2-40B4-BE49-F238E27FC236}">
              <a16:creationId xmlns:a16="http://schemas.microsoft.com/office/drawing/2014/main" id="{00000000-0008-0000-1500-00007B040000}"/>
            </a:ext>
          </a:extLst>
        </xdr:cNvPr>
        <xdr:cNvSpPr>
          <a:spLocks noChangeShapeType="1"/>
        </xdr:cNvSpPr>
      </xdr:nvSpPr>
      <xdr:spPr bwMode="auto">
        <a:xfrm flipH="1">
          <a:off x="17298700" y="2050488"/>
          <a:ext cx="3463" cy="383699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19050</xdr:colOff>
      <xdr:row>47</xdr:row>
      <xdr:rowOff>19050</xdr:rowOff>
    </xdr:from>
    <xdr:to>
      <xdr:col>29</xdr:col>
      <xdr:colOff>19050</xdr:colOff>
      <xdr:row>48</xdr:row>
      <xdr:rowOff>209550</xdr:rowOff>
    </xdr:to>
    <xdr:sp macro="" textlink="">
      <xdr:nvSpPr>
        <xdr:cNvPr id="1148" name="Line 515">
          <a:extLst>
            <a:ext uri="{FF2B5EF4-FFF2-40B4-BE49-F238E27FC236}">
              <a16:creationId xmlns:a16="http://schemas.microsoft.com/office/drawing/2014/main" id="{00000000-0008-0000-1500-00007C040000}"/>
            </a:ext>
          </a:extLst>
        </xdr:cNvPr>
        <xdr:cNvSpPr>
          <a:spLocks noChangeShapeType="1"/>
        </xdr:cNvSpPr>
      </xdr:nvSpPr>
      <xdr:spPr bwMode="auto">
        <a:xfrm>
          <a:off x="17326928" y="2047240"/>
          <a:ext cx="0" cy="412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20</xdr:col>
      <xdr:colOff>21604</xdr:colOff>
      <xdr:row>48</xdr:row>
      <xdr:rowOff>201606</xdr:rowOff>
    </xdr:from>
    <xdr:to>
      <xdr:col>21</xdr:col>
      <xdr:colOff>188724</xdr:colOff>
      <xdr:row>48</xdr:row>
      <xdr:rowOff>201606</xdr:rowOff>
    </xdr:to>
    <xdr:sp macro="" textlink="">
      <xdr:nvSpPr>
        <xdr:cNvPr id="1149" name="Line 500">
          <a:extLst>
            <a:ext uri="{FF2B5EF4-FFF2-40B4-BE49-F238E27FC236}">
              <a16:creationId xmlns:a16="http://schemas.microsoft.com/office/drawing/2014/main" id="{00000000-0008-0000-1500-00007D040000}"/>
            </a:ext>
          </a:extLst>
        </xdr:cNvPr>
        <xdr:cNvSpPr>
          <a:spLocks noChangeShapeType="1"/>
        </xdr:cNvSpPr>
      </xdr:nvSpPr>
      <xdr:spPr bwMode="auto">
        <a:xfrm rot="5400000">
          <a:off x="15390885" y="2253233"/>
          <a:ext cx="0" cy="40905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54366</xdr:colOff>
      <xdr:row>48</xdr:row>
      <xdr:rowOff>196454</xdr:rowOff>
    </xdr:from>
    <xdr:to>
      <xdr:col>24</xdr:col>
      <xdr:colOff>231531</xdr:colOff>
      <xdr:row>48</xdr:row>
      <xdr:rowOff>196454</xdr:rowOff>
    </xdr:to>
    <xdr:sp macro="" textlink="">
      <xdr:nvSpPr>
        <xdr:cNvPr id="1150" name="Line 501">
          <a:extLst>
            <a:ext uri="{FF2B5EF4-FFF2-40B4-BE49-F238E27FC236}">
              <a16:creationId xmlns:a16="http://schemas.microsoft.com/office/drawing/2014/main" id="{00000000-0008-0000-1500-00007E040000}"/>
            </a:ext>
          </a:extLst>
        </xdr:cNvPr>
        <xdr:cNvSpPr>
          <a:spLocks noChangeShapeType="1"/>
        </xdr:cNvSpPr>
      </xdr:nvSpPr>
      <xdr:spPr bwMode="auto">
        <a:xfrm rot="5400000">
          <a:off x="16146854" y="2246869"/>
          <a:ext cx="0" cy="41148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14</xdr:col>
      <xdr:colOff>8792</xdr:colOff>
      <xdr:row>48</xdr:row>
      <xdr:rowOff>190500</xdr:rowOff>
    </xdr:from>
    <xdr:to>
      <xdr:col>15</xdr:col>
      <xdr:colOff>189767</xdr:colOff>
      <xdr:row>48</xdr:row>
      <xdr:rowOff>190500</xdr:rowOff>
    </xdr:to>
    <xdr:sp macro="" textlink="">
      <xdr:nvSpPr>
        <xdr:cNvPr id="1151" name="Line 500">
          <a:extLst>
            <a:ext uri="{FF2B5EF4-FFF2-40B4-BE49-F238E27FC236}">
              <a16:creationId xmlns:a16="http://schemas.microsoft.com/office/drawing/2014/main" id="{00000000-0008-0000-1500-00007F040000}"/>
            </a:ext>
          </a:extLst>
        </xdr:cNvPr>
        <xdr:cNvSpPr>
          <a:spLocks noChangeShapeType="1"/>
        </xdr:cNvSpPr>
      </xdr:nvSpPr>
      <xdr:spPr bwMode="auto">
        <a:xfrm rot="5400000">
          <a:off x="14006733" y="2252027"/>
          <a:ext cx="0" cy="38544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47625</xdr:colOff>
      <xdr:row>48</xdr:row>
      <xdr:rowOff>190500</xdr:rowOff>
    </xdr:from>
    <xdr:to>
      <xdr:col>18</xdr:col>
      <xdr:colOff>228600</xdr:colOff>
      <xdr:row>48</xdr:row>
      <xdr:rowOff>190500</xdr:rowOff>
    </xdr:to>
    <xdr:sp macro="" textlink="">
      <xdr:nvSpPr>
        <xdr:cNvPr id="1152" name="Line 501">
          <a:extLst>
            <a:ext uri="{FF2B5EF4-FFF2-40B4-BE49-F238E27FC236}">
              <a16:creationId xmlns:a16="http://schemas.microsoft.com/office/drawing/2014/main" id="{00000000-0008-0000-1500-000080040000}"/>
            </a:ext>
          </a:extLst>
        </xdr:cNvPr>
        <xdr:cNvSpPr>
          <a:spLocks noChangeShapeType="1"/>
        </xdr:cNvSpPr>
      </xdr:nvSpPr>
      <xdr:spPr bwMode="auto">
        <a:xfrm rot="5400000">
          <a:off x="14712316" y="2236152"/>
          <a:ext cx="0" cy="41719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11433</xdr:colOff>
      <xdr:row>46</xdr:row>
      <xdr:rowOff>216019</xdr:rowOff>
    </xdr:from>
    <xdr:to>
      <xdr:col>23</xdr:col>
      <xdr:colOff>11433</xdr:colOff>
      <xdr:row>49</xdr:row>
      <xdr:rowOff>10683</xdr:rowOff>
    </xdr:to>
    <xdr:sp macro="" textlink="">
      <xdr:nvSpPr>
        <xdr:cNvPr id="1153" name="Line 513">
          <a:extLst>
            <a:ext uri="{FF2B5EF4-FFF2-40B4-BE49-F238E27FC236}">
              <a16:creationId xmlns:a16="http://schemas.microsoft.com/office/drawing/2014/main" id="{00000000-0008-0000-1500-000081040000}"/>
            </a:ext>
          </a:extLst>
        </xdr:cNvPr>
        <xdr:cNvSpPr>
          <a:spLocks noChangeShapeType="1"/>
        </xdr:cNvSpPr>
      </xdr:nvSpPr>
      <xdr:spPr bwMode="auto">
        <a:xfrm>
          <a:off x="15898181" y="2021959"/>
          <a:ext cx="0" cy="467129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27</xdr:col>
      <xdr:colOff>224703</xdr:colOff>
      <xdr:row>47</xdr:row>
      <xdr:rowOff>22298</xdr:rowOff>
    </xdr:from>
    <xdr:to>
      <xdr:col>27</xdr:col>
      <xdr:colOff>224703</xdr:colOff>
      <xdr:row>49</xdr:row>
      <xdr:rowOff>1</xdr:rowOff>
    </xdr:to>
    <xdr:sp macro="" textlink="">
      <xdr:nvSpPr>
        <xdr:cNvPr id="1154" name="Line 514">
          <a:extLst>
            <a:ext uri="{FF2B5EF4-FFF2-40B4-BE49-F238E27FC236}">
              <a16:creationId xmlns:a16="http://schemas.microsoft.com/office/drawing/2014/main" id="{00000000-0008-0000-1500-000082040000}"/>
            </a:ext>
          </a:extLst>
        </xdr:cNvPr>
        <xdr:cNvSpPr>
          <a:spLocks noChangeShapeType="1"/>
        </xdr:cNvSpPr>
      </xdr:nvSpPr>
      <xdr:spPr bwMode="auto">
        <a:xfrm>
          <a:off x="17058236" y="2050488"/>
          <a:ext cx="0" cy="426013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28</xdr:col>
      <xdr:colOff>15153</xdr:colOff>
      <xdr:row>47</xdr:row>
      <xdr:rowOff>19050</xdr:rowOff>
    </xdr:from>
    <xdr:to>
      <xdr:col>28</xdr:col>
      <xdr:colOff>15153</xdr:colOff>
      <xdr:row>49</xdr:row>
      <xdr:rowOff>1732</xdr:rowOff>
    </xdr:to>
    <xdr:sp macro="" textlink="">
      <xdr:nvSpPr>
        <xdr:cNvPr id="1155" name="Line 515">
          <a:extLst>
            <a:ext uri="{FF2B5EF4-FFF2-40B4-BE49-F238E27FC236}">
              <a16:creationId xmlns:a16="http://schemas.microsoft.com/office/drawing/2014/main" id="{00000000-0008-0000-1500-000083040000}"/>
            </a:ext>
          </a:extLst>
        </xdr:cNvPr>
        <xdr:cNvSpPr>
          <a:spLocks noChangeShapeType="1"/>
        </xdr:cNvSpPr>
      </xdr:nvSpPr>
      <xdr:spPr bwMode="auto">
        <a:xfrm>
          <a:off x="17092526" y="2047240"/>
          <a:ext cx="0" cy="43099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15</xdr:col>
      <xdr:colOff>214314</xdr:colOff>
      <xdr:row>48</xdr:row>
      <xdr:rowOff>188122</xdr:rowOff>
    </xdr:from>
    <xdr:to>
      <xdr:col>17</xdr:col>
      <xdr:colOff>14289</xdr:colOff>
      <xdr:row>48</xdr:row>
      <xdr:rowOff>188122</xdr:rowOff>
    </xdr:to>
    <xdr:sp macro="" textlink="">
      <xdr:nvSpPr>
        <xdr:cNvPr id="1156" name="Line 749">
          <a:extLst>
            <a:ext uri="{FF2B5EF4-FFF2-40B4-BE49-F238E27FC236}">
              <a16:creationId xmlns:a16="http://schemas.microsoft.com/office/drawing/2014/main" id="{00000000-0008-0000-1500-000084040000}"/>
            </a:ext>
          </a:extLst>
        </xdr:cNvPr>
        <xdr:cNvSpPr>
          <a:spLocks noChangeShapeType="1"/>
        </xdr:cNvSpPr>
      </xdr:nvSpPr>
      <xdr:spPr bwMode="auto">
        <a:xfrm rot="5400000">
          <a:off x="14346240" y="2316324"/>
          <a:ext cx="0" cy="25209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22</xdr:col>
      <xdr:colOff>1433</xdr:colOff>
      <xdr:row>48</xdr:row>
      <xdr:rowOff>197648</xdr:rowOff>
    </xdr:from>
    <xdr:to>
      <xdr:col>23</xdr:col>
      <xdr:colOff>11906</xdr:colOff>
      <xdr:row>48</xdr:row>
      <xdr:rowOff>197648</xdr:rowOff>
    </xdr:to>
    <xdr:sp macro="" textlink="">
      <xdr:nvSpPr>
        <xdr:cNvPr id="1157" name="Line 749">
          <a:extLst>
            <a:ext uri="{FF2B5EF4-FFF2-40B4-BE49-F238E27FC236}">
              <a16:creationId xmlns:a16="http://schemas.microsoft.com/office/drawing/2014/main" id="{00000000-0008-0000-1500-000085040000}"/>
            </a:ext>
          </a:extLst>
        </xdr:cNvPr>
        <xdr:cNvSpPr>
          <a:spLocks noChangeShapeType="1"/>
        </xdr:cNvSpPr>
      </xdr:nvSpPr>
      <xdr:spPr bwMode="auto">
        <a:xfrm rot="5400000">
          <a:off x="15772450" y="2327599"/>
          <a:ext cx="0" cy="252408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27</xdr:col>
      <xdr:colOff>197647</xdr:colOff>
      <xdr:row>48</xdr:row>
      <xdr:rowOff>195268</xdr:rowOff>
    </xdr:from>
    <xdr:to>
      <xdr:col>28</xdr:col>
      <xdr:colOff>235747</xdr:colOff>
      <xdr:row>48</xdr:row>
      <xdr:rowOff>195268</xdr:rowOff>
    </xdr:to>
    <xdr:sp macro="" textlink="">
      <xdr:nvSpPr>
        <xdr:cNvPr id="1158" name="Line 749">
          <a:extLst>
            <a:ext uri="{FF2B5EF4-FFF2-40B4-BE49-F238E27FC236}">
              <a16:creationId xmlns:a16="http://schemas.microsoft.com/office/drawing/2014/main" id="{00000000-0008-0000-1500-000086040000}"/>
            </a:ext>
          </a:extLst>
        </xdr:cNvPr>
        <xdr:cNvSpPr>
          <a:spLocks noChangeShapeType="1"/>
        </xdr:cNvSpPr>
      </xdr:nvSpPr>
      <xdr:spPr bwMode="auto">
        <a:xfrm rot="5400000">
          <a:off x="17173103" y="2313310"/>
          <a:ext cx="0" cy="27622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21</xdr:col>
      <xdr:colOff>233365</xdr:colOff>
      <xdr:row>46</xdr:row>
      <xdr:rowOff>195266</xdr:rowOff>
    </xdr:from>
    <xdr:to>
      <xdr:col>23</xdr:col>
      <xdr:colOff>33340</xdr:colOff>
      <xdr:row>46</xdr:row>
      <xdr:rowOff>195266</xdr:rowOff>
    </xdr:to>
    <xdr:sp macro="" textlink="">
      <xdr:nvSpPr>
        <xdr:cNvPr id="1159" name="Line 749">
          <a:extLst>
            <a:ext uri="{FF2B5EF4-FFF2-40B4-BE49-F238E27FC236}">
              <a16:creationId xmlns:a16="http://schemas.microsoft.com/office/drawing/2014/main" id="{00000000-0008-0000-1500-000087040000}"/>
            </a:ext>
          </a:extLst>
        </xdr:cNvPr>
        <xdr:cNvSpPr>
          <a:spLocks noChangeShapeType="1"/>
        </xdr:cNvSpPr>
      </xdr:nvSpPr>
      <xdr:spPr bwMode="auto">
        <a:xfrm rot="5400000">
          <a:off x="15778166" y="1870713"/>
          <a:ext cx="0" cy="27241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27</xdr:col>
      <xdr:colOff>228604</xdr:colOff>
      <xdr:row>46</xdr:row>
      <xdr:rowOff>204316</xdr:rowOff>
    </xdr:from>
    <xdr:to>
      <xdr:col>29</xdr:col>
      <xdr:colOff>24769</xdr:colOff>
      <xdr:row>46</xdr:row>
      <xdr:rowOff>204316</xdr:rowOff>
    </xdr:to>
    <xdr:sp macro="" textlink="">
      <xdr:nvSpPr>
        <xdr:cNvPr id="1160" name="Line 749">
          <a:extLst>
            <a:ext uri="{FF2B5EF4-FFF2-40B4-BE49-F238E27FC236}">
              <a16:creationId xmlns:a16="http://schemas.microsoft.com/office/drawing/2014/main" id="{00000000-0008-0000-1500-000088040000}"/>
            </a:ext>
          </a:extLst>
        </xdr:cNvPr>
        <xdr:cNvSpPr>
          <a:spLocks noChangeShapeType="1"/>
        </xdr:cNvSpPr>
      </xdr:nvSpPr>
      <xdr:spPr bwMode="auto">
        <a:xfrm rot="5400000">
          <a:off x="17198345" y="1883573"/>
          <a:ext cx="0" cy="26860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33</xdr:col>
      <xdr:colOff>216932</xdr:colOff>
      <xdr:row>47</xdr:row>
      <xdr:rowOff>15240</xdr:rowOff>
    </xdr:from>
    <xdr:to>
      <xdr:col>33</xdr:col>
      <xdr:colOff>216932</xdr:colOff>
      <xdr:row>48</xdr:row>
      <xdr:rowOff>205740</xdr:rowOff>
    </xdr:to>
    <xdr:sp macro="" textlink="">
      <xdr:nvSpPr>
        <xdr:cNvPr id="1161" name="Line 70">
          <a:extLst>
            <a:ext uri="{FF2B5EF4-FFF2-40B4-BE49-F238E27FC236}">
              <a16:creationId xmlns:a16="http://schemas.microsoft.com/office/drawing/2014/main" id="{00000000-0008-0000-1500-000089040000}"/>
            </a:ext>
          </a:extLst>
        </xdr:cNvPr>
        <xdr:cNvSpPr>
          <a:spLocks noChangeShapeType="1"/>
        </xdr:cNvSpPr>
      </xdr:nvSpPr>
      <xdr:spPr bwMode="auto">
        <a:xfrm>
          <a:off x="18461435" y="205105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32</xdr:col>
      <xdr:colOff>28575</xdr:colOff>
      <xdr:row>44</xdr:row>
      <xdr:rowOff>219075</xdr:rowOff>
    </xdr:from>
    <xdr:to>
      <xdr:col>33</xdr:col>
      <xdr:colOff>209550</xdr:colOff>
      <xdr:row>44</xdr:row>
      <xdr:rowOff>219075</xdr:rowOff>
    </xdr:to>
    <xdr:sp macro="" textlink="">
      <xdr:nvSpPr>
        <xdr:cNvPr id="1162" name="Line 77">
          <a:extLst>
            <a:ext uri="{FF2B5EF4-FFF2-40B4-BE49-F238E27FC236}">
              <a16:creationId xmlns:a16="http://schemas.microsoft.com/office/drawing/2014/main" id="{00000000-0008-0000-1500-00008A040000}"/>
            </a:ext>
          </a:extLst>
        </xdr:cNvPr>
        <xdr:cNvSpPr>
          <a:spLocks noChangeShapeType="1"/>
        </xdr:cNvSpPr>
      </xdr:nvSpPr>
      <xdr:spPr bwMode="auto">
        <a:xfrm rot="5400000">
          <a:off x="18253393" y="1381760"/>
          <a:ext cx="0" cy="4013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28575</xdr:colOff>
      <xdr:row>44</xdr:row>
      <xdr:rowOff>219075</xdr:rowOff>
    </xdr:from>
    <xdr:to>
      <xdr:col>36</xdr:col>
      <xdr:colOff>209550</xdr:colOff>
      <xdr:row>44</xdr:row>
      <xdr:rowOff>219075</xdr:rowOff>
    </xdr:to>
    <xdr:sp macro="" textlink="">
      <xdr:nvSpPr>
        <xdr:cNvPr id="1163" name="Line 79">
          <a:extLst>
            <a:ext uri="{FF2B5EF4-FFF2-40B4-BE49-F238E27FC236}">
              <a16:creationId xmlns:a16="http://schemas.microsoft.com/office/drawing/2014/main" id="{00000000-0008-0000-1500-00008B040000}"/>
            </a:ext>
          </a:extLst>
        </xdr:cNvPr>
        <xdr:cNvSpPr>
          <a:spLocks noChangeShapeType="1"/>
        </xdr:cNvSpPr>
      </xdr:nvSpPr>
      <xdr:spPr bwMode="auto">
        <a:xfrm rot="5400000">
          <a:off x="18920143" y="1381760"/>
          <a:ext cx="0" cy="4013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33</xdr:col>
      <xdr:colOff>228600</xdr:colOff>
      <xdr:row>45</xdr:row>
      <xdr:rowOff>19050</xdr:rowOff>
    </xdr:from>
    <xdr:to>
      <xdr:col>33</xdr:col>
      <xdr:colOff>228600</xdr:colOff>
      <xdr:row>46</xdr:row>
      <xdr:rowOff>209550</xdr:rowOff>
    </xdr:to>
    <xdr:sp macro="" textlink="">
      <xdr:nvSpPr>
        <xdr:cNvPr id="1164" name="Line 82">
          <a:extLst>
            <a:ext uri="{FF2B5EF4-FFF2-40B4-BE49-F238E27FC236}">
              <a16:creationId xmlns:a16="http://schemas.microsoft.com/office/drawing/2014/main" id="{00000000-0008-0000-1500-00008C040000}"/>
            </a:ext>
          </a:extLst>
        </xdr:cNvPr>
        <xdr:cNvSpPr>
          <a:spLocks noChangeShapeType="1"/>
        </xdr:cNvSpPr>
      </xdr:nvSpPr>
      <xdr:spPr bwMode="auto">
        <a:xfrm>
          <a:off x="18467388" y="16027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34</xdr:col>
      <xdr:colOff>228600</xdr:colOff>
      <xdr:row>45</xdr:row>
      <xdr:rowOff>19050</xdr:rowOff>
    </xdr:from>
    <xdr:to>
      <xdr:col>34</xdr:col>
      <xdr:colOff>228600</xdr:colOff>
      <xdr:row>46</xdr:row>
      <xdr:rowOff>209550</xdr:rowOff>
    </xdr:to>
    <xdr:sp macro="" textlink="">
      <xdr:nvSpPr>
        <xdr:cNvPr id="1165" name="Line 85">
          <a:extLst>
            <a:ext uri="{FF2B5EF4-FFF2-40B4-BE49-F238E27FC236}">
              <a16:creationId xmlns:a16="http://schemas.microsoft.com/office/drawing/2014/main" id="{00000000-0008-0000-1500-00008D040000}"/>
            </a:ext>
          </a:extLst>
        </xdr:cNvPr>
        <xdr:cNvSpPr>
          <a:spLocks noChangeShapeType="1"/>
        </xdr:cNvSpPr>
      </xdr:nvSpPr>
      <xdr:spPr bwMode="auto">
        <a:xfrm>
          <a:off x="18689638" y="16027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32</xdr:col>
      <xdr:colOff>28575</xdr:colOff>
      <xdr:row>46</xdr:row>
      <xdr:rowOff>219075</xdr:rowOff>
    </xdr:from>
    <xdr:to>
      <xdr:col>33</xdr:col>
      <xdr:colOff>209550</xdr:colOff>
      <xdr:row>46</xdr:row>
      <xdr:rowOff>219075</xdr:rowOff>
    </xdr:to>
    <xdr:sp macro="" textlink="">
      <xdr:nvSpPr>
        <xdr:cNvPr id="1166" name="Line 64">
          <a:extLst>
            <a:ext uri="{FF2B5EF4-FFF2-40B4-BE49-F238E27FC236}">
              <a16:creationId xmlns:a16="http://schemas.microsoft.com/office/drawing/2014/main" id="{00000000-0008-0000-1500-00008E040000}"/>
            </a:ext>
          </a:extLst>
        </xdr:cNvPr>
        <xdr:cNvSpPr>
          <a:spLocks noChangeShapeType="1"/>
        </xdr:cNvSpPr>
      </xdr:nvSpPr>
      <xdr:spPr bwMode="auto">
        <a:xfrm rot="5400000">
          <a:off x="18253393" y="1826260"/>
          <a:ext cx="0" cy="4013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28575</xdr:colOff>
      <xdr:row>46</xdr:row>
      <xdr:rowOff>219075</xdr:rowOff>
    </xdr:from>
    <xdr:to>
      <xdr:col>36</xdr:col>
      <xdr:colOff>209550</xdr:colOff>
      <xdr:row>46</xdr:row>
      <xdr:rowOff>219075</xdr:rowOff>
    </xdr:to>
    <xdr:sp macro="" textlink="">
      <xdr:nvSpPr>
        <xdr:cNvPr id="1167" name="Line 94">
          <a:extLst>
            <a:ext uri="{FF2B5EF4-FFF2-40B4-BE49-F238E27FC236}">
              <a16:creationId xmlns:a16="http://schemas.microsoft.com/office/drawing/2014/main" id="{00000000-0008-0000-1500-00008F040000}"/>
            </a:ext>
          </a:extLst>
        </xdr:cNvPr>
        <xdr:cNvSpPr>
          <a:spLocks noChangeShapeType="1"/>
        </xdr:cNvSpPr>
      </xdr:nvSpPr>
      <xdr:spPr bwMode="auto">
        <a:xfrm rot="5400000">
          <a:off x="18920143" y="1826260"/>
          <a:ext cx="0" cy="4013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34</xdr:col>
      <xdr:colOff>228600</xdr:colOff>
      <xdr:row>47</xdr:row>
      <xdr:rowOff>19050</xdr:rowOff>
    </xdr:from>
    <xdr:to>
      <xdr:col>34</xdr:col>
      <xdr:colOff>228600</xdr:colOff>
      <xdr:row>48</xdr:row>
      <xdr:rowOff>209550</xdr:rowOff>
    </xdr:to>
    <xdr:sp macro="" textlink="">
      <xdr:nvSpPr>
        <xdr:cNvPr id="1168" name="Line 101">
          <a:extLst>
            <a:ext uri="{FF2B5EF4-FFF2-40B4-BE49-F238E27FC236}">
              <a16:creationId xmlns:a16="http://schemas.microsoft.com/office/drawing/2014/main" id="{00000000-0008-0000-1500-000090040000}"/>
            </a:ext>
          </a:extLst>
        </xdr:cNvPr>
        <xdr:cNvSpPr>
          <a:spLocks noChangeShapeType="1"/>
        </xdr:cNvSpPr>
      </xdr:nvSpPr>
      <xdr:spPr bwMode="auto">
        <a:xfrm>
          <a:off x="18689638" y="2047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39</xdr:col>
      <xdr:colOff>219808</xdr:colOff>
      <xdr:row>47</xdr:row>
      <xdr:rowOff>19050</xdr:rowOff>
    </xdr:from>
    <xdr:to>
      <xdr:col>39</xdr:col>
      <xdr:colOff>219808</xdr:colOff>
      <xdr:row>48</xdr:row>
      <xdr:rowOff>209550</xdr:rowOff>
    </xdr:to>
    <xdr:sp macro="" textlink="">
      <xdr:nvSpPr>
        <xdr:cNvPr id="1169" name="Line 108">
          <a:extLst>
            <a:ext uri="{FF2B5EF4-FFF2-40B4-BE49-F238E27FC236}">
              <a16:creationId xmlns:a16="http://schemas.microsoft.com/office/drawing/2014/main" id="{00000000-0008-0000-1500-000091040000}"/>
            </a:ext>
          </a:extLst>
        </xdr:cNvPr>
        <xdr:cNvSpPr>
          <a:spLocks noChangeShapeType="1"/>
        </xdr:cNvSpPr>
      </xdr:nvSpPr>
      <xdr:spPr bwMode="auto">
        <a:xfrm>
          <a:off x="19799716" y="2047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39</xdr:col>
      <xdr:colOff>219117</xdr:colOff>
      <xdr:row>45</xdr:row>
      <xdr:rowOff>907</xdr:rowOff>
    </xdr:from>
    <xdr:to>
      <xdr:col>39</xdr:col>
      <xdr:colOff>219117</xdr:colOff>
      <xdr:row>46</xdr:row>
      <xdr:rowOff>204932</xdr:rowOff>
    </xdr:to>
    <xdr:sp macro="" textlink="">
      <xdr:nvSpPr>
        <xdr:cNvPr id="1170" name="Line 118">
          <a:extLst>
            <a:ext uri="{FF2B5EF4-FFF2-40B4-BE49-F238E27FC236}">
              <a16:creationId xmlns:a16="http://schemas.microsoft.com/office/drawing/2014/main" id="{00000000-0008-0000-1500-000092040000}"/>
            </a:ext>
          </a:extLst>
        </xdr:cNvPr>
        <xdr:cNvSpPr>
          <a:spLocks noChangeShapeType="1"/>
        </xdr:cNvSpPr>
      </xdr:nvSpPr>
      <xdr:spPr bwMode="auto">
        <a:xfrm>
          <a:off x="19799025" y="1588407"/>
          <a:ext cx="0" cy="43008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5030</xdr:colOff>
      <xdr:row>45</xdr:row>
      <xdr:rowOff>19050</xdr:rowOff>
    </xdr:from>
    <xdr:to>
      <xdr:col>41</xdr:col>
      <xdr:colOff>5030</xdr:colOff>
      <xdr:row>47</xdr:row>
      <xdr:rowOff>1732</xdr:rowOff>
    </xdr:to>
    <xdr:sp macro="" textlink="">
      <xdr:nvSpPr>
        <xdr:cNvPr id="1171" name="Line 121">
          <a:extLst>
            <a:ext uri="{FF2B5EF4-FFF2-40B4-BE49-F238E27FC236}">
              <a16:creationId xmlns:a16="http://schemas.microsoft.com/office/drawing/2014/main" id="{00000000-0008-0000-1500-000093040000}"/>
            </a:ext>
          </a:extLst>
        </xdr:cNvPr>
        <xdr:cNvSpPr>
          <a:spLocks noChangeShapeType="1"/>
        </xdr:cNvSpPr>
      </xdr:nvSpPr>
      <xdr:spPr bwMode="auto">
        <a:xfrm>
          <a:off x="20033248" y="1602740"/>
          <a:ext cx="0" cy="43099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28575</xdr:colOff>
      <xdr:row>46</xdr:row>
      <xdr:rowOff>219075</xdr:rowOff>
    </xdr:from>
    <xdr:to>
      <xdr:col>39</xdr:col>
      <xdr:colOff>209550</xdr:colOff>
      <xdr:row>46</xdr:row>
      <xdr:rowOff>219075</xdr:rowOff>
    </xdr:to>
    <xdr:sp macro="" textlink="">
      <xdr:nvSpPr>
        <xdr:cNvPr id="1172" name="Line 124">
          <a:extLst>
            <a:ext uri="{FF2B5EF4-FFF2-40B4-BE49-F238E27FC236}">
              <a16:creationId xmlns:a16="http://schemas.microsoft.com/office/drawing/2014/main" id="{00000000-0008-0000-1500-000094040000}"/>
            </a:ext>
          </a:extLst>
        </xdr:cNvPr>
        <xdr:cNvSpPr>
          <a:spLocks noChangeShapeType="1"/>
        </xdr:cNvSpPr>
      </xdr:nvSpPr>
      <xdr:spPr bwMode="auto">
        <a:xfrm rot="5400000">
          <a:off x="19586893" y="1826260"/>
          <a:ext cx="0" cy="4013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11904</xdr:colOff>
      <xdr:row>46</xdr:row>
      <xdr:rowOff>219473</xdr:rowOff>
    </xdr:from>
    <xdr:to>
      <xdr:col>43</xdr:col>
      <xdr:colOff>21771</xdr:colOff>
      <xdr:row>46</xdr:row>
      <xdr:rowOff>221342</xdr:rowOff>
    </xdr:to>
    <xdr:sp macro="" textlink="">
      <xdr:nvSpPr>
        <xdr:cNvPr id="1173" name="Line 127">
          <a:extLst>
            <a:ext uri="{FF2B5EF4-FFF2-40B4-BE49-F238E27FC236}">
              <a16:creationId xmlns:a16="http://schemas.microsoft.com/office/drawing/2014/main" id="{00000000-0008-0000-1500-000095040000}"/>
            </a:ext>
          </a:extLst>
        </xdr:cNvPr>
        <xdr:cNvSpPr>
          <a:spLocks noChangeShapeType="1"/>
        </xdr:cNvSpPr>
      </xdr:nvSpPr>
      <xdr:spPr bwMode="auto">
        <a:xfrm rot="5400000" flipH="1">
          <a:off x="20264466" y="1804879"/>
          <a:ext cx="1869" cy="446747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0</xdr:colOff>
      <xdr:row>45</xdr:row>
      <xdr:rowOff>0</xdr:rowOff>
    </xdr:from>
    <xdr:to>
      <xdr:col>38</xdr:col>
      <xdr:colOff>0</xdr:colOff>
      <xdr:row>45</xdr:row>
      <xdr:rowOff>19050</xdr:rowOff>
    </xdr:to>
    <xdr:grpSp>
      <xdr:nvGrpSpPr>
        <xdr:cNvPr id="1174" name="Group 234">
          <a:extLst>
            <a:ext uri="{FF2B5EF4-FFF2-40B4-BE49-F238E27FC236}">
              <a16:creationId xmlns:a16="http://schemas.microsoft.com/office/drawing/2014/main" id="{00000000-0008-0000-1500-000096040000}"/>
            </a:ext>
          </a:extLst>
        </xdr:cNvPr>
        <xdr:cNvGrpSpPr>
          <a:grpSpLocks/>
        </xdr:cNvGrpSpPr>
      </xdr:nvGrpSpPr>
      <xdr:grpSpPr bwMode="auto">
        <a:xfrm>
          <a:off x="9040813" y="8874125"/>
          <a:ext cx="0" cy="19050"/>
          <a:chOff x="403" y="448"/>
          <a:chExt cx="44" cy="4"/>
        </a:xfrm>
      </xdr:grpSpPr>
      <xdr:sp macro="" textlink="">
        <xdr:nvSpPr>
          <xdr:cNvPr id="1175" name="Line 130">
            <a:extLst>
              <a:ext uri="{FF2B5EF4-FFF2-40B4-BE49-F238E27FC236}">
                <a16:creationId xmlns:a16="http://schemas.microsoft.com/office/drawing/2014/main" id="{00000000-0008-0000-1500-0000970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26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176" name="Line 131">
            <a:extLst>
              <a:ext uri="{FF2B5EF4-FFF2-40B4-BE49-F238E27FC236}">
                <a16:creationId xmlns:a16="http://schemas.microsoft.com/office/drawing/2014/main" id="{00000000-0008-0000-1500-0000980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30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41</xdr:col>
      <xdr:colOff>5861</xdr:colOff>
      <xdr:row>47</xdr:row>
      <xdr:rowOff>19050</xdr:rowOff>
    </xdr:from>
    <xdr:to>
      <xdr:col>41</xdr:col>
      <xdr:colOff>5861</xdr:colOff>
      <xdr:row>48</xdr:row>
      <xdr:rowOff>209550</xdr:rowOff>
    </xdr:to>
    <xdr:sp macro="" textlink="">
      <xdr:nvSpPr>
        <xdr:cNvPr id="1177" name="Line 137">
          <a:extLst>
            <a:ext uri="{FF2B5EF4-FFF2-40B4-BE49-F238E27FC236}">
              <a16:creationId xmlns:a16="http://schemas.microsoft.com/office/drawing/2014/main" id="{00000000-0008-0000-1500-000099040000}"/>
            </a:ext>
          </a:extLst>
        </xdr:cNvPr>
        <xdr:cNvSpPr>
          <a:spLocks noChangeShapeType="1"/>
        </xdr:cNvSpPr>
      </xdr:nvSpPr>
      <xdr:spPr bwMode="auto">
        <a:xfrm>
          <a:off x="20034079" y="2047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10432</xdr:colOff>
      <xdr:row>44</xdr:row>
      <xdr:rowOff>202899</xdr:rowOff>
    </xdr:from>
    <xdr:to>
      <xdr:col>39</xdr:col>
      <xdr:colOff>191407</xdr:colOff>
      <xdr:row>44</xdr:row>
      <xdr:rowOff>202899</xdr:rowOff>
    </xdr:to>
    <xdr:sp macro="" textlink="">
      <xdr:nvSpPr>
        <xdr:cNvPr id="1178" name="Line 140">
          <a:extLst>
            <a:ext uri="{FF2B5EF4-FFF2-40B4-BE49-F238E27FC236}">
              <a16:creationId xmlns:a16="http://schemas.microsoft.com/office/drawing/2014/main" id="{00000000-0008-0000-1500-00009A040000}"/>
            </a:ext>
          </a:extLst>
        </xdr:cNvPr>
        <xdr:cNvSpPr>
          <a:spLocks noChangeShapeType="1"/>
        </xdr:cNvSpPr>
      </xdr:nvSpPr>
      <xdr:spPr bwMode="auto">
        <a:xfrm rot="5400000">
          <a:off x="19572560" y="1371299"/>
          <a:ext cx="0" cy="4013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0</xdr:colOff>
      <xdr:row>43</xdr:row>
      <xdr:rowOff>0</xdr:rowOff>
    </xdr:from>
    <xdr:to>
      <xdr:col>38</xdr:col>
      <xdr:colOff>0</xdr:colOff>
      <xdr:row>43</xdr:row>
      <xdr:rowOff>19050</xdr:rowOff>
    </xdr:to>
    <xdr:grpSp>
      <xdr:nvGrpSpPr>
        <xdr:cNvPr id="1179" name="Group 656">
          <a:extLst>
            <a:ext uri="{FF2B5EF4-FFF2-40B4-BE49-F238E27FC236}">
              <a16:creationId xmlns:a16="http://schemas.microsoft.com/office/drawing/2014/main" id="{00000000-0008-0000-1500-00009B040000}"/>
            </a:ext>
          </a:extLst>
        </xdr:cNvPr>
        <xdr:cNvGrpSpPr>
          <a:grpSpLocks/>
        </xdr:cNvGrpSpPr>
      </xdr:nvGrpSpPr>
      <xdr:grpSpPr bwMode="auto">
        <a:xfrm>
          <a:off x="9040813" y="8493125"/>
          <a:ext cx="0" cy="19050"/>
          <a:chOff x="353" y="423"/>
          <a:chExt cx="44" cy="4"/>
        </a:xfrm>
      </xdr:grpSpPr>
      <xdr:sp macro="" textlink="">
        <xdr:nvSpPr>
          <xdr:cNvPr id="1180" name="Line 143">
            <a:extLst>
              <a:ext uri="{FF2B5EF4-FFF2-40B4-BE49-F238E27FC236}">
                <a16:creationId xmlns:a16="http://schemas.microsoft.com/office/drawing/2014/main" id="{00000000-0008-0000-1500-00009C0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181" name="Line 144">
            <a:extLst>
              <a:ext uri="{FF2B5EF4-FFF2-40B4-BE49-F238E27FC236}">
                <a16:creationId xmlns:a16="http://schemas.microsoft.com/office/drawing/2014/main" id="{00000000-0008-0000-1500-00009D0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43</xdr:row>
      <xdr:rowOff>0</xdr:rowOff>
    </xdr:from>
    <xdr:to>
      <xdr:col>38</xdr:col>
      <xdr:colOff>0</xdr:colOff>
      <xdr:row>43</xdr:row>
      <xdr:rowOff>19050</xdr:rowOff>
    </xdr:to>
    <xdr:grpSp>
      <xdr:nvGrpSpPr>
        <xdr:cNvPr id="1182" name="Group 655">
          <a:extLst>
            <a:ext uri="{FF2B5EF4-FFF2-40B4-BE49-F238E27FC236}">
              <a16:creationId xmlns:a16="http://schemas.microsoft.com/office/drawing/2014/main" id="{00000000-0008-0000-1500-00009E040000}"/>
            </a:ext>
          </a:extLst>
        </xdr:cNvPr>
        <xdr:cNvGrpSpPr>
          <a:grpSpLocks/>
        </xdr:cNvGrpSpPr>
      </xdr:nvGrpSpPr>
      <xdr:grpSpPr bwMode="auto">
        <a:xfrm>
          <a:off x="9040813" y="8493125"/>
          <a:ext cx="0" cy="19050"/>
          <a:chOff x="403" y="423"/>
          <a:chExt cx="44" cy="4"/>
        </a:xfrm>
      </xdr:grpSpPr>
      <xdr:sp macro="" textlink="">
        <xdr:nvSpPr>
          <xdr:cNvPr id="1183" name="Line 146">
            <a:extLst>
              <a:ext uri="{FF2B5EF4-FFF2-40B4-BE49-F238E27FC236}">
                <a16:creationId xmlns:a16="http://schemas.microsoft.com/office/drawing/2014/main" id="{00000000-0008-0000-1500-00009F0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184" name="Line 147">
            <a:extLst>
              <a:ext uri="{FF2B5EF4-FFF2-40B4-BE49-F238E27FC236}">
                <a16:creationId xmlns:a16="http://schemas.microsoft.com/office/drawing/2014/main" id="{00000000-0008-0000-1500-0000A004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39</xdr:col>
      <xdr:colOff>249884</xdr:colOff>
      <xdr:row>47</xdr:row>
      <xdr:rowOff>14096</xdr:rowOff>
    </xdr:from>
    <xdr:to>
      <xdr:col>39</xdr:col>
      <xdr:colOff>249884</xdr:colOff>
      <xdr:row>48</xdr:row>
      <xdr:rowOff>214854</xdr:rowOff>
    </xdr:to>
    <xdr:sp macro="" textlink="">
      <xdr:nvSpPr>
        <xdr:cNvPr id="1185" name="Line 154">
          <a:extLst>
            <a:ext uri="{FF2B5EF4-FFF2-40B4-BE49-F238E27FC236}">
              <a16:creationId xmlns:a16="http://schemas.microsoft.com/office/drawing/2014/main" id="{00000000-0008-0000-1500-0000A1040000}"/>
            </a:ext>
          </a:extLst>
        </xdr:cNvPr>
        <xdr:cNvSpPr>
          <a:spLocks noChangeShapeType="1"/>
        </xdr:cNvSpPr>
      </xdr:nvSpPr>
      <xdr:spPr bwMode="auto">
        <a:xfrm>
          <a:off x="19799312" y="2049906"/>
          <a:ext cx="0" cy="415388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41</xdr:col>
      <xdr:colOff>49898</xdr:colOff>
      <xdr:row>46</xdr:row>
      <xdr:rowOff>206473</xdr:rowOff>
    </xdr:from>
    <xdr:to>
      <xdr:col>41</xdr:col>
      <xdr:colOff>49898</xdr:colOff>
      <xdr:row>48</xdr:row>
      <xdr:rowOff>191233</xdr:rowOff>
    </xdr:to>
    <xdr:sp macro="" textlink="">
      <xdr:nvSpPr>
        <xdr:cNvPr id="1186" name="Line 154">
          <a:extLst>
            <a:ext uri="{FF2B5EF4-FFF2-40B4-BE49-F238E27FC236}">
              <a16:creationId xmlns:a16="http://schemas.microsoft.com/office/drawing/2014/main" id="{00000000-0008-0000-1500-0000A2040000}"/>
            </a:ext>
          </a:extLst>
        </xdr:cNvPr>
        <xdr:cNvSpPr>
          <a:spLocks noChangeShapeType="1"/>
        </xdr:cNvSpPr>
      </xdr:nvSpPr>
      <xdr:spPr bwMode="auto">
        <a:xfrm>
          <a:off x="9828898" y="10271223"/>
          <a:ext cx="0" cy="42926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32</xdr:col>
      <xdr:colOff>22513</xdr:colOff>
      <xdr:row>47</xdr:row>
      <xdr:rowOff>31173</xdr:rowOff>
    </xdr:from>
    <xdr:to>
      <xdr:col>32</xdr:col>
      <xdr:colOff>22513</xdr:colOff>
      <xdr:row>49</xdr:row>
      <xdr:rowOff>13854</xdr:rowOff>
    </xdr:to>
    <xdr:sp macro="" textlink="">
      <xdr:nvSpPr>
        <xdr:cNvPr id="1187" name="Line 510">
          <a:extLst>
            <a:ext uri="{FF2B5EF4-FFF2-40B4-BE49-F238E27FC236}">
              <a16:creationId xmlns:a16="http://schemas.microsoft.com/office/drawing/2014/main" id="{00000000-0008-0000-1500-0000A3040000}"/>
            </a:ext>
          </a:extLst>
        </xdr:cNvPr>
        <xdr:cNvSpPr>
          <a:spLocks noChangeShapeType="1"/>
        </xdr:cNvSpPr>
      </xdr:nvSpPr>
      <xdr:spPr bwMode="auto">
        <a:xfrm>
          <a:off x="18044766" y="2061268"/>
          <a:ext cx="0" cy="4328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34</xdr:col>
      <xdr:colOff>10387</xdr:colOff>
      <xdr:row>47</xdr:row>
      <xdr:rowOff>27711</xdr:rowOff>
    </xdr:from>
    <xdr:to>
      <xdr:col>34</xdr:col>
      <xdr:colOff>10387</xdr:colOff>
      <xdr:row>49</xdr:row>
      <xdr:rowOff>10392</xdr:rowOff>
    </xdr:to>
    <xdr:sp macro="" textlink="">
      <xdr:nvSpPr>
        <xdr:cNvPr id="1188" name="Line 510">
          <a:extLst>
            <a:ext uri="{FF2B5EF4-FFF2-40B4-BE49-F238E27FC236}">
              <a16:creationId xmlns:a16="http://schemas.microsoft.com/office/drawing/2014/main" id="{00000000-0008-0000-1500-0000A4040000}"/>
            </a:ext>
          </a:extLst>
        </xdr:cNvPr>
        <xdr:cNvSpPr>
          <a:spLocks noChangeShapeType="1"/>
        </xdr:cNvSpPr>
      </xdr:nvSpPr>
      <xdr:spPr bwMode="auto">
        <a:xfrm>
          <a:off x="18482855" y="2057806"/>
          <a:ext cx="0" cy="43099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15581</xdr:colOff>
      <xdr:row>47</xdr:row>
      <xdr:rowOff>16629</xdr:rowOff>
    </xdr:from>
    <xdr:to>
      <xdr:col>35</xdr:col>
      <xdr:colOff>15581</xdr:colOff>
      <xdr:row>49</xdr:row>
      <xdr:rowOff>10740</xdr:rowOff>
    </xdr:to>
    <xdr:sp macro="" textlink="">
      <xdr:nvSpPr>
        <xdr:cNvPr id="1189" name="Line 510">
          <a:extLst>
            <a:ext uri="{FF2B5EF4-FFF2-40B4-BE49-F238E27FC236}">
              <a16:creationId xmlns:a16="http://schemas.microsoft.com/office/drawing/2014/main" id="{00000000-0008-0000-1500-0000A5040000}"/>
            </a:ext>
          </a:extLst>
        </xdr:cNvPr>
        <xdr:cNvSpPr>
          <a:spLocks noChangeShapeType="1"/>
        </xdr:cNvSpPr>
      </xdr:nvSpPr>
      <xdr:spPr bwMode="auto">
        <a:xfrm>
          <a:off x="18712204" y="2052439"/>
          <a:ext cx="0" cy="43670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36</xdr:col>
      <xdr:colOff>222728</xdr:colOff>
      <xdr:row>47</xdr:row>
      <xdr:rowOff>29446</xdr:rowOff>
    </xdr:from>
    <xdr:to>
      <xdr:col>36</xdr:col>
      <xdr:colOff>222728</xdr:colOff>
      <xdr:row>49</xdr:row>
      <xdr:rowOff>12127</xdr:rowOff>
    </xdr:to>
    <xdr:sp macro="" textlink="">
      <xdr:nvSpPr>
        <xdr:cNvPr id="1190" name="Line 510">
          <a:extLst>
            <a:ext uri="{FF2B5EF4-FFF2-40B4-BE49-F238E27FC236}">
              <a16:creationId xmlns:a16="http://schemas.microsoft.com/office/drawing/2014/main" id="{00000000-0008-0000-1500-0000A6040000}"/>
            </a:ext>
          </a:extLst>
        </xdr:cNvPr>
        <xdr:cNvSpPr>
          <a:spLocks noChangeShapeType="1"/>
        </xdr:cNvSpPr>
      </xdr:nvSpPr>
      <xdr:spPr bwMode="auto">
        <a:xfrm>
          <a:off x="19135886" y="2059541"/>
          <a:ext cx="0" cy="4328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  <xdr:txBody>
        <a:bodyPr/>
        <a:lstStyle/>
        <a:p>
          <a:endParaRPr lang="ko-KR" altLang="en-US"/>
        </a:p>
      </xdr:txBody>
    </xdr:sp>
    <xdr:clientData/>
  </xdr:twoCellAnchor>
  <xdr:twoCellAnchor>
    <xdr:from>
      <xdr:col>32</xdr:col>
      <xdr:colOff>15587</xdr:colOff>
      <xdr:row>47</xdr:row>
      <xdr:rowOff>22515</xdr:rowOff>
    </xdr:from>
    <xdr:to>
      <xdr:col>33</xdr:col>
      <xdr:colOff>196561</xdr:colOff>
      <xdr:row>47</xdr:row>
      <xdr:rowOff>22515</xdr:rowOff>
    </xdr:to>
    <xdr:sp macro="" textlink="">
      <xdr:nvSpPr>
        <xdr:cNvPr id="1191" name="Line 500">
          <a:extLst>
            <a:ext uri="{FF2B5EF4-FFF2-40B4-BE49-F238E27FC236}">
              <a16:creationId xmlns:a16="http://schemas.microsoft.com/office/drawing/2014/main" id="{00000000-0008-0000-1500-0000A7040000}"/>
            </a:ext>
          </a:extLst>
        </xdr:cNvPr>
        <xdr:cNvSpPr>
          <a:spLocks noChangeShapeType="1"/>
        </xdr:cNvSpPr>
      </xdr:nvSpPr>
      <xdr:spPr bwMode="auto">
        <a:xfrm rot="5400000">
          <a:off x="18246120" y="1850045"/>
          <a:ext cx="0" cy="401319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59747</xdr:colOff>
      <xdr:row>47</xdr:row>
      <xdr:rowOff>31173</xdr:rowOff>
    </xdr:from>
    <xdr:to>
      <xdr:col>36</xdr:col>
      <xdr:colOff>240723</xdr:colOff>
      <xdr:row>47</xdr:row>
      <xdr:rowOff>31173</xdr:rowOff>
    </xdr:to>
    <xdr:sp macro="" textlink="">
      <xdr:nvSpPr>
        <xdr:cNvPr id="1192" name="Line 501">
          <a:extLst>
            <a:ext uri="{FF2B5EF4-FFF2-40B4-BE49-F238E27FC236}">
              <a16:creationId xmlns:a16="http://schemas.microsoft.com/office/drawing/2014/main" id="{00000000-0008-0000-1500-0000A8040000}"/>
            </a:ext>
          </a:extLst>
        </xdr:cNvPr>
        <xdr:cNvSpPr>
          <a:spLocks noChangeShapeType="1"/>
        </xdr:cNvSpPr>
      </xdr:nvSpPr>
      <xdr:spPr bwMode="auto">
        <a:xfrm rot="5400000">
          <a:off x="18939886" y="1870132"/>
          <a:ext cx="0" cy="38227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33</xdr:col>
      <xdr:colOff>218428</xdr:colOff>
      <xdr:row>47</xdr:row>
      <xdr:rowOff>22952</xdr:rowOff>
    </xdr:from>
    <xdr:to>
      <xdr:col>35</xdr:col>
      <xdr:colOff>18403</xdr:colOff>
      <xdr:row>47</xdr:row>
      <xdr:rowOff>22952</xdr:rowOff>
    </xdr:to>
    <xdr:sp macro="" textlink="">
      <xdr:nvSpPr>
        <xdr:cNvPr id="1193" name="Line 749">
          <a:extLst>
            <a:ext uri="{FF2B5EF4-FFF2-40B4-BE49-F238E27FC236}">
              <a16:creationId xmlns:a16="http://schemas.microsoft.com/office/drawing/2014/main" id="{00000000-0008-0000-1500-0000A9040000}"/>
            </a:ext>
          </a:extLst>
        </xdr:cNvPr>
        <xdr:cNvSpPr>
          <a:spLocks noChangeShapeType="1"/>
        </xdr:cNvSpPr>
      </xdr:nvSpPr>
      <xdr:spPr bwMode="auto">
        <a:xfrm rot="5400000">
          <a:off x="18589931" y="1926047"/>
          <a:ext cx="0" cy="25019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33</xdr:col>
      <xdr:colOff>221720</xdr:colOff>
      <xdr:row>48</xdr:row>
      <xdr:rowOff>198620</xdr:rowOff>
    </xdr:from>
    <xdr:to>
      <xdr:col>35</xdr:col>
      <xdr:colOff>19790</xdr:colOff>
      <xdr:row>48</xdr:row>
      <xdr:rowOff>198620</xdr:rowOff>
    </xdr:to>
    <xdr:sp macro="" textlink="">
      <xdr:nvSpPr>
        <xdr:cNvPr id="1194" name="Line 749">
          <a:extLst>
            <a:ext uri="{FF2B5EF4-FFF2-40B4-BE49-F238E27FC236}">
              <a16:creationId xmlns:a16="http://schemas.microsoft.com/office/drawing/2014/main" id="{00000000-0008-0000-1500-0000AA040000}"/>
            </a:ext>
          </a:extLst>
        </xdr:cNvPr>
        <xdr:cNvSpPr>
          <a:spLocks noChangeShapeType="1"/>
        </xdr:cNvSpPr>
      </xdr:nvSpPr>
      <xdr:spPr bwMode="auto">
        <a:xfrm rot="5400000">
          <a:off x="18588461" y="2334442"/>
          <a:ext cx="0" cy="24066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32</xdr:col>
      <xdr:colOff>20955</xdr:colOff>
      <xdr:row>48</xdr:row>
      <xdr:rowOff>202427</xdr:rowOff>
    </xdr:from>
    <xdr:to>
      <xdr:col>33</xdr:col>
      <xdr:colOff>205740</xdr:colOff>
      <xdr:row>48</xdr:row>
      <xdr:rowOff>202427</xdr:rowOff>
    </xdr:to>
    <xdr:sp macro="" textlink="">
      <xdr:nvSpPr>
        <xdr:cNvPr id="1195" name="Line 507">
          <a:extLst>
            <a:ext uri="{FF2B5EF4-FFF2-40B4-BE49-F238E27FC236}">
              <a16:creationId xmlns:a16="http://schemas.microsoft.com/office/drawing/2014/main" id="{00000000-0008-0000-1500-0000AB040000}"/>
            </a:ext>
          </a:extLst>
        </xdr:cNvPr>
        <xdr:cNvSpPr>
          <a:spLocks noChangeShapeType="1"/>
        </xdr:cNvSpPr>
      </xdr:nvSpPr>
      <xdr:spPr bwMode="auto">
        <a:xfrm rot="5400000">
          <a:off x="18250536" y="2253159"/>
          <a:ext cx="0" cy="41465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59228</xdr:colOff>
      <xdr:row>48</xdr:row>
      <xdr:rowOff>202427</xdr:rowOff>
    </xdr:from>
    <xdr:to>
      <xdr:col>37</xdr:col>
      <xdr:colOff>174</xdr:colOff>
      <xdr:row>48</xdr:row>
      <xdr:rowOff>202427</xdr:rowOff>
    </xdr:to>
    <xdr:sp macro="" textlink="">
      <xdr:nvSpPr>
        <xdr:cNvPr id="1196" name="Line 508">
          <a:extLst>
            <a:ext uri="{FF2B5EF4-FFF2-40B4-BE49-F238E27FC236}">
              <a16:creationId xmlns:a16="http://schemas.microsoft.com/office/drawing/2014/main" id="{00000000-0008-0000-1500-0000AC040000}"/>
            </a:ext>
          </a:extLst>
        </xdr:cNvPr>
        <xdr:cNvSpPr>
          <a:spLocks noChangeShapeType="1"/>
        </xdr:cNvSpPr>
      </xdr:nvSpPr>
      <xdr:spPr bwMode="auto">
        <a:xfrm rot="5400000">
          <a:off x="18942859" y="2265859"/>
          <a:ext cx="0" cy="38925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38</xdr:col>
      <xdr:colOff>16270</xdr:colOff>
      <xdr:row>45</xdr:row>
      <xdr:rowOff>4088</xdr:rowOff>
    </xdr:from>
    <xdr:to>
      <xdr:col>38</xdr:col>
      <xdr:colOff>16270</xdr:colOff>
      <xdr:row>46</xdr:row>
      <xdr:rowOff>212750</xdr:rowOff>
    </xdr:to>
    <xdr:sp macro="" textlink="">
      <xdr:nvSpPr>
        <xdr:cNvPr id="1197" name="Line 510">
          <a:extLst>
            <a:ext uri="{FF2B5EF4-FFF2-40B4-BE49-F238E27FC236}">
              <a16:creationId xmlns:a16="http://schemas.microsoft.com/office/drawing/2014/main" id="{00000000-0008-0000-1500-0000AD040000}"/>
            </a:ext>
          </a:extLst>
        </xdr:cNvPr>
        <xdr:cNvSpPr>
          <a:spLocks noChangeShapeType="1"/>
        </xdr:cNvSpPr>
      </xdr:nvSpPr>
      <xdr:spPr bwMode="auto">
        <a:xfrm>
          <a:off x="19379643" y="1593493"/>
          <a:ext cx="0" cy="4251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38</xdr:col>
      <xdr:colOff>5235</xdr:colOff>
      <xdr:row>47</xdr:row>
      <xdr:rowOff>17166</xdr:rowOff>
    </xdr:from>
    <xdr:to>
      <xdr:col>38</xdr:col>
      <xdr:colOff>5235</xdr:colOff>
      <xdr:row>48</xdr:row>
      <xdr:rowOff>216304</xdr:rowOff>
    </xdr:to>
    <xdr:sp macro="" textlink="">
      <xdr:nvSpPr>
        <xdr:cNvPr id="1198" name="Line 510">
          <a:extLst>
            <a:ext uri="{FF2B5EF4-FFF2-40B4-BE49-F238E27FC236}">
              <a16:creationId xmlns:a16="http://schemas.microsoft.com/office/drawing/2014/main" id="{00000000-0008-0000-1500-0000AE040000}"/>
            </a:ext>
          </a:extLst>
        </xdr:cNvPr>
        <xdr:cNvSpPr>
          <a:spLocks noChangeShapeType="1"/>
        </xdr:cNvSpPr>
      </xdr:nvSpPr>
      <xdr:spPr bwMode="auto">
        <a:xfrm>
          <a:off x="19366703" y="2052976"/>
          <a:ext cx="0" cy="41376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42</xdr:col>
      <xdr:colOff>216286</xdr:colOff>
      <xdr:row>44</xdr:row>
      <xdr:rowOff>216959</xdr:rowOff>
    </xdr:from>
    <xdr:to>
      <xdr:col>42</xdr:col>
      <xdr:colOff>216286</xdr:colOff>
      <xdr:row>46</xdr:row>
      <xdr:rowOff>199640</xdr:rowOff>
    </xdr:to>
    <xdr:sp macro="" textlink="">
      <xdr:nvSpPr>
        <xdr:cNvPr id="1199" name="Line 510">
          <a:extLst>
            <a:ext uri="{FF2B5EF4-FFF2-40B4-BE49-F238E27FC236}">
              <a16:creationId xmlns:a16="http://schemas.microsoft.com/office/drawing/2014/main" id="{00000000-0008-0000-1500-0000AF040000}"/>
            </a:ext>
          </a:extLst>
        </xdr:cNvPr>
        <xdr:cNvSpPr>
          <a:spLocks noChangeShapeType="1"/>
        </xdr:cNvSpPr>
      </xdr:nvSpPr>
      <xdr:spPr bwMode="auto">
        <a:xfrm>
          <a:off x="20461039" y="1578399"/>
          <a:ext cx="0" cy="4328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42</xdr:col>
      <xdr:colOff>223405</xdr:colOff>
      <xdr:row>47</xdr:row>
      <xdr:rowOff>24245</xdr:rowOff>
    </xdr:from>
    <xdr:to>
      <xdr:col>42</xdr:col>
      <xdr:colOff>223405</xdr:colOff>
      <xdr:row>49</xdr:row>
      <xdr:rowOff>6927</xdr:rowOff>
    </xdr:to>
    <xdr:sp macro="" textlink="">
      <xdr:nvSpPr>
        <xdr:cNvPr id="1200" name="Line 510">
          <a:extLst>
            <a:ext uri="{FF2B5EF4-FFF2-40B4-BE49-F238E27FC236}">
              <a16:creationId xmlns:a16="http://schemas.microsoft.com/office/drawing/2014/main" id="{00000000-0008-0000-1500-0000B0040000}"/>
            </a:ext>
          </a:extLst>
        </xdr:cNvPr>
        <xdr:cNvSpPr>
          <a:spLocks noChangeShapeType="1"/>
        </xdr:cNvSpPr>
      </xdr:nvSpPr>
      <xdr:spPr bwMode="auto">
        <a:xfrm>
          <a:off x="20470063" y="2052435"/>
          <a:ext cx="0" cy="4328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39</xdr:col>
      <xdr:colOff>168451</xdr:colOff>
      <xdr:row>45</xdr:row>
      <xdr:rowOff>3728</xdr:rowOff>
    </xdr:from>
    <xdr:to>
      <xdr:col>39</xdr:col>
      <xdr:colOff>168451</xdr:colOff>
      <xdr:row>46</xdr:row>
      <xdr:rowOff>187516</xdr:rowOff>
    </xdr:to>
    <xdr:sp macro="" textlink="">
      <xdr:nvSpPr>
        <xdr:cNvPr id="1201" name="Line 510">
          <a:extLst>
            <a:ext uri="{FF2B5EF4-FFF2-40B4-BE49-F238E27FC236}">
              <a16:creationId xmlns:a16="http://schemas.microsoft.com/office/drawing/2014/main" id="{00000000-0008-0000-1500-0000B1040000}"/>
            </a:ext>
          </a:extLst>
        </xdr:cNvPr>
        <xdr:cNvSpPr>
          <a:spLocks noChangeShapeType="1"/>
        </xdr:cNvSpPr>
      </xdr:nvSpPr>
      <xdr:spPr bwMode="auto">
        <a:xfrm>
          <a:off x="9455326" y="9846228"/>
          <a:ext cx="0" cy="40603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58942</xdr:colOff>
      <xdr:row>45</xdr:row>
      <xdr:rowOff>19396</xdr:rowOff>
    </xdr:from>
    <xdr:to>
      <xdr:col>41</xdr:col>
      <xdr:colOff>58942</xdr:colOff>
      <xdr:row>46</xdr:row>
      <xdr:rowOff>209896</xdr:rowOff>
    </xdr:to>
    <xdr:sp macro="" textlink="">
      <xdr:nvSpPr>
        <xdr:cNvPr id="1202" name="Line 510">
          <a:extLst>
            <a:ext uri="{FF2B5EF4-FFF2-40B4-BE49-F238E27FC236}">
              <a16:creationId xmlns:a16="http://schemas.microsoft.com/office/drawing/2014/main" id="{00000000-0008-0000-1500-0000B2040000}"/>
            </a:ext>
          </a:extLst>
        </xdr:cNvPr>
        <xdr:cNvSpPr>
          <a:spLocks noChangeShapeType="1"/>
        </xdr:cNvSpPr>
      </xdr:nvSpPr>
      <xdr:spPr bwMode="auto">
        <a:xfrm>
          <a:off x="9837942" y="9861896"/>
          <a:ext cx="0" cy="412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38</xdr:col>
      <xdr:colOff>20241</xdr:colOff>
      <xdr:row>47</xdr:row>
      <xdr:rowOff>28274</xdr:rowOff>
    </xdr:from>
    <xdr:to>
      <xdr:col>39</xdr:col>
      <xdr:colOff>195500</xdr:colOff>
      <xdr:row>47</xdr:row>
      <xdr:rowOff>28274</xdr:rowOff>
    </xdr:to>
    <xdr:sp macro="" textlink="">
      <xdr:nvSpPr>
        <xdr:cNvPr id="1203" name="Line 500">
          <a:extLst>
            <a:ext uri="{FF2B5EF4-FFF2-40B4-BE49-F238E27FC236}">
              <a16:creationId xmlns:a16="http://schemas.microsoft.com/office/drawing/2014/main" id="{00000000-0008-0000-1500-0000B3040000}"/>
            </a:ext>
          </a:extLst>
        </xdr:cNvPr>
        <xdr:cNvSpPr>
          <a:spLocks noChangeShapeType="1"/>
        </xdr:cNvSpPr>
      </xdr:nvSpPr>
      <xdr:spPr bwMode="auto">
        <a:xfrm rot="5400000">
          <a:off x="19577606" y="1856757"/>
          <a:ext cx="0" cy="4032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25977</xdr:colOff>
      <xdr:row>47</xdr:row>
      <xdr:rowOff>32909</xdr:rowOff>
    </xdr:from>
    <xdr:to>
      <xdr:col>42</xdr:col>
      <xdr:colOff>206952</xdr:colOff>
      <xdr:row>47</xdr:row>
      <xdr:rowOff>32909</xdr:rowOff>
    </xdr:to>
    <xdr:sp macro="" textlink="">
      <xdr:nvSpPr>
        <xdr:cNvPr id="1204" name="Line 500">
          <a:extLst>
            <a:ext uri="{FF2B5EF4-FFF2-40B4-BE49-F238E27FC236}">
              <a16:creationId xmlns:a16="http://schemas.microsoft.com/office/drawing/2014/main" id="{00000000-0008-0000-1500-0000B4040000}"/>
            </a:ext>
          </a:extLst>
        </xdr:cNvPr>
        <xdr:cNvSpPr>
          <a:spLocks noChangeShapeType="1"/>
        </xdr:cNvSpPr>
      </xdr:nvSpPr>
      <xdr:spPr bwMode="auto">
        <a:xfrm rot="5400000">
          <a:off x="20253903" y="1857581"/>
          <a:ext cx="0" cy="41084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51088</xdr:colOff>
      <xdr:row>44</xdr:row>
      <xdr:rowOff>206085</xdr:rowOff>
    </xdr:from>
    <xdr:to>
      <xdr:col>42</xdr:col>
      <xdr:colOff>232064</xdr:colOff>
      <xdr:row>44</xdr:row>
      <xdr:rowOff>206085</xdr:rowOff>
    </xdr:to>
    <xdr:sp macro="" textlink="">
      <xdr:nvSpPr>
        <xdr:cNvPr id="1205" name="Line 140">
          <a:extLst>
            <a:ext uri="{FF2B5EF4-FFF2-40B4-BE49-F238E27FC236}">
              <a16:creationId xmlns:a16="http://schemas.microsoft.com/office/drawing/2014/main" id="{00000000-0008-0000-1500-0000B5040000}"/>
            </a:ext>
          </a:extLst>
        </xdr:cNvPr>
        <xdr:cNvSpPr>
          <a:spLocks noChangeShapeType="1"/>
        </xdr:cNvSpPr>
      </xdr:nvSpPr>
      <xdr:spPr bwMode="auto">
        <a:xfrm rot="5400000">
          <a:off x="20276157" y="1380199"/>
          <a:ext cx="0" cy="38989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33</xdr:col>
      <xdr:colOff>221091</xdr:colOff>
      <xdr:row>44</xdr:row>
      <xdr:rowOff>199275</xdr:rowOff>
    </xdr:from>
    <xdr:to>
      <xdr:col>35</xdr:col>
      <xdr:colOff>19161</xdr:colOff>
      <xdr:row>44</xdr:row>
      <xdr:rowOff>199275</xdr:rowOff>
    </xdr:to>
    <xdr:sp macro="" textlink="">
      <xdr:nvSpPr>
        <xdr:cNvPr id="1206" name="Line 749">
          <a:extLst>
            <a:ext uri="{FF2B5EF4-FFF2-40B4-BE49-F238E27FC236}">
              <a16:creationId xmlns:a16="http://schemas.microsoft.com/office/drawing/2014/main" id="{00000000-0008-0000-1500-0000B6040000}"/>
            </a:ext>
          </a:extLst>
        </xdr:cNvPr>
        <xdr:cNvSpPr>
          <a:spLocks noChangeShapeType="1"/>
        </xdr:cNvSpPr>
      </xdr:nvSpPr>
      <xdr:spPr bwMode="auto">
        <a:xfrm rot="5400000">
          <a:off x="18587832" y="1446097"/>
          <a:ext cx="0" cy="24066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239975</xdr:colOff>
      <xdr:row>44</xdr:row>
      <xdr:rowOff>206295</xdr:rowOff>
    </xdr:from>
    <xdr:to>
      <xdr:col>41</xdr:col>
      <xdr:colOff>39950</xdr:colOff>
      <xdr:row>44</xdr:row>
      <xdr:rowOff>206295</xdr:rowOff>
    </xdr:to>
    <xdr:sp macro="" textlink="">
      <xdr:nvSpPr>
        <xdr:cNvPr id="1207" name="Line 749">
          <a:extLst>
            <a:ext uri="{FF2B5EF4-FFF2-40B4-BE49-F238E27FC236}">
              <a16:creationId xmlns:a16="http://schemas.microsoft.com/office/drawing/2014/main" id="{00000000-0008-0000-1500-0000B7040000}"/>
            </a:ext>
          </a:extLst>
        </xdr:cNvPr>
        <xdr:cNvSpPr>
          <a:spLocks noChangeShapeType="1"/>
        </xdr:cNvSpPr>
      </xdr:nvSpPr>
      <xdr:spPr bwMode="auto">
        <a:xfrm rot="5400000">
          <a:off x="19935453" y="1444545"/>
          <a:ext cx="0" cy="26162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227304</xdr:colOff>
      <xdr:row>43</xdr:row>
      <xdr:rowOff>2820</xdr:rowOff>
    </xdr:from>
    <xdr:to>
      <xdr:col>41</xdr:col>
      <xdr:colOff>27279</xdr:colOff>
      <xdr:row>43</xdr:row>
      <xdr:rowOff>2820</xdr:rowOff>
    </xdr:to>
    <xdr:sp macro="" textlink="">
      <xdr:nvSpPr>
        <xdr:cNvPr id="1208" name="Line 749">
          <a:extLst>
            <a:ext uri="{FF2B5EF4-FFF2-40B4-BE49-F238E27FC236}">
              <a16:creationId xmlns:a16="http://schemas.microsoft.com/office/drawing/2014/main" id="{00000000-0008-0000-1500-0000B8040000}"/>
            </a:ext>
          </a:extLst>
        </xdr:cNvPr>
        <xdr:cNvSpPr>
          <a:spLocks noChangeShapeType="1"/>
        </xdr:cNvSpPr>
      </xdr:nvSpPr>
      <xdr:spPr bwMode="auto">
        <a:xfrm rot="5400000">
          <a:off x="19925640" y="1019772"/>
          <a:ext cx="0" cy="25209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33</xdr:col>
      <xdr:colOff>240693</xdr:colOff>
      <xdr:row>46</xdr:row>
      <xdr:rowOff>205523</xdr:rowOff>
    </xdr:from>
    <xdr:to>
      <xdr:col>35</xdr:col>
      <xdr:colOff>40668</xdr:colOff>
      <xdr:row>46</xdr:row>
      <xdr:rowOff>205523</xdr:rowOff>
    </xdr:to>
    <xdr:sp macro="" textlink="">
      <xdr:nvSpPr>
        <xdr:cNvPr id="1209" name="Line 749">
          <a:extLst>
            <a:ext uri="{FF2B5EF4-FFF2-40B4-BE49-F238E27FC236}">
              <a16:creationId xmlns:a16="http://schemas.microsoft.com/office/drawing/2014/main" id="{00000000-0008-0000-1500-0000B9040000}"/>
            </a:ext>
          </a:extLst>
        </xdr:cNvPr>
        <xdr:cNvSpPr>
          <a:spLocks noChangeShapeType="1"/>
        </xdr:cNvSpPr>
      </xdr:nvSpPr>
      <xdr:spPr bwMode="auto">
        <a:xfrm rot="5400000">
          <a:off x="18598861" y="1884463"/>
          <a:ext cx="0" cy="26924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218712</xdr:colOff>
      <xdr:row>47</xdr:row>
      <xdr:rowOff>30279</xdr:rowOff>
    </xdr:from>
    <xdr:to>
      <xdr:col>41</xdr:col>
      <xdr:colOff>18687</xdr:colOff>
      <xdr:row>47</xdr:row>
      <xdr:rowOff>30279</xdr:rowOff>
    </xdr:to>
    <xdr:sp macro="" textlink="">
      <xdr:nvSpPr>
        <xdr:cNvPr id="1210" name="Line 749">
          <a:extLst>
            <a:ext uri="{FF2B5EF4-FFF2-40B4-BE49-F238E27FC236}">
              <a16:creationId xmlns:a16="http://schemas.microsoft.com/office/drawing/2014/main" id="{00000000-0008-0000-1500-0000BA040000}"/>
            </a:ext>
          </a:extLst>
        </xdr:cNvPr>
        <xdr:cNvSpPr>
          <a:spLocks noChangeShapeType="1"/>
        </xdr:cNvSpPr>
      </xdr:nvSpPr>
      <xdr:spPr bwMode="auto">
        <a:xfrm rot="5400000">
          <a:off x="19923715" y="1935279"/>
          <a:ext cx="0" cy="25019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39</xdr:col>
      <xdr:colOff>240977</xdr:colOff>
      <xdr:row>47</xdr:row>
      <xdr:rowOff>370</xdr:rowOff>
    </xdr:from>
    <xdr:to>
      <xdr:col>41</xdr:col>
      <xdr:colOff>40952</xdr:colOff>
      <xdr:row>47</xdr:row>
      <xdr:rowOff>370</xdr:rowOff>
    </xdr:to>
    <xdr:sp macro="" textlink="">
      <xdr:nvSpPr>
        <xdr:cNvPr id="1211" name="Line 749">
          <a:extLst>
            <a:ext uri="{FF2B5EF4-FFF2-40B4-BE49-F238E27FC236}">
              <a16:creationId xmlns:a16="http://schemas.microsoft.com/office/drawing/2014/main" id="{00000000-0008-0000-1500-0000BB040000}"/>
            </a:ext>
          </a:extLst>
        </xdr:cNvPr>
        <xdr:cNvSpPr>
          <a:spLocks noChangeShapeType="1"/>
        </xdr:cNvSpPr>
      </xdr:nvSpPr>
      <xdr:spPr bwMode="auto">
        <a:xfrm rot="5400000">
          <a:off x="19932645" y="1897750"/>
          <a:ext cx="0" cy="26924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39</xdr:col>
      <xdr:colOff>211785</xdr:colOff>
      <xdr:row>48</xdr:row>
      <xdr:rowOff>193826</xdr:rowOff>
    </xdr:from>
    <xdr:to>
      <xdr:col>41</xdr:col>
      <xdr:colOff>36525</xdr:colOff>
      <xdr:row>48</xdr:row>
      <xdr:rowOff>193826</xdr:rowOff>
    </xdr:to>
    <xdr:sp macro="" textlink="">
      <xdr:nvSpPr>
        <xdr:cNvPr id="1212" name="Line 749">
          <a:extLst>
            <a:ext uri="{FF2B5EF4-FFF2-40B4-BE49-F238E27FC236}">
              <a16:creationId xmlns:a16="http://schemas.microsoft.com/office/drawing/2014/main" id="{00000000-0008-0000-1500-0000BC040000}"/>
            </a:ext>
          </a:extLst>
        </xdr:cNvPr>
        <xdr:cNvSpPr>
          <a:spLocks noChangeShapeType="1"/>
        </xdr:cNvSpPr>
      </xdr:nvSpPr>
      <xdr:spPr bwMode="auto">
        <a:xfrm rot="5400000">
          <a:off x="19926313" y="2311551"/>
          <a:ext cx="0" cy="27305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38</xdr:col>
      <xdr:colOff>26881</xdr:colOff>
      <xdr:row>48</xdr:row>
      <xdr:rowOff>203371</xdr:rowOff>
    </xdr:from>
    <xdr:to>
      <xdr:col>39</xdr:col>
      <xdr:colOff>204046</xdr:colOff>
      <xdr:row>48</xdr:row>
      <xdr:rowOff>203371</xdr:rowOff>
    </xdr:to>
    <xdr:sp macro="" textlink="">
      <xdr:nvSpPr>
        <xdr:cNvPr id="1213" name="Line 507">
          <a:extLst>
            <a:ext uri="{FF2B5EF4-FFF2-40B4-BE49-F238E27FC236}">
              <a16:creationId xmlns:a16="http://schemas.microsoft.com/office/drawing/2014/main" id="{00000000-0008-0000-1500-0000BD040000}"/>
            </a:ext>
          </a:extLst>
        </xdr:cNvPr>
        <xdr:cNvSpPr>
          <a:spLocks noChangeShapeType="1"/>
        </xdr:cNvSpPr>
      </xdr:nvSpPr>
      <xdr:spPr bwMode="auto">
        <a:xfrm rot="5400000">
          <a:off x="19587104" y="2258866"/>
          <a:ext cx="0" cy="40513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54359</xdr:colOff>
      <xdr:row>48</xdr:row>
      <xdr:rowOff>193607</xdr:rowOff>
    </xdr:from>
    <xdr:to>
      <xdr:col>42</xdr:col>
      <xdr:colOff>225810</xdr:colOff>
      <xdr:row>48</xdr:row>
      <xdr:rowOff>193607</xdr:rowOff>
    </xdr:to>
    <xdr:sp macro="" textlink="">
      <xdr:nvSpPr>
        <xdr:cNvPr id="1214" name="Line 508">
          <a:extLst>
            <a:ext uri="{FF2B5EF4-FFF2-40B4-BE49-F238E27FC236}">
              <a16:creationId xmlns:a16="http://schemas.microsoft.com/office/drawing/2014/main" id="{00000000-0008-0000-1500-0000BE040000}"/>
            </a:ext>
          </a:extLst>
        </xdr:cNvPr>
        <xdr:cNvSpPr>
          <a:spLocks noChangeShapeType="1"/>
        </xdr:cNvSpPr>
      </xdr:nvSpPr>
      <xdr:spPr bwMode="auto">
        <a:xfrm rot="5400000">
          <a:off x="20274665" y="2257674"/>
          <a:ext cx="0" cy="38036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7</xdr:col>
      <xdr:colOff>239151</xdr:colOff>
      <xdr:row>48</xdr:row>
      <xdr:rowOff>201051</xdr:rowOff>
    </xdr:from>
    <xdr:to>
      <xdr:col>9</xdr:col>
      <xdr:colOff>176432</xdr:colOff>
      <xdr:row>48</xdr:row>
      <xdr:rowOff>201051</xdr:rowOff>
    </xdr:to>
    <xdr:sp macro="" textlink="">
      <xdr:nvSpPr>
        <xdr:cNvPr id="1215" name="Line 500">
          <a:extLst>
            <a:ext uri="{FF2B5EF4-FFF2-40B4-BE49-F238E27FC236}">
              <a16:creationId xmlns:a16="http://schemas.microsoft.com/office/drawing/2014/main" id="{00000000-0008-0000-1500-0000BF040000}"/>
            </a:ext>
          </a:extLst>
        </xdr:cNvPr>
        <xdr:cNvSpPr>
          <a:spLocks noChangeShapeType="1"/>
        </xdr:cNvSpPr>
      </xdr:nvSpPr>
      <xdr:spPr bwMode="auto">
        <a:xfrm rot="5400000">
          <a:off x="12676652" y="2253298"/>
          <a:ext cx="0" cy="40781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38100</xdr:colOff>
      <xdr:row>48</xdr:row>
      <xdr:rowOff>201052</xdr:rowOff>
    </xdr:from>
    <xdr:to>
      <xdr:col>12</xdr:col>
      <xdr:colOff>217170</xdr:colOff>
      <xdr:row>48</xdr:row>
      <xdr:rowOff>201052</xdr:rowOff>
    </xdr:to>
    <xdr:sp macro="" textlink="">
      <xdr:nvSpPr>
        <xdr:cNvPr id="1216" name="Line 501">
          <a:extLst>
            <a:ext uri="{FF2B5EF4-FFF2-40B4-BE49-F238E27FC236}">
              <a16:creationId xmlns:a16="http://schemas.microsoft.com/office/drawing/2014/main" id="{00000000-0008-0000-1500-0000C0040000}"/>
            </a:ext>
          </a:extLst>
        </xdr:cNvPr>
        <xdr:cNvSpPr>
          <a:spLocks noChangeShapeType="1"/>
        </xdr:cNvSpPr>
      </xdr:nvSpPr>
      <xdr:spPr bwMode="auto">
        <a:xfrm rot="5400000">
          <a:off x="13409296" y="2270199"/>
          <a:ext cx="0" cy="37401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9</xdr:col>
      <xdr:colOff>212883</xdr:colOff>
      <xdr:row>48</xdr:row>
      <xdr:rowOff>196456</xdr:rowOff>
    </xdr:from>
    <xdr:to>
      <xdr:col>11</xdr:col>
      <xdr:colOff>20478</xdr:colOff>
      <xdr:row>48</xdr:row>
      <xdr:rowOff>196456</xdr:rowOff>
    </xdr:to>
    <xdr:sp macro="" textlink="">
      <xdr:nvSpPr>
        <xdr:cNvPr id="1217" name="Line 749">
          <a:extLst>
            <a:ext uri="{FF2B5EF4-FFF2-40B4-BE49-F238E27FC236}">
              <a16:creationId xmlns:a16="http://schemas.microsoft.com/office/drawing/2014/main" id="{00000000-0008-0000-1500-0000C1040000}"/>
            </a:ext>
          </a:extLst>
        </xdr:cNvPr>
        <xdr:cNvSpPr>
          <a:spLocks noChangeShapeType="1"/>
        </xdr:cNvSpPr>
      </xdr:nvSpPr>
      <xdr:spPr bwMode="auto">
        <a:xfrm rot="5400000">
          <a:off x="13058934" y="2310688"/>
          <a:ext cx="0" cy="28384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29</xdr:col>
      <xdr:colOff>20262</xdr:colOff>
      <xdr:row>48</xdr:row>
      <xdr:rowOff>195490</xdr:rowOff>
    </xdr:from>
    <xdr:to>
      <xdr:col>30</xdr:col>
      <xdr:colOff>203143</xdr:colOff>
      <xdr:row>48</xdr:row>
      <xdr:rowOff>195490</xdr:rowOff>
    </xdr:to>
    <xdr:sp macro="" textlink="">
      <xdr:nvSpPr>
        <xdr:cNvPr id="1218" name="Line 507">
          <a:extLst>
            <a:ext uri="{FF2B5EF4-FFF2-40B4-BE49-F238E27FC236}">
              <a16:creationId xmlns:a16="http://schemas.microsoft.com/office/drawing/2014/main" id="{00000000-0008-0000-1500-0000C2040000}"/>
            </a:ext>
          </a:extLst>
        </xdr:cNvPr>
        <xdr:cNvSpPr>
          <a:spLocks noChangeShapeType="1"/>
        </xdr:cNvSpPr>
      </xdr:nvSpPr>
      <xdr:spPr bwMode="auto">
        <a:xfrm rot="5400000">
          <a:off x="17542453" y="2237332"/>
          <a:ext cx="0" cy="42862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</xdr:col>
      <xdr:colOff>7857</xdr:colOff>
      <xdr:row>42</xdr:row>
      <xdr:rowOff>114301</xdr:rowOff>
    </xdr:from>
    <xdr:to>
      <xdr:col>7</xdr:col>
      <xdr:colOff>5953</xdr:colOff>
      <xdr:row>42</xdr:row>
      <xdr:rowOff>114301</xdr:rowOff>
    </xdr:to>
    <xdr:sp macro="" textlink="">
      <xdr:nvSpPr>
        <xdr:cNvPr id="1219" name="Line 518">
          <a:extLst>
            <a:ext uri="{FF2B5EF4-FFF2-40B4-BE49-F238E27FC236}">
              <a16:creationId xmlns:a16="http://schemas.microsoft.com/office/drawing/2014/main" id="{00000000-0008-0000-1500-0000C3040000}"/>
            </a:ext>
          </a:extLst>
        </xdr:cNvPr>
        <xdr:cNvSpPr>
          <a:spLocks noChangeShapeType="1"/>
        </xdr:cNvSpPr>
      </xdr:nvSpPr>
      <xdr:spPr bwMode="auto">
        <a:xfrm rot="5400000">
          <a:off x="12002373" y="79787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41</xdr:row>
      <xdr:rowOff>125808</xdr:rowOff>
    </xdr:from>
    <xdr:to>
      <xdr:col>7</xdr:col>
      <xdr:colOff>11905</xdr:colOff>
      <xdr:row>41</xdr:row>
      <xdr:rowOff>125808</xdr:rowOff>
    </xdr:to>
    <xdr:sp macro="" textlink="">
      <xdr:nvSpPr>
        <xdr:cNvPr id="1220" name="Line 749">
          <a:extLst>
            <a:ext uri="{FF2B5EF4-FFF2-40B4-BE49-F238E27FC236}">
              <a16:creationId xmlns:a16="http://schemas.microsoft.com/office/drawing/2014/main" id="{00000000-0008-0000-1500-0000C4040000}"/>
            </a:ext>
          </a:extLst>
        </xdr:cNvPr>
        <xdr:cNvSpPr>
          <a:spLocks noChangeShapeType="1"/>
        </xdr:cNvSpPr>
      </xdr:nvSpPr>
      <xdr:spPr bwMode="auto">
        <a:xfrm rot="5400000">
          <a:off x="12001421" y="582135"/>
          <a:ext cx="0" cy="491965"/>
        </a:xfrm>
        <a:prstGeom prst="line">
          <a:avLst/>
        </a:prstGeom>
        <a:noFill/>
        <a:ln w="28575">
          <a:solidFill>
            <a:srgbClr val="FFC000"/>
          </a:solidFill>
          <a:round/>
          <a:headEnd/>
          <a:tailEnd/>
        </a:ln>
      </xdr:spPr>
    </xdr:sp>
    <xdr:clientData/>
  </xdr:twoCellAnchor>
  <xdr:twoCellAnchor>
    <xdr:from>
      <xdr:col>5</xdr:col>
      <xdr:colOff>1904</xdr:colOff>
      <xdr:row>39</xdr:row>
      <xdr:rowOff>135736</xdr:rowOff>
    </xdr:from>
    <xdr:to>
      <xdr:col>7</xdr:col>
      <xdr:colOff>3662</xdr:colOff>
      <xdr:row>39</xdr:row>
      <xdr:rowOff>135736</xdr:rowOff>
    </xdr:to>
    <xdr:sp macro="" textlink="">
      <xdr:nvSpPr>
        <xdr:cNvPr id="1221" name="Line 749">
          <a:extLst>
            <a:ext uri="{FF2B5EF4-FFF2-40B4-BE49-F238E27FC236}">
              <a16:creationId xmlns:a16="http://schemas.microsoft.com/office/drawing/2014/main" id="{00000000-0008-0000-1500-0000C5040000}"/>
            </a:ext>
          </a:extLst>
        </xdr:cNvPr>
        <xdr:cNvSpPr>
          <a:spLocks noChangeShapeType="1"/>
        </xdr:cNvSpPr>
      </xdr:nvSpPr>
      <xdr:spPr bwMode="auto">
        <a:xfrm rot="5400000">
          <a:off x="11996346" y="14692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</xdr:col>
      <xdr:colOff>1904</xdr:colOff>
      <xdr:row>40</xdr:row>
      <xdr:rowOff>130093</xdr:rowOff>
    </xdr:from>
    <xdr:to>
      <xdr:col>7</xdr:col>
      <xdr:colOff>5952</xdr:colOff>
      <xdr:row>40</xdr:row>
      <xdr:rowOff>130093</xdr:rowOff>
    </xdr:to>
    <xdr:sp macro="" textlink="">
      <xdr:nvSpPr>
        <xdr:cNvPr id="1222" name="Line 749">
          <a:extLst>
            <a:ext uri="{FF2B5EF4-FFF2-40B4-BE49-F238E27FC236}">
              <a16:creationId xmlns:a16="http://schemas.microsoft.com/office/drawing/2014/main" id="{00000000-0008-0000-1500-0000C6040000}"/>
            </a:ext>
          </a:extLst>
        </xdr:cNvPr>
        <xdr:cNvSpPr>
          <a:spLocks noChangeShapeType="1"/>
        </xdr:cNvSpPr>
      </xdr:nvSpPr>
      <xdr:spPr bwMode="auto">
        <a:xfrm rot="5400000">
          <a:off x="11998444" y="369051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</xdr:col>
      <xdr:colOff>15716</xdr:colOff>
      <xdr:row>43</xdr:row>
      <xdr:rowOff>114301</xdr:rowOff>
    </xdr:from>
    <xdr:to>
      <xdr:col>7</xdr:col>
      <xdr:colOff>0</xdr:colOff>
      <xdr:row>43</xdr:row>
      <xdr:rowOff>114301</xdr:rowOff>
    </xdr:to>
    <xdr:sp macro="" textlink="">
      <xdr:nvSpPr>
        <xdr:cNvPr id="1223" name="Line 519">
          <a:extLst>
            <a:ext uri="{FF2B5EF4-FFF2-40B4-BE49-F238E27FC236}">
              <a16:creationId xmlns:a16="http://schemas.microsoft.com/office/drawing/2014/main" id="{00000000-0008-0000-1500-0000C7040000}"/>
            </a:ext>
          </a:extLst>
        </xdr:cNvPr>
        <xdr:cNvSpPr>
          <a:spLocks noChangeShapeType="1"/>
        </xdr:cNvSpPr>
      </xdr:nvSpPr>
      <xdr:spPr bwMode="auto">
        <a:xfrm rot="5400000">
          <a:off x="12003326" y="102893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</xdr:col>
      <xdr:colOff>11666</xdr:colOff>
      <xdr:row>44</xdr:row>
      <xdr:rowOff>98474</xdr:rowOff>
    </xdr:from>
    <xdr:to>
      <xdr:col>7</xdr:col>
      <xdr:colOff>0</xdr:colOff>
      <xdr:row>44</xdr:row>
      <xdr:rowOff>98474</xdr:rowOff>
    </xdr:to>
    <xdr:sp macro="" textlink="">
      <xdr:nvSpPr>
        <xdr:cNvPr id="1224" name="Line 167">
          <a:extLst>
            <a:ext uri="{FF2B5EF4-FFF2-40B4-BE49-F238E27FC236}">
              <a16:creationId xmlns:a16="http://schemas.microsoft.com/office/drawing/2014/main" id="{00000000-0008-0000-1500-0000C8040000}"/>
            </a:ext>
          </a:extLst>
        </xdr:cNvPr>
        <xdr:cNvSpPr>
          <a:spLocks noChangeShapeType="1"/>
        </xdr:cNvSpPr>
      </xdr:nvSpPr>
      <xdr:spPr bwMode="auto">
        <a:xfrm rot="5400000">
          <a:off x="12001301" y="1229527"/>
          <a:ext cx="0" cy="46077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15</xdr:col>
      <xdr:colOff>212989</xdr:colOff>
      <xdr:row>46</xdr:row>
      <xdr:rowOff>212323</xdr:rowOff>
    </xdr:from>
    <xdr:to>
      <xdr:col>17</xdr:col>
      <xdr:colOff>20362</xdr:colOff>
      <xdr:row>46</xdr:row>
      <xdr:rowOff>212323</xdr:rowOff>
    </xdr:to>
    <xdr:sp macro="" textlink="">
      <xdr:nvSpPr>
        <xdr:cNvPr id="1225" name="Line 749">
          <a:extLst>
            <a:ext uri="{FF2B5EF4-FFF2-40B4-BE49-F238E27FC236}">
              <a16:creationId xmlns:a16="http://schemas.microsoft.com/office/drawing/2014/main" id="{00000000-0008-0000-1500-0000C9040000}"/>
            </a:ext>
          </a:extLst>
        </xdr:cNvPr>
        <xdr:cNvSpPr>
          <a:spLocks noChangeShapeType="1"/>
        </xdr:cNvSpPr>
      </xdr:nvSpPr>
      <xdr:spPr bwMode="auto">
        <a:xfrm rot="5400000">
          <a:off x="14344804" y="1892326"/>
          <a:ext cx="0" cy="25187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10</xdr:col>
      <xdr:colOff>8149</xdr:colOff>
      <xdr:row>48</xdr:row>
      <xdr:rowOff>24467</xdr:rowOff>
    </xdr:from>
    <xdr:to>
      <xdr:col>10</xdr:col>
      <xdr:colOff>215354</xdr:colOff>
      <xdr:row>48</xdr:row>
      <xdr:rowOff>24467</xdr:rowOff>
    </xdr:to>
    <xdr:sp macro="" textlink="">
      <xdr:nvSpPr>
        <xdr:cNvPr id="1226" name="Line 749">
          <a:extLst>
            <a:ext uri="{FF2B5EF4-FFF2-40B4-BE49-F238E27FC236}">
              <a16:creationId xmlns:a16="http://schemas.microsoft.com/office/drawing/2014/main" id="{00000000-0008-0000-1500-0000CA040000}"/>
            </a:ext>
          </a:extLst>
        </xdr:cNvPr>
        <xdr:cNvSpPr>
          <a:spLocks noChangeShapeType="1"/>
        </xdr:cNvSpPr>
      </xdr:nvSpPr>
      <xdr:spPr bwMode="auto">
        <a:xfrm rot="5400000">
          <a:off x="13056862" y="2174162"/>
          <a:ext cx="0" cy="20149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27</xdr:col>
      <xdr:colOff>222024</xdr:colOff>
      <xdr:row>45</xdr:row>
      <xdr:rowOff>16669</xdr:rowOff>
    </xdr:from>
    <xdr:to>
      <xdr:col>29</xdr:col>
      <xdr:colOff>25440</xdr:colOff>
      <xdr:row>45</xdr:row>
      <xdr:rowOff>16669</xdr:rowOff>
    </xdr:to>
    <xdr:sp macro="" textlink="">
      <xdr:nvSpPr>
        <xdr:cNvPr id="1227" name="Line 749">
          <a:extLst>
            <a:ext uri="{FF2B5EF4-FFF2-40B4-BE49-F238E27FC236}">
              <a16:creationId xmlns:a16="http://schemas.microsoft.com/office/drawing/2014/main" id="{00000000-0008-0000-1500-0000CB040000}"/>
            </a:ext>
          </a:extLst>
        </xdr:cNvPr>
        <xdr:cNvSpPr>
          <a:spLocks noChangeShapeType="1"/>
        </xdr:cNvSpPr>
      </xdr:nvSpPr>
      <xdr:spPr bwMode="auto">
        <a:xfrm rot="5400000">
          <a:off x="17194438" y="1469098"/>
          <a:ext cx="0" cy="277761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21</xdr:col>
      <xdr:colOff>209611</xdr:colOff>
      <xdr:row>46</xdr:row>
      <xdr:rowOff>5124</xdr:rowOff>
    </xdr:from>
    <xdr:to>
      <xdr:col>23</xdr:col>
      <xdr:colOff>11124</xdr:colOff>
      <xdr:row>46</xdr:row>
      <xdr:rowOff>5124</xdr:rowOff>
    </xdr:to>
    <xdr:sp macro="" textlink="">
      <xdr:nvSpPr>
        <xdr:cNvPr id="1228" name="Line 749">
          <a:extLst>
            <a:ext uri="{FF2B5EF4-FFF2-40B4-BE49-F238E27FC236}">
              <a16:creationId xmlns:a16="http://schemas.microsoft.com/office/drawing/2014/main" id="{00000000-0008-0000-1500-0000CC040000}"/>
            </a:ext>
          </a:extLst>
        </xdr:cNvPr>
        <xdr:cNvSpPr>
          <a:spLocks noChangeShapeType="1"/>
        </xdr:cNvSpPr>
      </xdr:nvSpPr>
      <xdr:spPr bwMode="auto">
        <a:xfrm rot="5400000">
          <a:off x="15754228" y="1675040"/>
          <a:ext cx="0" cy="28347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34</xdr:col>
      <xdr:colOff>8922</xdr:colOff>
      <xdr:row>44</xdr:row>
      <xdr:rowOff>12397</xdr:rowOff>
    </xdr:from>
    <xdr:to>
      <xdr:col>35</xdr:col>
      <xdr:colOff>25700</xdr:colOff>
      <xdr:row>44</xdr:row>
      <xdr:rowOff>12397</xdr:rowOff>
    </xdr:to>
    <xdr:sp macro="" textlink="">
      <xdr:nvSpPr>
        <xdr:cNvPr id="1229" name="Line 749">
          <a:extLst>
            <a:ext uri="{FF2B5EF4-FFF2-40B4-BE49-F238E27FC236}">
              <a16:creationId xmlns:a16="http://schemas.microsoft.com/office/drawing/2014/main" id="{00000000-0008-0000-1500-0000CD040000}"/>
            </a:ext>
          </a:extLst>
        </xdr:cNvPr>
        <xdr:cNvSpPr>
          <a:spLocks noChangeShapeType="1"/>
        </xdr:cNvSpPr>
      </xdr:nvSpPr>
      <xdr:spPr bwMode="auto">
        <a:xfrm rot="5400000">
          <a:off x="18598047" y="1264800"/>
          <a:ext cx="0" cy="23331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11</xdr:col>
      <xdr:colOff>15716</xdr:colOff>
      <xdr:row>51</xdr:row>
      <xdr:rowOff>114301</xdr:rowOff>
    </xdr:from>
    <xdr:to>
      <xdr:col>13</xdr:col>
      <xdr:colOff>0</xdr:colOff>
      <xdr:row>51</xdr:row>
      <xdr:rowOff>114301</xdr:rowOff>
    </xdr:to>
    <xdr:sp macro="" textlink="">
      <xdr:nvSpPr>
        <xdr:cNvPr id="1230" name="Line 519">
          <a:extLst>
            <a:ext uri="{FF2B5EF4-FFF2-40B4-BE49-F238E27FC236}">
              <a16:creationId xmlns:a16="http://schemas.microsoft.com/office/drawing/2014/main" id="{00000000-0008-0000-1500-0000CE040000}"/>
            </a:ext>
          </a:extLst>
        </xdr:cNvPr>
        <xdr:cNvSpPr>
          <a:spLocks noChangeShapeType="1"/>
        </xdr:cNvSpPr>
      </xdr:nvSpPr>
      <xdr:spPr bwMode="auto">
        <a:xfrm rot="5400000">
          <a:off x="13400326" y="2838689"/>
          <a:ext cx="0" cy="3932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11</xdr:col>
      <xdr:colOff>1904</xdr:colOff>
      <xdr:row>53</xdr:row>
      <xdr:rowOff>135736</xdr:rowOff>
    </xdr:from>
    <xdr:to>
      <xdr:col>13</xdr:col>
      <xdr:colOff>3662</xdr:colOff>
      <xdr:row>53</xdr:row>
      <xdr:rowOff>135736</xdr:rowOff>
    </xdr:to>
    <xdr:sp macro="" textlink="">
      <xdr:nvSpPr>
        <xdr:cNvPr id="1232" name="Line 749">
          <a:extLst>
            <a:ext uri="{FF2B5EF4-FFF2-40B4-BE49-F238E27FC236}">
              <a16:creationId xmlns:a16="http://schemas.microsoft.com/office/drawing/2014/main" id="{00000000-0008-0000-1500-0000D0040000}"/>
            </a:ext>
          </a:extLst>
        </xdr:cNvPr>
        <xdr:cNvSpPr>
          <a:spLocks noChangeShapeType="1"/>
        </xdr:cNvSpPr>
      </xdr:nvSpPr>
      <xdr:spPr bwMode="auto">
        <a:xfrm rot="5400000">
          <a:off x="13393346" y="3290172"/>
          <a:ext cx="0" cy="4145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17</xdr:col>
      <xdr:colOff>15716</xdr:colOff>
      <xdr:row>51</xdr:row>
      <xdr:rowOff>114301</xdr:rowOff>
    </xdr:from>
    <xdr:to>
      <xdr:col>19</xdr:col>
      <xdr:colOff>0</xdr:colOff>
      <xdr:row>51</xdr:row>
      <xdr:rowOff>114301</xdr:rowOff>
    </xdr:to>
    <xdr:sp macro="" textlink="">
      <xdr:nvSpPr>
        <xdr:cNvPr id="1233" name="Line 519">
          <a:extLst>
            <a:ext uri="{FF2B5EF4-FFF2-40B4-BE49-F238E27FC236}">
              <a16:creationId xmlns:a16="http://schemas.microsoft.com/office/drawing/2014/main" id="{00000000-0008-0000-1500-0000D1040000}"/>
            </a:ext>
          </a:extLst>
        </xdr:cNvPr>
        <xdr:cNvSpPr>
          <a:spLocks noChangeShapeType="1"/>
        </xdr:cNvSpPr>
      </xdr:nvSpPr>
      <xdr:spPr bwMode="auto">
        <a:xfrm rot="5400000">
          <a:off x="14702076" y="280693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17</xdr:col>
      <xdr:colOff>1904</xdr:colOff>
      <xdr:row>53</xdr:row>
      <xdr:rowOff>135736</xdr:rowOff>
    </xdr:from>
    <xdr:to>
      <xdr:col>19</xdr:col>
      <xdr:colOff>3662</xdr:colOff>
      <xdr:row>53</xdr:row>
      <xdr:rowOff>135736</xdr:rowOff>
    </xdr:to>
    <xdr:sp macro="" textlink="">
      <xdr:nvSpPr>
        <xdr:cNvPr id="1235" name="Line 749">
          <a:extLst>
            <a:ext uri="{FF2B5EF4-FFF2-40B4-BE49-F238E27FC236}">
              <a16:creationId xmlns:a16="http://schemas.microsoft.com/office/drawing/2014/main" id="{00000000-0008-0000-1500-0000D3040000}"/>
            </a:ext>
          </a:extLst>
        </xdr:cNvPr>
        <xdr:cNvSpPr>
          <a:spLocks noChangeShapeType="1"/>
        </xdr:cNvSpPr>
      </xdr:nvSpPr>
      <xdr:spPr bwMode="auto">
        <a:xfrm rot="5400000">
          <a:off x="14695096" y="325842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23</xdr:col>
      <xdr:colOff>7857</xdr:colOff>
      <xdr:row>51</xdr:row>
      <xdr:rowOff>114301</xdr:rowOff>
    </xdr:from>
    <xdr:to>
      <xdr:col>25</xdr:col>
      <xdr:colOff>5953</xdr:colOff>
      <xdr:row>51</xdr:row>
      <xdr:rowOff>114301</xdr:rowOff>
    </xdr:to>
    <xdr:sp macro="" textlink="">
      <xdr:nvSpPr>
        <xdr:cNvPr id="1236" name="Line 518">
          <a:extLst>
            <a:ext uri="{FF2B5EF4-FFF2-40B4-BE49-F238E27FC236}">
              <a16:creationId xmlns:a16="http://schemas.microsoft.com/office/drawing/2014/main" id="{00000000-0008-0000-1500-0000D4040000}"/>
            </a:ext>
          </a:extLst>
        </xdr:cNvPr>
        <xdr:cNvSpPr>
          <a:spLocks noChangeShapeType="1"/>
        </xdr:cNvSpPr>
      </xdr:nvSpPr>
      <xdr:spPr bwMode="auto">
        <a:xfrm rot="5400000">
          <a:off x="16129873" y="279812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23</xdr:col>
      <xdr:colOff>15716</xdr:colOff>
      <xdr:row>52</xdr:row>
      <xdr:rowOff>114301</xdr:rowOff>
    </xdr:from>
    <xdr:to>
      <xdr:col>25</xdr:col>
      <xdr:colOff>0</xdr:colOff>
      <xdr:row>52</xdr:row>
      <xdr:rowOff>114301</xdr:rowOff>
    </xdr:to>
    <xdr:sp macro="" textlink="">
      <xdr:nvSpPr>
        <xdr:cNvPr id="1237" name="Line 519">
          <a:extLst>
            <a:ext uri="{FF2B5EF4-FFF2-40B4-BE49-F238E27FC236}">
              <a16:creationId xmlns:a16="http://schemas.microsoft.com/office/drawing/2014/main" id="{00000000-0008-0000-1500-0000D5040000}"/>
            </a:ext>
          </a:extLst>
        </xdr:cNvPr>
        <xdr:cNvSpPr>
          <a:spLocks noChangeShapeType="1"/>
        </xdr:cNvSpPr>
      </xdr:nvSpPr>
      <xdr:spPr bwMode="auto">
        <a:xfrm rot="5400000">
          <a:off x="16130826" y="302918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23</xdr:col>
      <xdr:colOff>1904</xdr:colOff>
      <xdr:row>53</xdr:row>
      <xdr:rowOff>135736</xdr:rowOff>
    </xdr:from>
    <xdr:to>
      <xdr:col>25</xdr:col>
      <xdr:colOff>3662</xdr:colOff>
      <xdr:row>53</xdr:row>
      <xdr:rowOff>135736</xdr:rowOff>
    </xdr:to>
    <xdr:sp macro="" textlink="">
      <xdr:nvSpPr>
        <xdr:cNvPr id="1239" name="Line 749">
          <a:extLst>
            <a:ext uri="{FF2B5EF4-FFF2-40B4-BE49-F238E27FC236}">
              <a16:creationId xmlns:a16="http://schemas.microsoft.com/office/drawing/2014/main" id="{00000000-0008-0000-1500-0000D7040000}"/>
            </a:ext>
          </a:extLst>
        </xdr:cNvPr>
        <xdr:cNvSpPr>
          <a:spLocks noChangeShapeType="1"/>
        </xdr:cNvSpPr>
      </xdr:nvSpPr>
      <xdr:spPr bwMode="auto">
        <a:xfrm rot="5400000">
          <a:off x="16123846" y="348067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29</xdr:col>
      <xdr:colOff>7857</xdr:colOff>
      <xdr:row>51</xdr:row>
      <xdr:rowOff>114301</xdr:rowOff>
    </xdr:from>
    <xdr:to>
      <xdr:col>31</xdr:col>
      <xdr:colOff>5953</xdr:colOff>
      <xdr:row>51</xdr:row>
      <xdr:rowOff>114301</xdr:rowOff>
    </xdr:to>
    <xdr:sp macro="" textlink="">
      <xdr:nvSpPr>
        <xdr:cNvPr id="1240" name="Line 518">
          <a:extLst>
            <a:ext uri="{FF2B5EF4-FFF2-40B4-BE49-F238E27FC236}">
              <a16:creationId xmlns:a16="http://schemas.microsoft.com/office/drawing/2014/main" id="{00000000-0008-0000-1500-0000D8040000}"/>
            </a:ext>
          </a:extLst>
        </xdr:cNvPr>
        <xdr:cNvSpPr>
          <a:spLocks noChangeShapeType="1"/>
        </xdr:cNvSpPr>
      </xdr:nvSpPr>
      <xdr:spPr bwMode="auto">
        <a:xfrm rot="5400000">
          <a:off x="17558623" y="279812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15716</xdr:colOff>
      <xdr:row>52</xdr:row>
      <xdr:rowOff>114301</xdr:rowOff>
    </xdr:from>
    <xdr:to>
      <xdr:col>31</xdr:col>
      <xdr:colOff>0</xdr:colOff>
      <xdr:row>52</xdr:row>
      <xdr:rowOff>114301</xdr:rowOff>
    </xdr:to>
    <xdr:sp macro="" textlink="">
      <xdr:nvSpPr>
        <xdr:cNvPr id="1241" name="Line 519">
          <a:extLst>
            <a:ext uri="{FF2B5EF4-FFF2-40B4-BE49-F238E27FC236}">
              <a16:creationId xmlns:a16="http://schemas.microsoft.com/office/drawing/2014/main" id="{00000000-0008-0000-1500-0000D9040000}"/>
            </a:ext>
          </a:extLst>
        </xdr:cNvPr>
        <xdr:cNvSpPr>
          <a:spLocks noChangeShapeType="1"/>
        </xdr:cNvSpPr>
      </xdr:nvSpPr>
      <xdr:spPr bwMode="auto">
        <a:xfrm rot="5400000">
          <a:off x="17559576" y="302918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29</xdr:col>
      <xdr:colOff>1904</xdr:colOff>
      <xdr:row>53</xdr:row>
      <xdr:rowOff>135736</xdr:rowOff>
    </xdr:from>
    <xdr:to>
      <xdr:col>31</xdr:col>
      <xdr:colOff>3662</xdr:colOff>
      <xdr:row>53</xdr:row>
      <xdr:rowOff>135736</xdr:rowOff>
    </xdr:to>
    <xdr:sp macro="" textlink="">
      <xdr:nvSpPr>
        <xdr:cNvPr id="1243" name="Line 749">
          <a:extLst>
            <a:ext uri="{FF2B5EF4-FFF2-40B4-BE49-F238E27FC236}">
              <a16:creationId xmlns:a16="http://schemas.microsoft.com/office/drawing/2014/main" id="{00000000-0008-0000-1500-0000DB040000}"/>
            </a:ext>
          </a:extLst>
        </xdr:cNvPr>
        <xdr:cNvSpPr>
          <a:spLocks noChangeShapeType="1"/>
        </xdr:cNvSpPr>
      </xdr:nvSpPr>
      <xdr:spPr bwMode="auto">
        <a:xfrm rot="5400000">
          <a:off x="17552596" y="348067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35</xdr:col>
      <xdr:colOff>7857</xdr:colOff>
      <xdr:row>51</xdr:row>
      <xdr:rowOff>114301</xdr:rowOff>
    </xdr:from>
    <xdr:to>
      <xdr:col>37</xdr:col>
      <xdr:colOff>5953</xdr:colOff>
      <xdr:row>51</xdr:row>
      <xdr:rowOff>114301</xdr:rowOff>
    </xdr:to>
    <xdr:sp macro="" textlink="">
      <xdr:nvSpPr>
        <xdr:cNvPr id="1244" name="Line 518">
          <a:extLst>
            <a:ext uri="{FF2B5EF4-FFF2-40B4-BE49-F238E27FC236}">
              <a16:creationId xmlns:a16="http://schemas.microsoft.com/office/drawing/2014/main" id="{00000000-0008-0000-1500-0000DC040000}"/>
            </a:ext>
          </a:extLst>
        </xdr:cNvPr>
        <xdr:cNvSpPr>
          <a:spLocks noChangeShapeType="1"/>
        </xdr:cNvSpPr>
      </xdr:nvSpPr>
      <xdr:spPr bwMode="auto">
        <a:xfrm rot="5400000">
          <a:off x="18923873" y="2814003"/>
          <a:ext cx="0" cy="44259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15716</xdr:colOff>
      <xdr:row>52</xdr:row>
      <xdr:rowOff>114301</xdr:rowOff>
    </xdr:from>
    <xdr:to>
      <xdr:col>37</xdr:col>
      <xdr:colOff>0</xdr:colOff>
      <xdr:row>52</xdr:row>
      <xdr:rowOff>114301</xdr:rowOff>
    </xdr:to>
    <xdr:sp macro="" textlink="">
      <xdr:nvSpPr>
        <xdr:cNvPr id="1245" name="Line 519">
          <a:extLst>
            <a:ext uri="{FF2B5EF4-FFF2-40B4-BE49-F238E27FC236}">
              <a16:creationId xmlns:a16="http://schemas.microsoft.com/office/drawing/2014/main" id="{00000000-0008-0000-1500-0000DD040000}"/>
            </a:ext>
          </a:extLst>
        </xdr:cNvPr>
        <xdr:cNvSpPr>
          <a:spLocks noChangeShapeType="1"/>
        </xdr:cNvSpPr>
      </xdr:nvSpPr>
      <xdr:spPr bwMode="auto">
        <a:xfrm rot="5400000">
          <a:off x="18924826" y="3045064"/>
          <a:ext cx="0" cy="42497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35</xdr:col>
      <xdr:colOff>1904</xdr:colOff>
      <xdr:row>53</xdr:row>
      <xdr:rowOff>130093</xdr:rowOff>
    </xdr:from>
    <xdr:to>
      <xdr:col>37</xdr:col>
      <xdr:colOff>5952</xdr:colOff>
      <xdr:row>53</xdr:row>
      <xdr:rowOff>130093</xdr:rowOff>
    </xdr:to>
    <xdr:sp macro="" textlink="">
      <xdr:nvSpPr>
        <xdr:cNvPr id="1246" name="Line 749">
          <a:extLst>
            <a:ext uri="{FF2B5EF4-FFF2-40B4-BE49-F238E27FC236}">
              <a16:creationId xmlns:a16="http://schemas.microsoft.com/office/drawing/2014/main" id="{00000000-0008-0000-1500-0000DE040000}"/>
            </a:ext>
          </a:extLst>
        </xdr:cNvPr>
        <xdr:cNvSpPr>
          <a:spLocks noChangeShapeType="1"/>
        </xdr:cNvSpPr>
      </xdr:nvSpPr>
      <xdr:spPr bwMode="auto">
        <a:xfrm rot="5400000">
          <a:off x="18919944" y="3274176"/>
          <a:ext cx="0" cy="45045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35</xdr:col>
      <xdr:colOff>1904</xdr:colOff>
      <xdr:row>54</xdr:row>
      <xdr:rowOff>135736</xdr:rowOff>
    </xdr:from>
    <xdr:to>
      <xdr:col>37</xdr:col>
      <xdr:colOff>3662</xdr:colOff>
      <xdr:row>54</xdr:row>
      <xdr:rowOff>135736</xdr:rowOff>
    </xdr:to>
    <xdr:sp macro="" textlink="">
      <xdr:nvSpPr>
        <xdr:cNvPr id="1247" name="Line 749">
          <a:extLst>
            <a:ext uri="{FF2B5EF4-FFF2-40B4-BE49-F238E27FC236}">
              <a16:creationId xmlns:a16="http://schemas.microsoft.com/office/drawing/2014/main" id="{00000000-0008-0000-1500-0000DF040000}"/>
            </a:ext>
          </a:extLst>
        </xdr:cNvPr>
        <xdr:cNvSpPr>
          <a:spLocks noChangeShapeType="1"/>
        </xdr:cNvSpPr>
      </xdr:nvSpPr>
      <xdr:spPr bwMode="auto">
        <a:xfrm rot="5400000">
          <a:off x="18917846" y="3496547"/>
          <a:ext cx="0" cy="44625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7857</xdr:colOff>
      <xdr:row>51</xdr:row>
      <xdr:rowOff>114301</xdr:rowOff>
    </xdr:from>
    <xdr:to>
      <xdr:col>43</xdr:col>
      <xdr:colOff>5953</xdr:colOff>
      <xdr:row>51</xdr:row>
      <xdr:rowOff>114301</xdr:rowOff>
    </xdr:to>
    <xdr:sp macro="" textlink="">
      <xdr:nvSpPr>
        <xdr:cNvPr id="1248" name="Line 518">
          <a:extLst>
            <a:ext uri="{FF2B5EF4-FFF2-40B4-BE49-F238E27FC236}">
              <a16:creationId xmlns:a16="http://schemas.microsoft.com/office/drawing/2014/main" id="{00000000-0008-0000-1500-0000E0040000}"/>
            </a:ext>
          </a:extLst>
        </xdr:cNvPr>
        <xdr:cNvSpPr>
          <a:spLocks noChangeShapeType="1"/>
        </xdr:cNvSpPr>
      </xdr:nvSpPr>
      <xdr:spPr bwMode="auto">
        <a:xfrm rot="5400000">
          <a:off x="20257373" y="2814003"/>
          <a:ext cx="0" cy="44259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15716</xdr:colOff>
      <xdr:row>53</xdr:row>
      <xdr:rowOff>114301</xdr:rowOff>
    </xdr:from>
    <xdr:to>
      <xdr:col>43</xdr:col>
      <xdr:colOff>0</xdr:colOff>
      <xdr:row>53</xdr:row>
      <xdr:rowOff>114301</xdr:rowOff>
    </xdr:to>
    <xdr:sp macro="" textlink="">
      <xdr:nvSpPr>
        <xdr:cNvPr id="1249" name="Line 519">
          <a:extLst>
            <a:ext uri="{FF2B5EF4-FFF2-40B4-BE49-F238E27FC236}">
              <a16:creationId xmlns:a16="http://schemas.microsoft.com/office/drawing/2014/main" id="{00000000-0008-0000-1500-0000E1040000}"/>
            </a:ext>
          </a:extLst>
        </xdr:cNvPr>
        <xdr:cNvSpPr>
          <a:spLocks noChangeShapeType="1"/>
        </xdr:cNvSpPr>
      </xdr:nvSpPr>
      <xdr:spPr bwMode="auto">
        <a:xfrm rot="5400000">
          <a:off x="20258326" y="3267314"/>
          <a:ext cx="0" cy="42497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41</xdr:col>
      <xdr:colOff>1904</xdr:colOff>
      <xdr:row>54</xdr:row>
      <xdr:rowOff>130093</xdr:rowOff>
    </xdr:from>
    <xdr:to>
      <xdr:col>43</xdr:col>
      <xdr:colOff>5952</xdr:colOff>
      <xdr:row>54</xdr:row>
      <xdr:rowOff>130093</xdr:rowOff>
    </xdr:to>
    <xdr:sp macro="" textlink="">
      <xdr:nvSpPr>
        <xdr:cNvPr id="1250" name="Line 749">
          <a:extLst>
            <a:ext uri="{FF2B5EF4-FFF2-40B4-BE49-F238E27FC236}">
              <a16:creationId xmlns:a16="http://schemas.microsoft.com/office/drawing/2014/main" id="{00000000-0008-0000-1500-0000E2040000}"/>
            </a:ext>
          </a:extLst>
        </xdr:cNvPr>
        <xdr:cNvSpPr>
          <a:spLocks noChangeShapeType="1"/>
        </xdr:cNvSpPr>
      </xdr:nvSpPr>
      <xdr:spPr bwMode="auto">
        <a:xfrm rot="5400000">
          <a:off x="20253444" y="3496426"/>
          <a:ext cx="0" cy="45045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41</xdr:col>
      <xdr:colOff>1904</xdr:colOff>
      <xdr:row>55</xdr:row>
      <xdr:rowOff>135736</xdr:rowOff>
    </xdr:from>
    <xdr:to>
      <xdr:col>43</xdr:col>
      <xdr:colOff>3662</xdr:colOff>
      <xdr:row>55</xdr:row>
      <xdr:rowOff>135736</xdr:rowOff>
    </xdr:to>
    <xdr:sp macro="" textlink="">
      <xdr:nvSpPr>
        <xdr:cNvPr id="1251" name="Line 749">
          <a:extLst>
            <a:ext uri="{FF2B5EF4-FFF2-40B4-BE49-F238E27FC236}">
              <a16:creationId xmlns:a16="http://schemas.microsoft.com/office/drawing/2014/main" id="{00000000-0008-0000-1500-0000E3040000}"/>
            </a:ext>
          </a:extLst>
        </xdr:cNvPr>
        <xdr:cNvSpPr>
          <a:spLocks noChangeShapeType="1"/>
        </xdr:cNvSpPr>
      </xdr:nvSpPr>
      <xdr:spPr bwMode="auto">
        <a:xfrm rot="5400000">
          <a:off x="20251346" y="3718797"/>
          <a:ext cx="0" cy="44625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41</xdr:col>
      <xdr:colOff>11666</xdr:colOff>
      <xdr:row>52</xdr:row>
      <xdr:rowOff>98474</xdr:rowOff>
    </xdr:from>
    <xdr:to>
      <xdr:col>43</xdr:col>
      <xdr:colOff>0</xdr:colOff>
      <xdr:row>52</xdr:row>
      <xdr:rowOff>98474</xdr:rowOff>
    </xdr:to>
    <xdr:sp macro="" textlink="">
      <xdr:nvSpPr>
        <xdr:cNvPr id="1252" name="Line 167">
          <a:extLst>
            <a:ext uri="{FF2B5EF4-FFF2-40B4-BE49-F238E27FC236}">
              <a16:creationId xmlns:a16="http://schemas.microsoft.com/office/drawing/2014/main" id="{00000000-0008-0000-1500-0000E4040000}"/>
            </a:ext>
          </a:extLst>
        </xdr:cNvPr>
        <xdr:cNvSpPr>
          <a:spLocks noChangeShapeType="1"/>
        </xdr:cNvSpPr>
      </xdr:nvSpPr>
      <xdr:spPr bwMode="auto">
        <a:xfrm rot="5400000">
          <a:off x="20256301" y="3023402"/>
          <a:ext cx="0" cy="42902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26</xdr:col>
      <xdr:colOff>24946</xdr:colOff>
      <xdr:row>45</xdr:row>
      <xdr:rowOff>16327</xdr:rowOff>
    </xdr:from>
    <xdr:to>
      <xdr:col>27</xdr:col>
      <xdr:colOff>186871</xdr:colOff>
      <xdr:row>45</xdr:row>
      <xdr:rowOff>16327</xdr:rowOff>
    </xdr:to>
    <xdr:sp macro="" textlink="">
      <xdr:nvSpPr>
        <xdr:cNvPr id="1253" name="Line 492">
          <a:extLst>
            <a:ext uri="{FF2B5EF4-FFF2-40B4-BE49-F238E27FC236}">
              <a16:creationId xmlns:a16="http://schemas.microsoft.com/office/drawing/2014/main" id="{00000000-0008-0000-1500-0000E5040000}"/>
            </a:ext>
          </a:extLst>
        </xdr:cNvPr>
        <xdr:cNvSpPr>
          <a:spLocks noChangeShapeType="1"/>
        </xdr:cNvSpPr>
      </xdr:nvSpPr>
      <xdr:spPr bwMode="auto">
        <a:xfrm rot="5400000">
          <a:off x="16820379" y="1405707"/>
          <a:ext cx="0" cy="40386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31618</xdr:colOff>
      <xdr:row>45</xdr:row>
      <xdr:rowOff>16327</xdr:rowOff>
    </xdr:from>
    <xdr:to>
      <xdr:col>30</xdr:col>
      <xdr:colOff>204973</xdr:colOff>
      <xdr:row>45</xdr:row>
      <xdr:rowOff>16327</xdr:rowOff>
    </xdr:to>
    <xdr:sp macro="" textlink="">
      <xdr:nvSpPr>
        <xdr:cNvPr id="1254" name="Line 493">
          <a:extLst>
            <a:ext uri="{FF2B5EF4-FFF2-40B4-BE49-F238E27FC236}">
              <a16:creationId xmlns:a16="http://schemas.microsoft.com/office/drawing/2014/main" id="{00000000-0008-0000-1500-0000E6040000}"/>
            </a:ext>
          </a:extLst>
        </xdr:cNvPr>
        <xdr:cNvSpPr>
          <a:spLocks noChangeShapeType="1"/>
        </xdr:cNvSpPr>
      </xdr:nvSpPr>
      <xdr:spPr bwMode="auto">
        <a:xfrm rot="5400000">
          <a:off x="17549999" y="1399039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13</xdr:col>
      <xdr:colOff>190452</xdr:colOff>
      <xdr:row>46</xdr:row>
      <xdr:rowOff>218573</xdr:rowOff>
    </xdr:from>
    <xdr:to>
      <xdr:col>15</xdr:col>
      <xdr:colOff>187277</xdr:colOff>
      <xdr:row>46</xdr:row>
      <xdr:rowOff>218573</xdr:rowOff>
    </xdr:to>
    <xdr:sp macro="" textlink="">
      <xdr:nvSpPr>
        <xdr:cNvPr id="1255" name="Line 492">
          <a:extLst>
            <a:ext uri="{FF2B5EF4-FFF2-40B4-BE49-F238E27FC236}">
              <a16:creationId xmlns:a16="http://schemas.microsoft.com/office/drawing/2014/main" id="{00000000-0008-0000-1500-0000E7040000}"/>
            </a:ext>
          </a:extLst>
        </xdr:cNvPr>
        <xdr:cNvSpPr>
          <a:spLocks noChangeShapeType="1"/>
        </xdr:cNvSpPr>
      </xdr:nvSpPr>
      <xdr:spPr bwMode="auto">
        <a:xfrm rot="5400000">
          <a:off x="13992178" y="1821630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17</xdr:col>
      <xdr:colOff>85275</xdr:colOff>
      <xdr:row>46</xdr:row>
      <xdr:rowOff>218573</xdr:rowOff>
    </xdr:from>
    <xdr:to>
      <xdr:col>19</xdr:col>
      <xdr:colOff>20505</xdr:colOff>
      <xdr:row>46</xdr:row>
      <xdr:rowOff>218573</xdr:rowOff>
    </xdr:to>
    <xdr:sp macro="" textlink="">
      <xdr:nvSpPr>
        <xdr:cNvPr id="1256" name="Line 493">
          <a:extLst>
            <a:ext uri="{FF2B5EF4-FFF2-40B4-BE49-F238E27FC236}">
              <a16:creationId xmlns:a16="http://schemas.microsoft.com/office/drawing/2014/main" id="{00000000-0008-0000-1500-0000E8040000}"/>
            </a:ext>
          </a:extLst>
        </xdr:cNvPr>
        <xdr:cNvSpPr>
          <a:spLocks noChangeShapeType="1"/>
        </xdr:cNvSpPr>
      </xdr:nvSpPr>
      <xdr:spPr bwMode="auto">
        <a:xfrm rot="5400000">
          <a:off x="14744251" y="1823535"/>
          <a:ext cx="0" cy="40576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10</xdr:col>
      <xdr:colOff>238362</xdr:colOff>
      <xdr:row>52</xdr:row>
      <xdr:rowOff>104776</xdr:rowOff>
    </xdr:from>
    <xdr:to>
      <xdr:col>12</xdr:col>
      <xdr:colOff>236458</xdr:colOff>
      <xdr:row>52</xdr:row>
      <xdr:rowOff>104776</xdr:rowOff>
    </xdr:to>
    <xdr:sp macro="" textlink="">
      <xdr:nvSpPr>
        <xdr:cNvPr id="1257" name="Line 518">
          <a:extLst>
            <a:ext uri="{FF2B5EF4-FFF2-40B4-BE49-F238E27FC236}">
              <a16:creationId xmlns:a16="http://schemas.microsoft.com/office/drawing/2014/main" id="{00000000-0008-0000-1500-0000E9040000}"/>
            </a:ext>
          </a:extLst>
        </xdr:cNvPr>
        <xdr:cNvSpPr>
          <a:spLocks noChangeShapeType="1"/>
        </xdr:cNvSpPr>
      </xdr:nvSpPr>
      <xdr:spPr bwMode="auto">
        <a:xfrm rot="5400000">
          <a:off x="2961560" y="11107103"/>
          <a:ext cx="0" cy="49339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20</xdr:col>
      <xdr:colOff>13920</xdr:colOff>
      <xdr:row>46</xdr:row>
      <xdr:rowOff>452</xdr:rowOff>
    </xdr:from>
    <xdr:to>
      <xdr:col>21</xdr:col>
      <xdr:colOff>189180</xdr:colOff>
      <xdr:row>46</xdr:row>
      <xdr:rowOff>452</xdr:rowOff>
    </xdr:to>
    <xdr:sp macro="" textlink="">
      <xdr:nvSpPr>
        <xdr:cNvPr id="1258" name="Line 492">
          <a:extLst>
            <a:ext uri="{FF2B5EF4-FFF2-40B4-BE49-F238E27FC236}">
              <a16:creationId xmlns:a16="http://schemas.microsoft.com/office/drawing/2014/main" id="{00000000-0008-0000-1500-0000EA040000}"/>
            </a:ext>
          </a:extLst>
        </xdr:cNvPr>
        <xdr:cNvSpPr>
          <a:spLocks noChangeShapeType="1"/>
        </xdr:cNvSpPr>
      </xdr:nvSpPr>
      <xdr:spPr bwMode="auto">
        <a:xfrm rot="5400000">
          <a:off x="15391081" y="1605414"/>
          <a:ext cx="0" cy="40957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23</xdr:col>
      <xdr:colOff>55428</xdr:colOff>
      <xdr:row>46</xdr:row>
      <xdr:rowOff>452</xdr:rowOff>
    </xdr:from>
    <xdr:to>
      <xdr:col>24</xdr:col>
      <xdr:colOff>228783</xdr:colOff>
      <xdr:row>46</xdr:row>
      <xdr:rowOff>452</xdr:rowOff>
    </xdr:to>
    <xdr:sp macro="" textlink="">
      <xdr:nvSpPr>
        <xdr:cNvPr id="1259" name="Line 493">
          <a:extLst>
            <a:ext uri="{FF2B5EF4-FFF2-40B4-BE49-F238E27FC236}">
              <a16:creationId xmlns:a16="http://schemas.microsoft.com/office/drawing/2014/main" id="{00000000-0008-0000-1500-0000EB040000}"/>
            </a:ext>
          </a:extLst>
        </xdr:cNvPr>
        <xdr:cNvSpPr>
          <a:spLocks noChangeShapeType="1"/>
        </xdr:cNvSpPr>
      </xdr:nvSpPr>
      <xdr:spPr bwMode="auto">
        <a:xfrm rot="5400000">
          <a:off x="16146011" y="1606367"/>
          <a:ext cx="0" cy="40767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21</xdr:col>
      <xdr:colOff>233155</xdr:colOff>
      <xdr:row>46</xdr:row>
      <xdr:rowOff>211228</xdr:rowOff>
    </xdr:from>
    <xdr:to>
      <xdr:col>21</xdr:col>
      <xdr:colOff>233155</xdr:colOff>
      <xdr:row>49</xdr:row>
      <xdr:rowOff>25491</xdr:rowOff>
    </xdr:to>
    <xdr:sp macro="" textlink="">
      <xdr:nvSpPr>
        <xdr:cNvPr id="1260" name="Line 513">
          <a:extLst>
            <a:ext uri="{FF2B5EF4-FFF2-40B4-BE49-F238E27FC236}">
              <a16:creationId xmlns:a16="http://schemas.microsoft.com/office/drawing/2014/main" id="{00000000-0008-0000-1500-0000EC040000}"/>
            </a:ext>
          </a:extLst>
        </xdr:cNvPr>
        <xdr:cNvSpPr>
          <a:spLocks noChangeShapeType="1"/>
        </xdr:cNvSpPr>
      </xdr:nvSpPr>
      <xdr:spPr bwMode="auto">
        <a:xfrm flipH="1">
          <a:off x="15641748" y="2017168"/>
          <a:ext cx="0" cy="481013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17</xdr:col>
      <xdr:colOff>27762</xdr:colOff>
      <xdr:row>46</xdr:row>
      <xdr:rowOff>208036</xdr:rowOff>
    </xdr:from>
    <xdr:to>
      <xdr:col>17</xdr:col>
      <xdr:colOff>27762</xdr:colOff>
      <xdr:row>49</xdr:row>
      <xdr:rowOff>19845</xdr:rowOff>
    </xdr:to>
    <xdr:sp macro="" textlink="">
      <xdr:nvSpPr>
        <xdr:cNvPr id="1261" name="Line 513">
          <a:extLst>
            <a:ext uri="{FF2B5EF4-FFF2-40B4-BE49-F238E27FC236}">
              <a16:creationId xmlns:a16="http://schemas.microsoft.com/office/drawing/2014/main" id="{00000000-0008-0000-1500-0000ED040000}"/>
            </a:ext>
          </a:extLst>
        </xdr:cNvPr>
        <xdr:cNvSpPr>
          <a:spLocks noChangeShapeType="1"/>
        </xdr:cNvSpPr>
      </xdr:nvSpPr>
      <xdr:spPr bwMode="auto">
        <a:xfrm>
          <a:off x="14480045" y="2021596"/>
          <a:ext cx="0" cy="470939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15</xdr:col>
      <xdr:colOff>199138</xdr:colOff>
      <xdr:row>46</xdr:row>
      <xdr:rowOff>186281</xdr:rowOff>
    </xdr:from>
    <xdr:to>
      <xdr:col>15</xdr:col>
      <xdr:colOff>199138</xdr:colOff>
      <xdr:row>48</xdr:row>
      <xdr:rowOff>214448</xdr:rowOff>
    </xdr:to>
    <xdr:sp macro="" textlink="">
      <xdr:nvSpPr>
        <xdr:cNvPr id="1262" name="Line 513">
          <a:extLst>
            <a:ext uri="{FF2B5EF4-FFF2-40B4-BE49-F238E27FC236}">
              <a16:creationId xmlns:a16="http://schemas.microsoft.com/office/drawing/2014/main" id="{00000000-0008-0000-1500-0000EE040000}"/>
            </a:ext>
          </a:extLst>
        </xdr:cNvPr>
        <xdr:cNvSpPr>
          <a:spLocks noChangeShapeType="1"/>
        </xdr:cNvSpPr>
      </xdr:nvSpPr>
      <xdr:spPr bwMode="auto">
        <a:xfrm flipH="1">
          <a:off x="14210731" y="1994126"/>
          <a:ext cx="0" cy="47076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28</xdr:col>
      <xdr:colOff>17689</xdr:colOff>
      <xdr:row>45</xdr:row>
      <xdr:rowOff>30752</xdr:rowOff>
    </xdr:from>
    <xdr:to>
      <xdr:col>28</xdr:col>
      <xdr:colOff>17689</xdr:colOff>
      <xdr:row>47</xdr:row>
      <xdr:rowOff>5443</xdr:rowOff>
    </xdr:to>
    <xdr:sp macro="" textlink="">
      <xdr:nvSpPr>
        <xdr:cNvPr id="1263" name="Line 82">
          <a:extLst>
            <a:ext uri="{FF2B5EF4-FFF2-40B4-BE49-F238E27FC236}">
              <a16:creationId xmlns:a16="http://schemas.microsoft.com/office/drawing/2014/main" id="{00000000-0008-0000-1500-0000EF040000}"/>
            </a:ext>
          </a:extLst>
        </xdr:cNvPr>
        <xdr:cNvSpPr>
          <a:spLocks noChangeShapeType="1"/>
        </xdr:cNvSpPr>
      </xdr:nvSpPr>
      <xdr:spPr bwMode="auto">
        <a:xfrm>
          <a:off x="17095062" y="1616347"/>
          <a:ext cx="0" cy="42300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29</xdr:col>
      <xdr:colOff>1089</xdr:colOff>
      <xdr:row>45</xdr:row>
      <xdr:rowOff>30752</xdr:rowOff>
    </xdr:from>
    <xdr:to>
      <xdr:col>29</xdr:col>
      <xdr:colOff>1089</xdr:colOff>
      <xdr:row>47</xdr:row>
      <xdr:rowOff>5443</xdr:rowOff>
    </xdr:to>
    <xdr:sp macro="" textlink="">
      <xdr:nvSpPr>
        <xdr:cNvPr id="1264" name="Line 85">
          <a:extLst>
            <a:ext uri="{FF2B5EF4-FFF2-40B4-BE49-F238E27FC236}">
              <a16:creationId xmlns:a16="http://schemas.microsoft.com/office/drawing/2014/main" id="{00000000-0008-0000-1500-0000F0040000}"/>
            </a:ext>
          </a:extLst>
        </xdr:cNvPr>
        <xdr:cNvSpPr>
          <a:spLocks noChangeShapeType="1"/>
        </xdr:cNvSpPr>
      </xdr:nvSpPr>
      <xdr:spPr bwMode="auto">
        <a:xfrm>
          <a:off x="17312777" y="1616347"/>
          <a:ext cx="0" cy="42300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32</xdr:col>
      <xdr:colOff>24767</xdr:colOff>
      <xdr:row>44</xdr:row>
      <xdr:rowOff>18325</xdr:rowOff>
    </xdr:from>
    <xdr:to>
      <xdr:col>33</xdr:col>
      <xdr:colOff>203837</xdr:colOff>
      <xdr:row>44</xdr:row>
      <xdr:rowOff>18325</xdr:rowOff>
    </xdr:to>
    <xdr:sp macro="" textlink="">
      <xdr:nvSpPr>
        <xdr:cNvPr id="1265" name="Line 77">
          <a:extLst>
            <a:ext uri="{FF2B5EF4-FFF2-40B4-BE49-F238E27FC236}">
              <a16:creationId xmlns:a16="http://schemas.microsoft.com/office/drawing/2014/main" id="{00000000-0008-0000-1500-0000F1040000}"/>
            </a:ext>
          </a:extLst>
        </xdr:cNvPr>
        <xdr:cNvSpPr>
          <a:spLocks noChangeShapeType="1"/>
        </xdr:cNvSpPr>
      </xdr:nvSpPr>
      <xdr:spPr bwMode="auto">
        <a:xfrm rot="5400000">
          <a:off x="18251490" y="1182915"/>
          <a:ext cx="0" cy="40894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30482</xdr:colOff>
      <xdr:row>44</xdr:row>
      <xdr:rowOff>18325</xdr:rowOff>
    </xdr:from>
    <xdr:to>
      <xdr:col>36</xdr:col>
      <xdr:colOff>207647</xdr:colOff>
      <xdr:row>44</xdr:row>
      <xdr:rowOff>18325</xdr:rowOff>
    </xdr:to>
    <xdr:sp macro="" textlink="">
      <xdr:nvSpPr>
        <xdr:cNvPr id="1266" name="Line 79">
          <a:extLst>
            <a:ext uri="{FF2B5EF4-FFF2-40B4-BE49-F238E27FC236}">
              <a16:creationId xmlns:a16="http://schemas.microsoft.com/office/drawing/2014/main" id="{00000000-0008-0000-1500-0000F2040000}"/>
            </a:ext>
          </a:extLst>
        </xdr:cNvPr>
        <xdr:cNvSpPr>
          <a:spLocks noChangeShapeType="1"/>
        </xdr:cNvSpPr>
      </xdr:nvSpPr>
      <xdr:spPr bwMode="auto">
        <a:xfrm rot="5400000">
          <a:off x="18923955" y="1184820"/>
          <a:ext cx="0" cy="40513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38</xdr:col>
      <xdr:colOff>27760</xdr:colOff>
      <xdr:row>43</xdr:row>
      <xdr:rowOff>8529</xdr:rowOff>
    </xdr:from>
    <xdr:to>
      <xdr:col>39</xdr:col>
      <xdr:colOff>214450</xdr:colOff>
      <xdr:row>43</xdr:row>
      <xdr:rowOff>8529</xdr:rowOff>
    </xdr:to>
    <xdr:sp macro="" textlink="">
      <xdr:nvSpPr>
        <xdr:cNvPr id="1267" name="Line 77">
          <a:extLst>
            <a:ext uri="{FF2B5EF4-FFF2-40B4-BE49-F238E27FC236}">
              <a16:creationId xmlns:a16="http://schemas.microsoft.com/office/drawing/2014/main" id="{00000000-0008-0000-1500-0000F3040000}"/>
            </a:ext>
          </a:extLst>
        </xdr:cNvPr>
        <xdr:cNvSpPr>
          <a:spLocks noChangeShapeType="1"/>
        </xdr:cNvSpPr>
      </xdr:nvSpPr>
      <xdr:spPr bwMode="auto">
        <a:xfrm rot="5400000">
          <a:off x="19588936" y="949916"/>
          <a:ext cx="0" cy="40703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37285</xdr:colOff>
      <xdr:row>43</xdr:row>
      <xdr:rowOff>8529</xdr:rowOff>
    </xdr:from>
    <xdr:to>
      <xdr:col>43</xdr:col>
      <xdr:colOff>546</xdr:colOff>
      <xdr:row>43</xdr:row>
      <xdr:rowOff>8529</xdr:rowOff>
    </xdr:to>
    <xdr:sp macro="" textlink="">
      <xdr:nvSpPr>
        <xdr:cNvPr id="1268" name="Line 79">
          <a:extLst>
            <a:ext uri="{FF2B5EF4-FFF2-40B4-BE49-F238E27FC236}">
              <a16:creationId xmlns:a16="http://schemas.microsoft.com/office/drawing/2014/main" id="{00000000-0008-0000-1500-0000F4040000}"/>
            </a:ext>
          </a:extLst>
        </xdr:cNvPr>
        <xdr:cNvSpPr>
          <a:spLocks noChangeShapeType="1"/>
        </xdr:cNvSpPr>
      </xdr:nvSpPr>
      <xdr:spPr bwMode="auto">
        <a:xfrm rot="5400000">
          <a:off x="20267479" y="949553"/>
          <a:ext cx="0" cy="40776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39</xdr:col>
      <xdr:colOff>229329</xdr:colOff>
      <xdr:row>42</xdr:row>
      <xdr:rowOff>213359</xdr:rowOff>
    </xdr:from>
    <xdr:to>
      <xdr:col>39</xdr:col>
      <xdr:colOff>229329</xdr:colOff>
      <xdr:row>44</xdr:row>
      <xdr:rowOff>210910</xdr:rowOff>
    </xdr:to>
    <xdr:sp macro="" textlink="">
      <xdr:nvSpPr>
        <xdr:cNvPr id="1271" name="Line 82">
          <a:extLst>
            <a:ext uri="{FF2B5EF4-FFF2-40B4-BE49-F238E27FC236}">
              <a16:creationId xmlns:a16="http://schemas.microsoft.com/office/drawing/2014/main" id="{00000000-0008-0000-1500-0000F7040000}"/>
            </a:ext>
          </a:extLst>
        </xdr:cNvPr>
        <xdr:cNvSpPr>
          <a:spLocks noChangeShapeType="1"/>
        </xdr:cNvSpPr>
      </xdr:nvSpPr>
      <xdr:spPr bwMode="auto">
        <a:xfrm>
          <a:off x="9516204" y="9389109"/>
          <a:ext cx="0" cy="44205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41</xdr:col>
      <xdr:colOff>27487</xdr:colOff>
      <xdr:row>42</xdr:row>
      <xdr:rowOff>202745</xdr:rowOff>
    </xdr:from>
    <xdr:to>
      <xdr:col>41</xdr:col>
      <xdr:colOff>27487</xdr:colOff>
      <xdr:row>44</xdr:row>
      <xdr:rowOff>202201</xdr:rowOff>
    </xdr:to>
    <xdr:sp macro="" textlink="">
      <xdr:nvSpPr>
        <xdr:cNvPr id="1272" name="Line 82">
          <a:extLst>
            <a:ext uri="{FF2B5EF4-FFF2-40B4-BE49-F238E27FC236}">
              <a16:creationId xmlns:a16="http://schemas.microsoft.com/office/drawing/2014/main" id="{00000000-0008-0000-1500-0000F8040000}"/>
            </a:ext>
          </a:extLst>
        </xdr:cNvPr>
        <xdr:cNvSpPr>
          <a:spLocks noChangeShapeType="1"/>
        </xdr:cNvSpPr>
      </xdr:nvSpPr>
      <xdr:spPr bwMode="auto">
        <a:xfrm>
          <a:off x="20051895" y="1127305"/>
          <a:ext cx="0" cy="44395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8</xdr:col>
      <xdr:colOff>18867</xdr:colOff>
      <xdr:row>48</xdr:row>
      <xdr:rowOff>20907</xdr:rowOff>
    </xdr:from>
    <xdr:to>
      <xdr:col>9</xdr:col>
      <xdr:colOff>210910</xdr:colOff>
      <xdr:row>48</xdr:row>
      <xdr:rowOff>20907</xdr:rowOff>
    </xdr:to>
    <xdr:sp macro="" textlink="">
      <xdr:nvSpPr>
        <xdr:cNvPr id="1273" name="Line 492">
          <a:extLst>
            <a:ext uri="{FF2B5EF4-FFF2-40B4-BE49-F238E27FC236}">
              <a16:creationId xmlns:a16="http://schemas.microsoft.com/office/drawing/2014/main" id="{00000000-0008-0000-1500-0000F9040000}"/>
            </a:ext>
          </a:extLst>
        </xdr:cNvPr>
        <xdr:cNvSpPr>
          <a:spLocks noChangeShapeType="1"/>
        </xdr:cNvSpPr>
      </xdr:nvSpPr>
      <xdr:spPr bwMode="auto">
        <a:xfrm rot="5400000">
          <a:off x="12703764" y="2060073"/>
          <a:ext cx="0" cy="422548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11</xdr:col>
      <xdr:colOff>22544</xdr:colOff>
      <xdr:row>48</xdr:row>
      <xdr:rowOff>20907</xdr:rowOff>
    </xdr:from>
    <xdr:to>
      <xdr:col>13</xdr:col>
      <xdr:colOff>21727</xdr:colOff>
      <xdr:row>48</xdr:row>
      <xdr:rowOff>20907</xdr:rowOff>
    </xdr:to>
    <xdr:sp macro="" textlink="">
      <xdr:nvSpPr>
        <xdr:cNvPr id="1274" name="Line 493">
          <a:extLst>
            <a:ext uri="{FF2B5EF4-FFF2-40B4-BE49-F238E27FC236}">
              <a16:creationId xmlns:a16="http://schemas.microsoft.com/office/drawing/2014/main" id="{00000000-0008-0000-1500-0000FA040000}"/>
            </a:ext>
          </a:extLst>
        </xdr:cNvPr>
        <xdr:cNvSpPr>
          <a:spLocks noChangeShapeType="1"/>
        </xdr:cNvSpPr>
      </xdr:nvSpPr>
      <xdr:spPr bwMode="auto">
        <a:xfrm rot="5400000">
          <a:off x="13408889" y="2065380"/>
          <a:ext cx="0" cy="411933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35</xdr:col>
      <xdr:colOff>13607</xdr:colOff>
      <xdr:row>43</xdr:row>
      <xdr:rowOff>163286</xdr:rowOff>
    </xdr:from>
    <xdr:to>
      <xdr:col>35</xdr:col>
      <xdr:colOff>13607</xdr:colOff>
      <xdr:row>45</xdr:row>
      <xdr:rowOff>24670</xdr:rowOff>
    </xdr:to>
    <xdr:sp macro="" textlink="">
      <xdr:nvSpPr>
        <xdr:cNvPr id="1275" name="Line 749">
          <a:extLst>
            <a:ext uri="{FF2B5EF4-FFF2-40B4-BE49-F238E27FC236}">
              <a16:creationId xmlns:a16="http://schemas.microsoft.com/office/drawing/2014/main" id="{00000000-0008-0000-1500-0000FB040000}"/>
            </a:ext>
          </a:extLst>
        </xdr:cNvPr>
        <xdr:cNvSpPr>
          <a:spLocks noChangeShapeType="1"/>
        </xdr:cNvSpPr>
      </xdr:nvSpPr>
      <xdr:spPr bwMode="auto">
        <a:xfrm>
          <a:off x="18710230" y="1308191"/>
          <a:ext cx="0" cy="300169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33</xdr:col>
      <xdr:colOff>213632</xdr:colOff>
      <xdr:row>43</xdr:row>
      <xdr:rowOff>172811</xdr:rowOff>
    </xdr:from>
    <xdr:to>
      <xdr:col>33</xdr:col>
      <xdr:colOff>213632</xdr:colOff>
      <xdr:row>45</xdr:row>
      <xdr:rowOff>38005</xdr:rowOff>
    </xdr:to>
    <xdr:sp macro="" textlink="">
      <xdr:nvSpPr>
        <xdr:cNvPr id="1276" name="Line 749">
          <a:extLst>
            <a:ext uri="{FF2B5EF4-FFF2-40B4-BE49-F238E27FC236}">
              <a16:creationId xmlns:a16="http://schemas.microsoft.com/office/drawing/2014/main" id="{00000000-0008-0000-1500-0000FC040000}"/>
            </a:ext>
          </a:extLst>
        </xdr:cNvPr>
        <xdr:cNvSpPr>
          <a:spLocks noChangeShapeType="1"/>
        </xdr:cNvSpPr>
      </xdr:nvSpPr>
      <xdr:spPr bwMode="auto">
        <a:xfrm>
          <a:off x="18458135" y="1312001"/>
          <a:ext cx="0" cy="313504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23</xdr:col>
      <xdr:colOff>23133</xdr:colOff>
      <xdr:row>45</xdr:row>
      <xdr:rowOff>159203</xdr:rowOff>
    </xdr:from>
    <xdr:to>
      <xdr:col>23</xdr:col>
      <xdr:colOff>23133</xdr:colOff>
      <xdr:row>47</xdr:row>
      <xdr:rowOff>24398</xdr:rowOff>
    </xdr:to>
    <xdr:sp macro="" textlink="">
      <xdr:nvSpPr>
        <xdr:cNvPr id="1277" name="Line 749">
          <a:extLst>
            <a:ext uri="{FF2B5EF4-FFF2-40B4-BE49-F238E27FC236}">
              <a16:creationId xmlns:a16="http://schemas.microsoft.com/office/drawing/2014/main" id="{00000000-0008-0000-1500-0000FD040000}"/>
            </a:ext>
          </a:extLst>
        </xdr:cNvPr>
        <xdr:cNvSpPr>
          <a:spLocks noChangeShapeType="1"/>
        </xdr:cNvSpPr>
      </xdr:nvSpPr>
      <xdr:spPr bwMode="auto">
        <a:xfrm>
          <a:off x="15902261" y="1748608"/>
          <a:ext cx="0" cy="30398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21</xdr:col>
      <xdr:colOff>234043</xdr:colOff>
      <xdr:row>45</xdr:row>
      <xdr:rowOff>172810</xdr:rowOff>
    </xdr:from>
    <xdr:to>
      <xdr:col>21</xdr:col>
      <xdr:colOff>234043</xdr:colOff>
      <xdr:row>47</xdr:row>
      <xdr:rowOff>38005</xdr:rowOff>
    </xdr:to>
    <xdr:sp macro="" textlink="">
      <xdr:nvSpPr>
        <xdr:cNvPr id="1278" name="Line 749">
          <a:extLst>
            <a:ext uri="{FF2B5EF4-FFF2-40B4-BE49-F238E27FC236}">
              <a16:creationId xmlns:a16="http://schemas.microsoft.com/office/drawing/2014/main" id="{00000000-0008-0000-1500-0000FE040000}"/>
            </a:ext>
          </a:extLst>
        </xdr:cNvPr>
        <xdr:cNvSpPr>
          <a:spLocks noChangeShapeType="1"/>
        </xdr:cNvSpPr>
      </xdr:nvSpPr>
      <xdr:spPr bwMode="auto">
        <a:xfrm>
          <a:off x="15642636" y="1756500"/>
          <a:ext cx="0" cy="31350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23</xdr:col>
      <xdr:colOff>23133</xdr:colOff>
      <xdr:row>45</xdr:row>
      <xdr:rowOff>159203</xdr:rowOff>
    </xdr:from>
    <xdr:to>
      <xdr:col>23</xdr:col>
      <xdr:colOff>23133</xdr:colOff>
      <xdr:row>47</xdr:row>
      <xdr:rowOff>18683</xdr:rowOff>
    </xdr:to>
    <xdr:sp macro="" textlink="">
      <xdr:nvSpPr>
        <xdr:cNvPr id="1279" name="Line 749">
          <a:extLst>
            <a:ext uri="{FF2B5EF4-FFF2-40B4-BE49-F238E27FC236}">
              <a16:creationId xmlns:a16="http://schemas.microsoft.com/office/drawing/2014/main" id="{00000000-0008-0000-1500-0000FF040000}"/>
            </a:ext>
          </a:extLst>
        </xdr:cNvPr>
        <xdr:cNvSpPr>
          <a:spLocks noChangeShapeType="1"/>
        </xdr:cNvSpPr>
      </xdr:nvSpPr>
      <xdr:spPr bwMode="auto">
        <a:xfrm>
          <a:off x="15902261" y="1748608"/>
          <a:ext cx="0" cy="30588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9</xdr:col>
      <xdr:colOff>208734</xdr:colOff>
      <xdr:row>47</xdr:row>
      <xdr:rowOff>211727</xdr:rowOff>
    </xdr:from>
    <xdr:to>
      <xdr:col>9</xdr:col>
      <xdr:colOff>208734</xdr:colOff>
      <xdr:row>49</xdr:row>
      <xdr:rowOff>76921</xdr:rowOff>
    </xdr:to>
    <xdr:sp macro="" textlink="">
      <xdr:nvSpPr>
        <xdr:cNvPr id="1280" name="Line 749">
          <a:extLst>
            <a:ext uri="{FF2B5EF4-FFF2-40B4-BE49-F238E27FC236}">
              <a16:creationId xmlns:a16="http://schemas.microsoft.com/office/drawing/2014/main" id="{00000000-0008-0000-1500-000000050000}"/>
            </a:ext>
          </a:extLst>
        </xdr:cNvPr>
        <xdr:cNvSpPr>
          <a:spLocks noChangeShapeType="1"/>
        </xdr:cNvSpPr>
      </xdr:nvSpPr>
      <xdr:spPr bwMode="auto">
        <a:xfrm>
          <a:off x="12920482" y="2239917"/>
          <a:ext cx="0" cy="313504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10</xdr:col>
      <xdr:colOff>232139</xdr:colOff>
      <xdr:row>47</xdr:row>
      <xdr:rowOff>201930</xdr:rowOff>
    </xdr:from>
    <xdr:to>
      <xdr:col>10</xdr:col>
      <xdr:colOff>232139</xdr:colOff>
      <xdr:row>49</xdr:row>
      <xdr:rowOff>57599</xdr:rowOff>
    </xdr:to>
    <xdr:sp macro="" textlink="">
      <xdr:nvSpPr>
        <xdr:cNvPr id="1281" name="Line 749">
          <a:extLst>
            <a:ext uri="{FF2B5EF4-FFF2-40B4-BE49-F238E27FC236}">
              <a16:creationId xmlns:a16="http://schemas.microsoft.com/office/drawing/2014/main" id="{00000000-0008-0000-1500-000001050000}"/>
            </a:ext>
          </a:extLst>
        </xdr:cNvPr>
        <xdr:cNvSpPr>
          <a:spLocks noChangeShapeType="1"/>
        </xdr:cNvSpPr>
      </xdr:nvSpPr>
      <xdr:spPr bwMode="auto">
        <a:xfrm>
          <a:off x="13178202" y="2237740"/>
          <a:ext cx="0" cy="292549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17</xdr:col>
      <xdr:colOff>8810</xdr:colOff>
      <xdr:row>54</xdr:row>
      <xdr:rowOff>84458</xdr:rowOff>
    </xdr:from>
    <xdr:to>
      <xdr:col>19</xdr:col>
      <xdr:colOff>8811</xdr:colOff>
      <xdr:row>54</xdr:row>
      <xdr:rowOff>84458</xdr:rowOff>
    </xdr:to>
    <xdr:sp macro="" textlink="">
      <xdr:nvSpPr>
        <xdr:cNvPr id="1282" name="Line 518">
          <a:extLst>
            <a:ext uri="{FF2B5EF4-FFF2-40B4-BE49-F238E27FC236}">
              <a16:creationId xmlns:a16="http://schemas.microsoft.com/office/drawing/2014/main" id="{00000000-0008-0000-1500-000002050000}"/>
            </a:ext>
          </a:extLst>
        </xdr:cNvPr>
        <xdr:cNvSpPr>
          <a:spLocks noChangeShapeType="1"/>
        </xdr:cNvSpPr>
      </xdr:nvSpPr>
      <xdr:spPr bwMode="auto">
        <a:xfrm rot="5400000">
          <a:off x="4466511" y="11523982"/>
          <a:ext cx="0" cy="49530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219808</xdr:colOff>
      <xdr:row>9</xdr:row>
      <xdr:rowOff>19050</xdr:rowOff>
    </xdr:from>
    <xdr:to>
      <xdr:col>45</xdr:col>
      <xdr:colOff>219808</xdr:colOff>
      <xdr:row>10</xdr:row>
      <xdr:rowOff>209550</xdr:rowOff>
    </xdr:to>
    <xdr:sp macro="" textlink="">
      <xdr:nvSpPr>
        <xdr:cNvPr id="1283" name="Line 108">
          <a:extLst>
            <a:ext uri="{FF2B5EF4-FFF2-40B4-BE49-F238E27FC236}">
              <a16:creationId xmlns:a16="http://schemas.microsoft.com/office/drawing/2014/main" id="{00000000-0008-0000-1500-000003050000}"/>
            </a:ext>
          </a:extLst>
        </xdr:cNvPr>
        <xdr:cNvSpPr>
          <a:spLocks noChangeShapeType="1"/>
        </xdr:cNvSpPr>
      </xdr:nvSpPr>
      <xdr:spPr bwMode="auto">
        <a:xfrm>
          <a:off x="9504778" y="2047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219117</xdr:colOff>
      <xdr:row>7</xdr:row>
      <xdr:rowOff>907</xdr:rowOff>
    </xdr:from>
    <xdr:to>
      <xdr:col>45</xdr:col>
      <xdr:colOff>219117</xdr:colOff>
      <xdr:row>8</xdr:row>
      <xdr:rowOff>204932</xdr:rowOff>
    </xdr:to>
    <xdr:sp macro="" textlink="">
      <xdr:nvSpPr>
        <xdr:cNvPr id="1284" name="Line 118">
          <a:extLst>
            <a:ext uri="{FF2B5EF4-FFF2-40B4-BE49-F238E27FC236}">
              <a16:creationId xmlns:a16="http://schemas.microsoft.com/office/drawing/2014/main" id="{00000000-0008-0000-1500-000004050000}"/>
            </a:ext>
          </a:extLst>
        </xdr:cNvPr>
        <xdr:cNvSpPr>
          <a:spLocks noChangeShapeType="1"/>
        </xdr:cNvSpPr>
      </xdr:nvSpPr>
      <xdr:spPr bwMode="auto">
        <a:xfrm>
          <a:off x="9504087" y="1588407"/>
          <a:ext cx="0" cy="43008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5030</xdr:colOff>
      <xdr:row>7</xdr:row>
      <xdr:rowOff>19050</xdr:rowOff>
    </xdr:from>
    <xdr:to>
      <xdr:col>47</xdr:col>
      <xdr:colOff>5030</xdr:colOff>
      <xdr:row>9</xdr:row>
      <xdr:rowOff>1732</xdr:rowOff>
    </xdr:to>
    <xdr:sp macro="" textlink="">
      <xdr:nvSpPr>
        <xdr:cNvPr id="1285" name="Line 121">
          <a:extLst>
            <a:ext uri="{FF2B5EF4-FFF2-40B4-BE49-F238E27FC236}">
              <a16:creationId xmlns:a16="http://schemas.microsoft.com/office/drawing/2014/main" id="{00000000-0008-0000-1500-000005050000}"/>
            </a:ext>
          </a:extLst>
        </xdr:cNvPr>
        <xdr:cNvSpPr>
          <a:spLocks noChangeShapeType="1"/>
        </xdr:cNvSpPr>
      </xdr:nvSpPr>
      <xdr:spPr bwMode="auto">
        <a:xfrm>
          <a:off x="9785935" y="1602740"/>
          <a:ext cx="0" cy="43099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44</xdr:col>
      <xdr:colOff>28575</xdr:colOff>
      <xdr:row>8</xdr:row>
      <xdr:rowOff>219075</xdr:rowOff>
    </xdr:from>
    <xdr:to>
      <xdr:col>45</xdr:col>
      <xdr:colOff>209550</xdr:colOff>
      <xdr:row>8</xdr:row>
      <xdr:rowOff>219075</xdr:rowOff>
    </xdr:to>
    <xdr:sp macro="" textlink="">
      <xdr:nvSpPr>
        <xdr:cNvPr id="1286" name="Line 124">
          <a:extLst>
            <a:ext uri="{FF2B5EF4-FFF2-40B4-BE49-F238E27FC236}">
              <a16:creationId xmlns:a16="http://schemas.microsoft.com/office/drawing/2014/main" id="{00000000-0008-0000-1500-000006050000}"/>
            </a:ext>
          </a:extLst>
        </xdr:cNvPr>
        <xdr:cNvSpPr>
          <a:spLocks noChangeShapeType="1"/>
        </xdr:cNvSpPr>
      </xdr:nvSpPr>
      <xdr:spPr bwMode="auto">
        <a:xfrm rot="5400000">
          <a:off x="9280049" y="1814354"/>
          <a:ext cx="0" cy="42513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11904</xdr:colOff>
      <xdr:row>8</xdr:row>
      <xdr:rowOff>219473</xdr:rowOff>
    </xdr:from>
    <xdr:to>
      <xdr:col>49</xdr:col>
      <xdr:colOff>21771</xdr:colOff>
      <xdr:row>8</xdr:row>
      <xdr:rowOff>221342</xdr:rowOff>
    </xdr:to>
    <xdr:sp macro="" textlink="">
      <xdr:nvSpPr>
        <xdr:cNvPr id="1287" name="Line 127">
          <a:extLst>
            <a:ext uri="{FF2B5EF4-FFF2-40B4-BE49-F238E27FC236}">
              <a16:creationId xmlns:a16="http://schemas.microsoft.com/office/drawing/2014/main" id="{00000000-0008-0000-1500-000007050000}"/>
            </a:ext>
          </a:extLst>
        </xdr:cNvPr>
        <xdr:cNvSpPr>
          <a:spLocks noChangeShapeType="1"/>
        </xdr:cNvSpPr>
      </xdr:nvSpPr>
      <xdr:spPr bwMode="auto">
        <a:xfrm rot="5400000" flipH="1">
          <a:off x="10036997" y="1785035"/>
          <a:ext cx="1869" cy="48643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5861</xdr:colOff>
      <xdr:row>9</xdr:row>
      <xdr:rowOff>19050</xdr:rowOff>
    </xdr:from>
    <xdr:to>
      <xdr:col>47</xdr:col>
      <xdr:colOff>5861</xdr:colOff>
      <xdr:row>10</xdr:row>
      <xdr:rowOff>209550</xdr:rowOff>
    </xdr:to>
    <xdr:sp macro="" textlink="">
      <xdr:nvSpPr>
        <xdr:cNvPr id="1288" name="Line 137">
          <a:extLst>
            <a:ext uri="{FF2B5EF4-FFF2-40B4-BE49-F238E27FC236}">
              <a16:creationId xmlns:a16="http://schemas.microsoft.com/office/drawing/2014/main" id="{00000000-0008-0000-1500-000008050000}"/>
            </a:ext>
          </a:extLst>
        </xdr:cNvPr>
        <xdr:cNvSpPr>
          <a:spLocks noChangeShapeType="1"/>
        </xdr:cNvSpPr>
      </xdr:nvSpPr>
      <xdr:spPr bwMode="auto">
        <a:xfrm>
          <a:off x="9786766" y="2047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44</xdr:col>
      <xdr:colOff>10432</xdr:colOff>
      <xdr:row>6</xdr:row>
      <xdr:rowOff>202899</xdr:rowOff>
    </xdr:from>
    <xdr:to>
      <xdr:col>45</xdr:col>
      <xdr:colOff>191407</xdr:colOff>
      <xdr:row>6</xdr:row>
      <xdr:rowOff>202899</xdr:rowOff>
    </xdr:to>
    <xdr:sp macro="" textlink="">
      <xdr:nvSpPr>
        <xdr:cNvPr id="1289" name="Line 140">
          <a:extLst>
            <a:ext uri="{FF2B5EF4-FFF2-40B4-BE49-F238E27FC236}">
              <a16:creationId xmlns:a16="http://schemas.microsoft.com/office/drawing/2014/main" id="{00000000-0008-0000-1500-000009050000}"/>
            </a:ext>
          </a:extLst>
        </xdr:cNvPr>
        <xdr:cNvSpPr>
          <a:spLocks noChangeShapeType="1"/>
        </xdr:cNvSpPr>
      </xdr:nvSpPr>
      <xdr:spPr bwMode="auto">
        <a:xfrm rot="5400000">
          <a:off x="9265716" y="1359393"/>
          <a:ext cx="0" cy="42513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249884</xdr:colOff>
      <xdr:row>9</xdr:row>
      <xdr:rowOff>14096</xdr:rowOff>
    </xdr:from>
    <xdr:to>
      <xdr:col>45</xdr:col>
      <xdr:colOff>249884</xdr:colOff>
      <xdr:row>10</xdr:row>
      <xdr:rowOff>214854</xdr:rowOff>
    </xdr:to>
    <xdr:sp macro="" textlink="">
      <xdr:nvSpPr>
        <xdr:cNvPr id="1290" name="Line 154">
          <a:extLst>
            <a:ext uri="{FF2B5EF4-FFF2-40B4-BE49-F238E27FC236}">
              <a16:creationId xmlns:a16="http://schemas.microsoft.com/office/drawing/2014/main" id="{00000000-0008-0000-1500-00000A050000}"/>
            </a:ext>
          </a:extLst>
        </xdr:cNvPr>
        <xdr:cNvSpPr>
          <a:spLocks noChangeShapeType="1"/>
        </xdr:cNvSpPr>
      </xdr:nvSpPr>
      <xdr:spPr bwMode="auto">
        <a:xfrm>
          <a:off x="9532949" y="2049906"/>
          <a:ext cx="0" cy="415388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47</xdr:col>
      <xdr:colOff>33704</xdr:colOff>
      <xdr:row>8</xdr:row>
      <xdr:rowOff>210283</xdr:rowOff>
    </xdr:from>
    <xdr:to>
      <xdr:col>47</xdr:col>
      <xdr:colOff>33704</xdr:colOff>
      <xdr:row>10</xdr:row>
      <xdr:rowOff>191233</xdr:rowOff>
    </xdr:to>
    <xdr:sp macro="" textlink="">
      <xdr:nvSpPr>
        <xdr:cNvPr id="1291" name="Line 154">
          <a:extLst>
            <a:ext uri="{FF2B5EF4-FFF2-40B4-BE49-F238E27FC236}">
              <a16:creationId xmlns:a16="http://schemas.microsoft.com/office/drawing/2014/main" id="{00000000-0008-0000-1500-00000B050000}"/>
            </a:ext>
          </a:extLst>
        </xdr:cNvPr>
        <xdr:cNvSpPr>
          <a:spLocks noChangeShapeType="1"/>
        </xdr:cNvSpPr>
      </xdr:nvSpPr>
      <xdr:spPr bwMode="auto">
        <a:xfrm>
          <a:off x="9810799" y="2016223"/>
          <a:ext cx="0" cy="42926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44</xdr:col>
      <xdr:colOff>16270</xdr:colOff>
      <xdr:row>7</xdr:row>
      <xdr:rowOff>4088</xdr:rowOff>
    </xdr:from>
    <xdr:to>
      <xdr:col>44</xdr:col>
      <xdr:colOff>16270</xdr:colOff>
      <xdr:row>8</xdr:row>
      <xdr:rowOff>212750</xdr:rowOff>
    </xdr:to>
    <xdr:sp macro="" textlink="">
      <xdr:nvSpPr>
        <xdr:cNvPr id="1292" name="Line 510">
          <a:extLst>
            <a:ext uri="{FF2B5EF4-FFF2-40B4-BE49-F238E27FC236}">
              <a16:creationId xmlns:a16="http://schemas.microsoft.com/office/drawing/2014/main" id="{00000000-0008-0000-1500-00000C050000}"/>
            </a:ext>
          </a:extLst>
        </xdr:cNvPr>
        <xdr:cNvSpPr>
          <a:spLocks noChangeShapeType="1"/>
        </xdr:cNvSpPr>
      </xdr:nvSpPr>
      <xdr:spPr bwMode="auto">
        <a:xfrm>
          <a:off x="9060893" y="1593493"/>
          <a:ext cx="0" cy="4251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44</xdr:col>
      <xdr:colOff>5235</xdr:colOff>
      <xdr:row>9</xdr:row>
      <xdr:rowOff>17166</xdr:rowOff>
    </xdr:from>
    <xdr:to>
      <xdr:col>44</xdr:col>
      <xdr:colOff>5235</xdr:colOff>
      <xdr:row>10</xdr:row>
      <xdr:rowOff>216304</xdr:rowOff>
    </xdr:to>
    <xdr:sp macro="" textlink="">
      <xdr:nvSpPr>
        <xdr:cNvPr id="1293" name="Line 510">
          <a:extLst>
            <a:ext uri="{FF2B5EF4-FFF2-40B4-BE49-F238E27FC236}">
              <a16:creationId xmlns:a16="http://schemas.microsoft.com/office/drawing/2014/main" id="{00000000-0008-0000-1500-00000D050000}"/>
            </a:ext>
          </a:extLst>
        </xdr:cNvPr>
        <xdr:cNvSpPr>
          <a:spLocks noChangeShapeType="1"/>
        </xdr:cNvSpPr>
      </xdr:nvSpPr>
      <xdr:spPr bwMode="auto">
        <a:xfrm>
          <a:off x="9047953" y="2052976"/>
          <a:ext cx="0" cy="41376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48</xdr:col>
      <xdr:colOff>216286</xdr:colOff>
      <xdr:row>6</xdr:row>
      <xdr:rowOff>216959</xdr:rowOff>
    </xdr:from>
    <xdr:to>
      <xdr:col>48</xdr:col>
      <xdr:colOff>216286</xdr:colOff>
      <xdr:row>8</xdr:row>
      <xdr:rowOff>199640</xdr:rowOff>
    </xdr:to>
    <xdr:sp macro="" textlink="">
      <xdr:nvSpPr>
        <xdr:cNvPr id="1294" name="Line 510">
          <a:extLst>
            <a:ext uri="{FF2B5EF4-FFF2-40B4-BE49-F238E27FC236}">
              <a16:creationId xmlns:a16="http://schemas.microsoft.com/office/drawing/2014/main" id="{00000000-0008-0000-1500-00000E050000}"/>
            </a:ext>
          </a:extLst>
        </xdr:cNvPr>
        <xdr:cNvSpPr>
          <a:spLocks noChangeShapeType="1"/>
        </xdr:cNvSpPr>
      </xdr:nvSpPr>
      <xdr:spPr bwMode="auto">
        <a:xfrm>
          <a:off x="10237539" y="1578399"/>
          <a:ext cx="0" cy="4328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48</xdr:col>
      <xdr:colOff>223405</xdr:colOff>
      <xdr:row>9</xdr:row>
      <xdr:rowOff>24245</xdr:rowOff>
    </xdr:from>
    <xdr:to>
      <xdr:col>48</xdr:col>
      <xdr:colOff>223405</xdr:colOff>
      <xdr:row>11</xdr:row>
      <xdr:rowOff>6927</xdr:rowOff>
    </xdr:to>
    <xdr:sp macro="" textlink="">
      <xdr:nvSpPr>
        <xdr:cNvPr id="1295" name="Line 510">
          <a:extLst>
            <a:ext uri="{FF2B5EF4-FFF2-40B4-BE49-F238E27FC236}">
              <a16:creationId xmlns:a16="http://schemas.microsoft.com/office/drawing/2014/main" id="{00000000-0008-0000-1500-00000F050000}"/>
            </a:ext>
          </a:extLst>
        </xdr:cNvPr>
        <xdr:cNvSpPr>
          <a:spLocks noChangeShapeType="1"/>
        </xdr:cNvSpPr>
      </xdr:nvSpPr>
      <xdr:spPr bwMode="auto">
        <a:xfrm>
          <a:off x="10246563" y="2052435"/>
          <a:ext cx="0" cy="4328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45</xdr:col>
      <xdr:colOff>244021</xdr:colOff>
      <xdr:row>6</xdr:row>
      <xdr:rowOff>215817</xdr:rowOff>
    </xdr:from>
    <xdr:to>
      <xdr:col>45</xdr:col>
      <xdr:colOff>244021</xdr:colOff>
      <xdr:row>8</xdr:row>
      <xdr:rowOff>184975</xdr:rowOff>
    </xdr:to>
    <xdr:sp macro="" textlink="">
      <xdr:nvSpPr>
        <xdr:cNvPr id="1296" name="Line 510">
          <a:extLst>
            <a:ext uri="{FF2B5EF4-FFF2-40B4-BE49-F238E27FC236}">
              <a16:creationId xmlns:a16="http://schemas.microsoft.com/office/drawing/2014/main" id="{00000000-0008-0000-1500-000010050000}"/>
            </a:ext>
          </a:extLst>
        </xdr:cNvPr>
        <xdr:cNvSpPr>
          <a:spLocks noChangeShapeType="1"/>
        </xdr:cNvSpPr>
      </xdr:nvSpPr>
      <xdr:spPr bwMode="auto">
        <a:xfrm>
          <a:off x="9534706" y="1577257"/>
          <a:ext cx="0" cy="41556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35130</xdr:colOff>
      <xdr:row>7</xdr:row>
      <xdr:rowOff>15586</xdr:rowOff>
    </xdr:from>
    <xdr:to>
      <xdr:col>47</xdr:col>
      <xdr:colOff>35130</xdr:colOff>
      <xdr:row>8</xdr:row>
      <xdr:rowOff>206086</xdr:rowOff>
    </xdr:to>
    <xdr:sp macro="" textlink="">
      <xdr:nvSpPr>
        <xdr:cNvPr id="1297" name="Line 510">
          <a:extLst>
            <a:ext uri="{FF2B5EF4-FFF2-40B4-BE49-F238E27FC236}">
              <a16:creationId xmlns:a16="http://schemas.microsoft.com/office/drawing/2014/main" id="{00000000-0008-0000-1500-000011050000}"/>
            </a:ext>
          </a:extLst>
        </xdr:cNvPr>
        <xdr:cNvSpPr>
          <a:spLocks noChangeShapeType="1"/>
        </xdr:cNvSpPr>
      </xdr:nvSpPr>
      <xdr:spPr bwMode="auto">
        <a:xfrm>
          <a:off x="9814130" y="1606896"/>
          <a:ext cx="0" cy="412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44</xdr:col>
      <xdr:colOff>20241</xdr:colOff>
      <xdr:row>9</xdr:row>
      <xdr:rowOff>28274</xdr:rowOff>
    </xdr:from>
    <xdr:to>
      <xdr:col>45</xdr:col>
      <xdr:colOff>195500</xdr:colOff>
      <xdr:row>9</xdr:row>
      <xdr:rowOff>28274</xdr:rowOff>
    </xdr:to>
    <xdr:sp macro="" textlink="">
      <xdr:nvSpPr>
        <xdr:cNvPr id="1298" name="Line 500">
          <a:extLst>
            <a:ext uri="{FF2B5EF4-FFF2-40B4-BE49-F238E27FC236}">
              <a16:creationId xmlns:a16="http://schemas.microsoft.com/office/drawing/2014/main" id="{00000000-0008-0000-1500-000012050000}"/>
            </a:ext>
          </a:extLst>
        </xdr:cNvPr>
        <xdr:cNvSpPr>
          <a:spLocks noChangeShapeType="1"/>
        </xdr:cNvSpPr>
      </xdr:nvSpPr>
      <xdr:spPr bwMode="auto">
        <a:xfrm rot="5400000">
          <a:off x="9270762" y="1844851"/>
          <a:ext cx="0" cy="42703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25977</xdr:colOff>
      <xdr:row>9</xdr:row>
      <xdr:rowOff>32909</xdr:rowOff>
    </xdr:from>
    <xdr:to>
      <xdr:col>48</xdr:col>
      <xdr:colOff>206952</xdr:colOff>
      <xdr:row>9</xdr:row>
      <xdr:rowOff>32909</xdr:rowOff>
    </xdr:to>
    <xdr:sp macro="" textlink="">
      <xdr:nvSpPr>
        <xdr:cNvPr id="1299" name="Line 500">
          <a:extLst>
            <a:ext uri="{FF2B5EF4-FFF2-40B4-BE49-F238E27FC236}">
              <a16:creationId xmlns:a16="http://schemas.microsoft.com/office/drawing/2014/main" id="{00000000-0008-0000-1500-000013050000}"/>
            </a:ext>
          </a:extLst>
        </xdr:cNvPr>
        <xdr:cNvSpPr>
          <a:spLocks noChangeShapeType="1"/>
        </xdr:cNvSpPr>
      </xdr:nvSpPr>
      <xdr:spPr bwMode="auto">
        <a:xfrm rot="5400000">
          <a:off x="10018496" y="1845675"/>
          <a:ext cx="0" cy="43465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51088</xdr:colOff>
      <xdr:row>6</xdr:row>
      <xdr:rowOff>206085</xdr:rowOff>
    </xdr:from>
    <xdr:to>
      <xdr:col>48</xdr:col>
      <xdr:colOff>232064</xdr:colOff>
      <xdr:row>6</xdr:row>
      <xdr:rowOff>206085</xdr:rowOff>
    </xdr:to>
    <xdr:sp macro="" textlink="">
      <xdr:nvSpPr>
        <xdr:cNvPr id="1300" name="Line 140">
          <a:extLst>
            <a:ext uri="{FF2B5EF4-FFF2-40B4-BE49-F238E27FC236}">
              <a16:creationId xmlns:a16="http://schemas.microsoft.com/office/drawing/2014/main" id="{00000000-0008-0000-1500-000014050000}"/>
            </a:ext>
          </a:extLst>
        </xdr:cNvPr>
        <xdr:cNvSpPr>
          <a:spLocks noChangeShapeType="1"/>
        </xdr:cNvSpPr>
      </xdr:nvSpPr>
      <xdr:spPr bwMode="auto">
        <a:xfrm rot="5400000">
          <a:off x="10045513" y="1363530"/>
          <a:ext cx="0" cy="423229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239975</xdr:colOff>
      <xdr:row>6</xdr:row>
      <xdr:rowOff>206295</xdr:rowOff>
    </xdr:from>
    <xdr:to>
      <xdr:col>47</xdr:col>
      <xdr:colOff>39950</xdr:colOff>
      <xdr:row>6</xdr:row>
      <xdr:rowOff>206295</xdr:rowOff>
    </xdr:to>
    <xdr:sp macro="" textlink="">
      <xdr:nvSpPr>
        <xdr:cNvPr id="1301" name="Line 749">
          <a:extLst>
            <a:ext uri="{FF2B5EF4-FFF2-40B4-BE49-F238E27FC236}">
              <a16:creationId xmlns:a16="http://schemas.microsoft.com/office/drawing/2014/main" id="{00000000-0008-0000-1500-000015050000}"/>
            </a:ext>
          </a:extLst>
        </xdr:cNvPr>
        <xdr:cNvSpPr>
          <a:spLocks noChangeShapeType="1"/>
        </xdr:cNvSpPr>
      </xdr:nvSpPr>
      <xdr:spPr bwMode="auto">
        <a:xfrm rot="5400000">
          <a:off x="9673853" y="1430257"/>
          <a:ext cx="0" cy="29019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218712</xdr:colOff>
      <xdr:row>9</xdr:row>
      <xdr:rowOff>30279</xdr:rowOff>
    </xdr:from>
    <xdr:to>
      <xdr:col>47</xdr:col>
      <xdr:colOff>18687</xdr:colOff>
      <xdr:row>9</xdr:row>
      <xdr:rowOff>30279</xdr:rowOff>
    </xdr:to>
    <xdr:sp macro="" textlink="">
      <xdr:nvSpPr>
        <xdr:cNvPr id="1303" name="Line 749">
          <a:extLst>
            <a:ext uri="{FF2B5EF4-FFF2-40B4-BE49-F238E27FC236}">
              <a16:creationId xmlns:a16="http://schemas.microsoft.com/office/drawing/2014/main" id="{00000000-0008-0000-1500-000017050000}"/>
            </a:ext>
          </a:extLst>
        </xdr:cNvPr>
        <xdr:cNvSpPr>
          <a:spLocks noChangeShapeType="1"/>
        </xdr:cNvSpPr>
      </xdr:nvSpPr>
      <xdr:spPr bwMode="auto">
        <a:xfrm rot="5400000">
          <a:off x="9652590" y="1911466"/>
          <a:ext cx="0" cy="29781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45</xdr:col>
      <xdr:colOff>240977</xdr:colOff>
      <xdr:row>9</xdr:row>
      <xdr:rowOff>370</xdr:rowOff>
    </xdr:from>
    <xdr:to>
      <xdr:col>47</xdr:col>
      <xdr:colOff>40952</xdr:colOff>
      <xdr:row>9</xdr:row>
      <xdr:rowOff>370</xdr:rowOff>
    </xdr:to>
    <xdr:sp macro="" textlink="">
      <xdr:nvSpPr>
        <xdr:cNvPr id="1304" name="Line 749">
          <a:extLst>
            <a:ext uri="{FF2B5EF4-FFF2-40B4-BE49-F238E27FC236}">
              <a16:creationId xmlns:a16="http://schemas.microsoft.com/office/drawing/2014/main" id="{00000000-0008-0000-1500-000018050000}"/>
            </a:ext>
          </a:extLst>
        </xdr:cNvPr>
        <xdr:cNvSpPr>
          <a:spLocks noChangeShapeType="1"/>
        </xdr:cNvSpPr>
      </xdr:nvSpPr>
      <xdr:spPr bwMode="auto">
        <a:xfrm rot="5400000">
          <a:off x="9675807" y="1888225"/>
          <a:ext cx="0" cy="28829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211785</xdr:colOff>
      <xdr:row>10</xdr:row>
      <xdr:rowOff>193826</xdr:rowOff>
    </xdr:from>
    <xdr:to>
      <xdr:col>47</xdr:col>
      <xdr:colOff>36525</xdr:colOff>
      <xdr:row>10</xdr:row>
      <xdr:rowOff>193826</xdr:rowOff>
    </xdr:to>
    <xdr:sp macro="" textlink="">
      <xdr:nvSpPr>
        <xdr:cNvPr id="1305" name="Line 749">
          <a:extLst>
            <a:ext uri="{FF2B5EF4-FFF2-40B4-BE49-F238E27FC236}">
              <a16:creationId xmlns:a16="http://schemas.microsoft.com/office/drawing/2014/main" id="{00000000-0008-0000-1500-000019050000}"/>
            </a:ext>
          </a:extLst>
        </xdr:cNvPr>
        <xdr:cNvSpPr>
          <a:spLocks noChangeShapeType="1"/>
        </xdr:cNvSpPr>
      </xdr:nvSpPr>
      <xdr:spPr bwMode="auto">
        <a:xfrm rot="5400000">
          <a:off x="9655188" y="2287738"/>
          <a:ext cx="0" cy="32067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44</xdr:col>
      <xdr:colOff>26881</xdr:colOff>
      <xdr:row>10</xdr:row>
      <xdr:rowOff>203371</xdr:rowOff>
    </xdr:from>
    <xdr:to>
      <xdr:col>45</xdr:col>
      <xdr:colOff>204046</xdr:colOff>
      <xdr:row>10</xdr:row>
      <xdr:rowOff>203371</xdr:rowOff>
    </xdr:to>
    <xdr:sp macro="" textlink="">
      <xdr:nvSpPr>
        <xdr:cNvPr id="1306" name="Line 507">
          <a:extLst>
            <a:ext uri="{FF2B5EF4-FFF2-40B4-BE49-F238E27FC236}">
              <a16:creationId xmlns:a16="http://schemas.microsoft.com/office/drawing/2014/main" id="{00000000-0008-0000-1500-00001A050000}"/>
            </a:ext>
          </a:extLst>
        </xdr:cNvPr>
        <xdr:cNvSpPr>
          <a:spLocks noChangeShapeType="1"/>
        </xdr:cNvSpPr>
      </xdr:nvSpPr>
      <xdr:spPr bwMode="auto">
        <a:xfrm rot="5400000">
          <a:off x="9280260" y="2246960"/>
          <a:ext cx="0" cy="42894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54359</xdr:colOff>
      <xdr:row>10</xdr:row>
      <xdr:rowOff>193607</xdr:rowOff>
    </xdr:from>
    <xdr:to>
      <xdr:col>48</xdr:col>
      <xdr:colOff>225810</xdr:colOff>
      <xdr:row>10</xdr:row>
      <xdr:rowOff>193607</xdr:rowOff>
    </xdr:to>
    <xdr:sp macro="" textlink="">
      <xdr:nvSpPr>
        <xdr:cNvPr id="1307" name="Line 508">
          <a:extLst>
            <a:ext uri="{FF2B5EF4-FFF2-40B4-BE49-F238E27FC236}">
              <a16:creationId xmlns:a16="http://schemas.microsoft.com/office/drawing/2014/main" id="{00000000-0008-0000-1500-00001B050000}"/>
            </a:ext>
          </a:extLst>
        </xdr:cNvPr>
        <xdr:cNvSpPr>
          <a:spLocks noChangeShapeType="1"/>
        </xdr:cNvSpPr>
      </xdr:nvSpPr>
      <xdr:spPr bwMode="auto">
        <a:xfrm rot="5400000">
          <a:off x="10044021" y="2241005"/>
          <a:ext cx="0" cy="41370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7857</xdr:colOff>
      <xdr:row>13</xdr:row>
      <xdr:rowOff>114301</xdr:rowOff>
    </xdr:from>
    <xdr:to>
      <xdr:col>49</xdr:col>
      <xdr:colOff>5953</xdr:colOff>
      <xdr:row>13</xdr:row>
      <xdr:rowOff>114301</xdr:rowOff>
    </xdr:to>
    <xdr:sp macro="" textlink="">
      <xdr:nvSpPr>
        <xdr:cNvPr id="1311" name="Line 518">
          <a:extLst>
            <a:ext uri="{FF2B5EF4-FFF2-40B4-BE49-F238E27FC236}">
              <a16:creationId xmlns:a16="http://schemas.microsoft.com/office/drawing/2014/main" id="{00000000-0008-0000-1500-00001F050000}"/>
            </a:ext>
          </a:extLst>
        </xdr:cNvPr>
        <xdr:cNvSpPr>
          <a:spLocks noChangeShapeType="1"/>
        </xdr:cNvSpPr>
      </xdr:nvSpPr>
      <xdr:spPr bwMode="auto">
        <a:xfrm rot="5400000">
          <a:off x="10029904" y="2794159"/>
          <a:ext cx="0" cy="482284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15716</xdr:colOff>
      <xdr:row>15</xdr:row>
      <xdr:rowOff>114301</xdr:rowOff>
    </xdr:from>
    <xdr:to>
      <xdr:col>49</xdr:col>
      <xdr:colOff>0</xdr:colOff>
      <xdr:row>15</xdr:row>
      <xdr:rowOff>114301</xdr:rowOff>
    </xdr:to>
    <xdr:sp macro="" textlink="">
      <xdr:nvSpPr>
        <xdr:cNvPr id="1312" name="Line 519">
          <a:extLst>
            <a:ext uri="{FF2B5EF4-FFF2-40B4-BE49-F238E27FC236}">
              <a16:creationId xmlns:a16="http://schemas.microsoft.com/office/drawing/2014/main" id="{00000000-0008-0000-1500-000020050000}"/>
            </a:ext>
          </a:extLst>
        </xdr:cNvPr>
        <xdr:cNvSpPr>
          <a:spLocks noChangeShapeType="1"/>
        </xdr:cNvSpPr>
      </xdr:nvSpPr>
      <xdr:spPr bwMode="auto">
        <a:xfrm rot="5400000">
          <a:off x="10030857" y="3247470"/>
          <a:ext cx="0" cy="46466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1904</xdr:colOff>
      <xdr:row>16</xdr:row>
      <xdr:rowOff>130093</xdr:rowOff>
    </xdr:from>
    <xdr:to>
      <xdr:col>49</xdr:col>
      <xdr:colOff>5952</xdr:colOff>
      <xdr:row>16</xdr:row>
      <xdr:rowOff>130093</xdr:rowOff>
    </xdr:to>
    <xdr:sp macro="" textlink="">
      <xdr:nvSpPr>
        <xdr:cNvPr id="1313" name="Line 749">
          <a:extLst>
            <a:ext uri="{FF2B5EF4-FFF2-40B4-BE49-F238E27FC236}">
              <a16:creationId xmlns:a16="http://schemas.microsoft.com/office/drawing/2014/main" id="{00000000-0008-0000-1500-000021050000}"/>
            </a:ext>
          </a:extLst>
        </xdr:cNvPr>
        <xdr:cNvSpPr>
          <a:spLocks noChangeShapeType="1"/>
        </xdr:cNvSpPr>
      </xdr:nvSpPr>
      <xdr:spPr bwMode="auto">
        <a:xfrm rot="5400000">
          <a:off x="10025975" y="3476582"/>
          <a:ext cx="0" cy="490141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47</xdr:col>
      <xdr:colOff>1904</xdr:colOff>
      <xdr:row>17</xdr:row>
      <xdr:rowOff>135736</xdr:rowOff>
    </xdr:from>
    <xdr:to>
      <xdr:col>49</xdr:col>
      <xdr:colOff>3662</xdr:colOff>
      <xdr:row>17</xdr:row>
      <xdr:rowOff>135736</xdr:rowOff>
    </xdr:to>
    <xdr:sp macro="" textlink="">
      <xdr:nvSpPr>
        <xdr:cNvPr id="1314" name="Line 749">
          <a:extLst>
            <a:ext uri="{FF2B5EF4-FFF2-40B4-BE49-F238E27FC236}">
              <a16:creationId xmlns:a16="http://schemas.microsoft.com/office/drawing/2014/main" id="{00000000-0008-0000-1500-000022050000}"/>
            </a:ext>
          </a:extLst>
        </xdr:cNvPr>
        <xdr:cNvSpPr>
          <a:spLocks noChangeShapeType="1"/>
        </xdr:cNvSpPr>
      </xdr:nvSpPr>
      <xdr:spPr bwMode="auto">
        <a:xfrm rot="5400000">
          <a:off x="10023877" y="3698953"/>
          <a:ext cx="0" cy="485946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47</xdr:col>
      <xdr:colOff>11666</xdr:colOff>
      <xdr:row>14</xdr:row>
      <xdr:rowOff>98474</xdr:rowOff>
    </xdr:from>
    <xdr:to>
      <xdr:col>49</xdr:col>
      <xdr:colOff>0</xdr:colOff>
      <xdr:row>14</xdr:row>
      <xdr:rowOff>98474</xdr:rowOff>
    </xdr:to>
    <xdr:sp macro="" textlink="">
      <xdr:nvSpPr>
        <xdr:cNvPr id="1315" name="Line 167">
          <a:extLst>
            <a:ext uri="{FF2B5EF4-FFF2-40B4-BE49-F238E27FC236}">
              <a16:creationId xmlns:a16="http://schemas.microsoft.com/office/drawing/2014/main" id="{00000000-0008-0000-1500-000023050000}"/>
            </a:ext>
          </a:extLst>
        </xdr:cNvPr>
        <xdr:cNvSpPr>
          <a:spLocks noChangeShapeType="1"/>
        </xdr:cNvSpPr>
      </xdr:nvSpPr>
      <xdr:spPr bwMode="auto">
        <a:xfrm rot="5400000">
          <a:off x="10028832" y="3003558"/>
          <a:ext cx="0" cy="468712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45</xdr:col>
      <xdr:colOff>219808</xdr:colOff>
      <xdr:row>47</xdr:row>
      <xdr:rowOff>19050</xdr:rowOff>
    </xdr:from>
    <xdr:to>
      <xdr:col>45</xdr:col>
      <xdr:colOff>219808</xdr:colOff>
      <xdr:row>48</xdr:row>
      <xdr:rowOff>209550</xdr:rowOff>
    </xdr:to>
    <xdr:sp macro="" textlink="">
      <xdr:nvSpPr>
        <xdr:cNvPr id="1316" name="Line 108">
          <a:extLst>
            <a:ext uri="{FF2B5EF4-FFF2-40B4-BE49-F238E27FC236}">
              <a16:creationId xmlns:a16="http://schemas.microsoft.com/office/drawing/2014/main" id="{00000000-0008-0000-1500-000024050000}"/>
            </a:ext>
          </a:extLst>
        </xdr:cNvPr>
        <xdr:cNvSpPr>
          <a:spLocks noChangeShapeType="1"/>
        </xdr:cNvSpPr>
      </xdr:nvSpPr>
      <xdr:spPr bwMode="auto">
        <a:xfrm>
          <a:off x="9504778" y="10302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219117</xdr:colOff>
      <xdr:row>45</xdr:row>
      <xdr:rowOff>907</xdr:rowOff>
    </xdr:from>
    <xdr:to>
      <xdr:col>45</xdr:col>
      <xdr:colOff>219117</xdr:colOff>
      <xdr:row>46</xdr:row>
      <xdr:rowOff>204932</xdr:rowOff>
    </xdr:to>
    <xdr:sp macro="" textlink="">
      <xdr:nvSpPr>
        <xdr:cNvPr id="1317" name="Line 118">
          <a:extLst>
            <a:ext uri="{FF2B5EF4-FFF2-40B4-BE49-F238E27FC236}">
              <a16:creationId xmlns:a16="http://schemas.microsoft.com/office/drawing/2014/main" id="{00000000-0008-0000-1500-000025050000}"/>
            </a:ext>
          </a:extLst>
        </xdr:cNvPr>
        <xdr:cNvSpPr>
          <a:spLocks noChangeShapeType="1"/>
        </xdr:cNvSpPr>
      </xdr:nvSpPr>
      <xdr:spPr bwMode="auto">
        <a:xfrm>
          <a:off x="9504087" y="9843407"/>
          <a:ext cx="0" cy="43008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5030</xdr:colOff>
      <xdr:row>45</xdr:row>
      <xdr:rowOff>19050</xdr:rowOff>
    </xdr:from>
    <xdr:to>
      <xdr:col>47</xdr:col>
      <xdr:colOff>5030</xdr:colOff>
      <xdr:row>47</xdr:row>
      <xdr:rowOff>1732</xdr:rowOff>
    </xdr:to>
    <xdr:sp macro="" textlink="">
      <xdr:nvSpPr>
        <xdr:cNvPr id="1318" name="Line 121">
          <a:extLst>
            <a:ext uri="{FF2B5EF4-FFF2-40B4-BE49-F238E27FC236}">
              <a16:creationId xmlns:a16="http://schemas.microsoft.com/office/drawing/2014/main" id="{00000000-0008-0000-1500-000026050000}"/>
            </a:ext>
          </a:extLst>
        </xdr:cNvPr>
        <xdr:cNvSpPr>
          <a:spLocks noChangeShapeType="1"/>
        </xdr:cNvSpPr>
      </xdr:nvSpPr>
      <xdr:spPr bwMode="auto">
        <a:xfrm>
          <a:off x="9785935" y="9857740"/>
          <a:ext cx="0" cy="43099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44</xdr:col>
      <xdr:colOff>28575</xdr:colOff>
      <xdr:row>46</xdr:row>
      <xdr:rowOff>219075</xdr:rowOff>
    </xdr:from>
    <xdr:to>
      <xdr:col>45</xdr:col>
      <xdr:colOff>209550</xdr:colOff>
      <xdr:row>46</xdr:row>
      <xdr:rowOff>219075</xdr:rowOff>
    </xdr:to>
    <xdr:sp macro="" textlink="">
      <xdr:nvSpPr>
        <xdr:cNvPr id="1319" name="Line 124">
          <a:extLst>
            <a:ext uri="{FF2B5EF4-FFF2-40B4-BE49-F238E27FC236}">
              <a16:creationId xmlns:a16="http://schemas.microsoft.com/office/drawing/2014/main" id="{00000000-0008-0000-1500-000027050000}"/>
            </a:ext>
          </a:extLst>
        </xdr:cNvPr>
        <xdr:cNvSpPr>
          <a:spLocks noChangeShapeType="1"/>
        </xdr:cNvSpPr>
      </xdr:nvSpPr>
      <xdr:spPr bwMode="auto">
        <a:xfrm rot="5400000">
          <a:off x="9280049" y="10069354"/>
          <a:ext cx="0" cy="42513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11904</xdr:colOff>
      <xdr:row>46</xdr:row>
      <xdr:rowOff>219473</xdr:rowOff>
    </xdr:from>
    <xdr:to>
      <xdr:col>49</xdr:col>
      <xdr:colOff>21771</xdr:colOff>
      <xdr:row>46</xdr:row>
      <xdr:rowOff>221342</xdr:rowOff>
    </xdr:to>
    <xdr:sp macro="" textlink="">
      <xdr:nvSpPr>
        <xdr:cNvPr id="1320" name="Line 127">
          <a:extLst>
            <a:ext uri="{FF2B5EF4-FFF2-40B4-BE49-F238E27FC236}">
              <a16:creationId xmlns:a16="http://schemas.microsoft.com/office/drawing/2014/main" id="{00000000-0008-0000-1500-000028050000}"/>
            </a:ext>
          </a:extLst>
        </xdr:cNvPr>
        <xdr:cNvSpPr>
          <a:spLocks noChangeShapeType="1"/>
        </xdr:cNvSpPr>
      </xdr:nvSpPr>
      <xdr:spPr bwMode="auto">
        <a:xfrm rot="5400000" flipH="1">
          <a:off x="10036997" y="10040035"/>
          <a:ext cx="1869" cy="48643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5861</xdr:colOff>
      <xdr:row>47</xdr:row>
      <xdr:rowOff>19050</xdr:rowOff>
    </xdr:from>
    <xdr:to>
      <xdr:col>47</xdr:col>
      <xdr:colOff>5861</xdr:colOff>
      <xdr:row>48</xdr:row>
      <xdr:rowOff>209550</xdr:rowOff>
    </xdr:to>
    <xdr:sp macro="" textlink="">
      <xdr:nvSpPr>
        <xdr:cNvPr id="1321" name="Line 137">
          <a:extLst>
            <a:ext uri="{FF2B5EF4-FFF2-40B4-BE49-F238E27FC236}">
              <a16:creationId xmlns:a16="http://schemas.microsoft.com/office/drawing/2014/main" id="{00000000-0008-0000-1500-000029050000}"/>
            </a:ext>
          </a:extLst>
        </xdr:cNvPr>
        <xdr:cNvSpPr>
          <a:spLocks noChangeShapeType="1"/>
        </xdr:cNvSpPr>
      </xdr:nvSpPr>
      <xdr:spPr bwMode="auto">
        <a:xfrm>
          <a:off x="9786766" y="10302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44</xdr:col>
      <xdr:colOff>10432</xdr:colOff>
      <xdr:row>44</xdr:row>
      <xdr:rowOff>202899</xdr:rowOff>
    </xdr:from>
    <xdr:to>
      <xdr:col>45</xdr:col>
      <xdr:colOff>191407</xdr:colOff>
      <xdr:row>44</xdr:row>
      <xdr:rowOff>202899</xdr:rowOff>
    </xdr:to>
    <xdr:sp macro="" textlink="">
      <xdr:nvSpPr>
        <xdr:cNvPr id="1322" name="Line 140">
          <a:extLst>
            <a:ext uri="{FF2B5EF4-FFF2-40B4-BE49-F238E27FC236}">
              <a16:creationId xmlns:a16="http://schemas.microsoft.com/office/drawing/2014/main" id="{00000000-0008-0000-1500-00002A050000}"/>
            </a:ext>
          </a:extLst>
        </xdr:cNvPr>
        <xdr:cNvSpPr>
          <a:spLocks noChangeShapeType="1"/>
        </xdr:cNvSpPr>
      </xdr:nvSpPr>
      <xdr:spPr bwMode="auto">
        <a:xfrm rot="5400000">
          <a:off x="9265716" y="9614393"/>
          <a:ext cx="0" cy="42513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175268</xdr:colOff>
      <xdr:row>47</xdr:row>
      <xdr:rowOff>17906</xdr:rowOff>
    </xdr:from>
    <xdr:to>
      <xdr:col>45</xdr:col>
      <xdr:colOff>175268</xdr:colOff>
      <xdr:row>48</xdr:row>
      <xdr:rowOff>211044</xdr:rowOff>
    </xdr:to>
    <xdr:sp macro="" textlink="">
      <xdr:nvSpPr>
        <xdr:cNvPr id="1323" name="Line 154">
          <a:extLst>
            <a:ext uri="{FF2B5EF4-FFF2-40B4-BE49-F238E27FC236}">
              <a16:creationId xmlns:a16="http://schemas.microsoft.com/office/drawing/2014/main" id="{00000000-0008-0000-1500-00002B050000}"/>
            </a:ext>
          </a:extLst>
        </xdr:cNvPr>
        <xdr:cNvSpPr>
          <a:spLocks noChangeShapeType="1"/>
        </xdr:cNvSpPr>
      </xdr:nvSpPr>
      <xdr:spPr bwMode="auto">
        <a:xfrm>
          <a:off x="10978206" y="10304906"/>
          <a:ext cx="0" cy="415388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47</xdr:col>
      <xdr:colOff>49898</xdr:colOff>
      <xdr:row>46</xdr:row>
      <xdr:rowOff>206473</xdr:rowOff>
    </xdr:from>
    <xdr:to>
      <xdr:col>47</xdr:col>
      <xdr:colOff>49898</xdr:colOff>
      <xdr:row>48</xdr:row>
      <xdr:rowOff>191233</xdr:rowOff>
    </xdr:to>
    <xdr:sp macro="" textlink="">
      <xdr:nvSpPr>
        <xdr:cNvPr id="1324" name="Line 154">
          <a:extLst>
            <a:ext uri="{FF2B5EF4-FFF2-40B4-BE49-F238E27FC236}">
              <a16:creationId xmlns:a16="http://schemas.microsoft.com/office/drawing/2014/main" id="{00000000-0008-0000-1500-00002C050000}"/>
            </a:ext>
          </a:extLst>
        </xdr:cNvPr>
        <xdr:cNvSpPr>
          <a:spLocks noChangeShapeType="1"/>
        </xdr:cNvSpPr>
      </xdr:nvSpPr>
      <xdr:spPr bwMode="auto">
        <a:xfrm>
          <a:off x="9832708" y="10275033"/>
          <a:ext cx="0" cy="42545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44</xdr:col>
      <xdr:colOff>16270</xdr:colOff>
      <xdr:row>45</xdr:row>
      <xdr:rowOff>4088</xdr:rowOff>
    </xdr:from>
    <xdr:to>
      <xdr:col>44</xdr:col>
      <xdr:colOff>16270</xdr:colOff>
      <xdr:row>46</xdr:row>
      <xdr:rowOff>212750</xdr:rowOff>
    </xdr:to>
    <xdr:sp macro="" textlink="">
      <xdr:nvSpPr>
        <xdr:cNvPr id="1325" name="Line 510">
          <a:extLst>
            <a:ext uri="{FF2B5EF4-FFF2-40B4-BE49-F238E27FC236}">
              <a16:creationId xmlns:a16="http://schemas.microsoft.com/office/drawing/2014/main" id="{00000000-0008-0000-1500-00002D050000}"/>
            </a:ext>
          </a:extLst>
        </xdr:cNvPr>
        <xdr:cNvSpPr>
          <a:spLocks noChangeShapeType="1"/>
        </xdr:cNvSpPr>
      </xdr:nvSpPr>
      <xdr:spPr bwMode="auto">
        <a:xfrm>
          <a:off x="9060893" y="9848493"/>
          <a:ext cx="0" cy="4251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44</xdr:col>
      <xdr:colOff>5235</xdr:colOff>
      <xdr:row>47</xdr:row>
      <xdr:rowOff>17166</xdr:rowOff>
    </xdr:from>
    <xdr:to>
      <xdr:col>44</xdr:col>
      <xdr:colOff>5235</xdr:colOff>
      <xdr:row>48</xdr:row>
      <xdr:rowOff>216304</xdr:rowOff>
    </xdr:to>
    <xdr:sp macro="" textlink="">
      <xdr:nvSpPr>
        <xdr:cNvPr id="1326" name="Line 510">
          <a:extLst>
            <a:ext uri="{FF2B5EF4-FFF2-40B4-BE49-F238E27FC236}">
              <a16:creationId xmlns:a16="http://schemas.microsoft.com/office/drawing/2014/main" id="{00000000-0008-0000-1500-00002E050000}"/>
            </a:ext>
          </a:extLst>
        </xdr:cNvPr>
        <xdr:cNvSpPr>
          <a:spLocks noChangeShapeType="1"/>
        </xdr:cNvSpPr>
      </xdr:nvSpPr>
      <xdr:spPr bwMode="auto">
        <a:xfrm>
          <a:off x="9047953" y="10307976"/>
          <a:ext cx="0" cy="41376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48</xdr:col>
      <xdr:colOff>216286</xdr:colOff>
      <xdr:row>44</xdr:row>
      <xdr:rowOff>216959</xdr:rowOff>
    </xdr:from>
    <xdr:to>
      <xdr:col>48</xdr:col>
      <xdr:colOff>216286</xdr:colOff>
      <xdr:row>46</xdr:row>
      <xdr:rowOff>199640</xdr:rowOff>
    </xdr:to>
    <xdr:sp macro="" textlink="">
      <xdr:nvSpPr>
        <xdr:cNvPr id="1327" name="Line 510">
          <a:extLst>
            <a:ext uri="{FF2B5EF4-FFF2-40B4-BE49-F238E27FC236}">
              <a16:creationId xmlns:a16="http://schemas.microsoft.com/office/drawing/2014/main" id="{00000000-0008-0000-1500-00002F050000}"/>
            </a:ext>
          </a:extLst>
        </xdr:cNvPr>
        <xdr:cNvSpPr>
          <a:spLocks noChangeShapeType="1"/>
        </xdr:cNvSpPr>
      </xdr:nvSpPr>
      <xdr:spPr bwMode="auto">
        <a:xfrm>
          <a:off x="10237539" y="9833399"/>
          <a:ext cx="0" cy="4328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48</xdr:col>
      <xdr:colOff>223405</xdr:colOff>
      <xdr:row>47</xdr:row>
      <xdr:rowOff>24245</xdr:rowOff>
    </xdr:from>
    <xdr:to>
      <xdr:col>48</xdr:col>
      <xdr:colOff>223405</xdr:colOff>
      <xdr:row>49</xdr:row>
      <xdr:rowOff>6927</xdr:rowOff>
    </xdr:to>
    <xdr:sp macro="" textlink="">
      <xdr:nvSpPr>
        <xdr:cNvPr id="1328" name="Line 510">
          <a:extLst>
            <a:ext uri="{FF2B5EF4-FFF2-40B4-BE49-F238E27FC236}">
              <a16:creationId xmlns:a16="http://schemas.microsoft.com/office/drawing/2014/main" id="{00000000-0008-0000-1500-000030050000}"/>
            </a:ext>
          </a:extLst>
        </xdr:cNvPr>
        <xdr:cNvSpPr>
          <a:spLocks noChangeShapeType="1"/>
        </xdr:cNvSpPr>
      </xdr:nvSpPr>
      <xdr:spPr bwMode="auto">
        <a:xfrm>
          <a:off x="10246563" y="10307435"/>
          <a:ext cx="0" cy="4328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45</xdr:col>
      <xdr:colOff>169405</xdr:colOff>
      <xdr:row>45</xdr:row>
      <xdr:rowOff>9761</xdr:rowOff>
    </xdr:from>
    <xdr:to>
      <xdr:col>45</xdr:col>
      <xdr:colOff>169405</xdr:colOff>
      <xdr:row>46</xdr:row>
      <xdr:rowOff>191644</xdr:rowOff>
    </xdr:to>
    <xdr:sp macro="" textlink="">
      <xdr:nvSpPr>
        <xdr:cNvPr id="1329" name="Line 510">
          <a:extLst>
            <a:ext uri="{FF2B5EF4-FFF2-40B4-BE49-F238E27FC236}">
              <a16:creationId xmlns:a16="http://schemas.microsoft.com/office/drawing/2014/main" id="{00000000-0008-0000-1500-000031050000}"/>
            </a:ext>
          </a:extLst>
        </xdr:cNvPr>
        <xdr:cNvSpPr>
          <a:spLocks noChangeShapeType="1"/>
        </xdr:cNvSpPr>
      </xdr:nvSpPr>
      <xdr:spPr bwMode="auto">
        <a:xfrm>
          <a:off x="10972343" y="9852261"/>
          <a:ext cx="0" cy="40413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43068</xdr:colOff>
      <xdr:row>45</xdr:row>
      <xdr:rowOff>19396</xdr:rowOff>
    </xdr:from>
    <xdr:to>
      <xdr:col>47</xdr:col>
      <xdr:colOff>43068</xdr:colOff>
      <xdr:row>46</xdr:row>
      <xdr:rowOff>209896</xdr:rowOff>
    </xdr:to>
    <xdr:sp macro="" textlink="">
      <xdr:nvSpPr>
        <xdr:cNvPr id="1330" name="Line 510">
          <a:extLst>
            <a:ext uri="{FF2B5EF4-FFF2-40B4-BE49-F238E27FC236}">
              <a16:creationId xmlns:a16="http://schemas.microsoft.com/office/drawing/2014/main" id="{00000000-0008-0000-1500-000032050000}"/>
            </a:ext>
          </a:extLst>
        </xdr:cNvPr>
        <xdr:cNvSpPr>
          <a:spLocks noChangeShapeType="1"/>
        </xdr:cNvSpPr>
      </xdr:nvSpPr>
      <xdr:spPr bwMode="auto">
        <a:xfrm>
          <a:off x="11322256" y="9861896"/>
          <a:ext cx="0" cy="412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44</xdr:col>
      <xdr:colOff>20241</xdr:colOff>
      <xdr:row>47</xdr:row>
      <xdr:rowOff>28274</xdr:rowOff>
    </xdr:from>
    <xdr:to>
      <xdr:col>45</xdr:col>
      <xdr:colOff>195500</xdr:colOff>
      <xdr:row>47</xdr:row>
      <xdr:rowOff>28274</xdr:rowOff>
    </xdr:to>
    <xdr:sp macro="" textlink="">
      <xdr:nvSpPr>
        <xdr:cNvPr id="1331" name="Line 500">
          <a:extLst>
            <a:ext uri="{FF2B5EF4-FFF2-40B4-BE49-F238E27FC236}">
              <a16:creationId xmlns:a16="http://schemas.microsoft.com/office/drawing/2014/main" id="{00000000-0008-0000-1500-000033050000}"/>
            </a:ext>
          </a:extLst>
        </xdr:cNvPr>
        <xdr:cNvSpPr>
          <a:spLocks noChangeShapeType="1"/>
        </xdr:cNvSpPr>
      </xdr:nvSpPr>
      <xdr:spPr bwMode="auto">
        <a:xfrm rot="5400000">
          <a:off x="9270762" y="10099851"/>
          <a:ext cx="0" cy="42703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25977</xdr:colOff>
      <xdr:row>47</xdr:row>
      <xdr:rowOff>32909</xdr:rowOff>
    </xdr:from>
    <xdr:to>
      <xdr:col>48</xdr:col>
      <xdr:colOff>206952</xdr:colOff>
      <xdr:row>47</xdr:row>
      <xdr:rowOff>32909</xdr:rowOff>
    </xdr:to>
    <xdr:sp macro="" textlink="">
      <xdr:nvSpPr>
        <xdr:cNvPr id="1332" name="Line 500">
          <a:extLst>
            <a:ext uri="{FF2B5EF4-FFF2-40B4-BE49-F238E27FC236}">
              <a16:creationId xmlns:a16="http://schemas.microsoft.com/office/drawing/2014/main" id="{00000000-0008-0000-1500-000034050000}"/>
            </a:ext>
          </a:extLst>
        </xdr:cNvPr>
        <xdr:cNvSpPr>
          <a:spLocks noChangeShapeType="1"/>
        </xdr:cNvSpPr>
      </xdr:nvSpPr>
      <xdr:spPr bwMode="auto">
        <a:xfrm rot="5400000">
          <a:off x="10018496" y="10100675"/>
          <a:ext cx="0" cy="43465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51088</xdr:colOff>
      <xdr:row>44</xdr:row>
      <xdr:rowOff>206085</xdr:rowOff>
    </xdr:from>
    <xdr:to>
      <xdr:col>48</xdr:col>
      <xdr:colOff>232064</xdr:colOff>
      <xdr:row>44</xdr:row>
      <xdr:rowOff>206085</xdr:rowOff>
    </xdr:to>
    <xdr:sp macro="" textlink="">
      <xdr:nvSpPr>
        <xdr:cNvPr id="1333" name="Line 140">
          <a:extLst>
            <a:ext uri="{FF2B5EF4-FFF2-40B4-BE49-F238E27FC236}">
              <a16:creationId xmlns:a16="http://schemas.microsoft.com/office/drawing/2014/main" id="{00000000-0008-0000-1500-000035050000}"/>
            </a:ext>
          </a:extLst>
        </xdr:cNvPr>
        <xdr:cNvSpPr>
          <a:spLocks noChangeShapeType="1"/>
        </xdr:cNvSpPr>
      </xdr:nvSpPr>
      <xdr:spPr bwMode="auto">
        <a:xfrm rot="5400000">
          <a:off x="10045513" y="9618530"/>
          <a:ext cx="0" cy="423229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239975</xdr:colOff>
      <xdr:row>44</xdr:row>
      <xdr:rowOff>206295</xdr:rowOff>
    </xdr:from>
    <xdr:to>
      <xdr:col>47</xdr:col>
      <xdr:colOff>39950</xdr:colOff>
      <xdr:row>44</xdr:row>
      <xdr:rowOff>206295</xdr:rowOff>
    </xdr:to>
    <xdr:sp macro="" textlink="">
      <xdr:nvSpPr>
        <xdr:cNvPr id="1334" name="Line 749">
          <a:extLst>
            <a:ext uri="{FF2B5EF4-FFF2-40B4-BE49-F238E27FC236}">
              <a16:creationId xmlns:a16="http://schemas.microsoft.com/office/drawing/2014/main" id="{00000000-0008-0000-1500-000036050000}"/>
            </a:ext>
          </a:extLst>
        </xdr:cNvPr>
        <xdr:cNvSpPr>
          <a:spLocks noChangeShapeType="1"/>
        </xdr:cNvSpPr>
      </xdr:nvSpPr>
      <xdr:spPr bwMode="auto">
        <a:xfrm rot="5400000">
          <a:off x="9673853" y="9685257"/>
          <a:ext cx="0" cy="29019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227304</xdr:colOff>
      <xdr:row>43</xdr:row>
      <xdr:rowOff>2820</xdr:rowOff>
    </xdr:from>
    <xdr:to>
      <xdr:col>47</xdr:col>
      <xdr:colOff>27279</xdr:colOff>
      <xdr:row>43</xdr:row>
      <xdr:rowOff>2820</xdr:rowOff>
    </xdr:to>
    <xdr:sp macro="" textlink="">
      <xdr:nvSpPr>
        <xdr:cNvPr id="1335" name="Line 749">
          <a:extLst>
            <a:ext uri="{FF2B5EF4-FFF2-40B4-BE49-F238E27FC236}">
              <a16:creationId xmlns:a16="http://schemas.microsoft.com/office/drawing/2014/main" id="{00000000-0008-0000-1500-000037050000}"/>
            </a:ext>
          </a:extLst>
        </xdr:cNvPr>
        <xdr:cNvSpPr>
          <a:spLocks noChangeShapeType="1"/>
        </xdr:cNvSpPr>
      </xdr:nvSpPr>
      <xdr:spPr bwMode="auto">
        <a:xfrm rot="5400000">
          <a:off x="9659277" y="9255722"/>
          <a:ext cx="0" cy="29019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218712</xdr:colOff>
      <xdr:row>47</xdr:row>
      <xdr:rowOff>30279</xdr:rowOff>
    </xdr:from>
    <xdr:to>
      <xdr:col>47</xdr:col>
      <xdr:colOff>18687</xdr:colOff>
      <xdr:row>47</xdr:row>
      <xdr:rowOff>30279</xdr:rowOff>
    </xdr:to>
    <xdr:sp macro="" textlink="">
      <xdr:nvSpPr>
        <xdr:cNvPr id="1336" name="Line 749">
          <a:extLst>
            <a:ext uri="{FF2B5EF4-FFF2-40B4-BE49-F238E27FC236}">
              <a16:creationId xmlns:a16="http://schemas.microsoft.com/office/drawing/2014/main" id="{00000000-0008-0000-1500-000038050000}"/>
            </a:ext>
          </a:extLst>
        </xdr:cNvPr>
        <xdr:cNvSpPr>
          <a:spLocks noChangeShapeType="1"/>
        </xdr:cNvSpPr>
      </xdr:nvSpPr>
      <xdr:spPr bwMode="auto">
        <a:xfrm rot="5400000">
          <a:off x="9652590" y="10166466"/>
          <a:ext cx="0" cy="29781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45</xdr:col>
      <xdr:colOff>240977</xdr:colOff>
      <xdr:row>47</xdr:row>
      <xdr:rowOff>370</xdr:rowOff>
    </xdr:from>
    <xdr:to>
      <xdr:col>47</xdr:col>
      <xdr:colOff>40952</xdr:colOff>
      <xdr:row>47</xdr:row>
      <xdr:rowOff>370</xdr:rowOff>
    </xdr:to>
    <xdr:sp macro="" textlink="">
      <xdr:nvSpPr>
        <xdr:cNvPr id="1337" name="Line 749">
          <a:extLst>
            <a:ext uri="{FF2B5EF4-FFF2-40B4-BE49-F238E27FC236}">
              <a16:creationId xmlns:a16="http://schemas.microsoft.com/office/drawing/2014/main" id="{00000000-0008-0000-1500-000039050000}"/>
            </a:ext>
          </a:extLst>
        </xdr:cNvPr>
        <xdr:cNvSpPr>
          <a:spLocks noChangeShapeType="1"/>
        </xdr:cNvSpPr>
      </xdr:nvSpPr>
      <xdr:spPr bwMode="auto">
        <a:xfrm rot="5400000">
          <a:off x="9675807" y="10143225"/>
          <a:ext cx="0" cy="28829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211785</xdr:colOff>
      <xdr:row>48</xdr:row>
      <xdr:rowOff>193826</xdr:rowOff>
    </xdr:from>
    <xdr:to>
      <xdr:col>47</xdr:col>
      <xdr:colOff>36525</xdr:colOff>
      <xdr:row>48</xdr:row>
      <xdr:rowOff>193826</xdr:rowOff>
    </xdr:to>
    <xdr:sp macro="" textlink="">
      <xdr:nvSpPr>
        <xdr:cNvPr id="1338" name="Line 749">
          <a:extLst>
            <a:ext uri="{FF2B5EF4-FFF2-40B4-BE49-F238E27FC236}">
              <a16:creationId xmlns:a16="http://schemas.microsoft.com/office/drawing/2014/main" id="{00000000-0008-0000-1500-00003A050000}"/>
            </a:ext>
          </a:extLst>
        </xdr:cNvPr>
        <xdr:cNvSpPr>
          <a:spLocks noChangeShapeType="1"/>
        </xdr:cNvSpPr>
      </xdr:nvSpPr>
      <xdr:spPr bwMode="auto">
        <a:xfrm rot="5400000">
          <a:off x="9655188" y="10542738"/>
          <a:ext cx="0" cy="320675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44</xdr:col>
      <xdr:colOff>26881</xdr:colOff>
      <xdr:row>48</xdr:row>
      <xdr:rowOff>203371</xdr:rowOff>
    </xdr:from>
    <xdr:to>
      <xdr:col>45</xdr:col>
      <xdr:colOff>204046</xdr:colOff>
      <xdr:row>48</xdr:row>
      <xdr:rowOff>203371</xdr:rowOff>
    </xdr:to>
    <xdr:sp macro="" textlink="">
      <xdr:nvSpPr>
        <xdr:cNvPr id="1339" name="Line 507">
          <a:extLst>
            <a:ext uri="{FF2B5EF4-FFF2-40B4-BE49-F238E27FC236}">
              <a16:creationId xmlns:a16="http://schemas.microsoft.com/office/drawing/2014/main" id="{00000000-0008-0000-1500-00003B050000}"/>
            </a:ext>
          </a:extLst>
        </xdr:cNvPr>
        <xdr:cNvSpPr>
          <a:spLocks noChangeShapeType="1"/>
        </xdr:cNvSpPr>
      </xdr:nvSpPr>
      <xdr:spPr bwMode="auto">
        <a:xfrm rot="5400000">
          <a:off x="9280260" y="10501960"/>
          <a:ext cx="0" cy="42894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54359</xdr:colOff>
      <xdr:row>48</xdr:row>
      <xdr:rowOff>193607</xdr:rowOff>
    </xdr:from>
    <xdr:to>
      <xdr:col>48</xdr:col>
      <xdr:colOff>225810</xdr:colOff>
      <xdr:row>48</xdr:row>
      <xdr:rowOff>193607</xdr:rowOff>
    </xdr:to>
    <xdr:sp macro="" textlink="">
      <xdr:nvSpPr>
        <xdr:cNvPr id="1340" name="Line 508">
          <a:extLst>
            <a:ext uri="{FF2B5EF4-FFF2-40B4-BE49-F238E27FC236}">
              <a16:creationId xmlns:a16="http://schemas.microsoft.com/office/drawing/2014/main" id="{00000000-0008-0000-1500-00003C050000}"/>
            </a:ext>
          </a:extLst>
        </xdr:cNvPr>
        <xdr:cNvSpPr>
          <a:spLocks noChangeShapeType="1"/>
        </xdr:cNvSpPr>
      </xdr:nvSpPr>
      <xdr:spPr bwMode="auto">
        <a:xfrm rot="5400000">
          <a:off x="10044021" y="10496005"/>
          <a:ext cx="0" cy="41370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7857</xdr:colOff>
      <xdr:row>51</xdr:row>
      <xdr:rowOff>114301</xdr:rowOff>
    </xdr:from>
    <xdr:to>
      <xdr:col>49</xdr:col>
      <xdr:colOff>5953</xdr:colOff>
      <xdr:row>51</xdr:row>
      <xdr:rowOff>114301</xdr:rowOff>
    </xdr:to>
    <xdr:sp macro="" textlink="">
      <xdr:nvSpPr>
        <xdr:cNvPr id="1341" name="Line 518">
          <a:extLst>
            <a:ext uri="{FF2B5EF4-FFF2-40B4-BE49-F238E27FC236}">
              <a16:creationId xmlns:a16="http://schemas.microsoft.com/office/drawing/2014/main" id="{00000000-0008-0000-1500-00003D050000}"/>
            </a:ext>
          </a:extLst>
        </xdr:cNvPr>
        <xdr:cNvSpPr>
          <a:spLocks noChangeShapeType="1"/>
        </xdr:cNvSpPr>
      </xdr:nvSpPr>
      <xdr:spPr bwMode="auto">
        <a:xfrm rot="5400000">
          <a:off x="10029904" y="11049159"/>
          <a:ext cx="0" cy="482284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15716</xdr:colOff>
      <xdr:row>53</xdr:row>
      <xdr:rowOff>114301</xdr:rowOff>
    </xdr:from>
    <xdr:to>
      <xdr:col>49</xdr:col>
      <xdr:colOff>0</xdr:colOff>
      <xdr:row>53</xdr:row>
      <xdr:rowOff>114301</xdr:rowOff>
    </xdr:to>
    <xdr:sp macro="" textlink="">
      <xdr:nvSpPr>
        <xdr:cNvPr id="1342" name="Line 519">
          <a:extLst>
            <a:ext uri="{FF2B5EF4-FFF2-40B4-BE49-F238E27FC236}">
              <a16:creationId xmlns:a16="http://schemas.microsoft.com/office/drawing/2014/main" id="{00000000-0008-0000-1500-00003E050000}"/>
            </a:ext>
          </a:extLst>
        </xdr:cNvPr>
        <xdr:cNvSpPr>
          <a:spLocks noChangeShapeType="1"/>
        </xdr:cNvSpPr>
      </xdr:nvSpPr>
      <xdr:spPr bwMode="auto">
        <a:xfrm rot="5400000">
          <a:off x="10030857" y="11502470"/>
          <a:ext cx="0" cy="46466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47</xdr:col>
      <xdr:colOff>1904</xdr:colOff>
      <xdr:row>54</xdr:row>
      <xdr:rowOff>130093</xdr:rowOff>
    </xdr:from>
    <xdr:to>
      <xdr:col>49</xdr:col>
      <xdr:colOff>5952</xdr:colOff>
      <xdr:row>54</xdr:row>
      <xdr:rowOff>130093</xdr:rowOff>
    </xdr:to>
    <xdr:sp macro="" textlink="">
      <xdr:nvSpPr>
        <xdr:cNvPr id="1343" name="Line 749">
          <a:extLst>
            <a:ext uri="{FF2B5EF4-FFF2-40B4-BE49-F238E27FC236}">
              <a16:creationId xmlns:a16="http://schemas.microsoft.com/office/drawing/2014/main" id="{00000000-0008-0000-1500-00003F050000}"/>
            </a:ext>
          </a:extLst>
        </xdr:cNvPr>
        <xdr:cNvSpPr>
          <a:spLocks noChangeShapeType="1"/>
        </xdr:cNvSpPr>
      </xdr:nvSpPr>
      <xdr:spPr bwMode="auto">
        <a:xfrm rot="5400000">
          <a:off x="10025975" y="11731582"/>
          <a:ext cx="0" cy="490141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47</xdr:col>
      <xdr:colOff>1904</xdr:colOff>
      <xdr:row>55</xdr:row>
      <xdr:rowOff>135736</xdr:rowOff>
    </xdr:from>
    <xdr:to>
      <xdr:col>49</xdr:col>
      <xdr:colOff>3662</xdr:colOff>
      <xdr:row>55</xdr:row>
      <xdr:rowOff>135736</xdr:rowOff>
    </xdr:to>
    <xdr:sp macro="" textlink="">
      <xdr:nvSpPr>
        <xdr:cNvPr id="1344" name="Line 749">
          <a:extLst>
            <a:ext uri="{FF2B5EF4-FFF2-40B4-BE49-F238E27FC236}">
              <a16:creationId xmlns:a16="http://schemas.microsoft.com/office/drawing/2014/main" id="{00000000-0008-0000-1500-000040050000}"/>
            </a:ext>
          </a:extLst>
        </xdr:cNvPr>
        <xdr:cNvSpPr>
          <a:spLocks noChangeShapeType="1"/>
        </xdr:cNvSpPr>
      </xdr:nvSpPr>
      <xdr:spPr bwMode="auto">
        <a:xfrm rot="5400000">
          <a:off x="10023877" y="11953953"/>
          <a:ext cx="0" cy="485946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47</xdr:col>
      <xdr:colOff>11666</xdr:colOff>
      <xdr:row>52</xdr:row>
      <xdr:rowOff>98474</xdr:rowOff>
    </xdr:from>
    <xdr:to>
      <xdr:col>49</xdr:col>
      <xdr:colOff>0</xdr:colOff>
      <xdr:row>52</xdr:row>
      <xdr:rowOff>98474</xdr:rowOff>
    </xdr:to>
    <xdr:sp macro="" textlink="">
      <xdr:nvSpPr>
        <xdr:cNvPr id="1345" name="Line 167">
          <a:extLst>
            <a:ext uri="{FF2B5EF4-FFF2-40B4-BE49-F238E27FC236}">
              <a16:creationId xmlns:a16="http://schemas.microsoft.com/office/drawing/2014/main" id="{00000000-0008-0000-1500-000041050000}"/>
            </a:ext>
          </a:extLst>
        </xdr:cNvPr>
        <xdr:cNvSpPr>
          <a:spLocks noChangeShapeType="1"/>
        </xdr:cNvSpPr>
      </xdr:nvSpPr>
      <xdr:spPr bwMode="auto">
        <a:xfrm rot="5400000">
          <a:off x="10028832" y="11258558"/>
          <a:ext cx="0" cy="468712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44</xdr:col>
      <xdr:colOff>27760</xdr:colOff>
      <xdr:row>43</xdr:row>
      <xdr:rowOff>8529</xdr:rowOff>
    </xdr:from>
    <xdr:to>
      <xdr:col>45</xdr:col>
      <xdr:colOff>214450</xdr:colOff>
      <xdr:row>43</xdr:row>
      <xdr:rowOff>8529</xdr:rowOff>
    </xdr:to>
    <xdr:sp macro="" textlink="">
      <xdr:nvSpPr>
        <xdr:cNvPr id="1346" name="Line 77">
          <a:extLst>
            <a:ext uri="{FF2B5EF4-FFF2-40B4-BE49-F238E27FC236}">
              <a16:creationId xmlns:a16="http://schemas.microsoft.com/office/drawing/2014/main" id="{00000000-0008-0000-1500-000042050000}"/>
            </a:ext>
          </a:extLst>
        </xdr:cNvPr>
        <xdr:cNvSpPr>
          <a:spLocks noChangeShapeType="1"/>
        </xdr:cNvSpPr>
      </xdr:nvSpPr>
      <xdr:spPr bwMode="auto">
        <a:xfrm rot="5400000">
          <a:off x="9282092" y="9193010"/>
          <a:ext cx="0" cy="430847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37285</xdr:colOff>
      <xdr:row>43</xdr:row>
      <xdr:rowOff>8529</xdr:rowOff>
    </xdr:from>
    <xdr:to>
      <xdr:col>49</xdr:col>
      <xdr:colOff>546</xdr:colOff>
      <xdr:row>43</xdr:row>
      <xdr:rowOff>8529</xdr:rowOff>
    </xdr:to>
    <xdr:sp macro="" textlink="">
      <xdr:nvSpPr>
        <xdr:cNvPr id="1347" name="Line 79">
          <a:extLst>
            <a:ext uri="{FF2B5EF4-FFF2-40B4-BE49-F238E27FC236}">
              <a16:creationId xmlns:a16="http://schemas.microsoft.com/office/drawing/2014/main" id="{00000000-0008-0000-1500-000043050000}"/>
            </a:ext>
          </a:extLst>
        </xdr:cNvPr>
        <xdr:cNvSpPr>
          <a:spLocks noChangeShapeType="1"/>
        </xdr:cNvSpPr>
      </xdr:nvSpPr>
      <xdr:spPr bwMode="auto">
        <a:xfrm rot="5400000">
          <a:off x="10040010" y="9184709"/>
          <a:ext cx="0" cy="447449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217263</xdr:colOff>
      <xdr:row>42</xdr:row>
      <xdr:rowOff>213359</xdr:rowOff>
    </xdr:from>
    <xdr:to>
      <xdr:col>45</xdr:col>
      <xdr:colOff>217263</xdr:colOff>
      <xdr:row>44</xdr:row>
      <xdr:rowOff>203290</xdr:rowOff>
    </xdr:to>
    <xdr:sp macro="" textlink="">
      <xdr:nvSpPr>
        <xdr:cNvPr id="1348" name="Line 82">
          <a:extLst>
            <a:ext uri="{FF2B5EF4-FFF2-40B4-BE49-F238E27FC236}">
              <a16:creationId xmlns:a16="http://schemas.microsoft.com/office/drawing/2014/main" id="{00000000-0008-0000-1500-000044050000}"/>
            </a:ext>
          </a:extLst>
        </xdr:cNvPr>
        <xdr:cNvSpPr>
          <a:spLocks noChangeShapeType="1"/>
        </xdr:cNvSpPr>
      </xdr:nvSpPr>
      <xdr:spPr bwMode="auto">
        <a:xfrm>
          <a:off x="11020201" y="9389109"/>
          <a:ext cx="0" cy="43443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27487</xdr:colOff>
      <xdr:row>42</xdr:row>
      <xdr:rowOff>202745</xdr:rowOff>
    </xdr:from>
    <xdr:to>
      <xdr:col>47</xdr:col>
      <xdr:colOff>27487</xdr:colOff>
      <xdr:row>44</xdr:row>
      <xdr:rowOff>202201</xdr:rowOff>
    </xdr:to>
    <xdr:sp macro="" textlink="">
      <xdr:nvSpPr>
        <xdr:cNvPr id="1349" name="Line 82">
          <a:extLst>
            <a:ext uri="{FF2B5EF4-FFF2-40B4-BE49-F238E27FC236}">
              <a16:creationId xmlns:a16="http://schemas.microsoft.com/office/drawing/2014/main" id="{00000000-0008-0000-1500-000045050000}"/>
            </a:ext>
          </a:extLst>
        </xdr:cNvPr>
        <xdr:cNvSpPr>
          <a:spLocks noChangeShapeType="1"/>
        </xdr:cNvSpPr>
      </xdr:nvSpPr>
      <xdr:spPr bwMode="auto">
        <a:xfrm>
          <a:off x="9804582" y="9382305"/>
          <a:ext cx="0" cy="44395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46</xdr:col>
      <xdr:colOff>28607</xdr:colOff>
      <xdr:row>41</xdr:row>
      <xdr:rowOff>214645</xdr:rowOff>
    </xdr:from>
    <xdr:to>
      <xdr:col>47</xdr:col>
      <xdr:colOff>33955</xdr:colOff>
      <xdr:row>41</xdr:row>
      <xdr:rowOff>214645</xdr:rowOff>
    </xdr:to>
    <xdr:sp macro="" textlink="">
      <xdr:nvSpPr>
        <xdr:cNvPr id="1350" name="Line 749">
          <a:extLst>
            <a:ext uri="{FF2B5EF4-FFF2-40B4-BE49-F238E27FC236}">
              <a16:creationId xmlns:a16="http://schemas.microsoft.com/office/drawing/2014/main" id="{00000000-0008-0000-1500-000046050000}"/>
            </a:ext>
          </a:extLst>
        </xdr:cNvPr>
        <xdr:cNvSpPr>
          <a:spLocks noChangeShapeType="1"/>
        </xdr:cNvSpPr>
      </xdr:nvSpPr>
      <xdr:spPr bwMode="auto">
        <a:xfrm rot="5400000">
          <a:off x="11191407" y="9046408"/>
          <a:ext cx="0" cy="24347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44</xdr:col>
      <xdr:colOff>11113</xdr:colOff>
      <xdr:row>41</xdr:row>
      <xdr:rowOff>220891</xdr:rowOff>
    </xdr:from>
    <xdr:to>
      <xdr:col>45</xdr:col>
      <xdr:colOff>199708</xdr:colOff>
      <xdr:row>41</xdr:row>
      <xdr:rowOff>220891</xdr:rowOff>
    </xdr:to>
    <xdr:sp macro="" textlink="">
      <xdr:nvSpPr>
        <xdr:cNvPr id="1351" name="Line 77">
          <a:extLst>
            <a:ext uri="{FF2B5EF4-FFF2-40B4-BE49-F238E27FC236}">
              <a16:creationId xmlns:a16="http://schemas.microsoft.com/office/drawing/2014/main" id="{00000000-0008-0000-1500-000047050000}"/>
            </a:ext>
          </a:extLst>
        </xdr:cNvPr>
        <xdr:cNvSpPr>
          <a:spLocks noChangeShapeType="1"/>
        </xdr:cNvSpPr>
      </xdr:nvSpPr>
      <xdr:spPr bwMode="auto">
        <a:xfrm rot="5400000">
          <a:off x="10789286" y="8961031"/>
          <a:ext cx="0" cy="4267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54295</xdr:colOff>
      <xdr:row>41</xdr:row>
      <xdr:rowOff>209143</xdr:rowOff>
    </xdr:from>
    <xdr:to>
      <xdr:col>49</xdr:col>
      <xdr:colOff>4765</xdr:colOff>
      <xdr:row>41</xdr:row>
      <xdr:rowOff>209143</xdr:rowOff>
    </xdr:to>
    <xdr:sp macro="" textlink="">
      <xdr:nvSpPr>
        <xdr:cNvPr id="1352" name="Line 79">
          <a:extLst>
            <a:ext uri="{FF2B5EF4-FFF2-40B4-BE49-F238E27FC236}">
              <a16:creationId xmlns:a16="http://schemas.microsoft.com/office/drawing/2014/main" id="{00000000-0008-0000-1500-000048050000}"/>
            </a:ext>
          </a:extLst>
        </xdr:cNvPr>
        <xdr:cNvSpPr>
          <a:spLocks noChangeShapeType="1"/>
        </xdr:cNvSpPr>
      </xdr:nvSpPr>
      <xdr:spPr bwMode="auto">
        <a:xfrm rot="5400000">
          <a:off x="11546843" y="8949283"/>
          <a:ext cx="0" cy="4267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27577</xdr:colOff>
      <xdr:row>41</xdr:row>
      <xdr:rowOff>143284</xdr:rowOff>
    </xdr:from>
    <xdr:to>
      <xdr:col>47</xdr:col>
      <xdr:colOff>27577</xdr:colOff>
      <xdr:row>42</xdr:row>
      <xdr:rowOff>211678</xdr:rowOff>
    </xdr:to>
    <xdr:sp macro="" textlink="">
      <xdr:nvSpPr>
        <xdr:cNvPr id="1353" name="Line 749">
          <a:extLst>
            <a:ext uri="{FF2B5EF4-FFF2-40B4-BE49-F238E27FC236}">
              <a16:creationId xmlns:a16="http://schemas.microsoft.com/office/drawing/2014/main" id="{00000000-0008-0000-1500-000049050000}"/>
            </a:ext>
          </a:extLst>
        </xdr:cNvPr>
        <xdr:cNvSpPr>
          <a:spLocks noChangeShapeType="1"/>
        </xdr:cNvSpPr>
      </xdr:nvSpPr>
      <xdr:spPr bwMode="auto">
        <a:xfrm>
          <a:off x="11306765" y="9096784"/>
          <a:ext cx="0" cy="290644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225697</xdr:colOff>
      <xdr:row>41</xdr:row>
      <xdr:rowOff>147094</xdr:rowOff>
    </xdr:from>
    <xdr:to>
      <xdr:col>45</xdr:col>
      <xdr:colOff>225697</xdr:colOff>
      <xdr:row>43</xdr:row>
      <xdr:rowOff>16098</xdr:rowOff>
    </xdr:to>
    <xdr:sp macro="" textlink="">
      <xdr:nvSpPr>
        <xdr:cNvPr id="1354" name="Line 749">
          <a:extLst>
            <a:ext uri="{FF2B5EF4-FFF2-40B4-BE49-F238E27FC236}">
              <a16:creationId xmlns:a16="http://schemas.microsoft.com/office/drawing/2014/main" id="{00000000-0008-0000-1500-00004A050000}"/>
            </a:ext>
          </a:extLst>
        </xdr:cNvPr>
        <xdr:cNvSpPr>
          <a:spLocks noChangeShapeType="1"/>
        </xdr:cNvSpPr>
      </xdr:nvSpPr>
      <xdr:spPr bwMode="auto">
        <a:xfrm>
          <a:off x="11028635" y="9100594"/>
          <a:ext cx="0" cy="313504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219808</xdr:colOff>
      <xdr:row>47</xdr:row>
      <xdr:rowOff>19050</xdr:rowOff>
    </xdr:from>
    <xdr:to>
      <xdr:col>51</xdr:col>
      <xdr:colOff>219808</xdr:colOff>
      <xdr:row>48</xdr:row>
      <xdr:rowOff>209550</xdr:rowOff>
    </xdr:to>
    <xdr:sp macro="" textlink="">
      <xdr:nvSpPr>
        <xdr:cNvPr id="1355" name="Line 108">
          <a:extLst>
            <a:ext uri="{FF2B5EF4-FFF2-40B4-BE49-F238E27FC236}">
              <a16:creationId xmlns:a16="http://schemas.microsoft.com/office/drawing/2014/main" id="{00000000-0008-0000-1500-00004B050000}"/>
            </a:ext>
          </a:extLst>
        </xdr:cNvPr>
        <xdr:cNvSpPr>
          <a:spLocks noChangeShapeType="1"/>
        </xdr:cNvSpPr>
      </xdr:nvSpPr>
      <xdr:spPr bwMode="auto">
        <a:xfrm>
          <a:off x="11020841" y="10302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219117</xdr:colOff>
      <xdr:row>45</xdr:row>
      <xdr:rowOff>907</xdr:rowOff>
    </xdr:from>
    <xdr:to>
      <xdr:col>51</xdr:col>
      <xdr:colOff>219117</xdr:colOff>
      <xdr:row>46</xdr:row>
      <xdr:rowOff>204932</xdr:rowOff>
    </xdr:to>
    <xdr:sp macro="" textlink="">
      <xdr:nvSpPr>
        <xdr:cNvPr id="1356" name="Line 118">
          <a:extLst>
            <a:ext uri="{FF2B5EF4-FFF2-40B4-BE49-F238E27FC236}">
              <a16:creationId xmlns:a16="http://schemas.microsoft.com/office/drawing/2014/main" id="{00000000-0008-0000-1500-00004C050000}"/>
            </a:ext>
          </a:extLst>
        </xdr:cNvPr>
        <xdr:cNvSpPr>
          <a:spLocks noChangeShapeType="1"/>
        </xdr:cNvSpPr>
      </xdr:nvSpPr>
      <xdr:spPr bwMode="auto">
        <a:xfrm>
          <a:off x="11020150" y="9843407"/>
          <a:ext cx="0" cy="43008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5030</xdr:colOff>
      <xdr:row>45</xdr:row>
      <xdr:rowOff>19050</xdr:rowOff>
    </xdr:from>
    <xdr:to>
      <xdr:col>53</xdr:col>
      <xdr:colOff>5030</xdr:colOff>
      <xdr:row>47</xdr:row>
      <xdr:rowOff>1732</xdr:rowOff>
    </xdr:to>
    <xdr:sp macro="" textlink="">
      <xdr:nvSpPr>
        <xdr:cNvPr id="1357" name="Line 121">
          <a:extLst>
            <a:ext uri="{FF2B5EF4-FFF2-40B4-BE49-F238E27FC236}">
              <a16:creationId xmlns:a16="http://schemas.microsoft.com/office/drawing/2014/main" id="{00000000-0008-0000-1500-00004D050000}"/>
            </a:ext>
          </a:extLst>
        </xdr:cNvPr>
        <xdr:cNvSpPr>
          <a:spLocks noChangeShapeType="1"/>
        </xdr:cNvSpPr>
      </xdr:nvSpPr>
      <xdr:spPr bwMode="auto">
        <a:xfrm>
          <a:off x="11286123" y="9857740"/>
          <a:ext cx="0" cy="43099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50</xdr:col>
      <xdr:colOff>28575</xdr:colOff>
      <xdr:row>46</xdr:row>
      <xdr:rowOff>219075</xdr:rowOff>
    </xdr:from>
    <xdr:to>
      <xdr:col>51</xdr:col>
      <xdr:colOff>209550</xdr:colOff>
      <xdr:row>46</xdr:row>
      <xdr:rowOff>219075</xdr:rowOff>
    </xdr:to>
    <xdr:sp macro="" textlink="">
      <xdr:nvSpPr>
        <xdr:cNvPr id="1358" name="Line 124">
          <a:extLst>
            <a:ext uri="{FF2B5EF4-FFF2-40B4-BE49-F238E27FC236}">
              <a16:creationId xmlns:a16="http://schemas.microsoft.com/office/drawing/2014/main" id="{00000000-0008-0000-1500-00004E050000}"/>
            </a:ext>
          </a:extLst>
        </xdr:cNvPr>
        <xdr:cNvSpPr>
          <a:spLocks noChangeShapeType="1"/>
        </xdr:cNvSpPr>
      </xdr:nvSpPr>
      <xdr:spPr bwMode="auto">
        <a:xfrm rot="5400000">
          <a:off x="10800081" y="100733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11904</xdr:colOff>
      <xdr:row>46</xdr:row>
      <xdr:rowOff>219473</xdr:rowOff>
    </xdr:from>
    <xdr:to>
      <xdr:col>55</xdr:col>
      <xdr:colOff>21771</xdr:colOff>
      <xdr:row>46</xdr:row>
      <xdr:rowOff>221342</xdr:rowOff>
    </xdr:to>
    <xdr:sp macro="" textlink="">
      <xdr:nvSpPr>
        <xdr:cNvPr id="1359" name="Line 127">
          <a:extLst>
            <a:ext uri="{FF2B5EF4-FFF2-40B4-BE49-F238E27FC236}">
              <a16:creationId xmlns:a16="http://schemas.microsoft.com/office/drawing/2014/main" id="{00000000-0008-0000-1500-00004F050000}"/>
            </a:ext>
          </a:extLst>
        </xdr:cNvPr>
        <xdr:cNvSpPr>
          <a:spLocks noChangeShapeType="1"/>
        </xdr:cNvSpPr>
      </xdr:nvSpPr>
      <xdr:spPr bwMode="auto">
        <a:xfrm rot="5400000" flipH="1">
          <a:off x="11533216" y="10044004"/>
          <a:ext cx="1869" cy="478497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5861</xdr:colOff>
      <xdr:row>47</xdr:row>
      <xdr:rowOff>19050</xdr:rowOff>
    </xdr:from>
    <xdr:to>
      <xdr:col>53</xdr:col>
      <xdr:colOff>5861</xdr:colOff>
      <xdr:row>48</xdr:row>
      <xdr:rowOff>209550</xdr:rowOff>
    </xdr:to>
    <xdr:sp macro="" textlink="">
      <xdr:nvSpPr>
        <xdr:cNvPr id="1360" name="Line 137">
          <a:extLst>
            <a:ext uri="{FF2B5EF4-FFF2-40B4-BE49-F238E27FC236}">
              <a16:creationId xmlns:a16="http://schemas.microsoft.com/office/drawing/2014/main" id="{00000000-0008-0000-1500-000050050000}"/>
            </a:ext>
          </a:extLst>
        </xdr:cNvPr>
        <xdr:cNvSpPr>
          <a:spLocks noChangeShapeType="1"/>
        </xdr:cNvSpPr>
      </xdr:nvSpPr>
      <xdr:spPr bwMode="auto">
        <a:xfrm>
          <a:off x="11286954" y="10302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50</xdr:col>
      <xdr:colOff>10432</xdr:colOff>
      <xdr:row>44</xdr:row>
      <xdr:rowOff>202899</xdr:rowOff>
    </xdr:from>
    <xdr:to>
      <xdr:col>51</xdr:col>
      <xdr:colOff>191407</xdr:colOff>
      <xdr:row>44</xdr:row>
      <xdr:rowOff>202899</xdr:rowOff>
    </xdr:to>
    <xdr:sp macro="" textlink="">
      <xdr:nvSpPr>
        <xdr:cNvPr id="1361" name="Line 140">
          <a:extLst>
            <a:ext uri="{FF2B5EF4-FFF2-40B4-BE49-F238E27FC236}">
              <a16:creationId xmlns:a16="http://schemas.microsoft.com/office/drawing/2014/main" id="{00000000-0008-0000-1500-000051050000}"/>
            </a:ext>
          </a:extLst>
        </xdr:cNvPr>
        <xdr:cNvSpPr>
          <a:spLocks noChangeShapeType="1"/>
        </xdr:cNvSpPr>
      </xdr:nvSpPr>
      <xdr:spPr bwMode="auto">
        <a:xfrm rot="5400000">
          <a:off x="10785748" y="9618361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175268</xdr:colOff>
      <xdr:row>47</xdr:row>
      <xdr:rowOff>17906</xdr:rowOff>
    </xdr:from>
    <xdr:to>
      <xdr:col>51</xdr:col>
      <xdr:colOff>175268</xdr:colOff>
      <xdr:row>48</xdr:row>
      <xdr:rowOff>211044</xdr:rowOff>
    </xdr:to>
    <xdr:sp macro="" textlink="">
      <xdr:nvSpPr>
        <xdr:cNvPr id="1362" name="Line 154">
          <a:extLst>
            <a:ext uri="{FF2B5EF4-FFF2-40B4-BE49-F238E27FC236}">
              <a16:creationId xmlns:a16="http://schemas.microsoft.com/office/drawing/2014/main" id="{00000000-0008-0000-1500-000052050000}"/>
            </a:ext>
          </a:extLst>
        </xdr:cNvPr>
        <xdr:cNvSpPr>
          <a:spLocks noChangeShapeType="1"/>
        </xdr:cNvSpPr>
      </xdr:nvSpPr>
      <xdr:spPr bwMode="auto">
        <a:xfrm>
          <a:off x="10974396" y="10308716"/>
          <a:ext cx="0" cy="407768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53</xdr:col>
      <xdr:colOff>49898</xdr:colOff>
      <xdr:row>46</xdr:row>
      <xdr:rowOff>206473</xdr:rowOff>
    </xdr:from>
    <xdr:to>
      <xdr:col>53</xdr:col>
      <xdr:colOff>49898</xdr:colOff>
      <xdr:row>48</xdr:row>
      <xdr:rowOff>191233</xdr:rowOff>
    </xdr:to>
    <xdr:sp macro="" textlink="">
      <xdr:nvSpPr>
        <xdr:cNvPr id="1363" name="Line 154">
          <a:extLst>
            <a:ext uri="{FF2B5EF4-FFF2-40B4-BE49-F238E27FC236}">
              <a16:creationId xmlns:a16="http://schemas.microsoft.com/office/drawing/2014/main" id="{00000000-0008-0000-1500-000053050000}"/>
            </a:ext>
          </a:extLst>
        </xdr:cNvPr>
        <xdr:cNvSpPr>
          <a:spLocks noChangeShapeType="1"/>
        </xdr:cNvSpPr>
      </xdr:nvSpPr>
      <xdr:spPr bwMode="auto">
        <a:xfrm>
          <a:off x="11332896" y="10275033"/>
          <a:ext cx="0" cy="42545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50</xdr:col>
      <xdr:colOff>16270</xdr:colOff>
      <xdr:row>45</xdr:row>
      <xdr:rowOff>4088</xdr:rowOff>
    </xdr:from>
    <xdr:to>
      <xdr:col>50</xdr:col>
      <xdr:colOff>16270</xdr:colOff>
      <xdr:row>46</xdr:row>
      <xdr:rowOff>212750</xdr:rowOff>
    </xdr:to>
    <xdr:sp macro="" textlink="">
      <xdr:nvSpPr>
        <xdr:cNvPr id="1364" name="Line 510">
          <a:extLst>
            <a:ext uri="{FF2B5EF4-FFF2-40B4-BE49-F238E27FC236}">
              <a16:creationId xmlns:a16="http://schemas.microsoft.com/office/drawing/2014/main" id="{00000000-0008-0000-1500-000054050000}"/>
            </a:ext>
          </a:extLst>
        </xdr:cNvPr>
        <xdr:cNvSpPr>
          <a:spLocks noChangeShapeType="1"/>
        </xdr:cNvSpPr>
      </xdr:nvSpPr>
      <xdr:spPr bwMode="auto">
        <a:xfrm>
          <a:off x="10584893" y="9848493"/>
          <a:ext cx="0" cy="4251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50</xdr:col>
      <xdr:colOff>5235</xdr:colOff>
      <xdr:row>47</xdr:row>
      <xdr:rowOff>17166</xdr:rowOff>
    </xdr:from>
    <xdr:to>
      <xdr:col>50</xdr:col>
      <xdr:colOff>5235</xdr:colOff>
      <xdr:row>48</xdr:row>
      <xdr:rowOff>216304</xdr:rowOff>
    </xdr:to>
    <xdr:sp macro="" textlink="">
      <xdr:nvSpPr>
        <xdr:cNvPr id="1365" name="Line 510">
          <a:extLst>
            <a:ext uri="{FF2B5EF4-FFF2-40B4-BE49-F238E27FC236}">
              <a16:creationId xmlns:a16="http://schemas.microsoft.com/office/drawing/2014/main" id="{00000000-0008-0000-1500-000055050000}"/>
            </a:ext>
          </a:extLst>
        </xdr:cNvPr>
        <xdr:cNvSpPr>
          <a:spLocks noChangeShapeType="1"/>
        </xdr:cNvSpPr>
      </xdr:nvSpPr>
      <xdr:spPr bwMode="auto">
        <a:xfrm>
          <a:off x="10571953" y="10307976"/>
          <a:ext cx="0" cy="41376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54</xdr:col>
      <xdr:colOff>216286</xdr:colOff>
      <xdr:row>44</xdr:row>
      <xdr:rowOff>216959</xdr:rowOff>
    </xdr:from>
    <xdr:to>
      <xdr:col>54</xdr:col>
      <xdr:colOff>216286</xdr:colOff>
      <xdr:row>46</xdr:row>
      <xdr:rowOff>199640</xdr:rowOff>
    </xdr:to>
    <xdr:sp macro="" textlink="">
      <xdr:nvSpPr>
        <xdr:cNvPr id="1366" name="Line 510">
          <a:extLst>
            <a:ext uri="{FF2B5EF4-FFF2-40B4-BE49-F238E27FC236}">
              <a16:creationId xmlns:a16="http://schemas.microsoft.com/office/drawing/2014/main" id="{00000000-0008-0000-1500-000056050000}"/>
            </a:ext>
          </a:extLst>
        </xdr:cNvPr>
        <xdr:cNvSpPr>
          <a:spLocks noChangeShapeType="1"/>
        </xdr:cNvSpPr>
      </xdr:nvSpPr>
      <xdr:spPr bwMode="auto">
        <a:xfrm>
          <a:off x="11729789" y="9833399"/>
          <a:ext cx="0" cy="4328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54</xdr:col>
      <xdr:colOff>223405</xdr:colOff>
      <xdr:row>47</xdr:row>
      <xdr:rowOff>24245</xdr:rowOff>
    </xdr:from>
    <xdr:to>
      <xdr:col>54</xdr:col>
      <xdr:colOff>223405</xdr:colOff>
      <xdr:row>49</xdr:row>
      <xdr:rowOff>6927</xdr:rowOff>
    </xdr:to>
    <xdr:sp macro="" textlink="">
      <xdr:nvSpPr>
        <xdr:cNvPr id="1367" name="Line 510">
          <a:extLst>
            <a:ext uri="{FF2B5EF4-FFF2-40B4-BE49-F238E27FC236}">
              <a16:creationId xmlns:a16="http://schemas.microsoft.com/office/drawing/2014/main" id="{00000000-0008-0000-1500-000057050000}"/>
            </a:ext>
          </a:extLst>
        </xdr:cNvPr>
        <xdr:cNvSpPr>
          <a:spLocks noChangeShapeType="1"/>
        </xdr:cNvSpPr>
      </xdr:nvSpPr>
      <xdr:spPr bwMode="auto">
        <a:xfrm>
          <a:off x="11738813" y="10307435"/>
          <a:ext cx="0" cy="4328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51</xdr:col>
      <xdr:colOff>169405</xdr:colOff>
      <xdr:row>45</xdr:row>
      <xdr:rowOff>9761</xdr:rowOff>
    </xdr:from>
    <xdr:to>
      <xdr:col>51</xdr:col>
      <xdr:colOff>169405</xdr:colOff>
      <xdr:row>46</xdr:row>
      <xdr:rowOff>191644</xdr:rowOff>
    </xdr:to>
    <xdr:sp macro="" textlink="">
      <xdr:nvSpPr>
        <xdr:cNvPr id="1368" name="Line 510">
          <a:extLst>
            <a:ext uri="{FF2B5EF4-FFF2-40B4-BE49-F238E27FC236}">
              <a16:creationId xmlns:a16="http://schemas.microsoft.com/office/drawing/2014/main" id="{00000000-0008-0000-1500-000058050000}"/>
            </a:ext>
          </a:extLst>
        </xdr:cNvPr>
        <xdr:cNvSpPr>
          <a:spLocks noChangeShapeType="1"/>
        </xdr:cNvSpPr>
      </xdr:nvSpPr>
      <xdr:spPr bwMode="auto">
        <a:xfrm>
          <a:off x="10976153" y="9854166"/>
          <a:ext cx="0" cy="40222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43068</xdr:colOff>
      <xdr:row>45</xdr:row>
      <xdr:rowOff>19396</xdr:rowOff>
    </xdr:from>
    <xdr:to>
      <xdr:col>53</xdr:col>
      <xdr:colOff>43068</xdr:colOff>
      <xdr:row>46</xdr:row>
      <xdr:rowOff>209896</xdr:rowOff>
    </xdr:to>
    <xdr:sp macro="" textlink="">
      <xdr:nvSpPr>
        <xdr:cNvPr id="1369" name="Line 510">
          <a:extLst>
            <a:ext uri="{FF2B5EF4-FFF2-40B4-BE49-F238E27FC236}">
              <a16:creationId xmlns:a16="http://schemas.microsoft.com/office/drawing/2014/main" id="{00000000-0008-0000-1500-000059050000}"/>
            </a:ext>
          </a:extLst>
        </xdr:cNvPr>
        <xdr:cNvSpPr>
          <a:spLocks noChangeShapeType="1"/>
        </xdr:cNvSpPr>
      </xdr:nvSpPr>
      <xdr:spPr bwMode="auto">
        <a:xfrm>
          <a:off x="11324161" y="9858086"/>
          <a:ext cx="0" cy="412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50</xdr:col>
      <xdr:colOff>20241</xdr:colOff>
      <xdr:row>47</xdr:row>
      <xdr:rowOff>28274</xdr:rowOff>
    </xdr:from>
    <xdr:to>
      <xdr:col>51</xdr:col>
      <xdr:colOff>195500</xdr:colOff>
      <xdr:row>47</xdr:row>
      <xdr:rowOff>28274</xdr:rowOff>
    </xdr:to>
    <xdr:sp macro="" textlink="">
      <xdr:nvSpPr>
        <xdr:cNvPr id="1370" name="Line 500">
          <a:extLst>
            <a:ext uri="{FF2B5EF4-FFF2-40B4-BE49-F238E27FC236}">
              <a16:creationId xmlns:a16="http://schemas.microsoft.com/office/drawing/2014/main" id="{00000000-0008-0000-1500-00005A050000}"/>
            </a:ext>
          </a:extLst>
        </xdr:cNvPr>
        <xdr:cNvSpPr>
          <a:spLocks noChangeShapeType="1"/>
        </xdr:cNvSpPr>
      </xdr:nvSpPr>
      <xdr:spPr bwMode="auto">
        <a:xfrm rot="5400000">
          <a:off x="10790794" y="10103819"/>
          <a:ext cx="0" cy="419099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25977</xdr:colOff>
      <xdr:row>47</xdr:row>
      <xdr:rowOff>32909</xdr:rowOff>
    </xdr:from>
    <xdr:to>
      <xdr:col>54</xdr:col>
      <xdr:colOff>206952</xdr:colOff>
      <xdr:row>47</xdr:row>
      <xdr:rowOff>32909</xdr:rowOff>
    </xdr:to>
    <xdr:sp macro="" textlink="">
      <xdr:nvSpPr>
        <xdr:cNvPr id="1371" name="Line 500">
          <a:extLst>
            <a:ext uri="{FF2B5EF4-FFF2-40B4-BE49-F238E27FC236}">
              <a16:creationId xmlns:a16="http://schemas.microsoft.com/office/drawing/2014/main" id="{00000000-0008-0000-1500-00005B050000}"/>
            </a:ext>
          </a:extLst>
        </xdr:cNvPr>
        <xdr:cNvSpPr>
          <a:spLocks noChangeShapeType="1"/>
        </xdr:cNvSpPr>
      </xdr:nvSpPr>
      <xdr:spPr bwMode="auto">
        <a:xfrm rot="5400000">
          <a:off x="11514715" y="10104644"/>
          <a:ext cx="0" cy="42672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51088</xdr:colOff>
      <xdr:row>44</xdr:row>
      <xdr:rowOff>206085</xdr:rowOff>
    </xdr:from>
    <xdr:to>
      <xdr:col>54</xdr:col>
      <xdr:colOff>232064</xdr:colOff>
      <xdr:row>44</xdr:row>
      <xdr:rowOff>206085</xdr:rowOff>
    </xdr:to>
    <xdr:sp macro="" textlink="">
      <xdr:nvSpPr>
        <xdr:cNvPr id="1372" name="Line 140">
          <a:extLst>
            <a:ext uri="{FF2B5EF4-FFF2-40B4-BE49-F238E27FC236}">
              <a16:creationId xmlns:a16="http://schemas.microsoft.com/office/drawing/2014/main" id="{00000000-0008-0000-1500-00005C050000}"/>
            </a:ext>
          </a:extLst>
        </xdr:cNvPr>
        <xdr:cNvSpPr>
          <a:spLocks noChangeShapeType="1"/>
        </xdr:cNvSpPr>
      </xdr:nvSpPr>
      <xdr:spPr bwMode="auto">
        <a:xfrm rot="5400000">
          <a:off x="11541732" y="9622499"/>
          <a:ext cx="0" cy="41529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239975</xdr:colOff>
      <xdr:row>44</xdr:row>
      <xdr:rowOff>206295</xdr:rowOff>
    </xdr:from>
    <xdr:to>
      <xdr:col>53</xdr:col>
      <xdr:colOff>39950</xdr:colOff>
      <xdr:row>44</xdr:row>
      <xdr:rowOff>206295</xdr:rowOff>
    </xdr:to>
    <xdr:sp macro="" textlink="">
      <xdr:nvSpPr>
        <xdr:cNvPr id="1373" name="Line 749">
          <a:extLst>
            <a:ext uri="{FF2B5EF4-FFF2-40B4-BE49-F238E27FC236}">
              <a16:creationId xmlns:a16="http://schemas.microsoft.com/office/drawing/2014/main" id="{00000000-0008-0000-1500-00005D050000}"/>
            </a:ext>
          </a:extLst>
        </xdr:cNvPr>
        <xdr:cNvSpPr>
          <a:spLocks noChangeShapeType="1"/>
        </xdr:cNvSpPr>
      </xdr:nvSpPr>
      <xdr:spPr bwMode="auto">
        <a:xfrm rot="5400000">
          <a:off x="11181978" y="9693195"/>
          <a:ext cx="0" cy="27432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227304</xdr:colOff>
      <xdr:row>43</xdr:row>
      <xdr:rowOff>2820</xdr:rowOff>
    </xdr:from>
    <xdr:to>
      <xdr:col>53</xdr:col>
      <xdr:colOff>27279</xdr:colOff>
      <xdr:row>43</xdr:row>
      <xdr:rowOff>2820</xdr:rowOff>
    </xdr:to>
    <xdr:sp macro="" textlink="">
      <xdr:nvSpPr>
        <xdr:cNvPr id="1374" name="Line 749">
          <a:extLst>
            <a:ext uri="{FF2B5EF4-FFF2-40B4-BE49-F238E27FC236}">
              <a16:creationId xmlns:a16="http://schemas.microsoft.com/office/drawing/2014/main" id="{00000000-0008-0000-1500-00005E050000}"/>
            </a:ext>
          </a:extLst>
        </xdr:cNvPr>
        <xdr:cNvSpPr>
          <a:spLocks noChangeShapeType="1"/>
        </xdr:cNvSpPr>
      </xdr:nvSpPr>
      <xdr:spPr bwMode="auto">
        <a:xfrm rot="5400000">
          <a:off x="11167402" y="9263660"/>
          <a:ext cx="0" cy="27432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218712</xdr:colOff>
      <xdr:row>47</xdr:row>
      <xdr:rowOff>30279</xdr:rowOff>
    </xdr:from>
    <xdr:to>
      <xdr:col>53</xdr:col>
      <xdr:colOff>18687</xdr:colOff>
      <xdr:row>47</xdr:row>
      <xdr:rowOff>30279</xdr:rowOff>
    </xdr:to>
    <xdr:sp macro="" textlink="">
      <xdr:nvSpPr>
        <xdr:cNvPr id="1375" name="Line 749">
          <a:extLst>
            <a:ext uri="{FF2B5EF4-FFF2-40B4-BE49-F238E27FC236}">
              <a16:creationId xmlns:a16="http://schemas.microsoft.com/office/drawing/2014/main" id="{00000000-0008-0000-1500-00005F050000}"/>
            </a:ext>
          </a:extLst>
        </xdr:cNvPr>
        <xdr:cNvSpPr>
          <a:spLocks noChangeShapeType="1"/>
        </xdr:cNvSpPr>
      </xdr:nvSpPr>
      <xdr:spPr bwMode="auto">
        <a:xfrm rot="5400000">
          <a:off x="11160715" y="10174404"/>
          <a:ext cx="0" cy="2819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51</xdr:col>
      <xdr:colOff>240977</xdr:colOff>
      <xdr:row>47</xdr:row>
      <xdr:rowOff>370</xdr:rowOff>
    </xdr:from>
    <xdr:to>
      <xdr:col>53</xdr:col>
      <xdr:colOff>40952</xdr:colOff>
      <xdr:row>47</xdr:row>
      <xdr:rowOff>370</xdr:rowOff>
    </xdr:to>
    <xdr:sp macro="" textlink="">
      <xdr:nvSpPr>
        <xdr:cNvPr id="1376" name="Line 749">
          <a:extLst>
            <a:ext uri="{FF2B5EF4-FFF2-40B4-BE49-F238E27FC236}">
              <a16:creationId xmlns:a16="http://schemas.microsoft.com/office/drawing/2014/main" id="{00000000-0008-0000-1500-000060050000}"/>
            </a:ext>
          </a:extLst>
        </xdr:cNvPr>
        <xdr:cNvSpPr>
          <a:spLocks noChangeShapeType="1"/>
        </xdr:cNvSpPr>
      </xdr:nvSpPr>
      <xdr:spPr bwMode="auto">
        <a:xfrm rot="5400000">
          <a:off x="11179170" y="10146400"/>
          <a:ext cx="0" cy="28194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211785</xdr:colOff>
      <xdr:row>48</xdr:row>
      <xdr:rowOff>193826</xdr:rowOff>
    </xdr:from>
    <xdr:to>
      <xdr:col>53</xdr:col>
      <xdr:colOff>36525</xdr:colOff>
      <xdr:row>48</xdr:row>
      <xdr:rowOff>193826</xdr:rowOff>
    </xdr:to>
    <xdr:sp macro="" textlink="">
      <xdr:nvSpPr>
        <xdr:cNvPr id="1377" name="Line 749">
          <a:extLst>
            <a:ext uri="{FF2B5EF4-FFF2-40B4-BE49-F238E27FC236}">
              <a16:creationId xmlns:a16="http://schemas.microsoft.com/office/drawing/2014/main" id="{00000000-0008-0000-1500-000061050000}"/>
            </a:ext>
          </a:extLst>
        </xdr:cNvPr>
        <xdr:cNvSpPr>
          <a:spLocks noChangeShapeType="1"/>
        </xdr:cNvSpPr>
      </xdr:nvSpPr>
      <xdr:spPr bwMode="auto">
        <a:xfrm rot="5400000">
          <a:off x="11163313" y="10550676"/>
          <a:ext cx="0" cy="30480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50</xdr:col>
      <xdr:colOff>26881</xdr:colOff>
      <xdr:row>48</xdr:row>
      <xdr:rowOff>203371</xdr:rowOff>
    </xdr:from>
    <xdr:to>
      <xdr:col>51</xdr:col>
      <xdr:colOff>204046</xdr:colOff>
      <xdr:row>48</xdr:row>
      <xdr:rowOff>203371</xdr:rowOff>
    </xdr:to>
    <xdr:sp macro="" textlink="">
      <xdr:nvSpPr>
        <xdr:cNvPr id="1378" name="Line 507">
          <a:extLst>
            <a:ext uri="{FF2B5EF4-FFF2-40B4-BE49-F238E27FC236}">
              <a16:creationId xmlns:a16="http://schemas.microsoft.com/office/drawing/2014/main" id="{00000000-0008-0000-1500-000062050000}"/>
            </a:ext>
          </a:extLst>
        </xdr:cNvPr>
        <xdr:cNvSpPr>
          <a:spLocks noChangeShapeType="1"/>
        </xdr:cNvSpPr>
      </xdr:nvSpPr>
      <xdr:spPr bwMode="auto">
        <a:xfrm rot="5400000">
          <a:off x="10800292" y="10505928"/>
          <a:ext cx="0" cy="42100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54359</xdr:colOff>
      <xdr:row>48</xdr:row>
      <xdr:rowOff>193607</xdr:rowOff>
    </xdr:from>
    <xdr:to>
      <xdr:col>54</xdr:col>
      <xdr:colOff>225810</xdr:colOff>
      <xdr:row>48</xdr:row>
      <xdr:rowOff>193607</xdr:rowOff>
    </xdr:to>
    <xdr:sp macro="" textlink="">
      <xdr:nvSpPr>
        <xdr:cNvPr id="1379" name="Line 508">
          <a:extLst>
            <a:ext uri="{FF2B5EF4-FFF2-40B4-BE49-F238E27FC236}">
              <a16:creationId xmlns:a16="http://schemas.microsoft.com/office/drawing/2014/main" id="{00000000-0008-0000-1500-000063050000}"/>
            </a:ext>
          </a:extLst>
        </xdr:cNvPr>
        <xdr:cNvSpPr>
          <a:spLocks noChangeShapeType="1"/>
        </xdr:cNvSpPr>
      </xdr:nvSpPr>
      <xdr:spPr bwMode="auto">
        <a:xfrm rot="5400000">
          <a:off x="11540240" y="10499974"/>
          <a:ext cx="0" cy="40576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7857</xdr:colOff>
      <xdr:row>51</xdr:row>
      <xdr:rowOff>114301</xdr:rowOff>
    </xdr:from>
    <xdr:to>
      <xdr:col>55</xdr:col>
      <xdr:colOff>5953</xdr:colOff>
      <xdr:row>51</xdr:row>
      <xdr:rowOff>114301</xdr:rowOff>
    </xdr:to>
    <xdr:sp macro="" textlink="">
      <xdr:nvSpPr>
        <xdr:cNvPr id="1380" name="Line 518">
          <a:extLst>
            <a:ext uri="{FF2B5EF4-FFF2-40B4-BE49-F238E27FC236}">
              <a16:creationId xmlns:a16="http://schemas.microsoft.com/office/drawing/2014/main" id="{00000000-0008-0000-1500-000064050000}"/>
            </a:ext>
          </a:extLst>
        </xdr:cNvPr>
        <xdr:cNvSpPr>
          <a:spLocks noChangeShapeType="1"/>
        </xdr:cNvSpPr>
      </xdr:nvSpPr>
      <xdr:spPr bwMode="auto">
        <a:xfrm rot="5400000">
          <a:off x="11526123" y="1105312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15716</xdr:colOff>
      <xdr:row>53</xdr:row>
      <xdr:rowOff>114301</xdr:rowOff>
    </xdr:from>
    <xdr:to>
      <xdr:col>55</xdr:col>
      <xdr:colOff>0</xdr:colOff>
      <xdr:row>53</xdr:row>
      <xdr:rowOff>114301</xdr:rowOff>
    </xdr:to>
    <xdr:sp macro="" textlink="">
      <xdr:nvSpPr>
        <xdr:cNvPr id="1381" name="Line 519">
          <a:extLst>
            <a:ext uri="{FF2B5EF4-FFF2-40B4-BE49-F238E27FC236}">
              <a16:creationId xmlns:a16="http://schemas.microsoft.com/office/drawing/2014/main" id="{00000000-0008-0000-1500-000065050000}"/>
            </a:ext>
          </a:extLst>
        </xdr:cNvPr>
        <xdr:cNvSpPr>
          <a:spLocks noChangeShapeType="1"/>
        </xdr:cNvSpPr>
      </xdr:nvSpPr>
      <xdr:spPr bwMode="auto">
        <a:xfrm rot="5400000">
          <a:off x="11527076" y="1150643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1904</xdr:colOff>
      <xdr:row>54</xdr:row>
      <xdr:rowOff>130093</xdr:rowOff>
    </xdr:from>
    <xdr:to>
      <xdr:col>55</xdr:col>
      <xdr:colOff>5952</xdr:colOff>
      <xdr:row>54</xdr:row>
      <xdr:rowOff>130093</xdr:rowOff>
    </xdr:to>
    <xdr:sp macro="" textlink="">
      <xdr:nvSpPr>
        <xdr:cNvPr id="1382" name="Line 749">
          <a:extLst>
            <a:ext uri="{FF2B5EF4-FFF2-40B4-BE49-F238E27FC236}">
              <a16:creationId xmlns:a16="http://schemas.microsoft.com/office/drawing/2014/main" id="{00000000-0008-0000-1500-000066050000}"/>
            </a:ext>
          </a:extLst>
        </xdr:cNvPr>
        <xdr:cNvSpPr>
          <a:spLocks noChangeShapeType="1"/>
        </xdr:cNvSpPr>
      </xdr:nvSpPr>
      <xdr:spPr bwMode="auto">
        <a:xfrm rot="5400000">
          <a:off x="11522194" y="11735551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53</xdr:col>
      <xdr:colOff>1904</xdr:colOff>
      <xdr:row>55</xdr:row>
      <xdr:rowOff>135736</xdr:rowOff>
    </xdr:from>
    <xdr:to>
      <xdr:col>55</xdr:col>
      <xdr:colOff>3662</xdr:colOff>
      <xdr:row>55</xdr:row>
      <xdr:rowOff>135736</xdr:rowOff>
    </xdr:to>
    <xdr:sp macro="" textlink="">
      <xdr:nvSpPr>
        <xdr:cNvPr id="1383" name="Line 749">
          <a:extLst>
            <a:ext uri="{FF2B5EF4-FFF2-40B4-BE49-F238E27FC236}">
              <a16:creationId xmlns:a16="http://schemas.microsoft.com/office/drawing/2014/main" id="{00000000-0008-0000-1500-000067050000}"/>
            </a:ext>
          </a:extLst>
        </xdr:cNvPr>
        <xdr:cNvSpPr>
          <a:spLocks noChangeShapeType="1"/>
        </xdr:cNvSpPr>
      </xdr:nvSpPr>
      <xdr:spPr bwMode="auto">
        <a:xfrm rot="5400000">
          <a:off x="11520096" y="1195792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53</xdr:col>
      <xdr:colOff>11666</xdr:colOff>
      <xdr:row>52</xdr:row>
      <xdr:rowOff>98474</xdr:rowOff>
    </xdr:from>
    <xdr:to>
      <xdr:col>55</xdr:col>
      <xdr:colOff>0</xdr:colOff>
      <xdr:row>52</xdr:row>
      <xdr:rowOff>98474</xdr:rowOff>
    </xdr:to>
    <xdr:sp macro="" textlink="">
      <xdr:nvSpPr>
        <xdr:cNvPr id="1384" name="Line 167">
          <a:extLst>
            <a:ext uri="{FF2B5EF4-FFF2-40B4-BE49-F238E27FC236}">
              <a16:creationId xmlns:a16="http://schemas.microsoft.com/office/drawing/2014/main" id="{00000000-0008-0000-1500-000068050000}"/>
            </a:ext>
          </a:extLst>
        </xdr:cNvPr>
        <xdr:cNvSpPr>
          <a:spLocks noChangeShapeType="1"/>
        </xdr:cNvSpPr>
      </xdr:nvSpPr>
      <xdr:spPr bwMode="auto">
        <a:xfrm rot="5400000">
          <a:off x="11525051" y="11262527"/>
          <a:ext cx="0" cy="46077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50</xdr:col>
      <xdr:colOff>27760</xdr:colOff>
      <xdr:row>43</xdr:row>
      <xdr:rowOff>8529</xdr:rowOff>
    </xdr:from>
    <xdr:to>
      <xdr:col>51</xdr:col>
      <xdr:colOff>214450</xdr:colOff>
      <xdr:row>43</xdr:row>
      <xdr:rowOff>8529</xdr:rowOff>
    </xdr:to>
    <xdr:sp macro="" textlink="">
      <xdr:nvSpPr>
        <xdr:cNvPr id="1385" name="Line 77">
          <a:extLst>
            <a:ext uri="{FF2B5EF4-FFF2-40B4-BE49-F238E27FC236}">
              <a16:creationId xmlns:a16="http://schemas.microsoft.com/office/drawing/2014/main" id="{00000000-0008-0000-1500-000069050000}"/>
            </a:ext>
          </a:extLst>
        </xdr:cNvPr>
        <xdr:cNvSpPr>
          <a:spLocks noChangeShapeType="1"/>
        </xdr:cNvSpPr>
      </xdr:nvSpPr>
      <xdr:spPr bwMode="auto">
        <a:xfrm rot="5400000">
          <a:off x="10802123" y="9196979"/>
          <a:ext cx="0" cy="42291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37285</xdr:colOff>
      <xdr:row>43</xdr:row>
      <xdr:rowOff>8529</xdr:rowOff>
    </xdr:from>
    <xdr:to>
      <xdr:col>55</xdr:col>
      <xdr:colOff>546</xdr:colOff>
      <xdr:row>43</xdr:row>
      <xdr:rowOff>8529</xdr:rowOff>
    </xdr:to>
    <xdr:sp macro="" textlink="">
      <xdr:nvSpPr>
        <xdr:cNvPr id="1386" name="Line 79">
          <a:extLst>
            <a:ext uri="{FF2B5EF4-FFF2-40B4-BE49-F238E27FC236}">
              <a16:creationId xmlns:a16="http://schemas.microsoft.com/office/drawing/2014/main" id="{00000000-0008-0000-1500-00006A050000}"/>
            </a:ext>
          </a:extLst>
        </xdr:cNvPr>
        <xdr:cNvSpPr>
          <a:spLocks noChangeShapeType="1"/>
        </xdr:cNvSpPr>
      </xdr:nvSpPr>
      <xdr:spPr bwMode="auto">
        <a:xfrm rot="5400000">
          <a:off x="11536229" y="9188678"/>
          <a:ext cx="0" cy="43951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217263</xdr:colOff>
      <xdr:row>42</xdr:row>
      <xdr:rowOff>213359</xdr:rowOff>
    </xdr:from>
    <xdr:to>
      <xdr:col>51</xdr:col>
      <xdr:colOff>217263</xdr:colOff>
      <xdr:row>44</xdr:row>
      <xdr:rowOff>203290</xdr:rowOff>
    </xdr:to>
    <xdr:sp macro="" textlink="">
      <xdr:nvSpPr>
        <xdr:cNvPr id="1387" name="Line 82">
          <a:extLst>
            <a:ext uri="{FF2B5EF4-FFF2-40B4-BE49-F238E27FC236}">
              <a16:creationId xmlns:a16="http://schemas.microsoft.com/office/drawing/2014/main" id="{00000000-0008-0000-1500-00006B050000}"/>
            </a:ext>
          </a:extLst>
        </xdr:cNvPr>
        <xdr:cNvSpPr>
          <a:spLocks noChangeShapeType="1"/>
        </xdr:cNvSpPr>
      </xdr:nvSpPr>
      <xdr:spPr bwMode="auto">
        <a:xfrm>
          <a:off x="11018296" y="9385299"/>
          <a:ext cx="0" cy="44205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27487</xdr:colOff>
      <xdr:row>42</xdr:row>
      <xdr:rowOff>202745</xdr:rowOff>
    </xdr:from>
    <xdr:to>
      <xdr:col>53</xdr:col>
      <xdr:colOff>27487</xdr:colOff>
      <xdr:row>44</xdr:row>
      <xdr:rowOff>202201</xdr:rowOff>
    </xdr:to>
    <xdr:sp macro="" textlink="">
      <xdr:nvSpPr>
        <xdr:cNvPr id="1388" name="Line 82">
          <a:extLst>
            <a:ext uri="{FF2B5EF4-FFF2-40B4-BE49-F238E27FC236}">
              <a16:creationId xmlns:a16="http://schemas.microsoft.com/office/drawing/2014/main" id="{00000000-0008-0000-1500-00006C050000}"/>
            </a:ext>
          </a:extLst>
        </xdr:cNvPr>
        <xdr:cNvSpPr>
          <a:spLocks noChangeShapeType="1"/>
        </xdr:cNvSpPr>
      </xdr:nvSpPr>
      <xdr:spPr bwMode="auto">
        <a:xfrm>
          <a:off x="11304770" y="9382305"/>
          <a:ext cx="0" cy="44395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50</xdr:col>
      <xdr:colOff>13018</xdr:colOff>
      <xdr:row>41</xdr:row>
      <xdr:rowOff>28486</xdr:rowOff>
    </xdr:from>
    <xdr:to>
      <xdr:col>51</xdr:col>
      <xdr:colOff>201613</xdr:colOff>
      <xdr:row>41</xdr:row>
      <xdr:rowOff>28486</xdr:rowOff>
    </xdr:to>
    <xdr:sp macro="" textlink="">
      <xdr:nvSpPr>
        <xdr:cNvPr id="1390" name="Line 77">
          <a:extLst>
            <a:ext uri="{FF2B5EF4-FFF2-40B4-BE49-F238E27FC236}">
              <a16:creationId xmlns:a16="http://schemas.microsoft.com/office/drawing/2014/main" id="{00000000-0008-0000-1500-00006E050000}"/>
            </a:ext>
          </a:extLst>
        </xdr:cNvPr>
        <xdr:cNvSpPr>
          <a:spLocks noChangeShapeType="1"/>
        </xdr:cNvSpPr>
      </xdr:nvSpPr>
      <xdr:spPr bwMode="auto">
        <a:xfrm rot="5400000">
          <a:off x="12219941" y="8768626"/>
          <a:ext cx="0" cy="42672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58105</xdr:colOff>
      <xdr:row>41</xdr:row>
      <xdr:rowOff>6579</xdr:rowOff>
    </xdr:from>
    <xdr:to>
      <xdr:col>55</xdr:col>
      <xdr:colOff>6670</xdr:colOff>
      <xdr:row>41</xdr:row>
      <xdr:rowOff>6579</xdr:rowOff>
    </xdr:to>
    <xdr:sp macro="" textlink="">
      <xdr:nvSpPr>
        <xdr:cNvPr id="1391" name="Line 79">
          <a:extLst>
            <a:ext uri="{FF2B5EF4-FFF2-40B4-BE49-F238E27FC236}">
              <a16:creationId xmlns:a16="http://schemas.microsoft.com/office/drawing/2014/main" id="{00000000-0008-0000-1500-00006F050000}"/>
            </a:ext>
          </a:extLst>
        </xdr:cNvPr>
        <xdr:cNvSpPr>
          <a:spLocks noChangeShapeType="1"/>
        </xdr:cNvSpPr>
      </xdr:nvSpPr>
      <xdr:spPr bwMode="auto">
        <a:xfrm rot="5400000">
          <a:off x="12946701" y="8763546"/>
          <a:ext cx="0" cy="39306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222661</xdr:colOff>
      <xdr:row>41</xdr:row>
      <xdr:rowOff>951</xdr:rowOff>
    </xdr:from>
    <xdr:to>
      <xdr:col>51</xdr:col>
      <xdr:colOff>222661</xdr:colOff>
      <xdr:row>42</xdr:row>
      <xdr:rowOff>218847</xdr:rowOff>
    </xdr:to>
    <xdr:sp macro="" textlink="">
      <xdr:nvSpPr>
        <xdr:cNvPr id="1394" name="Line 82">
          <a:extLst>
            <a:ext uri="{FF2B5EF4-FFF2-40B4-BE49-F238E27FC236}">
              <a16:creationId xmlns:a16="http://schemas.microsoft.com/office/drawing/2014/main" id="{00000000-0008-0000-1500-000072050000}"/>
            </a:ext>
          </a:extLst>
        </xdr:cNvPr>
        <xdr:cNvSpPr>
          <a:spLocks noChangeShapeType="1"/>
        </xdr:cNvSpPr>
      </xdr:nvSpPr>
      <xdr:spPr bwMode="auto">
        <a:xfrm>
          <a:off x="12454349" y="8954451"/>
          <a:ext cx="0" cy="4401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25583</xdr:colOff>
      <xdr:row>41</xdr:row>
      <xdr:rowOff>7800</xdr:rowOff>
    </xdr:from>
    <xdr:to>
      <xdr:col>53</xdr:col>
      <xdr:colOff>25583</xdr:colOff>
      <xdr:row>43</xdr:row>
      <xdr:rowOff>5351</xdr:rowOff>
    </xdr:to>
    <xdr:sp macro="" textlink="">
      <xdr:nvSpPr>
        <xdr:cNvPr id="1395" name="Line 82">
          <a:extLst>
            <a:ext uri="{FF2B5EF4-FFF2-40B4-BE49-F238E27FC236}">
              <a16:creationId xmlns:a16="http://schemas.microsoft.com/office/drawing/2014/main" id="{00000000-0008-0000-1500-000073050000}"/>
            </a:ext>
          </a:extLst>
        </xdr:cNvPr>
        <xdr:cNvSpPr>
          <a:spLocks noChangeShapeType="1"/>
        </xdr:cNvSpPr>
      </xdr:nvSpPr>
      <xdr:spPr bwMode="auto">
        <a:xfrm>
          <a:off x="12717646" y="8961300"/>
          <a:ext cx="0" cy="44205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219366</xdr:colOff>
      <xdr:row>41</xdr:row>
      <xdr:rowOff>26633</xdr:rowOff>
    </xdr:from>
    <xdr:to>
      <xdr:col>53</xdr:col>
      <xdr:colOff>19341</xdr:colOff>
      <xdr:row>41</xdr:row>
      <xdr:rowOff>26633</xdr:rowOff>
    </xdr:to>
    <xdr:sp macro="" textlink="">
      <xdr:nvSpPr>
        <xdr:cNvPr id="1396" name="Line 749">
          <a:extLst>
            <a:ext uri="{FF2B5EF4-FFF2-40B4-BE49-F238E27FC236}">
              <a16:creationId xmlns:a16="http://schemas.microsoft.com/office/drawing/2014/main" id="{00000000-0008-0000-1500-000074050000}"/>
            </a:ext>
          </a:extLst>
        </xdr:cNvPr>
        <xdr:cNvSpPr>
          <a:spLocks noChangeShapeType="1"/>
        </xdr:cNvSpPr>
      </xdr:nvSpPr>
      <xdr:spPr bwMode="auto">
        <a:xfrm rot="5400000">
          <a:off x="12581229" y="8849958"/>
          <a:ext cx="0" cy="26035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50</xdr:col>
      <xdr:colOff>25795</xdr:colOff>
      <xdr:row>43</xdr:row>
      <xdr:rowOff>9485</xdr:rowOff>
    </xdr:from>
    <xdr:to>
      <xdr:col>50</xdr:col>
      <xdr:colOff>25795</xdr:colOff>
      <xdr:row>44</xdr:row>
      <xdr:rowOff>206717</xdr:rowOff>
    </xdr:to>
    <xdr:sp macro="" textlink="">
      <xdr:nvSpPr>
        <xdr:cNvPr id="1397" name="Line 510">
          <a:extLst>
            <a:ext uri="{FF2B5EF4-FFF2-40B4-BE49-F238E27FC236}">
              <a16:creationId xmlns:a16="http://schemas.microsoft.com/office/drawing/2014/main" id="{00000000-0008-0000-1500-000075050000}"/>
            </a:ext>
          </a:extLst>
        </xdr:cNvPr>
        <xdr:cNvSpPr>
          <a:spLocks noChangeShapeType="1"/>
        </xdr:cNvSpPr>
      </xdr:nvSpPr>
      <xdr:spPr bwMode="auto">
        <a:xfrm>
          <a:off x="12019358" y="9407485"/>
          <a:ext cx="0" cy="419482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54</xdr:col>
      <xdr:colOff>208666</xdr:colOff>
      <xdr:row>43</xdr:row>
      <xdr:rowOff>15029</xdr:rowOff>
    </xdr:from>
    <xdr:to>
      <xdr:col>54</xdr:col>
      <xdr:colOff>208666</xdr:colOff>
      <xdr:row>45</xdr:row>
      <xdr:rowOff>16760</xdr:rowOff>
    </xdr:to>
    <xdr:sp macro="" textlink="">
      <xdr:nvSpPr>
        <xdr:cNvPr id="1398" name="Line 510">
          <a:extLst>
            <a:ext uri="{FF2B5EF4-FFF2-40B4-BE49-F238E27FC236}">
              <a16:creationId xmlns:a16="http://schemas.microsoft.com/office/drawing/2014/main" id="{00000000-0008-0000-1500-000076050000}"/>
            </a:ext>
          </a:extLst>
        </xdr:cNvPr>
        <xdr:cNvSpPr>
          <a:spLocks noChangeShapeType="1"/>
        </xdr:cNvSpPr>
      </xdr:nvSpPr>
      <xdr:spPr bwMode="auto">
        <a:xfrm>
          <a:off x="13122979" y="9413029"/>
          <a:ext cx="0" cy="446231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44</xdr:col>
      <xdr:colOff>28575</xdr:colOff>
      <xdr:row>4</xdr:row>
      <xdr:rowOff>219075</xdr:rowOff>
    </xdr:from>
    <xdr:to>
      <xdr:col>45</xdr:col>
      <xdr:colOff>209550</xdr:colOff>
      <xdr:row>4</xdr:row>
      <xdr:rowOff>219075</xdr:rowOff>
    </xdr:to>
    <xdr:sp macro="" textlink="">
      <xdr:nvSpPr>
        <xdr:cNvPr id="1399" name="Line 77">
          <a:extLst>
            <a:ext uri="{FF2B5EF4-FFF2-40B4-BE49-F238E27FC236}">
              <a16:creationId xmlns:a16="http://schemas.microsoft.com/office/drawing/2014/main" id="{00000000-0008-0000-1500-000077050000}"/>
            </a:ext>
          </a:extLst>
        </xdr:cNvPr>
        <xdr:cNvSpPr>
          <a:spLocks noChangeShapeType="1"/>
        </xdr:cNvSpPr>
      </xdr:nvSpPr>
      <xdr:spPr bwMode="auto">
        <a:xfrm rot="5400000">
          <a:off x="7855268" y="13738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28575</xdr:colOff>
      <xdr:row>4</xdr:row>
      <xdr:rowOff>219075</xdr:rowOff>
    </xdr:from>
    <xdr:to>
      <xdr:col>48</xdr:col>
      <xdr:colOff>209550</xdr:colOff>
      <xdr:row>4</xdr:row>
      <xdr:rowOff>219075</xdr:rowOff>
    </xdr:to>
    <xdr:sp macro="" textlink="">
      <xdr:nvSpPr>
        <xdr:cNvPr id="1400" name="Line 79">
          <a:extLst>
            <a:ext uri="{FF2B5EF4-FFF2-40B4-BE49-F238E27FC236}">
              <a16:creationId xmlns:a16="http://schemas.microsoft.com/office/drawing/2014/main" id="{00000000-0008-0000-1500-000078050000}"/>
            </a:ext>
          </a:extLst>
        </xdr:cNvPr>
        <xdr:cNvSpPr>
          <a:spLocks noChangeShapeType="1"/>
        </xdr:cNvSpPr>
      </xdr:nvSpPr>
      <xdr:spPr bwMode="auto">
        <a:xfrm rot="5400000">
          <a:off x="8569643" y="13738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228600</xdr:colOff>
      <xdr:row>5</xdr:row>
      <xdr:rowOff>19050</xdr:rowOff>
    </xdr:from>
    <xdr:to>
      <xdr:col>45</xdr:col>
      <xdr:colOff>228600</xdr:colOff>
      <xdr:row>6</xdr:row>
      <xdr:rowOff>209550</xdr:rowOff>
    </xdr:to>
    <xdr:sp macro="" textlink="">
      <xdr:nvSpPr>
        <xdr:cNvPr id="1401" name="Line 82">
          <a:extLst>
            <a:ext uri="{FF2B5EF4-FFF2-40B4-BE49-F238E27FC236}">
              <a16:creationId xmlns:a16="http://schemas.microsoft.com/office/drawing/2014/main" id="{00000000-0008-0000-1500-000079050000}"/>
            </a:ext>
          </a:extLst>
        </xdr:cNvPr>
        <xdr:cNvSpPr>
          <a:spLocks noChangeShapeType="1"/>
        </xdr:cNvSpPr>
      </xdr:nvSpPr>
      <xdr:spPr bwMode="auto">
        <a:xfrm>
          <a:off x="8086725" y="16027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46</xdr:col>
      <xdr:colOff>228600</xdr:colOff>
      <xdr:row>5</xdr:row>
      <xdr:rowOff>19050</xdr:rowOff>
    </xdr:from>
    <xdr:to>
      <xdr:col>46</xdr:col>
      <xdr:colOff>228600</xdr:colOff>
      <xdr:row>6</xdr:row>
      <xdr:rowOff>209550</xdr:rowOff>
    </xdr:to>
    <xdr:sp macro="" textlink="">
      <xdr:nvSpPr>
        <xdr:cNvPr id="1402" name="Line 85">
          <a:extLst>
            <a:ext uri="{FF2B5EF4-FFF2-40B4-BE49-F238E27FC236}">
              <a16:creationId xmlns:a16="http://schemas.microsoft.com/office/drawing/2014/main" id="{00000000-0008-0000-1500-00007A050000}"/>
            </a:ext>
          </a:extLst>
        </xdr:cNvPr>
        <xdr:cNvSpPr>
          <a:spLocks noChangeShapeType="1"/>
        </xdr:cNvSpPr>
      </xdr:nvSpPr>
      <xdr:spPr bwMode="auto">
        <a:xfrm>
          <a:off x="8324850" y="16027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44</xdr:col>
      <xdr:colOff>28575</xdr:colOff>
      <xdr:row>6</xdr:row>
      <xdr:rowOff>219075</xdr:rowOff>
    </xdr:from>
    <xdr:to>
      <xdr:col>45</xdr:col>
      <xdr:colOff>209550</xdr:colOff>
      <xdr:row>6</xdr:row>
      <xdr:rowOff>219075</xdr:rowOff>
    </xdr:to>
    <xdr:sp macro="" textlink="">
      <xdr:nvSpPr>
        <xdr:cNvPr id="1403" name="Line 64">
          <a:extLst>
            <a:ext uri="{FF2B5EF4-FFF2-40B4-BE49-F238E27FC236}">
              <a16:creationId xmlns:a16="http://schemas.microsoft.com/office/drawing/2014/main" id="{00000000-0008-0000-1500-00007B050000}"/>
            </a:ext>
          </a:extLst>
        </xdr:cNvPr>
        <xdr:cNvSpPr>
          <a:spLocks noChangeShapeType="1"/>
        </xdr:cNvSpPr>
      </xdr:nvSpPr>
      <xdr:spPr bwMode="auto">
        <a:xfrm rot="5400000">
          <a:off x="7855268" y="18183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47</xdr:col>
      <xdr:colOff>28575</xdr:colOff>
      <xdr:row>6</xdr:row>
      <xdr:rowOff>219075</xdr:rowOff>
    </xdr:from>
    <xdr:to>
      <xdr:col>48</xdr:col>
      <xdr:colOff>209550</xdr:colOff>
      <xdr:row>6</xdr:row>
      <xdr:rowOff>219075</xdr:rowOff>
    </xdr:to>
    <xdr:sp macro="" textlink="">
      <xdr:nvSpPr>
        <xdr:cNvPr id="1404" name="Line 94">
          <a:extLst>
            <a:ext uri="{FF2B5EF4-FFF2-40B4-BE49-F238E27FC236}">
              <a16:creationId xmlns:a16="http://schemas.microsoft.com/office/drawing/2014/main" id="{00000000-0008-0000-1500-00007C050000}"/>
            </a:ext>
          </a:extLst>
        </xdr:cNvPr>
        <xdr:cNvSpPr>
          <a:spLocks noChangeShapeType="1"/>
        </xdr:cNvSpPr>
      </xdr:nvSpPr>
      <xdr:spPr bwMode="auto">
        <a:xfrm rot="5400000">
          <a:off x="8569643" y="18183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45</xdr:col>
      <xdr:colOff>221091</xdr:colOff>
      <xdr:row>4</xdr:row>
      <xdr:rowOff>199275</xdr:rowOff>
    </xdr:from>
    <xdr:to>
      <xdr:col>47</xdr:col>
      <xdr:colOff>19161</xdr:colOff>
      <xdr:row>4</xdr:row>
      <xdr:rowOff>199275</xdr:rowOff>
    </xdr:to>
    <xdr:sp macro="" textlink="">
      <xdr:nvSpPr>
        <xdr:cNvPr id="1405" name="Line 749">
          <a:extLst>
            <a:ext uri="{FF2B5EF4-FFF2-40B4-BE49-F238E27FC236}">
              <a16:creationId xmlns:a16="http://schemas.microsoft.com/office/drawing/2014/main" id="{00000000-0008-0000-1500-00007D050000}"/>
            </a:ext>
          </a:extLst>
        </xdr:cNvPr>
        <xdr:cNvSpPr>
          <a:spLocks noChangeShapeType="1"/>
        </xdr:cNvSpPr>
      </xdr:nvSpPr>
      <xdr:spPr bwMode="auto">
        <a:xfrm rot="5400000">
          <a:off x="8213519" y="1430222"/>
          <a:ext cx="0" cy="27241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240693</xdr:colOff>
      <xdr:row>6</xdr:row>
      <xdr:rowOff>205523</xdr:rowOff>
    </xdr:from>
    <xdr:to>
      <xdr:col>47</xdr:col>
      <xdr:colOff>40668</xdr:colOff>
      <xdr:row>6</xdr:row>
      <xdr:rowOff>205523</xdr:rowOff>
    </xdr:to>
    <xdr:sp macro="" textlink="">
      <xdr:nvSpPr>
        <xdr:cNvPr id="1406" name="Line 749">
          <a:extLst>
            <a:ext uri="{FF2B5EF4-FFF2-40B4-BE49-F238E27FC236}">
              <a16:creationId xmlns:a16="http://schemas.microsoft.com/office/drawing/2014/main" id="{00000000-0008-0000-1500-00007E050000}"/>
            </a:ext>
          </a:extLst>
        </xdr:cNvPr>
        <xdr:cNvSpPr>
          <a:spLocks noChangeShapeType="1"/>
        </xdr:cNvSpPr>
      </xdr:nvSpPr>
      <xdr:spPr bwMode="auto">
        <a:xfrm rot="5400000">
          <a:off x="8234073" y="1878113"/>
          <a:ext cx="0" cy="28194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45</xdr:col>
      <xdr:colOff>219659</xdr:colOff>
      <xdr:row>2</xdr:row>
      <xdr:rowOff>142875</xdr:rowOff>
    </xdr:from>
    <xdr:to>
      <xdr:col>45</xdr:col>
      <xdr:colOff>219659</xdr:colOff>
      <xdr:row>4</xdr:row>
      <xdr:rowOff>169065</xdr:rowOff>
    </xdr:to>
    <xdr:sp macro="" textlink="">
      <xdr:nvSpPr>
        <xdr:cNvPr id="1407" name="Line 520">
          <a:extLst>
            <a:ext uri="{FF2B5EF4-FFF2-40B4-BE49-F238E27FC236}">
              <a16:creationId xmlns:a16="http://schemas.microsoft.com/office/drawing/2014/main" id="{00000000-0008-0000-1500-00007F050000}"/>
            </a:ext>
          </a:extLst>
        </xdr:cNvPr>
        <xdr:cNvSpPr>
          <a:spLocks noChangeShapeType="1"/>
        </xdr:cNvSpPr>
      </xdr:nvSpPr>
      <xdr:spPr bwMode="auto">
        <a:xfrm rot="10800000" flipH="1">
          <a:off x="11022597" y="619125"/>
          <a:ext cx="0" cy="470690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47</xdr:col>
      <xdr:colOff>15269</xdr:colOff>
      <xdr:row>2</xdr:row>
      <xdr:rowOff>158750</xdr:rowOff>
    </xdr:from>
    <xdr:to>
      <xdr:col>47</xdr:col>
      <xdr:colOff>15269</xdr:colOff>
      <xdr:row>4</xdr:row>
      <xdr:rowOff>189308</xdr:rowOff>
    </xdr:to>
    <xdr:sp macro="" textlink="">
      <xdr:nvSpPr>
        <xdr:cNvPr id="1408" name="Line 520">
          <a:extLst>
            <a:ext uri="{FF2B5EF4-FFF2-40B4-BE49-F238E27FC236}">
              <a16:creationId xmlns:a16="http://schemas.microsoft.com/office/drawing/2014/main" id="{00000000-0008-0000-1500-000080050000}"/>
            </a:ext>
          </a:extLst>
        </xdr:cNvPr>
        <xdr:cNvSpPr>
          <a:spLocks noChangeShapeType="1"/>
        </xdr:cNvSpPr>
      </xdr:nvSpPr>
      <xdr:spPr bwMode="auto">
        <a:xfrm rot="10800000" flipH="1">
          <a:off x="11294457" y="635000"/>
          <a:ext cx="0" cy="475058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46</xdr:col>
      <xdr:colOff>2119</xdr:colOff>
      <xdr:row>2</xdr:row>
      <xdr:rowOff>200991</xdr:rowOff>
    </xdr:from>
    <xdr:to>
      <xdr:col>47</xdr:col>
      <xdr:colOff>22707</xdr:colOff>
      <xdr:row>2</xdr:row>
      <xdr:rowOff>200991</xdr:rowOff>
    </xdr:to>
    <xdr:sp macro="" textlink="">
      <xdr:nvSpPr>
        <xdr:cNvPr id="1409" name="Line 749">
          <a:extLst>
            <a:ext uri="{FF2B5EF4-FFF2-40B4-BE49-F238E27FC236}">
              <a16:creationId xmlns:a16="http://schemas.microsoft.com/office/drawing/2014/main" id="{00000000-0008-0000-1500-000081050000}"/>
            </a:ext>
          </a:extLst>
        </xdr:cNvPr>
        <xdr:cNvSpPr>
          <a:spLocks noChangeShapeType="1"/>
        </xdr:cNvSpPr>
      </xdr:nvSpPr>
      <xdr:spPr bwMode="auto">
        <a:xfrm rot="5400000">
          <a:off x="8225821" y="996194"/>
          <a:ext cx="0" cy="25490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47</xdr:col>
      <xdr:colOff>25161</xdr:colOff>
      <xdr:row>12</xdr:row>
      <xdr:rowOff>114143</xdr:rowOff>
    </xdr:from>
    <xdr:to>
      <xdr:col>49</xdr:col>
      <xdr:colOff>34687</xdr:colOff>
      <xdr:row>12</xdr:row>
      <xdr:rowOff>114143</xdr:rowOff>
    </xdr:to>
    <xdr:sp macro="" textlink="">
      <xdr:nvSpPr>
        <xdr:cNvPr id="1410" name="Line 520">
          <a:extLst>
            <a:ext uri="{FF2B5EF4-FFF2-40B4-BE49-F238E27FC236}">
              <a16:creationId xmlns:a16="http://schemas.microsoft.com/office/drawing/2014/main" id="{00000000-0008-0000-1500-000082050000}"/>
            </a:ext>
          </a:extLst>
        </xdr:cNvPr>
        <xdr:cNvSpPr>
          <a:spLocks noChangeShapeType="1"/>
        </xdr:cNvSpPr>
      </xdr:nvSpPr>
      <xdr:spPr bwMode="auto">
        <a:xfrm rot="5400000">
          <a:off x="11547237" y="2570005"/>
          <a:ext cx="0" cy="48577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  <xdr:txBody>
        <a:bodyPr/>
        <a:lstStyle/>
        <a:p>
          <a:endParaRPr lang="ko-KR" altLang="en-US"/>
        </a:p>
      </xdr:txBody>
    </xdr:sp>
    <xdr:clientData/>
  </xdr:twoCellAnchor>
  <xdr:twoCellAnchor>
    <xdr:from>
      <xdr:col>27</xdr:col>
      <xdr:colOff>226896</xdr:colOff>
      <xdr:row>6</xdr:row>
      <xdr:rowOff>202564</xdr:rowOff>
    </xdr:from>
    <xdr:to>
      <xdr:col>27</xdr:col>
      <xdr:colOff>226896</xdr:colOff>
      <xdr:row>8</xdr:row>
      <xdr:rowOff>186846</xdr:rowOff>
    </xdr:to>
    <xdr:sp macro="" textlink="">
      <xdr:nvSpPr>
        <xdr:cNvPr id="1411" name="Line 520">
          <a:extLst>
            <a:ext uri="{FF2B5EF4-FFF2-40B4-BE49-F238E27FC236}">
              <a16:creationId xmlns:a16="http://schemas.microsoft.com/office/drawing/2014/main" id="{00000000-0008-0000-1500-000083050000}"/>
            </a:ext>
          </a:extLst>
        </xdr:cNvPr>
        <xdr:cNvSpPr>
          <a:spLocks noChangeShapeType="1"/>
        </xdr:cNvSpPr>
      </xdr:nvSpPr>
      <xdr:spPr bwMode="auto">
        <a:xfrm rot="10800000" flipH="1">
          <a:off x="6656271" y="1567814"/>
          <a:ext cx="0" cy="428782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29</xdr:col>
      <xdr:colOff>16155</xdr:colOff>
      <xdr:row>7</xdr:row>
      <xdr:rowOff>8301</xdr:rowOff>
    </xdr:from>
    <xdr:to>
      <xdr:col>29</xdr:col>
      <xdr:colOff>16155</xdr:colOff>
      <xdr:row>8</xdr:row>
      <xdr:rowOff>201977</xdr:rowOff>
    </xdr:to>
    <xdr:sp macro="" textlink="">
      <xdr:nvSpPr>
        <xdr:cNvPr id="1412" name="Line 520">
          <a:extLst>
            <a:ext uri="{FF2B5EF4-FFF2-40B4-BE49-F238E27FC236}">
              <a16:creationId xmlns:a16="http://schemas.microsoft.com/office/drawing/2014/main" id="{00000000-0008-0000-1500-000084050000}"/>
            </a:ext>
          </a:extLst>
        </xdr:cNvPr>
        <xdr:cNvSpPr>
          <a:spLocks noChangeShapeType="1"/>
        </xdr:cNvSpPr>
      </xdr:nvSpPr>
      <xdr:spPr bwMode="auto">
        <a:xfrm rot="10800000" flipH="1">
          <a:off x="6921780" y="1595801"/>
          <a:ext cx="0" cy="41592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39</xdr:col>
      <xdr:colOff>242771</xdr:colOff>
      <xdr:row>4</xdr:row>
      <xdr:rowOff>222249</xdr:rowOff>
    </xdr:from>
    <xdr:to>
      <xdr:col>39</xdr:col>
      <xdr:colOff>242771</xdr:colOff>
      <xdr:row>6</xdr:row>
      <xdr:rowOff>197006</xdr:rowOff>
    </xdr:to>
    <xdr:sp macro="" textlink="">
      <xdr:nvSpPr>
        <xdr:cNvPr id="1413" name="Line 520">
          <a:extLst>
            <a:ext uri="{FF2B5EF4-FFF2-40B4-BE49-F238E27FC236}">
              <a16:creationId xmlns:a16="http://schemas.microsoft.com/office/drawing/2014/main" id="{00000000-0008-0000-1500-000085050000}"/>
            </a:ext>
          </a:extLst>
        </xdr:cNvPr>
        <xdr:cNvSpPr>
          <a:spLocks noChangeShapeType="1"/>
        </xdr:cNvSpPr>
      </xdr:nvSpPr>
      <xdr:spPr bwMode="auto">
        <a:xfrm rot="10800000" flipH="1">
          <a:off x="9529646" y="1142999"/>
          <a:ext cx="0" cy="419257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41</xdr:col>
      <xdr:colOff>16155</xdr:colOff>
      <xdr:row>5</xdr:row>
      <xdr:rowOff>24176</xdr:rowOff>
    </xdr:from>
    <xdr:to>
      <xdr:col>41</xdr:col>
      <xdr:colOff>16155</xdr:colOff>
      <xdr:row>6</xdr:row>
      <xdr:rowOff>221662</xdr:rowOff>
    </xdr:to>
    <xdr:sp macro="" textlink="">
      <xdr:nvSpPr>
        <xdr:cNvPr id="1414" name="Line 520">
          <a:extLst>
            <a:ext uri="{FF2B5EF4-FFF2-40B4-BE49-F238E27FC236}">
              <a16:creationId xmlns:a16="http://schemas.microsoft.com/office/drawing/2014/main" id="{00000000-0008-0000-1500-000086050000}"/>
            </a:ext>
          </a:extLst>
        </xdr:cNvPr>
        <xdr:cNvSpPr>
          <a:spLocks noChangeShapeType="1"/>
        </xdr:cNvSpPr>
      </xdr:nvSpPr>
      <xdr:spPr bwMode="auto">
        <a:xfrm rot="10800000" flipH="1">
          <a:off x="9795155" y="1167176"/>
          <a:ext cx="0" cy="41973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51</xdr:col>
      <xdr:colOff>219808</xdr:colOff>
      <xdr:row>9</xdr:row>
      <xdr:rowOff>19050</xdr:rowOff>
    </xdr:from>
    <xdr:to>
      <xdr:col>51</xdr:col>
      <xdr:colOff>219808</xdr:colOff>
      <xdr:row>10</xdr:row>
      <xdr:rowOff>209550</xdr:rowOff>
    </xdr:to>
    <xdr:sp macro="" textlink="">
      <xdr:nvSpPr>
        <xdr:cNvPr id="1415" name="Line 108">
          <a:extLst>
            <a:ext uri="{FF2B5EF4-FFF2-40B4-BE49-F238E27FC236}">
              <a16:creationId xmlns:a16="http://schemas.microsoft.com/office/drawing/2014/main" id="{00000000-0008-0000-1500-000087050000}"/>
            </a:ext>
          </a:extLst>
        </xdr:cNvPr>
        <xdr:cNvSpPr>
          <a:spLocks noChangeShapeType="1"/>
        </xdr:cNvSpPr>
      </xdr:nvSpPr>
      <xdr:spPr bwMode="auto">
        <a:xfrm>
          <a:off x="11020841" y="2047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219117</xdr:colOff>
      <xdr:row>7</xdr:row>
      <xdr:rowOff>907</xdr:rowOff>
    </xdr:from>
    <xdr:to>
      <xdr:col>51</xdr:col>
      <xdr:colOff>219117</xdr:colOff>
      <xdr:row>8</xdr:row>
      <xdr:rowOff>204932</xdr:rowOff>
    </xdr:to>
    <xdr:sp macro="" textlink="">
      <xdr:nvSpPr>
        <xdr:cNvPr id="1416" name="Line 118">
          <a:extLst>
            <a:ext uri="{FF2B5EF4-FFF2-40B4-BE49-F238E27FC236}">
              <a16:creationId xmlns:a16="http://schemas.microsoft.com/office/drawing/2014/main" id="{00000000-0008-0000-1500-000088050000}"/>
            </a:ext>
          </a:extLst>
        </xdr:cNvPr>
        <xdr:cNvSpPr>
          <a:spLocks noChangeShapeType="1"/>
        </xdr:cNvSpPr>
      </xdr:nvSpPr>
      <xdr:spPr bwMode="auto">
        <a:xfrm>
          <a:off x="11020150" y="1588407"/>
          <a:ext cx="0" cy="43008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5030</xdr:colOff>
      <xdr:row>7</xdr:row>
      <xdr:rowOff>19050</xdr:rowOff>
    </xdr:from>
    <xdr:to>
      <xdr:col>53</xdr:col>
      <xdr:colOff>5030</xdr:colOff>
      <xdr:row>9</xdr:row>
      <xdr:rowOff>1732</xdr:rowOff>
    </xdr:to>
    <xdr:sp macro="" textlink="">
      <xdr:nvSpPr>
        <xdr:cNvPr id="1417" name="Line 121">
          <a:extLst>
            <a:ext uri="{FF2B5EF4-FFF2-40B4-BE49-F238E27FC236}">
              <a16:creationId xmlns:a16="http://schemas.microsoft.com/office/drawing/2014/main" id="{00000000-0008-0000-1500-000089050000}"/>
            </a:ext>
          </a:extLst>
        </xdr:cNvPr>
        <xdr:cNvSpPr>
          <a:spLocks noChangeShapeType="1"/>
        </xdr:cNvSpPr>
      </xdr:nvSpPr>
      <xdr:spPr bwMode="auto">
        <a:xfrm>
          <a:off x="11286123" y="1602740"/>
          <a:ext cx="0" cy="430992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50</xdr:col>
      <xdr:colOff>28575</xdr:colOff>
      <xdr:row>8</xdr:row>
      <xdr:rowOff>219075</xdr:rowOff>
    </xdr:from>
    <xdr:to>
      <xdr:col>51</xdr:col>
      <xdr:colOff>209550</xdr:colOff>
      <xdr:row>8</xdr:row>
      <xdr:rowOff>219075</xdr:rowOff>
    </xdr:to>
    <xdr:sp macro="" textlink="">
      <xdr:nvSpPr>
        <xdr:cNvPr id="1418" name="Line 124">
          <a:extLst>
            <a:ext uri="{FF2B5EF4-FFF2-40B4-BE49-F238E27FC236}">
              <a16:creationId xmlns:a16="http://schemas.microsoft.com/office/drawing/2014/main" id="{00000000-0008-0000-1500-00008A050000}"/>
            </a:ext>
          </a:extLst>
        </xdr:cNvPr>
        <xdr:cNvSpPr>
          <a:spLocks noChangeShapeType="1"/>
        </xdr:cNvSpPr>
      </xdr:nvSpPr>
      <xdr:spPr bwMode="auto">
        <a:xfrm rot="5400000">
          <a:off x="10800081" y="18183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11904</xdr:colOff>
      <xdr:row>8</xdr:row>
      <xdr:rowOff>219473</xdr:rowOff>
    </xdr:from>
    <xdr:to>
      <xdr:col>55</xdr:col>
      <xdr:colOff>21771</xdr:colOff>
      <xdr:row>8</xdr:row>
      <xdr:rowOff>221342</xdr:rowOff>
    </xdr:to>
    <xdr:sp macro="" textlink="">
      <xdr:nvSpPr>
        <xdr:cNvPr id="1419" name="Line 127">
          <a:extLst>
            <a:ext uri="{FF2B5EF4-FFF2-40B4-BE49-F238E27FC236}">
              <a16:creationId xmlns:a16="http://schemas.microsoft.com/office/drawing/2014/main" id="{00000000-0008-0000-1500-00008B050000}"/>
            </a:ext>
          </a:extLst>
        </xdr:cNvPr>
        <xdr:cNvSpPr>
          <a:spLocks noChangeShapeType="1"/>
        </xdr:cNvSpPr>
      </xdr:nvSpPr>
      <xdr:spPr bwMode="auto">
        <a:xfrm rot="5400000" flipH="1">
          <a:off x="11533216" y="1789004"/>
          <a:ext cx="1869" cy="478497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5861</xdr:colOff>
      <xdr:row>9</xdr:row>
      <xdr:rowOff>19050</xdr:rowOff>
    </xdr:from>
    <xdr:to>
      <xdr:col>53</xdr:col>
      <xdr:colOff>5861</xdr:colOff>
      <xdr:row>10</xdr:row>
      <xdr:rowOff>209550</xdr:rowOff>
    </xdr:to>
    <xdr:sp macro="" textlink="">
      <xdr:nvSpPr>
        <xdr:cNvPr id="1420" name="Line 137">
          <a:extLst>
            <a:ext uri="{FF2B5EF4-FFF2-40B4-BE49-F238E27FC236}">
              <a16:creationId xmlns:a16="http://schemas.microsoft.com/office/drawing/2014/main" id="{00000000-0008-0000-1500-00008C050000}"/>
            </a:ext>
          </a:extLst>
        </xdr:cNvPr>
        <xdr:cNvSpPr>
          <a:spLocks noChangeShapeType="1"/>
        </xdr:cNvSpPr>
      </xdr:nvSpPr>
      <xdr:spPr bwMode="auto">
        <a:xfrm>
          <a:off x="11286954" y="2047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50</xdr:col>
      <xdr:colOff>10432</xdr:colOff>
      <xdr:row>6</xdr:row>
      <xdr:rowOff>202899</xdr:rowOff>
    </xdr:from>
    <xdr:to>
      <xdr:col>51</xdr:col>
      <xdr:colOff>191407</xdr:colOff>
      <xdr:row>6</xdr:row>
      <xdr:rowOff>202899</xdr:rowOff>
    </xdr:to>
    <xdr:sp macro="" textlink="">
      <xdr:nvSpPr>
        <xdr:cNvPr id="1421" name="Line 140">
          <a:extLst>
            <a:ext uri="{FF2B5EF4-FFF2-40B4-BE49-F238E27FC236}">
              <a16:creationId xmlns:a16="http://schemas.microsoft.com/office/drawing/2014/main" id="{00000000-0008-0000-1500-00008D050000}"/>
            </a:ext>
          </a:extLst>
        </xdr:cNvPr>
        <xdr:cNvSpPr>
          <a:spLocks noChangeShapeType="1"/>
        </xdr:cNvSpPr>
      </xdr:nvSpPr>
      <xdr:spPr bwMode="auto">
        <a:xfrm rot="5400000">
          <a:off x="10785748" y="1363361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249884</xdr:colOff>
      <xdr:row>9</xdr:row>
      <xdr:rowOff>14096</xdr:rowOff>
    </xdr:from>
    <xdr:to>
      <xdr:col>51</xdr:col>
      <xdr:colOff>249884</xdr:colOff>
      <xdr:row>10</xdr:row>
      <xdr:rowOff>214854</xdr:rowOff>
    </xdr:to>
    <xdr:sp macro="" textlink="">
      <xdr:nvSpPr>
        <xdr:cNvPr id="1422" name="Line 154">
          <a:extLst>
            <a:ext uri="{FF2B5EF4-FFF2-40B4-BE49-F238E27FC236}">
              <a16:creationId xmlns:a16="http://schemas.microsoft.com/office/drawing/2014/main" id="{00000000-0008-0000-1500-00008E050000}"/>
            </a:ext>
          </a:extLst>
        </xdr:cNvPr>
        <xdr:cNvSpPr>
          <a:spLocks noChangeShapeType="1"/>
        </xdr:cNvSpPr>
      </xdr:nvSpPr>
      <xdr:spPr bwMode="auto">
        <a:xfrm>
          <a:off x="11039487" y="2049906"/>
          <a:ext cx="0" cy="415388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53</xdr:col>
      <xdr:colOff>33704</xdr:colOff>
      <xdr:row>8</xdr:row>
      <xdr:rowOff>210283</xdr:rowOff>
    </xdr:from>
    <xdr:to>
      <xdr:col>53</xdr:col>
      <xdr:colOff>33704</xdr:colOff>
      <xdr:row>10</xdr:row>
      <xdr:rowOff>191233</xdr:rowOff>
    </xdr:to>
    <xdr:sp macro="" textlink="">
      <xdr:nvSpPr>
        <xdr:cNvPr id="1423" name="Line 154">
          <a:extLst>
            <a:ext uri="{FF2B5EF4-FFF2-40B4-BE49-F238E27FC236}">
              <a16:creationId xmlns:a16="http://schemas.microsoft.com/office/drawing/2014/main" id="{00000000-0008-0000-1500-00008F050000}"/>
            </a:ext>
          </a:extLst>
        </xdr:cNvPr>
        <xdr:cNvSpPr>
          <a:spLocks noChangeShapeType="1"/>
        </xdr:cNvSpPr>
      </xdr:nvSpPr>
      <xdr:spPr bwMode="auto">
        <a:xfrm>
          <a:off x="11310987" y="2016223"/>
          <a:ext cx="0" cy="429260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50</xdr:col>
      <xdr:colOff>16270</xdr:colOff>
      <xdr:row>7</xdr:row>
      <xdr:rowOff>4088</xdr:rowOff>
    </xdr:from>
    <xdr:to>
      <xdr:col>50</xdr:col>
      <xdr:colOff>16270</xdr:colOff>
      <xdr:row>8</xdr:row>
      <xdr:rowOff>212750</xdr:rowOff>
    </xdr:to>
    <xdr:sp macro="" textlink="">
      <xdr:nvSpPr>
        <xdr:cNvPr id="1424" name="Line 510">
          <a:extLst>
            <a:ext uri="{FF2B5EF4-FFF2-40B4-BE49-F238E27FC236}">
              <a16:creationId xmlns:a16="http://schemas.microsoft.com/office/drawing/2014/main" id="{00000000-0008-0000-1500-000090050000}"/>
            </a:ext>
          </a:extLst>
        </xdr:cNvPr>
        <xdr:cNvSpPr>
          <a:spLocks noChangeShapeType="1"/>
        </xdr:cNvSpPr>
      </xdr:nvSpPr>
      <xdr:spPr bwMode="auto">
        <a:xfrm>
          <a:off x="10584893" y="1593493"/>
          <a:ext cx="0" cy="4251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50</xdr:col>
      <xdr:colOff>5235</xdr:colOff>
      <xdr:row>9</xdr:row>
      <xdr:rowOff>17166</xdr:rowOff>
    </xdr:from>
    <xdr:to>
      <xdr:col>50</xdr:col>
      <xdr:colOff>5235</xdr:colOff>
      <xdr:row>10</xdr:row>
      <xdr:rowOff>216304</xdr:rowOff>
    </xdr:to>
    <xdr:sp macro="" textlink="">
      <xdr:nvSpPr>
        <xdr:cNvPr id="1425" name="Line 510">
          <a:extLst>
            <a:ext uri="{FF2B5EF4-FFF2-40B4-BE49-F238E27FC236}">
              <a16:creationId xmlns:a16="http://schemas.microsoft.com/office/drawing/2014/main" id="{00000000-0008-0000-1500-000091050000}"/>
            </a:ext>
          </a:extLst>
        </xdr:cNvPr>
        <xdr:cNvSpPr>
          <a:spLocks noChangeShapeType="1"/>
        </xdr:cNvSpPr>
      </xdr:nvSpPr>
      <xdr:spPr bwMode="auto">
        <a:xfrm>
          <a:off x="10571953" y="2052976"/>
          <a:ext cx="0" cy="413768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54</xdr:col>
      <xdr:colOff>216286</xdr:colOff>
      <xdr:row>6</xdr:row>
      <xdr:rowOff>216959</xdr:rowOff>
    </xdr:from>
    <xdr:to>
      <xdr:col>54</xdr:col>
      <xdr:colOff>216286</xdr:colOff>
      <xdr:row>8</xdr:row>
      <xdr:rowOff>199640</xdr:rowOff>
    </xdr:to>
    <xdr:sp macro="" textlink="">
      <xdr:nvSpPr>
        <xdr:cNvPr id="1426" name="Line 510">
          <a:extLst>
            <a:ext uri="{FF2B5EF4-FFF2-40B4-BE49-F238E27FC236}">
              <a16:creationId xmlns:a16="http://schemas.microsoft.com/office/drawing/2014/main" id="{00000000-0008-0000-1500-000092050000}"/>
            </a:ext>
          </a:extLst>
        </xdr:cNvPr>
        <xdr:cNvSpPr>
          <a:spLocks noChangeShapeType="1"/>
        </xdr:cNvSpPr>
      </xdr:nvSpPr>
      <xdr:spPr bwMode="auto">
        <a:xfrm>
          <a:off x="11729789" y="1578399"/>
          <a:ext cx="0" cy="43289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54</xdr:col>
      <xdr:colOff>223405</xdr:colOff>
      <xdr:row>9</xdr:row>
      <xdr:rowOff>24245</xdr:rowOff>
    </xdr:from>
    <xdr:to>
      <xdr:col>54</xdr:col>
      <xdr:colOff>223405</xdr:colOff>
      <xdr:row>11</xdr:row>
      <xdr:rowOff>6927</xdr:rowOff>
    </xdr:to>
    <xdr:sp macro="" textlink="">
      <xdr:nvSpPr>
        <xdr:cNvPr id="1427" name="Line 510">
          <a:extLst>
            <a:ext uri="{FF2B5EF4-FFF2-40B4-BE49-F238E27FC236}">
              <a16:creationId xmlns:a16="http://schemas.microsoft.com/office/drawing/2014/main" id="{00000000-0008-0000-1500-000093050000}"/>
            </a:ext>
          </a:extLst>
        </xdr:cNvPr>
        <xdr:cNvSpPr>
          <a:spLocks noChangeShapeType="1"/>
        </xdr:cNvSpPr>
      </xdr:nvSpPr>
      <xdr:spPr bwMode="auto">
        <a:xfrm>
          <a:off x="11738813" y="2052435"/>
          <a:ext cx="0" cy="432897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51</xdr:col>
      <xdr:colOff>244021</xdr:colOff>
      <xdr:row>6</xdr:row>
      <xdr:rowOff>215817</xdr:rowOff>
    </xdr:from>
    <xdr:to>
      <xdr:col>51</xdr:col>
      <xdr:colOff>244021</xdr:colOff>
      <xdr:row>8</xdr:row>
      <xdr:rowOff>184975</xdr:rowOff>
    </xdr:to>
    <xdr:sp macro="" textlink="">
      <xdr:nvSpPr>
        <xdr:cNvPr id="1428" name="Line 510">
          <a:extLst>
            <a:ext uri="{FF2B5EF4-FFF2-40B4-BE49-F238E27FC236}">
              <a16:creationId xmlns:a16="http://schemas.microsoft.com/office/drawing/2014/main" id="{00000000-0008-0000-1500-000094050000}"/>
            </a:ext>
          </a:extLst>
        </xdr:cNvPr>
        <xdr:cNvSpPr>
          <a:spLocks noChangeShapeType="1"/>
        </xdr:cNvSpPr>
      </xdr:nvSpPr>
      <xdr:spPr bwMode="auto">
        <a:xfrm>
          <a:off x="11041244" y="1577257"/>
          <a:ext cx="0" cy="415563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35130</xdr:colOff>
      <xdr:row>7</xdr:row>
      <xdr:rowOff>15586</xdr:rowOff>
    </xdr:from>
    <xdr:to>
      <xdr:col>53</xdr:col>
      <xdr:colOff>35130</xdr:colOff>
      <xdr:row>8</xdr:row>
      <xdr:rowOff>206086</xdr:rowOff>
    </xdr:to>
    <xdr:sp macro="" textlink="">
      <xdr:nvSpPr>
        <xdr:cNvPr id="1429" name="Line 510">
          <a:extLst>
            <a:ext uri="{FF2B5EF4-FFF2-40B4-BE49-F238E27FC236}">
              <a16:creationId xmlns:a16="http://schemas.microsoft.com/office/drawing/2014/main" id="{00000000-0008-0000-1500-000095050000}"/>
            </a:ext>
          </a:extLst>
        </xdr:cNvPr>
        <xdr:cNvSpPr>
          <a:spLocks noChangeShapeType="1"/>
        </xdr:cNvSpPr>
      </xdr:nvSpPr>
      <xdr:spPr bwMode="auto">
        <a:xfrm>
          <a:off x="11314318" y="1606896"/>
          <a:ext cx="0" cy="41275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50</xdr:col>
      <xdr:colOff>20241</xdr:colOff>
      <xdr:row>9</xdr:row>
      <xdr:rowOff>28274</xdr:rowOff>
    </xdr:from>
    <xdr:to>
      <xdr:col>51</xdr:col>
      <xdr:colOff>195500</xdr:colOff>
      <xdr:row>9</xdr:row>
      <xdr:rowOff>28274</xdr:rowOff>
    </xdr:to>
    <xdr:sp macro="" textlink="">
      <xdr:nvSpPr>
        <xdr:cNvPr id="1430" name="Line 500">
          <a:extLst>
            <a:ext uri="{FF2B5EF4-FFF2-40B4-BE49-F238E27FC236}">
              <a16:creationId xmlns:a16="http://schemas.microsoft.com/office/drawing/2014/main" id="{00000000-0008-0000-1500-000096050000}"/>
            </a:ext>
          </a:extLst>
        </xdr:cNvPr>
        <xdr:cNvSpPr>
          <a:spLocks noChangeShapeType="1"/>
        </xdr:cNvSpPr>
      </xdr:nvSpPr>
      <xdr:spPr bwMode="auto">
        <a:xfrm rot="5400000">
          <a:off x="10790794" y="1848819"/>
          <a:ext cx="0" cy="419099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25977</xdr:colOff>
      <xdr:row>9</xdr:row>
      <xdr:rowOff>32909</xdr:rowOff>
    </xdr:from>
    <xdr:to>
      <xdr:col>54</xdr:col>
      <xdr:colOff>206952</xdr:colOff>
      <xdr:row>9</xdr:row>
      <xdr:rowOff>32909</xdr:rowOff>
    </xdr:to>
    <xdr:sp macro="" textlink="">
      <xdr:nvSpPr>
        <xdr:cNvPr id="1431" name="Line 500">
          <a:extLst>
            <a:ext uri="{FF2B5EF4-FFF2-40B4-BE49-F238E27FC236}">
              <a16:creationId xmlns:a16="http://schemas.microsoft.com/office/drawing/2014/main" id="{00000000-0008-0000-1500-000097050000}"/>
            </a:ext>
          </a:extLst>
        </xdr:cNvPr>
        <xdr:cNvSpPr>
          <a:spLocks noChangeShapeType="1"/>
        </xdr:cNvSpPr>
      </xdr:nvSpPr>
      <xdr:spPr bwMode="auto">
        <a:xfrm rot="5400000">
          <a:off x="11514715" y="1849644"/>
          <a:ext cx="0" cy="426720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51088</xdr:colOff>
      <xdr:row>6</xdr:row>
      <xdr:rowOff>206085</xdr:rowOff>
    </xdr:from>
    <xdr:to>
      <xdr:col>54</xdr:col>
      <xdr:colOff>232064</xdr:colOff>
      <xdr:row>6</xdr:row>
      <xdr:rowOff>206085</xdr:rowOff>
    </xdr:to>
    <xdr:sp macro="" textlink="">
      <xdr:nvSpPr>
        <xdr:cNvPr id="1432" name="Line 140">
          <a:extLst>
            <a:ext uri="{FF2B5EF4-FFF2-40B4-BE49-F238E27FC236}">
              <a16:creationId xmlns:a16="http://schemas.microsoft.com/office/drawing/2014/main" id="{00000000-0008-0000-1500-000098050000}"/>
            </a:ext>
          </a:extLst>
        </xdr:cNvPr>
        <xdr:cNvSpPr>
          <a:spLocks noChangeShapeType="1"/>
        </xdr:cNvSpPr>
      </xdr:nvSpPr>
      <xdr:spPr bwMode="auto">
        <a:xfrm rot="5400000">
          <a:off x="11541732" y="1367499"/>
          <a:ext cx="0" cy="415291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239975</xdr:colOff>
      <xdr:row>6</xdr:row>
      <xdr:rowOff>206295</xdr:rowOff>
    </xdr:from>
    <xdr:to>
      <xdr:col>53</xdr:col>
      <xdr:colOff>39950</xdr:colOff>
      <xdr:row>6</xdr:row>
      <xdr:rowOff>206295</xdr:rowOff>
    </xdr:to>
    <xdr:sp macro="" textlink="">
      <xdr:nvSpPr>
        <xdr:cNvPr id="1433" name="Line 749">
          <a:extLst>
            <a:ext uri="{FF2B5EF4-FFF2-40B4-BE49-F238E27FC236}">
              <a16:creationId xmlns:a16="http://schemas.microsoft.com/office/drawing/2014/main" id="{00000000-0008-0000-1500-000099050000}"/>
            </a:ext>
          </a:extLst>
        </xdr:cNvPr>
        <xdr:cNvSpPr>
          <a:spLocks noChangeShapeType="1"/>
        </xdr:cNvSpPr>
      </xdr:nvSpPr>
      <xdr:spPr bwMode="auto">
        <a:xfrm rot="5400000">
          <a:off x="11181978" y="1438195"/>
          <a:ext cx="0" cy="27432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218712</xdr:colOff>
      <xdr:row>9</xdr:row>
      <xdr:rowOff>30279</xdr:rowOff>
    </xdr:from>
    <xdr:to>
      <xdr:col>53</xdr:col>
      <xdr:colOff>18687</xdr:colOff>
      <xdr:row>9</xdr:row>
      <xdr:rowOff>30279</xdr:rowOff>
    </xdr:to>
    <xdr:sp macro="" textlink="">
      <xdr:nvSpPr>
        <xdr:cNvPr id="1434" name="Line 749">
          <a:extLst>
            <a:ext uri="{FF2B5EF4-FFF2-40B4-BE49-F238E27FC236}">
              <a16:creationId xmlns:a16="http://schemas.microsoft.com/office/drawing/2014/main" id="{00000000-0008-0000-1500-00009A050000}"/>
            </a:ext>
          </a:extLst>
        </xdr:cNvPr>
        <xdr:cNvSpPr>
          <a:spLocks noChangeShapeType="1"/>
        </xdr:cNvSpPr>
      </xdr:nvSpPr>
      <xdr:spPr bwMode="auto">
        <a:xfrm rot="5400000">
          <a:off x="11160715" y="1919404"/>
          <a:ext cx="0" cy="28194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51</xdr:col>
      <xdr:colOff>240977</xdr:colOff>
      <xdr:row>9</xdr:row>
      <xdr:rowOff>370</xdr:rowOff>
    </xdr:from>
    <xdr:to>
      <xdr:col>53</xdr:col>
      <xdr:colOff>40952</xdr:colOff>
      <xdr:row>9</xdr:row>
      <xdr:rowOff>370</xdr:rowOff>
    </xdr:to>
    <xdr:sp macro="" textlink="">
      <xdr:nvSpPr>
        <xdr:cNvPr id="1435" name="Line 749">
          <a:extLst>
            <a:ext uri="{FF2B5EF4-FFF2-40B4-BE49-F238E27FC236}">
              <a16:creationId xmlns:a16="http://schemas.microsoft.com/office/drawing/2014/main" id="{00000000-0008-0000-1500-00009B050000}"/>
            </a:ext>
          </a:extLst>
        </xdr:cNvPr>
        <xdr:cNvSpPr>
          <a:spLocks noChangeShapeType="1"/>
        </xdr:cNvSpPr>
      </xdr:nvSpPr>
      <xdr:spPr bwMode="auto">
        <a:xfrm rot="5400000">
          <a:off x="11179170" y="1891400"/>
          <a:ext cx="0" cy="28194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211785</xdr:colOff>
      <xdr:row>10</xdr:row>
      <xdr:rowOff>193826</xdr:rowOff>
    </xdr:from>
    <xdr:to>
      <xdr:col>53</xdr:col>
      <xdr:colOff>36525</xdr:colOff>
      <xdr:row>10</xdr:row>
      <xdr:rowOff>193826</xdr:rowOff>
    </xdr:to>
    <xdr:sp macro="" textlink="">
      <xdr:nvSpPr>
        <xdr:cNvPr id="1436" name="Line 749">
          <a:extLst>
            <a:ext uri="{FF2B5EF4-FFF2-40B4-BE49-F238E27FC236}">
              <a16:creationId xmlns:a16="http://schemas.microsoft.com/office/drawing/2014/main" id="{00000000-0008-0000-1500-00009C050000}"/>
            </a:ext>
          </a:extLst>
        </xdr:cNvPr>
        <xdr:cNvSpPr>
          <a:spLocks noChangeShapeType="1"/>
        </xdr:cNvSpPr>
      </xdr:nvSpPr>
      <xdr:spPr bwMode="auto">
        <a:xfrm rot="5400000">
          <a:off x="11163313" y="2295676"/>
          <a:ext cx="0" cy="304800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50</xdr:col>
      <xdr:colOff>26881</xdr:colOff>
      <xdr:row>10</xdr:row>
      <xdr:rowOff>203371</xdr:rowOff>
    </xdr:from>
    <xdr:to>
      <xdr:col>51</xdr:col>
      <xdr:colOff>204046</xdr:colOff>
      <xdr:row>10</xdr:row>
      <xdr:rowOff>203371</xdr:rowOff>
    </xdr:to>
    <xdr:sp macro="" textlink="">
      <xdr:nvSpPr>
        <xdr:cNvPr id="1437" name="Line 507">
          <a:extLst>
            <a:ext uri="{FF2B5EF4-FFF2-40B4-BE49-F238E27FC236}">
              <a16:creationId xmlns:a16="http://schemas.microsoft.com/office/drawing/2014/main" id="{00000000-0008-0000-1500-00009D050000}"/>
            </a:ext>
          </a:extLst>
        </xdr:cNvPr>
        <xdr:cNvSpPr>
          <a:spLocks noChangeShapeType="1"/>
        </xdr:cNvSpPr>
      </xdr:nvSpPr>
      <xdr:spPr bwMode="auto">
        <a:xfrm rot="5400000">
          <a:off x="10800292" y="2250928"/>
          <a:ext cx="0" cy="421005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54359</xdr:colOff>
      <xdr:row>10</xdr:row>
      <xdr:rowOff>193607</xdr:rowOff>
    </xdr:from>
    <xdr:to>
      <xdr:col>54</xdr:col>
      <xdr:colOff>225810</xdr:colOff>
      <xdr:row>10</xdr:row>
      <xdr:rowOff>193607</xdr:rowOff>
    </xdr:to>
    <xdr:sp macro="" textlink="">
      <xdr:nvSpPr>
        <xdr:cNvPr id="1438" name="Line 508">
          <a:extLst>
            <a:ext uri="{FF2B5EF4-FFF2-40B4-BE49-F238E27FC236}">
              <a16:creationId xmlns:a16="http://schemas.microsoft.com/office/drawing/2014/main" id="{00000000-0008-0000-1500-00009E050000}"/>
            </a:ext>
          </a:extLst>
        </xdr:cNvPr>
        <xdr:cNvSpPr>
          <a:spLocks noChangeShapeType="1"/>
        </xdr:cNvSpPr>
      </xdr:nvSpPr>
      <xdr:spPr bwMode="auto">
        <a:xfrm rot="5400000">
          <a:off x="11540240" y="2244974"/>
          <a:ext cx="0" cy="405766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7857</xdr:colOff>
      <xdr:row>13</xdr:row>
      <xdr:rowOff>114301</xdr:rowOff>
    </xdr:from>
    <xdr:to>
      <xdr:col>55</xdr:col>
      <xdr:colOff>5953</xdr:colOff>
      <xdr:row>13</xdr:row>
      <xdr:rowOff>114301</xdr:rowOff>
    </xdr:to>
    <xdr:sp macro="" textlink="">
      <xdr:nvSpPr>
        <xdr:cNvPr id="1439" name="Line 518">
          <a:extLst>
            <a:ext uri="{FF2B5EF4-FFF2-40B4-BE49-F238E27FC236}">
              <a16:creationId xmlns:a16="http://schemas.microsoft.com/office/drawing/2014/main" id="{00000000-0008-0000-1500-00009F050000}"/>
            </a:ext>
          </a:extLst>
        </xdr:cNvPr>
        <xdr:cNvSpPr>
          <a:spLocks noChangeShapeType="1"/>
        </xdr:cNvSpPr>
      </xdr:nvSpPr>
      <xdr:spPr bwMode="auto">
        <a:xfrm rot="5400000">
          <a:off x="11526123" y="2798128"/>
          <a:ext cx="0" cy="474346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15716</xdr:colOff>
      <xdr:row>15</xdr:row>
      <xdr:rowOff>114301</xdr:rowOff>
    </xdr:from>
    <xdr:to>
      <xdr:col>55</xdr:col>
      <xdr:colOff>0</xdr:colOff>
      <xdr:row>15</xdr:row>
      <xdr:rowOff>114301</xdr:rowOff>
    </xdr:to>
    <xdr:sp macro="" textlink="">
      <xdr:nvSpPr>
        <xdr:cNvPr id="1440" name="Line 519">
          <a:extLst>
            <a:ext uri="{FF2B5EF4-FFF2-40B4-BE49-F238E27FC236}">
              <a16:creationId xmlns:a16="http://schemas.microsoft.com/office/drawing/2014/main" id="{00000000-0008-0000-1500-0000A0050000}"/>
            </a:ext>
          </a:extLst>
        </xdr:cNvPr>
        <xdr:cNvSpPr>
          <a:spLocks noChangeShapeType="1"/>
        </xdr:cNvSpPr>
      </xdr:nvSpPr>
      <xdr:spPr bwMode="auto">
        <a:xfrm rot="5400000">
          <a:off x="11527076" y="3251439"/>
          <a:ext cx="0" cy="456724"/>
        </a:xfrm>
        <a:prstGeom prst="line">
          <a:avLst/>
        </a:prstGeom>
        <a:noFill/>
        <a:ln w="28575">
          <a:solidFill>
            <a:srgbClr val="00CCFF"/>
          </a:solidFill>
          <a:round/>
          <a:headEnd/>
          <a:tailEnd/>
        </a:ln>
      </xdr:spPr>
    </xdr:sp>
    <xdr:clientData/>
  </xdr:twoCellAnchor>
  <xdr:twoCellAnchor>
    <xdr:from>
      <xdr:col>53</xdr:col>
      <xdr:colOff>1904</xdr:colOff>
      <xdr:row>16</xdr:row>
      <xdr:rowOff>130093</xdr:rowOff>
    </xdr:from>
    <xdr:to>
      <xdr:col>55</xdr:col>
      <xdr:colOff>5952</xdr:colOff>
      <xdr:row>16</xdr:row>
      <xdr:rowOff>130093</xdr:rowOff>
    </xdr:to>
    <xdr:sp macro="" textlink="">
      <xdr:nvSpPr>
        <xdr:cNvPr id="1441" name="Line 749">
          <a:extLst>
            <a:ext uri="{FF2B5EF4-FFF2-40B4-BE49-F238E27FC236}">
              <a16:creationId xmlns:a16="http://schemas.microsoft.com/office/drawing/2014/main" id="{00000000-0008-0000-1500-0000A1050000}"/>
            </a:ext>
          </a:extLst>
        </xdr:cNvPr>
        <xdr:cNvSpPr>
          <a:spLocks noChangeShapeType="1"/>
        </xdr:cNvSpPr>
      </xdr:nvSpPr>
      <xdr:spPr bwMode="auto">
        <a:xfrm rot="5400000">
          <a:off x="11522194" y="3480551"/>
          <a:ext cx="0" cy="482203"/>
        </a:xfrm>
        <a:prstGeom prst="line">
          <a:avLst/>
        </a:prstGeom>
        <a:noFill/>
        <a:ln w="28575">
          <a:solidFill>
            <a:srgbClr val="339966"/>
          </a:solidFill>
          <a:round/>
          <a:headEnd/>
          <a:tailEnd/>
        </a:ln>
      </xdr:spPr>
    </xdr:sp>
    <xdr:clientData/>
  </xdr:twoCellAnchor>
  <xdr:twoCellAnchor>
    <xdr:from>
      <xdr:col>53</xdr:col>
      <xdr:colOff>1904</xdr:colOff>
      <xdr:row>17</xdr:row>
      <xdr:rowOff>135736</xdr:rowOff>
    </xdr:from>
    <xdr:to>
      <xdr:col>55</xdr:col>
      <xdr:colOff>3662</xdr:colOff>
      <xdr:row>17</xdr:row>
      <xdr:rowOff>135736</xdr:rowOff>
    </xdr:to>
    <xdr:sp macro="" textlink="">
      <xdr:nvSpPr>
        <xdr:cNvPr id="1442" name="Line 749">
          <a:extLst>
            <a:ext uri="{FF2B5EF4-FFF2-40B4-BE49-F238E27FC236}">
              <a16:creationId xmlns:a16="http://schemas.microsoft.com/office/drawing/2014/main" id="{00000000-0008-0000-1500-0000A2050000}"/>
            </a:ext>
          </a:extLst>
        </xdr:cNvPr>
        <xdr:cNvSpPr>
          <a:spLocks noChangeShapeType="1"/>
        </xdr:cNvSpPr>
      </xdr:nvSpPr>
      <xdr:spPr bwMode="auto">
        <a:xfrm rot="5400000">
          <a:off x="11520096" y="3702922"/>
          <a:ext cx="0" cy="478008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53</xdr:col>
      <xdr:colOff>11666</xdr:colOff>
      <xdr:row>14</xdr:row>
      <xdr:rowOff>98474</xdr:rowOff>
    </xdr:from>
    <xdr:to>
      <xdr:col>55</xdr:col>
      <xdr:colOff>0</xdr:colOff>
      <xdr:row>14</xdr:row>
      <xdr:rowOff>98474</xdr:rowOff>
    </xdr:to>
    <xdr:sp macro="" textlink="">
      <xdr:nvSpPr>
        <xdr:cNvPr id="1443" name="Line 167">
          <a:extLst>
            <a:ext uri="{FF2B5EF4-FFF2-40B4-BE49-F238E27FC236}">
              <a16:creationId xmlns:a16="http://schemas.microsoft.com/office/drawing/2014/main" id="{00000000-0008-0000-1500-0000A3050000}"/>
            </a:ext>
          </a:extLst>
        </xdr:cNvPr>
        <xdr:cNvSpPr>
          <a:spLocks noChangeShapeType="1"/>
        </xdr:cNvSpPr>
      </xdr:nvSpPr>
      <xdr:spPr bwMode="auto">
        <a:xfrm rot="5400000">
          <a:off x="11525051" y="3007527"/>
          <a:ext cx="0" cy="460774"/>
        </a:xfrm>
        <a:prstGeom prst="line">
          <a:avLst/>
        </a:prstGeom>
        <a:noFill/>
        <a:ln w="28575">
          <a:solidFill>
            <a:srgbClr val="FF00FF"/>
          </a:solidFill>
          <a:round/>
          <a:headEnd/>
          <a:tailEnd/>
        </a:ln>
      </xdr:spPr>
    </xdr:sp>
    <xdr:clientData/>
  </xdr:twoCellAnchor>
  <xdr:twoCellAnchor>
    <xdr:from>
      <xdr:col>50</xdr:col>
      <xdr:colOff>28575</xdr:colOff>
      <xdr:row>4</xdr:row>
      <xdr:rowOff>219075</xdr:rowOff>
    </xdr:from>
    <xdr:to>
      <xdr:col>51</xdr:col>
      <xdr:colOff>209550</xdr:colOff>
      <xdr:row>4</xdr:row>
      <xdr:rowOff>219075</xdr:rowOff>
    </xdr:to>
    <xdr:sp macro="" textlink="">
      <xdr:nvSpPr>
        <xdr:cNvPr id="1444" name="Line 77">
          <a:extLst>
            <a:ext uri="{FF2B5EF4-FFF2-40B4-BE49-F238E27FC236}">
              <a16:creationId xmlns:a16="http://schemas.microsoft.com/office/drawing/2014/main" id="{00000000-0008-0000-1500-0000A4050000}"/>
            </a:ext>
          </a:extLst>
        </xdr:cNvPr>
        <xdr:cNvSpPr>
          <a:spLocks noChangeShapeType="1"/>
        </xdr:cNvSpPr>
      </xdr:nvSpPr>
      <xdr:spPr bwMode="auto">
        <a:xfrm rot="5400000">
          <a:off x="10800081" y="9293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28575</xdr:colOff>
      <xdr:row>4</xdr:row>
      <xdr:rowOff>219075</xdr:rowOff>
    </xdr:from>
    <xdr:to>
      <xdr:col>54</xdr:col>
      <xdr:colOff>209550</xdr:colOff>
      <xdr:row>4</xdr:row>
      <xdr:rowOff>219075</xdr:rowOff>
    </xdr:to>
    <xdr:sp macro="" textlink="">
      <xdr:nvSpPr>
        <xdr:cNvPr id="1445" name="Line 79">
          <a:extLst>
            <a:ext uri="{FF2B5EF4-FFF2-40B4-BE49-F238E27FC236}">
              <a16:creationId xmlns:a16="http://schemas.microsoft.com/office/drawing/2014/main" id="{00000000-0008-0000-1500-0000A5050000}"/>
            </a:ext>
          </a:extLst>
        </xdr:cNvPr>
        <xdr:cNvSpPr>
          <a:spLocks noChangeShapeType="1"/>
        </xdr:cNvSpPr>
      </xdr:nvSpPr>
      <xdr:spPr bwMode="auto">
        <a:xfrm rot="5400000">
          <a:off x="11514456" y="9293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228600</xdr:colOff>
      <xdr:row>5</xdr:row>
      <xdr:rowOff>19050</xdr:rowOff>
    </xdr:from>
    <xdr:to>
      <xdr:col>51</xdr:col>
      <xdr:colOff>228600</xdr:colOff>
      <xdr:row>6</xdr:row>
      <xdr:rowOff>209550</xdr:rowOff>
    </xdr:to>
    <xdr:sp macro="" textlink="">
      <xdr:nvSpPr>
        <xdr:cNvPr id="1446" name="Line 82">
          <a:extLst>
            <a:ext uri="{FF2B5EF4-FFF2-40B4-BE49-F238E27FC236}">
              <a16:creationId xmlns:a16="http://schemas.microsoft.com/office/drawing/2014/main" id="{00000000-0008-0000-1500-0000A6050000}"/>
            </a:ext>
          </a:extLst>
        </xdr:cNvPr>
        <xdr:cNvSpPr>
          <a:spLocks noChangeShapeType="1"/>
        </xdr:cNvSpPr>
      </xdr:nvSpPr>
      <xdr:spPr bwMode="auto">
        <a:xfrm>
          <a:off x="11031538" y="1158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52</xdr:col>
      <xdr:colOff>228600</xdr:colOff>
      <xdr:row>5</xdr:row>
      <xdr:rowOff>19050</xdr:rowOff>
    </xdr:from>
    <xdr:to>
      <xdr:col>52</xdr:col>
      <xdr:colOff>228600</xdr:colOff>
      <xdr:row>6</xdr:row>
      <xdr:rowOff>209550</xdr:rowOff>
    </xdr:to>
    <xdr:sp macro="" textlink="">
      <xdr:nvSpPr>
        <xdr:cNvPr id="1447" name="Line 85">
          <a:extLst>
            <a:ext uri="{FF2B5EF4-FFF2-40B4-BE49-F238E27FC236}">
              <a16:creationId xmlns:a16="http://schemas.microsoft.com/office/drawing/2014/main" id="{00000000-0008-0000-1500-0000A7050000}"/>
            </a:ext>
          </a:extLst>
        </xdr:cNvPr>
        <xdr:cNvSpPr>
          <a:spLocks noChangeShapeType="1"/>
        </xdr:cNvSpPr>
      </xdr:nvSpPr>
      <xdr:spPr bwMode="auto">
        <a:xfrm>
          <a:off x="11269663" y="1158240"/>
          <a:ext cx="0" cy="412750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50</xdr:col>
      <xdr:colOff>28575</xdr:colOff>
      <xdr:row>6</xdr:row>
      <xdr:rowOff>219075</xdr:rowOff>
    </xdr:from>
    <xdr:to>
      <xdr:col>51</xdr:col>
      <xdr:colOff>209550</xdr:colOff>
      <xdr:row>6</xdr:row>
      <xdr:rowOff>219075</xdr:rowOff>
    </xdr:to>
    <xdr:sp macro="" textlink="">
      <xdr:nvSpPr>
        <xdr:cNvPr id="1448" name="Line 64">
          <a:extLst>
            <a:ext uri="{FF2B5EF4-FFF2-40B4-BE49-F238E27FC236}">
              <a16:creationId xmlns:a16="http://schemas.microsoft.com/office/drawing/2014/main" id="{00000000-0008-0000-1500-0000A8050000}"/>
            </a:ext>
          </a:extLst>
        </xdr:cNvPr>
        <xdr:cNvSpPr>
          <a:spLocks noChangeShapeType="1"/>
        </xdr:cNvSpPr>
      </xdr:nvSpPr>
      <xdr:spPr bwMode="auto">
        <a:xfrm rot="5400000">
          <a:off x="10800081" y="13738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53</xdr:col>
      <xdr:colOff>28575</xdr:colOff>
      <xdr:row>6</xdr:row>
      <xdr:rowOff>219075</xdr:rowOff>
    </xdr:from>
    <xdr:to>
      <xdr:col>54</xdr:col>
      <xdr:colOff>209550</xdr:colOff>
      <xdr:row>6</xdr:row>
      <xdr:rowOff>219075</xdr:rowOff>
    </xdr:to>
    <xdr:sp macro="" textlink="">
      <xdr:nvSpPr>
        <xdr:cNvPr id="1449" name="Line 94">
          <a:extLst>
            <a:ext uri="{FF2B5EF4-FFF2-40B4-BE49-F238E27FC236}">
              <a16:creationId xmlns:a16="http://schemas.microsoft.com/office/drawing/2014/main" id="{00000000-0008-0000-1500-0000A9050000}"/>
            </a:ext>
          </a:extLst>
        </xdr:cNvPr>
        <xdr:cNvSpPr>
          <a:spLocks noChangeShapeType="1"/>
        </xdr:cNvSpPr>
      </xdr:nvSpPr>
      <xdr:spPr bwMode="auto">
        <a:xfrm rot="5400000">
          <a:off x="11514456" y="1373822"/>
          <a:ext cx="0" cy="417195"/>
        </a:xfrm>
        <a:prstGeom prst="line">
          <a:avLst/>
        </a:prstGeom>
        <a:noFill/>
        <a:ln w="28575">
          <a:solidFill>
            <a:srgbClr val="0000FF"/>
          </a:solidFill>
          <a:round/>
          <a:headEnd/>
          <a:tailEnd/>
        </a:ln>
      </xdr:spPr>
    </xdr:sp>
    <xdr:clientData/>
  </xdr:twoCellAnchor>
  <xdr:twoCellAnchor>
    <xdr:from>
      <xdr:col>51</xdr:col>
      <xdr:colOff>221091</xdr:colOff>
      <xdr:row>4</xdr:row>
      <xdr:rowOff>199275</xdr:rowOff>
    </xdr:from>
    <xdr:to>
      <xdr:col>53</xdr:col>
      <xdr:colOff>19161</xdr:colOff>
      <xdr:row>4</xdr:row>
      <xdr:rowOff>199275</xdr:rowOff>
    </xdr:to>
    <xdr:sp macro="" textlink="">
      <xdr:nvSpPr>
        <xdr:cNvPr id="1450" name="Line 749">
          <a:extLst>
            <a:ext uri="{FF2B5EF4-FFF2-40B4-BE49-F238E27FC236}">
              <a16:creationId xmlns:a16="http://schemas.microsoft.com/office/drawing/2014/main" id="{00000000-0008-0000-1500-0000AA050000}"/>
            </a:ext>
          </a:extLst>
        </xdr:cNvPr>
        <xdr:cNvSpPr>
          <a:spLocks noChangeShapeType="1"/>
        </xdr:cNvSpPr>
      </xdr:nvSpPr>
      <xdr:spPr bwMode="auto">
        <a:xfrm rot="5400000">
          <a:off x="11158332" y="985722"/>
          <a:ext cx="0" cy="272415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240693</xdr:colOff>
      <xdr:row>6</xdr:row>
      <xdr:rowOff>205523</xdr:rowOff>
    </xdr:from>
    <xdr:to>
      <xdr:col>53</xdr:col>
      <xdr:colOff>40668</xdr:colOff>
      <xdr:row>6</xdr:row>
      <xdr:rowOff>205523</xdr:rowOff>
    </xdr:to>
    <xdr:sp macro="" textlink="">
      <xdr:nvSpPr>
        <xdr:cNvPr id="1451" name="Line 749">
          <a:extLst>
            <a:ext uri="{FF2B5EF4-FFF2-40B4-BE49-F238E27FC236}">
              <a16:creationId xmlns:a16="http://schemas.microsoft.com/office/drawing/2014/main" id="{00000000-0008-0000-1500-0000AB050000}"/>
            </a:ext>
          </a:extLst>
        </xdr:cNvPr>
        <xdr:cNvSpPr>
          <a:spLocks noChangeShapeType="1"/>
        </xdr:cNvSpPr>
      </xdr:nvSpPr>
      <xdr:spPr bwMode="auto">
        <a:xfrm rot="5400000">
          <a:off x="11178886" y="1433613"/>
          <a:ext cx="0" cy="281940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51</xdr:col>
      <xdr:colOff>219659</xdr:colOff>
      <xdr:row>2</xdr:row>
      <xdr:rowOff>95249</xdr:rowOff>
    </xdr:from>
    <xdr:to>
      <xdr:col>51</xdr:col>
      <xdr:colOff>219659</xdr:colOff>
      <xdr:row>4</xdr:row>
      <xdr:rowOff>169064</xdr:rowOff>
    </xdr:to>
    <xdr:sp macro="" textlink="">
      <xdr:nvSpPr>
        <xdr:cNvPr id="1452" name="Line 520">
          <a:extLst>
            <a:ext uri="{FF2B5EF4-FFF2-40B4-BE49-F238E27FC236}">
              <a16:creationId xmlns:a16="http://schemas.microsoft.com/office/drawing/2014/main" id="{00000000-0008-0000-1500-0000AC050000}"/>
            </a:ext>
          </a:extLst>
        </xdr:cNvPr>
        <xdr:cNvSpPr>
          <a:spLocks noChangeShapeType="1"/>
        </xdr:cNvSpPr>
      </xdr:nvSpPr>
      <xdr:spPr bwMode="auto">
        <a:xfrm rot="10800000" flipH="1">
          <a:off x="12451347" y="571499"/>
          <a:ext cx="0" cy="518315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53</xdr:col>
      <xdr:colOff>19079</xdr:colOff>
      <xdr:row>2</xdr:row>
      <xdr:rowOff>111125</xdr:rowOff>
    </xdr:from>
    <xdr:to>
      <xdr:col>53</xdr:col>
      <xdr:colOff>19079</xdr:colOff>
      <xdr:row>4</xdr:row>
      <xdr:rowOff>189308</xdr:rowOff>
    </xdr:to>
    <xdr:sp macro="" textlink="">
      <xdr:nvSpPr>
        <xdr:cNvPr id="1453" name="Line 520">
          <a:extLst>
            <a:ext uri="{FF2B5EF4-FFF2-40B4-BE49-F238E27FC236}">
              <a16:creationId xmlns:a16="http://schemas.microsoft.com/office/drawing/2014/main" id="{00000000-0008-0000-1500-0000AD050000}"/>
            </a:ext>
          </a:extLst>
        </xdr:cNvPr>
        <xdr:cNvSpPr>
          <a:spLocks noChangeShapeType="1"/>
        </xdr:cNvSpPr>
      </xdr:nvSpPr>
      <xdr:spPr bwMode="auto">
        <a:xfrm rot="10800000" flipH="1">
          <a:off x="12711142" y="587375"/>
          <a:ext cx="0" cy="522683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</xdr:sp>
    <xdr:clientData/>
  </xdr:twoCellAnchor>
  <xdr:twoCellAnchor>
    <xdr:from>
      <xdr:col>52</xdr:col>
      <xdr:colOff>2119</xdr:colOff>
      <xdr:row>2</xdr:row>
      <xdr:rowOff>200991</xdr:rowOff>
    </xdr:from>
    <xdr:to>
      <xdr:col>53</xdr:col>
      <xdr:colOff>22707</xdr:colOff>
      <xdr:row>2</xdr:row>
      <xdr:rowOff>200991</xdr:rowOff>
    </xdr:to>
    <xdr:sp macro="" textlink="">
      <xdr:nvSpPr>
        <xdr:cNvPr id="1454" name="Line 749">
          <a:extLst>
            <a:ext uri="{FF2B5EF4-FFF2-40B4-BE49-F238E27FC236}">
              <a16:creationId xmlns:a16="http://schemas.microsoft.com/office/drawing/2014/main" id="{00000000-0008-0000-1500-0000AE050000}"/>
            </a:ext>
          </a:extLst>
        </xdr:cNvPr>
        <xdr:cNvSpPr>
          <a:spLocks noChangeShapeType="1"/>
        </xdr:cNvSpPr>
      </xdr:nvSpPr>
      <xdr:spPr bwMode="auto">
        <a:xfrm rot="5400000">
          <a:off x="11170634" y="551694"/>
          <a:ext cx="0" cy="254903"/>
        </a:xfrm>
        <a:prstGeom prst="line">
          <a:avLst/>
        </a:prstGeom>
        <a:noFill/>
        <a:ln w="28575">
          <a:solidFill>
            <a:schemeClr val="accent2">
              <a:lumMod val="75000"/>
            </a:schemeClr>
          </a:solidFill>
          <a:round/>
          <a:headEnd/>
          <a:tailEnd/>
        </a:ln>
      </xdr:spPr>
    </xdr:sp>
    <xdr:clientData/>
  </xdr:twoCellAnchor>
  <xdr:twoCellAnchor>
    <xdr:from>
      <xdr:col>53</xdr:col>
      <xdr:colOff>25161</xdr:colOff>
      <xdr:row>12</xdr:row>
      <xdr:rowOff>114143</xdr:rowOff>
    </xdr:from>
    <xdr:to>
      <xdr:col>55</xdr:col>
      <xdr:colOff>34687</xdr:colOff>
      <xdr:row>12</xdr:row>
      <xdr:rowOff>114143</xdr:rowOff>
    </xdr:to>
    <xdr:sp macro="" textlink="">
      <xdr:nvSpPr>
        <xdr:cNvPr id="1455" name="Line 520">
          <a:extLst>
            <a:ext uri="{FF2B5EF4-FFF2-40B4-BE49-F238E27FC236}">
              <a16:creationId xmlns:a16="http://schemas.microsoft.com/office/drawing/2014/main" id="{00000000-0008-0000-1500-0000AF050000}"/>
            </a:ext>
          </a:extLst>
        </xdr:cNvPr>
        <xdr:cNvSpPr>
          <a:spLocks noChangeShapeType="1"/>
        </xdr:cNvSpPr>
      </xdr:nvSpPr>
      <xdr:spPr bwMode="auto">
        <a:xfrm rot="5400000">
          <a:off x="11545332" y="2568100"/>
          <a:ext cx="0" cy="489586"/>
        </a:xfrm>
        <a:prstGeom prst="line">
          <a:avLst/>
        </a:prstGeom>
        <a:noFill/>
        <a:ln w="28575">
          <a:solidFill>
            <a:srgbClr val="FF0000"/>
          </a:solidFill>
          <a:round/>
          <a:headEnd/>
          <a:tailEnd/>
        </a:ln>
      </xdr:spPr>
      <xdr:txBody>
        <a:bodyPr/>
        <a:lstStyle/>
        <a:p>
          <a:endParaRPr lang="ko-KR" altLang="en-US"/>
        </a:p>
      </xdr:txBody>
    </xdr:sp>
    <xdr:clientData/>
  </xdr:twoCellAnchor>
  <xdr:twoCellAnchor>
    <xdr:from>
      <xdr:col>45</xdr:col>
      <xdr:colOff>206710</xdr:colOff>
      <xdr:row>24</xdr:row>
      <xdr:rowOff>158256</xdr:rowOff>
    </xdr:from>
    <xdr:to>
      <xdr:col>46</xdr:col>
      <xdr:colOff>197185</xdr:colOff>
      <xdr:row>26</xdr:row>
      <xdr:rowOff>18068</xdr:rowOff>
    </xdr:to>
    <xdr:cxnSp macro="">
      <xdr:nvCxnSpPr>
        <xdr:cNvPr id="1456" name="직선 연결선 1455">
          <a:extLst>
            <a:ext uri="{FF2B5EF4-FFF2-40B4-BE49-F238E27FC236}">
              <a16:creationId xmlns:a16="http://schemas.microsoft.com/office/drawing/2014/main" id="{00000000-0008-0000-1500-0000B0050000}"/>
            </a:ext>
          </a:extLst>
        </xdr:cNvPr>
        <xdr:cNvCxnSpPr/>
      </xdr:nvCxnSpPr>
      <xdr:spPr>
        <a:xfrm flipV="1">
          <a:off x="9497395" y="5525911"/>
          <a:ext cx="234633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25491</xdr:colOff>
      <xdr:row>24</xdr:row>
      <xdr:rowOff>184145</xdr:rowOff>
    </xdr:from>
    <xdr:to>
      <xdr:col>47</xdr:col>
      <xdr:colOff>15966</xdr:colOff>
      <xdr:row>26</xdr:row>
      <xdr:rowOff>57145</xdr:rowOff>
    </xdr:to>
    <xdr:cxnSp macro="">
      <xdr:nvCxnSpPr>
        <xdr:cNvPr id="1457" name="직선 연결선 1456">
          <a:extLst>
            <a:ext uri="{FF2B5EF4-FFF2-40B4-BE49-F238E27FC236}">
              <a16:creationId xmlns:a16="http://schemas.microsoft.com/office/drawing/2014/main" id="{00000000-0008-0000-1500-0000B1050000}"/>
            </a:ext>
          </a:extLst>
        </xdr:cNvPr>
        <xdr:cNvCxnSpPr/>
      </xdr:nvCxnSpPr>
      <xdr:spPr>
        <a:xfrm flipV="1">
          <a:off x="9554619" y="5547990"/>
          <a:ext cx="244157" cy="3232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199383</xdr:colOff>
      <xdr:row>24</xdr:row>
      <xdr:rowOff>186587</xdr:rowOff>
    </xdr:from>
    <xdr:to>
      <xdr:col>47</xdr:col>
      <xdr:colOff>188637</xdr:colOff>
      <xdr:row>26</xdr:row>
      <xdr:rowOff>46399</xdr:rowOff>
    </xdr:to>
    <xdr:cxnSp macro="">
      <xdr:nvCxnSpPr>
        <xdr:cNvPr id="1458" name="직선 연결선 1457">
          <a:extLst>
            <a:ext uri="{FF2B5EF4-FFF2-40B4-BE49-F238E27FC236}">
              <a16:creationId xmlns:a16="http://schemas.microsoft.com/office/drawing/2014/main" id="{00000000-0008-0000-1500-0000B2050000}"/>
            </a:ext>
          </a:extLst>
        </xdr:cNvPr>
        <xdr:cNvCxnSpPr/>
      </xdr:nvCxnSpPr>
      <xdr:spPr>
        <a:xfrm flipV="1">
          <a:off x="9734226" y="5550432"/>
          <a:ext cx="233411" cy="308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38435</xdr:colOff>
      <xdr:row>24</xdr:row>
      <xdr:rowOff>189030</xdr:rowOff>
    </xdr:from>
    <xdr:to>
      <xdr:col>48</xdr:col>
      <xdr:colOff>30863</xdr:colOff>
      <xdr:row>26</xdr:row>
      <xdr:rowOff>62030</xdr:rowOff>
    </xdr:to>
    <xdr:cxnSp macro="">
      <xdr:nvCxnSpPr>
        <xdr:cNvPr id="1459" name="직선 연결선 1458">
          <a:extLst>
            <a:ext uri="{FF2B5EF4-FFF2-40B4-BE49-F238E27FC236}">
              <a16:creationId xmlns:a16="http://schemas.microsoft.com/office/drawing/2014/main" id="{00000000-0008-0000-1500-0000B3050000}"/>
            </a:ext>
          </a:extLst>
        </xdr:cNvPr>
        <xdr:cNvCxnSpPr/>
      </xdr:nvCxnSpPr>
      <xdr:spPr>
        <a:xfrm flipV="1">
          <a:off x="9817435" y="5554780"/>
          <a:ext cx="236586" cy="31369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190704</xdr:colOff>
      <xdr:row>22</xdr:row>
      <xdr:rowOff>179469</xdr:rowOff>
    </xdr:from>
    <xdr:to>
      <xdr:col>46</xdr:col>
      <xdr:colOff>181179</xdr:colOff>
      <xdr:row>24</xdr:row>
      <xdr:rowOff>39281</xdr:rowOff>
    </xdr:to>
    <xdr:cxnSp macro="">
      <xdr:nvCxnSpPr>
        <xdr:cNvPr id="1460" name="직선 연결선 1459">
          <a:extLst>
            <a:ext uri="{FF2B5EF4-FFF2-40B4-BE49-F238E27FC236}">
              <a16:creationId xmlns:a16="http://schemas.microsoft.com/office/drawing/2014/main" id="{00000000-0008-0000-1500-0000B4050000}"/>
            </a:ext>
          </a:extLst>
        </xdr:cNvPr>
        <xdr:cNvCxnSpPr/>
      </xdr:nvCxnSpPr>
      <xdr:spPr>
        <a:xfrm flipV="1">
          <a:off x="9477579" y="5098814"/>
          <a:ext cx="234633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27069</xdr:colOff>
      <xdr:row>22</xdr:row>
      <xdr:rowOff>193635</xdr:rowOff>
    </xdr:from>
    <xdr:to>
      <xdr:col>47</xdr:col>
      <xdr:colOff>17544</xdr:colOff>
      <xdr:row>24</xdr:row>
      <xdr:rowOff>66635</xdr:rowOff>
    </xdr:to>
    <xdr:cxnSp macro="">
      <xdr:nvCxnSpPr>
        <xdr:cNvPr id="1461" name="직선 연결선 1460">
          <a:extLst>
            <a:ext uri="{FF2B5EF4-FFF2-40B4-BE49-F238E27FC236}">
              <a16:creationId xmlns:a16="http://schemas.microsoft.com/office/drawing/2014/main" id="{00000000-0008-0000-1500-0000B5050000}"/>
            </a:ext>
          </a:extLst>
        </xdr:cNvPr>
        <xdr:cNvCxnSpPr/>
      </xdr:nvCxnSpPr>
      <xdr:spPr>
        <a:xfrm flipV="1">
          <a:off x="9558102" y="5114885"/>
          <a:ext cx="242252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236130</xdr:colOff>
      <xdr:row>22</xdr:row>
      <xdr:rowOff>172631</xdr:rowOff>
    </xdr:from>
    <xdr:to>
      <xdr:col>47</xdr:col>
      <xdr:colOff>225384</xdr:colOff>
      <xdr:row>24</xdr:row>
      <xdr:rowOff>32443</xdr:rowOff>
    </xdr:to>
    <xdr:cxnSp macro="">
      <xdr:nvCxnSpPr>
        <xdr:cNvPr id="1462" name="직선 연결선 1461">
          <a:extLst>
            <a:ext uri="{FF2B5EF4-FFF2-40B4-BE49-F238E27FC236}">
              <a16:creationId xmlns:a16="http://schemas.microsoft.com/office/drawing/2014/main" id="{00000000-0008-0000-1500-0000B6050000}"/>
            </a:ext>
          </a:extLst>
        </xdr:cNvPr>
        <xdr:cNvCxnSpPr/>
      </xdr:nvCxnSpPr>
      <xdr:spPr>
        <a:xfrm flipV="1">
          <a:off x="9770973" y="5090071"/>
          <a:ext cx="233411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63459</xdr:colOff>
      <xdr:row>22</xdr:row>
      <xdr:rowOff>169212</xdr:rowOff>
    </xdr:from>
    <xdr:to>
      <xdr:col>48</xdr:col>
      <xdr:colOff>55887</xdr:colOff>
      <xdr:row>24</xdr:row>
      <xdr:rowOff>42212</xdr:rowOff>
    </xdr:to>
    <xdr:cxnSp macro="">
      <xdr:nvCxnSpPr>
        <xdr:cNvPr id="1463" name="직선 연결선 1462">
          <a:extLst>
            <a:ext uri="{FF2B5EF4-FFF2-40B4-BE49-F238E27FC236}">
              <a16:creationId xmlns:a16="http://schemas.microsoft.com/office/drawing/2014/main" id="{00000000-0008-0000-1500-0000B7050000}"/>
            </a:ext>
          </a:extLst>
        </xdr:cNvPr>
        <xdr:cNvCxnSpPr/>
      </xdr:nvCxnSpPr>
      <xdr:spPr>
        <a:xfrm flipV="1">
          <a:off x="9838649" y="5094272"/>
          <a:ext cx="246111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241390</xdr:colOff>
      <xdr:row>20</xdr:row>
      <xdr:rowOff>136523</xdr:rowOff>
    </xdr:from>
    <xdr:to>
      <xdr:col>47</xdr:col>
      <xdr:colOff>231865</xdr:colOff>
      <xdr:row>22</xdr:row>
      <xdr:rowOff>12698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00000000-0008-0000-1500-0000B8050000}"/>
            </a:ext>
          </a:extLst>
        </xdr:cNvPr>
        <xdr:cNvCxnSpPr/>
      </xdr:nvCxnSpPr>
      <xdr:spPr>
        <a:xfrm flipV="1">
          <a:off x="9778138" y="4609463"/>
          <a:ext cx="232727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226492</xdr:colOff>
      <xdr:row>20</xdr:row>
      <xdr:rowOff>137011</xdr:rowOff>
    </xdr:from>
    <xdr:to>
      <xdr:col>46</xdr:col>
      <xdr:colOff>216967</xdr:colOff>
      <xdr:row>22</xdr:row>
      <xdr:rowOff>13186</xdr:rowOff>
    </xdr:to>
    <xdr:cxnSp macro="">
      <xdr:nvCxnSpPr>
        <xdr:cNvPr id="1465" name="직선 연결선 1464">
          <a:extLst>
            <a:ext uri="{FF2B5EF4-FFF2-40B4-BE49-F238E27FC236}">
              <a16:creationId xmlns:a16="http://schemas.microsoft.com/office/drawing/2014/main" id="{00000000-0008-0000-1500-0000B9050000}"/>
            </a:ext>
          </a:extLst>
        </xdr:cNvPr>
        <xdr:cNvCxnSpPr/>
      </xdr:nvCxnSpPr>
      <xdr:spPr>
        <a:xfrm flipV="1">
          <a:off x="9513367" y="4609951"/>
          <a:ext cx="232728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167833</xdr:colOff>
      <xdr:row>25</xdr:row>
      <xdr:rowOff>97834</xdr:rowOff>
    </xdr:from>
    <xdr:to>
      <xdr:col>46</xdr:col>
      <xdr:colOff>91904</xdr:colOff>
      <xdr:row>26</xdr:row>
      <xdr:rowOff>92319</xdr:rowOff>
    </xdr:to>
    <xdr:grpSp>
      <xdr:nvGrpSpPr>
        <xdr:cNvPr id="1466" name="그룹 1465">
          <a:extLst>
            <a:ext uri="{FF2B5EF4-FFF2-40B4-BE49-F238E27FC236}">
              <a16:creationId xmlns:a16="http://schemas.microsoft.com/office/drawing/2014/main" id="{00000000-0008-0000-1500-0000BA050000}"/>
            </a:ext>
          </a:extLst>
        </xdr:cNvPr>
        <xdr:cNvGrpSpPr/>
      </xdr:nvGrpSpPr>
      <xdr:grpSpPr>
        <a:xfrm>
          <a:off x="10970771" y="5019084"/>
          <a:ext cx="162196" cy="184985"/>
          <a:chOff x="3850105" y="3654592"/>
          <a:chExt cx="185070" cy="195513"/>
        </a:xfrm>
      </xdr:grpSpPr>
      <xdr:sp macro="" textlink="">
        <xdr:nvSpPr>
          <xdr:cNvPr id="1467" name="직사각형 1466">
            <a:extLst>
              <a:ext uri="{FF2B5EF4-FFF2-40B4-BE49-F238E27FC236}">
                <a16:creationId xmlns:a16="http://schemas.microsoft.com/office/drawing/2014/main" id="{00000000-0008-0000-1500-0000BB05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68" name="순서도: 연결자 1467">
            <a:extLst>
              <a:ext uri="{FF2B5EF4-FFF2-40B4-BE49-F238E27FC236}">
                <a16:creationId xmlns:a16="http://schemas.microsoft.com/office/drawing/2014/main" id="{00000000-0008-0000-1500-0000BC05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69" name="순서도: 연결자 1468">
            <a:extLst>
              <a:ext uri="{FF2B5EF4-FFF2-40B4-BE49-F238E27FC236}">
                <a16:creationId xmlns:a16="http://schemas.microsoft.com/office/drawing/2014/main" id="{00000000-0008-0000-1500-0000BD05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70" name="순서도: 연결자 1469">
            <a:extLst>
              <a:ext uri="{FF2B5EF4-FFF2-40B4-BE49-F238E27FC236}">
                <a16:creationId xmlns:a16="http://schemas.microsoft.com/office/drawing/2014/main" id="{00000000-0008-0000-1500-0000BE05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71" name="순서도: 연결자 1470">
            <a:extLst>
              <a:ext uri="{FF2B5EF4-FFF2-40B4-BE49-F238E27FC236}">
                <a16:creationId xmlns:a16="http://schemas.microsoft.com/office/drawing/2014/main" id="{00000000-0008-0000-1500-0000BF05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169524</xdr:colOff>
      <xdr:row>25</xdr:row>
      <xdr:rowOff>98636</xdr:rowOff>
    </xdr:from>
    <xdr:to>
      <xdr:col>47</xdr:col>
      <xdr:colOff>91687</xdr:colOff>
      <xdr:row>26</xdr:row>
      <xdr:rowOff>96931</xdr:rowOff>
    </xdr:to>
    <xdr:grpSp>
      <xdr:nvGrpSpPr>
        <xdr:cNvPr id="1472" name="그룹 1471">
          <a:extLst>
            <a:ext uri="{FF2B5EF4-FFF2-40B4-BE49-F238E27FC236}">
              <a16:creationId xmlns:a16="http://schemas.microsoft.com/office/drawing/2014/main" id="{00000000-0008-0000-1500-0000C0050000}"/>
            </a:ext>
          </a:extLst>
        </xdr:cNvPr>
        <xdr:cNvGrpSpPr/>
      </xdr:nvGrpSpPr>
      <xdr:grpSpPr>
        <a:xfrm>
          <a:off x="11210587" y="5019886"/>
          <a:ext cx="160288" cy="188795"/>
          <a:chOff x="3850105" y="3654592"/>
          <a:chExt cx="185070" cy="195513"/>
        </a:xfrm>
      </xdr:grpSpPr>
      <xdr:sp macro="" textlink="">
        <xdr:nvSpPr>
          <xdr:cNvPr id="1473" name="직사각형 1472">
            <a:extLst>
              <a:ext uri="{FF2B5EF4-FFF2-40B4-BE49-F238E27FC236}">
                <a16:creationId xmlns:a16="http://schemas.microsoft.com/office/drawing/2014/main" id="{00000000-0008-0000-1500-0000C105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74" name="순서도: 연결자 1473">
            <a:extLst>
              <a:ext uri="{FF2B5EF4-FFF2-40B4-BE49-F238E27FC236}">
                <a16:creationId xmlns:a16="http://schemas.microsoft.com/office/drawing/2014/main" id="{00000000-0008-0000-1500-0000C205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75" name="순서도: 연결자 1474">
            <a:extLst>
              <a:ext uri="{FF2B5EF4-FFF2-40B4-BE49-F238E27FC236}">
                <a16:creationId xmlns:a16="http://schemas.microsoft.com/office/drawing/2014/main" id="{00000000-0008-0000-1500-0000C305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76" name="순서도: 연결자 1475">
            <a:extLst>
              <a:ext uri="{FF2B5EF4-FFF2-40B4-BE49-F238E27FC236}">
                <a16:creationId xmlns:a16="http://schemas.microsoft.com/office/drawing/2014/main" id="{00000000-0008-0000-1500-0000C405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77" name="순서도: 연결자 1476">
            <a:extLst>
              <a:ext uri="{FF2B5EF4-FFF2-40B4-BE49-F238E27FC236}">
                <a16:creationId xmlns:a16="http://schemas.microsoft.com/office/drawing/2014/main" id="{00000000-0008-0000-1500-0000C505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167978</xdr:colOff>
      <xdr:row>23</xdr:row>
      <xdr:rowOff>113215</xdr:rowOff>
    </xdr:from>
    <xdr:to>
      <xdr:col>46</xdr:col>
      <xdr:colOff>97764</xdr:colOff>
      <xdr:row>24</xdr:row>
      <xdr:rowOff>98175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00000000-0008-0000-1500-0000C6050000}"/>
            </a:ext>
          </a:extLst>
        </xdr:cNvPr>
        <xdr:cNvGrpSpPr/>
      </xdr:nvGrpSpPr>
      <xdr:grpSpPr>
        <a:xfrm>
          <a:off x="10970916" y="4653465"/>
          <a:ext cx="167911" cy="175460"/>
          <a:chOff x="3850105" y="3654592"/>
          <a:chExt cx="185070" cy="195513"/>
        </a:xfrm>
      </xdr:grpSpPr>
      <xdr:sp macro="" textlink="">
        <xdr:nvSpPr>
          <xdr:cNvPr id="1479" name="직사각형 1478">
            <a:extLst>
              <a:ext uri="{FF2B5EF4-FFF2-40B4-BE49-F238E27FC236}">
                <a16:creationId xmlns:a16="http://schemas.microsoft.com/office/drawing/2014/main" id="{00000000-0008-0000-1500-0000C705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0" name="순서도: 연결자 1479">
            <a:extLst>
              <a:ext uri="{FF2B5EF4-FFF2-40B4-BE49-F238E27FC236}">
                <a16:creationId xmlns:a16="http://schemas.microsoft.com/office/drawing/2014/main" id="{00000000-0008-0000-1500-0000C805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1" name="순서도: 연결자 1480">
            <a:extLst>
              <a:ext uri="{FF2B5EF4-FFF2-40B4-BE49-F238E27FC236}">
                <a16:creationId xmlns:a16="http://schemas.microsoft.com/office/drawing/2014/main" id="{00000000-0008-0000-1500-0000C905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2" name="순서도: 연결자 1481">
            <a:extLst>
              <a:ext uri="{FF2B5EF4-FFF2-40B4-BE49-F238E27FC236}">
                <a16:creationId xmlns:a16="http://schemas.microsoft.com/office/drawing/2014/main" id="{00000000-0008-0000-1500-0000CA05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3" name="순서도: 연결자 1482">
            <a:extLst>
              <a:ext uri="{FF2B5EF4-FFF2-40B4-BE49-F238E27FC236}">
                <a16:creationId xmlns:a16="http://schemas.microsoft.com/office/drawing/2014/main" id="{00000000-0008-0000-1500-0000CB05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167764</xdr:colOff>
      <xdr:row>23</xdr:row>
      <xdr:rowOff>102587</xdr:rowOff>
    </xdr:from>
    <xdr:to>
      <xdr:col>47</xdr:col>
      <xdr:colOff>93737</xdr:colOff>
      <xdr:row>24</xdr:row>
      <xdr:rowOff>95167</xdr:rowOff>
    </xdr:to>
    <xdr:grpSp>
      <xdr:nvGrpSpPr>
        <xdr:cNvPr id="1484" name="그룹 1483">
          <a:extLst>
            <a:ext uri="{FF2B5EF4-FFF2-40B4-BE49-F238E27FC236}">
              <a16:creationId xmlns:a16="http://schemas.microsoft.com/office/drawing/2014/main" id="{00000000-0008-0000-1500-0000CC050000}"/>
            </a:ext>
          </a:extLst>
        </xdr:cNvPr>
        <xdr:cNvGrpSpPr/>
      </xdr:nvGrpSpPr>
      <xdr:grpSpPr>
        <a:xfrm>
          <a:off x="11208827" y="4642837"/>
          <a:ext cx="164098" cy="183080"/>
          <a:chOff x="3850105" y="3654592"/>
          <a:chExt cx="185070" cy="195513"/>
        </a:xfrm>
      </xdr:grpSpPr>
      <xdr:sp macro="" textlink="">
        <xdr:nvSpPr>
          <xdr:cNvPr id="1485" name="직사각형 1484">
            <a:extLst>
              <a:ext uri="{FF2B5EF4-FFF2-40B4-BE49-F238E27FC236}">
                <a16:creationId xmlns:a16="http://schemas.microsoft.com/office/drawing/2014/main" id="{00000000-0008-0000-1500-0000CD05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6" name="순서도: 연결자 1485">
            <a:extLst>
              <a:ext uri="{FF2B5EF4-FFF2-40B4-BE49-F238E27FC236}">
                <a16:creationId xmlns:a16="http://schemas.microsoft.com/office/drawing/2014/main" id="{00000000-0008-0000-1500-0000CE05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7" name="순서도: 연결자 1486">
            <a:extLst>
              <a:ext uri="{FF2B5EF4-FFF2-40B4-BE49-F238E27FC236}">
                <a16:creationId xmlns:a16="http://schemas.microsoft.com/office/drawing/2014/main" id="{00000000-0008-0000-1500-0000CF05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8" name="순서도: 연결자 1487">
            <a:extLst>
              <a:ext uri="{FF2B5EF4-FFF2-40B4-BE49-F238E27FC236}">
                <a16:creationId xmlns:a16="http://schemas.microsoft.com/office/drawing/2014/main" id="{00000000-0008-0000-1500-0000D005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89" name="순서도: 연결자 1488">
            <a:extLst>
              <a:ext uri="{FF2B5EF4-FFF2-40B4-BE49-F238E27FC236}">
                <a16:creationId xmlns:a16="http://schemas.microsoft.com/office/drawing/2014/main" id="{00000000-0008-0000-1500-0000D105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165483</xdr:colOff>
      <xdr:row>27</xdr:row>
      <xdr:rowOff>134522</xdr:rowOff>
    </xdr:from>
    <xdr:to>
      <xdr:col>46</xdr:col>
      <xdr:colOff>95269</xdr:colOff>
      <xdr:row>28</xdr:row>
      <xdr:rowOff>22127</xdr:rowOff>
    </xdr:to>
    <xdr:grpSp>
      <xdr:nvGrpSpPr>
        <xdr:cNvPr id="1490" name="그룹 1489">
          <a:extLst>
            <a:ext uri="{FF2B5EF4-FFF2-40B4-BE49-F238E27FC236}">
              <a16:creationId xmlns:a16="http://schemas.microsoft.com/office/drawing/2014/main" id="{00000000-0008-0000-1500-0000D2050000}"/>
            </a:ext>
          </a:extLst>
        </xdr:cNvPr>
        <xdr:cNvGrpSpPr/>
      </xdr:nvGrpSpPr>
      <xdr:grpSpPr>
        <a:xfrm>
          <a:off x="10968421" y="5436772"/>
          <a:ext cx="167911" cy="78105"/>
          <a:chOff x="2372059" y="3845092"/>
          <a:chExt cx="185070" cy="115303"/>
        </a:xfrm>
      </xdr:grpSpPr>
      <xdr:sp macro="" textlink="">
        <xdr:nvSpPr>
          <xdr:cNvPr id="1491" name="직사각형 1490">
            <a:extLst>
              <a:ext uri="{FF2B5EF4-FFF2-40B4-BE49-F238E27FC236}">
                <a16:creationId xmlns:a16="http://schemas.microsoft.com/office/drawing/2014/main" id="{00000000-0008-0000-1500-0000D305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92" name="순서도: 연결자 1491">
            <a:extLst>
              <a:ext uri="{FF2B5EF4-FFF2-40B4-BE49-F238E27FC236}">
                <a16:creationId xmlns:a16="http://schemas.microsoft.com/office/drawing/2014/main" id="{00000000-0008-0000-1500-0000D405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93" name="순서도: 연결자 1492">
            <a:extLst>
              <a:ext uri="{FF2B5EF4-FFF2-40B4-BE49-F238E27FC236}">
                <a16:creationId xmlns:a16="http://schemas.microsoft.com/office/drawing/2014/main" id="{00000000-0008-0000-1500-0000D505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167675</xdr:colOff>
      <xdr:row>21</xdr:row>
      <xdr:rowOff>150163</xdr:rowOff>
    </xdr:from>
    <xdr:to>
      <xdr:col>47</xdr:col>
      <xdr:colOff>93648</xdr:colOff>
      <xdr:row>22</xdr:row>
      <xdr:rowOff>54914</xdr:rowOff>
    </xdr:to>
    <xdr:grpSp>
      <xdr:nvGrpSpPr>
        <xdr:cNvPr id="1494" name="그룹 1493">
          <a:extLst>
            <a:ext uri="{FF2B5EF4-FFF2-40B4-BE49-F238E27FC236}">
              <a16:creationId xmlns:a16="http://schemas.microsoft.com/office/drawing/2014/main" id="{00000000-0008-0000-1500-0000D6050000}"/>
            </a:ext>
          </a:extLst>
        </xdr:cNvPr>
        <xdr:cNvGrpSpPr/>
      </xdr:nvGrpSpPr>
      <xdr:grpSpPr>
        <a:xfrm>
          <a:off x="11208738" y="4309413"/>
          <a:ext cx="164098" cy="95251"/>
          <a:chOff x="2372059" y="3845092"/>
          <a:chExt cx="185070" cy="115303"/>
        </a:xfrm>
      </xdr:grpSpPr>
      <xdr:sp macro="" textlink="">
        <xdr:nvSpPr>
          <xdr:cNvPr id="1495" name="직사각형 1494">
            <a:extLst>
              <a:ext uri="{FF2B5EF4-FFF2-40B4-BE49-F238E27FC236}">
                <a16:creationId xmlns:a16="http://schemas.microsoft.com/office/drawing/2014/main" id="{00000000-0008-0000-1500-0000D705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96" name="순서도: 연결자 1495">
            <a:extLst>
              <a:ext uri="{FF2B5EF4-FFF2-40B4-BE49-F238E27FC236}">
                <a16:creationId xmlns:a16="http://schemas.microsoft.com/office/drawing/2014/main" id="{00000000-0008-0000-1500-0000D805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497" name="순서도: 연결자 1496">
            <a:extLst>
              <a:ext uri="{FF2B5EF4-FFF2-40B4-BE49-F238E27FC236}">
                <a16:creationId xmlns:a16="http://schemas.microsoft.com/office/drawing/2014/main" id="{00000000-0008-0000-1500-0000D905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129575</xdr:colOff>
      <xdr:row>27</xdr:row>
      <xdr:rowOff>136428</xdr:rowOff>
    </xdr:from>
    <xdr:to>
      <xdr:col>47</xdr:col>
      <xdr:colOff>55548</xdr:colOff>
      <xdr:row>28</xdr:row>
      <xdr:rowOff>58323</xdr:rowOff>
    </xdr:to>
    <xdr:grpSp>
      <xdr:nvGrpSpPr>
        <xdr:cNvPr id="1498" name="그룹 1497">
          <a:extLst>
            <a:ext uri="{FF2B5EF4-FFF2-40B4-BE49-F238E27FC236}">
              <a16:creationId xmlns:a16="http://schemas.microsoft.com/office/drawing/2014/main" id="{00000000-0008-0000-1500-0000DA050000}"/>
            </a:ext>
          </a:extLst>
        </xdr:cNvPr>
        <xdr:cNvGrpSpPr/>
      </xdr:nvGrpSpPr>
      <xdr:grpSpPr>
        <a:xfrm>
          <a:off x="11170638" y="5438678"/>
          <a:ext cx="164098" cy="112395"/>
          <a:chOff x="2372059" y="3845092"/>
          <a:chExt cx="185070" cy="115303"/>
        </a:xfrm>
      </xdr:grpSpPr>
      <xdr:sp macro="" textlink="">
        <xdr:nvSpPr>
          <xdr:cNvPr id="1499" name="직사각형 1498">
            <a:extLst>
              <a:ext uri="{FF2B5EF4-FFF2-40B4-BE49-F238E27FC236}">
                <a16:creationId xmlns:a16="http://schemas.microsoft.com/office/drawing/2014/main" id="{00000000-0008-0000-1500-0000DB05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00" name="순서도: 연결자 1499">
            <a:extLst>
              <a:ext uri="{FF2B5EF4-FFF2-40B4-BE49-F238E27FC236}">
                <a16:creationId xmlns:a16="http://schemas.microsoft.com/office/drawing/2014/main" id="{00000000-0008-0000-1500-0000DC05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01" name="순서도: 연결자 1500">
            <a:extLst>
              <a:ext uri="{FF2B5EF4-FFF2-40B4-BE49-F238E27FC236}">
                <a16:creationId xmlns:a16="http://schemas.microsoft.com/office/drawing/2014/main" id="{00000000-0008-0000-1500-0000DD05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132196</xdr:colOff>
      <xdr:row>21</xdr:row>
      <xdr:rowOff>135625</xdr:rowOff>
    </xdr:from>
    <xdr:to>
      <xdr:col>46</xdr:col>
      <xdr:colOff>60077</xdr:colOff>
      <xdr:row>22</xdr:row>
      <xdr:rowOff>57521</xdr:rowOff>
    </xdr:to>
    <xdr:grpSp>
      <xdr:nvGrpSpPr>
        <xdr:cNvPr id="1502" name="그룹 1501">
          <a:extLst>
            <a:ext uri="{FF2B5EF4-FFF2-40B4-BE49-F238E27FC236}">
              <a16:creationId xmlns:a16="http://schemas.microsoft.com/office/drawing/2014/main" id="{00000000-0008-0000-1500-0000DE050000}"/>
            </a:ext>
          </a:extLst>
        </xdr:cNvPr>
        <xdr:cNvGrpSpPr/>
      </xdr:nvGrpSpPr>
      <xdr:grpSpPr>
        <a:xfrm>
          <a:off x="10935134" y="4294875"/>
          <a:ext cx="166006" cy="112396"/>
          <a:chOff x="2372059" y="3845092"/>
          <a:chExt cx="185070" cy="115303"/>
        </a:xfrm>
      </xdr:grpSpPr>
      <xdr:sp macro="" textlink="">
        <xdr:nvSpPr>
          <xdr:cNvPr id="1503" name="직사각형 1502">
            <a:extLst>
              <a:ext uri="{FF2B5EF4-FFF2-40B4-BE49-F238E27FC236}">
                <a16:creationId xmlns:a16="http://schemas.microsoft.com/office/drawing/2014/main" id="{00000000-0008-0000-1500-0000DF05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04" name="순서도: 연결자 1503">
            <a:extLst>
              <a:ext uri="{FF2B5EF4-FFF2-40B4-BE49-F238E27FC236}">
                <a16:creationId xmlns:a16="http://schemas.microsoft.com/office/drawing/2014/main" id="{00000000-0008-0000-1500-0000E005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05" name="순서도: 연결자 1504">
            <a:extLst>
              <a:ext uri="{FF2B5EF4-FFF2-40B4-BE49-F238E27FC236}">
                <a16:creationId xmlns:a16="http://schemas.microsoft.com/office/drawing/2014/main" id="{00000000-0008-0000-1500-0000E105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47</xdr:col>
      <xdr:colOff>6755</xdr:colOff>
      <xdr:row>18</xdr:row>
      <xdr:rowOff>160335</xdr:rowOff>
    </xdr:from>
    <xdr:to>
      <xdr:col>48</xdr:col>
      <xdr:colOff>1040</xdr:colOff>
      <xdr:row>20</xdr:row>
      <xdr:rowOff>44130</xdr:rowOff>
    </xdr:to>
    <xdr:cxnSp macro="">
      <xdr:nvCxnSpPr>
        <xdr:cNvPr id="1506" name="직선 연결선 1505">
          <a:extLst>
            <a:ext uri="{FF2B5EF4-FFF2-40B4-BE49-F238E27FC236}">
              <a16:creationId xmlns:a16="http://schemas.microsoft.com/office/drawing/2014/main" id="{00000000-0008-0000-1500-0000E2050000}"/>
            </a:ext>
          </a:extLst>
        </xdr:cNvPr>
        <xdr:cNvCxnSpPr/>
      </xdr:nvCxnSpPr>
      <xdr:spPr>
        <a:xfrm flipV="1">
          <a:off x="11285943" y="4192585"/>
          <a:ext cx="232410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235697</xdr:colOff>
      <xdr:row>18</xdr:row>
      <xdr:rowOff>160823</xdr:rowOff>
    </xdr:from>
    <xdr:to>
      <xdr:col>46</xdr:col>
      <xdr:colOff>228077</xdr:colOff>
      <xdr:row>20</xdr:row>
      <xdr:rowOff>44618</xdr:rowOff>
    </xdr:to>
    <xdr:cxnSp macro="">
      <xdr:nvCxnSpPr>
        <xdr:cNvPr id="1507" name="직선 연결선 1506">
          <a:extLst>
            <a:ext uri="{FF2B5EF4-FFF2-40B4-BE49-F238E27FC236}">
              <a16:creationId xmlns:a16="http://schemas.microsoft.com/office/drawing/2014/main" id="{00000000-0008-0000-1500-0000E3050000}"/>
            </a:ext>
          </a:extLst>
        </xdr:cNvPr>
        <xdr:cNvCxnSpPr/>
      </xdr:nvCxnSpPr>
      <xdr:spPr>
        <a:xfrm flipV="1">
          <a:off x="11038635" y="4193073"/>
          <a:ext cx="230505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184500</xdr:colOff>
      <xdr:row>19</xdr:row>
      <xdr:rowOff>173975</xdr:rowOff>
    </xdr:from>
    <xdr:to>
      <xdr:col>47</xdr:col>
      <xdr:colOff>104758</xdr:colOff>
      <xdr:row>20</xdr:row>
      <xdr:rowOff>78726</xdr:rowOff>
    </xdr:to>
    <xdr:grpSp>
      <xdr:nvGrpSpPr>
        <xdr:cNvPr id="1508" name="그룹 1507">
          <a:extLst>
            <a:ext uri="{FF2B5EF4-FFF2-40B4-BE49-F238E27FC236}">
              <a16:creationId xmlns:a16="http://schemas.microsoft.com/office/drawing/2014/main" id="{00000000-0008-0000-1500-0000E4050000}"/>
            </a:ext>
          </a:extLst>
        </xdr:cNvPr>
        <xdr:cNvGrpSpPr/>
      </xdr:nvGrpSpPr>
      <xdr:grpSpPr>
        <a:xfrm>
          <a:off x="11225563" y="3952225"/>
          <a:ext cx="158383" cy="95251"/>
          <a:chOff x="2372059" y="3845092"/>
          <a:chExt cx="185070" cy="115303"/>
        </a:xfrm>
      </xdr:grpSpPr>
      <xdr:sp macro="" textlink="">
        <xdr:nvSpPr>
          <xdr:cNvPr id="1509" name="직사각형 1508">
            <a:extLst>
              <a:ext uri="{FF2B5EF4-FFF2-40B4-BE49-F238E27FC236}">
                <a16:creationId xmlns:a16="http://schemas.microsoft.com/office/drawing/2014/main" id="{00000000-0008-0000-1500-0000E505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10" name="순서도: 연결자 1509">
            <a:extLst>
              <a:ext uri="{FF2B5EF4-FFF2-40B4-BE49-F238E27FC236}">
                <a16:creationId xmlns:a16="http://schemas.microsoft.com/office/drawing/2014/main" id="{00000000-0008-0000-1500-0000E605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11" name="순서도: 연결자 1510">
            <a:extLst>
              <a:ext uri="{FF2B5EF4-FFF2-40B4-BE49-F238E27FC236}">
                <a16:creationId xmlns:a16="http://schemas.microsoft.com/office/drawing/2014/main" id="{00000000-0008-0000-1500-0000E705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147116</xdr:colOff>
      <xdr:row>19</xdr:row>
      <xdr:rowOff>159437</xdr:rowOff>
    </xdr:from>
    <xdr:to>
      <xdr:col>46</xdr:col>
      <xdr:colOff>63567</xdr:colOff>
      <xdr:row>20</xdr:row>
      <xdr:rowOff>81333</xdr:rowOff>
    </xdr:to>
    <xdr:grpSp>
      <xdr:nvGrpSpPr>
        <xdr:cNvPr id="1512" name="그룹 1511">
          <a:extLst>
            <a:ext uri="{FF2B5EF4-FFF2-40B4-BE49-F238E27FC236}">
              <a16:creationId xmlns:a16="http://schemas.microsoft.com/office/drawing/2014/main" id="{00000000-0008-0000-1500-0000E8050000}"/>
            </a:ext>
          </a:extLst>
        </xdr:cNvPr>
        <xdr:cNvGrpSpPr/>
      </xdr:nvGrpSpPr>
      <xdr:grpSpPr>
        <a:xfrm>
          <a:off x="10950054" y="3937687"/>
          <a:ext cx="154576" cy="112396"/>
          <a:chOff x="2372059" y="3845092"/>
          <a:chExt cx="185070" cy="115303"/>
        </a:xfrm>
      </xdr:grpSpPr>
      <xdr:sp macro="" textlink="">
        <xdr:nvSpPr>
          <xdr:cNvPr id="1513" name="직사각형 1512">
            <a:extLst>
              <a:ext uri="{FF2B5EF4-FFF2-40B4-BE49-F238E27FC236}">
                <a16:creationId xmlns:a16="http://schemas.microsoft.com/office/drawing/2014/main" id="{00000000-0008-0000-1500-0000E905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14" name="순서도: 연결자 1513">
            <a:extLst>
              <a:ext uri="{FF2B5EF4-FFF2-40B4-BE49-F238E27FC236}">
                <a16:creationId xmlns:a16="http://schemas.microsoft.com/office/drawing/2014/main" id="{00000000-0008-0000-1500-0000EA05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15" name="순서도: 연결자 1514">
            <a:extLst>
              <a:ext uri="{FF2B5EF4-FFF2-40B4-BE49-F238E27FC236}">
                <a16:creationId xmlns:a16="http://schemas.microsoft.com/office/drawing/2014/main" id="{00000000-0008-0000-1500-0000EB05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206710</xdr:colOff>
      <xdr:row>24</xdr:row>
      <xdr:rowOff>158256</xdr:rowOff>
    </xdr:from>
    <xdr:to>
      <xdr:col>52</xdr:col>
      <xdr:colOff>197185</xdr:colOff>
      <xdr:row>26</xdr:row>
      <xdr:rowOff>18068</xdr:rowOff>
    </xdr:to>
    <xdr:cxnSp macro="">
      <xdr:nvCxnSpPr>
        <xdr:cNvPr id="1516" name="직선 연결선 1515">
          <a:extLst>
            <a:ext uri="{FF2B5EF4-FFF2-40B4-BE49-F238E27FC236}">
              <a16:creationId xmlns:a16="http://schemas.microsoft.com/office/drawing/2014/main" id="{00000000-0008-0000-1500-0000EC050000}"/>
            </a:ext>
          </a:extLst>
        </xdr:cNvPr>
        <xdr:cNvCxnSpPr/>
      </xdr:nvCxnSpPr>
      <xdr:spPr>
        <a:xfrm flipV="1">
          <a:off x="11013458" y="5525911"/>
          <a:ext cx="226695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25491</xdr:colOff>
      <xdr:row>24</xdr:row>
      <xdr:rowOff>184145</xdr:rowOff>
    </xdr:from>
    <xdr:to>
      <xdr:col>53</xdr:col>
      <xdr:colOff>15966</xdr:colOff>
      <xdr:row>26</xdr:row>
      <xdr:rowOff>57145</xdr:rowOff>
    </xdr:to>
    <xdr:cxnSp macro="">
      <xdr:nvCxnSpPr>
        <xdr:cNvPr id="1517" name="직선 연결선 1516">
          <a:extLst>
            <a:ext uri="{FF2B5EF4-FFF2-40B4-BE49-F238E27FC236}">
              <a16:creationId xmlns:a16="http://schemas.microsoft.com/office/drawing/2014/main" id="{00000000-0008-0000-1500-0000ED050000}"/>
            </a:ext>
          </a:extLst>
        </xdr:cNvPr>
        <xdr:cNvCxnSpPr/>
      </xdr:nvCxnSpPr>
      <xdr:spPr>
        <a:xfrm flipV="1">
          <a:off x="11062744" y="5547990"/>
          <a:ext cx="236220" cy="3232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199383</xdr:colOff>
      <xdr:row>24</xdr:row>
      <xdr:rowOff>186587</xdr:rowOff>
    </xdr:from>
    <xdr:to>
      <xdr:col>53</xdr:col>
      <xdr:colOff>188637</xdr:colOff>
      <xdr:row>26</xdr:row>
      <xdr:rowOff>46399</xdr:rowOff>
    </xdr:to>
    <xdr:cxnSp macro="">
      <xdr:nvCxnSpPr>
        <xdr:cNvPr id="1518" name="직선 연결선 1517">
          <a:extLst>
            <a:ext uri="{FF2B5EF4-FFF2-40B4-BE49-F238E27FC236}">
              <a16:creationId xmlns:a16="http://schemas.microsoft.com/office/drawing/2014/main" id="{00000000-0008-0000-1500-0000EE050000}"/>
            </a:ext>
          </a:extLst>
        </xdr:cNvPr>
        <xdr:cNvCxnSpPr/>
      </xdr:nvCxnSpPr>
      <xdr:spPr>
        <a:xfrm flipV="1">
          <a:off x="11242351" y="5550432"/>
          <a:ext cx="225474" cy="308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38435</xdr:colOff>
      <xdr:row>24</xdr:row>
      <xdr:rowOff>189030</xdr:rowOff>
    </xdr:from>
    <xdr:to>
      <xdr:col>54</xdr:col>
      <xdr:colOff>30863</xdr:colOff>
      <xdr:row>26</xdr:row>
      <xdr:rowOff>62030</xdr:rowOff>
    </xdr:to>
    <xdr:cxnSp macro="">
      <xdr:nvCxnSpPr>
        <xdr:cNvPr id="1519" name="직선 연결선 1518">
          <a:extLst>
            <a:ext uri="{FF2B5EF4-FFF2-40B4-BE49-F238E27FC236}">
              <a16:creationId xmlns:a16="http://schemas.microsoft.com/office/drawing/2014/main" id="{00000000-0008-0000-1500-0000EF050000}"/>
            </a:ext>
          </a:extLst>
        </xdr:cNvPr>
        <xdr:cNvCxnSpPr/>
      </xdr:nvCxnSpPr>
      <xdr:spPr>
        <a:xfrm flipV="1">
          <a:off x="11317623" y="5554780"/>
          <a:ext cx="228648" cy="31369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190704</xdr:colOff>
      <xdr:row>22</xdr:row>
      <xdr:rowOff>179469</xdr:rowOff>
    </xdr:from>
    <xdr:to>
      <xdr:col>52</xdr:col>
      <xdr:colOff>181179</xdr:colOff>
      <xdr:row>24</xdr:row>
      <xdr:rowOff>39281</xdr:rowOff>
    </xdr:to>
    <xdr:cxnSp macro="">
      <xdr:nvCxnSpPr>
        <xdr:cNvPr id="1520" name="직선 연결선 1519">
          <a:extLst>
            <a:ext uri="{FF2B5EF4-FFF2-40B4-BE49-F238E27FC236}">
              <a16:creationId xmlns:a16="http://schemas.microsoft.com/office/drawing/2014/main" id="{00000000-0008-0000-1500-0000F0050000}"/>
            </a:ext>
          </a:extLst>
        </xdr:cNvPr>
        <xdr:cNvCxnSpPr/>
      </xdr:nvCxnSpPr>
      <xdr:spPr>
        <a:xfrm flipV="1">
          <a:off x="10993642" y="5098814"/>
          <a:ext cx="226695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27069</xdr:colOff>
      <xdr:row>22</xdr:row>
      <xdr:rowOff>193635</xdr:rowOff>
    </xdr:from>
    <xdr:to>
      <xdr:col>53</xdr:col>
      <xdr:colOff>17544</xdr:colOff>
      <xdr:row>24</xdr:row>
      <xdr:rowOff>66635</xdr:rowOff>
    </xdr:to>
    <xdr:cxnSp macro="">
      <xdr:nvCxnSpPr>
        <xdr:cNvPr id="1521" name="직선 연결선 1520">
          <a:extLst>
            <a:ext uri="{FF2B5EF4-FFF2-40B4-BE49-F238E27FC236}">
              <a16:creationId xmlns:a16="http://schemas.microsoft.com/office/drawing/2014/main" id="{00000000-0008-0000-1500-0000F1050000}"/>
            </a:ext>
          </a:extLst>
        </xdr:cNvPr>
        <xdr:cNvCxnSpPr/>
      </xdr:nvCxnSpPr>
      <xdr:spPr>
        <a:xfrm flipV="1">
          <a:off x="11066227" y="5114885"/>
          <a:ext cx="234315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236130</xdr:colOff>
      <xdr:row>22</xdr:row>
      <xdr:rowOff>172631</xdr:rowOff>
    </xdr:from>
    <xdr:to>
      <xdr:col>53</xdr:col>
      <xdr:colOff>225384</xdr:colOff>
      <xdr:row>24</xdr:row>
      <xdr:rowOff>32443</xdr:rowOff>
    </xdr:to>
    <xdr:cxnSp macro="">
      <xdr:nvCxnSpPr>
        <xdr:cNvPr id="1522" name="직선 연결선 1521">
          <a:extLst>
            <a:ext uri="{FF2B5EF4-FFF2-40B4-BE49-F238E27FC236}">
              <a16:creationId xmlns:a16="http://schemas.microsoft.com/office/drawing/2014/main" id="{00000000-0008-0000-1500-0000F2050000}"/>
            </a:ext>
          </a:extLst>
        </xdr:cNvPr>
        <xdr:cNvCxnSpPr/>
      </xdr:nvCxnSpPr>
      <xdr:spPr>
        <a:xfrm flipV="1">
          <a:off x="11279098" y="5090071"/>
          <a:ext cx="225474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63459</xdr:colOff>
      <xdr:row>22</xdr:row>
      <xdr:rowOff>169212</xdr:rowOff>
    </xdr:from>
    <xdr:to>
      <xdr:col>54</xdr:col>
      <xdr:colOff>55887</xdr:colOff>
      <xdr:row>24</xdr:row>
      <xdr:rowOff>42212</xdr:rowOff>
    </xdr:to>
    <xdr:cxnSp macro="">
      <xdr:nvCxnSpPr>
        <xdr:cNvPr id="1523" name="직선 연결선 1522">
          <a:extLst>
            <a:ext uri="{FF2B5EF4-FFF2-40B4-BE49-F238E27FC236}">
              <a16:creationId xmlns:a16="http://schemas.microsoft.com/office/drawing/2014/main" id="{00000000-0008-0000-1500-0000F3050000}"/>
            </a:ext>
          </a:extLst>
        </xdr:cNvPr>
        <xdr:cNvCxnSpPr/>
      </xdr:nvCxnSpPr>
      <xdr:spPr>
        <a:xfrm flipV="1">
          <a:off x="11338837" y="5094272"/>
          <a:ext cx="238173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171643</xdr:colOff>
      <xdr:row>25</xdr:row>
      <xdr:rowOff>94024</xdr:rowOff>
    </xdr:from>
    <xdr:to>
      <xdr:col>52</xdr:col>
      <xdr:colOff>95714</xdr:colOff>
      <xdr:row>26</xdr:row>
      <xdr:rowOff>96129</xdr:rowOff>
    </xdr:to>
    <xdr:grpSp>
      <xdr:nvGrpSpPr>
        <xdr:cNvPr id="1526" name="그룹 1525">
          <a:extLst>
            <a:ext uri="{FF2B5EF4-FFF2-40B4-BE49-F238E27FC236}">
              <a16:creationId xmlns:a16="http://schemas.microsoft.com/office/drawing/2014/main" id="{00000000-0008-0000-1500-0000F6050000}"/>
            </a:ext>
          </a:extLst>
        </xdr:cNvPr>
        <xdr:cNvGrpSpPr/>
      </xdr:nvGrpSpPr>
      <xdr:grpSpPr>
        <a:xfrm>
          <a:off x="12403331" y="5015274"/>
          <a:ext cx="162196" cy="192605"/>
          <a:chOff x="3850105" y="3654592"/>
          <a:chExt cx="185070" cy="195513"/>
        </a:xfrm>
      </xdr:grpSpPr>
      <xdr:sp macro="" textlink="">
        <xdr:nvSpPr>
          <xdr:cNvPr id="1527" name="직사각형 1526">
            <a:extLst>
              <a:ext uri="{FF2B5EF4-FFF2-40B4-BE49-F238E27FC236}">
                <a16:creationId xmlns:a16="http://schemas.microsoft.com/office/drawing/2014/main" id="{00000000-0008-0000-1500-0000F705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28" name="순서도: 연결자 1527">
            <a:extLst>
              <a:ext uri="{FF2B5EF4-FFF2-40B4-BE49-F238E27FC236}">
                <a16:creationId xmlns:a16="http://schemas.microsoft.com/office/drawing/2014/main" id="{00000000-0008-0000-1500-0000F805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29" name="순서도: 연결자 1528">
            <a:extLst>
              <a:ext uri="{FF2B5EF4-FFF2-40B4-BE49-F238E27FC236}">
                <a16:creationId xmlns:a16="http://schemas.microsoft.com/office/drawing/2014/main" id="{00000000-0008-0000-1500-0000F905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30" name="순서도: 연결자 1529">
            <a:extLst>
              <a:ext uri="{FF2B5EF4-FFF2-40B4-BE49-F238E27FC236}">
                <a16:creationId xmlns:a16="http://schemas.microsoft.com/office/drawing/2014/main" id="{00000000-0008-0000-1500-0000FA05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31" name="순서도: 연결자 1530">
            <a:extLst>
              <a:ext uri="{FF2B5EF4-FFF2-40B4-BE49-F238E27FC236}">
                <a16:creationId xmlns:a16="http://schemas.microsoft.com/office/drawing/2014/main" id="{00000000-0008-0000-1500-0000FB05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173334</xdr:colOff>
      <xdr:row>25</xdr:row>
      <xdr:rowOff>94826</xdr:rowOff>
    </xdr:from>
    <xdr:to>
      <xdr:col>53</xdr:col>
      <xdr:colOff>95497</xdr:colOff>
      <xdr:row>26</xdr:row>
      <xdr:rowOff>93121</xdr:rowOff>
    </xdr:to>
    <xdr:grpSp>
      <xdr:nvGrpSpPr>
        <xdr:cNvPr id="1532" name="그룹 1531">
          <a:extLst>
            <a:ext uri="{FF2B5EF4-FFF2-40B4-BE49-F238E27FC236}">
              <a16:creationId xmlns:a16="http://schemas.microsoft.com/office/drawing/2014/main" id="{00000000-0008-0000-1500-0000FC050000}"/>
            </a:ext>
          </a:extLst>
        </xdr:cNvPr>
        <xdr:cNvGrpSpPr/>
      </xdr:nvGrpSpPr>
      <xdr:grpSpPr>
        <a:xfrm>
          <a:off x="12643147" y="5016076"/>
          <a:ext cx="144413" cy="188795"/>
          <a:chOff x="3850105" y="3654592"/>
          <a:chExt cx="185070" cy="195513"/>
        </a:xfrm>
      </xdr:grpSpPr>
      <xdr:sp macro="" textlink="">
        <xdr:nvSpPr>
          <xdr:cNvPr id="1533" name="직사각형 1532">
            <a:extLst>
              <a:ext uri="{FF2B5EF4-FFF2-40B4-BE49-F238E27FC236}">
                <a16:creationId xmlns:a16="http://schemas.microsoft.com/office/drawing/2014/main" id="{00000000-0008-0000-1500-0000FD05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34" name="순서도: 연결자 1533">
            <a:extLst>
              <a:ext uri="{FF2B5EF4-FFF2-40B4-BE49-F238E27FC236}">
                <a16:creationId xmlns:a16="http://schemas.microsoft.com/office/drawing/2014/main" id="{00000000-0008-0000-1500-0000FE05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35" name="순서도: 연결자 1534">
            <a:extLst>
              <a:ext uri="{FF2B5EF4-FFF2-40B4-BE49-F238E27FC236}">
                <a16:creationId xmlns:a16="http://schemas.microsoft.com/office/drawing/2014/main" id="{00000000-0008-0000-1500-0000FF05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36" name="순서도: 연결자 1535">
            <a:extLst>
              <a:ext uri="{FF2B5EF4-FFF2-40B4-BE49-F238E27FC236}">
                <a16:creationId xmlns:a16="http://schemas.microsoft.com/office/drawing/2014/main" id="{00000000-0008-0000-1500-000000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37" name="순서도: 연결자 1536">
            <a:extLst>
              <a:ext uri="{FF2B5EF4-FFF2-40B4-BE49-F238E27FC236}">
                <a16:creationId xmlns:a16="http://schemas.microsoft.com/office/drawing/2014/main" id="{00000000-0008-0000-1500-000001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171788</xdr:colOff>
      <xdr:row>23</xdr:row>
      <xdr:rowOff>113215</xdr:rowOff>
    </xdr:from>
    <xdr:to>
      <xdr:col>52</xdr:col>
      <xdr:colOff>93954</xdr:colOff>
      <xdr:row>24</xdr:row>
      <xdr:rowOff>94365</xdr:rowOff>
    </xdr:to>
    <xdr:grpSp>
      <xdr:nvGrpSpPr>
        <xdr:cNvPr id="1538" name="그룹 1537">
          <a:extLst>
            <a:ext uri="{FF2B5EF4-FFF2-40B4-BE49-F238E27FC236}">
              <a16:creationId xmlns:a16="http://schemas.microsoft.com/office/drawing/2014/main" id="{00000000-0008-0000-1500-000002060000}"/>
            </a:ext>
          </a:extLst>
        </xdr:cNvPr>
        <xdr:cNvGrpSpPr/>
      </xdr:nvGrpSpPr>
      <xdr:grpSpPr>
        <a:xfrm>
          <a:off x="12403476" y="4653465"/>
          <a:ext cx="160291" cy="171650"/>
          <a:chOff x="3850105" y="3654592"/>
          <a:chExt cx="185070" cy="195513"/>
        </a:xfrm>
      </xdr:grpSpPr>
      <xdr:sp macro="" textlink="">
        <xdr:nvSpPr>
          <xdr:cNvPr id="1539" name="직사각형 1538">
            <a:extLst>
              <a:ext uri="{FF2B5EF4-FFF2-40B4-BE49-F238E27FC236}">
                <a16:creationId xmlns:a16="http://schemas.microsoft.com/office/drawing/2014/main" id="{00000000-0008-0000-1500-000003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0" name="순서도: 연결자 1539">
            <a:extLst>
              <a:ext uri="{FF2B5EF4-FFF2-40B4-BE49-F238E27FC236}">
                <a16:creationId xmlns:a16="http://schemas.microsoft.com/office/drawing/2014/main" id="{00000000-0008-0000-1500-000004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1" name="순서도: 연결자 1540">
            <a:extLst>
              <a:ext uri="{FF2B5EF4-FFF2-40B4-BE49-F238E27FC236}">
                <a16:creationId xmlns:a16="http://schemas.microsoft.com/office/drawing/2014/main" id="{00000000-0008-0000-1500-000005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2" name="순서도: 연결자 1541">
            <a:extLst>
              <a:ext uri="{FF2B5EF4-FFF2-40B4-BE49-F238E27FC236}">
                <a16:creationId xmlns:a16="http://schemas.microsoft.com/office/drawing/2014/main" id="{00000000-0008-0000-1500-000006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3" name="순서도: 연결자 1542">
            <a:extLst>
              <a:ext uri="{FF2B5EF4-FFF2-40B4-BE49-F238E27FC236}">
                <a16:creationId xmlns:a16="http://schemas.microsoft.com/office/drawing/2014/main" id="{00000000-0008-0000-1500-000007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171574</xdr:colOff>
      <xdr:row>23</xdr:row>
      <xdr:rowOff>98777</xdr:rowOff>
    </xdr:from>
    <xdr:to>
      <xdr:col>53</xdr:col>
      <xdr:colOff>97547</xdr:colOff>
      <xdr:row>24</xdr:row>
      <xdr:rowOff>98977</xdr:rowOff>
    </xdr:to>
    <xdr:grpSp>
      <xdr:nvGrpSpPr>
        <xdr:cNvPr id="1544" name="그룹 1543">
          <a:extLst>
            <a:ext uri="{FF2B5EF4-FFF2-40B4-BE49-F238E27FC236}">
              <a16:creationId xmlns:a16="http://schemas.microsoft.com/office/drawing/2014/main" id="{00000000-0008-0000-1500-000008060000}"/>
            </a:ext>
          </a:extLst>
        </xdr:cNvPr>
        <xdr:cNvGrpSpPr/>
      </xdr:nvGrpSpPr>
      <xdr:grpSpPr>
        <a:xfrm>
          <a:off x="12641387" y="4639027"/>
          <a:ext cx="148223" cy="190700"/>
          <a:chOff x="3850105" y="3654592"/>
          <a:chExt cx="185070" cy="195513"/>
        </a:xfrm>
      </xdr:grpSpPr>
      <xdr:sp macro="" textlink="">
        <xdr:nvSpPr>
          <xdr:cNvPr id="1545" name="직사각형 1544">
            <a:extLst>
              <a:ext uri="{FF2B5EF4-FFF2-40B4-BE49-F238E27FC236}">
                <a16:creationId xmlns:a16="http://schemas.microsoft.com/office/drawing/2014/main" id="{00000000-0008-0000-1500-000009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6" name="순서도: 연결자 1545">
            <a:extLst>
              <a:ext uri="{FF2B5EF4-FFF2-40B4-BE49-F238E27FC236}">
                <a16:creationId xmlns:a16="http://schemas.microsoft.com/office/drawing/2014/main" id="{00000000-0008-0000-1500-00000A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7" name="순서도: 연결자 1546">
            <a:extLst>
              <a:ext uri="{FF2B5EF4-FFF2-40B4-BE49-F238E27FC236}">
                <a16:creationId xmlns:a16="http://schemas.microsoft.com/office/drawing/2014/main" id="{00000000-0008-0000-1500-00000B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8" name="순서도: 연결자 1547">
            <a:extLst>
              <a:ext uri="{FF2B5EF4-FFF2-40B4-BE49-F238E27FC236}">
                <a16:creationId xmlns:a16="http://schemas.microsoft.com/office/drawing/2014/main" id="{00000000-0008-0000-1500-00000C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49" name="순서도: 연결자 1548">
            <a:extLst>
              <a:ext uri="{FF2B5EF4-FFF2-40B4-BE49-F238E27FC236}">
                <a16:creationId xmlns:a16="http://schemas.microsoft.com/office/drawing/2014/main" id="{00000000-0008-0000-1500-00000D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169293</xdr:colOff>
      <xdr:row>27</xdr:row>
      <xdr:rowOff>130712</xdr:rowOff>
    </xdr:from>
    <xdr:to>
      <xdr:col>52</xdr:col>
      <xdr:colOff>91459</xdr:colOff>
      <xdr:row>28</xdr:row>
      <xdr:rowOff>18317</xdr:rowOff>
    </xdr:to>
    <xdr:grpSp>
      <xdr:nvGrpSpPr>
        <xdr:cNvPr id="1550" name="그룹 1549">
          <a:extLst>
            <a:ext uri="{FF2B5EF4-FFF2-40B4-BE49-F238E27FC236}">
              <a16:creationId xmlns:a16="http://schemas.microsoft.com/office/drawing/2014/main" id="{00000000-0008-0000-1500-00000E060000}"/>
            </a:ext>
          </a:extLst>
        </xdr:cNvPr>
        <xdr:cNvGrpSpPr/>
      </xdr:nvGrpSpPr>
      <xdr:grpSpPr>
        <a:xfrm>
          <a:off x="12400981" y="5432962"/>
          <a:ext cx="160291" cy="78105"/>
          <a:chOff x="2372059" y="3845092"/>
          <a:chExt cx="185070" cy="115303"/>
        </a:xfrm>
      </xdr:grpSpPr>
      <xdr:sp macro="" textlink="">
        <xdr:nvSpPr>
          <xdr:cNvPr id="1551" name="직사각형 1550">
            <a:extLst>
              <a:ext uri="{FF2B5EF4-FFF2-40B4-BE49-F238E27FC236}">
                <a16:creationId xmlns:a16="http://schemas.microsoft.com/office/drawing/2014/main" id="{00000000-0008-0000-1500-00000F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52" name="순서도: 연결자 1551">
            <a:extLst>
              <a:ext uri="{FF2B5EF4-FFF2-40B4-BE49-F238E27FC236}">
                <a16:creationId xmlns:a16="http://schemas.microsoft.com/office/drawing/2014/main" id="{00000000-0008-0000-1500-000010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53" name="순서도: 연결자 1552">
            <a:extLst>
              <a:ext uri="{FF2B5EF4-FFF2-40B4-BE49-F238E27FC236}">
                <a16:creationId xmlns:a16="http://schemas.microsoft.com/office/drawing/2014/main" id="{00000000-0008-0000-1500-000011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133385</xdr:colOff>
      <xdr:row>27</xdr:row>
      <xdr:rowOff>132618</xdr:rowOff>
    </xdr:from>
    <xdr:to>
      <xdr:col>53</xdr:col>
      <xdr:colOff>59358</xdr:colOff>
      <xdr:row>28</xdr:row>
      <xdr:rowOff>54513</xdr:rowOff>
    </xdr:to>
    <xdr:grpSp>
      <xdr:nvGrpSpPr>
        <xdr:cNvPr id="1558" name="그룹 1557">
          <a:extLst>
            <a:ext uri="{FF2B5EF4-FFF2-40B4-BE49-F238E27FC236}">
              <a16:creationId xmlns:a16="http://schemas.microsoft.com/office/drawing/2014/main" id="{00000000-0008-0000-1500-000016060000}"/>
            </a:ext>
          </a:extLst>
        </xdr:cNvPr>
        <xdr:cNvGrpSpPr/>
      </xdr:nvGrpSpPr>
      <xdr:grpSpPr>
        <a:xfrm>
          <a:off x="12603198" y="5434868"/>
          <a:ext cx="148223" cy="112395"/>
          <a:chOff x="2372059" y="3845092"/>
          <a:chExt cx="185070" cy="115303"/>
        </a:xfrm>
      </xdr:grpSpPr>
      <xdr:sp macro="" textlink="">
        <xdr:nvSpPr>
          <xdr:cNvPr id="1559" name="직사각형 1558">
            <a:extLst>
              <a:ext uri="{FF2B5EF4-FFF2-40B4-BE49-F238E27FC236}">
                <a16:creationId xmlns:a16="http://schemas.microsoft.com/office/drawing/2014/main" id="{00000000-0008-0000-1500-000017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60" name="순서도: 연결자 1559">
            <a:extLst>
              <a:ext uri="{FF2B5EF4-FFF2-40B4-BE49-F238E27FC236}">
                <a16:creationId xmlns:a16="http://schemas.microsoft.com/office/drawing/2014/main" id="{00000000-0008-0000-1500-000018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61" name="순서도: 연결자 1560">
            <a:extLst>
              <a:ext uri="{FF2B5EF4-FFF2-40B4-BE49-F238E27FC236}">
                <a16:creationId xmlns:a16="http://schemas.microsoft.com/office/drawing/2014/main" id="{00000000-0008-0000-1500-000019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53</xdr:col>
      <xdr:colOff>6755</xdr:colOff>
      <xdr:row>18</xdr:row>
      <xdr:rowOff>160335</xdr:rowOff>
    </xdr:from>
    <xdr:to>
      <xdr:col>54</xdr:col>
      <xdr:colOff>1040</xdr:colOff>
      <xdr:row>20</xdr:row>
      <xdr:rowOff>44130</xdr:rowOff>
    </xdr:to>
    <xdr:cxnSp macro="">
      <xdr:nvCxnSpPr>
        <xdr:cNvPr id="1566" name="직선 연결선 1565">
          <a:extLst>
            <a:ext uri="{FF2B5EF4-FFF2-40B4-BE49-F238E27FC236}">
              <a16:creationId xmlns:a16="http://schemas.microsoft.com/office/drawing/2014/main" id="{00000000-0008-0000-1500-00001E060000}"/>
            </a:ext>
          </a:extLst>
        </xdr:cNvPr>
        <xdr:cNvCxnSpPr/>
      </xdr:nvCxnSpPr>
      <xdr:spPr>
        <a:xfrm flipV="1">
          <a:off x="11287848" y="4194490"/>
          <a:ext cx="230505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235697</xdr:colOff>
      <xdr:row>18</xdr:row>
      <xdr:rowOff>160823</xdr:rowOff>
    </xdr:from>
    <xdr:to>
      <xdr:col>52</xdr:col>
      <xdr:colOff>228077</xdr:colOff>
      <xdr:row>20</xdr:row>
      <xdr:rowOff>44618</xdr:rowOff>
    </xdr:to>
    <xdr:cxnSp macro="">
      <xdr:nvCxnSpPr>
        <xdr:cNvPr id="1567" name="직선 연결선 1566">
          <a:extLst>
            <a:ext uri="{FF2B5EF4-FFF2-40B4-BE49-F238E27FC236}">
              <a16:creationId xmlns:a16="http://schemas.microsoft.com/office/drawing/2014/main" id="{00000000-0008-0000-1500-00001F060000}"/>
            </a:ext>
          </a:extLst>
        </xdr:cNvPr>
        <xdr:cNvCxnSpPr/>
      </xdr:nvCxnSpPr>
      <xdr:spPr>
        <a:xfrm flipV="1">
          <a:off x="11040540" y="4194978"/>
          <a:ext cx="228600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182595</xdr:colOff>
      <xdr:row>19</xdr:row>
      <xdr:rowOff>170165</xdr:rowOff>
    </xdr:from>
    <xdr:to>
      <xdr:col>53</xdr:col>
      <xdr:colOff>102853</xdr:colOff>
      <xdr:row>20</xdr:row>
      <xdr:rowOff>78726</xdr:rowOff>
    </xdr:to>
    <xdr:grpSp>
      <xdr:nvGrpSpPr>
        <xdr:cNvPr id="1568" name="그룹 1567">
          <a:extLst>
            <a:ext uri="{FF2B5EF4-FFF2-40B4-BE49-F238E27FC236}">
              <a16:creationId xmlns:a16="http://schemas.microsoft.com/office/drawing/2014/main" id="{00000000-0008-0000-1500-000020060000}"/>
            </a:ext>
          </a:extLst>
        </xdr:cNvPr>
        <xdr:cNvGrpSpPr/>
      </xdr:nvGrpSpPr>
      <xdr:grpSpPr>
        <a:xfrm>
          <a:off x="12652408" y="3948415"/>
          <a:ext cx="142508" cy="99061"/>
          <a:chOff x="2372059" y="3845092"/>
          <a:chExt cx="185070" cy="115303"/>
        </a:xfrm>
      </xdr:grpSpPr>
      <xdr:sp macro="" textlink="">
        <xdr:nvSpPr>
          <xdr:cNvPr id="1569" name="직사각형 1568">
            <a:extLst>
              <a:ext uri="{FF2B5EF4-FFF2-40B4-BE49-F238E27FC236}">
                <a16:creationId xmlns:a16="http://schemas.microsoft.com/office/drawing/2014/main" id="{00000000-0008-0000-1500-000021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70" name="순서도: 연결자 1569">
            <a:extLst>
              <a:ext uri="{FF2B5EF4-FFF2-40B4-BE49-F238E27FC236}">
                <a16:creationId xmlns:a16="http://schemas.microsoft.com/office/drawing/2014/main" id="{00000000-0008-0000-1500-000022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71" name="순서도: 연결자 1570">
            <a:extLst>
              <a:ext uri="{FF2B5EF4-FFF2-40B4-BE49-F238E27FC236}">
                <a16:creationId xmlns:a16="http://schemas.microsoft.com/office/drawing/2014/main" id="{00000000-0008-0000-1500-000023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145211</xdr:colOff>
      <xdr:row>19</xdr:row>
      <xdr:rowOff>161342</xdr:rowOff>
    </xdr:from>
    <xdr:to>
      <xdr:col>52</xdr:col>
      <xdr:colOff>59757</xdr:colOff>
      <xdr:row>20</xdr:row>
      <xdr:rowOff>83238</xdr:rowOff>
    </xdr:to>
    <xdr:grpSp>
      <xdr:nvGrpSpPr>
        <xdr:cNvPr id="1572" name="그룹 1571">
          <a:extLst>
            <a:ext uri="{FF2B5EF4-FFF2-40B4-BE49-F238E27FC236}">
              <a16:creationId xmlns:a16="http://schemas.microsoft.com/office/drawing/2014/main" id="{00000000-0008-0000-1500-000024060000}"/>
            </a:ext>
          </a:extLst>
        </xdr:cNvPr>
        <xdr:cNvGrpSpPr/>
      </xdr:nvGrpSpPr>
      <xdr:grpSpPr>
        <a:xfrm>
          <a:off x="12376899" y="3939592"/>
          <a:ext cx="152671" cy="112396"/>
          <a:chOff x="2372059" y="3845092"/>
          <a:chExt cx="185070" cy="115303"/>
        </a:xfrm>
      </xdr:grpSpPr>
      <xdr:sp macro="" textlink="">
        <xdr:nvSpPr>
          <xdr:cNvPr id="1573" name="직사각형 1572">
            <a:extLst>
              <a:ext uri="{FF2B5EF4-FFF2-40B4-BE49-F238E27FC236}">
                <a16:creationId xmlns:a16="http://schemas.microsoft.com/office/drawing/2014/main" id="{00000000-0008-0000-1500-000025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74" name="순서도: 연결자 1573">
            <a:extLst>
              <a:ext uri="{FF2B5EF4-FFF2-40B4-BE49-F238E27FC236}">
                <a16:creationId xmlns:a16="http://schemas.microsoft.com/office/drawing/2014/main" id="{00000000-0008-0000-1500-000026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75" name="순서도: 연결자 1574">
            <a:extLst>
              <a:ext uri="{FF2B5EF4-FFF2-40B4-BE49-F238E27FC236}">
                <a16:creationId xmlns:a16="http://schemas.microsoft.com/office/drawing/2014/main" id="{00000000-0008-0000-1500-000027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163533</xdr:colOff>
      <xdr:row>21</xdr:row>
      <xdr:rowOff>92895</xdr:rowOff>
    </xdr:from>
    <xdr:to>
      <xdr:col>52</xdr:col>
      <xdr:colOff>89509</xdr:colOff>
      <xdr:row>22</xdr:row>
      <xdr:rowOff>74045</xdr:rowOff>
    </xdr:to>
    <xdr:grpSp>
      <xdr:nvGrpSpPr>
        <xdr:cNvPr id="1591" name="그룹 1590">
          <a:extLst>
            <a:ext uri="{FF2B5EF4-FFF2-40B4-BE49-F238E27FC236}">
              <a16:creationId xmlns:a16="http://schemas.microsoft.com/office/drawing/2014/main" id="{00000000-0008-0000-1500-000037060000}"/>
            </a:ext>
          </a:extLst>
        </xdr:cNvPr>
        <xdr:cNvGrpSpPr/>
      </xdr:nvGrpSpPr>
      <xdr:grpSpPr>
        <a:xfrm>
          <a:off x="12395221" y="4252145"/>
          <a:ext cx="164101" cy="171650"/>
          <a:chOff x="3850105" y="3654592"/>
          <a:chExt cx="185070" cy="195513"/>
        </a:xfrm>
      </xdr:grpSpPr>
      <xdr:sp macro="" textlink="">
        <xdr:nvSpPr>
          <xdr:cNvPr id="1592" name="직사각형 1591">
            <a:extLst>
              <a:ext uri="{FF2B5EF4-FFF2-40B4-BE49-F238E27FC236}">
                <a16:creationId xmlns:a16="http://schemas.microsoft.com/office/drawing/2014/main" id="{00000000-0008-0000-1500-000038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93" name="순서도: 연결자 1592">
            <a:extLst>
              <a:ext uri="{FF2B5EF4-FFF2-40B4-BE49-F238E27FC236}">
                <a16:creationId xmlns:a16="http://schemas.microsoft.com/office/drawing/2014/main" id="{00000000-0008-0000-1500-000039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94" name="순서도: 연결자 1593">
            <a:extLst>
              <a:ext uri="{FF2B5EF4-FFF2-40B4-BE49-F238E27FC236}">
                <a16:creationId xmlns:a16="http://schemas.microsoft.com/office/drawing/2014/main" id="{00000000-0008-0000-1500-00003A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95" name="순서도: 연결자 1594">
            <a:extLst>
              <a:ext uri="{FF2B5EF4-FFF2-40B4-BE49-F238E27FC236}">
                <a16:creationId xmlns:a16="http://schemas.microsoft.com/office/drawing/2014/main" id="{00000000-0008-0000-1500-00003B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96" name="순서도: 연결자 1595">
            <a:extLst>
              <a:ext uri="{FF2B5EF4-FFF2-40B4-BE49-F238E27FC236}">
                <a16:creationId xmlns:a16="http://schemas.microsoft.com/office/drawing/2014/main" id="{00000000-0008-0000-1500-00003C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157604</xdr:colOff>
      <xdr:row>21</xdr:row>
      <xdr:rowOff>68932</xdr:rowOff>
    </xdr:from>
    <xdr:to>
      <xdr:col>53</xdr:col>
      <xdr:colOff>83577</xdr:colOff>
      <xdr:row>22</xdr:row>
      <xdr:rowOff>69132</xdr:rowOff>
    </xdr:to>
    <xdr:grpSp>
      <xdr:nvGrpSpPr>
        <xdr:cNvPr id="1597" name="그룹 1596">
          <a:extLst>
            <a:ext uri="{FF2B5EF4-FFF2-40B4-BE49-F238E27FC236}">
              <a16:creationId xmlns:a16="http://schemas.microsoft.com/office/drawing/2014/main" id="{00000000-0008-0000-1500-00003D060000}"/>
            </a:ext>
          </a:extLst>
        </xdr:cNvPr>
        <xdr:cNvGrpSpPr/>
      </xdr:nvGrpSpPr>
      <xdr:grpSpPr>
        <a:xfrm>
          <a:off x="12627417" y="4228182"/>
          <a:ext cx="148223" cy="190700"/>
          <a:chOff x="3850105" y="3654592"/>
          <a:chExt cx="185070" cy="195513"/>
        </a:xfrm>
      </xdr:grpSpPr>
      <xdr:sp macro="" textlink="">
        <xdr:nvSpPr>
          <xdr:cNvPr id="1598" name="직사각형 1597">
            <a:extLst>
              <a:ext uri="{FF2B5EF4-FFF2-40B4-BE49-F238E27FC236}">
                <a16:creationId xmlns:a16="http://schemas.microsoft.com/office/drawing/2014/main" id="{00000000-0008-0000-1500-00003E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99" name="순서도: 연결자 1598">
            <a:extLst>
              <a:ext uri="{FF2B5EF4-FFF2-40B4-BE49-F238E27FC236}">
                <a16:creationId xmlns:a16="http://schemas.microsoft.com/office/drawing/2014/main" id="{00000000-0008-0000-1500-00003F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00" name="순서도: 연결자 1599">
            <a:extLst>
              <a:ext uri="{FF2B5EF4-FFF2-40B4-BE49-F238E27FC236}">
                <a16:creationId xmlns:a16="http://schemas.microsoft.com/office/drawing/2014/main" id="{00000000-0008-0000-1500-000040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01" name="순서도: 연결자 1600">
            <a:extLst>
              <a:ext uri="{FF2B5EF4-FFF2-40B4-BE49-F238E27FC236}">
                <a16:creationId xmlns:a16="http://schemas.microsoft.com/office/drawing/2014/main" id="{00000000-0008-0000-1500-000041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02" name="순서도: 연결자 1601">
            <a:extLst>
              <a:ext uri="{FF2B5EF4-FFF2-40B4-BE49-F238E27FC236}">
                <a16:creationId xmlns:a16="http://schemas.microsoft.com/office/drawing/2014/main" id="{00000000-0008-0000-1500-000042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36069</xdr:colOff>
      <xdr:row>20</xdr:row>
      <xdr:rowOff>99139</xdr:rowOff>
    </xdr:from>
    <xdr:to>
      <xdr:col>53</xdr:col>
      <xdr:colOff>19559</xdr:colOff>
      <xdr:row>21</xdr:row>
      <xdr:rowOff>192631</xdr:rowOff>
    </xdr:to>
    <xdr:cxnSp macro="">
      <xdr:nvCxnSpPr>
        <xdr:cNvPr id="1603" name="직선 연결선 1602">
          <a:extLst>
            <a:ext uri="{FF2B5EF4-FFF2-40B4-BE49-F238E27FC236}">
              <a16:creationId xmlns:a16="http://schemas.microsoft.com/office/drawing/2014/main" id="{00000000-0008-0000-1500-000043060000}"/>
            </a:ext>
          </a:extLst>
        </xdr:cNvPr>
        <xdr:cNvCxnSpPr/>
      </xdr:nvCxnSpPr>
      <xdr:spPr>
        <a:xfrm flipV="1">
          <a:off x="12505882" y="4575889"/>
          <a:ext cx="205740" cy="3157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205809</xdr:colOff>
      <xdr:row>20</xdr:row>
      <xdr:rowOff>68855</xdr:rowOff>
    </xdr:from>
    <xdr:to>
      <xdr:col>53</xdr:col>
      <xdr:colOff>15309</xdr:colOff>
      <xdr:row>21</xdr:row>
      <xdr:rowOff>162200</xdr:rowOff>
    </xdr:to>
    <xdr:cxnSp macro="">
      <xdr:nvCxnSpPr>
        <xdr:cNvPr id="1604" name="직선 연결선 1603">
          <a:extLst>
            <a:ext uri="{FF2B5EF4-FFF2-40B4-BE49-F238E27FC236}">
              <a16:creationId xmlns:a16="http://schemas.microsoft.com/office/drawing/2014/main" id="{00000000-0008-0000-1500-000044060000}"/>
            </a:ext>
          </a:extLst>
        </xdr:cNvPr>
        <xdr:cNvCxnSpPr/>
      </xdr:nvCxnSpPr>
      <xdr:spPr>
        <a:xfrm flipV="1">
          <a:off x="12437497" y="4545605"/>
          <a:ext cx="269875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210083</xdr:colOff>
      <xdr:row>20</xdr:row>
      <xdr:rowOff>19687</xdr:rowOff>
    </xdr:from>
    <xdr:to>
      <xdr:col>53</xdr:col>
      <xdr:colOff>206375</xdr:colOff>
      <xdr:row>21</xdr:row>
      <xdr:rowOff>115945</xdr:rowOff>
    </xdr:to>
    <xdr:cxnSp macro="">
      <xdr:nvCxnSpPr>
        <xdr:cNvPr id="1605" name="직선 연결선 1604">
          <a:extLst>
            <a:ext uri="{FF2B5EF4-FFF2-40B4-BE49-F238E27FC236}">
              <a16:creationId xmlns:a16="http://schemas.microsoft.com/office/drawing/2014/main" id="{00000000-0008-0000-1500-000045060000}"/>
            </a:ext>
          </a:extLst>
        </xdr:cNvPr>
        <xdr:cNvCxnSpPr/>
      </xdr:nvCxnSpPr>
      <xdr:spPr>
        <a:xfrm flipV="1">
          <a:off x="12679896" y="4496437"/>
          <a:ext cx="218542" cy="31850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47256</xdr:colOff>
      <xdr:row>20</xdr:row>
      <xdr:rowOff>17762</xdr:rowOff>
    </xdr:from>
    <xdr:to>
      <xdr:col>54</xdr:col>
      <xdr:colOff>47304</xdr:colOff>
      <xdr:row>21</xdr:row>
      <xdr:rowOff>130157</xdr:rowOff>
    </xdr:to>
    <xdr:cxnSp macro="">
      <xdr:nvCxnSpPr>
        <xdr:cNvPr id="1606" name="직선 연결선 1605">
          <a:extLst>
            <a:ext uri="{FF2B5EF4-FFF2-40B4-BE49-F238E27FC236}">
              <a16:creationId xmlns:a16="http://schemas.microsoft.com/office/drawing/2014/main" id="{00000000-0008-0000-1500-000046060000}"/>
            </a:ext>
          </a:extLst>
        </xdr:cNvPr>
        <xdr:cNvCxnSpPr/>
      </xdr:nvCxnSpPr>
      <xdr:spPr>
        <a:xfrm flipV="1">
          <a:off x="12739319" y="4494512"/>
          <a:ext cx="222298" cy="3346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206710</xdr:colOff>
      <xdr:row>62</xdr:row>
      <xdr:rowOff>158256</xdr:rowOff>
    </xdr:from>
    <xdr:to>
      <xdr:col>46</xdr:col>
      <xdr:colOff>197185</xdr:colOff>
      <xdr:row>64</xdr:row>
      <xdr:rowOff>18068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00000000-0008-0000-1500-000047060000}"/>
            </a:ext>
          </a:extLst>
        </xdr:cNvPr>
        <xdr:cNvCxnSpPr/>
      </xdr:nvCxnSpPr>
      <xdr:spPr>
        <a:xfrm flipV="1">
          <a:off x="11013458" y="5525911"/>
          <a:ext cx="226695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25491</xdr:colOff>
      <xdr:row>62</xdr:row>
      <xdr:rowOff>184145</xdr:rowOff>
    </xdr:from>
    <xdr:to>
      <xdr:col>47</xdr:col>
      <xdr:colOff>15966</xdr:colOff>
      <xdr:row>64</xdr:row>
      <xdr:rowOff>57145</xdr:rowOff>
    </xdr:to>
    <xdr:cxnSp macro="">
      <xdr:nvCxnSpPr>
        <xdr:cNvPr id="1608" name="직선 연결선 1607">
          <a:extLst>
            <a:ext uri="{FF2B5EF4-FFF2-40B4-BE49-F238E27FC236}">
              <a16:creationId xmlns:a16="http://schemas.microsoft.com/office/drawing/2014/main" id="{00000000-0008-0000-1500-000048060000}"/>
            </a:ext>
          </a:extLst>
        </xdr:cNvPr>
        <xdr:cNvCxnSpPr/>
      </xdr:nvCxnSpPr>
      <xdr:spPr>
        <a:xfrm flipV="1">
          <a:off x="11062744" y="5547990"/>
          <a:ext cx="236220" cy="3232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199383</xdr:colOff>
      <xdr:row>62</xdr:row>
      <xdr:rowOff>186587</xdr:rowOff>
    </xdr:from>
    <xdr:to>
      <xdr:col>47</xdr:col>
      <xdr:colOff>188637</xdr:colOff>
      <xdr:row>64</xdr:row>
      <xdr:rowOff>46399</xdr:rowOff>
    </xdr:to>
    <xdr:cxnSp macro="">
      <xdr:nvCxnSpPr>
        <xdr:cNvPr id="1609" name="직선 연결선 1608">
          <a:extLst>
            <a:ext uri="{FF2B5EF4-FFF2-40B4-BE49-F238E27FC236}">
              <a16:creationId xmlns:a16="http://schemas.microsoft.com/office/drawing/2014/main" id="{00000000-0008-0000-1500-000049060000}"/>
            </a:ext>
          </a:extLst>
        </xdr:cNvPr>
        <xdr:cNvCxnSpPr/>
      </xdr:nvCxnSpPr>
      <xdr:spPr>
        <a:xfrm flipV="1">
          <a:off x="11242351" y="5550432"/>
          <a:ext cx="225474" cy="308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38435</xdr:colOff>
      <xdr:row>62</xdr:row>
      <xdr:rowOff>189030</xdr:rowOff>
    </xdr:from>
    <xdr:to>
      <xdr:col>48</xdr:col>
      <xdr:colOff>30863</xdr:colOff>
      <xdr:row>64</xdr:row>
      <xdr:rowOff>62030</xdr:rowOff>
    </xdr:to>
    <xdr:cxnSp macro="">
      <xdr:nvCxnSpPr>
        <xdr:cNvPr id="1610" name="직선 연결선 1609">
          <a:extLst>
            <a:ext uri="{FF2B5EF4-FFF2-40B4-BE49-F238E27FC236}">
              <a16:creationId xmlns:a16="http://schemas.microsoft.com/office/drawing/2014/main" id="{00000000-0008-0000-1500-00004A060000}"/>
            </a:ext>
          </a:extLst>
        </xdr:cNvPr>
        <xdr:cNvCxnSpPr/>
      </xdr:nvCxnSpPr>
      <xdr:spPr>
        <a:xfrm flipV="1">
          <a:off x="11317623" y="5554780"/>
          <a:ext cx="228648" cy="31369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190704</xdr:colOff>
      <xdr:row>60</xdr:row>
      <xdr:rowOff>179469</xdr:rowOff>
    </xdr:from>
    <xdr:to>
      <xdr:col>46</xdr:col>
      <xdr:colOff>181179</xdr:colOff>
      <xdr:row>62</xdr:row>
      <xdr:rowOff>39281</xdr:rowOff>
    </xdr:to>
    <xdr:cxnSp macro="">
      <xdr:nvCxnSpPr>
        <xdr:cNvPr id="1611" name="직선 연결선 1610">
          <a:extLst>
            <a:ext uri="{FF2B5EF4-FFF2-40B4-BE49-F238E27FC236}">
              <a16:creationId xmlns:a16="http://schemas.microsoft.com/office/drawing/2014/main" id="{00000000-0008-0000-1500-00004B060000}"/>
            </a:ext>
          </a:extLst>
        </xdr:cNvPr>
        <xdr:cNvCxnSpPr/>
      </xdr:nvCxnSpPr>
      <xdr:spPr>
        <a:xfrm flipV="1">
          <a:off x="10993642" y="5098814"/>
          <a:ext cx="226695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27069</xdr:colOff>
      <xdr:row>60</xdr:row>
      <xdr:rowOff>193635</xdr:rowOff>
    </xdr:from>
    <xdr:to>
      <xdr:col>47</xdr:col>
      <xdr:colOff>17544</xdr:colOff>
      <xdr:row>62</xdr:row>
      <xdr:rowOff>66635</xdr:rowOff>
    </xdr:to>
    <xdr:cxnSp macro="">
      <xdr:nvCxnSpPr>
        <xdr:cNvPr id="1612" name="직선 연결선 1611">
          <a:extLst>
            <a:ext uri="{FF2B5EF4-FFF2-40B4-BE49-F238E27FC236}">
              <a16:creationId xmlns:a16="http://schemas.microsoft.com/office/drawing/2014/main" id="{00000000-0008-0000-1500-00004C060000}"/>
            </a:ext>
          </a:extLst>
        </xdr:cNvPr>
        <xdr:cNvCxnSpPr/>
      </xdr:nvCxnSpPr>
      <xdr:spPr>
        <a:xfrm flipV="1">
          <a:off x="11066227" y="5114885"/>
          <a:ext cx="234315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236130</xdr:colOff>
      <xdr:row>60</xdr:row>
      <xdr:rowOff>172631</xdr:rowOff>
    </xdr:from>
    <xdr:to>
      <xdr:col>47</xdr:col>
      <xdr:colOff>225384</xdr:colOff>
      <xdr:row>62</xdr:row>
      <xdr:rowOff>32443</xdr:rowOff>
    </xdr:to>
    <xdr:cxnSp macro="">
      <xdr:nvCxnSpPr>
        <xdr:cNvPr id="1613" name="직선 연결선 1612">
          <a:extLst>
            <a:ext uri="{FF2B5EF4-FFF2-40B4-BE49-F238E27FC236}">
              <a16:creationId xmlns:a16="http://schemas.microsoft.com/office/drawing/2014/main" id="{00000000-0008-0000-1500-00004D060000}"/>
            </a:ext>
          </a:extLst>
        </xdr:cNvPr>
        <xdr:cNvCxnSpPr/>
      </xdr:nvCxnSpPr>
      <xdr:spPr>
        <a:xfrm flipV="1">
          <a:off x="11279098" y="5090071"/>
          <a:ext cx="225474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63459</xdr:colOff>
      <xdr:row>60</xdr:row>
      <xdr:rowOff>169212</xdr:rowOff>
    </xdr:from>
    <xdr:to>
      <xdr:col>48</xdr:col>
      <xdr:colOff>55887</xdr:colOff>
      <xdr:row>62</xdr:row>
      <xdr:rowOff>42212</xdr:rowOff>
    </xdr:to>
    <xdr:cxnSp macro="">
      <xdr:nvCxnSpPr>
        <xdr:cNvPr id="1614" name="직선 연결선 1613">
          <a:extLst>
            <a:ext uri="{FF2B5EF4-FFF2-40B4-BE49-F238E27FC236}">
              <a16:creationId xmlns:a16="http://schemas.microsoft.com/office/drawing/2014/main" id="{00000000-0008-0000-1500-00004E060000}"/>
            </a:ext>
          </a:extLst>
        </xdr:cNvPr>
        <xdr:cNvCxnSpPr/>
      </xdr:nvCxnSpPr>
      <xdr:spPr>
        <a:xfrm flipV="1">
          <a:off x="11338837" y="5094272"/>
          <a:ext cx="238173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241390</xdr:colOff>
      <xdr:row>58</xdr:row>
      <xdr:rowOff>136523</xdr:rowOff>
    </xdr:from>
    <xdr:to>
      <xdr:col>47</xdr:col>
      <xdr:colOff>231865</xdr:colOff>
      <xdr:row>60</xdr:row>
      <xdr:rowOff>12698</xdr:rowOff>
    </xdr:to>
    <xdr:cxnSp macro="">
      <xdr:nvCxnSpPr>
        <xdr:cNvPr id="1615" name="직선 연결선 1614">
          <a:extLst>
            <a:ext uri="{FF2B5EF4-FFF2-40B4-BE49-F238E27FC236}">
              <a16:creationId xmlns:a16="http://schemas.microsoft.com/office/drawing/2014/main" id="{00000000-0008-0000-1500-00004F060000}"/>
            </a:ext>
          </a:extLst>
        </xdr:cNvPr>
        <xdr:cNvCxnSpPr/>
      </xdr:nvCxnSpPr>
      <xdr:spPr>
        <a:xfrm flipV="1">
          <a:off x="11276738" y="4609463"/>
          <a:ext cx="234315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226492</xdr:colOff>
      <xdr:row>58</xdr:row>
      <xdr:rowOff>137011</xdr:rowOff>
    </xdr:from>
    <xdr:to>
      <xdr:col>46</xdr:col>
      <xdr:colOff>216967</xdr:colOff>
      <xdr:row>60</xdr:row>
      <xdr:rowOff>13186</xdr:rowOff>
    </xdr:to>
    <xdr:cxnSp macro="">
      <xdr:nvCxnSpPr>
        <xdr:cNvPr id="1616" name="직선 연결선 1615">
          <a:extLst>
            <a:ext uri="{FF2B5EF4-FFF2-40B4-BE49-F238E27FC236}">
              <a16:creationId xmlns:a16="http://schemas.microsoft.com/office/drawing/2014/main" id="{00000000-0008-0000-1500-000050060000}"/>
            </a:ext>
          </a:extLst>
        </xdr:cNvPr>
        <xdr:cNvCxnSpPr/>
      </xdr:nvCxnSpPr>
      <xdr:spPr>
        <a:xfrm flipV="1">
          <a:off x="11029430" y="4609951"/>
          <a:ext cx="224790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171643</xdr:colOff>
      <xdr:row>63</xdr:row>
      <xdr:rowOff>94024</xdr:rowOff>
    </xdr:from>
    <xdr:to>
      <xdr:col>46</xdr:col>
      <xdr:colOff>95714</xdr:colOff>
      <xdr:row>64</xdr:row>
      <xdr:rowOff>96129</xdr:rowOff>
    </xdr:to>
    <xdr:grpSp>
      <xdr:nvGrpSpPr>
        <xdr:cNvPr id="1617" name="그룹 1616">
          <a:extLst>
            <a:ext uri="{FF2B5EF4-FFF2-40B4-BE49-F238E27FC236}">
              <a16:creationId xmlns:a16="http://schemas.microsoft.com/office/drawing/2014/main" id="{00000000-0008-0000-1500-000051060000}"/>
            </a:ext>
          </a:extLst>
        </xdr:cNvPr>
        <xdr:cNvGrpSpPr/>
      </xdr:nvGrpSpPr>
      <xdr:grpSpPr>
        <a:xfrm>
          <a:off x="10974581" y="12413024"/>
          <a:ext cx="162196" cy="192605"/>
          <a:chOff x="3850105" y="3654592"/>
          <a:chExt cx="185070" cy="195513"/>
        </a:xfrm>
      </xdr:grpSpPr>
      <xdr:sp macro="" textlink="">
        <xdr:nvSpPr>
          <xdr:cNvPr id="1618" name="직사각형 1617">
            <a:extLst>
              <a:ext uri="{FF2B5EF4-FFF2-40B4-BE49-F238E27FC236}">
                <a16:creationId xmlns:a16="http://schemas.microsoft.com/office/drawing/2014/main" id="{00000000-0008-0000-1500-000052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19" name="순서도: 연결자 1618">
            <a:extLst>
              <a:ext uri="{FF2B5EF4-FFF2-40B4-BE49-F238E27FC236}">
                <a16:creationId xmlns:a16="http://schemas.microsoft.com/office/drawing/2014/main" id="{00000000-0008-0000-1500-000053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20" name="순서도: 연결자 1619">
            <a:extLst>
              <a:ext uri="{FF2B5EF4-FFF2-40B4-BE49-F238E27FC236}">
                <a16:creationId xmlns:a16="http://schemas.microsoft.com/office/drawing/2014/main" id="{00000000-0008-0000-1500-000054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21" name="순서도: 연결자 1620">
            <a:extLst>
              <a:ext uri="{FF2B5EF4-FFF2-40B4-BE49-F238E27FC236}">
                <a16:creationId xmlns:a16="http://schemas.microsoft.com/office/drawing/2014/main" id="{00000000-0008-0000-1500-000055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22" name="순서도: 연결자 1621">
            <a:extLst>
              <a:ext uri="{FF2B5EF4-FFF2-40B4-BE49-F238E27FC236}">
                <a16:creationId xmlns:a16="http://schemas.microsoft.com/office/drawing/2014/main" id="{00000000-0008-0000-1500-000056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173334</xdr:colOff>
      <xdr:row>63</xdr:row>
      <xdr:rowOff>94826</xdr:rowOff>
    </xdr:from>
    <xdr:to>
      <xdr:col>47</xdr:col>
      <xdr:colOff>95497</xdr:colOff>
      <xdr:row>64</xdr:row>
      <xdr:rowOff>93121</xdr:rowOff>
    </xdr:to>
    <xdr:grpSp>
      <xdr:nvGrpSpPr>
        <xdr:cNvPr id="1623" name="그룹 1622">
          <a:extLst>
            <a:ext uri="{FF2B5EF4-FFF2-40B4-BE49-F238E27FC236}">
              <a16:creationId xmlns:a16="http://schemas.microsoft.com/office/drawing/2014/main" id="{00000000-0008-0000-1500-000057060000}"/>
            </a:ext>
          </a:extLst>
        </xdr:cNvPr>
        <xdr:cNvGrpSpPr/>
      </xdr:nvGrpSpPr>
      <xdr:grpSpPr>
        <a:xfrm>
          <a:off x="11214397" y="12413826"/>
          <a:ext cx="160288" cy="188795"/>
          <a:chOff x="3850105" y="3654592"/>
          <a:chExt cx="185070" cy="195513"/>
        </a:xfrm>
      </xdr:grpSpPr>
      <xdr:sp macro="" textlink="">
        <xdr:nvSpPr>
          <xdr:cNvPr id="1624" name="직사각형 1623">
            <a:extLst>
              <a:ext uri="{FF2B5EF4-FFF2-40B4-BE49-F238E27FC236}">
                <a16:creationId xmlns:a16="http://schemas.microsoft.com/office/drawing/2014/main" id="{00000000-0008-0000-1500-000058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25" name="순서도: 연결자 1624">
            <a:extLst>
              <a:ext uri="{FF2B5EF4-FFF2-40B4-BE49-F238E27FC236}">
                <a16:creationId xmlns:a16="http://schemas.microsoft.com/office/drawing/2014/main" id="{00000000-0008-0000-1500-000059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26" name="순서도: 연결자 1625">
            <a:extLst>
              <a:ext uri="{FF2B5EF4-FFF2-40B4-BE49-F238E27FC236}">
                <a16:creationId xmlns:a16="http://schemas.microsoft.com/office/drawing/2014/main" id="{00000000-0008-0000-1500-00005A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27" name="순서도: 연결자 1626">
            <a:extLst>
              <a:ext uri="{FF2B5EF4-FFF2-40B4-BE49-F238E27FC236}">
                <a16:creationId xmlns:a16="http://schemas.microsoft.com/office/drawing/2014/main" id="{00000000-0008-0000-1500-00005B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28" name="순서도: 연결자 1627">
            <a:extLst>
              <a:ext uri="{FF2B5EF4-FFF2-40B4-BE49-F238E27FC236}">
                <a16:creationId xmlns:a16="http://schemas.microsoft.com/office/drawing/2014/main" id="{00000000-0008-0000-1500-00005C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171788</xdr:colOff>
      <xdr:row>61</xdr:row>
      <xdr:rowOff>113215</xdr:rowOff>
    </xdr:from>
    <xdr:to>
      <xdr:col>46</xdr:col>
      <xdr:colOff>93954</xdr:colOff>
      <xdr:row>62</xdr:row>
      <xdr:rowOff>94365</xdr:rowOff>
    </xdr:to>
    <xdr:grpSp>
      <xdr:nvGrpSpPr>
        <xdr:cNvPr id="1629" name="그룹 1628">
          <a:extLst>
            <a:ext uri="{FF2B5EF4-FFF2-40B4-BE49-F238E27FC236}">
              <a16:creationId xmlns:a16="http://schemas.microsoft.com/office/drawing/2014/main" id="{00000000-0008-0000-1500-00005D060000}"/>
            </a:ext>
          </a:extLst>
        </xdr:cNvPr>
        <xdr:cNvGrpSpPr/>
      </xdr:nvGrpSpPr>
      <xdr:grpSpPr>
        <a:xfrm>
          <a:off x="10974726" y="12051215"/>
          <a:ext cx="160291" cy="171650"/>
          <a:chOff x="3850105" y="3654592"/>
          <a:chExt cx="185070" cy="195513"/>
        </a:xfrm>
      </xdr:grpSpPr>
      <xdr:sp macro="" textlink="">
        <xdr:nvSpPr>
          <xdr:cNvPr id="1630" name="직사각형 1629">
            <a:extLst>
              <a:ext uri="{FF2B5EF4-FFF2-40B4-BE49-F238E27FC236}">
                <a16:creationId xmlns:a16="http://schemas.microsoft.com/office/drawing/2014/main" id="{00000000-0008-0000-1500-00005E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31" name="순서도: 연결자 1630">
            <a:extLst>
              <a:ext uri="{FF2B5EF4-FFF2-40B4-BE49-F238E27FC236}">
                <a16:creationId xmlns:a16="http://schemas.microsoft.com/office/drawing/2014/main" id="{00000000-0008-0000-1500-00005F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32" name="순서도: 연결자 1631">
            <a:extLst>
              <a:ext uri="{FF2B5EF4-FFF2-40B4-BE49-F238E27FC236}">
                <a16:creationId xmlns:a16="http://schemas.microsoft.com/office/drawing/2014/main" id="{00000000-0008-0000-1500-000060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33" name="순서도: 연결자 1632">
            <a:extLst>
              <a:ext uri="{FF2B5EF4-FFF2-40B4-BE49-F238E27FC236}">
                <a16:creationId xmlns:a16="http://schemas.microsoft.com/office/drawing/2014/main" id="{00000000-0008-0000-1500-000061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34" name="순서도: 연결자 1633">
            <a:extLst>
              <a:ext uri="{FF2B5EF4-FFF2-40B4-BE49-F238E27FC236}">
                <a16:creationId xmlns:a16="http://schemas.microsoft.com/office/drawing/2014/main" id="{00000000-0008-0000-1500-000062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171574</xdr:colOff>
      <xdr:row>61</xdr:row>
      <xdr:rowOff>98777</xdr:rowOff>
    </xdr:from>
    <xdr:to>
      <xdr:col>47</xdr:col>
      <xdr:colOff>97547</xdr:colOff>
      <xdr:row>62</xdr:row>
      <xdr:rowOff>98977</xdr:rowOff>
    </xdr:to>
    <xdr:grpSp>
      <xdr:nvGrpSpPr>
        <xdr:cNvPr id="1635" name="그룹 1634">
          <a:extLst>
            <a:ext uri="{FF2B5EF4-FFF2-40B4-BE49-F238E27FC236}">
              <a16:creationId xmlns:a16="http://schemas.microsoft.com/office/drawing/2014/main" id="{00000000-0008-0000-1500-000063060000}"/>
            </a:ext>
          </a:extLst>
        </xdr:cNvPr>
        <xdr:cNvGrpSpPr/>
      </xdr:nvGrpSpPr>
      <xdr:grpSpPr>
        <a:xfrm>
          <a:off x="11212637" y="12036777"/>
          <a:ext cx="164098" cy="190700"/>
          <a:chOff x="3850105" y="3654592"/>
          <a:chExt cx="185070" cy="195513"/>
        </a:xfrm>
      </xdr:grpSpPr>
      <xdr:sp macro="" textlink="">
        <xdr:nvSpPr>
          <xdr:cNvPr id="1636" name="직사각형 1635">
            <a:extLst>
              <a:ext uri="{FF2B5EF4-FFF2-40B4-BE49-F238E27FC236}">
                <a16:creationId xmlns:a16="http://schemas.microsoft.com/office/drawing/2014/main" id="{00000000-0008-0000-1500-000064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37" name="순서도: 연결자 1636">
            <a:extLst>
              <a:ext uri="{FF2B5EF4-FFF2-40B4-BE49-F238E27FC236}">
                <a16:creationId xmlns:a16="http://schemas.microsoft.com/office/drawing/2014/main" id="{00000000-0008-0000-1500-000065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38" name="순서도: 연결자 1637">
            <a:extLst>
              <a:ext uri="{FF2B5EF4-FFF2-40B4-BE49-F238E27FC236}">
                <a16:creationId xmlns:a16="http://schemas.microsoft.com/office/drawing/2014/main" id="{00000000-0008-0000-1500-000066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39" name="순서도: 연결자 1638">
            <a:extLst>
              <a:ext uri="{FF2B5EF4-FFF2-40B4-BE49-F238E27FC236}">
                <a16:creationId xmlns:a16="http://schemas.microsoft.com/office/drawing/2014/main" id="{00000000-0008-0000-1500-000067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40" name="순서도: 연결자 1639">
            <a:extLst>
              <a:ext uri="{FF2B5EF4-FFF2-40B4-BE49-F238E27FC236}">
                <a16:creationId xmlns:a16="http://schemas.microsoft.com/office/drawing/2014/main" id="{00000000-0008-0000-1500-000068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169293</xdr:colOff>
      <xdr:row>65</xdr:row>
      <xdr:rowOff>130712</xdr:rowOff>
    </xdr:from>
    <xdr:to>
      <xdr:col>46</xdr:col>
      <xdr:colOff>91459</xdr:colOff>
      <xdr:row>66</xdr:row>
      <xdr:rowOff>18317</xdr:rowOff>
    </xdr:to>
    <xdr:grpSp>
      <xdr:nvGrpSpPr>
        <xdr:cNvPr id="1641" name="그룹 1640">
          <a:extLst>
            <a:ext uri="{FF2B5EF4-FFF2-40B4-BE49-F238E27FC236}">
              <a16:creationId xmlns:a16="http://schemas.microsoft.com/office/drawing/2014/main" id="{00000000-0008-0000-1500-000069060000}"/>
            </a:ext>
          </a:extLst>
        </xdr:cNvPr>
        <xdr:cNvGrpSpPr/>
      </xdr:nvGrpSpPr>
      <xdr:grpSpPr>
        <a:xfrm>
          <a:off x="10972231" y="12830712"/>
          <a:ext cx="160291" cy="78105"/>
          <a:chOff x="2372059" y="3845092"/>
          <a:chExt cx="185070" cy="115303"/>
        </a:xfrm>
      </xdr:grpSpPr>
      <xdr:sp macro="" textlink="">
        <xdr:nvSpPr>
          <xdr:cNvPr id="1642" name="직사각형 1641">
            <a:extLst>
              <a:ext uri="{FF2B5EF4-FFF2-40B4-BE49-F238E27FC236}">
                <a16:creationId xmlns:a16="http://schemas.microsoft.com/office/drawing/2014/main" id="{00000000-0008-0000-1500-00006A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43" name="순서도: 연결자 1642">
            <a:extLst>
              <a:ext uri="{FF2B5EF4-FFF2-40B4-BE49-F238E27FC236}">
                <a16:creationId xmlns:a16="http://schemas.microsoft.com/office/drawing/2014/main" id="{00000000-0008-0000-1500-00006B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44" name="순서도: 연결자 1643">
            <a:extLst>
              <a:ext uri="{FF2B5EF4-FFF2-40B4-BE49-F238E27FC236}">
                <a16:creationId xmlns:a16="http://schemas.microsoft.com/office/drawing/2014/main" id="{00000000-0008-0000-1500-00006C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171485</xdr:colOff>
      <xdr:row>59</xdr:row>
      <xdr:rowOff>150163</xdr:rowOff>
    </xdr:from>
    <xdr:to>
      <xdr:col>47</xdr:col>
      <xdr:colOff>97458</xdr:colOff>
      <xdr:row>60</xdr:row>
      <xdr:rowOff>58724</xdr:rowOff>
    </xdr:to>
    <xdr:grpSp>
      <xdr:nvGrpSpPr>
        <xdr:cNvPr id="1645" name="그룹 1644">
          <a:extLst>
            <a:ext uri="{FF2B5EF4-FFF2-40B4-BE49-F238E27FC236}">
              <a16:creationId xmlns:a16="http://schemas.microsoft.com/office/drawing/2014/main" id="{00000000-0008-0000-1500-00006D060000}"/>
            </a:ext>
          </a:extLst>
        </xdr:cNvPr>
        <xdr:cNvGrpSpPr/>
      </xdr:nvGrpSpPr>
      <xdr:grpSpPr>
        <a:xfrm>
          <a:off x="11212548" y="11707163"/>
          <a:ext cx="164098" cy="99061"/>
          <a:chOff x="2372059" y="3845092"/>
          <a:chExt cx="185070" cy="115303"/>
        </a:xfrm>
      </xdr:grpSpPr>
      <xdr:sp macro="" textlink="">
        <xdr:nvSpPr>
          <xdr:cNvPr id="1646" name="직사각형 1645">
            <a:extLst>
              <a:ext uri="{FF2B5EF4-FFF2-40B4-BE49-F238E27FC236}">
                <a16:creationId xmlns:a16="http://schemas.microsoft.com/office/drawing/2014/main" id="{00000000-0008-0000-1500-00006E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47" name="순서도: 연결자 1646">
            <a:extLst>
              <a:ext uri="{FF2B5EF4-FFF2-40B4-BE49-F238E27FC236}">
                <a16:creationId xmlns:a16="http://schemas.microsoft.com/office/drawing/2014/main" id="{00000000-0008-0000-1500-00006F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48" name="순서도: 연결자 1647">
            <a:extLst>
              <a:ext uri="{FF2B5EF4-FFF2-40B4-BE49-F238E27FC236}">
                <a16:creationId xmlns:a16="http://schemas.microsoft.com/office/drawing/2014/main" id="{00000000-0008-0000-1500-000070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46</xdr:col>
      <xdr:colOff>133385</xdr:colOff>
      <xdr:row>65</xdr:row>
      <xdr:rowOff>132618</xdr:rowOff>
    </xdr:from>
    <xdr:to>
      <xdr:col>47</xdr:col>
      <xdr:colOff>59358</xdr:colOff>
      <xdr:row>66</xdr:row>
      <xdr:rowOff>54513</xdr:rowOff>
    </xdr:to>
    <xdr:grpSp>
      <xdr:nvGrpSpPr>
        <xdr:cNvPr id="1649" name="그룹 1648">
          <a:extLst>
            <a:ext uri="{FF2B5EF4-FFF2-40B4-BE49-F238E27FC236}">
              <a16:creationId xmlns:a16="http://schemas.microsoft.com/office/drawing/2014/main" id="{00000000-0008-0000-1500-000071060000}"/>
            </a:ext>
          </a:extLst>
        </xdr:cNvPr>
        <xdr:cNvGrpSpPr/>
      </xdr:nvGrpSpPr>
      <xdr:grpSpPr>
        <a:xfrm>
          <a:off x="11174448" y="12832618"/>
          <a:ext cx="164098" cy="112395"/>
          <a:chOff x="2372059" y="3845092"/>
          <a:chExt cx="185070" cy="115303"/>
        </a:xfrm>
      </xdr:grpSpPr>
      <xdr:sp macro="" textlink="">
        <xdr:nvSpPr>
          <xdr:cNvPr id="1650" name="직사각형 1649">
            <a:extLst>
              <a:ext uri="{FF2B5EF4-FFF2-40B4-BE49-F238E27FC236}">
                <a16:creationId xmlns:a16="http://schemas.microsoft.com/office/drawing/2014/main" id="{00000000-0008-0000-1500-000072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51" name="순서도: 연결자 1650">
            <a:extLst>
              <a:ext uri="{FF2B5EF4-FFF2-40B4-BE49-F238E27FC236}">
                <a16:creationId xmlns:a16="http://schemas.microsoft.com/office/drawing/2014/main" id="{00000000-0008-0000-1500-000073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52" name="순서도: 연결자 1651">
            <a:extLst>
              <a:ext uri="{FF2B5EF4-FFF2-40B4-BE49-F238E27FC236}">
                <a16:creationId xmlns:a16="http://schemas.microsoft.com/office/drawing/2014/main" id="{00000000-0008-0000-1500-000074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136006</xdr:colOff>
      <xdr:row>59</xdr:row>
      <xdr:rowOff>131815</xdr:rowOff>
    </xdr:from>
    <xdr:to>
      <xdr:col>46</xdr:col>
      <xdr:colOff>56267</xdr:colOff>
      <xdr:row>60</xdr:row>
      <xdr:rowOff>53711</xdr:rowOff>
    </xdr:to>
    <xdr:grpSp>
      <xdr:nvGrpSpPr>
        <xdr:cNvPr id="1653" name="그룹 1652">
          <a:extLst>
            <a:ext uri="{FF2B5EF4-FFF2-40B4-BE49-F238E27FC236}">
              <a16:creationId xmlns:a16="http://schemas.microsoft.com/office/drawing/2014/main" id="{00000000-0008-0000-1500-000075060000}"/>
            </a:ext>
          </a:extLst>
        </xdr:cNvPr>
        <xdr:cNvGrpSpPr/>
      </xdr:nvGrpSpPr>
      <xdr:grpSpPr>
        <a:xfrm>
          <a:off x="10938944" y="11688815"/>
          <a:ext cx="158386" cy="112396"/>
          <a:chOff x="2372059" y="3845092"/>
          <a:chExt cx="185070" cy="115303"/>
        </a:xfrm>
      </xdr:grpSpPr>
      <xdr:sp macro="" textlink="">
        <xdr:nvSpPr>
          <xdr:cNvPr id="1654" name="직사각형 1653">
            <a:extLst>
              <a:ext uri="{FF2B5EF4-FFF2-40B4-BE49-F238E27FC236}">
                <a16:creationId xmlns:a16="http://schemas.microsoft.com/office/drawing/2014/main" id="{00000000-0008-0000-1500-000076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55" name="순서도: 연결자 1654">
            <a:extLst>
              <a:ext uri="{FF2B5EF4-FFF2-40B4-BE49-F238E27FC236}">
                <a16:creationId xmlns:a16="http://schemas.microsoft.com/office/drawing/2014/main" id="{00000000-0008-0000-1500-000077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56" name="순서도: 연결자 1655">
            <a:extLst>
              <a:ext uri="{FF2B5EF4-FFF2-40B4-BE49-F238E27FC236}">
                <a16:creationId xmlns:a16="http://schemas.microsoft.com/office/drawing/2014/main" id="{00000000-0008-0000-1500-000078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47</xdr:col>
      <xdr:colOff>40410</xdr:colOff>
      <xdr:row>57</xdr:row>
      <xdr:rowOff>74928</xdr:rowOff>
    </xdr:from>
    <xdr:to>
      <xdr:col>48</xdr:col>
      <xdr:colOff>32790</xdr:colOff>
      <xdr:row>58</xdr:row>
      <xdr:rowOff>180973</xdr:rowOff>
    </xdr:to>
    <xdr:cxnSp macro="">
      <xdr:nvCxnSpPr>
        <xdr:cNvPr id="1657" name="직선 연결선 1656">
          <a:extLst>
            <a:ext uri="{FF2B5EF4-FFF2-40B4-BE49-F238E27FC236}">
              <a16:creationId xmlns:a16="http://schemas.microsoft.com/office/drawing/2014/main" id="{00000000-0008-0000-1500-000079060000}"/>
            </a:ext>
          </a:extLst>
        </xdr:cNvPr>
        <xdr:cNvCxnSpPr/>
      </xdr:nvCxnSpPr>
      <xdr:spPr>
        <a:xfrm flipV="1">
          <a:off x="11319598" y="12806678"/>
          <a:ext cx="230505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189977</xdr:colOff>
      <xdr:row>57</xdr:row>
      <xdr:rowOff>107166</xdr:rowOff>
    </xdr:from>
    <xdr:to>
      <xdr:col>46</xdr:col>
      <xdr:colOff>180452</xdr:colOff>
      <xdr:row>58</xdr:row>
      <xdr:rowOff>213211</xdr:rowOff>
    </xdr:to>
    <xdr:cxnSp macro="">
      <xdr:nvCxnSpPr>
        <xdr:cNvPr id="1658" name="직선 연결선 1657">
          <a:extLst>
            <a:ext uri="{FF2B5EF4-FFF2-40B4-BE49-F238E27FC236}">
              <a16:creationId xmlns:a16="http://schemas.microsoft.com/office/drawing/2014/main" id="{00000000-0008-0000-1500-00007A060000}"/>
            </a:ext>
          </a:extLst>
        </xdr:cNvPr>
        <xdr:cNvCxnSpPr/>
      </xdr:nvCxnSpPr>
      <xdr:spPr>
        <a:xfrm flipV="1">
          <a:off x="10992915" y="12838916"/>
          <a:ext cx="228600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198470</xdr:colOff>
      <xdr:row>58</xdr:row>
      <xdr:rowOff>199693</xdr:rowOff>
    </xdr:from>
    <xdr:to>
      <xdr:col>47</xdr:col>
      <xdr:colOff>116823</xdr:colOff>
      <xdr:row>59</xdr:row>
      <xdr:rowOff>98729</xdr:rowOff>
    </xdr:to>
    <xdr:grpSp>
      <xdr:nvGrpSpPr>
        <xdr:cNvPr id="1659" name="그룹 1658">
          <a:extLst>
            <a:ext uri="{FF2B5EF4-FFF2-40B4-BE49-F238E27FC236}">
              <a16:creationId xmlns:a16="http://schemas.microsoft.com/office/drawing/2014/main" id="{00000000-0008-0000-1500-00007B060000}"/>
            </a:ext>
          </a:extLst>
        </xdr:cNvPr>
        <xdr:cNvGrpSpPr/>
      </xdr:nvGrpSpPr>
      <xdr:grpSpPr>
        <a:xfrm>
          <a:off x="11239533" y="11556668"/>
          <a:ext cx="156478" cy="99061"/>
          <a:chOff x="2372059" y="3845092"/>
          <a:chExt cx="185070" cy="115303"/>
        </a:xfrm>
      </xdr:grpSpPr>
      <xdr:sp macro="" textlink="">
        <xdr:nvSpPr>
          <xdr:cNvPr id="1660" name="직사각형 1659">
            <a:extLst>
              <a:ext uri="{FF2B5EF4-FFF2-40B4-BE49-F238E27FC236}">
                <a16:creationId xmlns:a16="http://schemas.microsoft.com/office/drawing/2014/main" id="{00000000-0008-0000-1500-00007C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61" name="순서도: 연결자 1660">
            <a:extLst>
              <a:ext uri="{FF2B5EF4-FFF2-40B4-BE49-F238E27FC236}">
                <a16:creationId xmlns:a16="http://schemas.microsoft.com/office/drawing/2014/main" id="{00000000-0008-0000-1500-00007D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62" name="순서도: 연결자 1661">
            <a:extLst>
              <a:ext uri="{FF2B5EF4-FFF2-40B4-BE49-F238E27FC236}">
                <a16:creationId xmlns:a16="http://schemas.microsoft.com/office/drawing/2014/main" id="{00000000-0008-0000-1500-00007E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45</xdr:col>
      <xdr:colOff>153149</xdr:colOff>
      <xdr:row>58</xdr:row>
      <xdr:rowOff>165152</xdr:rowOff>
    </xdr:from>
    <xdr:to>
      <xdr:col>46</xdr:col>
      <xdr:colOff>61980</xdr:colOff>
      <xdr:row>59</xdr:row>
      <xdr:rowOff>87048</xdr:rowOff>
    </xdr:to>
    <xdr:grpSp>
      <xdr:nvGrpSpPr>
        <xdr:cNvPr id="1663" name="그룹 1662">
          <a:extLst>
            <a:ext uri="{FF2B5EF4-FFF2-40B4-BE49-F238E27FC236}">
              <a16:creationId xmlns:a16="http://schemas.microsoft.com/office/drawing/2014/main" id="{00000000-0008-0000-1500-00007F060000}"/>
            </a:ext>
          </a:extLst>
        </xdr:cNvPr>
        <xdr:cNvGrpSpPr/>
      </xdr:nvGrpSpPr>
      <xdr:grpSpPr>
        <a:xfrm>
          <a:off x="10956087" y="11531652"/>
          <a:ext cx="146956" cy="112396"/>
          <a:chOff x="2372059" y="3845092"/>
          <a:chExt cx="185070" cy="115303"/>
        </a:xfrm>
      </xdr:grpSpPr>
      <xdr:sp macro="" textlink="">
        <xdr:nvSpPr>
          <xdr:cNvPr id="1664" name="직사각형 1663">
            <a:extLst>
              <a:ext uri="{FF2B5EF4-FFF2-40B4-BE49-F238E27FC236}">
                <a16:creationId xmlns:a16="http://schemas.microsoft.com/office/drawing/2014/main" id="{00000000-0008-0000-1500-000080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65" name="순서도: 연결자 1664">
            <a:extLst>
              <a:ext uri="{FF2B5EF4-FFF2-40B4-BE49-F238E27FC236}">
                <a16:creationId xmlns:a16="http://schemas.microsoft.com/office/drawing/2014/main" id="{00000000-0008-0000-1500-000081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66" name="순서도: 연결자 1665">
            <a:extLst>
              <a:ext uri="{FF2B5EF4-FFF2-40B4-BE49-F238E27FC236}">
                <a16:creationId xmlns:a16="http://schemas.microsoft.com/office/drawing/2014/main" id="{00000000-0008-0000-1500-000082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206710</xdr:colOff>
      <xdr:row>62</xdr:row>
      <xdr:rowOff>158256</xdr:rowOff>
    </xdr:from>
    <xdr:to>
      <xdr:col>52</xdr:col>
      <xdr:colOff>197185</xdr:colOff>
      <xdr:row>64</xdr:row>
      <xdr:rowOff>18068</xdr:rowOff>
    </xdr:to>
    <xdr:cxnSp macro="">
      <xdr:nvCxnSpPr>
        <xdr:cNvPr id="1667" name="직선 연결선 1666">
          <a:extLst>
            <a:ext uri="{FF2B5EF4-FFF2-40B4-BE49-F238E27FC236}">
              <a16:creationId xmlns:a16="http://schemas.microsoft.com/office/drawing/2014/main" id="{00000000-0008-0000-1500-000083060000}"/>
            </a:ext>
          </a:extLst>
        </xdr:cNvPr>
        <xdr:cNvCxnSpPr/>
      </xdr:nvCxnSpPr>
      <xdr:spPr>
        <a:xfrm flipV="1">
          <a:off x="12442208" y="5525911"/>
          <a:ext cx="226695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25491</xdr:colOff>
      <xdr:row>62</xdr:row>
      <xdr:rowOff>184145</xdr:rowOff>
    </xdr:from>
    <xdr:to>
      <xdr:col>53</xdr:col>
      <xdr:colOff>15966</xdr:colOff>
      <xdr:row>64</xdr:row>
      <xdr:rowOff>57145</xdr:rowOff>
    </xdr:to>
    <xdr:cxnSp macro="">
      <xdr:nvCxnSpPr>
        <xdr:cNvPr id="1668" name="직선 연결선 1667">
          <a:extLst>
            <a:ext uri="{FF2B5EF4-FFF2-40B4-BE49-F238E27FC236}">
              <a16:creationId xmlns:a16="http://schemas.microsoft.com/office/drawing/2014/main" id="{00000000-0008-0000-1500-000084060000}"/>
            </a:ext>
          </a:extLst>
        </xdr:cNvPr>
        <xdr:cNvCxnSpPr/>
      </xdr:nvCxnSpPr>
      <xdr:spPr>
        <a:xfrm flipV="1">
          <a:off x="12491494" y="5547990"/>
          <a:ext cx="220345" cy="3232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199383</xdr:colOff>
      <xdr:row>62</xdr:row>
      <xdr:rowOff>186587</xdr:rowOff>
    </xdr:from>
    <xdr:to>
      <xdr:col>53</xdr:col>
      <xdr:colOff>188637</xdr:colOff>
      <xdr:row>64</xdr:row>
      <xdr:rowOff>46399</xdr:rowOff>
    </xdr:to>
    <xdr:cxnSp macro="">
      <xdr:nvCxnSpPr>
        <xdr:cNvPr id="1669" name="직선 연결선 1668">
          <a:extLst>
            <a:ext uri="{FF2B5EF4-FFF2-40B4-BE49-F238E27FC236}">
              <a16:creationId xmlns:a16="http://schemas.microsoft.com/office/drawing/2014/main" id="{00000000-0008-0000-1500-000085060000}"/>
            </a:ext>
          </a:extLst>
        </xdr:cNvPr>
        <xdr:cNvCxnSpPr/>
      </xdr:nvCxnSpPr>
      <xdr:spPr>
        <a:xfrm flipV="1">
          <a:off x="12671101" y="5550432"/>
          <a:ext cx="209599" cy="308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38435</xdr:colOff>
      <xdr:row>62</xdr:row>
      <xdr:rowOff>189030</xdr:rowOff>
    </xdr:from>
    <xdr:to>
      <xdr:col>54</xdr:col>
      <xdr:colOff>30863</xdr:colOff>
      <xdr:row>64</xdr:row>
      <xdr:rowOff>62030</xdr:rowOff>
    </xdr:to>
    <xdr:cxnSp macro="">
      <xdr:nvCxnSpPr>
        <xdr:cNvPr id="1670" name="직선 연결선 1669">
          <a:extLst>
            <a:ext uri="{FF2B5EF4-FFF2-40B4-BE49-F238E27FC236}">
              <a16:creationId xmlns:a16="http://schemas.microsoft.com/office/drawing/2014/main" id="{00000000-0008-0000-1500-000086060000}"/>
            </a:ext>
          </a:extLst>
        </xdr:cNvPr>
        <xdr:cNvCxnSpPr/>
      </xdr:nvCxnSpPr>
      <xdr:spPr>
        <a:xfrm flipV="1">
          <a:off x="12730498" y="5554780"/>
          <a:ext cx="212773" cy="31369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190704</xdr:colOff>
      <xdr:row>60</xdr:row>
      <xdr:rowOff>179469</xdr:rowOff>
    </xdr:from>
    <xdr:to>
      <xdr:col>52</xdr:col>
      <xdr:colOff>181179</xdr:colOff>
      <xdr:row>62</xdr:row>
      <xdr:rowOff>39281</xdr:rowOff>
    </xdr:to>
    <xdr:cxnSp macro="">
      <xdr:nvCxnSpPr>
        <xdr:cNvPr id="1671" name="직선 연결선 1670">
          <a:extLst>
            <a:ext uri="{FF2B5EF4-FFF2-40B4-BE49-F238E27FC236}">
              <a16:creationId xmlns:a16="http://schemas.microsoft.com/office/drawing/2014/main" id="{00000000-0008-0000-1500-000087060000}"/>
            </a:ext>
          </a:extLst>
        </xdr:cNvPr>
        <xdr:cNvCxnSpPr/>
      </xdr:nvCxnSpPr>
      <xdr:spPr>
        <a:xfrm flipV="1">
          <a:off x="12422392" y="5098814"/>
          <a:ext cx="226695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27069</xdr:colOff>
      <xdr:row>60</xdr:row>
      <xdr:rowOff>193635</xdr:rowOff>
    </xdr:from>
    <xdr:to>
      <xdr:col>53</xdr:col>
      <xdr:colOff>17544</xdr:colOff>
      <xdr:row>62</xdr:row>
      <xdr:rowOff>66635</xdr:rowOff>
    </xdr:to>
    <xdr:cxnSp macro="">
      <xdr:nvCxnSpPr>
        <xdr:cNvPr id="1672" name="직선 연결선 1671">
          <a:extLst>
            <a:ext uri="{FF2B5EF4-FFF2-40B4-BE49-F238E27FC236}">
              <a16:creationId xmlns:a16="http://schemas.microsoft.com/office/drawing/2014/main" id="{00000000-0008-0000-1500-000088060000}"/>
            </a:ext>
          </a:extLst>
        </xdr:cNvPr>
        <xdr:cNvCxnSpPr/>
      </xdr:nvCxnSpPr>
      <xdr:spPr>
        <a:xfrm flipV="1">
          <a:off x="12494977" y="5114885"/>
          <a:ext cx="218440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236130</xdr:colOff>
      <xdr:row>60</xdr:row>
      <xdr:rowOff>172631</xdr:rowOff>
    </xdr:from>
    <xdr:to>
      <xdr:col>53</xdr:col>
      <xdr:colOff>225384</xdr:colOff>
      <xdr:row>62</xdr:row>
      <xdr:rowOff>32443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00000000-0008-0000-1500-000089060000}"/>
            </a:ext>
          </a:extLst>
        </xdr:cNvPr>
        <xdr:cNvCxnSpPr/>
      </xdr:nvCxnSpPr>
      <xdr:spPr>
        <a:xfrm flipV="1">
          <a:off x="12688798" y="5090071"/>
          <a:ext cx="219124" cy="3062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63459</xdr:colOff>
      <xdr:row>60</xdr:row>
      <xdr:rowOff>169212</xdr:rowOff>
    </xdr:from>
    <xdr:to>
      <xdr:col>54</xdr:col>
      <xdr:colOff>55887</xdr:colOff>
      <xdr:row>62</xdr:row>
      <xdr:rowOff>42212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00000000-0008-0000-1500-00008A060000}"/>
            </a:ext>
          </a:extLst>
        </xdr:cNvPr>
        <xdr:cNvCxnSpPr/>
      </xdr:nvCxnSpPr>
      <xdr:spPr>
        <a:xfrm flipV="1">
          <a:off x="12751712" y="5094272"/>
          <a:ext cx="222298" cy="3155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167833</xdr:colOff>
      <xdr:row>63</xdr:row>
      <xdr:rowOff>97834</xdr:rowOff>
    </xdr:from>
    <xdr:to>
      <xdr:col>52</xdr:col>
      <xdr:colOff>91904</xdr:colOff>
      <xdr:row>64</xdr:row>
      <xdr:rowOff>92319</xdr:rowOff>
    </xdr:to>
    <xdr:grpSp>
      <xdr:nvGrpSpPr>
        <xdr:cNvPr id="1675" name="그룹 1674">
          <a:extLst>
            <a:ext uri="{FF2B5EF4-FFF2-40B4-BE49-F238E27FC236}">
              <a16:creationId xmlns:a16="http://schemas.microsoft.com/office/drawing/2014/main" id="{00000000-0008-0000-1500-00008B060000}"/>
            </a:ext>
          </a:extLst>
        </xdr:cNvPr>
        <xdr:cNvGrpSpPr/>
      </xdr:nvGrpSpPr>
      <xdr:grpSpPr>
        <a:xfrm>
          <a:off x="12399521" y="12416834"/>
          <a:ext cx="162196" cy="184985"/>
          <a:chOff x="3850105" y="3654592"/>
          <a:chExt cx="185070" cy="195513"/>
        </a:xfrm>
      </xdr:grpSpPr>
      <xdr:sp macro="" textlink="">
        <xdr:nvSpPr>
          <xdr:cNvPr id="1676" name="직사각형 1675">
            <a:extLst>
              <a:ext uri="{FF2B5EF4-FFF2-40B4-BE49-F238E27FC236}">
                <a16:creationId xmlns:a16="http://schemas.microsoft.com/office/drawing/2014/main" id="{00000000-0008-0000-1500-00008C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77" name="순서도: 연결자 1676">
            <a:extLst>
              <a:ext uri="{FF2B5EF4-FFF2-40B4-BE49-F238E27FC236}">
                <a16:creationId xmlns:a16="http://schemas.microsoft.com/office/drawing/2014/main" id="{00000000-0008-0000-1500-00008D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78" name="순서도: 연결자 1677">
            <a:extLst>
              <a:ext uri="{FF2B5EF4-FFF2-40B4-BE49-F238E27FC236}">
                <a16:creationId xmlns:a16="http://schemas.microsoft.com/office/drawing/2014/main" id="{00000000-0008-0000-1500-00008E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79" name="순서도: 연결자 1678">
            <a:extLst>
              <a:ext uri="{FF2B5EF4-FFF2-40B4-BE49-F238E27FC236}">
                <a16:creationId xmlns:a16="http://schemas.microsoft.com/office/drawing/2014/main" id="{00000000-0008-0000-1500-00008F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80" name="순서도: 연결자 1679">
            <a:extLst>
              <a:ext uri="{FF2B5EF4-FFF2-40B4-BE49-F238E27FC236}">
                <a16:creationId xmlns:a16="http://schemas.microsoft.com/office/drawing/2014/main" id="{00000000-0008-0000-1500-000090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169524</xdr:colOff>
      <xdr:row>63</xdr:row>
      <xdr:rowOff>98636</xdr:rowOff>
    </xdr:from>
    <xdr:to>
      <xdr:col>53</xdr:col>
      <xdr:colOff>91687</xdr:colOff>
      <xdr:row>64</xdr:row>
      <xdr:rowOff>96931</xdr:rowOff>
    </xdr:to>
    <xdr:grpSp>
      <xdr:nvGrpSpPr>
        <xdr:cNvPr id="1681" name="그룹 1680">
          <a:extLst>
            <a:ext uri="{FF2B5EF4-FFF2-40B4-BE49-F238E27FC236}">
              <a16:creationId xmlns:a16="http://schemas.microsoft.com/office/drawing/2014/main" id="{00000000-0008-0000-1500-000091060000}"/>
            </a:ext>
          </a:extLst>
        </xdr:cNvPr>
        <xdr:cNvGrpSpPr/>
      </xdr:nvGrpSpPr>
      <xdr:grpSpPr>
        <a:xfrm>
          <a:off x="12639337" y="12417636"/>
          <a:ext cx="144413" cy="188795"/>
          <a:chOff x="3850105" y="3654592"/>
          <a:chExt cx="185070" cy="195513"/>
        </a:xfrm>
      </xdr:grpSpPr>
      <xdr:sp macro="" textlink="">
        <xdr:nvSpPr>
          <xdr:cNvPr id="1682" name="직사각형 1681">
            <a:extLst>
              <a:ext uri="{FF2B5EF4-FFF2-40B4-BE49-F238E27FC236}">
                <a16:creationId xmlns:a16="http://schemas.microsoft.com/office/drawing/2014/main" id="{00000000-0008-0000-1500-000092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83" name="순서도: 연결자 1682">
            <a:extLst>
              <a:ext uri="{FF2B5EF4-FFF2-40B4-BE49-F238E27FC236}">
                <a16:creationId xmlns:a16="http://schemas.microsoft.com/office/drawing/2014/main" id="{00000000-0008-0000-1500-000093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84" name="순서도: 연결자 1683">
            <a:extLst>
              <a:ext uri="{FF2B5EF4-FFF2-40B4-BE49-F238E27FC236}">
                <a16:creationId xmlns:a16="http://schemas.microsoft.com/office/drawing/2014/main" id="{00000000-0008-0000-1500-000094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85" name="순서도: 연결자 1684">
            <a:extLst>
              <a:ext uri="{FF2B5EF4-FFF2-40B4-BE49-F238E27FC236}">
                <a16:creationId xmlns:a16="http://schemas.microsoft.com/office/drawing/2014/main" id="{00000000-0008-0000-1500-000095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86" name="순서도: 연결자 1685">
            <a:extLst>
              <a:ext uri="{FF2B5EF4-FFF2-40B4-BE49-F238E27FC236}">
                <a16:creationId xmlns:a16="http://schemas.microsoft.com/office/drawing/2014/main" id="{00000000-0008-0000-1500-000096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167978</xdr:colOff>
      <xdr:row>61</xdr:row>
      <xdr:rowOff>113215</xdr:rowOff>
    </xdr:from>
    <xdr:to>
      <xdr:col>52</xdr:col>
      <xdr:colOff>97764</xdr:colOff>
      <xdr:row>62</xdr:row>
      <xdr:rowOff>98175</xdr:rowOff>
    </xdr:to>
    <xdr:grpSp>
      <xdr:nvGrpSpPr>
        <xdr:cNvPr id="1687" name="그룹 1686">
          <a:extLst>
            <a:ext uri="{FF2B5EF4-FFF2-40B4-BE49-F238E27FC236}">
              <a16:creationId xmlns:a16="http://schemas.microsoft.com/office/drawing/2014/main" id="{00000000-0008-0000-1500-000097060000}"/>
            </a:ext>
          </a:extLst>
        </xdr:cNvPr>
        <xdr:cNvGrpSpPr/>
      </xdr:nvGrpSpPr>
      <xdr:grpSpPr>
        <a:xfrm>
          <a:off x="12399666" y="12051215"/>
          <a:ext cx="167911" cy="175460"/>
          <a:chOff x="3850105" y="3654592"/>
          <a:chExt cx="185070" cy="195513"/>
        </a:xfrm>
      </xdr:grpSpPr>
      <xdr:sp macro="" textlink="">
        <xdr:nvSpPr>
          <xdr:cNvPr id="1688" name="직사각형 1687">
            <a:extLst>
              <a:ext uri="{FF2B5EF4-FFF2-40B4-BE49-F238E27FC236}">
                <a16:creationId xmlns:a16="http://schemas.microsoft.com/office/drawing/2014/main" id="{00000000-0008-0000-1500-000098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89" name="순서도: 연결자 1688">
            <a:extLst>
              <a:ext uri="{FF2B5EF4-FFF2-40B4-BE49-F238E27FC236}">
                <a16:creationId xmlns:a16="http://schemas.microsoft.com/office/drawing/2014/main" id="{00000000-0008-0000-1500-000099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90" name="순서도: 연결자 1689">
            <a:extLst>
              <a:ext uri="{FF2B5EF4-FFF2-40B4-BE49-F238E27FC236}">
                <a16:creationId xmlns:a16="http://schemas.microsoft.com/office/drawing/2014/main" id="{00000000-0008-0000-1500-00009A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91" name="순서도: 연결자 1690">
            <a:extLst>
              <a:ext uri="{FF2B5EF4-FFF2-40B4-BE49-F238E27FC236}">
                <a16:creationId xmlns:a16="http://schemas.microsoft.com/office/drawing/2014/main" id="{00000000-0008-0000-1500-00009B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92" name="순서도: 연결자 1691">
            <a:extLst>
              <a:ext uri="{FF2B5EF4-FFF2-40B4-BE49-F238E27FC236}">
                <a16:creationId xmlns:a16="http://schemas.microsoft.com/office/drawing/2014/main" id="{00000000-0008-0000-1500-00009C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167764</xdr:colOff>
      <xdr:row>61</xdr:row>
      <xdr:rowOff>94967</xdr:rowOff>
    </xdr:from>
    <xdr:to>
      <xdr:col>53</xdr:col>
      <xdr:colOff>93737</xdr:colOff>
      <xdr:row>62</xdr:row>
      <xdr:rowOff>95167</xdr:rowOff>
    </xdr:to>
    <xdr:grpSp>
      <xdr:nvGrpSpPr>
        <xdr:cNvPr id="1693" name="그룹 1692">
          <a:extLst>
            <a:ext uri="{FF2B5EF4-FFF2-40B4-BE49-F238E27FC236}">
              <a16:creationId xmlns:a16="http://schemas.microsoft.com/office/drawing/2014/main" id="{00000000-0008-0000-1500-00009D060000}"/>
            </a:ext>
          </a:extLst>
        </xdr:cNvPr>
        <xdr:cNvGrpSpPr/>
      </xdr:nvGrpSpPr>
      <xdr:grpSpPr>
        <a:xfrm>
          <a:off x="12637577" y="12032967"/>
          <a:ext cx="148223" cy="190700"/>
          <a:chOff x="3850105" y="3654592"/>
          <a:chExt cx="185070" cy="195513"/>
        </a:xfrm>
      </xdr:grpSpPr>
      <xdr:sp macro="" textlink="">
        <xdr:nvSpPr>
          <xdr:cNvPr id="1694" name="직사각형 1693">
            <a:extLst>
              <a:ext uri="{FF2B5EF4-FFF2-40B4-BE49-F238E27FC236}">
                <a16:creationId xmlns:a16="http://schemas.microsoft.com/office/drawing/2014/main" id="{00000000-0008-0000-1500-00009E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95" name="순서도: 연결자 1694">
            <a:extLst>
              <a:ext uri="{FF2B5EF4-FFF2-40B4-BE49-F238E27FC236}">
                <a16:creationId xmlns:a16="http://schemas.microsoft.com/office/drawing/2014/main" id="{00000000-0008-0000-1500-00009F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96" name="순서도: 연결자 1695">
            <a:extLst>
              <a:ext uri="{FF2B5EF4-FFF2-40B4-BE49-F238E27FC236}">
                <a16:creationId xmlns:a16="http://schemas.microsoft.com/office/drawing/2014/main" id="{00000000-0008-0000-1500-0000A0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97" name="순서도: 연결자 1696">
            <a:extLst>
              <a:ext uri="{FF2B5EF4-FFF2-40B4-BE49-F238E27FC236}">
                <a16:creationId xmlns:a16="http://schemas.microsoft.com/office/drawing/2014/main" id="{00000000-0008-0000-1500-0000A1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698" name="순서도: 연결자 1697">
            <a:extLst>
              <a:ext uri="{FF2B5EF4-FFF2-40B4-BE49-F238E27FC236}">
                <a16:creationId xmlns:a16="http://schemas.microsoft.com/office/drawing/2014/main" id="{00000000-0008-0000-1500-0000A2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173103</xdr:colOff>
      <xdr:row>65</xdr:row>
      <xdr:rowOff>134522</xdr:rowOff>
    </xdr:from>
    <xdr:to>
      <xdr:col>52</xdr:col>
      <xdr:colOff>95269</xdr:colOff>
      <xdr:row>66</xdr:row>
      <xdr:rowOff>22127</xdr:rowOff>
    </xdr:to>
    <xdr:grpSp>
      <xdr:nvGrpSpPr>
        <xdr:cNvPr id="1699" name="그룹 1698">
          <a:extLst>
            <a:ext uri="{FF2B5EF4-FFF2-40B4-BE49-F238E27FC236}">
              <a16:creationId xmlns:a16="http://schemas.microsoft.com/office/drawing/2014/main" id="{00000000-0008-0000-1500-0000A3060000}"/>
            </a:ext>
          </a:extLst>
        </xdr:cNvPr>
        <xdr:cNvGrpSpPr/>
      </xdr:nvGrpSpPr>
      <xdr:grpSpPr>
        <a:xfrm>
          <a:off x="12404791" y="12834522"/>
          <a:ext cx="160291" cy="78105"/>
          <a:chOff x="2372059" y="3845092"/>
          <a:chExt cx="185070" cy="115303"/>
        </a:xfrm>
      </xdr:grpSpPr>
      <xdr:sp macro="" textlink="">
        <xdr:nvSpPr>
          <xdr:cNvPr id="1700" name="직사각형 1699">
            <a:extLst>
              <a:ext uri="{FF2B5EF4-FFF2-40B4-BE49-F238E27FC236}">
                <a16:creationId xmlns:a16="http://schemas.microsoft.com/office/drawing/2014/main" id="{00000000-0008-0000-1500-0000A4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01" name="순서도: 연결자 1700">
            <a:extLst>
              <a:ext uri="{FF2B5EF4-FFF2-40B4-BE49-F238E27FC236}">
                <a16:creationId xmlns:a16="http://schemas.microsoft.com/office/drawing/2014/main" id="{00000000-0008-0000-1500-0000A5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02" name="순서도: 연결자 1701">
            <a:extLst>
              <a:ext uri="{FF2B5EF4-FFF2-40B4-BE49-F238E27FC236}">
                <a16:creationId xmlns:a16="http://schemas.microsoft.com/office/drawing/2014/main" id="{00000000-0008-0000-1500-0000A6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129575</xdr:colOff>
      <xdr:row>65</xdr:row>
      <xdr:rowOff>136428</xdr:rowOff>
    </xdr:from>
    <xdr:to>
      <xdr:col>53</xdr:col>
      <xdr:colOff>55548</xdr:colOff>
      <xdr:row>66</xdr:row>
      <xdr:rowOff>58323</xdr:rowOff>
    </xdr:to>
    <xdr:grpSp>
      <xdr:nvGrpSpPr>
        <xdr:cNvPr id="1703" name="그룹 1702">
          <a:extLst>
            <a:ext uri="{FF2B5EF4-FFF2-40B4-BE49-F238E27FC236}">
              <a16:creationId xmlns:a16="http://schemas.microsoft.com/office/drawing/2014/main" id="{00000000-0008-0000-1500-0000A7060000}"/>
            </a:ext>
          </a:extLst>
        </xdr:cNvPr>
        <xdr:cNvGrpSpPr/>
      </xdr:nvGrpSpPr>
      <xdr:grpSpPr>
        <a:xfrm>
          <a:off x="12599388" y="12836428"/>
          <a:ext cx="148223" cy="112395"/>
          <a:chOff x="2372059" y="3845092"/>
          <a:chExt cx="185070" cy="115303"/>
        </a:xfrm>
      </xdr:grpSpPr>
      <xdr:sp macro="" textlink="">
        <xdr:nvSpPr>
          <xdr:cNvPr id="1704" name="직사각형 1703">
            <a:extLst>
              <a:ext uri="{FF2B5EF4-FFF2-40B4-BE49-F238E27FC236}">
                <a16:creationId xmlns:a16="http://schemas.microsoft.com/office/drawing/2014/main" id="{00000000-0008-0000-1500-0000A8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05" name="순서도: 연결자 1704">
            <a:extLst>
              <a:ext uri="{FF2B5EF4-FFF2-40B4-BE49-F238E27FC236}">
                <a16:creationId xmlns:a16="http://schemas.microsoft.com/office/drawing/2014/main" id="{00000000-0008-0000-1500-0000A9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06" name="순서도: 연결자 1705">
            <a:extLst>
              <a:ext uri="{FF2B5EF4-FFF2-40B4-BE49-F238E27FC236}">
                <a16:creationId xmlns:a16="http://schemas.microsoft.com/office/drawing/2014/main" id="{00000000-0008-0000-1500-0000AA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53</xdr:col>
      <xdr:colOff>6755</xdr:colOff>
      <xdr:row>56</xdr:row>
      <xdr:rowOff>160335</xdr:rowOff>
    </xdr:from>
    <xdr:to>
      <xdr:col>54</xdr:col>
      <xdr:colOff>1040</xdr:colOff>
      <xdr:row>58</xdr:row>
      <xdr:rowOff>44130</xdr:rowOff>
    </xdr:to>
    <xdr:cxnSp macro="">
      <xdr:nvCxnSpPr>
        <xdr:cNvPr id="1707" name="직선 연결선 1706">
          <a:extLst>
            <a:ext uri="{FF2B5EF4-FFF2-40B4-BE49-F238E27FC236}">
              <a16:creationId xmlns:a16="http://schemas.microsoft.com/office/drawing/2014/main" id="{00000000-0008-0000-1500-0000AB060000}"/>
            </a:ext>
          </a:extLst>
        </xdr:cNvPr>
        <xdr:cNvCxnSpPr/>
      </xdr:nvCxnSpPr>
      <xdr:spPr>
        <a:xfrm flipV="1">
          <a:off x="12700723" y="4194490"/>
          <a:ext cx="214630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235697</xdr:colOff>
      <xdr:row>56</xdr:row>
      <xdr:rowOff>160823</xdr:rowOff>
    </xdr:from>
    <xdr:to>
      <xdr:col>52</xdr:col>
      <xdr:colOff>228077</xdr:colOff>
      <xdr:row>58</xdr:row>
      <xdr:rowOff>44618</xdr:rowOff>
    </xdr:to>
    <xdr:cxnSp macro="">
      <xdr:nvCxnSpPr>
        <xdr:cNvPr id="1708" name="직선 연결선 1707">
          <a:extLst>
            <a:ext uri="{FF2B5EF4-FFF2-40B4-BE49-F238E27FC236}">
              <a16:creationId xmlns:a16="http://schemas.microsoft.com/office/drawing/2014/main" id="{00000000-0008-0000-1500-0000AC060000}"/>
            </a:ext>
          </a:extLst>
        </xdr:cNvPr>
        <xdr:cNvCxnSpPr/>
      </xdr:nvCxnSpPr>
      <xdr:spPr>
        <a:xfrm flipV="1">
          <a:off x="12469290" y="4194978"/>
          <a:ext cx="219075" cy="3282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180690</xdr:colOff>
      <xdr:row>57</xdr:row>
      <xdr:rowOff>173975</xdr:rowOff>
    </xdr:from>
    <xdr:to>
      <xdr:col>53</xdr:col>
      <xdr:colOff>99043</xdr:colOff>
      <xdr:row>58</xdr:row>
      <xdr:rowOff>78726</xdr:rowOff>
    </xdr:to>
    <xdr:grpSp>
      <xdr:nvGrpSpPr>
        <xdr:cNvPr id="1709" name="그룹 1708">
          <a:extLst>
            <a:ext uri="{FF2B5EF4-FFF2-40B4-BE49-F238E27FC236}">
              <a16:creationId xmlns:a16="http://schemas.microsoft.com/office/drawing/2014/main" id="{00000000-0008-0000-1500-0000AD060000}"/>
            </a:ext>
          </a:extLst>
        </xdr:cNvPr>
        <xdr:cNvGrpSpPr/>
      </xdr:nvGrpSpPr>
      <xdr:grpSpPr>
        <a:xfrm>
          <a:off x="12650503" y="11349975"/>
          <a:ext cx="140603" cy="95251"/>
          <a:chOff x="2372059" y="3845092"/>
          <a:chExt cx="185070" cy="115303"/>
        </a:xfrm>
      </xdr:grpSpPr>
      <xdr:sp macro="" textlink="">
        <xdr:nvSpPr>
          <xdr:cNvPr id="1710" name="직사각형 1709">
            <a:extLst>
              <a:ext uri="{FF2B5EF4-FFF2-40B4-BE49-F238E27FC236}">
                <a16:creationId xmlns:a16="http://schemas.microsoft.com/office/drawing/2014/main" id="{00000000-0008-0000-1500-0000AE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11" name="순서도: 연결자 1710">
            <a:extLst>
              <a:ext uri="{FF2B5EF4-FFF2-40B4-BE49-F238E27FC236}">
                <a16:creationId xmlns:a16="http://schemas.microsoft.com/office/drawing/2014/main" id="{00000000-0008-0000-1500-0000AF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12" name="순서도: 연결자 1711">
            <a:extLst>
              <a:ext uri="{FF2B5EF4-FFF2-40B4-BE49-F238E27FC236}">
                <a16:creationId xmlns:a16="http://schemas.microsoft.com/office/drawing/2014/main" id="{00000000-0008-0000-1500-0000B0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143306</xdr:colOff>
      <xdr:row>57</xdr:row>
      <xdr:rowOff>163247</xdr:rowOff>
    </xdr:from>
    <xdr:to>
      <xdr:col>52</xdr:col>
      <xdr:colOff>55947</xdr:colOff>
      <xdr:row>58</xdr:row>
      <xdr:rowOff>85143</xdr:rowOff>
    </xdr:to>
    <xdr:grpSp>
      <xdr:nvGrpSpPr>
        <xdr:cNvPr id="1713" name="그룹 1712">
          <a:extLst>
            <a:ext uri="{FF2B5EF4-FFF2-40B4-BE49-F238E27FC236}">
              <a16:creationId xmlns:a16="http://schemas.microsoft.com/office/drawing/2014/main" id="{00000000-0008-0000-1500-0000B1060000}"/>
            </a:ext>
          </a:extLst>
        </xdr:cNvPr>
        <xdr:cNvGrpSpPr/>
      </xdr:nvGrpSpPr>
      <xdr:grpSpPr>
        <a:xfrm>
          <a:off x="12374994" y="11339247"/>
          <a:ext cx="150766" cy="112396"/>
          <a:chOff x="2372059" y="3845092"/>
          <a:chExt cx="185070" cy="115303"/>
        </a:xfrm>
      </xdr:grpSpPr>
      <xdr:sp macro="" textlink="">
        <xdr:nvSpPr>
          <xdr:cNvPr id="1714" name="직사각형 1713">
            <a:extLst>
              <a:ext uri="{FF2B5EF4-FFF2-40B4-BE49-F238E27FC236}">
                <a16:creationId xmlns:a16="http://schemas.microsoft.com/office/drawing/2014/main" id="{00000000-0008-0000-1500-0000B2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15" name="순서도: 연결자 1714">
            <a:extLst>
              <a:ext uri="{FF2B5EF4-FFF2-40B4-BE49-F238E27FC236}">
                <a16:creationId xmlns:a16="http://schemas.microsoft.com/office/drawing/2014/main" id="{00000000-0008-0000-1500-0000B3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16" name="순서도: 연결자 1715">
            <a:extLst>
              <a:ext uri="{FF2B5EF4-FFF2-40B4-BE49-F238E27FC236}">
                <a16:creationId xmlns:a16="http://schemas.microsoft.com/office/drawing/2014/main" id="{00000000-0008-0000-1500-0000B4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51</xdr:col>
      <xdr:colOff>165438</xdr:colOff>
      <xdr:row>59</xdr:row>
      <xdr:rowOff>96705</xdr:rowOff>
    </xdr:from>
    <xdr:to>
      <xdr:col>52</xdr:col>
      <xdr:colOff>93319</xdr:colOff>
      <xdr:row>60</xdr:row>
      <xdr:rowOff>74045</xdr:rowOff>
    </xdr:to>
    <xdr:grpSp>
      <xdr:nvGrpSpPr>
        <xdr:cNvPr id="1717" name="그룹 1716">
          <a:extLst>
            <a:ext uri="{FF2B5EF4-FFF2-40B4-BE49-F238E27FC236}">
              <a16:creationId xmlns:a16="http://schemas.microsoft.com/office/drawing/2014/main" id="{00000000-0008-0000-1500-0000B5060000}"/>
            </a:ext>
          </a:extLst>
        </xdr:cNvPr>
        <xdr:cNvGrpSpPr/>
      </xdr:nvGrpSpPr>
      <xdr:grpSpPr>
        <a:xfrm>
          <a:off x="12397126" y="11653705"/>
          <a:ext cx="166006" cy="167840"/>
          <a:chOff x="3850105" y="3654592"/>
          <a:chExt cx="185070" cy="195513"/>
        </a:xfrm>
      </xdr:grpSpPr>
      <xdr:sp macro="" textlink="">
        <xdr:nvSpPr>
          <xdr:cNvPr id="1718" name="직사각형 1717">
            <a:extLst>
              <a:ext uri="{FF2B5EF4-FFF2-40B4-BE49-F238E27FC236}">
                <a16:creationId xmlns:a16="http://schemas.microsoft.com/office/drawing/2014/main" id="{00000000-0008-0000-1500-0000B6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19" name="순서도: 연결자 1718">
            <a:extLst>
              <a:ext uri="{FF2B5EF4-FFF2-40B4-BE49-F238E27FC236}">
                <a16:creationId xmlns:a16="http://schemas.microsoft.com/office/drawing/2014/main" id="{00000000-0008-0000-1500-0000B7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0" name="순서도: 연결자 1719">
            <a:extLst>
              <a:ext uri="{FF2B5EF4-FFF2-40B4-BE49-F238E27FC236}">
                <a16:creationId xmlns:a16="http://schemas.microsoft.com/office/drawing/2014/main" id="{00000000-0008-0000-1500-0000B8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1" name="순서도: 연결자 1720">
            <a:extLst>
              <a:ext uri="{FF2B5EF4-FFF2-40B4-BE49-F238E27FC236}">
                <a16:creationId xmlns:a16="http://schemas.microsoft.com/office/drawing/2014/main" id="{00000000-0008-0000-1500-0000B9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2" name="순서도: 연결자 1721">
            <a:extLst>
              <a:ext uri="{FF2B5EF4-FFF2-40B4-BE49-F238E27FC236}">
                <a16:creationId xmlns:a16="http://schemas.microsoft.com/office/drawing/2014/main" id="{00000000-0008-0000-1500-0000BA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159509</xdr:colOff>
      <xdr:row>59</xdr:row>
      <xdr:rowOff>67027</xdr:rowOff>
    </xdr:from>
    <xdr:to>
      <xdr:col>53</xdr:col>
      <xdr:colOff>85482</xdr:colOff>
      <xdr:row>60</xdr:row>
      <xdr:rowOff>67227</xdr:rowOff>
    </xdr:to>
    <xdr:grpSp>
      <xdr:nvGrpSpPr>
        <xdr:cNvPr id="1723" name="그룹 1722">
          <a:extLst>
            <a:ext uri="{FF2B5EF4-FFF2-40B4-BE49-F238E27FC236}">
              <a16:creationId xmlns:a16="http://schemas.microsoft.com/office/drawing/2014/main" id="{00000000-0008-0000-1500-0000BB060000}"/>
            </a:ext>
          </a:extLst>
        </xdr:cNvPr>
        <xdr:cNvGrpSpPr/>
      </xdr:nvGrpSpPr>
      <xdr:grpSpPr>
        <a:xfrm>
          <a:off x="12629322" y="11624027"/>
          <a:ext cx="148223" cy="190700"/>
          <a:chOff x="3850105" y="3654592"/>
          <a:chExt cx="185070" cy="195513"/>
        </a:xfrm>
      </xdr:grpSpPr>
      <xdr:sp macro="" textlink="">
        <xdr:nvSpPr>
          <xdr:cNvPr id="1724" name="직사각형 1723">
            <a:extLst>
              <a:ext uri="{FF2B5EF4-FFF2-40B4-BE49-F238E27FC236}">
                <a16:creationId xmlns:a16="http://schemas.microsoft.com/office/drawing/2014/main" id="{00000000-0008-0000-1500-0000BC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5" name="순서도: 연결자 1724">
            <a:extLst>
              <a:ext uri="{FF2B5EF4-FFF2-40B4-BE49-F238E27FC236}">
                <a16:creationId xmlns:a16="http://schemas.microsoft.com/office/drawing/2014/main" id="{00000000-0008-0000-1500-0000BD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6" name="순서도: 연결자 1725">
            <a:extLst>
              <a:ext uri="{FF2B5EF4-FFF2-40B4-BE49-F238E27FC236}">
                <a16:creationId xmlns:a16="http://schemas.microsoft.com/office/drawing/2014/main" id="{00000000-0008-0000-1500-0000BE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7" name="순서도: 연결자 1726">
            <a:extLst>
              <a:ext uri="{FF2B5EF4-FFF2-40B4-BE49-F238E27FC236}">
                <a16:creationId xmlns:a16="http://schemas.microsoft.com/office/drawing/2014/main" id="{00000000-0008-0000-1500-0000BF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28" name="순서도: 연결자 1727">
            <a:extLst>
              <a:ext uri="{FF2B5EF4-FFF2-40B4-BE49-F238E27FC236}">
                <a16:creationId xmlns:a16="http://schemas.microsoft.com/office/drawing/2014/main" id="{00000000-0008-0000-1500-0000C0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52</xdr:col>
      <xdr:colOff>36069</xdr:colOff>
      <xdr:row>58</xdr:row>
      <xdr:rowOff>99139</xdr:rowOff>
    </xdr:from>
    <xdr:to>
      <xdr:col>53</xdr:col>
      <xdr:colOff>19559</xdr:colOff>
      <xdr:row>59</xdr:row>
      <xdr:rowOff>192631</xdr:rowOff>
    </xdr:to>
    <xdr:cxnSp macro="">
      <xdr:nvCxnSpPr>
        <xdr:cNvPr id="1729" name="직선 연결선 1728">
          <a:extLst>
            <a:ext uri="{FF2B5EF4-FFF2-40B4-BE49-F238E27FC236}">
              <a16:creationId xmlns:a16="http://schemas.microsoft.com/office/drawing/2014/main" id="{00000000-0008-0000-1500-0000C1060000}"/>
            </a:ext>
          </a:extLst>
        </xdr:cNvPr>
        <xdr:cNvCxnSpPr/>
      </xdr:nvCxnSpPr>
      <xdr:spPr>
        <a:xfrm flipV="1">
          <a:off x="12505882" y="4572079"/>
          <a:ext cx="201930" cy="31955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205809</xdr:colOff>
      <xdr:row>58</xdr:row>
      <xdr:rowOff>68855</xdr:rowOff>
    </xdr:from>
    <xdr:to>
      <xdr:col>53</xdr:col>
      <xdr:colOff>15309</xdr:colOff>
      <xdr:row>59</xdr:row>
      <xdr:rowOff>162200</xdr:rowOff>
    </xdr:to>
    <xdr:cxnSp macro="">
      <xdr:nvCxnSpPr>
        <xdr:cNvPr id="1730" name="직선 연결선 1729">
          <a:extLst>
            <a:ext uri="{FF2B5EF4-FFF2-40B4-BE49-F238E27FC236}">
              <a16:creationId xmlns:a16="http://schemas.microsoft.com/office/drawing/2014/main" id="{00000000-0008-0000-1500-0000C2060000}"/>
            </a:ext>
          </a:extLst>
        </xdr:cNvPr>
        <xdr:cNvCxnSpPr/>
      </xdr:nvCxnSpPr>
      <xdr:spPr>
        <a:xfrm flipV="1">
          <a:off x="12441307" y="4543700"/>
          <a:ext cx="269875" cy="3194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210083</xdr:colOff>
      <xdr:row>58</xdr:row>
      <xdr:rowOff>19687</xdr:rowOff>
    </xdr:from>
    <xdr:to>
      <xdr:col>53</xdr:col>
      <xdr:colOff>206375</xdr:colOff>
      <xdr:row>59</xdr:row>
      <xdr:rowOff>115945</xdr:rowOff>
    </xdr:to>
    <xdr:cxnSp macro="">
      <xdr:nvCxnSpPr>
        <xdr:cNvPr id="1731" name="직선 연결선 1730">
          <a:extLst>
            <a:ext uri="{FF2B5EF4-FFF2-40B4-BE49-F238E27FC236}">
              <a16:creationId xmlns:a16="http://schemas.microsoft.com/office/drawing/2014/main" id="{00000000-0008-0000-1500-0000C3060000}"/>
            </a:ext>
          </a:extLst>
        </xdr:cNvPr>
        <xdr:cNvCxnSpPr/>
      </xdr:nvCxnSpPr>
      <xdr:spPr>
        <a:xfrm flipV="1">
          <a:off x="12676086" y="4492627"/>
          <a:ext cx="226162" cy="32231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47256</xdr:colOff>
      <xdr:row>58</xdr:row>
      <xdr:rowOff>17762</xdr:rowOff>
    </xdr:from>
    <xdr:to>
      <xdr:col>54</xdr:col>
      <xdr:colOff>47304</xdr:colOff>
      <xdr:row>59</xdr:row>
      <xdr:rowOff>130157</xdr:rowOff>
    </xdr:to>
    <xdr:cxnSp macro="">
      <xdr:nvCxnSpPr>
        <xdr:cNvPr id="1732" name="직선 연결선 1731">
          <a:extLst>
            <a:ext uri="{FF2B5EF4-FFF2-40B4-BE49-F238E27FC236}">
              <a16:creationId xmlns:a16="http://schemas.microsoft.com/office/drawing/2014/main" id="{00000000-0008-0000-1500-0000C4060000}"/>
            </a:ext>
          </a:extLst>
        </xdr:cNvPr>
        <xdr:cNvCxnSpPr/>
      </xdr:nvCxnSpPr>
      <xdr:spPr>
        <a:xfrm flipV="1">
          <a:off x="12741224" y="4498322"/>
          <a:ext cx="222298" cy="3346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131</xdr:row>
      <xdr:rowOff>0</xdr:rowOff>
    </xdr:from>
    <xdr:to>
      <xdr:col>38</xdr:col>
      <xdr:colOff>0</xdr:colOff>
      <xdr:row>131</xdr:row>
      <xdr:rowOff>19050</xdr:rowOff>
    </xdr:to>
    <xdr:grpSp>
      <xdr:nvGrpSpPr>
        <xdr:cNvPr id="1389" name="Group 234">
          <a:extLst>
            <a:ext uri="{FF2B5EF4-FFF2-40B4-BE49-F238E27FC236}">
              <a16:creationId xmlns:a16="http://schemas.microsoft.com/office/drawing/2014/main" id="{00000000-0008-0000-1500-00006D050000}"/>
            </a:ext>
          </a:extLst>
        </xdr:cNvPr>
        <xdr:cNvGrpSpPr>
          <a:grpSpLocks/>
        </xdr:cNvGrpSpPr>
      </xdr:nvGrpSpPr>
      <xdr:grpSpPr bwMode="auto">
        <a:xfrm>
          <a:off x="9040813" y="25400000"/>
          <a:ext cx="0" cy="19050"/>
          <a:chOff x="403" y="448"/>
          <a:chExt cx="44" cy="4"/>
        </a:xfrm>
      </xdr:grpSpPr>
      <xdr:sp macro="" textlink="">
        <xdr:nvSpPr>
          <xdr:cNvPr id="1392" name="Line 130">
            <a:extLst>
              <a:ext uri="{FF2B5EF4-FFF2-40B4-BE49-F238E27FC236}">
                <a16:creationId xmlns:a16="http://schemas.microsoft.com/office/drawing/2014/main" id="{00000000-0008-0000-1500-00007005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26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393" name="Line 131">
            <a:extLst>
              <a:ext uri="{FF2B5EF4-FFF2-40B4-BE49-F238E27FC236}">
                <a16:creationId xmlns:a16="http://schemas.microsoft.com/office/drawing/2014/main" id="{00000000-0008-0000-1500-00007105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30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129</xdr:row>
      <xdr:rowOff>0</xdr:rowOff>
    </xdr:from>
    <xdr:to>
      <xdr:col>38</xdr:col>
      <xdr:colOff>0</xdr:colOff>
      <xdr:row>129</xdr:row>
      <xdr:rowOff>19050</xdr:rowOff>
    </xdr:to>
    <xdr:grpSp>
      <xdr:nvGrpSpPr>
        <xdr:cNvPr id="1524" name="Group 656">
          <a:extLst>
            <a:ext uri="{FF2B5EF4-FFF2-40B4-BE49-F238E27FC236}">
              <a16:creationId xmlns:a16="http://schemas.microsoft.com/office/drawing/2014/main" id="{00000000-0008-0000-1500-0000F4050000}"/>
            </a:ext>
          </a:extLst>
        </xdr:cNvPr>
        <xdr:cNvGrpSpPr>
          <a:grpSpLocks/>
        </xdr:cNvGrpSpPr>
      </xdr:nvGrpSpPr>
      <xdr:grpSpPr bwMode="auto">
        <a:xfrm>
          <a:off x="9040813" y="25019000"/>
          <a:ext cx="0" cy="19050"/>
          <a:chOff x="353" y="423"/>
          <a:chExt cx="44" cy="4"/>
        </a:xfrm>
      </xdr:grpSpPr>
      <xdr:sp macro="" textlink="">
        <xdr:nvSpPr>
          <xdr:cNvPr id="1525" name="Line 143">
            <a:extLst>
              <a:ext uri="{FF2B5EF4-FFF2-40B4-BE49-F238E27FC236}">
                <a16:creationId xmlns:a16="http://schemas.microsoft.com/office/drawing/2014/main" id="{00000000-0008-0000-1500-0000F505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554" name="Line 144">
            <a:extLst>
              <a:ext uri="{FF2B5EF4-FFF2-40B4-BE49-F238E27FC236}">
                <a16:creationId xmlns:a16="http://schemas.microsoft.com/office/drawing/2014/main" id="{00000000-0008-0000-1500-00001206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37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38</xdr:col>
      <xdr:colOff>0</xdr:colOff>
      <xdr:row>129</xdr:row>
      <xdr:rowOff>0</xdr:rowOff>
    </xdr:from>
    <xdr:to>
      <xdr:col>38</xdr:col>
      <xdr:colOff>0</xdr:colOff>
      <xdr:row>129</xdr:row>
      <xdr:rowOff>19050</xdr:rowOff>
    </xdr:to>
    <xdr:grpSp>
      <xdr:nvGrpSpPr>
        <xdr:cNvPr id="1555" name="Group 655">
          <a:extLst>
            <a:ext uri="{FF2B5EF4-FFF2-40B4-BE49-F238E27FC236}">
              <a16:creationId xmlns:a16="http://schemas.microsoft.com/office/drawing/2014/main" id="{00000000-0008-0000-1500-000013060000}"/>
            </a:ext>
          </a:extLst>
        </xdr:cNvPr>
        <xdr:cNvGrpSpPr>
          <a:grpSpLocks/>
        </xdr:cNvGrpSpPr>
      </xdr:nvGrpSpPr>
      <xdr:grpSpPr bwMode="auto">
        <a:xfrm>
          <a:off x="9040813" y="25019000"/>
          <a:ext cx="0" cy="19050"/>
          <a:chOff x="403" y="423"/>
          <a:chExt cx="44" cy="4"/>
        </a:xfrm>
      </xdr:grpSpPr>
      <xdr:sp macro="" textlink="">
        <xdr:nvSpPr>
          <xdr:cNvPr id="1556" name="Line 146">
            <a:extLst>
              <a:ext uri="{FF2B5EF4-FFF2-40B4-BE49-F238E27FC236}">
                <a16:creationId xmlns:a16="http://schemas.microsoft.com/office/drawing/2014/main" id="{00000000-0008-0000-1500-00001406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1"/>
            <a:ext cx="0" cy="44"/>
          </a:xfrm>
          <a:prstGeom prst="line">
            <a:avLst/>
          </a:prstGeom>
          <a:noFill/>
          <a:ln w="28575">
            <a:solidFill>
              <a:srgbClr val="0000FF"/>
            </a:solidFill>
            <a:round/>
            <a:headEnd/>
            <a:tailEnd/>
          </a:ln>
        </xdr:spPr>
      </xdr:sp>
      <xdr:sp macro="" textlink="">
        <xdr:nvSpPr>
          <xdr:cNvPr id="1557" name="Line 147">
            <a:extLst>
              <a:ext uri="{FF2B5EF4-FFF2-40B4-BE49-F238E27FC236}">
                <a16:creationId xmlns:a16="http://schemas.microsoft.com/office/drawing/2014/main" id="{00000000-0008-0000-1500-000015060000}"/>
              </a:ext>
            </a:extLst>
          </xdr:cNvPr>
          <xdr:cNvSpPr>
            <a:spLocks noChangeShapeType="1"/>
          </xdr:cNvSpPr>
        </xdr:nvSpPr>
        <xdr:spPr bwMode="auto">
          <a:xfrm rot="5400000">
            <a:off x="425" y="405"/>
            <a:ext cx="0" cy="44"/>
          </a:xfrm>
          <a:prstGeom prst="line">
            <a:avLst/>
          </a:prstGeom>
          <a:noFill/>
          <a:ln w="28575">
            <a:solidFill>
              <a:srgbClr val="339966"/>
            </a:solidFill>
            <a:round/>
            <a:headEnd/>
            <a:tailEnd/>
          </a:ln>
        </xdr:spPr>
      </xdr:sp>
    </xdr:grpSp>
    <xdr:clientData/>
  </xdr:twoCellAnchor>
  <xdr:twoCellAnchor>
    <xdr:from>
      <xdr:col>39</xdr:col>
      <xdr:colOff>206710</xdr:colOff>
      <xdr:row>131</xdr:row>
      <xdr:rowOff>158256</xdr:rowOff>
    </xdr:from>
    <xdr:to>
      <xdr:col>40</xdr:col>
      <xdr:colOff>197185</xdr:colOff>
      <xdr:row>133</xdr:row>
      <xdr:rowOff>18068</xdr:rowOff>
    </xdr:to>
    <xdr:cxnSp macro="">
      <xdr:nvCxnSpPr>
        <xdr:cNvPr id="1562" name="직선 연결선 1561">
          <a:extLst>
            <a:ext uri="{FF2B5EF4-FFF2-40B4-BE49-F238E27FC236}">
              <a16:creationId xmlns:a16="http://schemas.microsoft.com/office/drawing/2014/main" id="{00000000-0008-0000-1500-00001A060000}"/>
            </a:ext>
          </a:extLst>
        </xdr:cNvPr>
        <xdr:cNvCxnSpPr/>
      </xdr:nvCxnSpPr>
      <xdr:spPr>
        <a:xfrm flipV="1">
          <a:off x="9382460" y="14013956"/>
          <a:ext cx="244475" cy="3043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25491</xdr:colOff>
      <xdr:row>131</xdr:row>
      <xdr:rowOff>184145</xdr:rowOff>
    </xdr:from>
    <xdr:to>
      <xdr:col>41</xdr:col>
      <xdr:colOff>15966</xdr:colOff>
      <xdr:row>133</xdr:row>
      <xdr:rowOff>57145</xdr:rowOff>
    </xdr:to>
    <xdr:cxnSp macro="">
      <xdr:nvCxnSpPr>
        <xdr:cNvPr id="1563" name="직선 연결선 1562">
          <a:extLst>
            <a:ext uri="{FF2B5EF4-FFF2-40B4-BE49-F238E27FC236}">
              <a16:creationId xmlns:a16="http://schemas.microsoft.com/office/drawing/2014/main" id="{00000000-0008-0000-1500-00001B060000}"/>
            </a:ext>
          </a:extLst>
        </xdr:cNvPr>
        <xdr:cNvCxnSpPr/>
      </xdr:nvCxnSpPr>
      <xdr:spPr>
        <a:xfrm flipV="1">
          <a:off x="9455241" y="14039845"/>
          <a:ext cx="244475" cy="317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199383</xdr:colOff>
      <xdr:row>131</xdr:row>
      <xdr:rowOff>186587</xdr:rowOff>
    </xdr:from>
    <xdr:to>
      <xdr:col>41</xdr:col>
      <xdr:colOff>188637</xdr:colOff>
      <xdr:row>133</xdr:row>
      <xdr:rowOff>46399</xdr:rowOff>
    </xdr:to>
    <xdr:cxnSp macro="">
      <xdr:nvCxnSpPr>
        <xdr:cNvPr id="1564" name="직선 연결선 1563">
          <a:extLst>
            <a:ext uri="{FF2B5EF4-FFF2-40B4-BE49-F238E27FC236}">
              <a16:creationId xmlns:a16="http://schemas.microsoft.com/office/drawing/2014/main" id="{00000000-0008-0000-1500-00001C060000}"/>
            </a:ext>
          </a:extLst>
        </xdr:cNvPr>
        <xdr:cNvCxnSpPr/>
      </xdr:nvCxnSpPr>
      <xdr:spPr>
        <a:xfrm flipV="1">
          <a:off x="9629133" y="14042287"/>
          <a:ext cx="243254" cy="3043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38435</xdr:colOff>
      <xdr:row>131</xdr:row>
      <xdr:rowOff>189030</xdr:rowOff>
    </xdr:from>
    <xdr:to>
      <xdr:col>42</xdr:col>
      <xdr:colOff>30863</xdr:colOff>
      <xdr:row>133</xdr:row>
      <xdr:rowOff>62030</xdr:rowOff>
    </xdr:to>
    <xdr:cxnSp macro="">
      <xdr:nvCxnSpPr>
        <xdr:cNvPr id="1565" name="직선 연결선 1564">
          <a:extLst>
            <a:ext uri="{FF2B5EF4-FFF2-40B4-BE49-F238E27FC236}">
              <a16:creationId xmlns:a16="http://schemas.microsoft.com/office/drawing/2014/main" id="{00000000-0008-0000-1500-00001D060000}"/>
            </a:ext>
          </a:extLst>
        </xdr:cNvPr>
        <xdr:cNvCxnSpPr/>
      </xdr:nvCxnSpPr>
      <xdr:spPr>
        <a:xfrm flipV="1">
          <a:off x="9722185" y="14044730"/>
          <a:ext cx="246428" cy="317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190704</xdr:colOff>
      <xdr:row>129</xdr:row>
      <xdr:rowOff>179469</xdr:rowOff>
    </xdr:from>
    <xdr:to>
      <xdr:col>40</xdr:col>
      <xdr:colOff>181179</xdr:colOff>
      <xdr:row>131</xdr:row>
      <xdr:rowOff>39281</xdr:rowOff>
    </xdr:to>
    <xdr:cxnSp macro="">
      <xdr:nvCxnSpPr>
        <xdr:cNvPr id="1576" name="직선 연결선 1575">
          <a:extLst>
            <a:ext uri="{FF2B5EF4-FFF2-40B4-BE49-F238E27FC236}">
              <a16:creationId xmlns:a16="http://schemas.microsoft.com/office/drawing/2014/main" id="{00000000-0008-0000-1500-000028060000}"/>
            </a:ext>
          </a:extLst>
        </xdr:cNvPr>
        <xdr:cNvCxnSpPr/>
      </xdr:nvCxnSpPr>
      <xdr:spPr>
        <a:xfrm flipV="1">
          <a:off x="9366454" y="13590669"/>
          <a:ext cx="244475" cy="3043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27069</xdr:colOff>
      <xdr:row>129</xdr:row>
      <xdr:rowOff>193635</xdr:rowOff>
    </xdr:from>
    <xdr:to>
      <xdr:col>41</xdr:col>
      <xdr:colOff>17544</xdr:colOff>
      <xdr:row>131</xdr:row>
      <xdr:rowOff>66635</xdr:rowOff>
    </xdr:to>
    <xdr:cxnSp macro="">
      <xdr:nvCxnSpPr>
        <xdr:cNvPr id="1577" name="직선 연결선 1576">
          <a:extLst>
            <a:ext uri="{FF2B5EF4-FFF2-40B4-BE49-F238E27FC236}">
              <a16:creationId xmlns:a16="http://schemas.microsoft.com/office/drawing/2014/main" id="{00000000-0008-0000-1500-000029060000}"/>
            </a:ext>
          </a:extLst>
        </xdr:cNvPr>
        <xdr:cNvCxnSpPr/>
      </xdr:nvCxnSpPr>
      <xdr:spPr>
        <a:xfrm flipV="1">
          <a:off x="9456819" y="13604835"/>
          <a:ext cx="244475" cy="317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236130</xdr:colOff>
      <xdr:row>129</xdr:row>
      <xdr:rowOff>172631</xdr:rowOff>
    </xdr:from>
    <xdr:to>
      <xdr:col>41</xdr:col>
      <xdr:colOff>225384</xdr:colOff>
      <xdr:row>131</xdr:row>
      <xdr:rowOff>32443</xdr:rowOff>
    </xdr:to>
    <xdr:cxnSp macro="">
      <xdr:nvCxnSpPr>
        <xdr:cNvPr id="1578" name="직선 연결선 1577">
          <a:extLst>
            <a:ext uri="{FF2B5EF4-FFF2-40B4-BE49-F238E27FC236}">
              <a16:creationId xmlns:a16="http://schemas.microsoft.com/office/drawing/2014/main" id="{00000000-0008-0000-1500-00002A060000}"/>
            </a:ext>
          </a:extLst>
        </xdr:cNvPr>
        <xdr:cNvCxnSpPr/>
      </xdr:nvCxnSpPr>
      <xdr:spPr>
        <a:xfrm flipV="1">
          <a:off x="9665880" y="13583831"/>
          <a:ext cx="243254" cy="3043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63459</xdr:colOff>
      <xdr:row>129</xdr:row>
      <xdr:rowOff>169212</xdr:rowOff>
    </xdr:from>
    <xdr:to>
      <xdr:col>42</xdr:col>
      <xdr:colOff>55887</xdr:colOff>
      <xdr:row>131</xdr:row>
      <xdr:rowOff>42212</xdr:rowOff>
    </xdr:to>
    <xdr:cxnSp macro="">
      <xdr:nvCxnSpPr>
        <xdr:cNvPr id="1579" name="직선 연결선 1578">
          <a:extLst>
            <a:ext uri="{FF2B5EF4-FFF2-40B4-BE49-F238E27FC236}">
              <a16:creationId xmlns:a16="http://schemas.microsoft.com/office/drawing/2014/main" id="{00000000-0008-0000-1500-00002B060000}"/>
            </a:ext>
          </a:extLst>
        </xdr:cNvPr>
        <xdr:cNvCxnSpPr/>
      </xdr:nvCxnSpPr>
      <xdr:spPr>
        <a:xfrm flipV="1">
          <a:off x="9747209" y="13580412"/>
          <a:ext cx="246428" cy="317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241390</xdr:colOff>
      <xdr:row>127</xdr:row>
      <xdr:rowOff>136523</xdr:rowOff>
    </xdr:from>
    <xdr:to>
      <xdr:col>41</xdr:col>
      <xdr:colOff>231865</xdr:colOff>
      <xdr:row>129</xdr:row>
      <xdr:rowOff>12698</xdr:rowOff>
    </xdr:to>
    <xdr:cxnSp macro="">
      <xdr:nvCxnSpPr>
        <xdr:cNvPr id="1580" name="직선 연결선 1579">
          <a:extLst>
            <a:ext uri="{FF2B5EF4-FFF2-40B4-BE49-F238E27FC236}">
              <a16:creationId xmlns:a16="http://schemas.microsoft.com/office/drawing/2014/main" id="{00000000-0008-0000-1500-00002C060000}"/>
            </a:ext>
          </a:extLst>
        </xdr:cNvPr>
        <xdr:cNvCxnSpPr/>
      </xdr:nvCxnSpPr>
      <xdr:spPr>
        <a:xfrm flipV="1">
          <a:off x="9671140" y="13103223"/>
          <a:ext cx="244475" cy="3206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226492</xdr:colOff>
      <xdr:row>127</xdr:row>
      <xdr:rowOff>137011</xdr:rowOff>
    </xdr:from>
    <xdr:to>
      <xdr:col>40</xdr:col>
      <xdr:colOff>216967</xdr:colOff>
      <xdr:row>129</xdr:row>
      <xdr:rowOff>13186</xdr:rowOff>
    </xdr:to>
    <xdr:cxnSp macro="">
      <xdr:nvCxnSpPr>
        <xdr:cNvPr id="1581" name="직선 연결선 1580">
          <a:extLst>
            <a:ext uri="{FF2B5EF4-FFF2-40B4-BE49-F238E27FC236}">
              <a16:creationId xmlns:a16="http://schemas.microsoft.com/office/drawing/2014/main" id="{00000000-0008-0000-1500-00002D060000}"/>
            </a:ext>
          </a:extLst>
        </xdr:cNvPr>
        <xdr:cNvCxnSpPr/>
      </xdr:nvCxnSpPr>
      <xdr:spPr>
        <a:xfrm flipV="1">
          <a:off x="9402242" y="13103711"/>
          <a:ext cx="244475" cy="3206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167833</xdr:colOff>
      <xdr:row>132</xdr:row>
      <xdr:rowOff>97834</xdr:rowOff>
    </xdr:from>
    <xdr:to>
      <xdr:col>40</xdr:col>
      <xdr:colOff>91904</xdr:colOff>
      <xdr:row>133</xdr:row>
      <xdr:rowOff>92319</xdr:rowOff>
    </xdr:to>
    <xdr:grpSp>
      <xdr:nvGrpSpPr>
        <xdr:cNvPr id="1582" name="그룹 1581">
          <a:extLst>
            <a:ext uri="{FF2B5EF4-FFF2-40B4-BE49-F238E27FC236}">
              <a16:creationId xmlns:a16="http://schemas.microsoft.com/office/drawing/2014/main" id="{00000000-0008-0000-1500-00002E060000}"/>
            </a:ext>
          </a:extLst>
        </xdr:cNvPr>
        <xdr:cNvGrpSpPr/>
      </xdr:nvGrpSpPr>
      <xdr:grpSpPr>
        <a:xfrm>
          <a:off x="9454708" y="25688334"/>
          <a:ext cx="170134" cy="184985"/>
          <a:chOff x="3850105" y="3654592"/>
          <a:chExt cx="185070" cy="195513"/>
        </a:xfrm>
      </xdr:grpSpPr>
      <xdr:sp macro="" textlink="">
        <xdr:nvSpPr>
          <xdr:cNvPr id="1583" name="직사각형 1582">
            <a:extLst>
              <a:ext uri="{FF2B5EF4-FFF2-40B4-BE49-F238E27FC236}">
                <a16:creationId xmlns:a16="http://schemas.microsoft.com/office/drawing/2014/main" id="{00000000-0008-0000-1500-00002F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84" name="순서도: 연결자 1583">
            <a:extLst>
              <a:ext uri="{FF2B5EF4-FFF2-40B4-BE49-F238E27FC236}">
                <a16:creationId xmlns:a16="http://schemas.microsoft.com/office/drawing/2014/main" id="{00000000-0008-0000-1500-000030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85" name="순서도: 연결자 1584">
            <a:extLst>
              <a:ext uri="{FF2B5EF4-FFF2-40B4-BE49-F238E27FC236}">
                <a16:creationId xmlns:a16="http://schemas.microsoft.com/office/drawing/2014/main" id="{00000000-0008-0000-1500-000031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86" name="순서도: 연결자 1585">
            <a:extLst>
              <a:ext uri="{FF2B5EF4-FFF2-40B4-BE49-F238E27FC236}">
                <a16:creationId xmlns:a16="http://schemas.microsoft.com/office/drawing/2014/main" id="{00000000-0008-0000-1500-000032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87" name="순서도: 연결자 1586">
            <a:extLst>
              <a:ext uri="{FF2B5EF4-FFF2-40B4-BE49-F238E27FC236}">
                <a16:creationId xmlns:a16="http://schemas.microsoft.com/office/drawing/2014/main" id="{00000000-0008-0000-1500-000033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169524</xdr:colOff>
      <xdr:row>132</xdr:row>
      <xdr:rowOff>98636</xdr:rowOff>
    </xdr:from>
    <xdr:to>
      <xdr:col>41</xdr:col>
      <xdr:colOff>91687</xdr:colOff>
      <xdr:row>133</xdr:row>
      <xdr:rowOff>96931</xdr:rowOff>
    </xdr:to>
    <xdr:grpSp>
      <xdr:nvGrpSpPr>
        <xdr:cNvPr id="1588" name="그룹 1587">
          <a:extLst>
            <a:ext uri="{FF2B5EF4-FFF2-40B4-BE49-F238E27FC236}">
              <a16:creationId xmlns:a16="http://schemas.microsoft.com/office/drawing/2014/main" id="{00000000-0008-0000-1500-000034060000}"/>
            </a:ext>
          </a:extLst>
        </xdr:cNvPr>
        <xdr:cNvGrpSpPr/>
      </xdr:nvGrpSpPr>
      <xdr:grpSpPr>
        <a:xfrm>
          <a:off x="9702462" y="25689136"/>
          <a:ext cx="168225" cy="188795"/>
          <a:chOff x="3850105" y="3654592"/>
          <a:chExt cx="185070" cy="195513"/>
        </a:xfrm>
      </xdr:grpSpPr>
      <xdr:sp macro="" textlink="">
        <xdr:nvSpPr>
          <xdr:cNvPr id="1589" name="직사각형 1588">
            <a:extLst>
              <a:ext uri="{FF2B5EF4-FFF2-40B4-BE49-F238E27FC236}">
                <a16:creationId xmlns:a16="http://schemas.microsoft.com/office/drawing/2014/main" id="{00000000-0008-0000-1500-000035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590" name="순서도: 연결자 1589">
            <a:extLst>
              <a:ext uri="{FF2B5EF4-FFF2-40B4-BE49-F238E27FC236}">
                <a16:creationId xmlns:a16="http://schemas.microsoft.com/office/drawing/2014/main" id="{00000000-0008-0000-1500-000036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33" name="순서도: 연결자 1732">
            <a:extLst>
              <a:ext uri="{FF2B5EF4-FFF2-40B4-BE49-F238E27FC236}">
                <a16:creationId xmlns:a16="http://schemas.microsoft.com/office/drawing/2014/main" id="{00000000-0008-0000-1500-0000C5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34" name="순서도: 연결자 1733">
            <a:extLst>
              <a:ext uri="{FF2B5EF4-FFF2-40B4-BE49-F238E27FC236}">
                <a16:creationId xmlns:a16="http://schemas.microsoft.com/office/drawing/2014/main" id="{00000000-0008-0000-1500-0000C6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35" name="순서도: 연결자 1734">
            <a:extLst>
              <a:ext uri="{FF2B5EF4-FFF2-40B4-BE49-F238E27FC236}">
                <a16:creationId xmlns:a16="http://schemas.microsoft.com/office/drawing/2014/main" id="{00000000-0008-0000-1500-0000C7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167978</xdr:colOff>
      <xdr:row>130</xdr:row>
      <xdr:rowOff>113215</xdr:rowOff>
    </xdr:from>
    <xdr:to>
      <xdr:col>40</xdr:col>
      <xdr:colOff>97764</xdr:colOff>
      <xdr:row>131</xdr:row>
      <xdr:rowOff>98175</xdr:rowOff>
    </xdr:to>
    <xdr:grpSp>
      <xdr:nvGrpSpPr>
        <xdr:cNvPr id="1736" name="그룹 1735">
          <a:extLst>
            <a:ext uri="{FF2B5EF4-FFF2-40B4-BE49-F238E27FC236}">
              <a16:creationId xmlns:a16="http://schemas.microsoft.com/office/drawing/2014/main" id="{00000000-0008-0000-1500-0000C8060000}"/>
            </a:ext>
          </a:extLst>
        </xdr:cNvPr>
        <xdr:cNvGrpSpPr/>
      </xdr:nvGrpSpPr>
      <xdr:grpSpPr>
        <a:xfrm>
          <a:off x="9454853" y="25322715"/>
          <a:ext cx="175849" cy="175460"/>
          <a:chOff x="3850105" y="3654592"/>
          <a:chExt cx="185070" cy="195513"/>
        </a:xfrm>
      </xdr:grpSpPr>
      <xdr:sp macro="" textlink="">
        <xdr:nvSpPr>
          <xdr:cNvPr id="1737" name="직사각형 1736">
            <a:extLst>
              <a:ext uri="{FF2B5EF4-FFF2-40B4-BE49-F238E27FC236}">
                <a16:creationId xmlns:a16="http://schemas.microsoft.com/office/drawing/2014/main" id="{00000000-0008-0000-1500-0000C9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38" name="순서도: 연결자 1737">
            <a:extLst>
              <a:ext uri="{FF2B5EF4-FFF2-40B4-BE49-F238E27FC236}">
                <a16:creationId xmlns:a16="http://schemas.microsoft.com/office/drawing/2014/main" id="{00000000-0008-0000-1500-0000CA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39" name="순서도: 연결자 1738">
            <a:extLst>
              <a:ext uri="{FF2B5EF4-FFF2-40B4-BE49-F238E27FC236}">
                <a16:creationId xmlns:a16="http://schemas.microsoft.com/office/drawing/2014/main" id="{00000000-0008-0000-1500-0000CB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40" name="순서도: 연결자 1739">
            <a:extLst>
              <a:ext uri="{FF2B5EF4-FFF2-40B4-BE49-F238E27FC236}">
                <a16:creationId xmlns:a16="http://schemas.microsoft.com/office/drawing/2014/main" id="{00000000-0008-0000-1500-0000CC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41" name="순서도: 연결자 1740">
            <a:extLst>
              <a:ext uri="{FF2B5EF4-FFF2-40B4-BE49-F238E27FC236}">
                <a16:creationId xmlns:a16="http://schemas.microsoft.com/office/drawing/2014/main" id="{00000000-0008-0000-1500-0000CD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167764</xdr:colOff>
      <xdr:row>130</xdr:row>
      <xdr:rowOff>102587</xdr:rowOff>
    </xdr:from>
    <xdr:to>
      <xdr:col>41</xdr:col>
      <xdr:colOff>93737</xdr:colOff>
      <xdr:row>131</xdr:row>
      <xdr:rowOff>95167</xdr:rowOff>
    </xdr:to>
    <xdr:grpSp>
      <xdr:nvGrpSpPr>
        <xdr:cNvPr id="1742" name="그룹 1741">
          <a:extLst>
            <a:ext uri="{FF2B5EF4-FFF2-40B4-BE49-F238E27FC236}">
              <a16:creationId xmlns:a16="http://schemas.microsoft.com/office/drawing/2014/main" id="{00000000-0008-0000-1500-0000CE060000}"/>
            </a:ext>
          </a:extLst>
        </xdr:cNvPr>
        <xdr:cNvGrpSpPr/>
      </xdr:nvGrpSpPr>
      <xdr:grpSpPr>
        <a:xfrm>
          <a:off x="9700702" y="25312087"/>
          <a:ext cx="172035" cy="183080"/>
          <a:chOff x="3850105" y="3654592"/>
          <a:chExt cx="185070" cy="195513"/>
        </a:xfrm>
      </xdr:grpSpPr>
      <xdr:sp macro="" textlink="">
        <xdr:nvSpPr>
          <xdr:cNvPr id="1743" name="직사각형 1742">
            <a:extLst>
              <a:ext uri="{FF2B5EF4-FFF2-40B4-BE49-F238E27FC236}">
                <a16:creationId xmlns:a16="http://schemas.microsoft.com/office/drawing/2014/main" id="{00000000-0008-0000-1500-0000CF060000}"/>
              </a:ext>
            </a:extLst>
          </xdr:cNvPr>
          <xdr:cNvSpPr/>
        </xdr:nvSpPr>
        <xdr:spPr>
          <a:xfrm>
            <a:off x="3850105" y="3654592"/>
            <a:ext cx="185070" cy="19551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44" name="순서도: 연결자 1743">
            <a:extLst>
              <a:ext uri="{FF2B5EF4-FFF2-40B4-BE49-F238E27FC236}">
                <a16:creationId xmlns:a16="http://schemas.microsoft.com/office/drawing/2014/main" id="{00000000-0008-0000-1500-0000D0060000}"/>
              </a:ext>
            </a:extLst>
          </xdr:cNvPr>
          <xdr:cNvSpPr/>
        </xdr:nvSpPr>
        <xdr:spPr>
          <a:xfrm>
            <a:off x="3875590" y="36905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45" name="순서도: 연결자 1744">
            <a:extLst>
              <a:ext uri="{FF2B5EF4-FFF2-40B4-BE49-F238E27FC236}">
                <a16:creationId xmlns:a16="http://schemas.microsoft.com/office/drawing/2014/main" id="{00000000-0008-0000-1500-0000D1060000}"/>
              </a:ext>
            </a:extLst>
          </xdr:cNvPr>
          <xdr:cNvSpPr/>
        </xdr:nvSpPr>
        <xdr:spPr>
          <a:xfrm>
            <a:off x="3967832" y="36875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46" name="순서도: 연결자 1745">
            <a:extLst>
              <a:ext uri="{FF2B5EF4-FFF2-40B4-BE49-F238E27FC236}">
                <a16:creationId xmlns:a16="http://schemas.microsoft.com/office/drawing/2014/main" id="{00000000-0008-0000-1500-0000D2060000}"/>
              </a:ext>
            </a:extLst>
          </xdr:cNvPr>
          <xdr:cNvSpPr/>
        </xdr:nvSpPr>
        <xdr:spPr>
          <a:xfrm>
            <a:off x="3877600" y="3772738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47" name="순서도: 연결자 1746">
            <a:extLst>
              <a:ext uri="{FF2B5EF4-FFF2-40B4-BE49-F238E27FC236}">
                <a16:creationId xmlns:a16="http://schemas.microsoft.com/office/drawing/2014/main" id="{00000000-0008-0000-1500-0000D3060000}"/>
              </a:ext>
            </a:extLst>
          </xdr:cNvPr>
          <xdr:cNvSpPr/>
        </xdr:nvSpPr>
        <xdr:spPr>
          <a:xfrm>
            <a:off x="3969842" y="376973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40</xdr:col>
      <xdr:colOff>167675</xdr:colOff>
      <xdr:row>128</xdr:row>
      <xdr:rowOff>150163</xdr:rowOff>
    </xdr:from>
    <xdr:to>
      <xdr:col>41</xdr:col>
      <xdr:colOff>93648</xdr:colOff>
      <xdr:row>129</xdr:row>
      <xdr:rowOff>54914</xdr:rowOff>
    </xdr:to>
    <xdr:grpSp>
      <xdr:nvGrpSpPr>
        <xdr:cNvPr id="1752" name="그룹 1751">
          <a:extLst>
            <a:ext uri="{FF2B5EF4-FFF2-40B4-BE49-F238E27FC236}">
              <a16:creationId xmlns:a16="http://schemas.microsoft.com/office/drawing/2014/main" id="{00000000-0008-0000-1500-0000D8060000}"/>
            </a:ext>
          </a:extLst>
        </xdr:cNvPr>
        <xdr:cNvGrpSpPr/>
      </xdr:nvGrpSpPr>
      <xdr:grpSpPr>
        <a:xfrm>
          <a:off x="9700613" y="24978663"/>
          <a:ext cx="172035" cy="95251"/>
          <a:chOff x="2372059" y="3845092"/>
          <a:chExt cx="185070" cy="115303"/>
        </a:xfrm>
      </xdr:grpSpPr>
      <xdr:sp macro="" textlink="">
        <xdr:nvSpPr>
          <xdr:cNvPr id="1753" name="직사각형 1752">
            <a:extLst>
              <a:ext uri="{FF2B5EF4-FFF2-40B4-BE49-F238E27FC236}">
                <a16:creationId xmlns:a16="http://schemas.microsoft.com/office/drawing/2014/main" id="{00000000-0008-0000-1500-0000D9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54" name="순서도: 연결자 1753">
            <a:extLst>
              <a:ext uri="{FF2B5EF4-FFF2-40B4-BE49-F238E27FC236}">
                <a16:creationId xmlns:a16="http://schemas.microsoft.com/office/drawing/2014/main" id="{00000000-0008-0000-1500-0000DA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55" name="순서도: 연결자 1754">
            <a:extLst>
              <a:ext uri="{FF2B5EF4-FFF2-40B4-BE49-F238E27FC236}">
                <a16:creationId xmlns:a16="http://schemas.microsoft.com/office/drawing/2014/main" id="{00000000-0008-0000-1500-0000DB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39</xdr:col>
      <xdr:colOff>132196</xdr:colOff>
      <xdr:row>128</xdr:row>
      <xdr:rowOff>135625</xdr:rowOff>
    </xdr:from>
    <xdr:to>
      <xdr:col>40</xdr:col>
      <xdr:colOff>60077</xdr:colOff>
      <xdr:row>129</xdr:row>
      <xdr:rowOff>57521</xdr:rowOff>
    </xdr:to>
    <xdr:grpSp>
      <xdr:nvGrpSpPr>
        <xdr:cNvPr id="1760" name="그룹 1759">
          <a:extLst>
            <a:ext uri="{FF2B5EF4-FFF2-40B4-BE49-F238E27FC236}">
              <a16:creationId xmlns:a16="http://schemas.microsoft.com/office/drawing/2014/main" id="{00000000-0008-0000-1500-0000E0060000}"/>
            </a:ext>
          </a:extLst>
        </xdr:cNvPr>
        <xdr:cNvGrpSpPr/>
      </xdr:nvGrpSpPr>
      <xdr:grpSpPr>
        <a:xfrm>
          <a:off x="9419071" y="24964125"/>
          <a:ext cx="173944" cy="112396"/>
          <a:chOff x="2372059" y="3845092"/>
          <a:chExt cx="185070" cy="115303"/>
        </a:xfrm>
      </xdr:grpSpPr>
      <xdr:sp macro="" textlink="">
        <xdr:nvSpPr>
          <xdr:cNvPr id="1761" name="직사각형 1760">
            <a:extLst>
              <a:ext uri="{FF2B5EF4-FFF2-40B4-BE49-F238E27FC236}">
                <a16:creationId xmlns:a16="http://schemas.microsoft.com/office/drawing/2014/main" id="{00000000-0008-0000-1500-0000E1060000}"/>
              </a:ext>
            </a:extLst>
          </xdr:cNvPr>
          <xdr:cNvSpPr/>
        </xdr:nvSpPr>
        <xdr:spPr>
          <a:xfrm>
            <a:off x="2372059" y="3845092"/>
            <a:ext cx="185070" cy="115303"/>
          </a:xfrm>
          <a:prstGeom prst="rect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62" name="순서도: 연결자 1761">
            <a:extLst>
              <a:ext uri="{FF2B5EF4-FFF2-40B4-BE49-F238E27FC236}">
                <a16:creationId xmlns:a16="http://schemas.microsoft.com/office/drawing/2014/main" id="{00000000-0008-0000-1500-0000E2060000}"/>
              </a:ext>
            </a:extLst>
          </xdr:cNvPr>
          <xdr:cNvSpPr/>
        </xdr:nvSpPr>
        <xdr:spPr>
          <a:xfrm>
            <a:off x="2397544" y="3881020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1763" name="순서도: 연결자 1762">
            <a:extLst>
              <a:ext uri="{FF2B5EF4-FFF2-40B4-BE49-F238E27FC236}">
                <a16:creationId xmlns:a16="http://schemas.microsoft.com/office/drawing/2014/main" id="{00000000-0008-0000-1500-0000E3060000}"/>
              </a:ext>
            </a:extLst>
          </xdr:cNvPr>
          <xdr:cNvSpPr/>
        </xdr:nvSpPr>
        <xdr:spPr>
          <a:xfrm>
            <a:off x="2489786" y="3878012"/>
            <a:ext cx="45719" cy="45719"/>
          </a:xfrm>
          <a:prstGeom prst="flowChartConnector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</xdr:row>
      <xdr:rowOff>38100</xdr:rowOff>
    </xdr:from>
    <xdr:to>
      <xdr:col>0</xdr:col>
      <xdr:colOff>2724150</xdr:colOff>
      <xdr:row>3</xdr:row>
      <xdr:rowOff>3127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18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6675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676275</xdr:colOff>
      <xdr:row>87</xdr:row>
      <xdr:rowOff>28575</xdr:rowOff>
    </xdr:from>
    <xdr:to>
      <xdr:col>0</xdr:col>
      <xdr:colOff>2834640</xdr:colOff>
      <xdr:row>87</xdr:row>
      <xdr:rowOff>936577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18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6236017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739140</xdr:colOff>
      <xdr:row>70</xdr:row>
      <xdr:rowOff>57150</xdr:rowOff>
    </xdr:from>
    <xdr:to>
      <xdr:col>0</xdr:col>
      <xdr:colOff>2891790</xdr:colOff>
      <xdr:row>71</xdr:row>
      <xdr:rowOff>3127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" y="502158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609600</xdr:colOff>
      <xdr:row>53</xdr:row>
      <xdr:rowOff>76200</xdr:rowOff>
    </xdr:from>
    <xdr:to>
      <xdr:col>0</xdr:col>
      <xdr:colOff>2762250</xdr:colOff>
      <xdr:row>54</xdr:row>
      <xdr:rowOff>22177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18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795200"/>
          <a:ext cx="2148840" cy="913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624840</xdr:colOff>
      <xdr:row>36</xdr:row>
      <xdr:rowOff>38100</xdr:rowOff>
    </xdr:from>
    <xdr:to>
      <xdr:col>0</xdr:col>
      <xdr:colOff>2781300</xdr:colOff>
      <xdr:row>37</xdr:row>
      <xdr:rowOff>3127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18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" y="25298400"/>
          <a:ext cx="215646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781050</xdr:colOff>
      <xdr:row>19</xdr:row>
      <xdr:rowOff>76200</xdr:rowOff>
    </xdr:from>
    <xdr:to>
      <xdr:col>0</xdr:col>
      <xdr:colOff>2933700</xdr:colOff>
      <xdr:row>20</xdr:row>
      <xdr:rowOff>18367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18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128778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444</xdr:row>
      <xdr:rowOff>28575</xdr:rowOff>
    </xdr:from>
    <xdr:to>
      <xdr:col>0</xdr:col>
      <xdr:colOff>2743200</xdr:colOff>
      <xdr:row>444</xdr:row>
      <xdr:rowOff>936577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18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22021200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790575</xdr:colOff>
      <xdr:row>104</xdr:row>
      <xdr:rowOff>9525</xdr:rowOff>
    </xdr:from>
    <xdr:to>
      <xdr:col>0</xdr:col>
      <xdr:colOff>2948940</xdr:colOff>
      <xdr:row>104</xdr:row>
      <xdr:rowOff>934672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18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747522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771525</xdr:colOff>
      <xdr:row>121</xdr:row>
      <xdr:rowOff>19050</xdr:rowOff>
    </xdr:from>
    <xdr:to>
      <xdr:col>0</xdr:col>
      <xdr:colOff>2912745</xdr:colOff>
      <xdr:row>121</xdr:row>
      <xdr:rowOff>936577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18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8680132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476250</xdr:colOff>
      <xdr:row>138</xdr:row>
      <xdr:rowOff>28575</xdr:rowOff>
    </xdr:from>
    <xdr:to>
      <xdr:col>0</xdr:col>
      <xdr:colOff>2628900</xdr:colOff>
      <xdr:row>138</xdr:row>
      <xdr:rowOff>936577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18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9923145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155</xdr:row>
      <xdr:rowOff>9525</xdr:rowOff>
    </xdr:from>
    <xdr:to>
      <xdr:col>0</xdr:col>
      <xdr:colOff>2819400</xdr:colOff>
      <xdr:row>155</xdr:row>
      <xdr:rowOff>934672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18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1116330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571500</xdr:colOff>
      <xdr:row>172</xdr:row>
      <xdr:rowOff>28575</xdr:rowOff>
    </xdr:from>
    <xdr:to>
      <xdr:col>0</xdr:col>
      <xdr:colOff>2724150</xdr:colOff>
      <xdr:row>172</xdr:row>
      <xdr:rowOff>936577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18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12407265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723900</xdr:colOff>
      <xdr:row>189</xdr:row>
      <xdr:rowOff>19050</xdr:rowOff>
    </xdr:from>
    <xdr:to>
      <xdr:col>0</xdr:col>
      <xdr:colOff>2876550</xdr:colOff>
      <xdr:row>189</xdr:row>
      <xdr:rowOff>936577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18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648372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609600</xdr:colOff>
      <xdr:row>206</xdr:row>
      <xdr:rowOff>28575</xdr:rowOff>
    </xdr:from>
    <xdr:to>
      <xdr:col>0</xdr:col>
      <xdr:colOff>2762250</xdr:colOff>
      <xdr:row>206</xdr:row>
      <xdr:rowOff>936577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18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90432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581025</xdr:colOff>
      <xdr:row>223</xdr:row>
      <xdr:rowOff>47625</xdr:rowOff>
    </xdr:from>
    <xdr:to>
      <xdr:col>0</xdr:col>
      <xdr:colOff>2722245</xdr:colOff>
      <xdr:row>224</xdr:row>
      <xdr:rowOff>3127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18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6096297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504825</xdr:colOff>
      <xdr:row>240</xdr:row>
      <xdr:rowOff>19050</xdr:rowOff>
    </xdr:from>
    <xdr:to>
      <xdr:col>0</xdr:col>
      <xdr:colOff>2646045</xdr:colOff>
      <xdr:row>240</xdr:row>
      <xdr:rowOff>936577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18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1733550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815340</xdr:colOff>
      <xdr:row>257</xdr:row>
      <xdr:rowOff>57150</xdr:rowOff>
    </xdr:from>
    <xdr:to>
      <xdr:col>0</xdr:col>
      <xdr:colOff>2950845</xdr:colOff>
      <xdr:row>257</xdr:row>
      <xdr:rowOff>963247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18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186651900"/>
          <a:ext cx="2135505" cy="913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581025</xdr:colOff>
      <xdr:row>274</xdr:row>
      <xdr:rowOff>19050</xdr:rowOff>
    </xdr:from>
    <xdr:to>
      <xdr:col>0</xdr:col>
      <xdr:colOff>2722245</xdr:colOff>
      <xdr:row>274</xdr:row>
      <xdr:rowOff>936577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18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981962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723900</xdr:colOff>
      <xdr:row>291</xdr:row>
      <xdr:rowOff>19050</xdr:rowOff>
    </xdr:from>
    <xdr:to>
      <xdr:col>0</xdr:col>
      <xdr:colOff>2876550</xdr:colOff>
      <xdr:row>291</xdr:row>
      <xdr:rowOff>936577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18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2106168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723900</xdr:colOff>
      <xdr:row>308</xdr:row>
      <xdr:rowOff>9525</xdr:rowOff>
    </xdr:from>
    <xdr:to>
      <xdr:col>0</xdr:col>
      <xdr:colOff>2876550</xdr:colOff>
      <xdr:row>308</xdr:row>
      <xdr:rowOff>934672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18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22301835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638175</xdr:colOff>
      <xdr:row>325</xdr:row>
      <xdr:rowOff>28575</xdr:rowOff>
    </xdr:from>
    <xdr:to>
      <xdr:col>0</xdr:col>
      <xdr:colOff>2796540</xdr:colOff>
      <xdr:row>325</xdr:row>
      <xdr:rowOff>936577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18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2350770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695325</xdr:colOff>
      <xdr:row>342</xdr:row>
      <xdr:rowOff>19050</xdr:rowOff>
    </xdr:from>
    <xdr:to>
      <xdr:col>0</xdr:col>
      <xdr:colOff>2836545</xdr:colOff>
      <xdr:row>342</xdr:row>
      <xdr:rowOff>936577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18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4748807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619125</xdr:colOff>
      <xdr:row>359</xdr:row>
      <xdr:rowOff>19050</xdr:rowOff>
    </xdr:from>
    <xdr:to>
      <xdr:col>0</xdr:col>
      <xdr:colOff>2760345</xdr:colOff>
      <xdr:row>359</xdr:row>
      <xdr:rowOff>936577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18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25990867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376</xdr:row>
      <xdr:rowOff>47625</xdr:rowOff>
    </xdr:from>
    <xdr:to>
      <xdr:col>0</xdr:col>
      <xdr:colOff>2743200</xdr:colOff>
      <xdr:row>377</xdr:row>
      <xdr:rowOff>3127</xdr:rowOff>
    </xdr:to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18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7235785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676275</xdr:colOff>
      <xdr:row>393</xdr:row>
      <xdr:rowOff>19050</xdr:rowOff>
    </xdr:from>
    <xdr:to>
      <xdr:col>0</xdr:col>
      <xdr:colOff>2834640</xdr:colOff>
      <xdr:row>393</xdr:row>
      <xdr:rowOff>936577</xdr:rowOff>
    </xdr:to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18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8474987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410</xdr:row>
      <xdr:rowOff>28575</xdr:rowOff>
    </xdr:from>
    <xdr:to>
      <xdr:col>0</xdr:col>
      <xdr:colOff>2819400</xdr:colOff>
      <xdr:row>410</xdr:row>
      <xdr:rowOff>936577</xdr:rowOff>
    </xdr:to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18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7180000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628650</xdr:colOff>
      <xdr:row>427</xdr:row>
      <xdr:rowOff>19050</xdr:rowOff>
    </xdr:from>
    <xdr:to>
      <xdr:col>0</xdr:col>
      <xdr:colOff>2781300</xdr:colOff>
      <xdr:row>427</xdr:row>
      <xdr:rowOff>936577</xdr:rowOff>
    </xdr:to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18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309591075"/>
          <a:ext cx="215265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781050</xdr:colOff>
      <xdr:row>461</xdr:row>
      <xdr:rowOff>57150</xdr:rowOff>
    </xdr:from>
    <xdr:to>
      <xdr:col>0</xdr:col>
      <xdr:colOff>2929890</xdr:colOff>
      <xdr:row>461</xdr:row>
      <xdr:rowOff>951817</xdr:rowOff>
    </xdr:to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18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335851500"/>
          <a:ext cx="2148840" cy="894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657225</xdr:colOff>
      <xdr:row>478</xdr:row>
      <xdr:rowOff>19050</xdr:rowOff>
    </xdr:from>
    <xdr:to>
      <xdr:col>0</xdr:col>
      <xdr:colOff>2798445</xdr:colOff>
      <xdr:row>478</xdr:row>
      <xdr:rowOff>934672</xdr:rowOff>
    </xdr:to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18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346852875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600075</xdr:colOff>
      <xdr:row>495</xdr:row>
      <xdr:rowOff>0</xdr:rowOff>
    </xdr:from>
    <xdr:to>
      <xdr:col>0</xdr:col>
      <xdr:colOff>2758440</xdr:colOff>
      <xdr:row>495</xdr:row>
      <xdr:rowOff>898477</xdr:rowOff>
    </xdr:to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18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359254425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704850</xdr:colOff>
      <xdr:row>512</xdr:row>
      <xdr:rowOff>47625</xdr:rowOff>
    </xdr:from>
    <xdr:to>
      <xdr:col>0</xdr:col>
      <xdr:colOff>2857500</xdr:colOff>
      <xdr:row>513</xdr:row>
      <xdr:rowOff>3127</xdr:rowOff>
    </xdr:to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18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371722650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495300</xdr:colOff>
      <xdr:row>529</xdr:row>
      <xdr:rowOff>19050</xdr:rowOff>
    </xdr:from>
    <xdr:to>
      <xdr:col>0</xdr:col>
      <xdr:colOff>2647950</xdr:colOff>
      <xdr:row>529</xdr:row>
      <xdr:rowOff>934672</xdr:rowOff>
    </xdr:to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18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4114675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447675</xdr:colOff>
      <xdr:row>546</xdr:row>
      <xdr:rowOff>9525</xdr:rowOff>
    </xdr:from>
    <xdr:to>
      <xdr:col>0</xdr:col>
      <xdr:colOff>2606040</xdr:colOff>
      <xdr:row>546</xdr:row>
      <xdr:rowOff>917527</xdr:rowOff>
    </xdr:to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18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396525750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563</xdr:row>
      <xdr:rowOff>9525</xdr:rowOff>
    </xdr:from>
    <xdr:to>
      <xdr:col>0</xdr:col>
      <xdr:colOff>2743200</xdr:colOff>
      <xdr:row>563</xdr:row>
      <xdr:rowOff>917527</xdr:rowOff>
    </xdr:to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18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408946350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581025</xdr:colOff>
      <xdr:row>580</xdr:row>
      <xdr:rowOff>0</xdr:rowOff>
    </xdr:from>
    <xdr:to>
      <xdr:col>0</xdr:col>
      <xdr:colOff>2722245</xdr:colOff>
      <xdr:row>580</xdr:row>
      <xdr:rowOff>898477</xdr:rowOff>
    </xdr:to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18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421357425"/>
          <a:ext cx="215265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658177</xdr:colOff>
      <xdr:row>597</xdr:row>
      <xdr:rowOff>23812</xdr:rowOff>
    </xdr:from>
    <xdr:to>
      <xdr:col>0</xdr:col>
      <xdr:colOff>2799397</xdr:colOff>
      <xdr:row>597</xdr:row>
      <xdr:rowOff>933719</xdr:rowOff>
    </xdr:to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18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7" y="432958875"/>
          <a:ext cx="2152650" cy="898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452438</xdr:colOff>
      <xdr:row>614</xdr:row>
      <xdr:rowOff>37149</xdr:rowOff>
    </xdr:from>
    <xdr:to>
      <xdr:col>0</xdr:col>
      <xdr:colOff>2606993</xdr:colOff>
      <xdr:row>615</xdr:row>
      <xdr:rowOff>2176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18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438" y="445378524"/>
          <a:ext cx="214884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658178</xdr:colOff>
      <xdr:row>631</xdr:row>
      <xdr:rowOff>47625</xdr:rowOff>
    </xdr:from>
    <xdr:to>
      <xdr:col>0</xdr:col>
      <xdr:colOff>2799398</xdr:colOff>
      <xdr:row>631</xdr:row>
      <xdr:rowOff>936577</xdr:rowOff>
    </xdr:to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18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8178" y="457795313"/>
          <a:ext cx="2152650" cy="898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523875</xdr:colOff>
      <xdr:row>648</xdr:row>
      <xdr:rowOff>37148</xdr:rowOff>
    </xdr:from>
    <xdr:to>
      <xdr:col>0</xdr:col>
      <xdr:colOff>2682240</xdr:colOff>
      <xdr:row>649</xdr:row>
      <xdr:rowOff>2175</xdr:rowOff>
    </xdr:to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18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470191148"/>
          <a:ext cx="214884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600075</xdr:colOff>
      <xdr:row>665</xdr:row>
      <xdr:rowOff>0</xdr:rowOff>
    </xdr:from>
    <xdr:ext cx="2164080" cy="894667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18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" y="358497188"/>
          <a:ext cx="2164080" cy="894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704850</xdr:colOff>
      <xdr:row>682</xdr:row>
      <xdr:rowOff>47625</xdr:rowOff>
    </xdr:from>
    <xdr:ext cx="2156460" cy="906097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18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" y="370953030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495300</xdr:colOff>
      <xdr:row>699</xdr:row>
      <xdr:rowOff>19050</xdr:rowOff>
    </xdr:from>
    <xdr:ext cx="2148840" cy="915622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18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3325053"/>
          <a:ext cx="2148840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447675</xdr:colOff>
      <xdr:row>716</xdr:row>
      <xdr:rowOff>9525</xdr:rowOff>
    </xdr:from>
    <xdr:ext cx="2164080" cy="906097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18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" y="395727555"/>
          <a:ext cx="216408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590550</xdr:colOff>
      <xdr:row>733</xdr:row>
      <xdr:rowOff>9525</xdr:rowOff>
    </xdr:from>
    <xdr:ext cx="2156460" cy="906097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18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" y="408133868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581025</xdr:colOff>
      <xdr:row>750</xdr:row>
      <xdr:rowOff>0</xdr:rowOff>
    </xdr:from>
    <xdr:ext cx="2143125" cy="894667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18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" y="420528750"/>
          <a:ext cx="2143125" cy="894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658177</xdr:colOff>
      <xdr:row>767</xdr:row>
      <xdr:rowOff>23812</xdr:rowOff>
    </xdr:from>
    <xdr:ext cx="2143125" cy="909907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18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082" y="432955065"/>
          <a:ext cx="2143125" cy="909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452438</xdr:colOff>
      <xdr:row>784</xdr:row>
      <xdr:rowOff>37149</xdr:rowOff>
    </xdr:from>
    <xdr:ext cx="2160270" cy="917527"/>
    <xdr:pic>
      <xdr:nvPicPr>
        <xdr:cNvPr id="97" name="그림 96">
          <a:extLst>
            <a:ext uri="{FF2B5EF4-FFF2-40B4-BE49-F238E27FC236}">
              <a16:creationId xmlns:a16="http://schemas.microsoft.com/office/drawing/2014/main" id="{00000000-0008-0000-18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3" y="445378524"/>
          <a:ext cx="216027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658178</xdr:colOff>
      <xdr:row>801</xdr:row>
      <xdr:rowOff>47625</xdr:rowOff>
    </xdr:from>
    <xdr:ext cx="2143125" cy="883237"/>
    <xdr:pic>
      <xdr:nvPicPr>
        <xdr:cNvPr id="98" name="그림 97">
          <a:extLst>
            <a:ext uri="{FF2B5EF4-FFF2-40B4-BE49-F238E27FC236}">
              <a16:creationId xmlns:a16="http://schemas.microsoft.com/office/drawing/2014/main" id="{00000000-0008-0000-18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083" y="457797218"/>
          <a:ext cx="2143125" cy="883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523875</xdr:colOff>
      <xdr:row>818</xdr:row>
      <xdr:rowOff>37148</xdr:rowOff>
    </xdr:from>
    <xdr:ext cx="2164080" cy="917527"/>
    <xdr:pic>
      <xdr:nvPicPr>
        <xdr:cNvPr id="99" name="그림 98">
          <a:extLst>
            <a:ext uri="{FF2B5EF4-FFF2-40B4-BE49-F238E27FC236}">
              <a16:creationId xmlns:a16="http://schemas.microsoft.com/office/drawing/2014/main" id="{00000000-0008-0000-18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" y="470191148"/>
          <a:ext cx="216408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600075</xdr:colOff>
      <xdr:row>835</xdr:row>
      <xdr:rowOff>0</xdr:rowOff>
    </xdr:from>
    <xdr:ext cx="2160270" cy="898477"/>
    <xdr:pic>
      <xdr:nvPicPr>
        <xdr:cNvPr id="100" name="그림 99">
          <a:extLst>
            <a:ext uri="{FF2B5EF4-FFF2-40B4-BE49-F238E27FC236}">
              <a16:creationId xmlns:a16="http://schemas.microsoft.com/office/drawing/2014/main" id="{00000000-0008-0000-18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" y="358497188"/>
          <a:ext cx="2160270" cy="898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704850</xdr:colOff>
      <xdr:row>852</xdr:row>
      <xdr:rowOff>47625</xdr:rowOff>
    </xdr:from>
    <xdr:ext cx="2156460" cy="906097"/>
    <xdr:pic>
      <xdr:nvPicPr>
        <xdr:cNvPr id="101" name="그림 100">
          <a:extLst>
            <a:ext uri="{FF2B5EF4-FFF2-40B4-BE49-F238E27FC236}">
              <a16:creationId xmlns:a16="http://schemas.microsoft.com/office/drawing/2014/main" id="{00000000-0008-0000-18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" y="370953030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495300</xdr:colOff>
      <xdr:row>869</xdr:row>
      <xdr:rowOff>19050</xdr:rowOff>
    </xdr:from>
    <xdr:ext cx="2152650" cy="919432"/>
    <xdr:pic>
      <xdr:nvPicPr>
        <xdr:cNvPr id="102" name="그림 101">
          <a:extLst>
            <a:ext uri="{FF2B5EF4-FFF2-40B4-BE49-F238E27FC236}">
              <a16:creationId xmlns:a16="http://schemas.microsoft.com/office/drawing/2014/main" id="{00000000-0008-0000-18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83325053"/>
          <a:ext cx="2152650" cy="919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447675</xdr:colOff>
      <xdr:row>886</xdr:row>
      <xdr:rowOff>9525</xdr:rowOff>
    </xdr:from>
    <xdr:ext cx="2160270" cy="906097"/>
    <xdr:pic>
      <xdr:nvPicPr>
        <xdr:cNvPr id="103" name="그림 102">
          <a:extLst>
            <a:ext uri="{FF2B5EF4-FFF2-40B4-BE49-F238E27FC236}">
              <a16:creationId xmlns:a16="http://schemas.microsoft.com/office/drawing/2014/main" id="{00000000-0008-0000-18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" y="395727555"/>
          <a:ext cx="216027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590550</xdr:colOff>
      <xdr:row>903</xdr:row>
      <xdr:rowOff>9525</xdr:rowOff>
    </xdr:from>
    <xdr:ext cx="2156460" cy="906097"/>
    <xdr:pic>
      <xdr:nvPicPr>
        <xdr:cNvPr id="104" name="그림 103">
          <a:extLst>
            <a:ext uri="{FF2B5EF4-FFF2-40B4-BE49-F238E27FC236}">
              <a16:creationId xmlns:a16="http://schemas.microsoft.com/office/drawing/2014/main" id="{00000000-0008-0000-18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" y="408133868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581025</xdr:colOff>
      <xdr:row>920</xdr:row>
      <xdr:rowOff>0</xdr:rowOff>
    </xdr:from>
    <xdr:ext cx="2139315" cy="898477"/>
    <xdr:pic>
      <xdr:nvPicPr>
        <xdr:cNvPr id="105" name="그림 104">
          <a:extLst>
            <a:ext uri="{FF2B5EF4-FFF2-40B4-BE49-F238E27FC236}">
              <a16:creationId xmlns:a16="http://schemas.microsoft.com/office/drawing/2014/main" id="{00000000-0008-0000-18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" y="420528750"/>
          <a:ext cx="2139315" cy="898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658177</xdr:colOff>
      <xdr:row>937</xdr:row>
      <xdr:rowOff>23812</xdr:rowOff>
    </xdr:from>
    <xdr:ext cx="2139315" cy="913717"/>
    <xdr:pic>
      <xdr:nvPicPr>
        <xdr:cNvPr id="106" name="그림 105">
          <a:extLst>
            <a:ext uri="{FF2B5EF4-FFF2-40B4-BE49-F238E27FC236}">
              <a16:creationId xmlns:a16="http://schemas.microsoft.com/office/drawing/2014/main" id="{00000000-0008-0000-18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082" y="432955065"/>
          <a:ext cx="2139315" cy="913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452438</xdr:colOff>
      <xdr:row>954</xdr:row>
      <xdr:rowOff>37149</xdr:rowOff>
    </xdr:from>
    <xdr:ext cx="2156460" cy="917527"/>
    <xdr:pic>
      <xdr:nvPicPr>
        <xdr:cNvPr id="107" name="그림 106">
          <a:extLst>
            <a:ext uri="{FF2B5EF4-FFF2-40B4-BE49-F238E27FC236}">
              <a16:creationId xmlns:a16="http://schemas.microsoft.com/office/drawing/2014/main" id="{00000000-0008-0000-18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3" y="445378524"/>
          <a:ext cx="215646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658178</xdr:colOff>
      <xdr:row>971</xdr:row>
      <xdr:rowOff>47625</xdr:rowOff>
    </xdr:from>
    <xdr:ext cx="2139315" cy="887047"/>
    <xdr:pic>
      <xdr:nvPicPr>
        <xdr:cNvPr id="108" name="그림 107">
          <a:extLst>
            <a:ext uri="{FF2B5EF4-FFF2-40B4-BE49-F238E27FC236}">
              <a16:creationId xmlns:a16="http://schemas.microsoft.com/office/drawing/2014/main" id="{00000000-0008-0000-18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083" y="457797218"/>
          <a:ext cx="2139315" cy="887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523875</xdr:colOff>
      <xdr:row>988</xdr:row>
      <xdr:rowOff>37148</xdr:rowOff>
    </xdr:from>
    <xdr:ext cx="2160270" cy="917527"/>
    <xdr:pic>
      <xdr:nvPicPr>
        <xdr:cNvPr id="109" name="그림 108">
          <a:extLst>
            <a:ext uri="{FF2B5EF4-FFF2-40B4-BE49-F238E27FC236}">
              <a16:creationId xmlns:a16="http://schemas.microsoft.com/office/drawing/2014/main" id="{00000000-0008-0000-18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" y="470191148"/>
          <a:ext cx="216027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0</xdr:col>
      <xdr:colOff>571500</xdr:colOff>
      <xdr:row>2</xdr:row>
      <xdr:rowOff>38100</xdr:rowOff>
    </xdr:from>
    <xdr:to>
      <xdr:col>0</xdr:col>
      <xdr:colOff>2724150</xdr:colOff>
      <xdr:row>3</xdr:row>
      <xdr:rowOff>3127</xdr:rowOff>
    </xdr:to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18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657225"/>
          <a:ext cx="214884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721995</xdr:colOff>
      <xdr:row>87</xdr:row>
      <xdr:rowOff>241935</xdr:rowOff>
    </xdr:from>
    <xdr:to>
      <xdr:col>0</xdr:col>
      <xdr:colOff>2872740</xdr:colOff>
      <xdr:row>88</xdr:row>
      <xdr:rowOff>189817</xdr:rowOff>
    </xdr:to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18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" y="62586870"/>
          <a:ext cx="2154555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739140</xdr:colOff>
      <xdr:row>70</xdr:row>
      <xdr:rowOff>57150</xdr:rowOff>
    </xdr:from>
    <xdr:to>
      <xdr:col>0</xdr:col>
      <xdr:colOff>2891790</xdr:colOff>
      <xdr:row>71</xdr:row>
      <xdr:rowOff>3127</xdr:rowOff>
    </xdr:to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18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49973865"/>
          <a:ext cx="2148840" cy="9118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731520</xdr:colOff>
      <xdr:row>53</xdr:row>
      <xdr:rowOff>213360</xdr:rowOff>
    </xdr:from>
    <xdr:to>
      <xdr:col>0</xdr:col>
      <xdr:colOff>2878455</xdr:colOff>
      <xdr:row>54</xdr:row>
      <xdr:rowOff>168862</xdr:rowOff>
    </xdr:to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18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37709475"/>
          <a:ext cx="2148840" cy="913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624840</xdr:colOff>
      <xdr:row>36</xdr:row>
      <xdr:rowOff>38100</xdr:rowOff>
    </xdr:from>
    <xdr:to>
      <xdr:col>0</xdr:col>
      <xdr:colOff>2781300</xdr:colOff>
      <xdr:row>37</xdr:row>
      <xdr:rowOff>3127</xdr:rowOff>
    </xdr:to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18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25117425"/>
          <a:ext cx="2152650" cy="9270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796290</xdr:colOff>
      <xdr:row>19</xdr:row>
      <xdr:rowOff>60960</xdr:rowOff>
    </xdr:from>
    <xdr:to>
      <xdr:col>0</xdr:col>
      <xdr:colOff>2948940</xdr:colOff>
      <xdr:row>20</xdr:row>
      <xdr:rowOff>3127</xdr:rowOff>
    </xdr:to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18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6290" y="12715875"/>
          <a:ext cx="2156460" cy="9080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444</xdr:row>
      <xdr:rowOff>28575</xdr:rowOff>
    </xdr:from>
    <xdr:to>
      <xdr:col>0</xdr:col>
      <xdr:colOff>2743200</xdr:colOff>
      <xdr:row>444</xdr:row>
      <xdr:rowOff>936577</xdr:rowOff>
    </xdr:to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18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" y="322028820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790575</xdr:colOff>
      <xdr:row>104</xdr:row>
      <xdr:rowOff>9525</xdr:rowOff>
    </xdr:from>
    <xdr:to>
      <xdr:col>0</xdr:col>
      <xdr:colOff>2948940</xdr:colOff>
      <xdr:row>104</xdr:row>
      <xdr:rowOff>934672</xdr:rowOff>
    </xdr:to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18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" y="74763630"/>
          <a:ext cx="2164080" cy="919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771525</xdr:colOff>
      <xdr:row>121</xdr:row>
      <xdr:rowOff>19050</xdr:rowOff>
    </xdr:from>
    <xdr:to>
      <xdr:col>0</xdr:col>
      <xdr:colOff>2912745</xdr:colOff>
      <xdr:row>121</xdr:row>
      <xdr:rowOff>936577</xdr:rowOff>
    </xdr:to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18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430" y="86807040"/>
          <a:ext cx="2143125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521970</xdr:colOff>
      <xdr:row>138</xdr:row>
      <xdr:rowOff>257175</xdr:rowOff>
    </xdr:from>
    <xdr:to>
      <xdr:col>0</xdr:col>
      <xdr:colOff>2686050</xdr:colOff>
      <xdr:row>139</xdr:row>
      <xdr:rowOff>212677</xdr:rowOff>
    </xdr:to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18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065" y="99467670"/>
          <a:ext cx="2156460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155</xdr:row>
      <xdr:rowOff>9525</xdr:rowOff>
    </xdr:from>
    <xdr:to>
      <xdr:col>0</xdr:col>
      <xdr:colOff>2819400</xdr:colOff>
      <xdr:row>155</xdr:row>
      <xdr:rowOff>934672</xdr:rowOff>
    </xdr:to>
    <xdr:pic>
      <xdr:nvPicPr>
        <xdr:cNvPr id="110" name="그림 109">
          <a:extLst>
            <a:ext uri="{FF2B5EF4-FFF2-40B4-BE49-F238E27FC236}">
              <a16:creationId xmlns:a16="http://schemas.microsoft.com/office/drawing/2014/main" id="{00000000-0008-0000-18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" y="111644430"/>
          <a:ext cx="2156460" cy="919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556260</xdr:colOff>
      <xdr:row>172</xdr:row>
      <xdr:rowOff>302895</xdr:rowOff>
    </xdr:from>
    <xdr:to>
      <xdr:col>0</xdr:col>
      <xdr:colOff>2724150</xdr:colOff>
      <xdr:row>173</xdr:row>
      <xdr:rowOff>250777</xdr:rowOff>
    </xdr:to>
    <xdr:pic>
      <xdr:nvPicPr>
        <xdr:cNvPr id="111" name="그림 110">
          <a:extLst>
            <a:ext uri="{FF2B5EF4-FFF2-40B4-BE49-F238E27FC236}">
              <a16:creationId xmlns:a16="http://schemas.microsoft.com/office/drawing/2014/main" id="{00000000-0008-0000-18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" y="124356495"/>
          <a:ext cx="2158365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617220</xdr:colOff>
      <xdr:row>189</xdr:row>
      <xdr:rowOff>308610</xdr:rowOff>
    </xdr:from>
    <xdr:to>
      <xdr:col>0</xdr:col>
      <xdr:colOff>2764155</xdr:colOff>
      <xdr:row>190</xdr:row>
      <xdr:rowOff>266017</xdr:rowOff>
    </xdr:to>
    <xdr:pic>
      <xdr:nvPicPr>
        <xdr:cNvPr id="112" name="그림 111">
          <a:extLst>
            <a:ext uri="{FF2B5EF4-FFF2-40B4-BE49-F238E27FC236}">
              <a16:creationId xmlns:a16="http://schemas.microsoft.com/office/drawing/2014/main" id="{00000000-0008-0000-18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136784715"/>
          <a:ext cx="214884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609600</xdr:colOff>
      <xdr:row>206</xdr:row>
      <xdr:rowOff>28575</xdr:rowOff>
    </xdr:from>
    <xdr:to>
      <xdr:col>0</xdr:col>
      <xdr:colOff>2762250</xdr:colOff>
      <xdr:row>206</xdr:row>
      <xdr:rowOff>936577</xdr:rowOff>
    </xdr:to>
    <xdr:pic>
      <xdr:nvPicPr>
        <xdr:cNvPr id="113" name="그림 112">
          <a:extLst>
            <a:ext uri="{FF2B5EF4-FFF2-40B4-BE49-F238E27FC236}">
              <a16:creationId xmlns:a16="http://schemas.microsoft.com/office/drawing/2014/main" id="{00000000-0008-0000-18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8911945"/>
          <a:ext cx="214884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626745</xdr:colOff>
      <xdr:row>223</xdr:row>
      <xdr:rowOff>17145</xdr:rowOff>
    </xdr:from>
    <xdr:to>
      <xdr:col>0</xdr:col>
      <xdr:colOff>2760345</xdr:colOff>
      <xdr:row>223</xdr:row>
      <xdr:rowOff>932767</xdr:rowOff>
    </xdr:to>
    <xdr:pic>
      <xdr:nvPicPr>
        <xdr:cNvPr id="114" name="그림 113">
          <a:extLst>
            <a:ext uri="{FF2B5EF4-FFF2-40B4-BE49-F238E27FC236}">
              <a16:creationId xmlns:a16="http://schemas.microsoft.com/office/drawing/2014/main" id="{00000000-0008-0000-18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" y="160945830"/>
          <a:ext cx="2133600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504825</xdr:colOff>
      <xdr:row>240</xdr:row>
      <xdr:rowOff>19050</xdr:rowOff>
    </xdr:from>
    <xdr:to>
      <xdr:col>0</xdr:col>
      <xdr:colOff>2646045</xdr:colOff>
      <xdr:row>240</xdr:row>
      <xdr:rowOff>936577</xdr:rowOff>
    </xdr:to>
    <xdr:pic>
      <xdr:nvPicPr>
        <xdr:cNvPr id="115" name="그림 114">
          <a:extLst>
            <a:ext uri="{FF2B5EF4-FFF2-40B4-BE49-F238E27FC236}">
              <a16:creationId xmlns:a16="http://schemas.microsoft.com/office/drawing/2014/main" id="{00000000-0008-0000-18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" y="173360715"/>
          <a:ext cx="2143125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815340</xdr:colOff>
      <xdr:row>257</xdr:row>
      <xdr:rowOff>57150</xdr:rowOff>
    </xdr:from>
    <xdr:to>
      <xdr:col>0</xdr:col>
      <xdr:colOff>2950845</xdr:colOff>
      <xdr:row>258</xdr:row>
      <xdr:rowOff>3127</xdr:rowOff>
    </xdr:to>
    <xdr:pic>
      <xdr:nvPicPr>
        <xdr:cNvPr id="116" name="그림 115">
          <a:extLst>
            <a:ext uri="{FF2B5EF4-FFF2-40B4-BE49-F238E27FC236}">
              <a16:creationId xmlns:a16="http://schemas.microsoft.com/office/drawing/2014/main" id="{00000000-0008-0000-18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185819415"/>
          <a:ext cx="2135505" cy="9118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581025</xdr:colOff>
      <xdr:row>274</xdr:row>
      <xdr:rowOff>19050</xdr:rowOff>
    </xdr:from>
    <xdr:to>
      <xdr:col>0</xdr:col>
      <xdr:colOff>2722245</xdr:colOff>
      <xdr:row>274</xdr:row>
      <xdr:rowOff>936577</xdr:rowOff>
    </xdr:to>
    <xdr:pic>
      <xdr:nvPicPr>
        <xdr:cNvPr id="117" name="그림 116">
          <a:extLst>
            <a:ext uri="{FF2B5EF4-FFF2-40B4-BE49-F238E27FC236}">
              <a16:creationId xmlns:a16="http://schemas.microsoft.com/office/drawing/2014/main" id="{00000000-0008-0000-18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" y="198201915"/>
          <a:ext cx="2143125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723900</xdr:colOff>
      <xdr:row>291</xdr:row>
      <xdr:rowOff>19050</xdr:rowOff>
    </xdr:from>
    <xdr:to>
      <xdr:col>0</xdr:col>
      <xdr:colOff>2876550</xdr:colOff>
      <xdr:row>291</xdr:row>
      <xdr:rowOff>936577</xdr:rowOff>
    </xdr:to>
    <xdr:pic>
      <xdr:nvPicPr>
        <xdr:cNvPr id="118" name="그림 117">
          <a:extLst>
            <a:ext uri="{FF2B5EF4-FFF2-40B4-BE49-F238E27FC236}">
              <a16:creationId xmlns:a16="http://schemas.microsoft.com/office/drawing/2014/main" id="{00000000-0008-0000-18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210622515"/>
          <a:ext cx="214884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723900</xdr:colOff>
      <xdr:row>308</xdr:row>
      <xdr:rowOff>9525</xdr:rowOff>
    </xdr:from>
    <xdr:to>
      <xdr:col>0</xdr:col>
      <xdr:colOff>2876550</xdr:colOff>
      <xdr:row>308</xdr:row>
      <xdr:rowOff>934672</xdr:rowOff>
    </xdr:to>
    <xdr:pic>
      <xdr:nvPicPr>
        <xdr:cNvPr id="119" name="그림 118">
          <a:extLst>
            <a:ext uri="{FF2B5EF4-FFF2-40B4-BE49-F238E27FC236}">
              <a16:creationId xmlns:a16="http://schemas.microsoft.com/office/drawing/2014/main" id="{00000000-0008-0000-18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223029780"/>
          <a:ext cx="2148840" cy="919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638175</xdr:colOff>
      <xdr:row>325</xdr:row>
      <xdr:rowOff>28575</xdr:rowOff>
    </xdr:from>
    <xdr:to>
      <xdr:col>0</xdr:col>
      <xdr:colOff>2796540</xdr:colOff>
      <xdr:row>325</xdr:row>
      <xdr:rowOff>936577</xdr:rowOff>
    </xdr:to>
    <xdr:pic>
      <xdr:nvPicPr>
        <xdr:cNvPr id="120" name="그림 119">
          <a:extLst>
            <a:ext uri="{FF2B5EF4-FFF2-40B4-BE49-F238E27FC236}">
              <a16:creationId xmlns:a16="http://schemas.microsoft.com/office/drawing/2014/main" id="{00000000-0008-0000-18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" y="235084620"/>
          <a:ext cx="216408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695325</xdr:colOff>
      <xdr:row>342</xdr:row>
      <xdr:rowOff>19050</xdr:rowOff>
    </xdr:from>
    <xdr:to>
      <xdr:col>0</xdr:col>
      <xdr:colOff>2836545</xdr:colOff>
      <xdr:row>342</xdr:row>
      <xdr:rowOff>936577</xdr:rowOff>
    </xdr:to>
    <xdr:pic>
      <xdr:nvPicPr>
        <xdr:cNvPr id="121" name="그림 120">
          <a:extLst>
            <a:ext uri="{FF2B5EF4-FFF2-40B4-BE49-F238E27FC236}">
              <a16:creationId xmlns:a16="http://schemas.microsoft.com/office/drawing/2014/main" id="{00000000-0008-0000-18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230" y="247493790"/>
          <a:ext cx="2143125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619125</xdr:colOff>
      <xdr:row>359</xdr:row>
      <xdr:rowOff>19050</xdr:rowOff>
    </xdr:from>
    <xdr:to>
      <xdr:col>0</xdr:col>
      <xdr:colOff>2760345</xdr:colOff>
      <xdr:row>359</xdr:row>
      <xdr:rowOff>936577</xdr:rowOff>
    </xdr:to>
    <xdr:pic>
      <xdr:nvPicPr>
        <xdr:cNvPr id="122" name="그림 121">
          <a:extLst>
            <a:ext uri="{FF2B5EF4-FFF2-40B4-BE49-F238E27FC236}">
              <a16:creationId xmlns:a16="http://schemas.microsoft.com/office/drawing/2014/main" id="{00000000-0008-0000-18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030" y="259914390"/>
          <a:ext cx="2143125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376</xdr:row>
      <xdr:rowOff>47625</xdr:rowOff>
    </xdr:from>
    <xdr:to>
      <xdr:col>0</xdr:col>
      <xdr:colOff>2743200</xdr:colOff>
      <xdr:row>377</xdr:row>
      <xdr:rowOff>3127</xdr:rowOff>
    </xdr:to>
    <xdr:pic>
      <xdr:nvPicPr>
        <xdr:cNvPr id="123" name="그림 122">
          <a:extLst>
            <a:ext uri="{FF2B5EF4-FFF2-40B4-BE49-F238E27FC236}">
              <a16:creationId xmlns:a16="http://schemas.microsoft.com/office/drawing/2014/main" id="{00000000-0008-0000-18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" y="272369280"/>
          <a:ext cx="2156460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676275</xdr:colOff>
      <xdr:row>393</xdr:row>
      <xdr:rowOff>19050</xdr:rowOff>
    </xdr:from>
    <xdr:to>
      <xdr:col>0</xdr:col>
      <xdr:colOff>2834640</xdr:colOff>
      <xdr:row>393</xdr:row>
      <xdr:rowOff>936577</xdr:rowOff>
    </xdr:to>
    <xdr:pic>
      <xdr:nvPicPr>
        <xdr:cNvPr id="124" name="그림 123">
          <a:extLst>
            <a:ext uri="{FF2B5EF4-FFF2-40B4-BE49-F238E27FC236}">
              <a16:creationId xmlns:a16="http://schemas.microsoft.com/office/drawing/2014/main" id="{00000000-0008-0000-18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" y="284755590"/>
          <a:ext cx="216408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410</xdr:row>
      <xdr:rowOff>28575</xdr:rowOff>
    </xdr:from>
    <xdr:to>
      <xdr:col>0</xdr:col>
      <xdr:colOff>2819400</xdr:colOff>
      <xdr:row>410</xdr:row>
      <xdr:rowOff>936577</xdr:rowOff>
    </xdr:to>
    <xdr:pic>
      <xdr:nvPicPr>
        <xdr:cNvPr id="125" name="그림 124">
          <a:extLst>
            <a:ext uri="{FF2B5EF4-FFF2-40B4-BE49-F238E27FC236}">
              <a16:creationId xmlns:a16="http://schemas.microsoft.com/office/drawing/2014/main" id="{00000000-0008-0000-18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" y="297187620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628650</xdr:colOff>
      <xdr:row>427</xdr:row>
      <xdr:rowOff>19050</xdr:rowOff>
    </xdr:from>
    <xdr:to>
      <xdr:col>0</xdr:col>
      <xdr:colOff>2781300</xdr:colOff>
      <xdr:row>427</xdr:row>
      <xdr:rowOff>936577</xdr:rowOff>
    </xdr:to>
    <xdr:pic>
      <xdr:nvPicPr>
        <xdr:cNvPr id="126" name="그림 125">
          <a:extLst>
            <a:ext uri="{FF2B5EF4-FFF2-40B4-BE49-F238E27FC236}">
              <a16:creationId xmlns:a16="http://schemas.microsoft.com/office/drawing/2014/main" id="{00000000-0008-0000-18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" y="309596790"/>
          <a:ext cx="215646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781050</xdr:colOff>
      <xdr:row>461</xdr:row>
      <xdr:rowOff>57150</xdr:rowOff>
    </xdr:from>
    <xdr:to>
      <xdr:col>0</xdr:col>
      <xdr:colOff>2929890</xdr:colOff>
      <xdr:row>461</xdr:row>
      <xdr:rowOff>951817</xdr:rowOff>
    </xdr:to>
    <xdr:pic>
      <xdr:nvPicPr>
        <xdr:cNvPr id="127" name="그림 126">
          <a:extLst>
            <a:ext uri="{FF2B5EF4-FFF2-40B4-BE49-F238E27FC236}">
              <a16:creationId xmlns:a16="http://schemas.microsoft.com/office/drawing/2014/main" id="{00000000-0008-0000-18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7240" y="334476090"/>
          <a:ext cx="2152650" cy="898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657225</xdr:colOff>
      <xdr:row>478</xdr:row>
      <xdr:rowOff>19050</xdr:rowOff>
    </xdr:from>
    <xdr:to>
      <xdr:col>0</xdr:col>
      <xdr:colOff>2798445</xdr:colOff>
      <xdr:row>478</xdr:row>
      <xdr:rowOff>934672</xdr:rowOff>
    </xdr:to>
    <xdr:pic>
      <xdr:nvPicPr>
        <xdr:cNvPr id="128" name="그림 127">
          <a:extLst>
            <a:ext uri="{FF2B5EF4-FFF2-40B4-BE49-F238E27FC236}">
              <a16:creationId xmlns:a16="http://schemas.microsoft.com/office/drawing/2014/main" id="{00000000-0008-0000-18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" y="346858590"/>
          <a:ext cx="2143125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706755</xdr:colOff>
      <xdr:row>495</xdr:row>
      <xdr:rowOff>685800</xdr:rowOff>
    </xdr:from>
    <xdr:to>
      <xdr:col>0</xdr:col>
      <xdr:colOff>2876550</xdr:colOff>
      <xdr:row>496</xdr:row>
      <xdr:rowOff>631777</xdr:rowOff>
    </xdr:to>
    <xdr:pic>
      <xdr:nvPicPr>
        <xdr:cNvPr id="129" name="그림 128">
          <a:extLst>
            <a:ext uri="{FF2B5EF4-FFF2-40B4-BE49-F238E27FC236}">
              <a16:creationId xmlns:a16="http://schemas.microsoft.com/office/drawing/2014/main" id="{00000000-0008-0000-18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" y="359949750"/>
          <a:ext cx="2164080" cy="904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704850</xdr:colOff>
      <xdr:row>512</xdr:row>
      <xdr:rowOff>78105</xdr:rowOff>
    </xdr:from>
    <xdr:to>
      <xdr:col>0</xdr:col>
      <xdr:colOff>2857500</xdr:colOff>
      <xdr:row>513</xdr:row>
      <xdr:rowOff>18367</xdr:rowOff>
    </xdr:to>
    <xdr:pic>
      <xdr:nvPicPr>
        <xdr:cNvPr id="130" name="그림 129">
          <a:extLst>
            <a:ext uri="{FF2B5EF4-FFF2-40B4-BE49-F238E27FC236}">
              <a16:creationId xmlns:a16="http://schemas.microsoft.com/office/drawing/2014/main" id="{00000000-0008-0000-18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040" y="371762655"/>
          <a:ext cx="2156460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525780</xdr:colOff>
      <xdr:row>529</xdr:row>
      <xdr:rowOff>34290</xdr:rowOff>
    </xdr:from>
    <xdr:to>
      <xdr:col>0</xdr:col>
      <xdr:colOff>2686050</xdr:colOff>
      <xdr:row>529</xdr:row>
      <xdr:rowOff>949912</xdr:rowOff>
    </xdr:to>
    <xdr:pic>
      <xdr:nvPicPr>
        <xdr:cNvPr id="131" name="그림 130">
          <a:extLst>
            <a:ext uri="{FF2B5EF4-FFF2-40B4-BE49-F238E27FC236}">
              <a16:creationId xmlns:a16="http://schemas.microsoft.com/office/drawing/2014/main" id="{00000000-0008-0000-18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384139440"/>
          <a:ext cx="2158365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676275</xdr:colOff>
      <xdr:row>546</xdr:row>
      <xdr:rowOff>85725</xdr:rowOff>
    </xdr:from>
    <xdr:to>
      <xdr:col>0</xdr:col>
      <xdr:colOff>2834640</xdr:colOff>
      <xdr:row>547</xdr:row>
      <xdr:rowOff>18367</xdr:rowOff>
    </xdr:to>
    <xdr:pic>
      <xdr:nvPicPr>
        <xdr:cNvPr id="132" name="그림 131">
          <a:extLst>
            <a:ext uri="{FF2B5EF4-FFF2-40B4-BE49-F238E27FC236}">
              <a16:creationId xmlns:a16="http://schemas.microsoft.com/office/drawing/2014/main" id="{00000000-0008-0000-18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370" y="396613380"/>
          <a:ext cx="216408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651510</xdr:colOff>
      <xdr:row>563</xdr:row>
      <xdr:rowOff>9525</xdr:rowOff>
    </xdr:from>
    <xdr:to>
      <xdr:col>0</xdr:col>
      <xdr:colOff>2796540</xdr:colOff>
      <xdr:row>563</xdr:row>
      <xdr:rowOff>917527</xdr:rowOff>
    </xdr:to>
    <xdr:pic>
      <xdr:nvPicPr>
        <xdr:cNvPr id="133" name="그림 132">
          <a:extLst>
            <a:ext uri="{FF2B5EF4-FFF2-40B4-BE49-F238E27FC236}">
              <a16:creationId xmlns:a16="http://schemas.microsoft.com/office/drawing/2014/main" id="{00000000-0008-0000-18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" y="408957780"/>
          <a:ext cx="2146935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565785</xdr:colOff>
      <xdr:row>580</xdr:row>
      <xdr:rowOff>30480</xdr:rowOff>
    </xdr:from>
    <xdr:to>
      <xdr:col>0</xdr:col>
      <xdr:colOff>2707005</xdr:colOff>
      <xdr:row>580</xdr:row>
      <xdr:rowOff>936577</xdr:rowOff>
    </xdr:to>
    <xdr:pic>
      <xdr:nvPicPr>
        <xdr:cNvPr id="134" name="그림 133">
          <a:extLst>
            <a:ext uri="{FF2B5EF4-FFF2-40B4-BE49-F238E27FC236}">
              <a16:creationId xmlns:a16="http://schemas.microsoft.com/office/drawing/2014/main" id="{00000000-0008-0000-18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" y="421395525"/>
          <a:ext cx="2143125" cy="9041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627697</xdr:colOff>
      <xdr:row>597</xdr:row>
      <xdr:rowOff>54292</xdr:rowOff>
    </xdr:from>
    <xdr:to>
      <xdr:col>0</xdr:col>
      <xdr:colOff>2761297</xdr:colOff>
      <xdr:row>598</xdr:row>
      <xdr:rowOff>19319</xdr:rowOff>
    </xdr:to>
    <xdr:pic>
      <xdr:nvPicPr>
        <xdr:cNvPr id="135" name="그림 134">
          <a:extLst>
            <a:ext uri="{FF2B5EF4-FFF2-40B4-BE49-F238E27FC236}">
              <a16:creationId xmlns:a16="http://schemas.microsoft.com/office/drawing/2014/main" id="{00000000-0008-0000-18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" y="433845652"/>
          <a:ext cx="2133600" cy="909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635318</xdr:colOff>
      <xdr:row>614</xdr:row>
      <xdr:rowOff>692469</xdr:rowOff>
    </xdr:from>
    <xdr:to>
      <xdr:col>0</xdr:col>
      <xdr:colOff>2801303</xdr:colOff>
      <xdr:row>615</xdr:row>
      <xdr:rowOff>663211</xdr:rowOff>
    </xdr:to>
    <xdr:pic>
      <xdr:nvPicPr>
        <xdr:cNvPr id="136" name="그림 135">
          <a:extLst>
            <a:ext uri="{FF2B5EF4-FFF2-40B4-BE49-F238E27FC236}">
              <a16:creationId xmlns:a16="http://schemas.microsoft.com/office/drawing/2014/main" id="{00000000-0008-0000-18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8" y="446902524"/>
          <a:ext cx="2160270" cy="9270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703898</xdr:colOff>
      <xdr:row>631</xdr:row>
      <xdr:rowOff>62865</xdr:rowOff>
    </xdr:from>
    <xdr:to>
      <xdr:col>0</xdr:col>
      <xdr:colOff>2837498</xdr:colOff>
      <xdr:row>631</xdr:row>
      <xdr:rowOff>951817</xdr:rowOff>
    </xdr:to>
    <xdr:pic>
      <xdr:nvPicPr>
        <xdr:cNvPr id="137" name="그림 136">
          <a:extLst>
            <a:ext uri="{FF2B5EF4-FFF2-40B4-BE49-F238E27FC236}">
              <a16:creationId xmlns:a16="http://schemas.microsoft.com/office/drawing/2014/main" id="{00000000-0008-0000-18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7708" y="458687805"/>
          <a:ext cx="2133600" cy="892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569595</xdr:colOff>
      <xdr:row>648</xdr:row>
      <xdr:rowOff>98108</xdr:rowOff>
    </xdr:from>
    <xdr:to>
      <xdr:col>0</xdr:col>
      <xdr:colOff>2720340</xdr:colOff>
      <xdr:row>649</xdr:row>
      <xdr:rowOff>55515</xdr:rowOff>
    </xdr:to>
    <xdr:pic>
      <xdr:nvPicPr>
        <xdr:cNvPr id="138" name="그림 137">
          <a:extLst>
            <a:ext uri="{FF2B5EF4-FFF2-40B4-BE49-F238E27FC236}">
              <a16:creationId xmlns:a16="http://schemas.microsoft.com/office/drawing/2014/main" id="{00000000-0008-0000-18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" y="471143648"/>
          <a:ext cx="2154555" cy="9270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645795</xdr:colOff>
      <xdr:row>665</xdr:row>
      <xdr:rowOff>45720</xdr:rowOff>
    </xdr:from>
    <xdr:ext cx="2164080" cy="894667"/>
    <xdr:pic>
      <xdr:nvPicPr>
        <xdr:cNvPr id="139" name="그림 138">
          <a:extLst>
            <a:ext uri="{FF2B5EF4-FFF2-40B4-BE49-F238E27FC236}">
              <a16:creationId xmlns:a16="http://schemas.microsoft.com/office/drawing/2014/main" id="{00000000-0008-0000-18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483517575"/>
          <a:ext cx="2164080" cy="894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735330</xdr:colOff>
      <xdr:row>682</xdr:row>
      <xdr:rowOff>47625</xdr:rowOff>
    </xdr:from>
    <xdr:ext cx="2156460" cy="906097"/>
    <xdr:pic>
      <xdr:nvPicPr>
        <xdr:cNvPr id="140" name="그림 139">
          <a:extLst>
            <a:ext uri="{FF2B5EF4-FFF2-40B4-BE49-F238E27FC236}">
              <a16:creationId xmlns:a16="http://schemas.microsoft.com/office/drawing/2014/main" id="{00000000-0008-0000-18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" y="495940080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525780</xdr:colOff>
      <xdr:row>699</xdr:row>
      <xdr:rowOff>95250</xdr:rowOff>
    </xdr:from>
    <xdr:ext cx="2148840" cy="915622"/>
    <xdr:pic>
      <xdr:nvPicPr>
        <xdr:cNvPr id="141" name="그림 140">
          <a:extLst>
            <a:ext uri="{FF2B5EF4-FFF2-40B4-BE49-F238E27FC236}">
              <a16:creationId xmlns:a16="http://schemas.microsoft.com/office/drawing/2014/main" id="{00000000-0008-0000-18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508402590"/>
          <a:ext cx="2148840" cy="915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569595</xdr:colOff>
      <xdr:row>716</xdr:row>
      <xdr:rowOff>40005</xdr:rowOff>
    </xdr:from>
    <xdr:ext cx="2164080" cy="906097"/>
    <xdr:pic>
      <xdr:nvPicPr>
        <xdr:cNvPr id="142" name="그림 141">
          <a:extLst>
            <a:ext uri="{FF2B5EF4-FFF2-40B4-BE49-F238E27FC236}">
              <a16:creationId xmlns:a16="http://schemas.microsoft.com/office/drawing/2014/main" id="{00000000-0008-0000-18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" y="520771755"/>
          <a:ext cx="216408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651510</xdr:colOff>
      <xdr:row>733</xdr:row>
      <xdr:rowOff>55245</xdr:rowOff>
    </xdr:from>
    <xdr:ext cx="2156460" cy="906097"/>
    <xdr:pic>
      <xdr:nvPicPr>
        <xdr:cNvPr id="143" name="그림 142">
          <a:extLst>
            <a:ext uri="{FF2B5EF4-FFF2-40B4-BE49-F238E27FC236}">
              <a16:creationId xmlns:a16="http://schemas.microsoft.com/office/drawing/2014/main" id="{00000000-0008-0000-18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415" y="533211405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657225</xdr:colOff>
      <xdr:row>750</xdr:row>
      <xdr:rowOff>45720</xdr:rowOff>
    </xdr:from>
    <xdr:ext cx="2143125" cy="894667"/>
    <xdr:pic>
      <xdr:nvPicPr>
        <xdr:cNvPr id="144" name="그림 143">
          <a:extLst>
            <a:ext uri="{FF2B5EF4-FFF2-40B4-BE49-F238E27FC236}">
              <a16:creationId xmlns:a16="http://schemas.microsoft.com/office/drawing/2014/main" id="{00000000-0008-0000-18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" y="545620575"/>
          <a:ext cx="2143125" cy="894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703897</xdr:colOff>
      <xdr:row>767</xdr:row>
      <xdr:rowOff>8572</xdr:rowOff>
    </xdr:from>
    <xdr:ext cx="2143125" cy="909907"/>
    <xdr:pic>
      <xdr:nvPicPr>
        <xdr:cNvPr id="145" name="그림 144">
          <a:extLst>
            <a:ext uri="{FF2B5EF4-FFF2-40B4-BE49-F238E27FC236}">
              <a16:creationId xmlns:a16="http://schemas.microsoft.com/office/drawing/2014/main" id="{00000000-0008-0000-18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7707" y="558004027"/>
          <a:ext cx="2143125" cy="909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620078</xdr:colOff>
      <xdr:row>784</xdr:row>
      <xdr:rowOff>21909</xdr:rowOff>
    </xdr:from>
    <xdr:ext cx="2160270" cy="917527"/>
    <xdr:pic>
      <xdr:nvPicPr>
        <xdr:cNvPr id="146" name="그림 145">
          <a:extLst>
            <a:ext uri="{FF2B5EF4-FFF2-40B4-BE49-F238E27FC236}">
              <a16:creationId xmlns:a16="http://schemas.microsoft.com/office/drawing/2014/main" id="{00000000-0008-0000-18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983" y="570432249"/>
          <a:ext cx="216027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749618</xdr:colOff>
      <xdr:row>801</xdr:row>
      <xdr:rowOff>17145</xdr:rowOff>
    </xdr:from>
    <xdr:ext cx="2143125" cy="883237"/>
    <xdr:pic>
      <xdr:nvPicPr>
        <xdr:cNvPr id="147" name="그림 146">
          <a:extLst>
            <a:ext uri="{FF2B5EF4-FFF2-40B4-BE49-F238E27FC236}">
              <a16:creationId xmlns:a16="http://schemas.microsoft.com/office/drawing/2014/main" id="{00000000-0008-0000-18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8" y="582855705"/>
          <a:ext cx="2143125" cy="883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569595</xdr:colOff>
      <xdr:row>818</xdr:row>
      <xdr:rowOff>52388</xdr:rowOff>
    </xdr:from>
    <xdr:ext cx="2164080" cy="917527"/>
    <xdr:pic>
      <xdr:nvPicPr>
        <xdr:cNvPr id="148" name="그림 147">
          <a:extLst>
            <a:ext uri="{FF2B5EF4-FFF2-40B4-BE49-F238E27FC236}">
              <a16:creationId xmlns:a16="http://schemas.microsoft.com/office/drawing/2014/main" id="{00000000-0008-0000-18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" y="595311548"/>
          <a:ext cx="216408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645795</xdr:colOff>
      <xdr:row>835</xdr:row>
      <xdr:rowOff>45720</xdr:rowOff>
    </xdr:from>
    <xdr:ext cx="2160270" cy="898477"/>
    <xdr:pic>
      <xdr:nvPicPr>
        <xdr:cNvPr id="149" name="그림 148">
          <a:extLst>
            <a:ext uri="{FF2B5EF4-FFF2-40B4-BE49-F238E27FC236}">
              <a16:creationId xmlns:a16="http://schemas.microsoft.com/office/drawing/2014/main" id="{00000000-0008-0000-18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607723575"/>
          <a:ext cx="2160270" cy="898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765810</xdr:colOff>
      <xdr:row>852</xdr:row>
      <xdr:rowOff>47625</xdr:rowOff>
    </xdr:from>
    <xdr:ext cx="2156460" cy="906097"/>
    <xdr:pic>
      <xdr:nvPicPr>
        <xdr:cNvPr id="150" name="그림 149">
          <a:extLst>
            <a:ext uri="{FF2B5EF4-FFF2-40B4-BE49-F238E27FC236}">
              <a16:creationId xmlns:a16="http://schemas.microsoft.com/office/drawing/2014/main" id="{00000000-0008-0000-18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" y="620146080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525780</xdr:colOff>
      <xdr:row>869</xdr:row>
      <xdr:rowOff>19050</xdr:rowOff>
    </xdr:from>
    <xdr:ext cx="2152650" cy="919432"/>
    <xdr:pic>
      <xdr:nvPicPr>
        <xdr:cNvPr id="151" name="그림 150">
          <a:extLst>
            <a:ext uri="{FF2B5EF4-FFF2-40B4-BE49-F238E27FC236}">
              <a16:creationId xmlns:a16="http://schemas.microsoft.com/office/drawing/2014/main" id="{00000000-0008-0000-18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632532390"/>
          <a:ext cx="2152650" cy="9194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661035</xdr:colOff>
      <xdr:row>886</xdr:row>
      <xdr:rowOff>177165</xdr:rowOff>
    </xdr:from>
    <xdr:ext cx="2160270" cy="906097"/>
    <xdr:pic>
      <xdr:nvPicPr>
        <xdr:cNvPr id="152" name="그림 151">
          <a:extLst>
            <a:ext uri="{FF2B5EF4-FFF2-40B4-BE49-F238E27FC236}">
              <a16:creationId xmlns:a16="http://schemas.microsoft.com/office/drawing/2014/main" id="{00000000-0008-0000-18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4845" y="645111105"/>
          <a:ext cx="216027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621030</xdr:colOff>
      <xdr:row>903</xdr:row>
      <xdr:rowOff>116205</xdr:rowOff>
    </xdr:from>
    <xdr:ext cx="2156460" cy="906097"/>
    <xdr:pic>
      <xdr:nvPicPr>
        <xdr:cNvPr id="153" name="그림 152">
          <a:extLst>
            <a:ext uri="{FF2B5EF4-FFF2-40B4-BE49-F238E27FC236}">
              <a16:creationId xmlns:a16="http://schemas.microsoft.com/office/drawing/2014/main" id="{00000000-0008-0000-18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840" y="657474555"/>
          <a:ext cx="2156460" cy="906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626745</xdr:colOff>
      <xdr:row>920</xdr:row>
      <xdr:rowOff>60960</xdr:rowOff>
    </xdr:from>
    <xdr:ext cx="2139315" cy="898477"/>
    <xdr:pic>
      <xdr:nvPicPr>
        <xdr:cNvPr id="154" name="그림 153">
          <a:extLst>
            <a:ext uri="{FF2B5EF4-FFF2-40B4-BE49-F238E27FC236}">
              <a16:creationId xmlns:a16="http://schemas.microsoft.com/office/drawing/2014/main" id="{00000000-0008-0000-18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" y="669836100"/>
          <a:ext cx="2139315" cy="898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780097</xdr:colOff>
      <xdr:row>937</xdr:row>
      <xdr:rowOff>176212</xdr:rowOff>
    </xdr:from>
    <xdr:ext cx="2139315" cy="913717"/>
    <xdr:pic>
      <xdr:nvPicPr>
        <xdr:cNvPr id="155" name="그림 154">
          <a:extLst>
            <a:ext uri="{FF2B5EF4-FFF2-40B4-BE49-F238E27FC236}">
              <a16:creationId xmlns:a16="http://schemas.microsoft.com/office/drawing/2014/main" id="{00000000-0008-0000-18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3907" y="682371952"/>
          <a:ext cx="2139315" cy="913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620078</xdr:colOff>
      <xdr:row>953</xdr:row>
      <xdr:rowOff>418149</xdr:rowOff>
    </xdr:from>
    <xdr:ext cx="2156460" cy="917527"/>
    <xdr:pic>
      <xdr:nvPicPr>
        <xdr:cNvPr id="156" name="그림 155">
          <a:extLst>
            <a:ext uri="{FF2B5EF4-FFF2-40B4-BE49-F238E27FC236}">
              <a16:creationId xmlns:a16="http://schemas.microsoft.com/office/drawing/2014/main" id="{00000000-0008-0000-18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983" y="694590624"/>
          <a:ext cx="215646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902018</xdr:colOff>
      <xdr:row>971</xdr:row>
      <xdr:rowOff>62865</xdr:rowOff>
    </xdr:from>
    <xdr:ext cx="2139315" cy="887047"/>
    <xdr:pic>
      <xdr:nvPicPr>
        <xdr:cNvPr id="157" name="그림 156">
          <a:extLst>
            <a:ext uri="{FF2B5EF4-FFF2-40B4-BE49-F238E27FC236}">
              <a16:creationId xmlns:a16="http://schemas.microsoft.com/office/drawing/2014/main" id="{00000000-0008-0000-18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8" y="707099805"/>
          <a:ext cx="2139315" cy="8870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706755</xdr:colOff>
      <xdr:row>988</xdr:row>
      <xdr:rowOff>67628</xdr:rowOff>
    </xdr:from>
    <xdr:ext cx="2160270" cy="917527"/>
    <xdr:pic>
      <xdr:nvPicPr>
        <xdr:cNvPr id="158" name="그림 157">
          <a:extLst>
            <a:ext uri="{FF2B5EF4-FFF2-40B4-BE49-F238E27FC236}">
              <a16:creationId xmlns:a16="http://schemas.microsoft.com/office/drawing/2014/main" id="{00000000-0008-0000-18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" y="719527073"/>
          <a:ext cx="2160270" cy="917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689;&#49457;ACC\&#53440;&#49324;COWORK\Yagiz%20Enerji%20Makina\SUDES%20MAKINA\PROGRAM_BOM_20200427-TEST_New_Wa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689;&#49457;ACC\Factory_Setup_Project\Saudi_Al%20Muhaideb%20National%20Tanks\Program\BOM\MNT_BOM_TEST20042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_TOOL"/>
      <sheetName val="PRINTOUT(BOM)"/>
      <sheetName val="PRINTOUT(WT)"/>
      <sheetName val="PRINTOUT(COST)"/>
      <sheetName val="Panel"/>
      <sheetName val="BoltnNuts"/>
      <sheetName val="Steel_Skid"/>
      <sheetName val="Exteral_Reinforcing"/>
      <sheetName val="Internal_Reinforcing"/>
      <sheetName val="Fittings"/>
      <sheetName val="ETC"/>
      <sheetName val="Internal_Tie_rod"/>
      <sheetName val="TANK PFI"/>
      <sheetName val="PACKING"/>
      <sheetName val="PACKING(PRINT)"/>
      <sheetName val="PART_ID_TABLE"/>
      <sheetName val="LOOKUP_TABLE"/>
    </sheetNames>
    <sheetDataSet>
      <sheetData sheetId="0">
        <row r="11">
          <cell r="K11">
            <v>1</v>
          </cell>
        </row>
        <row r="64">
          <cell r="B64">
            <v>20</v>
          </cell>
          <cell r="D64">
            <v>10</v>
          </cell>
          <cell r="F64">
            <v>15</v>
          </cell>
          <cell r="H64">
            <v>0</v>
          </cell>
          <cell r="J64">
            <v>0</v>
          </cell>
          <cell r="L64">
            <v>3</v>
          </cell>
          <cell r="U64">
            <v>86</v>
          </cell>
        </row>
        <row r="67">
          <cell r="B67">
            <v>20</v>
          </cell>
          <cell r="C67">
            <v>0</v>
          </cell>
          <cell r="D67">
            <v>10</v>
          </cell>
          <cell r="E67">
            <v>0</v>
          </cell>
          <cell r="F67">
            <v>15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3</v>
          </cell>
          <cell r="M67">
            <v>0</v>
          </cell>
        </row>
        <row r="68">
          <cell r="K68">
            <v>25</v>
          </cell>
        </row>
        <row r="70">
          <cell r="K70">
            <v>25</v>
          </cell>
        </row>
        <row r="71">
          <cell r="K71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_TOOL"/>
      <sheetName val="PRINTOUT(BOM)"/>
      <sheetName val="PANEL_JOB_ORDER"/>
      <sheetName val="PANEL_PACKING"/>
      <sheetName val="PANEL_PACKING(PRINT)"/>
      <sheetName val="PRINTOUT(COST)"/>
      <sheetName val="PRINTOUT(WT)"/>
      <sheetName val="TANK PFI"/>
      <sheetName val="Panel2"/>
      <sheetName val="Panel"/>
      <sheetName val="WO_PANEL"/>
      <sheetName val="Steel_Skid"/>
      <sheetName val="BoltnNuts"/>
      <sheetName val="External_Reinforcing"/>
      <sheetName val="Internal_Reinforcing"/>
      <sheetName val="Exteral_Reinforcing System"/>
      <sheetName val="Internal_Tie_rod1"/>
      <sheetName val="Fittings"/>
      <sheetName val="ETC"/>
      <sheetName val="Panel_Config"/>
      <sheetName val="Steel_Accessories_Config"/>
      <sheetName val="PANEL_CODE (2)"/>
      <sheetName val="REFERENCE"/>
      <sheetName val="PACKING"/>
      <sheetName val="PACKING(PRINT)"/>
      <sheetName val="PART_ID_TABLE"/>
      <sheetName val="Weight_Tab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표2_45" displayName="표2_45" ref="K6:Y33" headerRowCount="0" totalsRowShown="0" headerRowDxfId="104" dataDxfId="103" totalsRowDxfId="101" tableBorderDxfId="102" totalsRowBorderDxfId="100">
  <tableColumns count="15">
    <tableColumn id="1" xr3:uid="{00000000-0010-0000-0000-000001000000}" name="열1" headerRowDxfId="99" dataDxfId="98"/>
    <tableColumn id="4" xr3:uid="{00000000-0010-0000-0000-000004000000}" name="열4" headerRowDxfId="97" dataDxfId="96">
      <calculatedColumnFormula>IF(BASIC_TOOL!$C$23=1,M6,IF(BASIC_TOOL!$C$23=2,N6,IF(BASIC_TOOL!$C$23=3,O6)))</calculatedColumnFormula>
    </tableColumn>
    <tableColumn id="3" xr3:uid="{00000000-0010-0000-0000-000003000000}" name="열3" headerRowDxfId="95" dataDxfId="94"/>
    <tableColumn id="25" xr3:uid="{00000000-0010-0000-0000-000019000000}" name="열25" headerRowDxfId="93" dataDxfId="92"/>
    <tableColumn id="2" xr3:uid="{00000000-0010-0000-0000-000002000000}" name="열2" headerRowDxfId="91" dataDxfId="90"/>
    <tableColumn id="5" xr3:uid="{00000000-0010-0000-0000-000005000000}" name="열5" headerRowDxfId="89" dataDxfId="88"/>
    <tableColumn id="7" xr3:uid="{00000000-0010-0000-0000-000007000000}" name="열7" headerRowDxfId="87" dataDxfId="86"/>
    <tableColumn id="9" xr3:uid="{00000000-0010-0000-0000-000009000000}" name="열9" headerRowDxfId="85" dataDxfId="84"/>
    <tableColumn id="11" xr3:uid="{00000000-0010-0000-0000-00000B000000}" name="열11" headerRowDxfId="83" dataDxfId="82"/>
    <tableColumn id="14" xr3:uid="{00000000-0010-0000-0000-00000E000000}" name="열14" headerRowDxfId="81" dataDxfId="80"/>
    <tableColumn id="16" xr3:uid="{00000000-0010-0000-0000-000010000000}" name="열16" headerRowDxfId="79" dataDxfId="78"/>
    <tableColumn id="18" xr3:uid="{00000000-0010-0000-0000-000012000000}" name="열18" headerRowDxfId="77" dataDxfId="76"/>
    <tableColumn id="20" xr3:uid="{00000000-0010-0000-0000-000014000000}" name="열20" headerRowDxfId="75" dataDxfId="74"/>
    <tableColumn id="22" xr3:uid="{00000000-0010-0000-0000-000016000000}" name="열22" headerRowDxfId="73" dataDxfId="72"/>
    <tableColumn id="24" xr3:uid="{00000000-0010-0000-0000-000018000000}" name="열24" headerRowDxfId="71" dataDxfId="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2_4" displayName="표2_4" ref="L6:Z26" headerRowCount="0" totalsRowShown="0" headerRowDxfId="69" dataDxfId="68" totalsRowDxfId="66" tableBorderDxfId="67" totalsRowBorderDxfId="65">
  <tableColumns count="15">
    <tableColumn id="1" xr3:uid="{00000000-0010-0000-0100-000001000000}" name="열1" headerRowDxfId="64" dataDxfId="63"/>
    <tableColumn id="4" xr3:uid="{00000000-0010-0000-0100-000004000000}" name="열4" headerRowDxfId="62" dataDxfId="61">
      <calculatedColumnFormula>IF(BASIC_TOOL!$C$23=1,N6,IF(BASIC_TOOL!$C$23=2,O6,IF(BASIC_TOOL!$C$23=3,P6)))</calculatedColumnFormula>
    </tableColumn>
    <tableColumn id="3" xr3:uid="{00000000-0010-0000-0100-000003000000}" name="열3" headerRowDxfId="60" dataDxfId="59"/>
    <tableColumn id="25" xr3:uid="{00000000-0010-0000-0100-000019000000}" name="열25" headerRowDxfId="58" dataDxfId="57"/>
    <tableColumn id="2" xr3:uid="{00000000-0010-0000-0100-000002000000}" name="열2" headerRowDxfId="56" dataDxfId="55"/>
    <tableColumn id="5" xr3:uid="{00000000-0010-0000-0100-000005000000}" name="열5" headerRowDxfId="54" dataDxfId="53"/>
    <tableColumn id="7" xr3:uid="{00000000-0010-0000-0100-000007000000}" name="열7" headerRowDxfId="52" dataDxfId="51"/>
    <tableColumn id="9" xr3:uid="{00000000-0010-0000-0100-000009000000}" name="열9" headerRowDxfId="50" dataDxfId="49"/>
    <tableColumn id="11" xr3:uid="{00000000-0010-0000-0100-00000B000000}" name="열11" headerRowDxfId="48" dataDxfId="47"/>
    <tableColumn id="14" xr3:uid="{00000000-0010-0000-0100-00000E000000}" name="열14" headerRowDxfId="46" dataDxfId="45"/>
    <tableColumn id="16" xr3:uid="{00000000-0010-0000-0100-000010000000}" name="열16" headerRowDxfId="44" dataDxfId="43"/>
    <tableColumn id="18" xr3:uid="{00000000-0010-0000-0100-000012000000}" name="열18" headerRowDxfId="42" dataDxfId="41"/>
    <tableColumn id="20" xr3:uid="{00000000-0010-0000-0100-000014000000}" name="열20" headerRowDxfId="40" dataDxfId="39"/>
    <tableColumn id="22" xr3:uid="{00000000-0010-0000-0100-000016000000}" name="열22" headerRowDxfId="38" dataDxfId="37"/>
    <tableColumn id="24" xr3:uid="{00000000-0010-0000-0100-000018000000}" name="열24" headerRowDxfId="36" dataDxfId="35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72B985-AF36-4924-8623-4CC3819F4D3D}" name="표2_4523" displayName="표2_4523" ref="K6:Y65" headerRowCount="0" totalsRowShown="0" headerRowDxfId="34" dataDxfId="33" totalsRowDxfId="31" tableBorderDxfId="32" totalsRowBorderDxfId="30">
  <tableColumns count="15">
    <tableColumn id="1" xr3:uid="{93440E5A-CE90-41AA-9A75-18A7E6A4C5A0}" name="열1" headerRowDxfId="29" dataDxfId="28"/>
    <tableColumn id="4" xr3:uid="{3B33EB37-5C15-4ABA-A1C6-989BAAE24E52}" name="열4" headerRowDxfId="27" dataDxfId="26">
      <calculatedColumnFormula>IF(BASIC_TOOL!$C$23=1,M6,IF(BASIC_TOOL!$C$23=2,N6,IF(BASIC_TOOL!$C$23=3,O6)))</calculatedColumnFormula>
    </tableColumn>
    <tableColumn id="3" xr3:uid="{E605A3A8-ABD3-4293-9003-FB3AA6B23AF0}" name="열3" headerRowDxfId="25" dataDxfId="24"/>
    <tableColumn id="25" xr3:uid="{FDFA97CD-2151-43E6-AB63-2C0587BD5F24}" name="열25" headerRowDxfId="23" dataDxfId="22"/>
    <tableColumn id="2" xr3:uid="{974BE218-C4CC-4B3E-9A53-5596F78913DA}" name="열2" headerRowDxfId="21" dataDxfId="20"/>
    <tableColumn id="5" xr3:uid="{0EBFB29C-C97A-483A-949E-C04CAC2B6DFB}" name="열5" headerRowDxfId="19" dataDxfId="18"/>
    <tableColumn id="7" xr3:uid="{F72103EF-F2D2-4577-8D8E-D2106439162D}" name="열7" headerRowDxfId="17" dataDxfId="16"/>
    <tableColumn id="9" xr3:uid="{061B9DA3-4474-4500-B889-658A3D39456E}" name="열9" headerRowDxfId="15" dataDxfId="14"/>
    <tableColumn id="11" xr3:uid="{9426BFA4-1D38-4C8F-96DD-6C455F52D34F}" name="열11" headerRowDxfId="13" dataDxfId="12"/>
    <tableColumn id="14" xr3:uid="{7BB84B85-ED1E-4EE4-A761-D5378C11A3AD}" name="열14" headerRowDxfId="11" dataDxfId="10"/>
    <tableColumn id="16" xr3:uid="{54D33E58-B00D-4CA4-A53D-15BD0BF990F6}" name="열16" headerRowDxfId="9" dataDxfId="8"/>
    <tableColumn id="18" xr3:uid="{E2D493D7-6CB8-462E-9499-2DA89E47BD10}" name="열18" headerRowDxfId="7" dataDxfId="6"/>
    <tableColumn id="20" xr3:uid="{F1211AC7-1ED6-4F33-A6A3-D50E68F91BB5}" name="열20" headerRowDxfId="5" dataDxfId="4"/>
    <tableColumn id="22" xr3:uid="{3E357171-E078-4E72-AD56-C66D8E8D7B38}" name="열22" headerRowDxfId="3" dataDxfId="2"/>
    <tableColumn id="24" xr3:uid="{20CE4266-83A0-40EA-B82B-EB0A0B540323}" name="열24" headerRowDxfId="1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267"/>
  <sheetViews>
    <sheetView view="pageBreakPreview" topLeftCell="A12" zoomScale="90" zoomScaleNormal="100" zoomScaleSheetLayoutView="90" workbookViewId="0">
      <selection sqref="A1:C3"/>
    </sheetView>
  </sheetViews>
  <sheetFormatPr defaultColWidth="20.375" defaultRowHeight="20.25" customHeight="1"/>
  <cols>
    <col min="1" max="1" width="17.25" style="112" customWidth="1"/>
    <col min="2" max="3" width="17.25" style="64" customWidth="1"/>
    <col min="4" max="4" width="16.375" style="64" customWidth="1"/>
    <col min="5" max="5" width="16.875" style="64" customWidth="1"/>
    <col min="6" max="6" width="20.25" style="250" customWidth="1"/>
    <col min="7" max="7" width="19.375" style="64" customWidth="1"/>
    <col min="8" max="11" width="16.875" style="64" customWidth="1"/>
    <col min="12" max="13" width="14.875" style="64" customWidth="1"/>
    <col min="14" max="16384" width="20.375" style="64"/>
  </cols>
  <sheetData>
    <row r="1" spans="1:14" ht="31.5" customHeight="1">
      <c r="A1" s="1448"/>
      <c r="B1" s="1449"/>
      <c r="C1" s="1449"/>
      <c r="D1" s="1463" t="s">
        <v>1576</v>
      </c>
      <c r="E1" s="1464"/>
      <c r="F1" s="1464"/>
      <c r="G1" s="1464"/>
      <c r="H1" s="1464"/>
      <c r="I1" s="1464"/>
      <c r="J1" s="1465"/>
      <c r="K1" s="63"/>
      <c r="L1" s="63"/>
      <c r="M1" s="63"/>
    </row>
    <row r="2" spans="1:14" ht="27.75" customHeight="1">
      <c r="A2" s="1450"/>
      <c r="B2" s="1451"/>
      <c r="C2" s="1451"/>
      <c r="D2" s="1454" t="s">
        <v>1579</v>
      </c>
      <c r="E2" s="1455"/>
      <c r="F2" s="886"/>
      <c r="G2" s="1459" t="s">
        <v>3162</v>
      </c>
      <c r="H2" s="1460"/>
      <c r="I2" s="1461" t="s">
        <v>280</v>
      </c>
      <c r="J2" s="1462"/>
      <c r="K2" s="63"/>
      <c r="L2" s="63"/>
      <c r="M2" s="63"/>
    </row>
    <row r="3" spans="1:14" ht="25.5" customHeight="1" thickBot="1">
      <c r="A3" s="1452"/>
      <c r="B3" s="1453"/>
      <c r="C3" s="1453"/>
      <c r="D3" s="1456" t="s">
        <v>281</v>
      </c>
      <c r="E3" s="1457"/>
      <c r="F3" s="1457"/>
      <c r="G3" s="1457"/>
      <c r="H3" s="1457"/>
      <c r="I3" s="1457"/>
      <c r="J3" s="1458"/>
      <c r="K3" s="63"/>
      <c r="L3" s="63"/>
      <c r="M3" s="63"/>
    </row>
    <row r="4" spans="1:14" ht="12.75" customHeight="1">
      <c r="A4" s="65"/>
      <c r="B4" s="63"/>
      <c r="C4" s="63"/>
      <c r="D4" s="63"/>
      <c r="E4" s="63"/>
      <c r="F4" s="240"/>
      <c r="G4" s="63"/>
      <c r="H4" s="63"/>
      <c r="I4" s="63"/>
      <c r="J4" s="63"/>
      <c r="K4" s="63"/>
      <c r="L4" s="63"/>
      <c r="M4" s="63"/>
    </row>
    <row r="5" spans="1:14" ht="30">
      <c r="A5" s="66" t="s">
        <v>320</v>
      </c>
      <c r="B5" s="884" t="s">
        <v>3182</v>
      </c>
      <c r="C5" s="68" t="s">
        <v>186</v>
      </c>
      <c r="D5" s="69">
        <f ca="1">TODAY()</f>
        <v>45228</v>
      </c>
      <c r="E5" s="147" t="s">
        <v>321</v>
      </c>
      <c r="F5" s="70" t="s">
        <v>410</v>
      </c>
      <c r="G5" s="68" t="s">
        <v>322</v>
      </c>
      <c r="H5" s="70" t="s">
        <v>2359</v>
      </c>
      <c r="I5" s="68" t="s">
        <v>174</v>
      </c>
      <c r="J5" s="70" t="s">
        <v>268</v>
      </c>
      <c r="K5" s="71"/>
      <c r="L5" s="1192"/>
      <c r="M5" s="71"/>
      <c r="N5" s="71"/>
    </row>
    <row r="6" spans="1:14" ht="30">
      <c r="A6" s="68" t="s">
        <v>2520</v>
      </c>
      <c r="B6" s="885" t="s">
        <v>173</v>
      </c>
      <c r="C6" s="72" t="s">
        <v>2521</v>
      </c>
      <c r="D6" s="67" t="s">
        <v>409</v>
      </c>
      <c r="E6" s="68" t="s">
        <v>2522</v>
      </c>
      <c r="F6" s="241" t="s">
        <v>1544</v>
      </c>
      <c r="G6" s="68" t="s">
        <v>2523</v>
      </c>
      <c r="H6" s="70" t="s">
        <v>1271</v>
      </c>
      <c r="I6" s="68" t="s">
        <v>2524</v>
      </c>
      <c r="J6" s="70" t="s">
        <v>428</v>
      </c>
      <c r="K6" s="71"/>
      <c r="L6" s="71"/>
      <c r="M6" s="71"/>
      <c r="N6" s="71"/>
    </row>
    <row r="7" spans="1:14" ht="30">
      <c r="A7" s="68" t="s">
        <v>324</v>
      </c>
      <c r="B7" s="1443" t="s">
        <v>1580</v>
      </c>
      <c r="C7" s="1444"/>
      <c r="D7" s="1445"/>
      <c r="E7" s="68" t="s">
        <v>2525</v>
      </c>
      <c r="F7" s="242">
        <v>44343</v>
      </c>
      <c r="G7" s="68" t="s">
        <v>2526</v>
      </c>
      <c r="H7" s="70" t="s">
        <v>265</v>
      </c>
      <c r="I7" s="68" t="s">
        <v>266</v>
      </c>
      <c r="J7" s="70" t="s">
        <v>267</v>
      </c>
      <c r="K7" s="71"/>
      <c r="M7" s="71"/>
      <c r="N7" s="71"/>
    </row>
    <row r="8" spans="1:14" ht="39" customHeight="1">
      <c r="A8" s="68" t="s">
        <v>90</v>
      </c>
      <c r="B8" s="67" t="s">
        <v>148</v>
      </c>
      <c r="C8" s="1267" t="s">
        <v>150</v>
      </c>
      <c r="D8" s="884" t="s">
        <v>1578</v>
      </c>
      <c r="E8" s="152" t="s">
        <v>325</v>
      </c>
      <c r="F8" s="67" t="s">
        <v>2527</v>
      </c>
      <c r="G8" s="73"/>
      <c r="H8" s="73"/>
      <c r="I8" s="73"/>
      <c r="J8" s="73"/>
      <c r="K8" s="71"/>
      <c r="L8" s="71"/>
      <c r="M8" s="71"/>
      <c r="N8" s="71"/>
    </row>
    <row r="9" spans="1:14" ht="15" customHeight="1">
      <c r="A9" s="74"/>
      <c r="B9" s="74"/>
      <c r="C9" s="74"/>
      <c r="D9" s="75"/>
      <c r="E9" s="75"/>
      <c r="F9" s="243"/>
      <c r="G9" s="74"/>
      <c r="H9" s="73"/>
      <c r="I9" s="73"/>
      <c r="J9" s="73"/>
      <c r="K9" s="71"/>
      <c r="L9" s="71"/>
      <c r="M9" s="71"/>
    </row>
    <row r="10" spans="1:14" ht="19.350000000000001" customHeight="1">
      <c r="A10" s="1231" t="s">
        <v>162</v>
      </c>
      <c r="B10" s="1231" t="s">
        <v>163</v>
      </c>
      <c r="C10" s="1231" t="s">
        <v>164</v>
      </c>
      <c r="D10" s="1231" t="s">
        <v>165</v>
      </c>
      <c r="E10" s="1231" t="s">
        <v>166</v>
      </c>
      <c r="F10" s="1232" t="s">
        <v>167</v>
      </c>
      <c r="G10" s="1231" t="s">
        <v>168</v>
      </c>
      <c r="H10" s="1233" t="s">
        <v>326</v>
      </c>
      <c r="I10" s="1233" t="s">
        <v>327</v>
      </c>
      <c r="J10" s="1233" t="s">
        <v>2518</v>
      </c>
      <c r="K10" s="1233" t="s">
        <v>323</v>
      </c>
      <c r="L10" s="71"/>
      <c r="M10" s="71"/>
    </row>
    <row r="11" spans="1:14" s="76" customFormat="1" ht="24.75" customHeight="1">
      <c r="A11" s="1234">
        <v>10</v>
      </c>
      <c r="B11" s="1234">
        <v>5</v>
      </c>
      <c r="C11" s="1234"/>
      <c r="D11" s="1234"/>
      <c r="E11" s="1234"/>
      <c r="F11" s="1234">
        <v>3</v>
      </c>
      <c r="G11" s="1234">
        <v>1</v>
      </c>
      <c r="H11" s="1235">
        <f>A11*(B11+C11+D11+E11)*F11</f>
        <v>150</v>
      </c>
      <c r="I11" s="1236">
        <f>A11*(B11+C11+D11+E11)*(F11-0.2)</f>
        <v>140</v>
      </c>
      <c r="J11" s="1235">
        <f>W_O*L_O*2+W_O*H_O*2+L_O*H_O*2+W_O*H_O*N_PA</f>
        <v>190</v>
      </c>
      <c r="K11" s="1236">
        <f>IF(E11&gt;0,3,IF(D11&gt;0,2,IF(C11&gt;0,1,0)))</f>
        <v>0</v>
      </c>
      <c r="L11" s="71"/>
      <c r="M11" s="71"/>
    </row>
    <row r="12" spans="1:14" ht="15" customHeight="1">
      <c r="A12" s="77"/>
      <c r="B12" s="77"/>
      <c r="C12" s="77"/>
      <c r="D12" s="77"/>
      <c r="E12" s="78"/>
      <c r="F12" s="244"/>
      <c r="G12" s="79"/>
      <c r="H12" s="80"/>
      <c r="I12" s="78"/>
      <c r="J12" s="81"/>
      <c r="K12" s="82"/>
      <c r="L12" s="71"/>
      <c r="M12" s="71"/>
      <c r="N12" s="71"/>
    </row>
    <row r="13" spans="1:14" s="83" customFormat="1" ht="30.75" customHeight="1">
      <c r="A13" s="1447" t="s">
        <v>170</v>
      </c>
      <c r="B13" s="1237" t="s">
        <v>263</v>
      </c>
      <c r="C13" s="1238" t="s">
        <v>169</v>
      </c>
      <c r="D13" s="1239" t="s">
        <v>289</v>
      </c>
      <c r="E13" s="1239" t="s">
        <v>1308</v>
      </c>
      <c r="F13" s="1193"/>
      <c r="G13" s="435"/>
      <c r="H13" s="435"/>
      <c r="I13" s="435"/>
      <c r="J13" s="435"/>
      <c r="K13" s="435"/>
      <c r="L13" s="387"/>
      <c r="M13" s="71"/>
      <c r="N13" s="71"/>
    </row>
    <row r="14" spans="1:14" s="83" customFormat="1" ht="19.5">
      <c r="A14" s="1447"/>
      <c r="B14" s="1240" t="s">
        <v>1700</v>
      </c>
      <c r="C14" s="1240" t="s">
        <v>3169</v>
      </c>
      <c r="D14" s="1241" t="s">
        <v>2512</v>
      </c>
      <c r="E14" s="1241" t="s">
        <v>2512</v>
      </c>
      <c r="F14" s="71"/>
      <c r="G14" s="412"/>
      <c r="H14" s="71"/>
      <c r="I14" s="860"/>
      <c r="J14" s="860"/>
      <c r="K14" s="860"/>
      <c r="L14" s="858"/>
      <c r="M14" s="859"/>
      <c r="N14" s="860"/>
    </row>
    <row r="15" spans="1:14" ht="18" customHeight="1">
      <c r="A15" s="820"/>
      <c r="B15" s="84">
        <f>IF(B14="MNT",1,0)+IF(B14="Not Included",0,0)</f>
        <v>1</v>
      </c>
      <c r="C15" s="84">
        <f>IF(C14="Non-Insulated",1,IF(C14="Insulated",2,IF(C14="Insulated Roof Only",3,IF(C14="Insulated(Roof,Side)",4,IF(C14="Non-Insulated(Roof Only)",5,0)))))</f>
        <v>1</v>
      </c>
      <c r="D15" s="824">
        <f>IF(D14="YES",1,0)</f>
        <v>0</v>
      </c>
      <c r="E15" s="824">
        <f>IF(E14="YES",1,0)</f>
        <v>0</v>
      </c>
      <c r="F15" s="244"/>
      <c r="G15" s="78"/>
      <c r="H15" s="78"/>
      <c r="I15" s="860"/>
      <c r="J15" s="865"/>
      <c r="K15" s="858"/>
      <c r="L15" s="858"/>
      <c r="M15" s="860"/>
      <c r="N15" s="860"/>
    </row>
    <row r="16" spans="1:14" ht="18" hidden="1" customHeight="1">
      <c r="A16" s="1439" t="s">
        <v>1520</v>
      </c>
      <c r="B16" s="1440" t="s">
        <v>1526</v>
      </c>
      <c r="C16" s="1440"/>
      <c r="D16" s="862"/>
      <c r="E16" s="1446"/>
      <c r="F16" s="1446"/>
      <c r="G16" s="862"/>
      <c r="H16" s="862"/>
      <c r="I16" s="862"/>
      <c r="J16" s="862"/>
      <c r="K16" s="862"/>
      <c r="L16" s="862"/>
      <c r="M16" s="860"/>
      <c r="N16" s="860"/>
    </row>
    <row r="17" spans="1:14" ht="18" hidden="1" customHeight="1">
      <c r="A17" s="1440"/>
      <c r="B17" s="1179" t="s">
        <v>1518</v>
      </c>
      <c r="C17" s="1179" t="s">
        <v>1519</v>
      </c>
      <c r="D17" s="862"/>
      <c r="E17" s="1181"/>
      <c r="F17" s="1181"/>
      <c r="G17" s="1181"/>
      <c r="H17" s="1181"/>
      <c r="I17" s="1181"/>
      <c r="J17" s="1194"/>
      <c r="K17" s="1194"/>
      <c r="L17" s="1181"/>
      <c r="M17" s="860"/>
      <c r="N17" s="860"/>
    </row>
    <row r="18" spans="1:14" ht="18" hidden="1" customHeight="1">
      <c r="A18" s="1440"/>
      <c r="B18" s="867"/>
      <c r="C18" s="867"/>
      <c r="D18" s="864"/>
      <c r="E18" s="863"/>
      <c r="F18" s="863"/>
      <c r="G18" s="866"/>
      <c r="H18" s="863"/>
      <c r="I18" s="863"/>
      <c r="J18" s="864"/>
      <c r="K18" s="863"/>
      <c r="L18" s="863"/>
      <c r="M18" s="860"/>
      <c r="N18" s="860"/>
    </row>
    <row r="19" spans="1:14" ht="18" hidden="1" customHeight="1">
      <c r="A19" s="77"/>
      <c r="B19" s="78"/>
      <c r="C19" s="78"/>
      <c r="D19" s="78"/>
      <c r="E19" s="78"/>
      <c r="F19" s="244"/>
      <c r="G19" s="78"/>
      <c r="H19" s="78"/>
      <c r="I19" s="865"/>
      <c r="J19" s="865"/>
      <c r="K19" s="858"/>
      <c r="L19" s="858"/>
      <c r="M19" s="860"/>
      <c r="N19" s="860"/>
    </row>
    <row r="20" spans="1:14" ht="12.75" hidden="1" customHeight="1" thickBot="1">
      <c r="A20" s="411"/>
      <c r="B20" s="78"/>
      <c r="C20" s="78"/>
      <c r="D20" s="78"/>
      <c r="E20" s="78"/>
      <c r="F20" s="244"/>
      <c r="G20" s="78"/>
      <c r="H20" s="78"/>
      <c r="I20" s="865"/>
      <c r="J20" s="865"/>
      <c r="K20" s="858"/>
      <c r="L20" s="858"/>
      <c r="M20" s="860"/>
      <c r="N20" s="861"/>
    </row>
    <row r="21" spans="1:14" s="87" customFormat="1" ht="21.6" customHeight="1">
      <c r="A21" s="1438" t="s">
        <v>171</v>
      </c>
      <c r="B21" s="1242" t="s">
        <v>172</v>
      </c>
      <c r="C21" s="1242" t="s">
        <v>264</v>
      </c>
      <c r="D21" s="1242" t="s">
        <v>218</v>
      </c>
      <c r="E21" s="1242" t="s">
        <v>215</v>
      </c>
      <c r="F21" s="1242" t="s">
        <v>213</v>
      </c>
      <c r="G21" s="1242" t="s">
        <v>214</v>
      </c>
      <c r="H21" s="1242" t="s">
        <v>221</v>
      </c>
      <c r="I21" s="88"/>
      <c r="J21" s="88"/>
      <c r="K21" s="95"/>
      <c r="L21" s="95"/>
      <c r="M21" s="88"/>
    </row>
    <row r="22" spans="1:14" s="87" customFormat="1" ht="45">
      <c r="A22" s="1438"/>
      <c r="B22" s="1243" t="s">
        <v>1527</v>
      </c>
      <c r="C22" s="1244" t="s">
        <v>1700</v>
      </c>
      <c r="D22" s="1244" t="s">
        <v>241</v>
      </c>
      <c r="E22" s="1244" t="s">
        <v>1314</v>
      </c>
      <c r="F22" s="1245" t="s">
        <v>1290</v>
      </c>
      <c r="G22" s="1244" t="s">
        <v>1314</v>
      </c>
      <c r="H22" s="1244" t="s">
        <v>2361</v>
      </c>
      <c r="I22" s="88"/>
      <c r="J22" s="88"/>
      <c r="K22" s="95"/>
      <c r="L22" s="95"/>
      <c r="M22" s="88"/>
    </row>
    <row r="23" spans="1:14" s="86" customFormat="1" ht="14.25" customHeight="1">
      <c r="A23" s="85"/>
      <c r="B23" s="84">
        <f>IF(B22="Internal",1,IF(B22="External",2,IF(B22="Internal Reinforcement",3,0)))</f>
        <v>1</v>
      </c>
      <c r="C23" s="84">
        <f>IF(C22="MNT",3)</f>
        <v>3</v>
      </c>
      <c r="D23" s="84">
        <f>IF(D22="Default",1,IF(D22="Angle 75",2,IF(D22="Channel 125",3,IF(D22="Channel 150",4,5))))</f>
        <v>1</v>
      </c>
      <c r="E23" s="84">
        <f>IF(E22="SS316",1,IF(E22="SS304",2,0))</f>
        <v>1</v>
      </c>
      <c r="F23" s="245">
        <f>IF(F22="EXT:HDG+INT:SS304+ROOF:HDG",1,IF(F22="EXT:HDG+INT:SS304",2,IF(F22="EXT:SS304+INT:SS316",3,IF(F22="EXT:HDG+INT:SS316",4,IF(F22="INT/EXT:SS304",5,IF(F22="INT/EXT:SS316",6,IF(F22="Except BNW",7,IF(F22="Except Panel BNW",8))))))))</f>
        <v>4</v>
      </c>
      <c r="G23" s="84">
        <f>IF(G22="SS316",1,IF(G22="SS304",2,IF(G22="SS304+PET coated",3,IF(G22="SS316+PE Coated",4,0))))</f>
        <v>1</v>
      </c>
      <c r="H23" s="84">
        <f>IF(H22="3mH_Tie_Rod(1+1)",0,IF(H22="3mH_Tie_Rod(2+1)",1))</f>
        <v>1</v>
      </c>
      <c r="I23" s="84"/>
      <c r="J23" s="84"/>
      <c r="K23" s="84"/>
      <c r="L23" s="84"/>
      <c r="M23" s="84"/>
    </row>
    <row r="24" spans="1:14" s="89" customFormat="1" ht="19.5" customHeight="1">
      <c r="A24" s="1180"/>
      <c r="B24" s="88"/>
      <c r="C24" s="71"/>
      <c r="D24" s="73"/>
      <c r="E24" s="1442" t="s">
        <v>244</v>
      </c>
      <c r="F24" s="1442"/>
      <c r="G24" s="1442" t="s">
        <v>247</v>
      </c>
      <c r="H24" s="1442"/>
      <c r="I24" s="93" t="s">
        <v>282</v>
      </c>
      <c r="J24" s="93" t="s">
        <v>282</v>
      </c>
      <c r="K24" s="93"/>
      <c r="L24" s="88"/>
      <c r="M24" s="88"/>
      <c r="N24" s="88"/>
    </row>
    <row r="25" spans="1:14" s="89" customFormat="1" ht="18">
      <c r="A25" s="1438" t="s">
        <v>209</v>
      </c>
      <c r="B25" s="1242" t="s">
        <v>77</v>
      </c>
      <c r="C25" s="1246" t="s">
        <v>254</v>
      </c>
      <c r="D25" s="1249" t="s">
        <v>255</v>
      </c>
      <c r="E25" s="1242" t="s">
        <v>245</v>
      </c>
      <c r="F25" s="1247" t="s">
        <v>168</v>
      </c>
      <c r="G25" s="1242" t="s">
        <v>245</v>
      </c>
      <c r="H25" s="1242" t="s">
        <v>246</v>
      </c>
      <c r="I25" s="90" t="s">
        <v>283</v>
      </c>
      <c r="J25" s="90" t="s">
        <v>283</v>
      </c>
      <c r="K25" s="90" t="s">
        <v>284</v>
      </c>
      <c r="L25" s="88"/>
      <c r="M25" s="88"/>
      <c r="N25" s="88"/>
    </row>
    <row r="26" spans="1:14" s="89" customFormat="1" ht="18">
      <c r="A26" s="1438"/>
      <c r="B26" s="1244" t="s">
        <v>256</v>
      </c>
      <c r="C26" s="1246"/>
      <c r="D26" s="1249">
        <v>1200000</v>
      </c>
      <c r="E26" s="1244" t="s">
        <v>51</v>
      </c>
      <c r="F26" s="1248" t="s">
        <v>241</v>
      </c>
      <c r="G26" s="1244" t="s">
        <v>427</v>
      </c>
      <c r="H26" s="1244" t="s">
        <v>241</v>
      </c>
      <c r="I26" s="90"/>
      <c r="J26" s="90"/>
      <c r="K26" s="90"/>
      <c r="L26" s="88"/>
      <c r="M26" s="88"/>
      <c r="N26" s="88"/>
    </row>
    <row r="27" spans="1:14" s="86" customFormat="1" ht="15" customHeight="1">
      <c r="A27" s="91"/>
      <c r="B27" s="84">
        <f>IF(B26="General",1,IF(B26="Special",2,IF(B26="No needed",3,0)))</f>
        <v>1</v>
      </c>
      <c r="C27" s="84"/>
      <c r="D27" s="92"/>
      <c r="E27" s="84">
        <f>IF(E26="GRP",1,IF(E26="SS304",2,IF(E26="SS316L",3,0)))</f>
        <v>1</v>
      </c>
      <c r="F27" s="245"/>
      <c r="G27" s="84">
        <f>IF(G26="HDG",1,IF(G26="SS304",2,IF(G26="SS316",3,0)))</f>
        <v>1</v>
      </c>
      <c r="H27" s="84"/>
      <c r="I27" s="93"/>
      <c r="J27" s="93"/>
      <c r="K27" s="93"/>
      <c r="L27" s="93"/>
      <c r="M27" s="93"/>
      <c r="N27" s="84"/>
    </row>
    <row r="28" spans="1:14" s="89" customFormat="1" ht="21.6" customHeight="1">
      <c r="A28" s="1438" t="s">
        <v>252</v>
      </c>
      <c r="B28" s="1442" t="s">
        <v>290</v>
      </c>
      <c r="C28" s="1442"/>
      <c r="D28" s="1442" t="s">
        <v>291</v>
      </c>
      <c r="E28" s="1442"/>
      <c r="F28" s="1442" t="s">
        <v>292</v>
      </c>
      <c r="G28" s="1442"/>
      <c r="H28" s="1442" t="s">
        <v>293</v>
      </c>
      <c r="I28" s="1442"/>
      <c r="J28" s="1442" t="s">
        <v>294</v>
      </c>
      <c r="K28" s="1442"/>
      <c r="L28" s="1441"/>
      <c r="M28" s="1441"/>
      <c r="N28" s="88"/>
    </row>
    <row r="29" spans="1:14" s="89" customFormat="1" ht="21.6" customHeight="1">
      <c r="A29" s="1438"/>
      <c r="B29" s="1242" t="s">
        <v>238</v>
      </c>
      <c r="C29" s="1242" t="s">
        <v>239</v>
      </c>
      <c r="D29" s="1242" t="s">
        <v>238</v>
      </c>
      <c r="E29" s="1242" t="s">
        <v>239</v>
      </c>
      <c r="F29" s="1247" t="s">
        <v>238</v>
      </c>
      <c r="G29" s="1242" t="s">
        <v>239</v>
      </c>
      <c r="H29" s="1242" t="s">
        <v>238</v>
      </c>
      <c r="I29" s="1242" t="s">
        <v>239</v>
      </c>
      <c r="J29" s="1242" t="s">
        <v>238</v>
      </c>
      <c r="K29" s="1242" t="s">
        <v>239</v>
      </c>
      <c r="L29" s="1180"/>
      <c r="M29" s="1180"/>
      <c r="N29" s="88"/>
    </row>
    <row r="30" spans="1:14" s="89" customFormat="1" ht="21.6" customHeight="1">
      <c r="A30" s="1438"/>
      <c r="B30" s="1250"/>
      <c r="C30" s="1251"/>
      <c r="D30" s="1250"/>
      <c r="E30" s="1251"/>
      <c r="F30" s="1252"/>
      <c r="G30" s="1251"/>
      <c r="H30" s="1250"/>
      <c r="I30" s="1251"/>
      <c r="J30" s="1250"/>
      <c r="K30" s="1251"/>
      <c r="L30" s="94"/>
      <c r="M30" s="95"/>
      <c r="N30" s="88"/>
    </row>
    <row r="31" spans="1:14" s="89" customFormat="1" ht="13.5" customHeight="1">
      <c r="A31" s="91"/>
      <c r="B31" s="92"/>
      <c r="C31" s="84"/>
      <c r="D31" s="96"/>
      <c r="E31" s="78"/>
      <c r="F31" s="246"/>
      <c r="G31" s="78"/>
      <c r="H31" s="96"/>
      <c r="I31" s="78"/>
      <c r="J31" s="96"/>
      <c r="K31" s="78"/>
      <c r="L31" s="96"/>
      <c r="M31" s="78"/>
      <c r="N31" s="88"/>
    </row>
    <row r="32" spans="1:14" s="89" customFormat="1" ht="21" hidden="1" customHeight="1">
      <c r="A32" s="1436" t="s">
        <v>253</v>
      </c>
      <c r="B32" s="1264" t="s">
        <v>210</v>
      </c>
      <c r="C32" s="1264" t="s">
        <v>2519</v>
      </c>
      <c r="D32" s="97" t="s">
        <v>285</v>
      </c>
      <c r="E32" s="98" t="s">
        <v>286</v>
      </c>
      <c r="F32" s="247" t="s">
        <v>88</v>
      </c>
      <c r="G32" s="100" t="s">
        <v>262</v>
      </c>
      <c r="H32" s="99" t="s">
        <v>89</v>
      </c>
      <c r="I32" s="100" t="s">
        <v>262</v>
      </c>
      <c r="J32" s="101"/>
      <c r="K32" s="71"/>
      <c r="L32" s="101"/>
      <c r="M32" s="71"/>
      <c r="N32" s="88"/>
    </row>
    <row r="33" spans="1:22" s="89" customFormat="1" ht="21" hidden="1" customHeight="1" thickBot="1">
      <c r="A33" s="1437"/>
      <c r="B33" s="1265" t="s">
        <v>270</v>
      </c>
      <c r="C33" s="1266"/>
      <c r="D33" s="102"/>
      <c r="E33" s="103">
        <v>1050</v>
      </c>
      <c r="F33" s="248" t="s">
        <v>86</v>
      </c>
      <c r="G33" s="104">
        <v>4</v>
      </c>
      <c r="H33" s="116" t="s">
        <v>84</v>
      </c>
      <c r="I33" s="117">
        <v>3</v>
      </c>
      <c r="J33" s="101"/>
      <c r="K33" s="71"/>
      <c r="L33" s="101"/>
      <c r="M33" s="71"/>
      <c r="N33" s="88"/>
    </row>
    <row r="34" spans="1:22" s="86" customFormat="1" ht="16.350000000000001" customHeight="1">
      <c r="A34" s="91"/>
      <c r="B34" s="84">
        <f>IF(B33="Included",1,IF(B33="Excluded",2,0))</f>
        <v>2</v>
      </c>
      <c r="C34" s="84"/>
      <c r="D34" s="92"/>
      <c r="E34" s="84"/>
      <c r="F34" s="249"/>
      <c r="G34" s="84"/>
      <c r="H34" s="96"/>
      <c r="I34" s="78"/>
      <c r="J34" s="96"/>
      <c r="K34" s="78"/>
      <c r="L34" s="92"/>
      <c r="M34" s="84"/>
      <c r="N34" s="84"/>
    </row>
    <row r="35" spans="1:22" s="87" customFormat="1" ht="30">
      <c r="A35" s="1253" t="s">
        <v>204</v>
      </c>
      <c r="B35" s="1254" t="s">
        <v>205</v>
      </c>
      <c r="C35" s="1254" t="s">
        <v>206</v>
      </c>
      <c r="D35" s="1255" t="s">
        <v>182</v>
      </c>
      <c r="E35" s="1256" t="s">
        <v>207</v>
      </c>
      <c r="F35" s="1256" t="s">
        <v>208</v>
      </c>
      <c r="G35" s="1255" t="s">
        <v>209</v>
      </c>
      <c r="H35" s="118"/>
      <c r="I35" s="118"/>
      <c r="J35" s="118"/>
      <c r="K35" s="88"/>
      <c r="L35" s="88"/>
      <c r="M35" s="88"/>
      <c r="N35" s="105"/>
      <c r="O35" s="106"/>
    </row>
    <row r="36" spans="1:22" s="87" customFormat="1" ht="28.35" customHeight="1">
      <c r="A36" s="1257">
        <f>B36+C36</f>
        <v>55100</v>
      </c>
      <c r="B36" s="1258">
        <f>'PRINTOUT(COST)'!G58</f>
        <v>16000</v>
      </c>
      <c r="C36" s="1258">
        <f>SUM(D36:G36)</f>
        <v>39100</v>
      </c>
      <c r="D36" s="1259">
        <f>'PRINTOUT(COST)'!G59</f>
        <v>13000</v>
      </c>
      <c r="E36" s="1259">
        <f>'PRINTOUT(COST)'!G61+'PRINTOUT(COST)'!G62+'PRINTOUT(COST)'!G63</f>
        <v>15800</v>
      </c>
      <c r="F36" s="1259">
        <f>'PRINTOUT(COST)'!G60</f>
        <v>5700</v>
      </c>
      <c r="G36" s="1259">
        <f>'PRINTOUT(COST)'!G64+'PRINTOUT(COST)'!G65</f>
        <v>4600</v>
      </c>
      <c r="H36" s="119"/>
      <c r="I36" s="120"/>
      <c r="J36" s="120"/>
      <c r="K36" s="88"/>
      <c r="L36" s="88"/>
      <c r="M36" s="88"/>
      <c r="N36" s="105"/>
      <c r="O36" s="107"/>
    </row>
    <row r="37" spans="1:22" s="87" customFormat="1" ht="30" customHeight="1">
      <c r="A37" s="1260">
        <f t="shared" ref="A37:G37" si="0">A36/$E$33</f>
        <v>52.476190476190474</v>
      </c>
      <c r="B37" s="1261">
        <f t="shared" si="0"/>
        <v>15.238095238095237</v>
      </c>
      <c r="C37" s="1261">
        <f t="shared" si="0"/>
        <v>37.238095238095241</v>
      </c>
      <c r="D37" s="1262">
        <f t="shared" si="0"/>
        <v>12.380952380952381</v>
      </c>
      <c r="E37" s="1263">
        <f t="shared" si="0"/>
        <v>15.047619047619047</v>
      </c>
      <c r="F37" s="1262">
        <f t="shared" si="0"/>
        <v>5.4285714285714288</v>
      </c>
      <c r="G37" s="1263">
        <f t="shared" si="0"/>
        <v>4.3809523809523814</v>
      </c>
      <c r="H37" s="121"/>
      <c r="I37" s="122"/>
      <c r="J37" s="121"/>
      <c r="K37" s="1195"/>
      <c r="L37" s="1195"/>
      <c r="M37" s="1195"/>
      <c r="N37" s="108"/>
      <c r="O37" s="108"/>
    </row>
    <row r="38" spans="1:22" s="89" customFormat="1" ht="9" customHeight="1">
      <c r="A38" s="88"/>
      <c r="B38" s="88"/>
      <c r="C38" s="88"/>
      <c r="D38" s="88"/>
      <c r="E38" s="88"/>
      <c r="F38" s="1196"/>
      <c r="G38" s="88"/>
      <c r="H38" s="1197"/>
      <c r="I38" s="1197"/>
      <c r="J38" s="1197"/>
      <c r="K38" s="1197"/>
      <c r="L38" s="1197"/>
      <c r="M38" s="1197"/>
    </row>
    <row r="39" spans="1:22" s="89" customFormat="1" ht="21" customHeight="1">
      <c r="A39" s="1180"/>
      <c r="B39" s="1180"/>
      <c r="C39" s="1180"/>
      <c r="D39" s="88"/>
      <c r="E39" s="1198"/>
      <c r="F39" s="1196"/>
      <c r="G39" s="88"/>
      <c r="H39" s="1197"/>
      <c r="I39" s="1197"/>
      <c r="J39" s="1197"/>
      <c r="K39" s="1197"/>
      <c r="L39" s="1197"/>
      <c r="M39" s="1197"/>
    </row>
    <row r="40" spans="1:22" s="89" customFormat="1" ht="20.25" customHeight="1">
      <c r="A40" s="1199"/>
      <c r="B40" s="1200"/>
      <c r="C40" s="1201"/>
      <c r="D40" s="88"/>
      <c r="E40" s="1200"/>
      <c r="F40" s="1196"/>
      <c r="G40" s="88"/>
      <c r="H40" s="88"/>
      <c r="I40" s="88"/>
      <c r="J40" s="88"/>
      <c r="K40" s="88"/>
      <c r="L40" s="88"/>
      <c r="M40" s="88"/>
    </row>
    <row r="41" spans="1:22" s="109" customFormat="1" ht="20.25" hidden="1" customHeight="1">
      <c r="A41" s="1202"/>
      <c r="B41" s="1197"/>
      <c r="C41" s="1197"/>
      <c r="D41" s="1197"/>
      <c r="E41" s="1197"/>
      <c r="F41" s="1203"/>
      <c r="G41" s="1197"/>
      <c r="H41" s="1197"/>
      <c r="I41" s="1197"/>
      <c r="J41" s="1197"/>
      <c r="K41" s="1197"/>
      <c r="L41" s="1197"/>
      <c r="M41" s="1197"/>
    </row>
    <row r="42" spans="1:22" s="109" customFormat="1" ht="15.75" hidden="1" customHeight="1">
      <c r="A42" s="1202"/>
      <c r="B42" s="1197"/>
      <c r="C42" s="1197"/>
      <c r="D42" s="1197"/>
      <c r="E42" s="1197"/>
      <c r="F42" s="1203"/>
      <c r="G42" s="1197"/>
      <c r="H42" s="1197"/>
      <c r="I42" s="1197"/>
      <c r="J42" s="1197"/>
      <c r="K42" s="1197"/>
      <c r="L42" s="1197"/>
      <c r="M42" s="1197"/>
    </row>
    <row r="43" spans="1:22" s="109" customFormat="1" ht="18" hidden="1">
      <c r="A43" s="1204" t="s">
        <v>257</v>
      </c>
      <c r="B43" s="1205" t="s">
        <v>233</v>
      </c>
      <c r="C43" s="1205" t="s">
        <v>242</v>
      </c>
      <c r="D43" s="1205" t="s">
        <v>566</v>
      </c>
      <c r="E43" s="1205" t="s">
        <v>1272</v>
      </c>
      <c r="F43" s="1206" t="s">
        <v>216</v>
      </c>
      <c r="G43" s="1205" t="s">
        <v>211</v>
      </c>
      <c r="H43" s="1205" t="s">
        <v>259</v>
      </c>
      <c r="I43" s="1205" t="s">
        <v>217</v>
      </c>
      <c r="J43" s="1205" t="s">
        <v>250</v>
      </c>
      <c r="K43" s="1205" t="s">
        <v>52</v>
      </c>
      <c r="L43" s="1205" t="s">
        <v>6</v>
      </c>
      <c r="M43" s="1205" t="s">
        <v>347</v>
      </c>
      <c r="N43" s="489" t="s">
        <v>269</v>
      </c>
      <c r="O43" s="489" t="s">
        <v>225</v>
      </c>
      <c r="P43" s="488">
        <v>12000</v>
      </c>
      <c r="Q43" s="489" t="s">
        <v>222</v>
      </c>
      <c r="R43" s="110" t="s">
        <v>249</v>
      </c>
      <c r="S43" s="110" t="s">
        <v>249</v>
      </c>
      <c r="V43" s="491">
        <v>1</v>
      </c>
    </row>
    <row r="44" spans="1:22" s="109" customFormat="1" ht="18" hidden="1">
      <c r="A44" s="1204" t="s">
        <v>258</v>
      </c>
      <c r="B44" s="1205" t="s">
        <v>234</v>
      </c>
      <c r="C44" s="1205" t="s">
        <v>1322</v>
      </c>
      <c r="D44" s="1205" t="s">
        <v>232</v>
      </c>
      <c r="E44" s="1205" t="s">
        <v>1273</v>
      </c>
      <c r="F44" s="1206" t="s">
        <v>217</v>
      </c>
      <c r="G44" s="1205" t="s">
        <v>212</v>
      </c>
      <c r="H44" s="1205" t="s">
        <v>261</v>
      </c>
      <c r="I44" s="1205" t="s">
        <v>216</v>
      </c>
      <c r="J44" s="1205" t="s">
        <v>217</v>
      </c>
      <c r="K44" s="1205" t="s">
        <v>217</v>
      </c>
      <c r="L44" s="1205" t="s">
        <v>7</v>
      </c>
      <c r="M44" s="1205" t="s">
        <v>348</v>
      </c>
      <c r="N44" s="489" t="s">
        <v>271</v>
      </c>
      <c r="O44" s="490" t="s">
        <v>224</v>
      </c>
      <c r="P44" s="488">
        <v>13000</v>
      </c>
      <c r="Q44" s="489" t="s">
        <v>223</v>
      </c>
      <c r="R44" s="489">
        <v>0</v>
      </c>
      <c r="S44" s="489">
        <v>0</v>
      </c>
      <c r="V44" s="491">
        <v>1.5</v>
      </c>
    </row>
    <row r="45" spans="1:22" s="109" customFormat="1" ht="18" hidden="1">
      <c r="A45" s="1204"/>
      <c r="B45" s="1205" t="s">
        <v>235</v>
      </c>
      <c r="C45" s="1205" t="s">
        <v>432</v>
      </c>
      <c r="D45" s="88"/>
      <c r="E45" s="1205" t="s">
        <v>1272</v>
      </c>
      <c r="F45" s="1206"/>
      <c r="G45" s="1205"/>
      <c r="H45" s="1205" t="s">
        <v>260</v>
      </c>
      <c r="I45" s="1205" t="s">
        <v>219</v>
      </c>
      <c r="J45" s="1205" t="s">
        <v>251</v>
      </c>
      <c r="K45" s="1205" t="s">
        <v>248</v>
      </c>
      <c r="L45" s="1207" t="s">
        <v>335</v>
      </c>
      <c r="M45" s="1205" t="s">
        <v>349</v>
      </c>
      <c r="N45" s="489"/>
      <c r="O45" s="490" t="s">
        <v>226</v>
      </c>
      <c r="P45" s="488">
        <v>14000</v>
      </c>
      <c r="Q45" s="489"/>
      <c r="R45" s="489">
        <v>1</v>
      </c>
      <c r="S45" s="489">
        <v>1</v>
      </c>
      <c r="V45" s="491">
        <v>2</v>
      </c>
    </row>
    <row r="46" spans="1:22" s="109" customFormat="1" ht="18" hidden="1">
      <c r="A46" s="1204"/>
      <c r="B46" s="1205" t="s">
        <v>236</v>
      </c>
      <c r="C46" s="1205" t="s">
        <v>1323</v>
      </c>
      <c r="D46" s="1205"/>
      <c r="E46" s="1205"/>
      <c r="F46" s="1206"/>
      <c r="G46" s="1205"/>
      <c r="H46" s="1205"/>
      <c r="I46" s="1205" t="s">
        <v>220</v>
      </c>
      <c r="J46" s="1205"/>
      <c r="K46" s="1205"/>
      <c r="L46" s="1205"/>
      <c r="M46" s="1205" t="s">
        <v>350</v>
      </c>
      <c r="N46" s="489"/>
      <c r="O46" s="490" t="s">
        <v>227</v>
      </c>
      <c r="P46" s="488">
        <v>15000</v>
      </c>
      <c r="Q46" s="489"/>
      <c r="R46" s="489">
        <v>2</v>
      </c>
      <c r="S46" s="489">
        <v>2</v>
      </c>
      <c r="V46" s="491">
        <v>2.5</v>
      </c>
    </row>
    <row r="47" spans="1:22" s="109" customFormat="1" ht="18" hidden="1">
      <c r="A47" s="1204"/>
      <c r="B47" s="1205" t="s">
        <v>237</v>
      </c>
      <c r="C47" s="1205" t="s">
        <v>243</v>
      </c>
      <c r="D47" s="1205"/>
      <c r="E47" s="1205"/>
      <c r="F47" s="1206"/>
      <c r="G47" s="1205"/>
      <c r="H47" s="1205"/>
      <c r="I47" s="1205"/>
      <c r="J47" s="1205"/>
      <c r="K47" s="1205"/>
      <c r="L47" s="1205"/>
      <c r="M47" s="1205" t="s">
        <v>351</v>
      </c>
      <c r="N47" s="489"/>
      <c r="O47" s="489" t="s">
        <v>228</v>
      </c>
      <c r="P47" s="488">
        <v>17000</v>
      </c>
      <c r="Q47" s="489"/>
      <c r="R47" s="489">
        <v>3</v>
      </c>
      <c r="S47" s="89">
        <v>3</v>
      </c>
      <c r="V47" s="491">
        <v>3</v>
      </c>
    </row>
    <row r="48" spans="1:22" s="109" customFormat="1" ht="18" hidden="1">
      <c r="A48" s="1204"/>
      <c r="B48" s="1434"/>
      <c r="C48" s="1435"/>
      <c r="D48" s="1208">
        <v>1</v>
      </c>
      <c r="E48" s="1197"/>
      <c r="F48" s="1206"/>
      <c r="G48" s="1205"/>
      <c r="H48" s="1205"/>
      <c r="I48" s="1205"/>
      <c r="J48" s="1205"/>
      <c r="K48" s="1205"/>
      <c r="L48" s="1205"/>
      <c r="M48" s="1205" t="s">
        <v>352</v>
      </c>
      <c r="N48" s="489"/>
      <c r="O48" s="489" t="s">
        <v>229</v>
      </c>
      <c r="P48" s="488">
        <v>19000</v>
      </c>
      <c r="Q48" s="489"/>
      <c r="R48" s="489">
        <v>4</v>
      </c>
      <c r="S48" s="89">
        <v>4</v>
      </c>
      <c r="V48" s="491">
        <v>3.5</v>
      </c>
    </row>
    <row r="49" spans="1:27" s="109" customFormat="1" ht="18" hidden="1">
      <c r="A49" s="1204"/>
      <c r="B49" s="1205"/>
      <c r="C49" s="1205"/>
      <c r="D49" s="1208">
        <v>1.5</v>
      </c>
      <c r="E49" s="1197"/>
      <c r="F49" s="1206"/>
      <c r="G49" s="1205"/>
      <c r="H49" s="1205"/>
      <c r="I49" s="1205"/>
      <c r="J49" s="1205"/>
      <c r="K49" s="1205"/>
      <c r="L49" s="1205"/>
      <c r="M49" s="1205" t="s">
        <v>353</v>
      </c>
      <c r="N49" s="489"/>
      <c r="O49" s="489" t="s">
        <v>230</v>
      </c>
      <c r="P49" s="488">
        <v>21000</v>
      </c>
      <c r="Q49" s="489"/>
      <c r="R49" s="489">
        <v>5</v>
      </c>
      <c r="S49" s="89">
        <v>5</v>
      </c>
      <c r="V49" s="491">
        <v>4</v>
      </c>
    </row>
    <row r="50" spans="1:27" s="109" customFormat="1" ht="18" hidden="1">
      <c r="A50" s="1204" t="s">
        <v>566</v>
      </c>
      <c r="B50" s="1205"/>
      <c r="C50" s="1209" t="s">
        <v>85</v>
      </c>
      <c r="D50" s="1208">
        <v>2</v>
      </c>
      <c r="E50" s="1197"/>
      <c r="F50" s="1206"/>
      <c r="G50" s="1205"/>
      <c r="H50" s="1205"/>
      <c r="I50" s="1205"/>
      <c r="J50" s="1205"/>
      <c r="K50" s="1205"/>
      <c r="L50" s="1205"/>
      <c r="M50" s="1205" t="s">
        <v>354</v>
      </c>
      <c r="N50" s="489"/>
      <c r="O50" s="489" t="s">
        <v>231</v>
      </c>
      <c r="P50" s="489"/>
      <c r="Q50" s="89"/>
      <c r="R50" s="89"/>
      <c r="S50" s="89"/>
      <c r="V50" s="491">
        <v>4.5</v>
      </c>
    </row>
    <row r="51" spans="1:27" s="109" customFormat="1" ht="18" hidden="1">
      <c r="A51" s="1204" t="s">
        <v>566</v>
      </c>
      <c r="B51" s="1205"/>
      <c r="C51" s="1209" t="s">
        <v>87</v>
      </c>
      <c r="D51" s="1208">
        <v>2.5</v>
      </c>
      <c r="E51" s="1197"/>
      <c r="F51" s="1206"/>
      <c r="G51" s="1205"/>
      <c r="H51" s="1205"/>
      <c r="I51" s="1205"/>
      <c r="J51" s="1205"/>
      <c r="K51" s="1205"/>
      <c r="L51" s="1205"/>
      <c r="M51" s="1205" t="s">
        <v>355</v>
      </c>
      <c r="N51" s="489"/>
      <c r="O51" s="489"/>
      <c r="P51" s="489"/>
      <c r="Q51" s="89"/>
      <c r="R51" s="89"/>
      <c r="S51" s="89"/>
      <c r="V51" s="491">
        <v>5</v>
      </c>
    </row>
    <row r="52" spans="1:27" s="109" customFormat="1" ht="18" hidden="1">
      <c r="A52" s="1204" t="s">
        <v>566</v>
      </c>
      <c r="B52" s="1205"/>
      <c r="C52" s="1209"/>
      <c r="D52" s="1208">
        <v>3</v>
      </c>
      <c r="E52" s="1197"/>
      <c r="F52" s="1206"/>
      <c r="G52" s="1205"/>
      <c r="H52" s="1205"/>
      <c r="I52" s="1205"/>
      <c r="J52" s="1205"/>
      <c r="K52" s="1205"/>
      <c r="L52" s="1205"/>
      <c r="M52" s="1205" t="s">
        <v>356</v>
      </c>
      <c r="N52" s="489"/>
      <c r="O52" s="489"/>
      <c r="P52" s="489"/>
      <c r="Q52" s="89"/>
      <c r="R52" s="89"/>
      <c r="S52" s="89"/>
      <c r="V52" s="491">
        <v>5.5</v>
      </c>
    </row>
    <row r="53" spans="1:27" s="109" customFormat="1" ht="18" hidden="1">
      <c r="A53" s="1204"/>
      <c r="B53" s="1205"/>
      <c r="C53" s="1205"/>
      <c r="D53" s="1208">
        <v>3.5</v>
      </c>
      <c r="E53" s="1197"/>
      <c r="F53" s="1206"/>
      <c r="G53" s="1205"/>
      <c r="H53" s="1205"/>
      <c r="I53" s="1205"/>
      <c r="J53" s="1205"/>
      <c r="K53" s="1205"/>
      <c r="L53" s="1205"/>
      <c r="M53" s="1205" t="s">
        <v>357</v>
      </c>
      <c r="N53" s="489"/>
      <c r="O53" s="489"/>
      <c r="P53" s="489"/>
      <c r="Q53" s="89"/>
      <c r="R53" s="89"/>
      <c r="S53" s="89"/>
      <c r="V53" s="491">
        <v>6</v>
      </c>
    </row>
    <row r="54" spans="1:27" s="441" customFormat="1" ht="18" hidden="1">
      <c r="A54" s="1204"/>
      <c r="B54" s="1210"/>
      <c r="C54" s="1205"/>
      <c r="D54" s="1208">
        <v>4</v>
      </c>
      <c r="E54" s="1211"/>
      <c r="F54" s="1212"/>
      <c r="G54" s="1210"/>
      <c r="H54" s="1210"/>
      <c r="I54" s="1210"/>
      <c r="J54" s="1210"/>
      <c r="K54" s="1210"/>
      <c r="L54" s="1210"/>
      <c r="M54" s="1205" t="s">
        <v>358</v>
      </c>
      <c r="N54" s="492"/>
      <c r="O54" s="492"/>
      <c r="P54" s="492"/>
      <c r="Q54" s="76"/>
      <c r="R54" s="76"/>
      <c r="S54" s="76"/>
      <c r="V54" s="491">
        <v>6.5</v>
      </c>
    </row>
    <row r="55" spans="1:27" s="441" customFormat="1" ht="18" hidden="1">
      <c r="A55" s="1213"/>
      <c r="B55" s="1210"/>
      <c r="C55" s="1210"/>
      <c r="D55" s="1208">
        <v>4.5</v>
      </c>
      <c r="E55" s="1208"/>
      <c r="F55" s="1212"/>
      <c r="G55" s="1210"/>
      <c r="H55" s="1210"/>
      <c r="I55" s="1210"/>
      <c r="J55" s="1210"/>
      <c r="K55" s="1210"/>
      <c r="L55" s="1210"/>
      <c r="M55" s="1205" t="s">
        <v>359</v>
      </c>
      <c r="N55" s="492"/>
      <c r="O55" s="492"/>
      <c r="P55" s="492"/>
      <c r="Q55" s="76"/>
      <c r="R55" s="76"/>
      <c r="S55" s="76"/>
      <c r="V55" s="491">
        <v>7</v>
      </c>
    </row>
    <row r="56" spans="1:27" s="441" customFormat="1" ht="18" hidden="1">
      <c r="A56" s="1213"/>
      <c r="B56" s="1210"/>
      <c r="C56" s="1210"/>
      <c r="D56" s="1208">
        <v>5</v>
      </c>
      <c r="E56" s="1208"/>
      <c r="F56" s="1212"/>
      <c r="G56" s="1210"/>
      <c r="H56" s="1210"/>
      <c r="I56" s="1210"/>
      <c r="J56" s="1210"/>
      <c r="K56" s="1210"/>
      <c r="L56" s="1210"/>
      <c r="M56" s="1205" t="s">
        <v>360</v>
      </c>
      <c r="N56" s="492"/>
      <c r="O56" s="492"/>
      <c r="P56" s="492"/>
      <c r="Q56" s="76"/>
      <c r="R56" s="76"/>
      <c r="S56" s="111"/>
      <c r="V56" s="491">
        <v>7.5</v>
      </c>
    </row>
    <row r="57" spans="1:27" s="441" customFormat="1" ht="18" hidden="1">
      <c r="A57" s="1213"/>
      <c r="B57" s="1210"/>
      <c r="C57" s="1210"/>
      <c r="D57" s="1210"/>
      <c r="E57" s="1210"/>
      <c r="F57" s="1212"/>
      <c r="G57" s="1210"/>
      <c r="H57" s="1210"/>
      <c r="I57" s="1210"/>
      <c r="J57" s="1210"/>
      <c r="K57" s="1210"/>
      <c r="L57" s="1210"/>
      <c r="M57" s="1205" t="s">
        <v>361</v>
      </c>
      <c r="N57" s="492"/>
      <c r="O57" s="492"/>
      <c r="P57" s="492"/>
      <c r="Q57" s="76"/>
      <c r="R57" s="76"/>
      <c r="S57" s="111"/>
      <c r="V57" s="491">
        <v>8</v>
      </c>
    </row>
    <row r="58" spans="1:27" s="441" customFormat="1" ht="18" hidden="1">
      <c r="A58" s="1213"/>
      <c r="B58" s="1210"/>
      <c r="C58" s="1210"/>
      <c r="D58" s="1210"/>
      <c r="E58" s="1210"/>
      <c r="F58" s="1212"/>
      <c r="G58" s="1210"/>
      <c r="H58" s="1210"/>
      <c r="I58" s="1210"/>
      <c r="J58" s="1210"/>
      <c r="K58" s="1210"/>
      <c r="L58" s="1210"/>
      <c r="M58" s="1205" t="s">
        <v>362</v>
      </c>
      <c r="N58" s="492"/>
      <c r="O58" s="492"/>
      <c r="P58" s="492"/>
      <c r="Q58" s="76"/>
      <c r="R58" s="76"/>
      <c r="S58" s="111"/>
      <c r="V58" s="491">
        <v>8.5</v>
      </c>
    </row>
    <row r="59" spans="1:27" s="441" customFormat="1" ht="18" hidden="1">
      <c r="A59" s="1213"/>
      <c r="B59" s="1210"/>
      <c r="C59" s="1210"/>
      <c r="D59" s="1210"/>
      <c r="E59" s="1210"/>
      <c r="F59" s="1212"/>
      <c r="G59" s="1210"/>
      <c r="H59" s="1210"/>
      <c r="I59" s="1210"/>
      <c r="J59" s="1210"/>
      <c r="K59" s="1210"/>
      <c r="L59" s="1210"/>
      <c r="M59" s="1205" t="s">
        <v>363</v>
      </c>
      <c r="N59" s="492"/>
      <c r="O59" s="492"/>
      <c r="P59" s="492"/>
      <c r="Q59" s="76"/>
      <c r="R59" s="76"/>
      <c r="S59" s="111"/>
      <c r="V59" s="491">
        <v>9</v>
      </c>
    </row>
    <row r="60" spans="1:27" s="441" customFormat="1" ht="18" hidden="1">
      <c r="A60" s="1180"/>
      <c r="B60" s="71"/>
      <c r="C60" s="71"/>
      <c r="D60" s="71"/>
      <c r="E60" s="71"/>
      <c r="F60" s="1214"/>
      <c r="G60" s="71"/>
      <c r="H60" s="71"/>
      <c r="I60" s="71"/>
      <c r="J60" s="71"/>
      <c r="K60" s="71"/>
      <c r="L60" s="71"/>
      <c r="M60" s="1205" t="s">
        <v>364</v>
      </c>
      <c r="N60" s="76"/>
      <c r="O60" s="76"/>
      <c r="P60" s="76"/>
      <c r="Q60" s="76"/>
      <c r="R60" s="76"/>
      <c r="S60" s="111"/>
      <c r="V60" s="491">
        <v>9.5</v>
      </c>
    </row>
    <row r="61" spans="1:27" s="441" customFormat="1" ht="18" hidden="1">
      <c r="A61" s="1180"/>
      <c r="B61" s="71"/>
      <c r="C61" s="71"/>
      <c r="D61" s="71"/>
      <c r="E61" s="71"/>
      <c r="F61" s="1214"/>
      <c r="G61" s="71"/>
      <c r="H61" s="71"/>
      <c r="I61" s="71"/>
      <c r="J61" s="71"/>
      <c r="K61" s="71"/>
      <c r="L61" s="71"/>
      <c r="M61" s="1205" t="s">
        <v>365</v>
      </c>
      <c r="N61" s="76"/>
      <c r="O61" s="76"/>
      <c r="P61" s="76"/>
      <c r="Q61" s="76"/>
      <c r="R61" s="76"/>
      <c r="S61" s="111"/>
      <c r="V61" s="491">
        <v>10</v>
      </c>
    </row>
    <row r="62" spans="1:27" s="441" customFormat="1" ht="18" hidden="1">
      <c r="A62" s="1215"/>
      <c r="B62" s="1211"/>
      <c r="C62" s="1211"/>
      <c r="D62" s="1211"/>
      <c r="E62" s="1211"/>
      <c r="F62" s="1216"/>
      <c r="G62" s="1211"/>
      <c r="H62" s="1211"/>
      <c r="I62" s="1211"/>
      <c r="J62" s="1211"/>
      <c r="K62" s="1211"/>
      <c r="L62" s="1211"/>
      <c r="M62" s="1211"/>
      <c r="V62" s="491">
        <v>10.5</v>
      </c>
    </row>
    <row r="63" spans="1:27" s="441" customFormat="1" ht="18" hidden="1">
      <c r="A63" s="1215"/>
      <c r="B63" s="1432" t="s">
        <v>366</v>
      </c>
      <c r="C63" s="1433"/>
      <c r="D63" s="1432" t="s">
        <v>367</v>
      </c>
      <c r="E63" s="1433"/>
      <c r="F63" s="1432" t="s">
        <v>370</v>
      </c>
      <c r="G63" s="1433"/>
      <c r="H63" s="1432" t="s">
        <v>371</v>
      </c>
      <c r="I63" s="1433"/>
      <c r="J63" s="1432" t="s">
        <v>372</v>
      </c>
      <c r="K63" s="1433"/>
      <c r="L63" s="1432" t="s">
        <v>373</v>
      </c>
      <c r="M63" s="1433"/>
      <c r="V63" s="491">
        <v>11</v>
      </c>
    </row>
    <row r="64" spans="1:27" s="441" customFormat="1" hidden="1">
      <c r="A64" s="1217"/>
      <c r="B64" s="1218" t="s">
        <v>368</v>
      </c>
      <c r="C64" s="1218" t="s">
        <v>369</v>
      </c>
      <c r="D64" s="1218" t="s">
        <v>368</v>
      </c>
      <c r="E64" s="1218" t="s">
        <v>369</v>
      </c>
      <c r="F64" s="1219" t="s">
        <v>368</v>
      </c>
      <c r="G64" s="1218" t="s">
        <v>369</v>
      </c>
      <c r="H64" s="1218" t="s">
        <v>368</v>
      </c>
      <c r="I64" s="1218" t="s">
        <v>369</v>
      </c>
      <c r="J64" s="1218" t="s">
        <v>368</v>
      </c>
      <c r="K64" s="1218" t="s">
        <v>369</v>
      </c>
      <c r="L64" s="1218" t="s">
        <v>368</v>
      </c>
      <c r="M64" s="1218" t="s">
        <v>369</v>
      </c>
      <c r="N64" s="442"/>
      <c r="O64" s="442" t="s">
        <v>567</v>
      </c>
      <c r="P64" s="442" t="s">
        <v>568</v>
      </c>
      <c r="Q64" s="442" t="s">
        <v>569</v>
      </c>
      <c r="R64" s="442" t="s">
        <v>570</v>
      </c>
      <c r="S64" s="443" t="s">
        <v>571</v>
      </c>
      <c r="T64" s="444" t="s">
        <v>572</v>
      </c>
      <c r="U64" s="445"/>
      <c r="V64" s="491">
        <v>11.5</v>
      </c>
      <c r="W64" s="109"/>
      <c r="X64" s="109"/>
      <c r="Y64" s="109"/>
      <c r="Z64" s="109"/>
      <c r="AA64" s="109"/>
    </row>
    <row r="65" spans="1:27" s="441" customFormat="1" ht="18" hidden="1">
      <c r="A65" s="1217"/>
      <c r="B65" s="1220"/>
      <c r="C65" s="1220"/>
      <c r="D65" s="1220"/>
      <c r="E65" s="1220"/>
      <c r="F65" s="1221"/>
      <c r="G65" s="1220"/>
      <c r="H65" s="1220"/>
      <c r="I65" s="1220"/>
      <c r="J65" s="1220"/>
      <c r="K65" s="1220"/>
      <c r="L65" s="1220"/>
      <c r="M65" s="1220"/>
      <c r="N65" s="442"/>
      <c r="O65" s="442"/>
      <c r="P65" s="442"/>
      <c r="Q65" s="442"/>
      <c r="R65" s="442"/>
      <c r="S65" s="443"/>
      <c r="T65" s="446"/>
      <c r="U65" s="445"/>
      <c r="V65" s="491">
        <v>12</v>
      </c>
      <c r="W65" s="109"/>
      <c r="X65" s="109"/>
      <c r="Y65" s="109"/>
      <c r="Z65" s="109"/>
      <c r="AA65" s="109"/>
    </row>
    <row r="66" spans="1:27" s="441" customFormat="1" ht="18" hidden="1">
      <c r="A66" s="1217"/>
      <c r="B66" s="1220">
        <f>TRUNC(BASIC_TOOL!$A$11)</f>
        <v>10</v>
      </c>
      <c r="C66" s="1222">
        <f>BASIC_TOOL!A$11-B66</f>
        <v>0</v>
      </c>
      <c r="D66" s="1220">
        <f>TRUNC(BASIC_TOOL!$B$11)</f>
        <v>5</v>
      </c>
      <c r="E66" s="1222">
        <f>BASIC_TOOL!B$11-D66</f>
        <v>0</v>
      </c>
      <c r="F66" s="1221">
        <f>TRUNC(BASIC_TOOL!$C$11)</f>
        <v>0</v>
      </c>
      <c r="G66" s="1222">
        <f>BASIC_TOOL!C$11-F66</f>
        <v>0</v>
      </c>
      <c r="H66" s="1220">
        <f>TRUNC(BASIC_TOOL!$D$11)</f>
        <v>0</v>
      </c>
      <c r="I66" s="1222">
        <f>BASIC_TOOL!D$11-H66</f>
        <v>0</v>
      </c>
      <c r="J66" s="1220">
        <f>TRUNC(BASIC_TOOL!$E$11)</f>
        <v>0</v>
      </c>
      <c r="K66" s="1222">
        <f>BASIC_TOOL!E$11-J66</f>
        <v>0</v>
      </c>
      <c r="L66" s="1220">
        <f>TRUNC(BASIC_TOOL!$F$11)</f>
        <v>3</v>
      </c>
      <c r="M66" s="1222">
        <f>BASIC_TOOL!F$11-L66</f>
        <v>0</v>
      </c>
      <c r="N66" s="447">
        <f>(B69)*(D69+F69+H69+J69)*(L69)</f>
        <v>150</v>
      </c>
      <c r="O66" s="442" t="e">
        <f>((B66+C69)*((D66+F66+H66+J66+E69+G69+I69+K69))-(BASIC_TOOL!#REF!+1))</f>
        <v>#REF!</v>
      </c>
      <c r="P66" s="448"/>
      <c r="Q66" s="442" t="e">
        <f>(B66+C69)*((D66+F66+H66+J66+E69+G69+I69+K69))-(BASIC_TOOL!#REF!+1)</f>
        <v>#REF!</v>
      </c>
      <c r="R66" s="442" t="e">
        <f>BASIC_TOOL!#REF!+1</f>
        <v>#REF!</v>
      </c>
      <c r="S66" s="443" t="e">
        <f>BASIC_TOOL!#REF!+1</f>
        <v>#REF!</v>
      </c>
      <c r="T66" s="444" t="e">
        <f>IF(BASIC_TOOL!#REF!&gt;0,((B66+C69)*1),0)</f>
        <v>#REF!</v>
      </c>
      <c r="U66" s="444">
        <f>(B66+C69-1)*2+(D66+E69+F66+G69-1)*2</f>
        <v>26</v>
      </c>
      <c r="V66" s="491">
        <v>12.5</v>
      </c>
      <c r="W66" s="109"/>
      <c r="X66" s="109"/>
      <c r="Y66" s="109"/>
      <c r="Z66" s="109"/>
      <c r="AA66" s="109"/>
    </row>
    <row r="67" spans="1:27" s="441" customFormat="1" ht="18" hidden="1">
      <c r="A67" s="1223"/>
      <c r="B67" s="1224"/>
      <c r="C67" s="1224"/>
      <c r="D67" s="1224">
        <f>L1_C</f>
        <v>5</v>
      </c>
      <c r="E67" s="1224"/>
      <c r="F67" s="1224"/>
      <c r="G67" s="1224"/>
      <c r="H67" s="1224"/>
      <c r="I67" s="1224"/>
      <c r="J67" s="1224"/>
      <c r="K67" s="1224"/>
      <c r="L67" s="1224"/>
      <c r="M67" s="1224"/>
      <c r="N67" s="449"/>
      <c r="O67" s="450"/>
      <c r="P67" s="451"/>
      <c r="Q67" s="450"/>
      <c r="R67" s="450"/>
      <c r="S67" s="450"/>
      <c r="T67" s="450"/>
      <c r="U67" s="450"/>
      <c r="V67" s="491">
        <v>13</v>
      </c>
      <c r="W67" s="452"/>
      <c r="X67" s="452"/>
      <c r="Y67" s="452">
        <v>100000</v>
      </c>
      <c r="Z67" s="452" t="e">
        <f>#REF!*Y67</f>
        <v>#REF!</v>
      </c>
      <c r="AA67" s="109"/>
    </row>
    <row r="68" spans="1:27" s="441" customFormat="1" ht="18" hidden="1">
      <c r="A68" s="1217"/>
      <c r="B68" s="1220"/>
      <c r="C68" s="1220"/>
      <c r="D68" s="1220"/>
      <c r="E68" s="1220"/>
      <c r="F68" s="1221"/>
      <c r="G68" s="1220"/>
      <c r="H68" s="1220"/>
      <c r="I68" s="1220"/>
      <c r="J68" s="1220"/>
      <c r="K68" s="1220"/>
      <c r="L68" s="1220"/>
      <c r="M68" s="1220"/>
      <c r="N68" s="447"/>
      <c r="O68" s="442"/>
      <c r="P68" s="448"/>
      <c r="Q68" s="442"/>
      <c r="R68" s="442"/>
      <c r="S68" s="442"/>
      <c r="T68" s="442"/>
      <c r="U68" s="442"/>
      <c r="V68" s="491">
        <v>13.5</v>
      </c>
      <c r="W68" s="109"/>
      <c r="X68" s="109"/>
      <c r="Y68" s="109"/>
      <c r="Z68" s="109"/>
      <c r="AA68" s="109"/>
    </row>
    <row r="69" spans="1:27" s="441" customFormat="1" ht="18" hidden="1">
      <c r="A69" s="1217"/>
      <c r="B69" s="1222">
        <f>B66+C66</f>
        <v>10</v>
      </c>
      <c r="C69" s="1222">
        <f>IF(C66=0.5,1,0)</f>
        <v>0</v>
      </c>
      <c r="D69" s="1222">
        <f>D66+E66</f>
        <v>5</v>
      </c>
      <c r="E69" s="1222">
        <f>IF(E66=0.5,1,0)</f>
        <v>0</v>
      </c>
      <c r="F69" s="1225">
        <f>F66+G66</f>
        <v>0</v>
      </c>
      <c r="G69" s="1222">
        <f>IF(G66=0.5,1,0)</f>
        <v>0</v>
      </c>
      <c r="H69" s="1222">
        <f>H66+I66</f>
        <v>0</v>
      </c>
      <c r="I69" s="1222">
        <f>IF(I66=0.5,1,0)</f>
        <v>0</v>
      </c>
      <c r="J69" s="1222">
        <f>J66+K66</f>
        <v>0</v>
      </c>
      <c r="K69" s="1222">
        <f>IF(K66=0.5,1,0)</f>
        <v>0</v>
      </c>
      <c r="L69" s="1222">
        <f>L66+M66</f>
        <v>3</v>
      </c>
      <c r="M69" s="1222">
        <f>IF(M66&gt;0,1,0)</f>
        <v>0</v>
      </c>
      <c r="N69" s="442"/>
      <c r="O69" s="442"/>
      <c r="P69" s="442"/>
      <c r="Q69" s="442"/>
      <c r="R69" s="442"/>
      <c r="S69" s="442"/>
      <c r="T69" s="442"/>
      <c r="U69" s="442"/>
      <c r="V69" s="491">
        <v>14</v>
      </c>
      <c r="W69" s="109"/>
      <c r="X69" s="109"/>
      <c r="Y69" s="109"/>
      <c r="Z69" s="109"/>
      <c r="AA69" s="109"/>
    </row>
    <row r="70" spans="1:27" s="441" customFormat="1" ht="45" hidden="1" customHeight="1">
      <c r="A70" s="1217"/>
      <c r="B70" s="1226"/>
      <c r="C70" s="1226"/>
      <c r="D70" s="1226"/>
      <c r="E70" s="1226"/>
      <c r="F70" s="1227"/>
      <c r="G70" s="1226"/>
      <c r="H70" s="1226"/>
      <c r="I70" s="1226"/>
      <c r="J70" s="1226"/>
      <c r="K70" s="1228">
        <f>D69+F69+H69+J69</f>
        <v>5</v>
      </c>
      <c r="L70" s="1226"/>
      <c r="M70" s="1226"/>
      <c r="N70" s="442"/>
      <c r="O70" s="442"/>
      <c r="P70" s="442"/>
      <c r="Q70" s="442"/>
      <c r="R70" s="442"/>
      <c r="S70" s="442"/>
      <c r="T70" s="442"/>
      <c r="U70" s="442"/>
      <c r="V70" s="491">
        <v>14.5</v>
      </c>
      <c r="W70" s="109"/>
      <c r="X70" s="109"/>
      <c r="Y70" s="109"/>
      <c r="Z70" s="109"/>
      <c r="AA70" s="109"/>
    </row>
    <row r="71" spans="1:27" s="441" customFormat="1" ht="20.25" hidden="1" customHeight="1">
      <c r="A71" s="1217"/>
      <c r="B71" s="1226"/>
      <c r="C71" s="1226"/>
      <c r="D71" s="1226"/>
      <c r="E71" s="1226"/>
      <c r="F71" s="1227"/>
      <c r="G71" s="1226"/>
      <c r="H71" s="1226"/>
      <c r="I71" s="1226"/>
      <c r="J71" s="1226"/>
      <c r="K71" s="1229"/>
      <c r="L71" s="1226"/>
      <c r="M71" s="1226"/>
      <c r="N71" s="442"/>
      <c r="O71" s="442"/>
      <c r="P71" s="442"/>
      <c r="Q71" s="442"/>
      <c r="R71" s="442"/>
      <c r="S71" s="442"/>
      <c r="T71" s="442"/>
      <c r="U71" s="442"/>
      <c r="V71" s="491">
        <v>15</v>
      </c>
      <c r="W71" s="109"/>
      <c r="X71" s="109"/>
      <c r="Y71" s="109"/>
      <c r="Z71" s="109"/>
      <c r="AA71" s="109"/>
    </row>
    <row r="72" spans="1:27" s="441" customFormat="1" ht="20.25" hidden="1" customHeight="1">
      <c r="A72" s="1217"/>
      <c r="B72" s="1197"/>
      <c r="C72" s="1197"/>
      <c r="D72" s="1197"/>
      <c r="E72" s="1197"/>
      <c r="F72" s="1203"/>
      <c r="G72" s="1197"/>
      <c r="H72" s="1197"/>
      <c r="I72" s="1197"/>
      <c r="J72" s="1197"/>
      <c r="K72" s="1197">
        <f>L1_C+L2_C+L3_C+L4_C</f>
        <v>5</v>
      </c>
      <c r="L72" s="1197"/>
      <c r="M72" s="1197"/>
      <c r="N72" s="109"/>
      <c r="O72" s="109"/>
      <c r="P72" s="109"/>
      <c r="Q72" s="109"/>
      <c r="R72" s="109"/>
      <c r="S72" s="109"/>
      <c r="T72" s="109"/>
      <c r="U72" s="109"/>
      <c r="V72" s="491">
        <v>15.5</v>
      </c>
      <c r="W72" s="109"/>
      <c r="X72" s="109"/>
      <c r="Y72" s="109"/>
      <c r="Z72" s="109"/>
      <c r="AA72" s="109"/>
    </row>
    <row r="73" spans="1:27" s="76" customFormat="1" ht="20.25" hidden="1" customHeight="1">
      <c r="A73" s="1230"/>
      <c r="B73" s="88"/>
      <c r="C73" s="88"/>
      <c r="D73" s="88"/>
      <c r="E73" s="88"/>
      <c r="F73" s="1196"/>
      <c r="G73" s="88"/>
      <c r="H73" s="88"/>
      <c r="I73" s="88"/>
      <c r="J73" s="88"/>
      <c r="K73" s="88">
        <f>L1_F+L2_F+L3_F+L4_F</f>
        <v>0</v>
      </c>
      <c r="L73" s="88"/>
      <c r="M73" s="88"/>
      <c r="N73" s="89"/>
      <c r="O73" s="89"/>
      <c r="P73" s="89"/>
      <c r="Q73" s="89"/>
      <c r="R73" s="89"/>
      <c r="S73" s="89"/>
      <c r="T73" s="89"/>
      <c r="U73" s="89"/>
      <c r="V73" s="491">
        <v>16</v>
      </c>
      <c r="W73" s="89"/>
      <c r="X73" s="89"/>
      <c r="Y73" s="89"/>
      <c r="Z73" s="89"/>
      <c r="AA73" s="89"/>
    </row>
    <row r="74" spans="1:27" ht="20.25" hidden="1" customHeight="1">
      <c r="A74" s="1230"/>
      <c r="B74" s="88"/>
      <c r="C74" s="88"/>
      <c r="D74" s="88"/>
      <c r="E74" s="88"/>
      <c r="F74" s="1196"/>
      <c r="G74" s="88"/>
      <c r="H74" s="88"/>
      <c r="I74" s="88"/>
      <c r="J74" s="88"/>
      <c r="K74" s="88"/>
      <c r="L74" s="88"/>
      <c r="M74" s="88"/>
      <c r="N74" s="87"/>
      <c r="O74" s="87"/>
      <c r="P74" s="87"/>
      <c r="Q74" s="87"/>
      <c r="R74" s="87"/>
      <c r="S74" s="87"/>
      <c r="T74" s="87"/>
      <c r="U74" s="87"/>
      <c r="V74" s="491">
        <v>16.5</v>
      </c>
      <c r="W74" s="87"/>
      <c r="X74" s="87"/>
      <c r="Y74" s="87"/>
      <c r="Z74" s="87"/>
      <c r="AA74" s="87"/>
    </row>
    <row r="75" spans="1:27" ht="20.25" hidden="1" customHeight="1">
      <c r="A75" s="1230"/>
      <c r="B75" s="88"/>
      <c r="C75" s="88"/>
      <c r="D75" s="88"/>
      <c r="E75" s="88"/>
      <c r="F75" s="1196"/>
      <c r="G75" s="88"/>
      <c r="H75" s="88"/>
      <c r="I75" s="88"/>
      <c r="J75" s="88"/>
      <c r="K75" s="88"/>
      <c r="L75" s="88"/>
      <c r="M75" s="88"/>
      <c r="N75" s="87"/>
      <c r="O75" s="87"/>
      <c r="P75" s="87"/>
      <c r="Q75" s="87"/>
      <c r="R75" s="87"/>
      <c r="S75" s="87"/>
      <c r="T75" s="87"/>
      <c r="U75" s="87"/>
      <c r="V75" s="491">
        <v>17</v>
      </c>
      <c r="W75" s="87"/>
      <c r="X75" s="87"/>
      <c r="Y75" s="87"/>
      <c r="Z75" s="87"/>
      <c r="AA75" s="87"/>
    </row>
    <row r="76" spans="1:27" ht="20.25" hidden="1" customHeight="1">
      <c r="A76" s="1230"/>
      <c r="B76" s="88"/>
      <c r="C76" s="88"/>
      <c r="D76" s="88"/>
      <c r="E76" s="88"/>
      <c r="F76" s="1196"/>
      <c r="G76" s="88"/>
      <c r="H76" s="88"/>
      <c r="I76" s="88"/>
      <c r="J76" s="88"/>
      <c r="K76" s="88"/>
      <c r="L76" s="88"/>
      <c r="M76" s="88"/>
      <c r="N76" s="87"/>
      <c r="O76" s="87"/>
      <c r="P76" s="87"/>
      <c r="Q76" s="87"/>
      <c r="R76" s="87"/>
      <c r="S76" s="87"/>
      <c r="T76" s="87"/>
      <c r="U76" s="87"/>
      <c r="V76" s="491">
        <v>17.5</v>
      </c>
      <c r="W76" s="87"/>
      <c r="X76" s="87"/>
      <c r="Y76" s="87"/>
      <c r="Z76" s="87"/>
      <c r="AA76" s="87"/>
    </row>
    <row r="77" spans="1:27" ht="20.25" hidden="1" customHeight="1">
      <c r="A77" s="1230"/>
      <c r="B77" s="88"/>
      <c r="C77" s="88"/>
      <c r="D77" s="88"/>
      <c r="E77" s="88"/>
      <c r="F77" s="1196"/>
      <c r="G77" s="88"/>
      <c r="H77" s="88"/>
      <c r="I77" s="88"/>
      <c r="J77" s="88"/>
      <c r="K77" s="88"/>
      <c r="L77" s="88"/>
      <c r="M77" s="88"/>
      <c r="N77" s="87"/>
      <c r="O77" s="87"/>
      <c r="P77" s="87"/>
      <c r="Q77" s="87"/>
      <c r="R77" s="87"/>
      <c r="S77" s="87"/>
      <c r="T77" s="87"/>
      <c r="U77" s="87"/>
      <c r="V77" s="491">
        <v>18</v>
      </c>
      <c r="W77" s="87"/>
      <c r="X77" s="87"/>
      <c r="Y77" s="87"/>
      <c r="Z77" s="87"/>
      <c r="AA77" s="87"/>
    </row>
    <row r="78" spans="1:27" ht="20.25" hidden="1" customHeight="1">
      <c r="A78" s="1180"/>
      <c r="B78" s="71"/>
      <c r="C78" s="71"/>
      <c r="D78" s="71"/>
      <c r="E78" s="71"/>
      <c r="F78" s="1214"/>
      <c r="G78" s="71"/>
      <c r="H78" s="71"/>
      <c r="I78" s="71"/>
      <c r="J78" s="71"/>
      <c r="K78" s="71"/>
      <c r="L78" s="71"/>
      <c r="M78" s="71"/>
      <c r="V78" s="491">
        <v>18.5</v>
      </c>
    </row>
    <row r="79" spans="1:27" ht="20.25" hidden="1" customHeight="1">
      <c r="A79" s="1180"/>
      <c r="B79" s="71"/>
      <c r="C79" s="71"/>
      <c r="D79" s="71"/>
      <c r="E79" s="71"/>
      <c r="F79" s="1214"/>
      <c r="G79" s="71"/>
      <c r="H79" s="71"/>
      <c r="I79" s="71"/>
      <c r="J79" s="71"/>
      <c r="K79" s="71"/>
      <c r="L79" s="71"/>
      <c r="M79" s="71"/>
      <c r="V79" s="491">
        <v>19</v>
      </c>
    </row>
    <row r="80" spans="1:27" ht="20.25" hidden="1" customHeight="1">
      <c r="A80" s="1180"/>
      <c r="B80" s="71"/>
      <c r="C80" s="71"/>
      <c r="D80" s="71"/>
      <c r="E80" s="71"/>
      <c r="F80" s="1214"/>
      <c r="G80" s="71"/>
      <c r="H80" s="71"/>
      <c r="I80" s="71"/>
      <c r="J80" s="71"/>
      <c r="K80" s="71"/>
      <c r="L80" s="71"/>
      <c r="M80" s="71"/>
      <c r="V80" s="491">
        <v>19.5</v>
      </c>
    </row>
    <row r="81" spans="1:22" ht="15" hidden="1" customHeight="1">
      <c r="A81" s="1180"/>
      <c r="B81" s="71"/>
      <c r="C81" s="71"/>
      <c r="D81" s="71"/>
      <c r="E81" s="71"/>
      <c r="F81" s="1214"/>
      <c r="G81" s="71"/>
      <c r="H81" s="71"/>
      <c r="I81" s="71"/>
      <c r="J81" s="71"/>
      <c r="K81" s="71"/>
      <c r="L81" s="71"/>
      <c r="M81" s="71"/>
      <c r="V81" s="491">
        <v>20</v>
      </c>
    </row>
    <row r="82" spans="1:22" ht="20.25" hidden="1" customHeight="1">
      <c r="A82" s="1180"/>
      <c r="B82" s="71"/>
      <c r="C82" s="71"/>
      <c r="D82" s="71"/>
      <c r="E82" s="71"/>
      <c r="F82" s="1214"/>
      <c r="G82" s="71"/>
      <c r="H82" s="71"/>
      <c r="I82" s="71"/>
      <c r="J82" s="71"/>
      <c r="K82" s="71"/>
      <c r="L82" s="71"/>
      <c r="M82" s="71"/>
      <c r="V82" s="491">
        <v>20.5</v>
      </c>
    </row>
    <row r="83" spans="1:22" ht="20.25" hidden="1" customHeight="1">
      <c r="A83" s="1180"/>
      <c r="B83" s="71"/>
      <c r="C83" s="71"/>
      <c r="D83" s="71"/>
      <c r="E83" s="71"/>
      <c r="F83" s="1214"/>
      <c r="G83" s="71"/>
      <c r="H83" s="71"/>
      <c r="I83" s="71"/>
      <c r="J83" s="71"/>
      <c r="K83" s="71"/>
      <c r="L83" s="71"/>
      <c r="M83" s="71"/>
      <c r="V83" s="491">
        <v>21</v>
      </c>
    </row>
    <row r="84" spans="1:22" ht="20.25" hidden="1" customHeight="1">
      <c r="A84" s="1180"/>
      <c r="B84" s="71"/>
      <c r="C84" s="71"/>
      <c r="D84" s="71"/>
      <c r="E84" s="71"/>
      <c r="F84" s="1214"/>
      <c r="G84" s="71"/>
      <c r="H84" s="71"/>
      <c r="I84" s="71"/>
      <c r="J84" s="71"/>
      <c r="K84" s="71"/>
      <c r="L84" s="71"/>
      <c r="M84" s="71"/>
      <c r="V84" s="491">
        <v>21.5</v>
      </c>
    </row>
    <row r="85" spans="1:22" ht="20.25" hidden="1" customHeight="1">
      <c r="A85" s="1180"/>
      <c r="B85" s="71"/>
      <c r="C85" s="71"/>
      <c r="D85" s="71"/>
      <c r="E85" s="71"/>
      <c r="F85" s="1214"/>
      <c r="G85" s="71"/>
      <c r="H85" s="71"/>
      <c r="I85" s="71"/>
      <c r="J85" s="71"/>
      <c r="K85" s="71"/>
      <c r="L85" s="71"/>
      <c r="M85" s="71"/>
      <c r="V85" s="491">
        <v>22</v>
      </c>
    </row>
    <row r="86" spans="1:22" ht="20.25" hidden="1" customHeight="1">
      <c r="A86" s="1180"/>
      <c r="B86" s="71"/>
      <c r="C86" s="71"/>
      <c r="D86" s="71"/>
      <c r="E86" s="71"/>
      <c r="F86" s="1214"/>
      <c r="G86" s="71"/>
      <c r="H86" s="71"/>
      <c r="I86" s="71"/>
      <c r="J86" s="71"/>
      <c r="K86" s="71"/>
      <c r="L86" s="71"/>
      <c r="M86" s="71"/>
      <c r="V86" s="491">
        <v>22.5</v>
      </c>
    </row>
    <row r="87" spans="1:22" ht="20.25" hidden="1" customHeight="1">
      <c r="A87" s="1180"/>
      <c r="B87" s="71"/>
      <c r="C87" s="71"/>
      <c r="D87" s="71"/>
      <c r="E87" s="71"/>
      <c r="F87" s="1214"/>
      <c r="G87" s="71"/>
      <c r="H87" s="71"/>
      <c r="I87" s="71"/>
      <c r="J87" s="71"/>
      <c r="K87" s="71"/>
      <c r="L87" s="71"/>
      <c r="M87" s="71"/>
      <c r="V87" s="491">
        <v>23</v>
      </c>
    </row>
    <row r="88" spans="1:22" ht="20.25" hidden="1" customHeight="1">
      <c r="A88" s="1180"/>
      <c r="B88" s="71"/>
      <c r="C88" s="71"/>
      <c r="D88" s="71"/>
      <c r="E88" s="71"/>
      <c r="F88" s="1214"/>
      <c r="G88" s="71"/>
      <c r="H88" s="71"/>
      <c r="I88" s="71"/>
      <c r="J88" s="71"/>
      <c r="K88" s="71"/>
      <c r="L88" s="71"/>
      <c r="M88" s="71"/>
      <c r="V88" s="491">
        <v>23.5</v>
      </c>
    </row>
    <row r="89" spans="1:22" ht="20.25" customHeight="1">
      <c r="A89" s="1180"/>
      <c r="B89" s="71"/>
      <c r="C89" s="71"/>
      <c r="D89" s="71"/>
      <c r="E89" s="71"/>
      <c r="F89" s="1214"/>
      <c r="G89" s="71"/>
      <c r="H89" s="71"/>
      <c r="I89" s="71"/>
      <c r="J89" s="71"/>
      <c r="K89" s="71"/>
      <c r="L89" s="71"/>
      <c r="M89" s="71"/>
      <c r="V89" s="491">
        <v>24</v>
      </c>
    </row>
    <row r="90" spans="1:22" ht="20.25" customHeight="1">
      <c r="A90" s="1180"/>
      <c r="B90" s="71"/>
      <c r="C90" s="71"/>
      <c r="D90" s="71"/>
      <c r="E90" s="71"/>
      <c r="F90" s="1214"/>
      <c r="G90" s="71"/>
      <c r="H90" s="71"/>
      <c r="I90" s="71"/>
      <c r="J90" s="71"/>
      <c r="K90" s="71"/>
      <c r="L90" s="71"/>
      <c r="M90" s="71"/>
      <c r="V90" s="491">
        <v>24.5</v>
      </c>
    </row>
    <row r="91" spans="1:22" ht="20.25" customHeight="1">
      <c r="V91" s="491">
        <v>25</v>
      </c>
    </row>
    <row r="92" spans="1:22" ht="20.25" customHeight="1">
      <c r="V92" s="491">
        <v>25.5</v>
      </c>
    </row>
    <row r="93" spans="1:22" ht="20.25" customHeight="1">
      <c r="V93" s="491">
        <v>26</v>
      </c>
    </row>
    <row r="94" spans="1:22" ht="20.25" customHeight="1">
      <c r="V94" s="491">
        <v>26.5</v>
      </c>
    </row>
    <row r="95" spans="1:22" ht="20.25" customHeight="1">
      <c r="V95" s="491">
        <v>27</v>
      </c>
    </row>
    <row r="96" spans="1:22" ht="20.25" customHeight="1">
      <c r="V96" s="491">
        <v>27.5</v>
      </c>
    </row>
    <row r="97" spans="22:22" ht="20.25" customHeight="1">
      <c r="V97" s="491">
        <v>28</v>
      </c>
    </row>
    <row r="98" spans="22:22" ht="20.25" customHeight="1">
      <c r="V98" s="491">
        <v>28.5</v>
      </c>
    </row>
    <row r="99" spans="22:22" ht="20.25" customHeight="1">
      <c r="V99" s="491">
        <v>29</v>
      </c>
    </row>
    <row r="100" spans="22:22" ht="20.25" customHeight="1">
      <c r="V100" s="491">
        <v>29.5</v>
      </c>
    </row>
    <row r="101" spans="22:22" ht="20.25" customHeight="1">
      <c r="V101" s="491">
        <v>30</v>
      </c>
    </row>
    <row r="102" spans="22:22" ht="20.25" customHeight="1">
      <c r="V102" s="491">
        <v>30.5</v>
      </c>
    </row>
    <row r="103" spans="22:22" ht="20.25" customHeight="1">
      <c r="V103" s="491">
        <v>31</v>
      </c>
    </row>
    <row r="104" spans="22:22" ht="20.25" customHeight="1">
      <c r="V104" s="491">
        <v>31.5</v>
      </c>
    </row>
    <row r="105" spans="22:22" ht="20.25" customHeight="1">
      <c r="V105" s="491">
        <v>32</v>
      </c>
    </row>
    <row r="106" spans="22:22" ht="20.25" customHeight="1">
      <c r="V106" s="491">
        <v>32.5</v>
      </c>
    </row>
    <row r="107" spans="22:22" ht="20.25" customHeight="1">
      <c r="V107" s="491">
        <v>33</v>
      </c>
    </row>
    <row r="108" spans="22:22" ht="20.25" customHeight="1">
      <c r="V108" s="491">
        <v>33.5</v>
      </c>
    </row>
    <row r="109" spans="22:22" ht="20.25" customHeight="1">
      <c r="V109" s="491">
        <v>34</v>
      </c>
    </row>
    <row r="110" spans="22:22" ht="20.25" customHeight="1">
      <c r="V110" s="491">
        <v>34.5</v>
      </c>
    </row>
    <row r="111" spans="22:22" ht="20.25" customHeight="1">
      <c r="V111" s="491">
        <v>35</v>
      </c>
    </row>
    <row r="112" spans="22:22" ht="20.25" customHeight="1">
      <c r="V112" s="491">
        <v>35.5</v>
      </c>
    </row>
    <row r="113" spans="22:22" ht="20.25" customHeight="1">
      <c r="V113" s="491">
        <v>36</v>
      </c>
    </row>
    <row r="114" spans="22:22" ht="20.25" customHeight="1">
      <c r="V114" s="491">
        <v>36.5</v>
      </c>
    </row>
    <row r="115" spans="22:22" ht="20.25" customHeight="1">
      <c r="V115" s="491">
        <v>37</v>
      </c>
    </row>
    <row r="116" spans="22:22" ht="20.25" customHeight="1">
      <c r="V116" s="491">
        <v>37.5</v>
      </c>
    </row>
    <row r="117" spans="22:22" ht="20.25" customHeight="1">
      <c r="V117" s="491">
        <v>38</v>
      </c>
    </row>
    <row r="118" spans="22:22" ht="20.25" customHeight="1">
      <c r="V118" s="491">
        <v>38.5</v>
      </c>
    </row>
    <row r="119" spans="22:22" ht="20.25" customHeight="1">
      <c r="V119" s="491">
        <v>39</v>
      </c>
    </row>
    <row r="120" spans="22:22" ht="20.25" customHeight="1">
      <c r="V120" s="491">
        <v>39.5</v>
      </c>
    </row>
    <row r="121" spans="22:22" ht="20.25" customHeight="1">
      <c r="V121" s="491">
        <v>40</v>
      </c>
    </row>
    <row r="122" spans="22:22" ht="20.25" customHeight="1">
      <c r="V122" s="491">
        <v>40.5</v>
      </c>
    </row>
    <row r="123" spans="22:22" ht="20.25" customHeight="1">
      <c r="V123" s="491">
        <v>41</v>
      </c>
    </row>
    <row r="124" spans="22:22" ht="20.25" customHeight="1">
      <c r="V124" s="491">
        <v>41.5</v>
      </c>
    </row>
    <row r="125" spans="22:22" ht="20.25" customHeight="1">
      <c r="V125" s="491">
        <v>42</v>
      </c>
    </row>
    <row r="126" spans="22:22" ht="20.25" customHeight="1">
      <c r="V126" s="491">
        <v>42.5</v>
      </c>
    </row>
    <row r="127" spans="22:22" ht="20.25" customHeight="1">
      <c r="V127" s="491">
        <v>43</v>
      </c>
    </row>
    <row r="128" spans="22:22" ht="20.25" customHeight="1">
      <c r="V128" s="491">
        <v>43.5</v>
      </c>
    </row>
    <row r="129" spans="22:22" ht="20.25" customHeight="1">
      <c r="V129" s="491">
        <v>44</v>
      </c>
    </row>
    <row r="130" spans="22:22" ht="20.25" customHeight="1">
      <c r="V130" s="491">
        <v>44.5</v>
      </c>
    </row>
    <row r="131" spans="22:22" ht="20.25" customHeight="1">
      <c r="V131" s="491">
        <v>45</v>
      </c>
    </row>
    <row r="132" spans="22:22" ht="20.25" customHeight="1">
      <c r="V132" s="491">
        <v>45.5</v>
      </c>
    </row>
    <row r="133" spans="22:22" ht="20.25" customHeight="1">
      <c r="V133" s="491">
        <v>46</v>
      </c>
    </row>
    <row r="134" spans="22:22" ht="20.25" customHeight="1">
      <c r="V134" s="491">
        <v>46.5</v>
      </c>
    </row>
    <row r="135" spans="22:22" ht="20.25" customHeight="1">
      <c r="V135" s="491">
        <v>47</v>
      </c>
    </row>
    <row r="136" spans="22:22" ht="20.25" customHeight="1">
      <c r="V136" s="491">
        <v>47.5</v>
      </c>
    </row>
    <row r="137" spans="22:22" ht="20.25" customHeight="1">
      <c r="V137" s="491">
        <v>48</v>
      </c>
    </row>
    <row r="138" spans="22:22" ht="20.25" customHeight="1">
      <c r="V138" s="491">
        <v>48.5</v>
      </c>
    </row>
    <row r="139" spans="22:22" ht="20.25" customHeight="1">
      <c r="V139" s="491">
        <v>49</v>
      </c>
    </row>
    <row r="140" spans="22:22" ht="20.25" customHeight="1">
      <c r="V140" s="491">
        <v>49.5</v>
      </c>
    </row>
    <row r="141" spans="22:22" ht="20.25" customHeight="1">
      <c r="V141" s="491">
        <v>50</v>
      </c>
    </row>
    <row r="142" spans="22:22" ht="20.25" customHeight="1">
      <c r="V142" s="491">
        <v>50.5</v>
      </c>
    </row>
    <row r="143" spans="22:22" ht="20.25" customHeight="1">
      <c r="V143" s="491">
        <v>51</v>
      </c>
    </row>
    <row r="144" spans="22:22" ht="20.25" customHeight="1">
      <c r="V144" s="491">
        <v>51.5</v>
      </c>
    </row>
    <row r="145" spans="22:22" ht="20.25" customHeight="1">
      <c r="V145" s="491">
        <v>52</v>
      </c>
    </row>
    <row r="146" spans="22:22" ht="20.25" customHeight="1">
      <c r="V146" s="491">
        <v>52.5</v>
      </c>
    </row>
    <row r="147" spans="22:22" ht="20.25" customHeight="1">
      <c r="V147" s="491">
        <v>53</v>
      </c>
    </row>
    <row r="148" spans="22:22" ht="20.25" customHeight="1">
      <c r="V148" s="491">
        <v>53.5</v>
      </c>
    </row>
    <row r="149" spans="22:22" ht="20.25" customHeight="1">
      <c r="V149" s="491">
        <v>54</v>
      </c>
    </row>
    <row r="150" spans="22:22" ht="20.25" customHeight="1">
      <c r="V150" s="491">
        <v>54.5</v>
      </c>
    </row>
    <row r="151" spans="22:22" ht="20.25" customHeight="1">
      <c r="V151" s="491">
        <v>55</v>
      </c>
    </row>
    <row r="152" spans="22:22" ht="20.25" customHeight="1">
      <c r="V152" s="491">
        <v>55.5</v>
      </c>
    </row>
    <row r="153" spans="22:22" ht="20.25" customHeight="1">
      <c r="V153" s="491">
        <v>56</v>
      </c>
    </row>
    <row r="154" spans="22:22" ht="20.25" customHeight="1">
      <c r="V154" s="491">
        <v>56.5</v>
      </c>
    </row>
    <row r="155" spans="22:22" ht="20.25" customHeight="1">
      <c r="V155" s="491">
        <v>57</v>
      </c>
    </row>
    <row r="156" spans="22:22" ht="20.25" customHeight="1">
      <c r="V156" s="491">
        <v>57.5</v>
      </c>
    </row>
    <row r="157" spans="22:22" ht="20.25" customHeight="1">
      <c r="V157" s="491">
        <v>58</v>
      </c>
    </row>
    <row r="158" spans="22:22" ht="20.25" customHeight="1">
      <c r="V158" s="491">
        <v>58.5</v>
      </c>
    </row>
    <row r="159" spans="22:22" ht="20.25" customHeight="1">
      <c r="V159" s="491">
        <v>59</v>
      </c>
    </row>
    <row r="160" spans="22:22" ht="20.25" customHeight="1">
      <c r="V160" s="491">
        <v>59.5</v>
      </c>
    </row>
    <row r="161" spans="22:22" ht="20.25" customHeight="1">
      <c r="V161" s="491">
        <v>60</v>
      </c>
    </row>
    <row r="162" spans="22:22" ht="20.25" customHeight="1">
      <c r="V162" s="491">
        <v>60.5</v>
      </c>
    </row>
    <row r="163" spans="22:22" ht="20.25" customHeight="1">
      <c r="V163" s="491">
        <v>61</v>
      </c>
    </row>
    <row r="164" spans="22:22" ht="20.25" customHeight="1">
      <c r="V164" s="491">
        <v>61.5</v>
      </c>
    </row>
    <row r="165" spans="22:22" ht="20.25" customHeight="1">
      <c r="V165" s="491">
        <v>62</v>
      </c>
    </row>
    <row r="166" spans="22:22" ht="20.25" customHeight="1">
      <c r="V166" s="491">
        <v>62.5</v>
      </c>
    </row>
    <row r="167" spans="22:22" ht="20.25" customHeight="1">
      <c r="V167" s="491">
        <v>63</v>
      </c>
    </row>
    <row r="168" spans="22:22" ht="20.25" customHeight="1">
      <c r="V168" s="491">
        <v>63.5</v>
      </c>
    </row>
    <row r="169" spans="22:22" ht="20.25" customHeight="1">
      <c r="V169" s="491">
        <v>64</v>
      </c>
    </row>
    <row r="170" spans="22:22" ht="20.25" customHeight="1">
      <c r="V170" s="491">
        <v>64.5</v>
      </c>
    </row>
    <row r="171" spans="22:22" ht="20.25" customHeight="1">
      <c r="V171" s="491">
        <v>65</v>
      </c>
    </row>
    <row r="172" spans="22:22" ht="20.25" customHeight="1">
      <c r="V172" s="491">
        <v>65.5</v>
      </c>
    </row>
    <row r="173" spans="22:22" ht="20.25" customHeight="1">
      <c r="V173" s="491">
        <v>66</v>
      </c>
    </row>
    <row r="174" spans="22:22" ht="20.25" customHeight="1">
      <c r="V174" s="491">
        <v>66.5</v>
      </c>
    </row>
    <row r="175" spans="22:22" ht="20.25" customHeight="1">
      <c r="V175" s="491">
        <v>67</v>
      </c>
    </row>
    <row r="176" spans="22:22" ht="20.25" customHeight="1">
      <c r="V176" s="491">
        <v>67.5</v>
      </c>
    </row>
    <row r="177" spans="22:22" ht="20.25" customHeight="1">
      <c r="V177" s="491">
        <v>68</v>
      </c>
    </row>
    <row r="178" spans="22:22" ht="20.25" customHeight="1">
      <c r="V178" s="491">
        <v>68.5</v>
      </c>
    </row>
    <row r="179" spans="22:22" ht="20.25" customHeight="1">
      <c r="V179" s="491">
        <v>69</v>
      </c>
    </row>
    <row r="180" spans="22:22" ht="20.25" customHeight="1">
      <c r="V180" s="491">
        <v>69.5</v>
      </c>
    </row>
    <row r="181" spans="22:22" ht="20.25" customHeight="1">
      <c r="V181" s="491">
        <v>70</v>
      </c>
    </row>
    <row r="182" spans="22:22" ht="20.25" customHeight="1">
      <c r="V182" s="491">
        <v>70.5</v>
      </c>
    </row>
    <row r="183" spans="22:22" ht="20.25" customHeight="1">
      <c r="V183" s="491">
        <v>71</v>
      </c>
    </row>
    <row r="184" spans="22:22" ht="20.25" customHeight="1">
      <c r="V184" s="491">
        <v>71.5</v>
      </c>
    </row>
    <row r="185" spans="22:22" ht="20.25" customHeight="1">
      <c r="V185" s="491">
        <v>72</v>
      </c>
    </row>
    <row r="186" spans="22:22" ht="20.25" customHeight="1">
      <c r="V186" s="491">
        <v>72.5</v>
      </c>
    </row>
    <row r="187" spans="22:22" ht="20.25" customHeight="1">
      <c r="V187" s="491">
        <v>73</v>
      </c>
    </row>
    <row r="188" spans="22:22" ht="20.25" customHeight="1">
      <c r="V188" s="491">
        <v>73.5</v>
      </c>
    </row>
    <row r="189" spans="22:22" ht="20.25" customHeight="1">
      <c r="V189" s="491">
        <v>74</v>
      </c>
    </row>
    <row r="190" spans="22:22" ht="20.25" customHeight="1">
      <c r="V190" s="491">
        <v>74.5</v>
      </c>
    </row>
    <row r="191" spans="22:22" ht="20.25" customHeight="1">
      <c r="V191" s="491">
        <v>75</v>
      </c>
    </row>
    <row r="192" spans="22:22" ht="20.25" customHeight="1">
      <c r="V192" s="491">
        <v>75.5</v>
      </c>
    </row>
    <row r="193" spans="22:22" ht="20.25" customHeight="1">
      <c r="V193" s="491">
        <v>76</v>
      </c>
    </row>
    <row r="194" spans="22:22" ht="20.25" customHeight="1">
      <c r="V194" s="491">
        <v>76.5</v>
      </c>
    </row>
    <row r="195" spans="22:22" ht="20.25" customHeight="1">
      <c r="V195" s="491">
        <v>77</v>
      </c>
    </row>
    <row r="196" spans="22:22" ht="20.25" customHeight="1">
      <c r="V196" s="491">
        <v>77.5</v>
      </c>
    </row>
    <row r="197" spans="22:22" ht="20.25" customHeight="1">
      <c r="V197" s="491">
        <v>78</v>
      </c>
    </row>
    <row r="198" spans="22:22" ht="20.25" customHeight="1">
      <c r="V198" s="491">
        <v>78.5</v>
      </c>
    </row>
    <row r="199" spans="22:22" ht="20.25" customHeight="1">
      <c r="V199" s="491">
        <v>79</v>
      </c>
    </row>
    <row r="200" spans="22:22" ht="20.25" customHeight="1">
      <c r="V200" s="491">
        <v>79.5</v>
      </c>
    </row>
    <row r="201" spans="22:22" ht="20.25" customHeight="1">
      <c r="V201" s="491">
        <v>80</v>
      </c>
    </row>
    <row r="202" spans="22:22" ht="20.25" customHeight="1">
      <c r="V202" s="491">
        <v>80.5</v>
      </c>
    </row>
    <row r="203" spans="22:22" ht="20.25" customHeight="1">
      <c r="V203" s="491">
        <v>81</v>
      </c>
    </row>
    <row r="204" spans="22:22" ht="20.25" customHeight="1">
      <c r="V204" s="491">
        <v>81.5</v>
      </c>
    </row>
    <row r="205" spans="22:22" ht="20.25" customHeight="1">
      <c r="V205" s="491">
        <v>82</v>
      </c>
    </row>
    <row r="206" spans="22:22" ht="20.25" customHeight="1">
      <c r="V206" s="491">
        <v>82.5</v>
      </c>
    </row>
    <row r="207" spans="22:22" ht="20.25" customHeight="1">
      <c r="V207" s="491">
        <v>83</v>
      </c>
    </row>
    <row r="208" spans="22:22" ht="20.25" customHeight="1">
      <c r="V208" s="491">
        <v>83.5</v>
      </c>
    </row>
    <row r="209" spans="22:22" ht="20.25" customHeight="1">
      <c r="V209" s="491">
        <v>84</v>
      </c>
    </row>
    <row r="210" spans="22:22" ht="20.25" customHeight="1">
      <c r="V210" s="491">
        <v>84.5</v>
      </c>
    </row>
    <row r="211" spans="22:22" ht="20.25" customHeight="1">
      <c r="V211" s="491">
        <v>85</v>
      </c>
    </row>
    <row r="212" spans="22:22" ht="20.25" customHeight="1">
      <c r="V212" s="491">
        <v>85.5</v>
      </c>
    </row>
    <row r="213" spans="22:22" ht="20.25" customHeight="1">
      <c r="V213" s="491">
        <v>86</v>
      </c>
    </row>
    <row r="214" spans="22:22" ht="20.25" customHeight="1">
      <c r="V214" s="491">
        <v>86.5</v>
      </c>
    </row>
    <row r="215" spans="22:22" ht="20.25" customHeight="1">
      <c r="V215" s="491">
        <v>87</v>
      </c>
    </row>
    <row r="216" spans="22:22" ht="20.25" customHeight="1">
      <c r="V216" s="491">
        <v>87.5</v>
      </c>
    </row>
    <row r="217" spans="22:22" ht="20.25" customHeight="1">
      <c r="V217" s="491">
        <v>88</v>
      </c>
    </row>
    <row r="218" spans="22:22" ht="20.25" customHeight="1">
      <c r="V218" s="491">
        <v>88.5</v>
      </c>
    </row>
    <row r="219" spans="22:22" ht="20.25" customHeight="1">
      <c r="V219" s="491">
        <v>89</v>
      </c>
    </row>
    <row r="220" spans="22:22" ht="20.25" customHeight="1">
      <c r="V220" s="491">
        <v>89.5</v>
      </c>
    </row>
    <row r="221" spans="22:22" ht="20.25" customHeight="1">
      <c r="V221" s="491">
        <v>90</v>
      </c>
    </row>
    <row r="222" spans="22:22" ht="20.25" customHeight="1">
      <c r="V222" s="491">
        <v>90.5</v>
      </c>
    </row>
    <row r="223" spans="22:22" ht="20.25" customHeight="1">
      <c r="V223" s="491">
        <v>91</v>
      </c>
    </row>
    <row r="224" spans="22:22" ht="20.25" customHeight="1">
      <c r="V224" s="491">
        <v>91.5</v>
      </c>
    </row>
    <row r="225" spans="22:22" ht="20.25" customHeight="1">
      <c r="V225" s="491">
        <v>92</v>
      </c>
    </row>
    <row r="226" spans="22:22" ht="20.25" customHeight="1">
      <c r="V226" s="491">
        <v>92.5</v>
      </c>
    </row>
    <row r="227" spans="22:22" ht="20.25" customHeight="1">
      <c r="V227" s="491">
        <v>93</v>
      </c>
    </row>
    <row r="228" spans="22:22" ht="20.25" customHeight="1">
      <c r="V228" s="491">
        <v>93.5</v>
      </c>
    </row>
    <row r="229" spans="22:22" ht="20.25" customHeight="1">
      <c r="V229" s="491">
        <v>94</v>
      </c>
    </row>
    <row r="230" spans="22:22" ht="20.25" customHeight="1">
      <c r="V230" s="491">
        <v>94.5</v>
      </c>
    </row>
    <row r="231" spans="22:22" ht="20.25" customHeight="1">
      <c r="V231" s="491">
        <v>95</v>
      </c>
    </row>
    <row r="232" spans="22:22" ht="20.25" customHeight="1">
      <c r="V232" s="491">
        <v>95.5</v>
      </c>
    </row>
    <row r="233" spans="22:22" ht="20.25" customHeight="1">
      <c r="V233" s="491">
        <v>96</v>
      </c>
    </row>
    <row r="234" spans="22:22" ht="20.25" customHeight="1">
      <c r="V234" s="491">
        <v>96.5</v>
      </c>
    </row>
    <row r="235" spans="22:22" ht="20.25" customHeight="1">
      <c r="V235" s="491">
        <v>97</v>
      </c>
    </row>
    <row r="236" spans="22:22" ht="20.25" customHeight="1">
      <c r="V236" s="491">
        <v>97.5</v>
      </c>
    </row>
    <row r="237" spans="22:22" ht="20.25" customHeight="1">
      <c r="V237" s="491">
        <v>98</v>
      </c>
    </row>
    <row r="238" spans="22:22" ht="20.25" customHeight="1">
      <c r="V238" s="491">
        <v>98.5</v>
      </c>
    </row>
    <row r="239" spans="22:22" ht="20.25" customHeight="1">
      <c r="V239" s="491">
        <v>99</v>
      </c>
    </row>
    <row r="240" spans="22:22" ht="20.25" customHeight="1">
      <c r="V240" s="491">
        <v>99.5</v>
      </c>
    </row>
    <row r="241" spans="22:22" ht="20.25" customHeight="1">
      <c r="V241" s="491">
        <v>100</v>
      </c>
    </row>
    <row r="242" spans="22:22" ht="20.25" customHeight="1">
      <c r="V242" s="491">
        <v>100.5</v>
      </c>
    </row>
    <row r="243" spans="22:22" ht="20.25" customHeight="1">
      <c r="V243" s="491">
        <v>101</v>
      </c>
    </row>
    <row r="244" spans="22:22" ht="20.25" customHeight="1">
      <c r="V244" s="491">
        <v>101.5</v>
      </c>
    </row>
    <row r="245" spans="22:22" ht="20.25" customHeight="1">
      <c r="V245" s="491">
        <v>102</v>
      </c>
    </row>
    <row r="246" spans="22:22" ht="20.25" customHeight="1">
      <c r="V246" s="491">
        <v>102.5</v>
      </c>
    </row>
    <row r="247" spans="22:22" ht="20.25" customHeight="1">
      <c r="V247" s="491">
        <v>103</v>
      </c>
    </row>
    <row r="248" spans="22:22" ht="20.25" customHeight="1">
      <c r="V248" s="491">
        <v>103.5</v>
      </c>
    </row>
    <row r="249" spans="22:22" ht="20.25" customHeight="1">
      <c r="V249" s="491">
        <v>104</v>
      </c>
    </row>
    <row r="250" spans="22:22" ht="20.25" customHeight="1">
      <c r="V250" s="491">
        <v>104.5</v>
      </c>
    </row>
    <row r="251" spans="22:22" ht="20.25" customHeight="1">
      <c r="V251" s="491">
        <v>105</v>
      </c>
    </row>
    <row r="252" spans="22:22" ht="20.25" customHeight="1">
      <c r="V252" s="491">
        <v>105.5</v>
      </c>
    </row>
    <row r="253" spans="22:22" ht="20.25" customHeight="1">
      <c r="V253" s="491">
        <v>106</v>
      </c>
    </row>
    <row r="254" spans="22:22" ht="20.25" customHeight="1">
      <c r="V254" s="491">
        <v>106.5</v>
      </c>
    </row>
    <row r="255" spans="22:22" ht="20.25" customHeight="1">
      <c r="V255" s="491">
        <v>107</v>
      </c>
    </row>
    <row r="256" spans="22:22" ht="20.25" customHeight="1">
      <c r="V256" s="491">
        <v>107.5</v>
      </c>
    </row>
    <row r="257" spans="22:22" ht="20.25" customHeight="1">
      <c r="V257" s="491">
        <v>108</v>
      </c>
    </row>
    <row r="258" spans="22:22" ht="20.25" customHeight="1">
      <c r="V258" s="491">
        <v>108.5</v>
      </c>
    </row>
    <row r="259" spans="22:22" ht="20.25" customHeight="1">
      <c r="V259" s="491">
        <v>109</v>
      </c>
    </row>
    <row r="260" spans="22:22" ht="20.25" customHeight="1">
      <c r="V260" s="491">
        <v>109.5</v>
      </c>
    </row>
    <row r="261" spans="22:22" ht="20.25" customHeight="1">
      <c r="V261" s="491">
        <v>110</v>
      </c>
    </row>
    <row r="262" spans="22:22" ht="20.25" customHeight="1">
      <c r="V262" s="491">
        <v>110.5</v>
      </c>
    </row>
    <row r="263" spans="22:22" ht="20.25" customHeight="1">
      <c r="V263" s="491">
        <v>111</v>
      </c>
    </row>
    <row r="264" spans="22:22" ht="20.25" customHeight="1">
      <c r="V264" s="491">
        <v>111.5</v>
      </c>
    </row>
    <row r="265" spans="22:22" ht="20.25" customHeight="1">
      <c r="V265" s="491">
        <v>112</v>
      </c>
    </row>
    <row r="266" spans="22:22" ht="20.25" customHeight="1">
      <c r="V266" s="491">
        <v>112.5</v>
      </c>
    </row>
    <row r="267" spans="22:22" ht="20.25" customHeight="1">
      <c r="V267" s="491">
        <v>113</v>
      </c>
    </row>
  </sheetData>
  <dataConsolidate link="1"/>
  <mergeCells count="30">
    <mergeCell ref="A13:A14"/>
    <mergeCell ref="A1:C3"/>
    <mergeCell ref="D2:E2"/>
    <mergeCell ref="D3:J3"/>
    <mergeCell ref="G2:H2"/>
    <mergeCell ref="I2:J2"/>
    <mergeCell ref="D1:J1"/>
    <mergeCell ref="L28:M28"/>
    <mergeCell ref="H28:I28"/>
    <mergeCell ref="J28:K28"/>
    <mergeCell ref="G24:H24"/>
    <mergeCell ref="B7:D7"/>
    <mergeCell ref="E24:F24"/>
    <mergeCell ref="B28:C28"/>
    <mergeCell ref="D28:E28"/>
    <mergeCell ref="F28:G28"/>
    <mergeCell ref="E16:F16"/>
    <mergeCell ref="B16:C16"/>
    <mergeCell ref="A32:A33"/>
    <mergeCell ref="A28:A30"/>
    <mergeCell ref="A21:A22"/>
    <mergeCell ref="A25:A26"/>
    <mergeCell ref="A16:A18"/>
    <mergeCell ref="B63:C63"/>
    <mergeCell ref="B48:C48"/>
    <mergeCell ref="L63:M63"/>
    <mergeCell ref="J63:K63"/>
    <mergeCell ref="H63:I63"/>
    <mergeCell ref="F63:G63"/>
    <mergeCell ref="D63:E63"/>
  </mergeCells>
  <phoneticPr fontId="13" type="noConversion"/>
  <dataValidations count="23">
    <dataValidation type="list" allowBlank="1" showInputMessage="1" showErrorMessage="1" sqref="C14" xr:uid="{00000000-0002-0000-0000-000000000000}">
      <formula1>$B$43:$B$47</formula1>
    </dataValidation>
    <dataValidation type="list" allowBlank="1" showInputMessage="1" showErrorMessage="1" sqref="B22" xr:uid="{00000000-0002-0000-0000-000001000000}">
      <formula1>$E$43:$E$45</formula1>
    </dataValidation>
    <dataValidation type="list" allowBlank="1" showInputMessage="1" showErrorMessage="1" sqref="E22" xr:uid="{00000000-0002-0000-0000-000002000000}">
      <formula1>$F$43:$F$44</formula1>
    </dataValidation>
    <dataValidation type="list" allowBlank="1" showInputMessage="1" showErrorMessage="1" sqref="D22" xr:uid="{00000000-0002-0000-0000-000003000000}">
      <formula1>$C$43:$C$47</formula1>
    </dataValidation>
    <dataValidation type="list" allowBlank="1" showInputMessage="1" showErrorMessage="1" sqref="G22" xr:uid="{00000000-0002-0000-0000-000004000000}">
      <formula1>$I$43:$I$46</formula1>
    </dataValidation>
    <dataValidation type="list" allowBlank="1" showInputMessage="1" showErrorMessage="1" sqref="G26" xr:uid="{00000000-0002-0000-0000-000005000000}">
      <formula1>$J$43:$J$45</formula1>
    </dataValidation>
    <dataValidation type="list" allowBlank="1" showInputMessage="1" showErrorMessage="1" sqref="E26" xr:uid="{00000000-0002-0000-0000-000006000000}">
      <formula1>$K$43:$K$45</formula1>
    </dataValidation>
    <dataValidation type="list" allowBlank="1" showInputMessage="1" showErrorMessage="1" sqref="B26" xr:uid="{00000000-0002-0000-0000-000007000000}">
      <formula1>$H$43:$H$45</formula1>
    </dataValidation>
    <dataValidation type="list" allowBlank="1" showInputMessage="1" showErrorMessage="1" errorTitle="캡스톤엔지니어링" error="잘못 입력하셨습니다. 다시 입력해 주세요." sqref="B33" xr:uid="{00000000-0002-0000-0000-000008000000}">
      <formula1>$N$43:$N$44</formula1>
    </dataValidation>
    <dataValidation type="list" allowBlank="1" showInputMessage="1" showErrorMessage="1" sqref="F22" xr:uid="{00000000-0002-0000-0000-00000A000000}">
      <formula1>$O$43:$O$50</formula1>
    </dataValidation>
    <dataValidation type="list" allowBlank="1" showInputMessage="1" showErrorMessage="1" errorTitle="캡스톤엔지니어링" error="잘못 입력하셨습니다. 다시 입력해 주세요." sqref="G14 E14" xr:uid="{00000000-0002-0000-0000-00000B000000}">
      <formula1>$G$43:$G$44</formula1>
    </dataValidation>
    <dataValidation type="list" allowBlank="1" showInputMessage="1" showErrorMessage="1" sqref="H22" xr:uid="{00000000-0002-0000-0000-00000D000000}">
      <formula1>$Q$43:$Q$44</formula1>
    </dataValidation>
    <dataValidation type="list" allowBlank="1" showInputMessage="1" showErrorMessage="1" sqref="C22" xr:uid="{00000000-0002-0000-0000-00000E000000}">
      <formula1>$A$50:$A$52</formula1>
    </dataValidation>
    <dataValidation type="list" allowBlank="1" showInputMessage="1" showErrorMessage="1" sqref="F33 H33" xr:uid="{00000000-0002-0000-0000-00000F000000}">
      <formula1>$C$50:$C$52</formula1>
    </dataValidation>
    <dataValidation type="list" allowBlank="1" showInputMessage="1" showErrorMessage="1" sqref="F11" xr:uid="{00000000-0002-0000-0000-000010000000}">
      <formula1>$D$48:$D$56</formula1>
    </dataValidation>
    <dataValidation type="list" allowBlank="1" showInputMessage="1" showErrorMessage="1" sqref="L30" xr:uid="{00000000-0002-0000-0000-000011000000}">
      <formula1>$M$43:$M$58</formula1>
    </dataValidation>
    <dataValidation type="list" allowBlank="1" showInputMessage="1" showErrorMessage="1" sqref="H26" xr:uid="{00000000-0002-0000-0000-000012000000}">
      <formula1>$R$43:$R$49</formula1>
    </dataValidation>
    <dataValidation type="list" allowBlank="1" showInputMessage="1" showErrorMessage="1" sqref="H27" xr:uid="{00000000-0002-0000-0000-000013000000}">
      <formula1>$S$43:$S$46</formula1>
    </dataValidation>
    <dataValidation type="list" allowBlank="1" showInputMessage="1" showErrorMessage="1" sqref="F26" xr:uid="{00000000-0002-0000-0000-000014000000}">
      <formula1>$S$43:$S$49</formula1>
    </dataValidation>
    <dataValidation type="list" allowBlank="1" showInputMessage="1" showErrorMessage="1" sqref="J30 H30 F30 D30 B30" xr:uid="{00000000-0002-0000-0000-000015000000}">
      <formula1>$M$43:$M$61</formula1>
    </dataValidation>
    <dataValidation type="list" allowBlank="1" showInputMessage="1" showErrorMessage="1" sqref="B14" xr:uid="{00000000-0002-0000-0000-000016000000}">
      <formula1>$D$43:$D$44</formula1>
    </dataValidation>
    <dataValidation type="list" allowBlank="1" showInputMessage="1" showErrorMessage="1" sqref="A11:E11" xr:uid="{C6914748-FB82-456B-B5DB-C501F7D8939C}">
      <formula1>$V$43:$V$256</formula1>
    </dataValidation>
    <dataValidation type="list" allowBlank="1" showInputMessage="1" showErrorMessage="1" errorTitle="YS ACC" error="잘못 입력하셨습니다. 다시 입력해 주세요." sqref="D14" xr:uid="{92039EB9-26FD-4FDE-BA03-D9DA48143835}">
      <formula1>$G$43:$G$44</formula1>
    </dataValidation>
  </dataValidations>
  <pageMargins left="0.70866141732283472" right="0.70866141732283472" top="0.74803149606299213" bottom="0.74803149606299213" header="0.31496062992125984" footer="0.31496062992125984"/>
  <pageSetup paperSize="9" scale="1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1">
    <pageSetUpPr fitToPage="1"/>
  </sheetPr>
  <dimension ref="A1:AF184"/>
  <sheetViews>
    <sheetView tabSelected="1" view="pageBreakPreview" topLeftCell="A3" zoomScale="70" zoomScaleNormal="70" zoomScaleSheetLayoutView="70" workbookViewId="0">
      <selection activeCell="F17" sqref="F17"/>
    </sheetView>
  </sheetViews>
  <sheetFormatPr defaultColWidth="8.875" defaultRowHeight="14.25"/>
  <cols>
    <col min="1" max="1" width="22.875" style="342" customWidth="1"/>
    <col min="2" max="2" width="17.875" style="342" customWidth="1"/>
    <col min="3" max="3" width="9.875" style="343" customWidth="1"/>
    <col min="4" max="4" width="5.375" style="343" customWidth="1"/>
    <col min="5" max="5" width="31.125" style="342" customWidth="1"/>
    <col min="6" max="6" width="26.25" style="344" customWidth="1"/>
    <col min="7" max="7" width="11.375" style="345" customWidth="1"/>
    <col min="8" max="8" width="6.375" style="345" customWidth="1"/>
    <col min="9" max="9" width="27.75" style="342" customWidth="1"/>
    <col min="10" max="10" width="22" style="342" customWidth="1"/>
    <col min="11" max="11" width="10" style="343" customWidth="1"/>
    <col min="12" max="12" width="7.125" style="343" customWidth="1"/>
    <col min="13" max="13" width="32" style="342" bestFit="1" customWidth="1"/>
    <col min="14" max="14" width="17.75" style="346" bestFit="1" customWidth="1"/>
    <col min="15" max="15" width="9.75" style="347" bestFit="1" customWidth="1"/>
    <col min="16" max="16" width="6.75" style="342" bestFit="1" customWidth="1"/>
    <col min="17" max="17" width="34.375" style="342" bestFit="1" customWidth="1"/>
    <col min="18" max="18" width="21.125" style="342" bestFit="1" customWidth="1"/>
    <col min="19" max="19" width="9.75" style="342" bestFit="1" customWidth="1"/>
    <col min="20" max="20" width="8.875" style="342"/>
    <col min="21" max="21" width="37.125" style="342" bestFit="1" customWidth="1"/>
    <col min="22" max="22" width="25.75" style="342" bestFit="1" customWidth="1"/>
    <col min="23" max="24" width="8.875" style="342"/>
    <col min="25" max="25" width="34.75" style="342" bestFit="1" customWidth="1"/>
    <col min="26" max="26" width="26.125" style="342" bestFit="1" customWidth="1"/>
    <col min="27" max="27" width="10.375" style="342" bestFit="1" customWidth="1"/>
    <col min="28" max="28" width="8.875" style="342"/>
    <col min="29" max="29" width="28.25" style="342" bestFit="1" customWidth="1"/>
    <col min="30" max="16384" width="8.875" style="342"/>
  </cols>
  <sheetData>
    <row r="1" spans="1:16" ht="22.5" customHeight="1">
      <c r="M1" s="1396" t="str">
        <f>"\Book1.xlsx"</f>
        <v>\Book1.xlsx</v>
      </c>
    </row>
    <row r="2" spans="1:16" ht="22.5" customHeight="1" thickBot="1"/>
    <row r="3" spans="1:16" s="350" customFormat="1" ht="37.15" customHeight="1">
      <c r="A3" s="804"/>
      <c r="B3" s="805"/>
      <c r="C3" s="940"/>
      <c r="D3" s="816"/>
      <c r="E3" s="1474" t="s">
        <v>3189</v>
      </c>
      <c r="F3" s="1475"/>
      <c r="G3" s="1475"/>
      <c r="H3" s="1475"/>
      <c r="I3" s="1475"/>
      <c r="J3" s="1475"/>
      <c r="K3" s="1475"/>
      <c r="L3" s="1476"/>
      <c r="M3" s="348"/>
      <c r="N3" s="349"/>
      <c r="O3" s="348"/>
      <c r="P3" s="348"/>
    </row>
    <row r="4" spans="1:16" ht="37.15" customHeight="1" thickBot="1">
      <c r="A4" s="806"/>
      <c r="B4" s="350"/>
      <c r="C4" s="941"/>
      <c r="D4" s="817"/>
      <c r="E4" s="1477"/>
      <c r="F4" s="1478"/>
      <c r="G4" s="1478"/>
      <c r="H4" s="1478"/>
      <c r="I4" s="1478"/>
      <c r="J4" s="1478"/>
      <c r="K4" s="1478"/>
      <c r="L4" s="1479"/>
      <c r="M4" s="348"/>
      <c r="N4" s="348"/>
      <c r="O4" s="348"/>
      <c r="P4" s="348"/>
    </row>
    <row r="5" spans="1:16" ht="37.15" customHeight="1" thickBot="1">
      <c r="A5" s="808"/>
      <c r="B5" s="809"/>
      <c r="C5" s="943"/>
      <c r="D5" s="810"/>
      <c r="E5" s="638" t="s">
        <v>1287</v>
      </c>
      <c r="F5" s="622"/>
      <c r="G5" s="939"/>
      <c r="H5" s="622" t="s">
        <v>1288</v>
      </c>
      <c r="I5" s="622"/>
      <c r="J5" s="1394"/>
      <c r="K5" s="939"/>
      <c r="L5" s="623"/>
      <c r="M5" s="348"/>
      <c r="N5" s="348"/>
      <c r="O5" s="348"/>
      <c r="P5" s="348"/>
    </row>
    <row r="6" spans="1:16" ht="37.15" customHeight="1">
      <c r="A6" s="367" t="s">
        <v>1577</v>
      </c>
      <c r="B6" s="225"/>
      <c r="C6" s="639"/>
      <c r="D6" s="115"/>
      <c r="E6" s="276"/>
      <c r="F6" s="640"/>
      <c r="G6" s="641"/>
      <c r="H6" s="641"/>
      <c r="I6" s="642"/>
      <c r="J6" s="643"/>
      <c r="K6" s="644"/>
      <c r="L6" s="352"/>
      <c r="M6" s="348"/>
      <c r="N6" s="348"/>
      <c r="O6" s="348"/>
      <c r="P6" s="348"/>
    </row>
    <row r="7" spans="1:16" s="354" customFormat="1" ht="25.5">
      <c r="A7" s="367" t="s">
        <v>3183</v>
      </c>
      <c r="B7" s="222"/>
      <c r="C7" s="645"/>
      <c r="D7" s="646"/>
      <c r="E7" s="217"/>
      <c r="F7" s="366" t="s">
        <v>3170</v>
      </c>
      <c r="G7" s="647"/>
      <c r="H7" s="647"/>
      <c r="I7" s="351"/>
      <c r="J7" s="648"/>
      <c r="K7" s="649"/>
      <c r="L7" s="356"/>
      <c r="M7" s="353"/>
      <c r="O7" s="355"/>
    </row>
    <row r="8" spans="1:16" s="354" customFormat="1" ht="25.5">
      <c r="A8" s="367" t="s">
        <v>1701</v>
      </c>
      <c r="B8" s="114"/>
      <c r="C8" s="645"/>
      <c r="D8" s="646"/>
      <c r="E8" s="217"/>
      <c r="F8" s="650" t="s">
        <v>2674</v>
      </c>
      <c r="G8" s="647"/>
      <c r="H8" s="647"/>
      <c r="I8" s="651"/>
      <c r="J8" s="351"/>
      <c r="K8" s="649"/>
      <c r="L8" s="357"/>
      <c r="N8" s="351"/>
      <c r="O8" s="355"/>
    </row>
    <row r="9" spans="1:16" s="354" customFormat="1" ht="25.5">
      <c r="A9" s="367" t="s">
        <v>1702</v>
      </c>
      <c r="B9" s="114"/>
      <c r="C9" s="645"/>
      <c r="D9" s="217"/>
      <c r="E9" s="217"/>
      <c r="F9" s="652"/>
      <c r="G9" s="647"/>
      <c r="H9" s="647"/>
      <c r="I9" s="651"/>
      <c r="J9" s="351"/>
      <c r="K9" s="649"/>
      <c r="L9" s="357"/>
      <c r="N9" s="351"/>
      <c r="O9" s="355"/>
    </row>
    <row r="10" spans="1:16" s="354" customFormat="1" ht="25.5" hidden="1">
      <c r="A10" s="359"/>
      <c r="B10" s="653"/>
      <c r="C10" s="936"/>
      <c r="D10" s="654"/>
      <c r="E10" s="360"/>
      <c r="F10" s="654"/>
      <c r="G10" s="653"/>
      <c r="H10" s="653"/>
      <c r="I10" s="654"/>
      <c r="J10" s="654"/>
      <c r="K10" s="653"/>
      <c r="L10" s="361"/>
      <c r="N10" s="358"/>
      <c r="O10" s="355"/>
    </row>
    <row r="11" spans="1:16" s="360" customFormat="1" ht="22.5" hidden="1" customHeight="1">
      <c r="A11" s="359"/>
      <c r="B11" s="653"/>
      <c r="C11" s="936"/>
      <c r="D11" s="654"/>
      <c r="E11" s="654"/>
      <c r="F11" s="654"/>
      <c r="G11" s="653"/>
      <c r="H11" s="653"/>
      <c r="I11" s="654"/>
      <c r="J11" s="654"/>
      <c r="K11" s="653"/>
      <c r="L11" s="361"/>
    </row>
    <row r="12" spans="1:16" s="360" customFormat="1" ht="22.5" hidden="1">
      <c r="A12" s="811"/>
      <c r="B12" s="342"/>
      <c r="C12" s="812"/>
      <c r="D12" s="812"/>
      <c r="E12" s="342"/>
      <c r="F12" s="344"/>
      <c r="G12" s="821"/>
      <c r="H12" s="821"/>
      <c r="I12" s="342"/>
      <c r="J12" s="342"/>
      <c r="K12" s="812"/>
      <c r="L12" s="818"/>
    </row>
    <row r="13" spans="1:16" s="362" customFormat="1" ht="19.899999999999999" customHeight="1">
      <c r="A13" s="1482" t="s">
        <v>183</v>
      </c>
      <c r="B13" s="1470"/>
      <c r="C13" s="1470"/>
      <c r="D13" s="1470"/>
      <c r="E13" s="1470" t="s">
        <v>182</v>
      </c>
      <c r="F13" s="1470"/>
      <c r="G13" s="1470"/>
      <c r="H13" s="1470"/>
      <c r="I13" s="1470" t="s">
        <v>179</v>
      </c>
      <c r="J13" s="1470"/>
      <c r="K13" s="1470"/>
      <c r="L13" s="1483"/>
    </row>
    <row r="14" spans="1:16" s="362" customFormat="1" ht="26.25">
      <c r="A14" s="1182" t="s">
        <v>176</v>
      </c>
      <c r="B14" s="1183" t="s">
        <v>177</v>
      </c>
      <c r="C14" s="1184" t="s">
        <v>178</v>
      </c>
      <c r="D14" s="1185" t="s">
        <v>422</v>
      </c>
      <c r="E14" s="1186" t="s">
        <v>176</v>
      </c>
      <c r="F14" s="1183" t="s">
        <v>177</v>
      </c>
      <c r="G14" s="1184" t="s">
        <v>168</v>
      </c>
      <c r="H14" s="1185" t="s">
        <v>422</v>
      </c>
      <c r="I14" s="1186" t="s">
        <v>176</v>
      </c>
      <c r="J14" s="1183" t="s">
        <v>177</v>
      </c>
      <c r="K14" s="1184" t="s">
        <v>168</v>
      </c>
      <c r="L14" s="1187" t="s">
        <v>422</v>
      </c>
    </row>
    <row r="15" spans="1:16" s="363" customFormat="1" ht="19.5">
      <c r="A15" s="1070" t="str">
        <f>IF(B15="","",(VLOOKUP(B:B,'0.39'!B:F,5,FALSE)))</f>
        <v>Manhole</v>
      </c>
      <c r="B15" s="1070" t="s">
        <v>1326</v>
      </c>
      <c r="C15" s="1071">
        <v>1</v>
      </c>
      <c r="D15" s="1188"/>
      <c r="E15" s="1070" t="str">
        <f>IF(F15="","",(VLOOKUP(F:F,'0.39'!B:F,5,FALSE)))</f>
        <v>Steel Skid Connetor</v>
      </c>
      <c r="F15" s="1070" t="s">
        <v>1779</v>
      </c>
      <c r="G15" s="1072">
        <v>22</v>
      </c>
      <c r="H15" s="937"/>
      <c r="I15" s="1070" t="str">
        <f>IF(J15="","",(VLOOKUP(J:J,'0.39'!B:F,5,FALSE)))</f>
        <v xml:space="preserve">SS316 Tie-Rod </v>
      </c>
      <c r="J15" s="1070" t="s">
        <v>1129</v>
      </c>
      <c r="K15" s="1073">
        <v>12</v>
      </c>
      <c r="L15" s="1392"/>
    </row>
    <row r="16" spans="1:16" s="363" customFormat="1" ht="19.5">
      <c r="A16" s="1070" t="str">
        <f>IF(B16="","",(VLOOKUP(B:B,'0.39'!B:F,5,FALSE)))</f>
        <v xml:space="preserve">Roof </v>
      </c>
      <c r="B16" s="1070" t="s">
        <v>1327</v>
      </c>
      <c r="C16" s="1071">
        <v>49</v>
      </c>
      <c r="D16" s="1188"/>
      <c r="E16" s="1070" t="str">
        <f>IF(F16="","",(VLOOKUP(F:F,'0.39'!B:F,5,FALSE)))</f>
        <v>Steel Skid Connetor</v>
      </c>
      <c r="F16" s="1070" t="s">
        <v>3172</v>
      </c>
      <c r="G16" s="1072">
        <v>8</v>
      </c>
      <c r="H16" s="937"/>
      <c r="I16" s="1070" t="str">
        <f>IF(J16="","",(VLOOKUP(J:J,'0.39'!B:F,5,FALSE)))</f>
        <v xml:space="preserve">SS316 Tie-Rod </v>
      </c>
      <c r="J16" s="1070" t="s">
        <v>1150</v>
      </c>
      <c r="K16" s="1073">
        <v>24</v>
      </c>
      <c r="L16" s="1392"/>
    </row>
    <row r="17" spans="1:12" s="363" customFormat="1" ht="19.5">
      <c r="A17" s="1070" t="str">
        <f>IF(B17="","",(VLOOKUP(B:B,'0.39'!B:F,5,FALSE)))</f>
        <v>Base</v>
      </c>
      <c r="B17" s="1070" t="s">
        <v>1332</v>
      </c>
      <c r="C17" s="1071">
        <v>49</v>
      </c>
      <c r="D17" s="1188"/>
      <c r="E17" s="1070" t="str">
        <f>IF(F17="","",(VLOOKUP(F:F,'0.39'!B:F,5,FALSE)))</f>
        <v>Steel Skid(Main-L)</v>
      </c>
      <c r="F17" s="1070" t="s">
        <v>20</v>
      </c>
      <c r="G17" s="1072">
        <v>22</v>
      </c>
      <c r="H17" s="937"/>
      <c r="I17" s="1070" t="str">
        <f>IF(J17="","",(VLOOKUP(J:J,'0.39'!B:F,5,FALSE)))</f>
        <v xml:space="preserve">SS316 Tie-Rod </v>
      </c>
      <c r="J17" s="1070" t="s">
        <v>1158</v>
      </c>
      <c r="K17" s="1073">
        <v>27</v>
      </c>
      <c r="L17" s="1392"/>
    </row>
    <row r="18" spans="1:12" s="363" customFormat="1" ht="19.5">
      <c r="A18" s="1070" t="str">
        <f>IF(B18="","",(VLOOKUP(B:B,'0.39'!B:F,5,FALSE)))</f>
        <v>Nozzle_Drain</v>
      </c>
      <c r="B18" s="1070" t="s">
        <v>3184</v>
      </c>
      <c r="C18" s="1071">
        <v>1</v>
      </c>
      <c r="D18" s="1188"/>
      <c r="E18" s="1070" t="str">
        <f>IF(F18="","",(VLOOKUP(F:F,'0.39'!B:F,5,FALSE)))</f>
        <v>Steel Skid(Main-L)</v>
      </c>
      <c r="F18" s="1070" t="s">
        <v>21</v>
      </c>
      <c r="G18" s="1072">
        <v>11</v>
      </c>
      <c r="H18" s="937"/>
      <c r="I18" s="1070" t="str">
        <f>IF(J18="","",(VLOOKUP(J:J,'0.39'!B:F,5,FALSE)))</f>
        <v>SS316 T/Rod Nut</v>
      </c>
      <c r="J18" s="1070" t="s">
        <v>3180</v>
      </c>
      <c r="K18" s="1073">
        <v>156</v>
      </c>
      <c r="L18" s="1392"/>
    </row>
    <row r="19" spans="1:12" s="363" customFormat="1" ht="19.5">
      <c r="A19" s="1070" t="str">
        <f>IF(B19="","",(VLOOKUP(B:B,'0.39'!B:F,5,FALSE)))</f>
        <v>Side Top</v>
      </c>
      <c r="B19" s="1070" t="s">
        <v>1401</v>
      </c>
      <c r="C19" s="1071">
        <v>30</v>
      </c>
      <c r="D19" s="1188"/>
      <c r="E19" s="1070" t="str">
        <f>IF(F19="","",(VLOOKUP(F:F,'0.39'!B:F,5,FALSE)))</f>
        <v>Steel Skid(Main-L)</v>
      </c>
      <c r="F19" s="1070" t="s">
        <v>22</v>
      </c>
      <c r="G19" s="1072">
        <v>2</v>
      </c>
      <c r="H19" s="937"/>
      <c r="I19" s="1070" t="str">
        <f>IF(J19="","",(VLOOKUP(J:J,'0.39'!B:F,5,FALSE)))</f>
        <v xml:space="preserve">SS316 T/Rod Washer </v>
      </c>
      <c r="J19" s="1070" t="s">
        <v>3181</v>
      </c>
      <c r="K19" s="1073">
        <v>156</v>
      </c>
      <c r="L19" s="1392"/>
    </row>
    <row r="20" spans="1:12" s="363" customFormat="1" ht="19.5">
      <c r="A20" s="1070" t="str">
        <f>IF(B20="","",(VLOOKUP(B:B,'0.39'!B:F,5,FALSE)))</f>
        <v>Side_Low</v>
      </c>
      <c r="B20" s="1070" t="s">
        <v>1376</v>
      </c>
      <c r="C20" s="1071">
        <v>30</v>
      </c>
      <c r="D20" s="1188"/>
      <c r="E20" s="1070" t="str">
        <f>IF(F20="","",(VLOOKUP(F:F,'0.39'!B:F,5,FALSE)))</f>
        <v>Steel Skid(Main-L)</v>
      </c>
      <c r="F20" s="1070" t="s">
        <v>23</v>
      </c>
      <c r="G20" s="1072">
        <v>2</v>
      </c>
      <c r="H20" s="937"/>
      <c r="I20" s="1070" t="str">
        <f>IF(J20="","",(VLOOKUP(J:J,'0.39'!B:F,5,FALSE)))</f>
        <v>STS316 Tie-Rod Connector</v>
      </c>
      <c r="J20" s="1070" t="s">
        <v>1208</v>
      </c>
      <c r="K20" s="1073">
        <v>24</v>
      </c>
      <c r="L20" s="1392"/>
    </row>
    <row r="21" spans="1:12" s="363" customFormat="1" ht="19.5">
      <c r="A21" s="1070" t="str">
        <f>IF(B21="","",(VLOOKUP(B:B,'0.39'!B:F,5,FALSE)))</f>
        <v/>
      </c>
      <c r="B21" s="1070"/>
      <c r="C21" s="1071"/>
      <c r="D21" s="1188"/>
      <c r="E21" s="1070" t="str">
        <f>IF(F21="","",(VLOOKUP(F:F,'0.39'!B:F,5,FALSE)))</f>
        <v>Steel Skid(Main-W)</v>
      </c>
      <c r="F21" s="1070" t="s">
        <v>25</v>
      </c>
      <c r="G21" s="1072">
        <v>6</v>
      </c>
      <c r="H21" s="937"/>
      <c r="I21" s="1070" t="str">
        <f>IF(J21="","",(VLOOKUP(J:J,'0.39'!B:F,5,FALSE)))</f>
        <v/>
      </c>
      <c r="J21" s="1070"/>
      <c r="K21" s="1073"/>
      <c r="L21" s="1392"/>
    </row>
    <row r="22" spans="1:12" s="363" customFormat="1" ht="19.5">
      <c r="A22" s="1070" t="str">
        <f>IF(B22="","",(VLOOKUP(B:B,'0.39'!B:F,5,FALSE)))</f>
        <v/>
      </c>
      <c r="B22" s="1070"/>
      <c r="C22" s="1071"/>
      <c r="D22" s="1188"/>
      <c r="E22" s="1070" t="str">
        <f>IF(F22="","",(VLOOKUP(F:F,'0.39'!B:F,5,FALSE)))</f>
        <v>Steel Skid(Sub)</v>
      </c>
      <c r="F22" s="1070" t="s">
        <v>36</v>
      </c>
      <c r="G22" s="1072">
        <v>8</v>
      </c>
      <c r="H22" s="937"/>
      <c r="I22" s="1070" t="str">
        <f>IF(J22="","",(VLOOKUP(J:J,'0.39'!B:F,5,FALSE)))</f>
        <v/>
      </c>
      <c r="J22" s="1070"/>
      <c r="K22" s="1073"/>
      <c r="L22" s="1392"/>
    </row>
    <row r="23" spans="1:12" s="363" customFormat="1" ht="19.5">
      <c r="A23" s="1070" t="str">
        <f>IF(B23="","",(VLOOKUP(B:B,'0.39'!B:F,5,FALSE)))</f>
        <v/>
      </c>
      <c r="B23" s="1070"/>
      <c r="C23" s="1071"/>
      <c r="D23" s="1188"/>
      <c r="E23" s="1070" t="str">
        <f>IF(F23="","",(VLOOKUP(F:F,'0.39'!B:F,5,FALSE)))</f>
        <v>Steel Skid(Sub)</v>
      </c>
      <c r="F23" s="1070" t="s">
        <v>38</v>
      </c>
      <c r="G23" s="1072">
        <v>4</v>
      </c>
      <c r="H23" s="937"/>
      <c r="I23" s="1070" t="str">
        <f>IF(J23="","",(VLOOKUP(J:J,'0.39'!B:F,5,FALSE)))</f>
        <v/>
      </c>
      <c r="J23" s="1070"/>
      <c r="K23" s="1073"/>
      <c r="L23" s="1392"/>
    </row>
    <row r="24" spans="1:12" s="363" customFormat="1" ht="19.5">
      <c r="A24" s="1070" t="str">
        <f>IF(B24="","",(VLOOKUP(B:B,'0.39'!B:F,5,FALSE)))</f>
        <v/>
      </c>
      <c r="B24" s="1070"/>
      <c r="C24" s="1071"/>
      <c r="D24" s="1188"/>
      <c r="E24" s="1070" t="str">
        <f>IF(F24="","",(VLOOKUP(F:F,'0.39'!B:F,5,FALSE)))</f>
        <v>Steel Skid(Sub)</v>
      </c>
      <c r="F24" s="1070" t="s">
        <v>19</v>
      </c>
      <c r="G24" s="1072">
        <v>28</v>
      </c>
      <c r="H24" s="937"/>
      <c r="I24" s="1070" t="str">
        <f>IF(J24="","",(VLOOKUP(J:J,'0.39'!B:F,5,FALSE)))</f>
        <v/>
      </c>
      <c r="J24" s="1070"/>
      <c r="K24" s="1073"/>
      <c r="L24" s="1392"/>
    </row>
    <row r="25" spans="1:12" s="363" customFormat="1" ht="19.5">
      <c r="A25" s="1070" t="str">
        <f>IF(B25="","",(VLOOKUP(B:B,'0.39'!B:F,5,FALSE)))</f>
        <v/>
      </c>
      <c r="B25" s="1070"/>
      <c r="C25" s="1071"/>
      <c r="D25" s="1188"/>
      <c r="E25" s="1070" t="str">
        <f>IF(F25="","",(VLOOKUP(F:F,'0.39'!B:F,5,FALSE)))</f>
        <v>Liner</v>
      </c>
      <c r="F25" s="1070" t="s">
        <v>3163</v>
      </c>
      <c r="G25" s="1072">
        <v>304</v>
      </c>
      <c r="H25" s="937"/>
      <c r="I25" s="1070" t="str">
        <f>IF(J25="","",(VLOOKUP(J:J,'0.39'!B:F,5,FALSE)))</f>
        <v/>
      </c>
      <c r="J25" s="1070"/>
      <c r="K25" s="1073"/>
      <c r="L25" s="1392"/>
    </row>
    <row r="26" spans="1:12" s="364" customFormat="1" ht="19.5">
      <c r="A26" s="1417" t="str">
        <f>IF(B26="","",(VLOOKUP(B:B,'0.39'!B:F,5,FALSE)))</f>
        <v/>
      </c>
      <c r="B26" s="1417"/>
      <c r="C26" s="1418"/>
      <c r="D26" s="1188"/>
      <c r="E26" s="1070" t="str">
        <f>IF(F26="","",(VLOOKUP(F:F,'0.39'!B:F,5,FALSE)))</f>
        <v>Anchor Bracket with bolt and nut set</v>
      </c>
      <c r="F26" s="1070" t="s">
        <v>10</v>
      </c>
      <c r="G26" s="1072">
        <v>15</v>
      </c>
      <c r="H26" s="937"/>
      <c r="I26" s="1070" t="str">
        <f>IF(J26="","",(VLOOKUP(J:J,'0.39'!B:F,5,FALSE)))</f>
        <v/>
      </c>
      <c r="J26" s="1070"/>
      <c r="K26" s="1073"/>
      <c r="L26" s="1392"/>
    </row>
    <row r="27" spans="1:12" s="364" customFormat="1" ht="19.5">
      <c r="A27" s="1417" t="str">
        <f>IF(B27="","",(VLOOKUP(B:B,'0.39'!B:F,5,FALSE)))</f>
        <v/>
      </c>
      <c r="B27" s="1417"/>
      <c r="C27" s="1418"/>
      <c r="D27" s="1188"/>
      <c r="E27" s="1070" t="str">
        <f>IF(F27="","",(VLOOKUP(F:F,'0.39'!B:F,5,FALSE)))</f>
        <v/>
      </c>
      <c r="F27" s="1070"/>
      <c r="G27" s="1072"/>
      <c r="H27" s="937"/>
      <c r="I27" s="1070" t="str">
        <f>IF(J27="","",(VLOOKUP(J:J,'0.39'!B:F,5,FALSE)))</f>
        <v/>
      </c>
      <c r="J27" s="1070"/>
      <c r="K27" s="1073"/>
      <c r="L27" s="1392"/>
    </row>
    <row r="28" spans="1:12" s="364" customFormat="1" ht="19.5">
      <c r="A28" s="1417" t="str">
        <f>IF(B28="","",(VLOOKUP(B:B,'0.39'!B:F,5,FALSE)))</f>
        <v/>
      </c>
      <c r="B28" s="1431"/>
      <c r="C28" s="1418"/>
      <c r="D28" s="1188"/>
      <c r="E28" s="1070" t="str">
        <f>IF(F28="","",(VLOOKUP(F:F,'0.39'!B:F,5,FALSE)))</f>
        <v/>
      </c>
      <c r="F28" s="1070"/>
      <c r="G28" s="1072"/>
      <c r="H28" s="937"/>
      <c r="I28" s="1070" t="str">
        <f>IF(J28="","",(VLOOKUP(J:J,'0.39'!B:F,5,FALSE)))</f>
        <v/>
      </c>
      <c r="J28" s="1070"/>
      <c r="K28" s="1073"/>
      <c r="L28" s="1392"/>
    </row>
    <row r="29" spans="1:12" s="364" customFormat="1" ht="19.5">
      <c r="A29" s="1417" t="str">
        <f>IF(B29="","",(VLOOKUP(B:B,'0.39'!B:F,5,FALSE)))</f>
        <v/>
      </c>
      <c r="B29" s="1417"/>
      <c r="C29" s="1418"/>
      <c r="D29" s="1188"/>
      <c r="E29" s="1070" t="str">
        <f>IF(F29="","",(VLOOKUP(F:F,'0.39'!B:F,5,FALSE)))</f>
        <v/>
      </c>
      <c r="F29" s="1070"/>
      <c r="G29" s="1072"/>
      <c r="H29" s="1391"/>
      <c r="I29" s="1070" t="str">
        <f>IF(J29="","",(VLOOKUP(J:J,'0.39'!B:F,5,FALSE)))</f>
        <v/>
      </c>
      <c r="J29" s="1070"/>
      <c r="K29" s="1073"/>
      <c r="L29" s="1392"/>
    </row>
    <row r="30" spans="1:12" s="364" customFormat="1" ht="22.5">
      <c r="A30" s="1417" t="str">
        <f>IF(B30="","",(VLOOKUP(B:B,'0.39'!B:F,5,FALSE)))</f>
        <v/>
      </c>
      <c r="B30" s="1417"/>
      <c r="C30" s="1418"/>
      <c r="D30" s="1188"/>
      <c r="E30" s="1470" t="s">
        <v>175</v>
      </c>
      <c r="F30" s="1470"/>
      <c r="G30" s="1470"/>
      <c r="H30" s="1470"/>
      <c r="I30" s="1070" t="str">
        <f>IF(J30="","",(VLOOKUP(J:J,'0.39'!B:F,5,FALSE)))</f>
        <v/>
      </c>
      <c r="J30" s="1070"/>
      <c r="K30" s="1073"/>
      <c r="L30" s="1392"/>
    </row>
    <row r="31" spans="1:12" s="364" customFormat="1" ht="26.25">
      <c r="A31" s="1417" t="str">
        <f>IF(B31="","",(VLOOKUP(B:B,'0.39'!B:F,5,FALSE)))</f>
        <v/>
      </c>
      <c r="B31" s="1417"/>
      <c r="C31" s="1418"/>
      <c r="D31" s="1188"/>
      <c r="E31" s="1186" t="s">
        <v>176</v>
      </c>
      <c r="F31" s="1186" t="s">
        <v>177</v>
      </c>
      <c r="G31" s="1184" t="s">
        <v>168</v>
      </c>
      <c r="H31" s="1395" t="s">
        <v>422</v>
      </c>
      <c r="I31" s="1070" t="str">
        <f>IF(J31="","",(VLOOKUP(J:J,'0.39'!B:F,5,FALSE)))</f>
        <v/>
      </c>
      <c r="J31" s="1070"/>
      <c r="K31" s="1073"/>
      <c r="L31" s="1392"/>
    </row>
    <row r="32" spans="1:12" s="364" customFormat="1" ht="19.5">
      <c r="A32" s="1070" t="str">
        <f>IF(B32="","",(VLOOKUP(B:B,'0.39'!B:F,5,FALSE)))</f>
        <v/>
      </c>
      <c r="B32" s="1070"/>
      <c r="C32" s="1189"/>
      <c r="D32" s="1188"/>
      <c r="E32" s="1070" t="str">
        <f>IF(F32="","",(VLOOKUP(F:F,'0.39'!B:F,5,FALSE)))</f>
        <v>HDG  Bolt and Nuts Set</v>
      </c>
      <c r="F32" s="1070" t="s">
        <v>69</v>
      </c>
      <c r="G32" s="1073">
        <v>223</v>
      </c>
      <c r="H32" s="547"/>
      <c r="I32" s="1070" t="str">
        <f>IF(J32="","",(VLOOKUP(J:J,'0.39'!B:F,5,FALSE)))</f>
        <v/>
      </c>
      <c r="J32" s="1070"/>
      <c r="K32" s="1073"/>
      <c r="L32" s="1392"/>
    </row>
    <row r="33" spans="1:15" s="364" customFormat="1" ht="19.5">
      <c r="A33" s="1070" t="str">
        <f>IF(B33="","",(VLOOKUP(B:B,'0.39'!B:F,5,FALSE)))</f>
        <v/>
      </c>
      <c r="B33" s="1070"/>
      <c r="C33" s="1189"/>
      <c r="D33" s="1188"/>
      <c r="E33" s="1070" t="str">
        <f>IF(F33="","",(VLOOKUP(F:F,'0.39'!B:F,5,FALSE)))</f>
        <v>M10x35mm(HDG)</v>
      </c>
      <c r="F33" s="1070" t="s">
        <v>68</v>
      </c>
      <c r="G33" s="1073">
        <v>196</v>
      </c>
      <c r="H33" s="547"/>
      <c r="I33" s="1070" t="str">
        <f>IF(J33="","",(VLOOKUP(J:J,'0.39'!B:F,5,FALSE)))</f>
        <v/>
      </c>
      <c r="J33" s="1070"/>
      <c r="K33" s="1073"/>
      <c r="L33" s="1392"/>
    </row>
    <row r="34" spans="1:15" s="364" customFormat="1" ht="22.5">
      <c r="A34" s="1070" t="str">
        <f>IF(B34="","",(VLOOKUP(B:B,'0.39'!B:F,5,FALSE)))</f>
        <v/>
      </c>
      <c r="B34" s="1070"/>
      <c r="C34" s="1189"/>
      <c r="D34" s="1188"/>
      <c r="E34" s="1070" t="str">
        <f>IF(F34="","",(VLOOKUP(F:F,'0.39'!B:F,5,FALSE)))</f>
        <v>M10x50mm(HDG)</v>
      </c>
      <c r="F34" s="1070" t="s">
        <v>1090</v>
      </c>
      <c r="G34" s="1073">
        <v>1784</v>
      </c>
      <c r="H34" s="547"/>
      <c r="I34" s="1471" t="s">
        <v>180</v>
      </c>
      <c r="J34" s="1472"/>
      <c r="K34" s="1472"/>
      <c r="L34" s="1473"/>
    </row>
    <row r="35" spans="1:15" s="364" customFormat="1" ht="26.25">
      <c r="A35" s="1070" t="str">
        <f>IF(B35="","",(VLOOKUP(B:B,'0.39'!B:F,5,FALSE)))</f>
        <v/>
      </c>
      <c r="B35" s="1070"/>
      <c r="C35" s="1189"/>
      <c r="D35" s="1188"/>
      <c r="E35" s="1070" t="str">
        <f>IF(F35="","",(VLOOKUP(F:F,'0.39'!B:F,5,FALSE)))</f>
        <v>M10x35mm(SS316)</v>
      </c>
      <c r="F35" s="1070" t="s">
        <v>66</v>
      </c>
      <c r="G35" s="1073">
        <v>340</v>
      </c>
      <c r="H35" s="547"/>
      <c r="I35" s="1186" t="s">
        <v>176</v>
      </c>
      <c r="J35" s="1183" t="s">
        <v>177</v>
      </c>
      <c r="K35" s="1184" t="s">
        <v>168</v>
      </c>
      <c r="L35" s="1187" t="s">
        <v>422</v>
      </c>
    </row>
    <row r="36" spans="1:15" s="364" customFormat="1" ht="19.5">
      <c r="A36" s="1070" t="str">
        <f>IF(B36="","",(VLOOKUP(B:B,'0.39'!B:F,5,FALSE)))</f>
        <v/>
      </c>
      <c r="B36" s="1070"/>
      <c r="C36" s="1071"/>
      <c r="D36" s="1188"/>
      <c r="E36" s="1070" t="str">
        <f>IF(F36="","",(VLOOKUP(F:F,'0.39'!B:F,5,FALSE)))</f>
        <v>M10x50mm(SS316)</v>
      </c>
      <c r="F36" s="1070" t="s">
        <v>1092</v>
      </c>
      <c r="G36" s="1073">
        <v>120</v>
      </c>
      <c r="H36" s="547"/>
      <c r="I36" s="1070" t="str">
        <f>IF(J36="","",(VLOOKUP(J:J,'0.39'!B:F,5,FALSE)))</f>
        <v xml:space="preserve">Air Vent </v>
      </c>
      <c r="J36" s="1075" t="s">
        <v>3171</v>
      </c>
      <c r="K36" s="1076">
        <v>2</v>
      </c>
      <c r="L36" s="1392"/>
    </row>
    <row r="37" spans="1:15" s="364" customFormat="1" ht="19.5">
      <c r="A37" s="1070" t="str">
        <f>IF(B37="","",(VLOOKUP(B:B,'0.39'!B:F,5,FALSE)))</f>
        <v/>
      </c>
      <c r="B37" s="1070"/>
      <c r="C37" s="1189"/>
      <c r="D37" s="1188"/>
      <c r="E37" s="1070" t="str">
        <f>IF(F37="","",(VLOOKUP(F:F,'0.39'!B:F,5,FALSE)))</f>
        <v>M12x40mm(HDG)</v>
      </c>
      <c r="F37" s="1070" t="s">
        <v>3164</v>
      </c>
      <c r="G37" s="1073">
        <v>60</v>
      </c>
      <c r="H37" s="547"/>
      <c r="I37" s="1070" t="str">
        <f>IF(J37="","",(VLOOKUP(J:J,'0.39'!B:F,5,FALSE)))</f>
        <v>Roof Supporter(3.0mH)</v>
      </c>
      <c r="J37" s="1075" t="s">
        <v>3186</v>
      </c>
      <c r="K37" s="1076">
        <v>9</v>
      </c>
      <c r="L37" s="1392"/>
    </row>
    <row r="38" spans="1:15" s="364" customFormat="1" ht="19.5">
      <c r="A38" s="1070" t="str">
        <f>IF(B38="","",(VLOOKUP(B:B,'0.39'!B:F,5,FALSE)))</f>
        <v/>
      </c>
      <c r="B38" s="1070"/>
      <c r="C38" s="1189"/>
      <c r="D38" s="1188"/>
      <c r="E38" s="1070" t="str">
        <f>IF(F38="","",(VLOOKUP(F:F,'0.39'!B:F,5,FALSE)))</f>
        <v>M14x120mm(Rubber HDG)</v>
      </c>
      <c r="F38" s="1070" t="s">
        <v>67</v>
      </c>
      <c r="G38" s="1073">
        <v>172</v>
      </c>
      <c r="H38" s="547"/>
      <c r="I38" s="1070" t="str">
        <f>IF(J38="","",(VLOOKUP(J:J,'0.39'!B:F,5,FALSE)))</f>
        <v>Internal Ladder(3.0mH)</v>
      </c>
      <c r="J38" s="1075" t="s">
        <v>3187</v>
      </c>
      <c r="K38" s="1076">
        <v>1</v>
      </c>
      <c r="L38" s="1392"/>
    </row>
    <row r="39" spans="1:15" s="364" customFormat="1" ht="19.5">
      <c r="A39" s="1070" t="str">
        <f>IF(B39="","",(VLOOKUP(B:B,'0.39'!B:F,5,FALSE)))</f>
        <v/>
      </c>
      <c r="B39" s="1070"/>
      <c r="C39" s="1189"/>
      <c r="D39" s="1188"/>
      <c r="E39" s="1070" t="str">
        <f>IF(F39="","",(VLOOKUP(F:F,'0.39'!B:F,5,FALSE)))</f>
        <v/>
      </c>
      <c r="F39" s="1070"/>
      <c r="G39" s="1073"/>
      <c r="H39" s="547"/>
      <c r="I39" s="1070" t="str">
        <f>IF(J39="","",(VLOOKUP(J:J,'0.39'!B:F,5,FALSE)))</f>
        <v>EX-Ladder(3mH)</v>
      </c>
      <c r="J39" s="1075" t="s">
        <v>3188</v>
      </c>
      <c r="K39" s="1076">
        <v>1</v>
      </c>
      <c r="L39" s="1392"/>
    </row>
    <row r="40" spans="1:15" s="364" customFormat="1" ht="19.5">
      <c r="A40" s="1070" t="str">
        <f>IF(B40="","",(VLOOKUP(B:B,'0.39'!B:F,5,FALSE)))</f>
        <v/>
      </c>
      <c r="B40" s="1070"/>
      <c r="C40" s="1074"/>
      <c r="D40" s="1188"/>
      <c r="E40" s="1070" t="str">
        <f>IF(F40="","",(VLOOKUP(F:F,'0.39'!B:F,5,FALSE)))</f>
        <v/>
      </c>
      <c r="F40" s="1070"/>
      <c r="G40" s="1073"/>
      <c r="H40" s="547"/>
      <c r="I40" s="1070" t="str">
        <f>IF(J40="","",(VLOOKUP(J:J,'0.39'!B:F,5,FALSE)))</f>
        <v>Silicon</v>
      </c>
      <c r="J40" s="1075" t="s">
        <v>3165</v>
      </c>
      <c r="K40" s="1076">
        <v>5</v>
      </c>
      <c r="L40" s="1392"/>
    </row>
    <row r="41" spans="1:15" s="364" customFormat="1" ht="19.5">
      <c r="A41" s="1070" t="str">
        <f>IF(B41="","",(VLOOKUP(B:B,'0.39'!B:F,5,FALSE)))</f>
        <v/>
      </c>
      <c r="B41" s="1070"/>
      <c r="C41" s="1074"/>
      <c r="D41" s="1188"/>
      <c r="E41" s="1070" t="str">
        <f>IF(F41="","",(VLOOKUP(F:F,'0.39'!B:F,5,FALSE)))</f>
        <v/>
      </c>
      <c r="F41" s="1070"/>
      <c r="G41" s="1073"/>
      <c r="H41" s="547"/>
      <c r="I41" s="1070" t="str">
        <f>IF(J41="","",(VLOOKUP(J:J,'0.39'!B:F,5,FALSE)))</f>
        <v>Level Indicator</v>
      </c>
      <c r="J41" s="1075" t="s">
        <v>1018</v>
      </c>
      <c r="K41" s="1076">
        <v>1</v>
      </c>
      <c r="L41" s="1392"/>
    </row>
    <row r="42" spans="1:15" s="364" customFormat="1" ht="19.5">
      <c r="A42" s="1070" t="str">
        <f>IF(B42="","",(VLOOKUP(B:B,'0.39'!B:F,5,FALSE)))</f>
        <v/>
      </c>
      <c r="B42" s="1070"/>
      <c r="C42" s="1189"/>
      <c r="D42" s="1188"/>
      <c r="E42" s="1070" t="str">
        <f>IF(F42="","",(VLOOKUP(F:F,'0.39'!B:F,5,FALSE)))</f>
        <v/>
      </c>
      <c r="F42" s="1070"/>
      <c r="G42" s="1073"/>
      <c r="H42" s="547"/>
      <c r="I42" s="1070" t="str">
        <f>IF(J42="","",(VLOOKUP(J:J,'0.39'!B:F,5,FALSE)))</f>
        <v>Sealing Tape</v>
      </c>
      <c r="J42" s="1075" t="s">
        <v>3166</v>
      </c>
      <c r="K42" s="1076">
        <v>658.48</v>
      </c>
      <c r="L42" s="1392"/>
    </row>
    <row r="43" spans="1:15" s="364" customFormat="1" ht="22.5">
      <c r="A43" s="1070" t="str">
        <f>IF(B43="","",(VLOOKUP(B:B,'0.39'!B:F,5,FALSE)))</f>
        <v/>
      </c>
      <c r="B43" s="1070"/>
      <c r="C43" s="1189"/>
      <c r="D43" s="1188"/>
      <c r="E43" s="1470" t="s">
        <v>200</v>
      </c>
      <c r="F43" s="1470"/>
      <c r="G43" s="1470"/>
      <c r="H43" s="1470"/>
      <c r="I43" s="1070" t="str">
        <f>IF(J43="","",(VLOOKUP(J:J,'0.39'!B:F,5,FALSE)))</f>
        <v>Sealing Tape</v>
      </c>
      <c r="J43" s="1075" t="s">
        <v>3167</v>
      </c>
      <c r="K43" s="1076">
        <v>13</v>
      </c>
      <c r="L43" s="1392"/>
    </row>
    <row r="44" spans="1:15" s="364" customFormat="1" ht="26.25">
      <c r="A44" s="1070" t="str">
        <f>IF(B44="","",(VLOOKUP(B:B,'0.39'!B:F,5,FALSE)))</f>
        <v/>
      </c>
      <c r="B44" s="1070"/>
      <c r="C44" s="1189"/>
      <c r="D44" s="1188"/>
      <c r="E44" s="1186" t="s">
        <v>176</v>
      </c>
      <c r="F44" s="1183" t="s">
        <v>177</v>
      </c>
      <c r="G44" s="1184" t="s">
        <v>168</v>
      </c>
      <c r="H44" s="1185" t="s">
        <v>422</v>
      </c>
      <c r="I44" s="1070" t="str">
        <f>IF(J44="","",(VLOOKUP(J:J,'0.39'!B:F,5,FALSE)))</f>
        <v/>
      </c>
      <c r="J44" s="1075"/>
      <c r="K44" s="1076"/>
      <c r="L44" s="1392"/>
    </row>
    <row r="45" spans="1:15" s="364" customFormat="1" ht="19.5">
      <c r="A45" s="1070" t="str">
        <f>IF(B45="","",(VLOOKUP(B:B,'0.39'!B:F,5,FALSE)))</f>
        <v/>
      </c>
      <c r="B45" s="1070"/>
      <c r="C45" s="1189"/>
      <c r="D45" s="1188"/>
      <c r="E45" s="1070" t="str">
        <f>IF(F45="","",(VLOOKUP(F:F,'0.39'!B:F,5,FALSE)))</f>
        <v>F/L Reinforcing plate</v>
      </c>
      <c r="F45" s="1080" t="s">
        <v>3173</v>
      </c>
      <c r="G45" s="1077">
        <v>64</v>
      </c>
      <c r="H45" s="547"/>
      <c r="I45" s="1070" t="str">
        <f>IF(J45="","",(VLOOKUP(J:J,'0.39'!B:F,5,FALSE)))</f>
        <v/>
      </c>
      <c r="J45" s="1075"/>
      <c r="K45" s="1076"/>
      <c r="L45" s="1392"/>
    </row>
    <row r="46" spans="1:15" s="364" customFormat="1" ht="19.5">
      <c r="A46" s="1070" t="str">
        <f>IF(B46="","",(VLOOKUP(B:B,'0.39'!B:F,5,FALSE)))</f>
        <v/>
      </c>
      <c r="B46" s="1070"/>
      <c r="C46" s="1189"/>
      <c r="D46" s="1188"/>
      <c r="E46" s="1070" t="str">
        <f>IF(F46="","",(VLOOKUP(F:F,'0.39'!B:F,5,FALSE)))</f>
        <v>F/L Reinforcing Angle</v>
      </c>
      <c r="F46" s="1080" t="s">
        <v>1749</v>
      </c>
      <c r="G46" s="1077">
        <v>56</v>
      </c>
      <c r="H46" s="547"/>
      <c r="I46" s="1070" t="str">
        <f>IF(J46="","",(VLOOKUP(J:J,'0.39'!B:F,5,FALSE)))</f>
        <v/>
      </c>
      <c r="J46" s="1075"/>
      <c r="K46" s="1076"/>
      <c r="L46" s="1392"/>
    </row>
    <row r="47" spans="1:15" s="364" customFormat="1" ht="19.5">
      <c r="A47" s="1070" t="str">
        <f>IF(B47="","",(VLOOKUP(B:B,'0.39'!B:F,5,FALSE)))</f>
        <v/>
      </c>
      <c r="B47" s="1070"/>
      <c r="C47" s="1189"/>
      <c r="D47" s="1188"/>
      <c r="E47" s="1070" t="str">
        <f>IF(F47="","",(VLOOKUP(F:F,'0.39'!B:F,5,FALSE)))</f>
        <v>F/L Reinforcing Angle</v>
      </c>
      <c r="F47" s="1080" t="s">
        <v>1781</v>
      </c>
      <c r="G47" s="1077">
        <v>26</v>
      </c>
      <c r="H47" s="547"/>
      <c r="I47" s="1070" t="str">
        <f>IF(J47="","",(VLOOKUP(J:J,'0.39'!B:F,5,FALSE)))</f>
        <v/>
      </c>
      <c r="J47" s="1075"/>
      <c r="K47" s="1076"/>
      <c r="L47" s="1392"/>
    </row>
    <row r="48" spans="1:15" ht="19.5">
      <c r="A48" s="1070" t="str">
        <f>IF(B48="","",(VLOOKUP(B:B,'0.39'!B:F,5,FALSE)))</f>
        <v/>
      </c>
      <c r="B48" s="1070"/>
      <c r="C48" s="1189"/>
      <c r="D48" s="1188"/>
      <c r="E48" s="1070" t="str">
        <f>IF(F48="","",(VLOOKUP(F:F,'0.39'!B:F,5,FALSE)))</f>
        <v>Corner Frame</v>
      </c>
      <c r="F48" s="1080" t="s">
        <v>3185</v>
      </c>
      <c r="G48" s="1077">
        <v>4</v>
      </c>
      <c r="H48" s="547"/>
      <c r="I48" s="1070" t="str">
        <f>IF(J48="","",(VLOOKUP(J:J,'0.39'!B:F,5,FALSE)))</f>
        <v/>
      </c>
      <c r="J48" s="1075"/>
      <c r="K48" s="1076"/>
      <c r="L48" s="1392"/>
      <c r="N48" s="342"/>
      <c r="O48" s="342"/>
    </row>
    <row r="49" spans="1:15" ht="19.5">
      <c r="A49" s="1070" t="str">
        <f>IF(B49="","",(VLOOKUP(B:B,'0.39'!B:F,5,FALSE)))</f>
        <v/>
      </c>
      <c r="B49" s="1070"/>
      <c r="C49" s="1189"/>
      <c r="D49" s="1188"/>
      <c r="E49" s="1070" t="str">
        <f>IF(F49="","",(VLOOKUP(F:F,'0.39'!B:F,5,FALSE)))</f>
        <v>Corner Frame</v>
      </c>
      <c r="F49" s="1080" t="s">
        <v>3174</v>
      </c>
      <c r="G49" s="1077">
        <v>4</v>
      </c>
      <c r="H49" s="547"/>
      <c r="I49" s="1070" t="str">
        <f>IF(J49="","",(VLOOKUP(J:J,'0.39'!B:F,5,FALSE)))</f>
        <v/>
      </c>
      <c r="J49" s="1075"/>
      <c r="K49" s="1076"/>
      <c r="L49" s="1392"/>
      <c r="N49" s="342"/>
      <c r="O49" s="342"/>
    </row>
    <row r="50" spans="1:15" ht="19.5">
      <c r="A50" s="1070" t="str">
        <f>IF(B50="","",(VLOOKUP(B:B,'0.39'!B:F,5,FALSE)))</f>
        <v/>
      </c>
      <c r="B50" s="1070"/>
      <c r="C50" s="1189"/>
      <c r="D50" s="1188"/>
      <c r="E50" s="1070" t="str">
        <f>IF(F50="","",(VLOOKUP(F:F,'0.39'!B:F,5,FALSE)))</f>
        <v>Cross Plate BKT(2 Hole)</v>
      </c>
      <c r="F50" s="1080" t="s">
        <v>3175</v>
      </c>
      <c r="G50" s="1077">
        <v>34</v>
      </c>
      <c r="H50" s="547"/>
      <c r="I50" s="1070" t="str">
        <f>IF(J50="","",(VLOOKUP(J:J,'0.39'!B:F,5,FALSE)))</f>
        <v/>
      </c>
      <c r="J50" s="1075"/>
      <c r="K50" s="1076"/>
      <c r="L50" s="1392"/>
      <c r="N50" s="342"/>
      <c r="O50" s="342"/>
    </row>
    <row r="51" spans="1:15" ht="19.5">
      <c r="A51" s="1070" t="str">
        <f>IF(B51="","",(VLOOKUP(B:B,'0.39'!B:F,5,FALSE)))</f>
        <v/>
      </c>
      <c r="B51" s="1070"/>
      <c r="C51" s="1077"/>
      <c r="D51" s="1188"/>
      <c r="E51" s="1070" t="str">
        <f>IF(F51="","",(VLOOKUP(F:F,'0.39'!B:F,5,FALSE)))</f>
        <v>Cross Plate BKT(4 Hole)</v>
      </c>
      <c r="F51" s="1080" t="s">
        <v>3176</v>
      </c>
      <c r="G51" s="1077">
        <v>26</v>
      </c>
      <c r="H51" s="547"/>
      <c r="I51" s="1070" t="str">
        <f>IF(J51="","",(VLOOKUP(J:J,'0.39'!B:F,5,FALSE)))</f>
        <v/>
      </c>
      <c r="J51" s="1075"/>
      <c r="K51" s="1076"/>
      <c r="L51" s="1392"/>
      <c r="N51" s="342"/>
      <c r="O51" s="342"/>
    </row>
    <row r="52" spans="1:15" ht="19.5">
      <c r="A52" s="1070" t="str">
        <f>IF(B52="","",(VLOOKUP(B:B,'0.39'!B:F,5,FALSE)))</f>
        <v/>
      </c>
      <c r="B52" s="1070"/>
      <c r="C52" s="1077"/>
      <c r="D52" s="1188"/>
      <c r="E52" s="1070" t="str">
        <f>IF(F52="","",(VLOOKUP(F:F,'0.39'!B:F,5,FALSE)))</f>
        <v/>
      </c>
      <c r="F52" s="1080"/>
      <c r="G52" s="1077"/>
      <c r="H52" s="547"/>
      <c r="I52" s="1070" t="str">
        <f>IF(J52="","",(VLOOKUP(J:J,'0.39'!B:F,5,FALSE)))</f>
        <v/>
      </c>
      <c r="J52" s="1075"/>
      <c r="K52" s="1076"/>
      <c r="L52" s="1392"/>
      <c r="N52" s="342"/>
      <c r="O52" s="342"/>
    </row>
    <row r="53" spans="1:15" ht="19.5">
      <c r="A53" s="1070" t="str">
        <f>IF(B53="","",(VLOOKUP(B:B,'0.39'!B:F,5,FALSE)))</f>
        <v/>
      </c>
      <c r="B53" s="1070"/>
      <c r="C53" s="1077"/>
      <c r="D53" s="1188"/>
      <c r="E53" s="1070" t="str">
        <f>IF(F53="","",(VLOOKUP(F:F,'0.39'!B:F,5,FALSE)))</f>
        <v/>
      </c>
      <c r="F53" s="1080"/>
      <c r="G53" s="1077"/>
      <c r="H53" s="547"/>
      <c r="I53" s="1070" t="str">
        <f>IF(J53="","",(VLOOKUP(J:J,'0.39'!B:F,5,FALSE)))</f>
        <v/>
      </c>
      <c r="J53" s="1075"/>
      <c r="K53" s="1076"/>
      <c r="L53" s="1392"/>
      <c r="N53" s="342"/>
      <c r="O53" s="342"/>
    </row>
    <row r="54" spans="1:15" ht="19.5">
      <c r="A54" s="1070" t="str">
        <f>IF(B54="","",(VLOOKUP(B:B,'0.39'!B:F,5,FALSE)))</f>
        <v/>
      </c>
      <c r="B54" s="1070"/>
      <c r="C54" s="1077"/>
      <c r="D54" s="1188"/>
      <c r="E54" s="1070" t="str">
        <f>IF(F54="","",(VLOOKUP(F:F,'0.39'!B:F,5,FALSE)))</f>
        <v/>
      </c>
      <c r="F54" s="1080"/>
      <c r="G54" s="1077"/>
      <c r="H54" s="547"/>
      <c r="I54" s="1070" t="str">
        <f>IF(J54="","",(VLOOKUP(J:J,'0.39'!B:F,5,FALSE)))</f>
        <v/>
      </c>
      <c r="J54" s="1075"/>
      <c r="K54" s="1076"/>
      <c r="L54" s="1392"/>
      <c r="N54" s="342"/>
      <c r="O54" s="342"/>
    </row>
    <row r="55" spans="1:15" ht="19.5">
      <c r="A55" s="1070" t="str">
        <f>IF(B55="","",(VLOOKUP(B:B,'0.39'!B:F,5,FALSE)))</f>
        <v/>
      </c>
      <c r="B55" s="1070"/>
      <c r="C55" s="1077"/>
      <c r="D55" s="1188"/>
      <c r="E55" s="1070" t="str">
        <f>IF(F55="","",(VLOOKUP(F:F,'0.39'!B:F,5,FALSE)))</f>
        <v/>
      </c>
      <c r="F55" s="1080"/>
      <c r="G55" s="1077"/>
      <c r="H55" s="547"/>
      <c r="I55" s="1070" t="str">
        <f>IF(J55="","",(VLOOKUP(J:J,'0.39'!B:F,5,FALSE)))</f>
        <v/>
      </c>
      <c r="J55" s="1075"/>
      <c r="K55" s="1076"/>
      <c r="L55" s="1392"/>
      <c r="N55" s="342"/>
      <c r="O55" s="342"/>
    </row>
    <row r="56" spans="1:15" ht="19.5">
      <c r="A56" s="1070" t="str">
        <f>IF(B56="","",(VLOOKUP(B:B,'0.39'!B:F,5,FALSE)))</f>
        <v/>
      </c>
      <c r="B56" s="1070"/>
      <c r="C56" s="1077"/>
      <c r="D56" s="1188"/>
      <c r="E56" s="1070" t="str">
        <f>IF(F56="","",(VLOOKUP(F:F,'0.39'!B:F,5,FALSE)))</f>
        <v/>
      </c>
      <c r="F56" s="1080"/>
      <c r="G56" s="1077"/>
      <c r="H56" s="547"/>
      <c r="I56" s="1070" t="str">
        <f>IF(J56="","",(VLOOKUP(J:J,'0.39'!B:F,5,FALSE)))</f>
        <v/>
      </c>
      <c r="J56" s="1075"/>
      <c r="K56" s="1076"/>
      <c r="L56" s="1392"/>
      <c r="N56" s="342"/>
      <c r="O56" s="342"/>
    </row>
    <row r="57" spans="1:15" ht="19.5">
      <c r="A57" s="1070" t="str">
        <f>IF(B57="","",(VLOOKUP(B:B,'0.39'!B:F,5,FALSE)))</f>
        <v/>
      </c>
      <c r="B57" s="1070"/>
      <c r="C57" s="1077"/>
      <c r="D57" s="1188"/>
      <c r="E57" s="1070" t="str">
        <f>IF(F57="","",(VLOOKUP(F:F,'0.39'!B:F,5,FALSE)))</f>
        <v/>
      </c>
      <c r="F57" s="1080"/>
      <c r="G57" s="1077"/>
      <c r="H57" s="547"/>
      <c r="I57" s="1070" t="str">
        <f>IF(J57="","",(VLOOKUP(J:J,'0.39'!B:F,5,FALSE)))</f>
        <v/>
      </c>
      <c r="J57" s="1075"/>
      <c r="K57" s="1076"/>
      <c r="L57" s="1392"/>
      <c r="N57" s="342"/>
      <c r="O57" s="342"/>
    </row>
    <row r="58" spans="1:15" ht="22.5">
      <c r="A58" s="1070" t="str">
        <f>IF(B58="","",(VLOOKUP(B:B,'0.39'!B:F,5,FALSE)))</f>
        <v/>
      </c>
      <c r="B58" s="1070"/>
      <c r="C58" s="1077"/>
      <c r="D58" s="1188"/>
      <c r="E58" s="1070" t="str">
        <f>IF(F58="","",(VLOOKUP(F:F,'0.39'!B:F,5,FALSE)))</f>
        <v/>
      </c>
      <c r="F58" s="1080"/>
      <c r="G58" s="1077"/>
      <c r="H58" s="547"/>
      <c r="I58" s="1470" t="s">
        <v>240</v>
      </c>
      <c r="J58" s="1470"/>
      <c r="K58" s="1470"/>
      <c r="L58" s="1470"/>
      <c r="N58" s="342"/>
      <c r="O58" s="342"/>
    </row>
    <row r="59" spans="1:15" ht="26.25">
      <c r="A59" s="1070" t="str">
        <f>IF(B59="","",(VLOOKUP(B:B,'0.39'!B:F,5,FALSE)))</f>
        <v/>
      </c>
      <c r="B59" s="1070"/>
      <c r="C59" s="1077"/>
      <c r="D59" s="1188"/>
      <c r="E59" s="1070" t="str">
        <f>IF(F59="","",(VLOOKUP(F:F,'0.39'!B:F,5,FALSE)))</f>
        <v/>
      </c>
      <c r="F59" s="1080"/>
      <c r="G59" s="1077"/>
      <c r="H59" s="547"/>
      <c r="I59" s="1186" t="s">
        <v>176</v>
      </c>
      <c r="J59" s="1183" t="s">
        <v>177</v>
      </c>
      <c r="K59" s="1184" t="s">
        <v>168</v>
      </c>
      <c r="L59" s="1185" t="s">
        <v>422</v>
      </c>
      <c r="N59" s="342"/>
      <c r="O59" s="342"/>
    </row>
    <row r="60" spans="1:15" ht="22.5">
      <c r="A60" s="1070" t="str">
        <f>IF(B60="","",(VLOOKUP(B:B,'0.39'!B:F,5,FALSE)))</f>
        <v/>
      </c>
      <c r="B60" s="1070"/>
      <c r="C60" s="1077"/>
      <c r="D60" s="1188"/>
      <c r="E60" s="1470" t="s">
        <v>181</v>
      </c>
      <c r="F60" s="1470"/>
      <c r="G60" s="1470"/>
      <c r="H60" s="1470"/>
      <c r="I60" s="1070" t="str">
        <f>IF(J60="","",(VLOOKUP(J:J,'0.39'!B:F,5,FALSE)))</f>
        <v/>
      </c>
      <c r="J60" s="1079"/>
      <c r="K60" s="1076"/>
      <c r="L60" s="1392"/>
      <c r="N60" s="342"/>
      <c r="O60" s="342"/>
    </row>
    <row r="61" spans="1:15" ht="26.25">
      <c r="A61" s="1070" t="str">
        <f>IF(B61="","",(VLOOKUP(B:B,'0.39'!B:F,5,FALSE)))</f>
        <v/>
      </c>
      <c r="B61" s="1070"/>
      <c r="C61" s="1077"/>
      <c r="D61" s="1188"/>
      <c r="E61" s="1186" t="s">
        <v>176</v>
      </c>
      <c r="F61" s="1183" t="s">
        <v>177</v>
      </c>
      <c r="G61" s="1184" t="s">
        <v>168</v>
      </c>
      <c r="H61" s="1185" t="s">
        <v>422</v>
      </c>
      <c r="I61" s="1070" t="str">
        <f>IF(J61="","",(VLOOKUP(J:J,'0.39'!B:F,5,FALSE)))</f>
        <v/>
      </c>
      <c r="J61" s="1079"/>
      <c r="K61" s="1076"/>
      <c r="L61" s="1392"/>
      <c r="N61" s="342"/>
      <c r="O61" s="342"/>
    </row>
    <row r="62" spans="1:15" ht="19.5">
      <c r="A62" s="1070" t="str">
        <f>IF(B62="","",(VLOOKUP(B:B,'0.39'!B:F,5,FALSE)))</f>
        <v/>
      </c>
      <c r="B62" s="1070"/>
      <c r="C62" s="1077"/>
      <c r="D62" s="1188"/>
      <c r="E62" s="1070" t="str">
        <f>IF(F62="","",(VLOOKUP(F:F,'0.39'!B:F,5,FALSE)))</f>
        <v>IN-BRKT(2 tierod)_SS316</v>
      </c>
      <c r="F62" s="1080" t="s">
        <v>3177</v>
      </c>
      <c r="G62" s="1077">
        <v>26</v>
      </c>
      <c r="H62" s="547"/>
      <c r="I62" s="1070" t="str">
        <f>IF(J62="","",(VLOOKUP(J:J,'0.39'!B:F,5,FALSE)))</f>
        <v/>
      </c>
      <c r="J62" s="1079"/>
      <c r="K62" s="1076"/>
      <c r="L62" s="1392"/>
      <c r="N62" s="342"/>
      <c r="O62" s="342"/>
    </row>
    <row r="63" spans="1:15" ht="19.5">
      <c r="A63" s="1070" t="str">
        <f>IF(B63="","",(VLOOKUP(B:B,'0.39'!B:F,5,FALSE)))</f>
        <v/>
      </c>
      <c r="B63" s="1070"/>
      <c r="C63" s="1077"/>
      <c r="D63" s="1188"/>
      <c r="E63" s="1070" t="str">
        <f>IF(F63="","",(VLOOKUP(F:F,'0.39'!B:F,5,FALSE)))</f>
        <v>IN-BRKT(1 tierod)_SS316</v>
      </c>
      <c r="F63" s="1080" t="s">
        <v>3178</v>
      </c>
      <c r="G63" s="1077">
        <v>26</v>
      </c>
      <c r="H63" s="547"/>
      <c r="I63" s="1070" t="str">
        <f>IF(J63="","",(VLOOKUP(J:J,'0.39'!B:F,5,FALSE)))</f>
        <v/>
      </c>
      <c r="J63" s="1079"/>
      <c r="K63" s="1076"/>
      <c r="L63" s="1392"/>
      <c r="N63" s="342"/>
      <c r="O63" s="342"/>
    </row>
    <row r="64" spans="1:15" ht="19.5">
      <c r="A64" s="1070" t="str">
        <f>IF(B64="","",(VLOOKUP(B:B,'0.39'!B:F,5,FALSE)))</f>
        <v/>
      </c>
      <c r="B64" s="1070"/>
      <c r="C64" s="1077"/>
      <c r="D64" s="1188"/>
      <c r="E64" s="1070" t="str">
        <f>IF(F64="","",(VLOOKUP(F:F,'0.39'!B:F,5,FALSE)))</f>
        <v>Corner BRKT(SS316)</v>
      </c>
      <c r="F64" s="1080" t="s">
        <v>3179</v>
      </c>
      <c r="G64" s="1077">
        <v>4</v>
      </c>
      <c r="H64" s="547"/>
      <c r="I64" s="1070" t="str">
        <f>IF(J64="","",(VLOOKUP(J:J,'0.39'!B:F,5,FALSE)))</f>
        <v/>
      </c>
      <c r="J64" s="1079"/>
      <c r="K64" s="1076"/>
      <c r="L64" s="1392"/>
      <c r="N64" s="342"/>
      <c r="O64" s="342"/>
    </row>
    <row r="65" spans="1:15" ht="19.5">
      <c r="A65" s="1070" t="str">
        <f>IF(B65="","",(VLOOKUP(B:B,'0.39'!B:F,5,FALSE)))</f>
        <v/>
      </c>
      <c r="B65" s="1070"/>
      <c r="C65" s="1077"/>
      <c r="D65" s="1188"/>
      <c r="E65" s="1070" t="str">
        <f>IF(F65="","",(VLOOKUP(F:F,'0.39'!B:F,5,FALSE)))</f>
        <v/>
      </c>
      <c r="F65" s="1080"/>
      <c r="G65" s="1077"/>
      <c r="H65" s="547"/>
      <c r="I65" s="1070" t="str">
        <f>IF(J65="","",(VLOOKUP(J:J,'0.39'!B:F,5,FALSE)))</f>
        <v/>
      </c>
      <c r="J65" s="1079"/>
      <c r="K65" s="1076"/>
      <c r="L65" s="1392"/>
      <c r="N65" s="342"/>
      <c r="O65" s="342"/>
    </row>
    <row r="66" spans="1:15" ht="19.5">
      <c r="A66" s="1070" t="str">
        <f>IF(B66="","",(VLOOKUP(B:B,'0.39'!B:F,5,FALSE)))</f>
        <v/>
      </c>
      <c r="B66" s="1070"/>
      <c r="C66" s="1077"/>
      <c r="D66" s="1188"/>
      <c r="E66" s="1070" t="str">
        <f>IF(F66="","",(VLOOKUP(F:F,'0.39'!B:F,5,FALSE)))</f>
        <v/>
      </c>
      <c r="F66" s="1080"/>
      <c r="G66" s="1077"/>
      <c r="H66" s="547"/>
      <c r="I66" s="1070" t="str">
        <f>IF(J66="","",(VLOOKUP(J:J,'0.39'!B:F,5,FALSE)))</f>
        <v/>
      </c>
      <c r="J66" s="1079"/>
      <c r="K66" s="1076"/>
      <c r="L66" s="1392"/>
      <c r="N66" s="342"/>
      <c r="O66" s="342"/>
    </row>
    <row r="67" spans="1:15" ht="19.5">
      <c r="A67" s="1070" t="str">
        <f>IF(B67="","",(VLOOKUP(B:B,'0.39'!B:F,5,FALSE)))</f>
        <v/>
      </c>
      <c r="B67" s="1070"/>
      <c r="C67" s="1077"/>
      <c r="D67" s="1188"/>
      <c r="E67" s="1070" t="str">
        <f>IF(F67="","",(VLOOKUP(F:F,'0.39'!B:F,5,FALSE)))</f>
        <v/>
      </c>
      <c r="F67" s="1080"/>
      <c r="G67" s="1077"/>
      <c r="H67" s="547"/>
      <c r="I67" s="1070" t="str">
        <f>IF(J67="","",(VLOOKUP(J:J,'0.39'!B:F,5,FALSE)))</f>
        <v/>
      </c>
      <c r="J67" s="1079"/>
      <c r="K67" s="1076"/>
      <c r="L67" s="1392"/>
      <c r="N67" s="342"/>
      <c r="O67" s="342"/>
    </row>
    <row r="68" spans="1:15" ht="19.5">
      <c r="A68" s="1070" t="str">
        <f>IF(B68="","",(VLOOKUP(B:B,'0.39'!B:F,5,FALSE)))</f>
        <v/>
      </c>
      <c r="B68" s="1070"/>
      <c r="C68" s="1077"/>
      <c r="D68" s="1188"/>
      <c r="E68" s="1070" t="str">
        <f>IF(F68="","",(VLOOKUP(F:F,'0.39'!B:F,5,FALSE)))</f>
        <v/>
      </c>
      <c r="F68" s="1080"/>
      <c r="G68" s="1077"/>
      <c r="H68" s="547"/>
      <c r="I68" s="1070" t="str">
        <f>IF(J68="","",(VLOOKUP(J:J,'0.39'!B:F,5,FALSE)))</f>
        <v/>
      </c>
      <c r="J68" s="1079"/>
      <c r="K68" s="1076"/>
      <c r="L68" s="1392"/>
    </row>
    <row r="69" spans="1:15" ht="19.5">
      <c r="A69" s="1070" t="str">
        <f>IF(B69="","",(VLOOKUP(B:B,'0.39'!B:F,5,FALSE)))</f>
        <v/>
      </c>
      <c r="B69" s="1070"/>
      <c r="C69" s="1077"/>
      <c r="D69" s="1188"/>
      <c r="E69" s="1070" t="str">
        <f>IF(F69="","",(VLOOKUP(F:F,'0.39'!B:F,5,FALSE)))</f>
        <v/>
      </c>
      <c r="F69" s="1080"/>
      <c r="G69" s="1077"/>
      <c r="H69" s="547"/>
      <c r="I69" s="1070" t="str">
        <f>IF(J69="","",(VLOOKUP(J:J,'0.39'!B:F,5,FALSE)))</f>
        <v/>
      </c>
      <c r="J69" s="1079"/>
      <c r="K69" s="1076"/>
      <c r="L69" s="1392"/>
    </row>
    <row r="70" spans="1:15" ht="19.5">
      <c r="A70" s="1070" t="str">
        <f>IF(B70="","",(VLOOKUP(B:B,'0.39'!B:F,5,FALSE)))</f>
        <v/>
      </c>
      <c r="B70" s="1070"/>
      <c r="C70" s="1077"/>
      <c r="D70" s="1188"/>
      <c r="E70" s="1070" t="str">
        <f>IF(F70="","",(VLOOKUP(F:F,'0.39'!B:F,5,FALSE)))</f>
        <v/>
      </c>
      <c r="F70" s="1080"/>
      <c r="G70" s="1077"/>
      <c r="H70" s="547"/>
      <c r="I70" s="1070" t="str">
        <f>IF(J70="","",(VLOOKUP(J:J,'0.39'!B:F,5,FALSE)))</f>
        <v/>
      </c>
      <c r="J70" s="1079"/>
      <c r="K70" s="1076"/>
      <c r="L70" s="1392"/>
    </row>
    <row r="71" spans="1:15" ht="19.5">
      <c r="A71" s="1070" t="str">
        <f>IF(B71="","",(VLOOKUP(B:B,'0.39'!B:F,5,FALSE)))</f>
        <v/>
      </c>
      <c r="B71" s="1070"/>
      <c r="C71" s="1077"/>
      <c r="D71" s="1188"/>
      <c r="E71" s="1070" t="str">
        <f>IF(F71="","",(VLOOKUP(F:F,'0.39'!B:F,5,FALSE)))</f>
        <v/>
      </c>
      <c r="F71" s="1080"/>
      <c r="G71" s="1077"/>
      <c r="H71" s="547"/>
      <c r="I71" s="1070" t="str">
        <f>IF(J71="","",(VLOOKUP(J:J,'0.39'!B:F,5,FALSE)))</f>
        <v/>
      </c>
      <c r="J71" s="1079"/>
      <c r="K71" s="1076"/>
      <c r="L71" s="1392"/>
    </row>
    <row r="72" spans="1:15" ht="19.5">
      <c r="A72" s="1070" t="str">
        <f>IF(B72="","",(VLOOKUP(B:B,'0.39'!B:F,5,FALSE)))</f>
        <v/>
      </c>
      <c r="B72" s="1070"/>
      <c r="C72" s="1077"/>
      <c r="D72" s="1188"/>
      <c r="E72" s="1070" t="str">
        <f>IF(F72="","",(VLOOKUP(F:F,'0.39'!B:F,5,FALSE)))</f>
        <v/>
      </c>
      <c r="F72" s="1080"/>
      <c r="G72" s="1077"/>
      <c r="H72" s="547"/>
      <c r="I72" s="1070" t="str">
        <f>IF(J72="","",(VLOOKUP(J:J,'0.39'!B:F,5,FALSE)))</f>
        <v/>
      </c>
      <c r="J72" s="1079"/>
      <c r="K72" s="1076"/>
      <c r="L72" s="1392"/>
    </row>
    <row r="73" spans="1:15" ht="19.5">
      <c r="A73" s="1070" t="str">
        <f>IF(B73="","",(VLOOKUP(B:B,'0.39'!B:F,5,FALSE)))</f>
        <v/>
      </c>
      <c r="B73" s="1070"/>
      <c r="C73" s="1077"/>
      <c r="D73" s="1188"/>
      <c r="E73" s="1070" t="str">
        <f>IF(F73="","",(VLOOKUP(F:F,'0.39'!B:F,5,FALSE)))</f>
        <v/>
      </c>
      <c r="F73" s="1080"/>
      <c r="G73" s="1077"/>
      <c r="H73" s="547"/>
      <c r="I73" s="1070" t="str">
        <f>IF(J73="","",(VLOOKUP(J:J,'0.39'!B:F,5,FALSE)))</f>
        <v/>
      </c>
      <c r="J73" s="1079"/>
      <c r="K73" s="1076"/>
      <c r="L73" s="1392"/>
    </row>
    <row r="74" spans="1:15" ht="19.5">
      <c r="A74" s="1070" t="str">
        <f>IF(B74="","",(VLOOKUP(B:B,'0.39'!B:F,5,FALSE)))</f>
        <v/>
      </c>
      <c r="B74" s="1070"/>
      <c r="C74" s="1077"/>
      <c r="D74" s="1188"/>
      <c r="E74" s="1070" t="str">
        <f>IF(F74="","",(VLOOKUP(F:F,'0.39'!B:F,5,FALSE)))</f>
        <v/>
      </c>
      <c r="F74" s="1080"/>
      <c r="G74" s="1077"/>
      <c r="H74" s="547"/>
      <c r="I74" s="1070" t="str">
        <f>IF(J74="","",(VLOOKUP(J:J,'0.39'!B:F,5,FALSE)))</f>
        <v/>
      </c>
      <c r="J74" s="1079"/>
      <c r="K74" s="1076"/>
      <c r="L74" s="1392"/>
    </row>
    <row r="75" spans="1:15" ht="27">
      <c r="A75" s="1070" t="str">
        <f>IF(B75="","",(VLOOKUP(B:B,'0.39'!B:F,5,FALSE)))</f>
        <v/>
      </c>
      <c r="B75" s="1070"/>
      <c r="C75" s="1077"/>
      <c r="D75" s="1188"/>
      <c r="E75" s="1070" t="str">
        <f>IF(F75="","",(VLOOKUP(F:F,'0.39'!B:F,5,FALSE)))</f>
        <v/>
      </c>
      <c r="F75" s="1080"/>
      <c r="G75" s="1077"/>
      <c r="H75" s="547"/>
      <c r="I75" s="1070" t="str">
        <f>IF(J75="","",(VLOOKUP(J:J,'0.39'!B:F,5,FALSE)))</f>
        <v/>
      </c>
      <c r="J75" s="1079"/>
      <c r="K75" s="1393"/>
      <c r="L75" s="1392"/>
    </row>
    <row r="76" spans="1:15" ht="19.5">
      <c r="A76" s="1070" t="str">
        <f>IF(B76="","",(VLOOKUP(B:B,'0.39'!B:F,5,FALSE)))</f>
        <v/>
      </c>
      <c r="B76" s="1070"/>
      <c r="C76" s="1077"/>
      <c r="D76" s="1188"/>
      <c r="E76" s="1070" t="str">
        <f>IF(F76="","",(VLOOKUP(F:F,'0.39'!B:F,5,FALSE)))</f>
        <v/>
      </c>
      <c r="F76" s="1080"/>
      <c r="G76" s="1077"/>
      <c r="H76" s="547"/>
      <c r="I76" s="1070" t="str">
        <f>IF(J76="","",(VLOOKUP(J:J,'0.39'!B:F,5,FALSE)))</f>
        <v/>
      </c>
      <c r="J76" s="1079"/>
      <c r="K76" s="1078"/>
      <c r="L76" s="1392"/>
    </row>
    <row r="77" spans="1:15" ht="20.25" thickBot="1">
      <c r="A77" s="1190" t="s">
        <v>204</v>
      </c>
      <c r="B77" s="1191"/>
      <c r="C77" s="1191">
        <v>60</v>
      </c>
      <c r="D77" s="1191"/>
      <c r="E77" s="1070" t="str">
        <f>IF(F77="","",(VLOOKUP(F:F,'0.39'!B:F,5,FALSE)))</f>
        <v/>
      </c>
      <c r="F77" s="1080"/>
      <c r="G77" s="1077"/>
      <c r="H77" s="547"/>
      <c r="I77" s="1070" t="str">
        <f>IF(J77="","",(VLOOKUP(J:J,'0.39'!B:F,5,FALSE)))</f>
        <v/>
      </c>
      <c r="J77" s="1079"/>
      <c r="K77" s="1078"/>
      <c r="L77" s="1392"/>
    </row>
    <row r="78" spans="1:15" ht="27">
      <c r="A78" s="1480" t="s">
        <v>184</v>
      </c>
      <c r="B78" s="374" t="s">
        <v>278</v>
      </c>
      <c r="C78" s="375"/>
      <c r="D78" s="376"/>
      <c r="E78" s="377"/>
      <c r="F78" s="378"/>
      <c r="G78" s="379"/>
      <c r="H78" s="379"/>
      <c r="I78" s="379"/>
      <c r="J78" s="379" t="s">
        <v>279</v>
      </c>
      <c r="K78" s="375"/>
      <c r="L78" s="380"/>
    </row>
    <row r="79" spans="1:15" ht="46.15" customHeight="1" thickBot="1">
      <c r="A79" s="1481"/>
      <c r="B79" s="381" t="s">
        <v>185</v>
      </c>
      <c r="C79" s="373"/>
      <c r="D79" s="382"/>
      <c r="E79" s="383"/>
      <c r="F79" s="384"/>
      <c r="G79" s="382"/>
      <c r="H79" s="382"/>
      <c r="I79" s="382"/>
      <c r="J79" s="382"/>
      <c r="K79" s="373" t="s">
        <v>319</v>
      </c>
      <c r="L79" s="385"/>
    </row>
    <row r="88" spans="1:12" hidden="1"/>
    <row r="89" spans="1:12" hidden="1"/>
    <row r="90" spans="1:12" hidden="1"/>
    <row r="91" spans="1:12" hidden="1"/>
    <row r="92" spans="1:12" hidden="1"/>
    <row r="93" spans="1:12" ht="22.5" hidden="1">
      <c r="A93" s="806"/>
      <c r="B93" s="350"/>
      <c r="C93" s="941"/>
      <c r="D93" s="807"/>
      <c r="E93" s="621" t="str">
        <f>"▣ Location :"&amp;BASIC_TOOL!B7</f>
        <v>▣ Location :DAMMAM, KSA</v>
      </c>
      <c r="F93" s="368"/>
      <c r="G93" s="938"/>
      <c r="H93" s="368" t="str">
        <f>"▣ Date : "</f>
        <v xml:space="preserve">▣ Date : </v>
      </c>
      <c r="I93" s="368"/>
      <c r="J93" s="369">
        <f ca="1">BASIC_TOOL!D5</f>
        <v>45228</v>
      </c>
      <c r="K93" s="938"/>
      <c r="L93" s="370"/>
    </row>
    <row r="94" spans="1:12" ht="23.25" hidden="1" thickBot="1">
      <c r="A94" s="808"/>
      <c r="B94" s="809"/>
      <c r="C94" s="943"/>
      <c r="D94" s="810"/>
      <c r="E94" s="638" t="str">
        <f>"▣ Company : "&amp;BASIC_TOOL!D6&amp;"                        "</f>
        <v xml:space="preserve">▣ Company : ABC                        </v>
      </c>
      <c r="F94" s="622"/>
      <c r="G94" s="939"/>
      <c r="H94" s="622" t="str">
        <f>"▣ Project Name :"&amp;BASIC_TOOL!B6</f>
        <v>▣ Project Name :A Project</v>
      </c>
      <c r="I94" s="622"/>
      <c r="J94" s="622"/>
      <c r="K94" s="939"/>
      <c r="L94" s="623"/>
    </row>
    <row r="95" spans="1:12" ht="25.5" hidden="1">
      <c r="A95" s="367" t="str">
        <f>"▣ Order No :  "&amp;BASIC_TOOL!B5</f>
        <v>▣ Order No :  NT0606-01</v>
      </c>
      <c r="B95" s="225"/>
      <c r="C95" s="639"/>
      <c r="D95" s="115"/>
      <c r="E95" s="276"/>
      <c r="F95" s="640"/>
      <c r="G95" s="641"/>
      <c r="H95" s="641"/>
      <c r="I95" s="642"/>
      <c r="J95" s="643"/>
      <c r="K95" s="644"/>
      <c r="L95" s="352"/>
    </row>
    <row r="96" spans="1:12" ht="25.5" hidden="1">
      <c r="A96" s="367" t="str">
        <f>"▣ Size : "&amp;W_O&amp;"mW x ("&amp;L1_O&amp;IF(L2_O&gt;0,"+"&amp;L2_O,"")&amp;IF(L3_O&gt;0,"+"&amp;L3_O,"")&amp;IF(L4_O&gt;0,"+"&amp;L4_O,"")&amp;")mL x"&amp;H_O&amp;"mH ="&amp;BASIC_TOOL!H11&amp;" [TON]/ 1[SET]"</f>
        <v>▣ Size : 10mW x (5)mL x3mH =150 [TON]/ 1[SET]</v>
      </c>
      <c r="B96" s="222"/>
      <c r="C96" s="645"/>
      <c r="D96" s="646"/>
      <c r="E96" s="217"/>
      <c r="F96" s="366" t="str">
        <f>"▣ Panel: "&amp;BASIC_TOOL!C14&amp;"/ Panel Composition:"&amp;IF(BASIC_TOOL!D15=1,"use Side Panel(only 1x1m)","use side panel (1x2m,1x1.5m)")</f>
        <v>▣ Panel: Non-Insulated/ Panel Composition:use side panel (1x2m,1x1.5m)</v>
      </c>
      <c r="G96" s="647"/>
      <c r="H96" s="647"/>
      <c r="I96" s="351"/>
      <c r="J96" s="648"/>
      <c r="K96" s="649"/>
      <c r="L96" s="356"/>
    </row>
    <row r="97" spans="1:32" ht="25.5" hidden="1">
      <c r="A97" s="367" t="str">
        <f>"▣ Reinforcement:  "&amp;BASIC_TOOL!B22&amp;"       /    "&amp;BASIC_TOOL!B14</f>
        <v>▣ Reinforcement:  Internal       /    MNT</v>
      </c>
      <c r="B97" s="114"/>
      <c r="C97" s="645"/>
      <c r="D97" s="646"/>
      <c r="E97" s="217"/>
      <c r="F97" s="650" t="str">
        <f>"▣ Bolts and Nuts : "&amp;BASIC_TOOL!F22</f>
        <v>▣ Bolts and Nuts : EXT:HDG+INT:SS316</v>
      </c>
      <c r="G97" s="647"/>
      <c r="H97" s="647"/>
      <c r="I97" s="651"/>
      <c r="J97" s="351"/>
      <c r="K97" s="649"/>
      <c r="L97" s="357"/>
    </row>
    <row r="98" spans="1:32" ht="25.5" hidden="1">
      <c r="A98" s="367" t="str">
        <f>"▣ Steel Skid:"&amp;BASIC_TOOL!D22&amp;"     ▣ External Accessories : HDG  "&amp;"                     ▣ Internal Accessories : "&amp;BASIC_TOOL!E22</f>
        <v>▣ Steel Skid:Default     ▣ External Accessories : HDG                       ▣ Internal Accessories : SS316</v>
      </c>
      <c r="B98" s="114"/>
      <c r="C98" s="645"/>
      <c r="D98" s="217"/>
      <c r="E98" s="217"/>
      <c r="F98" s="652"/>
      <c r="G98" s="647"/>
      <c r="H98" s="647"/>
      <c r="I98" s="651"/>
      <c r="J98" s="351"/>
      <c r="K98" s="649"/>
      <c r="L98" s="357"/>
    </row>
    <row r="99" spans="1:32" ht="22.5" hidden="1">
      <c r="A99" s="359"/>
      <c r="B99" s="653"/>
      <c r="C99" s="936"/>
      <c r="D99" s="654"/>
      <c r="E99" s="360"/>
      <c r="F99" s="654"/>
      <c r="G99" s="653"/>
      <c r="H99" s="653"/>
      <c r="I99" s="654"/>
      <c r="J99" s="654"/>
      <c r="K99" s="653"/>
      <c r="L99" s="361"/>
    </row>
    <row r="100" spans="1:32" ht="22.5" hidden="1">
      <c r="A100" s="359"/>
      <c r="B100" s="653"/>
      <c r="C100" s="936"/>
      <c r="D100" s="654"/>
      <c r="E100" s="654"/>
      <c r="F100" s="654"/>
      <c r="G100" s="653"/>
      <c r="H100" s="653"/>
      <c r="I100" s="654"/>
      <c r="J100" s="654"/>
      <c r="K100" s="653"/>
      <c r="L100" s="361"/>
    </row>
    <row r="101" spans="1:32" hidden="1"/>
    <row r="102" spans="1:32" hidden="1"/>
    <row r="103" spans="1:32" ht="22.5" hidden="1">
      <c r="A103" s="1469" t="s">
        <v>183</v>
      </c>
      <c r="B103" s="1469"/>
      <c r="C103" s="1469"/>
      <c r="D103" s="1469"/>
      <c r="E103" s="1469" t="s">
        <v>182</v>
      </c>
      <c r="F103" s="1469"/>
      <c r="G103" s="1469"/>
      <c r="H103" s="1469"/>
      <c r="I103" s="1469" t="s">
        <v>175</v>
      </c>
      <c r="J103" s="1469"/>
      <c r="K103" s="1469"/>
      <c r="L103" s="1469"/>
      <c r="M103" s="795" t="s">
        <v>296</v>
      </c>
      <c r="N103" s="795"/>
      <c r="O103" s="795"/>
      <c r="P103" s="795"/>
      <c r="Q103" s="1466" t="s">
        <v>181</v>
      </c>
      <c r="R103" s="1467"/>
      <c r="S103" s="1467"/>
      <c r="T103" s="1468"/>
      <c r="U103" s="1469" t="s">
        <v>179</v>
      </c>
      <c r="V103" s="1469"/>
      <c r="W103" s="1469"/>
      <c r="X103" s="1469"/>
      <c r="Y103" s="1466" t="s">
        <v>180</v>
      </c>
      <c r="Z103" s="1467"/>
      <c r="AA103" s="1467"/>
      <c r="AB103" s="1468"/>
      <c r="AC103" s="795" t="s">
        <v>240</v>
      </c>
      <c r="AD103" s="795"/>
      <c r="AE103" s="795"/>
      <c r="AF103" s="795"/>
    </row>
    <row r="104" spans="1:32" ht="26.25" hidden="1">
      <c r="A104" s="795" t="s">
        <v>176</v>
      </c>
      <c r="B104" s="796" t="s">
        <v>177</v>
      </c>
      <c r="C104" s="797" t="s">
        <v>168</v>
      </c>
      <c r="D104" s="798" t="s">
        <v>422</v>
      </c>
      <c r="E104" s="795" t="s">
        <v>176</v>
      </c>
      <c r="F104" s="796" t="s">
        <v>177</v>
      </c>
      <c r="G104" s="797" t="s">
        <v>168</v>
      </c>
      <c r="H104" s="798" t="s">
        <v>422</v>
      </c>
      <c r="I104" s="795" t="s">
        <v>176</v>
      </c>
      <c r="J104" s="796" t="s">
        <v>177</v>
      </c>
      <c r="K104" s="797" t="s">
        <v>178</v>
      </c>
      <c r="L104" s="798" t="s">
        <v>422</v>
      </c>
      <c r="M104" s="795" t="s">
        <v>176</v>
      </c>
      <c r="N104" s="796" t="s">
        <v>177</v>
      </c>
      <c r="O104" s="797" t="s">
        <v>178</v>
      </c>
      <c r="P104" s="798" t="s">
        <v>422</v>
      </c>
      <c r="Q104" s="795" t="s">
        <v>176</v>
      </c>
      <c r="R104" s="796" t="s">
        <v>177</v>
      </c>
      <c r="S104" s="797" t="s">
        <v>178</v>
      </c>
      <c r="T104" s="798" t="s">
        <v>422</v>
      </c>
      <c r="U104" s="795" t="s">
        <v>176</v>
      </c>
      <c r="V104" s="796" t="s">
        <v>177</v>
      </c>
      <c r="W104" s="797" t="s">
        <v>178</v>
      </c>
      <c r="X104" s="798" t="s">
        <v>422</v>
      </c>
      <c r="Y104" s="795" t="s">
        <v>176</v>
      </c>
      <c r="Z104" s="796" t="s">
        <v>177</v>
      </c>
      <c r="AA104" s="797" t="s">
        <v>178</v>
      </c>
      <c r="AB104" s="798" t="s">
        <v>422</v>
      </c>
      <c r="AC104" s="795" t="s">
        <v>176</v>
      </c>
      <c r="AD104" s="796" t="s">
        <v>177</v>
      </c>
      <c r="AE104" s="797" t="s">
        <v>178</v>
      </c>
      <c r="AF104" s="798" t="s">
        <v>422</v>
      </c>
    </row>
    <row r="105" spans="1:32" ht="19.5" hidden="1">
      <c r="A105" s="402" t="str">
        <f>IFERROR(          IF(BASIC_TOOL!$B$15=1,Panel2!A5,""),"")</f>
        <v>Manhole</v>
      </c>
      <c r="B105" s="402" t="str">
        <f>IFERROR(          IF(BASIC_TOOL!$B$15=1,Panel2!B5,""),"")</f>
        <v>MF00M</v>
      </c>
      <c r="C105" s="402">
        <f>IFERROR(          IF(BASIC_TOOL!$B$15=1,Panel2!C5,""),)</f>
        <v>1</v>
      </c>
      <c r="D105" s="1188">
        <v>1</v>
      </c>
      <c r="E105" s="546" t="str">
        <f>Steel_Skid!A8</f>
        <v>Steel Skid Connetor</v>
      </c>
      <c r="F105" s="546" t="str">
        <f>Steel_Skid!B8</f>
        <v>WBR-0120Z</v>
      </c>
      <c r="G105" s="547">
        <f>Steel_Skid!C8</f>
        <v>22</v>
      </c>
      <c r="H105" s="547">
        <v>1</v>
      </c>
      <c r="I105" s="546" t="str">
        <f>IFERROR(BoltnNuts!A5,"")</f>
        <v>HDG  Bolt and Nuts Set</v>
      </c>
      <c r="J105" s="546" t="str">
        <f>IFERROR(BoltnNuts!B5,"")</f>
        <v>WBT-1440Z</v>
      </c>
      <c r="K105" s="937">
        <f>IFERROR(BoltnNuts!C5,"")</f>
        <v>223</v>
      </c>
      <c r="L105" s="547">
        <v>1</v>
      </c>
      <c r="M105" s="801" t="str">
        <f>IFERROR(External_Reinforcing!A8,"")</f>
        <v>F/L Reinforcing plate</v>
      </c>
      <c r="N105" s="802" t="str">
        <f>IFERROR(External_Reinforcing!B8,"")</f>
        <v>WFB-0950ZP</v>
      </c>
      <c r="O105" s="801">
        <f>IFERROR(External_Reinforcing!C8,"")</f>
        <v>64</v>
      </c>
      <c r="P105" s="547">
        <v>1</v>
      </c>
      <c r="Q105" s="801" t="str">
        <f>IFERROR(Internal_Reinforcing!A8,"")</f>
        <v>IN-BRKT(2 tierod)_SS316</v>
      </c>
      <c r="R105" s="802" t="str">
        <f>IFERROR(Internal_Reinforcing!B8,"")</f>
        <v>WCP-17160SA4</v>
      </c>
      <c r="S105" s="801">
        <f>IFERROR(Internal_Reinforcing!C8,"")</f>
        <v>26</v>
      </c>
      <c r="T105" s="547">
        <v>1</v>
      </c>
      <c r="U105" s="546" t="str">
        <f>IFERROR(Internal_Tie_rod1!A8,"")</f>
        <v xml:space="preserve">SS316 Tie-Rod </v>
      </c>
      <c r="V105" s="546" t="str">
        <f>IFERROR(Internal_Tie_rod1!B8,"")</f>
        <v>TR-12M1880SA4</v>
      </c>
      <c r="W105" s="546">
        <f>IFERROR(Internal_Tie_rod1!C8,"")</f>
        <v>12</v>
      </c>
      <c r="X105" s="547">
        <v>1</v>
      </c>
      <c r="Y105" s="799" t="str">
        <f>IFERROR(ETC!A1,"")</f>
        <v xml:space="preserve">Air Vent </v>
      </c>
      <c r="Z105" s="799" t="str">
        <f>IFERROR(ETC!B1,"")</f>
        <v>WAV-0100A</v>
      </c>
      <c r="AA105" s="800">
        <f>IFERROR(ETC!C1,"")</f>
        <v>2</v>
      </c>
      <c r="AB105" s="1392">
        <v>1</v>
      </c>
      <c r="AC105" s="801" t="str">
        <f>IFERROR(Fittings!A1,"")</f>
        <v/>
      </c>
      <c r="AD105" s="801" t="str">
        <f>IFERROR(Fittings!B1,"")</f>
        <v/>
      </c>
      <c r="AE105" s="803" t="str">
        <f>IFERROR(Fittings!C1,"")</f>
        <v/>
      </c>
      <c r="AF105" s="1392">
        <v>1</v>
      </c>
    </row>
    <row r="106" spans="1:32" ht="19.5" hidden="1">
      <c r="A106" s="402" t="str">
        <f>IFERROR(          IF(BASIC_TOOL!$B$15=1,Panel2!A6,""),"")</f>
        <v>Roof</v>
      </c>
      <c r="B106" s="402" t="str">
        <f>IFERROR(          IF(BASIC_TOOL!$B$15=1,Panel2!B6,""),"")</f>
        <v>RF00M</v>
      </c>
      <c r="C106" s="402">
        <f>IFERROR(          IF(BASIC_TOOL!$B$15=1,Panel2!C6,""),)</f>
        <v>49</v>
      </c>
      <c r="D106" s="1188">
        <v>2</v>
      </c>
      <c r="E106" s="546" t="str">
        <f>Steel_Skid!A9</f>
        <v>Steel Skid Connetor</v>
      </c>
      <c r="F106" s="546" t="str">
        <f>Steel_Skid!B9</f>
        <v>WBR-21590Z</v>
      </c>
      <c r="G106" s="547">
        <f>Steel_Skid!C9</f>
        <v>8</v>
      </c>
      <c r="H106" s="547">
        <v>2</v>
      </c>
      <c r="I106" s="546" t="str">
        <f>IFERROR(BoltnNuts!A6,"")</f>
        <v>M10x35mm(HDG)</v>
      </c>
      <c r="J106" s="546" t="str">
        <f>IFERROR(BoltnNuts!B6,"")</f>
        <v>WBT-1035Z</v>
      </c>
      <c r="K106" s="937">
        <f>IFERROR(BoltnNuts!C6,"")</f>
        <v>196</v>
      </c>
      <c r="L106" s="547">
        <v>2</v>
      </c>
      <c r="M106" s="801" t="str">
        <f>IFERROR(External_Reinforcing!A9,"")</f>
        <v>F/L Reinforcing Angle</v>
      </c>
      <c r="N106" s="802" t="str">
        <f>IFERROR(External_Reinforcing!B9,"")</f>
        <v>WFB-0950Z</v>
      </c>
      <c r="O106" s="801">
        <f>IFERROR(External_Reinforcing!C9,"")</f>
        <v>56</v>
      </c>
      <c r="P106" s="547">
        <v>2</v>
      </c>
      <c r="Q106" s="801" t="str">
        <f>IFERROR(Internal_Reinforcing!A9,"")</f>
        <v>IN-BRKT(1 tierod)_SS316</v>
      </c>
      <c r="R106" s="802" t="str">
        <f>IFERROR(Internal_Reinforcing!B9,"")</f>
        <v>WCP-1760SA4</v>
      </c>
      <c r="S106" s="801">
        <f>IFERROR(Internal_Reinforcing!C9,"")</f>
        <v>26</v>
      </c>
      <c r="T106" s="547">
        <v>2</v>
      </c>
      <c r="U106" s="546" t="str">
        <f>IFERROR(Internal_Tie_rod1!A9,"")</f>
        <v xml:space="preserve">SS316 Tie-Rod </v>
      </c>
      <c r="V106" s="546" t="str">
        <f>IFERROR(Internal_Tie_rod1!B9,"")</f>
        <v>TR-12M4000SA4</v>
      </c>
      <c r="W106" s="546">
        <f>IFERROR(Internal_Tie_rod1!C9,"")</f>
        <v>24</v>
      </c>
      <c r="X106" s="547">
        <v>2</v>
      </c>
      <c r="Y106" s="799" t="str">
        <f>IFERROR(ETC!A2,"")</f>
        <v>Roof Supporter(3.0mH)</v>
      </c>
      <c r="Z106" s="799" t="str">
        <f>IFERROR(ETC!B2,"")</f>
        <v>WRS-3000F</v>
      </c>
      <c r="AA106" s="800">
        <f>IFERROR(ETC!C2,"")</f>
        <v>9</v>
      </c>
      <c r="AB106" s="1392">
        <v>2</v>
      </c>
      <c r="AC106" s="801" t="str">
        <f>IFERROR(Fittings!A2,"")</f>
        <v/>
      </c>
      <c r="AD106" s="801" t="str">
        <f>IFERROR(Fittings!B2,"")</f>
        <v/>
      </c>
      <c r="AE106" s="803" t="str">
        <f>IFERROR(Fittings!C2,"")</f>
        <v/>
      </c>
      <c r="AF106" s="1392">
        <v>2</v>
      </c>
    </row>
    <row r="107" spans="1:32" ht="19.5" hidden="1">
      <c r="A107" s="402" t="str">
        <f>IFERROR(          IF(BASIC_TOOL!$B$15=1,Panel2!A7,""),"")</f>
        <v>Base</v>
      </c>
      <c r="B107" s="402" t="str">
        <f>IFERROR(          IF(BASIC_TOOL!$B$15=1,Panel2!B7,""),"")</f>
        <v>BF30M</v>
      </c>
      <c r="C107" s="402">
        <f>IFERROR(          IF(BASIC_TOOL!$B$15=1,Panel2!C7,""),)</f>
        <v>49</v>
      </c>
      <c r="D107" s="1188">
        <v>3</v>
      </c>
      <c r="E107" s="546" t="str">
        <f>Steel_Skid!A10</f>
        <v>Steel Skid(Main-L)</v>
      </c>
      <c r="F107" s="546" t="str">
        <f>Steel_Skid!B10</f>
        <v>WFF-1990CLZ</v>
      </c>
      <c r="G107" s="547">
        <f>Steel_Skid!C10</f>
        <v>22</v>
      </c>
      <c r="H107" s="547">
        <v>3</v>
      </c>
      <c r="I107" s="546" t="str">
        <f>IFERROR(BoltnNuts!A7,"")</f>
        <v>M10x50mm(HDG)</v>
      </c>
      <c r="J107" s="546" t="str">
        <f>IFERROR(BoltnNuts!B7,"")</f>
        <v>WBT-1050Z</v>
      </c>
      <c r="K107" s="937">
        <f>IFERROR(BoltnNuts!C7,"")</f>
        <v>1784</v>
      </c>
      <c r="L107" s="547">
        <v>3</v>
      </c>
      <c r="M107" s="801" t="str">
        <f>IFERROR(External_Reinforcing!A10,"")</f>
        <v>F/L Reinforcing Angle</v>
      </c>
      <c r="N107" s="802" t="str">
        <f>IFERROR(External_Reinforcing!B10,"")</f>
        <v>WFB-1200Z</v>
      </c>
      <c r="O107" s="801">
        <f>IFERROR(External_Reinforcing!C10,"")</f>
        <v>26</v>
      </c>
      <c r="P107" s="547">
        <v>3</v>
      </c>
      <c r="Q107" s="801" t="str">
        <f>IFERROR(Internal_Reinforcing!A10,"")</f>
        <v>Corner BRKT(SS316)</v>
      </c>
      <c r="R107" s="802" t="str">
        <f>IFERROR(Internal_Reinforcing!B10,"")</f>
        <v>WBR-9090SA4</v>
      </c>
      <c r="S107" s="801">
        <f>IFERROR(Internal_Reinforcing!C10,"")</f>
        <v>4</v>
      </c>
      <c r="T107" s="547">
        <v>3</v>
      </c>
      <c r="U107" s="546" t="str">
        <f>IFERROR(Internal_Tie_rod1!A10,"")</f>
        <v xml:space="preserve">SS316 Tie-Rod </v>
      </c>
      <c r="V107" s="546" t="str">
        <f>IFERROR(Internal_Tie_rod1!B10,"")</f>
        <v>TR-12M4880SA4</v>
      </c>
      <c r="W107" s="546">
        <f>IFERROR(Internal_Tie_rod1!C10,"")</f>
        <v>27</v>
      </c>
      <c r="X107" s="547">
        <v>3</v>
      </c>
      <c r="Y107" s="799" t="str">
        <f>IFERROR(ETC!A3,"")</f>
        <v>Internal Ladder(3.0mH)</v>
      </c>
      <c r="Z107" s="799" t="str">
        <f>IFERROR(ETC!B3,"")</f>
        <v>WLD-3000FI</v>
      </c>
      <c r="AA107" s="800">
        <f>IFERROR(ETC!C3,"")</f>
        <v>1</v>
      </c>
      <c r="AB107" s="1392">
        <v>3</v>
      </c>
      <c r="AC107" s="801" t="str">
        <f>IFERROR(Fittings!A3,"")</f>
        <v/>
      </c>
      <c r="AD107" s="801" t="str">
        <f>IFERROR(Fittings!B3,"")</f>
        <v/>
      </c>
      <c r="AE107" s="803" t="str">
        <f>IFERROR(Fittings!C3,"")</f>
        <v/>
      </c>
      <c r="AF107" s="1392">
        <v>3</v>
      </c>
    </row>
    <row r="108" spans="1:32" ht="19.5" hidden="1">
      <c r="A108" s="402" t="str">
        <f>IFERROR(          IF(BASIC_TOOL!$B$15=1,Panel2!A8,""),"")</f>
        <v>Drain</v>
      </c>
      <c r="B108" s="402" t="str">
        <f>IFERROR(          IF(BASIC_TOOL!$B$15=1,Panel2!B8,""),"")</f>
        <v>DN30M</v>
      </c>
      <c r="C108" s="402">
        <f>IFERROR(          IF(BASIC_TOOL!$B$15=1,Panel2!C8,""),)</f>
        <v>1</v>
      </c>
      <c r="D108" s="1188">
        <v>4</v>
      </c>
      <c r="E108" s="546" t="str">
        <f>Steel_Skid!A11</f>
        <v>Steel Skid(Main-L)</v>
      </c>
      <c r="F108" s="546" t="str">
        <f>Steel_Skid!B11</f>
        <v>WFF-0990CLZ</v>
      </c>
      <c r="G108" s="547">
        <f>Steel_Skid!C11</f>
        <v>11</v>
      </c>
      <c r="H108" s="547">
        <v>4</v>
      </c>
      <c r="I108" s="546" t="str">
        <f>IFERROR(BoltnNuts!A8,"")</f>
        <v>M10x35mm(SS316)</v>
      </c>
      <c r="J108" s="546" t="str">
        <f>IFERROR(BoltnNuts!B8,"")</f>
        <v>WBT-1035SA4</v>
      </c>
      <c r="K108" s="937">
        <f>IFERROR(BoltnNuts!C8,"")</f>
        <v>340</v>
      </c>
      <c r="L108" s="547">
        <v>4</v>
      </c>
      <c r="M108" s="801" t="str">
        <f>IFERROR(External_Reinforcing!A11,"")</f>
        <v>Corner Frame</v>
      </c>
      <c r="N108" s="802" t="str">
        <f>IFERROR(External_Reinforcing!B11,"")</f>
        <v>WCF-1000Z</v>
      </c>
      <c r="O108" s="801">
        <f>IFERROR(External_Reinforcing!C11,"")</f>
        <v>4</v>
      </c>
      <c r="P108" s="547">
        <v>4</v>
      </c>
      <c r="Q108" s="801" t="str">
        <f>IFERROR(Internal_Reinforcing!A11,"")</f>
        <v/>
      </c>
      <c r="R108" s="802" t="str">
        <f>IFERROR(Internal_Reinforcing!B11,"")</f>
        <v/>
      </c>
      <c r="S108" s="801" t="str">
        <f>IFERROR(Internal_Reinforcing!C11,"")</f>
        <v/>
      </c>
      <c r="T108" s="547">
        <v>4</v>
      </c>
      <c r="U108" s="546" t="str">
        <f>IFERROR(Internal_Tie_rod1!A11,"")</f>
        <v>SS316 T/Rod Nut</v>
      </c>
      <c r="V108" s="546" t="str">
        <f>IFERROR(Internal_Tie_rod1!B11,"")</f>
        <v>M12 NUT(SA4)</v>
      </c>
      <c r="W108" s="546">
        <f>IFERROR(Internal_Tie_rod1!C11,"")</f>
        <v>156</v>
      </c>
      <c r="X108" s="547">
        <v>4</v>
      </c>
      <c r="Y108" s="799" t="str">
        <f>IFERROR(ETC!A4,"")</f>
        <v>EX-Ladder(3mH)</v>
      </c>
      <c r="Z108" s="799" t="str">
        <f>IFERROR(ETC!B4,"")</f>
        <v>WLD-3000ZO</v>
      </c>
      <c r="AA108" s="800">
        <f>IFERROR(ETC!C4,"")</f>
        <v>1</v>
      </c>
      <c r="AB108" s="1392">
        <v>4</v>
      </c>
      <c r="AC108" s="801" t="str">
        <f>IFERROR(Fittings!A4,"")</f>
        <v/>
      </c>
      <c r="AD108" s="801" t="str">
        <f>IFERROR(Fittings!B4,"")</f>
        <v/>
      </c>
      <c r="AE108" s="803" t="str">
        <f>IFERROR(Fittings!C4,"")</f>
        <v/>
      </c>
      <c r="AF108" s="1392">
        <v>4</v>
      </c>
    </row>
    <row r="109" spans="1:32" ht="19.5" hidden="1">
      <c r="A109" s="402" t="str">
        <f>IFERROR(          IF(BASIC_TOOL!$B$15=1,Panel2!A9,""),"")</f>
        <v>Side20</v>
      </c>
      <c r="B109" s="402" t="str">
        <f>IFERROR(          IF(BASIC_TOOL!$B$15=1,Panel2!B9,""),"")</f>
        <v>SL20T</v>
      </c>
      <c r="C109" s="402">
        <f>IFERROR(          IF(BASIC_TOOL!$B$15=1,Panel2!C9,""),)</f>
        <v>30</v>
      </c>
      <c r="D109" s="1188">
        <v>5</v>
      </c>
      <c r="E109" s="546" t="str">
        <f>Steel_Skid!A12</f>
        <v>Steel Skid(Main-L)</v>
      </c>
      <c r="F109" s="546" t="str">
        <f>Steel_Skid!B12</f>
        <v>WFF-2060CSZR</v>
      </c>
      <c r="G109" s="547">
        <f>Steel_Skid!C12</f>
        <v>2</v>
      </c>
      <c r="H109" s="547">
        <v>5</v>
      </c>
      <c r="I109" s="546" t="str">
        <f>IFERROR(BoltnNuts!A9,"")</f>
        <v>M10x50mm(SS316)</v>
      </c>
      <c r="J109" s="546" t="str">
        <f>IFERROR(BoltnNuts!B9,"")</f>
        <v>WBT-1050SA4</v>
      </c>
      <c r="K109" s="937">
        <f>IFERROR(BoltnNuts!C9,"")</f>
        <v>120</v>
      </c>
      <c r="L109" s="547">
        <v>5</v>
      </c>
      <c r="M109" s="801" t="str">
        <f>IFERROR(External_Reinforcing!A12,"")</f>
        <v>Corner Frame</v>
      </c>
      <c r="N109" s="802" t="str">
        <f>IFERROR(External_Reinforcing!B12,"")</f>
        <v>WCF-2000Z</v>
      </c>
      <c r="O109" s="801">
        <f>IFERROR(External_Reinforcing!C12,"")</f>
        <v>4</v>
      </c>
      <c r="P109" s="547">
        <v>5</v>
      </c>
      <c r="Q109" s="801" t="str">
        <f>IFERROR(Internal_Reinforcing!A12,"")</f>
        <v/>
      </c>
      <c r="R109" s="802" t="str">
        <f>IFERROR(Internal_Reinforcing!B12,"")</f>
        <v/>
      </c>
      <c r="S109" s="801" t="str">
        <f>IFERROR(Internal_Reinforcing!C12,"")</f>
        <v/>
      </c>
      <c r="T109" s="547">
        <v>5</v>
      </c>
      <c r="U109" s="546" t="str">
        <f>IFERROR(Internal_Tie_rod1!A12,"")</f>
        <v xml:space="preserve">SS316 T/Rod Washer </v>
      </c>
      <c r="V109" s="546" t="str">
        <f>IFERROR(Internal_Tie_rod1!B12,"")</f>
        <v>M12 BW(SA4)</v>
      </c>
      <c r="W109" s="546">
        <f>IFERROR(Internal_Tie_rod1!C12,"")</f>
        <v>156</v>
      </c>
      <c r="X109" s="547">
        <v>5</v>
      </c>
      <c r="Y109" s="799" t="str">
        <f>IFERROR(ETC!A5,"")</f>
        <v>Silicon</v>
      </c>
      <c r="Z109" s="799" t="str">
        <f>IFERROR(ETC!B5,"")</f>
        <v>Silicon</v>
      </c>
      <c r="AA109" s="800">
        <f>IFERROR(ETC!C5,"")</f>
        <v>5</v>
      </c>
      <c r="AB109" s="1392">
        <v>5</v>
      </c>
      <c r="AC109" s="801" t="str">
        <f>IFERROR(Fittings!A5,"")</f>
        <v/>
      </c>
      <c r="AD109" s="801" t="str">
        <f>IFERROR(Fittings!B5,"")</f>
        <v/>
      </c>
      <c r="AE109" s="803" t="str">
        <f>IFERROR(Fittings!C5,"")</f>
        <v/>
      </c>
      <c r="AF109" s="1392">
        <v>5</v>
      </c>
    </row>
    <row r="110" spans="1:32" ht="19.5" hidden="1">
      <c r="A110" s="402" t="str">
        <f>IFERROR(          IF(BASIC_TOOL!$B$15=1,Panel2!A10,""),"")</f>
        <v>Side</v>
      </c>
      <c r="B110" s="402" t="str">
        <f>IFERROR(          IF(BASIC_TOOL!$B$15=1,Panel2!B10,""),"")</f>
        <v>SF30L</v>
      </c>
      <c r="C110" s="402">
        <f>IFERROR(          IF(BASIC_TOOL!$B$15=1,Panel2!C10,""),)</f>
        <v>30</v>
      </c>
      <c r="D110" s="1188">
        <v>6</v>
      </c>
      <c r="E110" s="546" t="str">
        <f>Steel_Skid!A13</f>
        <v>Steel Skid(Main-L)</v>
      </c>
      <c r="F110" s="546" t="str">
        <f>Steel_Skid!B13</f>
        <v>WFF-2060CSZL</v>
      </c>
      <c r="G110" s="547">
        <f>Steel_Skid!C13</f>
        <v>2</v>
      </c>
      <c r="H110" s="547">
        <v>6</v>
      </c>
      <c r="I110" s="546" t="str">
        <f>IFERROR(BoltnNuts!A10,"")</f>
        <v>M12x40mm(HDG)</v>
      </c>
      <c r="J110" s="546" t="str">
        <f>IFERROR(BoltnNuts!B10,"")</f>
        <v>WBT-1240Z</v>
      </c>
      <c r="K110" s="937">
        <f>IFERROR(BoltnNuts!C10,"")</f>
        <v>60</v>
      </c>
      <c r="L110" s="547">
        <v>6</v>
      </c>
      <c r="M110" s="801" t="str">
        <f>IFERROR(External_Reinforcing!A13,"")</f>
        <v>Cross Plate BKT(2 Hole)</v>
      </c>
      <c r="N110" s="802" t="str">
        <f>IFERROR(External_Reinforcing!B13,"")</f>
        <v>WCP-1780Z</v>
      </c>
      <c r="O110" s="801">
        <f>IFERROR(External_Reinforcing!C13,"")</f>
        <v>34</v>
      </c>
      <c r="P110" s="547">
        <v>6</v>
      </c>
      <c r="Q110" s="801" t="str">
        <f>IFERROR(Internal_Reinforcing!A13,"")</f>
        <v/>
      </c>
      <c r="R110" s="802" t="str">
        <f>IFERROR(Internal_Reinforcing!B13,"")</f>
        <v/>
      </c>
      <c r="S110" s="801" t="str">
        <f>IFERROR(Internal_Reinforcing!C13,"")</f>
        <v/>
      </c>
      <c r="T110" s="547">
        <v>6</v>
      </c>
      <c r="U110" s="546" t="str">
        <f>IFERROR(Internal_Tie_rod1!A13,"")</f>
        <v>STS316 Tie-Rod Connector</v>
      </c>
      <c r="V110" s="546" t="str">
        <f>IFERROR(Internal_Tie_rod1!B13,"")</f>
        <v>TC-12M60SA4</v>
      </c>
      <c r="W110" s="546">
        <f>IFERROR(Internal_Tie_rod1!C13,"")</f>
        <v>24</v>
      </c>
      <c r="X110" s="547">
        <v>6</v>
      </c>
      <c r="Y110" s="799" t="str">
        <f>IFERROR(ETC!A6,"")</f>
        <v>Level Indicator</v>
      </c>
      <c r="Z110" s="799" t="str">
        <f>IFERROR(ETC!B6,"")</f>
        <v>WLV-3000SET(G)</v>
      </c>
      <c r="AA110" s="800">
        <f>IFERROR(ETC!C6,"")</f>
        <v>1</v>
      </c>
      <c r="AB110" s="1392">
        <v>6</v>
      </c>
      <c r="AC110" s="801" t="str">
        <f>IFERROR(Fittings!A6,"")</f>
        <v/>
      </c>
      <c r="AD110" s="801" t="str">
        <f>IFERROR(Fittings!B6,"")</f>
        <v/>
      </c>
      <c r="AE110" s="803" t="str">
        <f>IFERROR(Fittings!C6,"")</f>
        <v/>
      </c>
      <c r="AF110" s="1392">
        <v>6</v>
      </c>
    </row>
    <row r="111" spans="1:32" ht="19.5" hidden="1">
      <c r="A111" s="402" t="str">
        <f>IFERROR(          IF(BASIC_TOOL!$B$15=1,Panel2!A11,""),"")</f>
        <v/>
      </c>
      <c r="B111" s="402" t="str">
        <f>IFERROR(          IF(BASIC_TOOL!$B$15=1,Panel2!B11,""),"")</f>
        <v/>
      </c>
      <c r="C111" s="402" t="str">
        <f>IFERROR(          IF(BASIC_TOOL!$B$15=1,Panel2!C11,""),)</f>
        <v/>
      </c>
      <c r="D111" s="1188">
        <v>7</v>
      </c>
      <c r="E111" s="546" t="str">
        <f>Steel_Skid!A14</f>
        <v>Steel Skid(Main-W)</v>
      </c>
      <c r="F111" s="546" t="str">
        <f>Steel_Skid!B14</f>
        <v>WFF-2000CSZ</v>
      </c>
      <c r="G111" s="547">
        <f>Steel_Skid!C14</f>
        <v>6</v>
      </c>
      <c r="H111" s="547">
        <v>7</v>
      </c>
      <c r="I111" s="546" t="str">
        <f>IFERROR(BoltnNuts!A11,"")</f>
        <v>M14x120mm(Rubber HDG)</v>
      </c>
      <c r="J111" s="546" t="str">
        <f>IFERROR(BoltnNuts!B11,"")</f>
        <v>WBT-14120RD</v>
      </c>
      <c r="K111" s="937">
        <f>IFERROR(BoltnNuts!C11,"")</f>
        <v>172</v>
      </c>
      <c r="L111" s="547">
        <v>7</v>
      </c>
      <c r="M111" s="801" t="str">
        <f>IFERROR(External_Reinforcing!A14,"")</f>
        <v>Cross Plate BKT(4 Hole)</v>
      </c>
      <c r="N111" s="802" t="str">
        <f>IFERROR(External_Reinforcing!B14,"")</f>
        <v>WCP-1616Z</v>
      </c>
      <c r="O111" s="801">
        <f>IFERROR(External_Reinforcing!C14,"")</f>
        <v>26</v>
      </c>
      <c r="P111" s="547">
        <v>7</v>
      </c>
      <c r="Q111" s="801" t="str">
        <f>IFERROR(Internal_Reinforcing!A14,"")</f>
        <v/>
      </c>
      <c r="R111" s="802" t="str">
        <f>IFERROR(Internal_Reinforcing!B14,"")</f>
        <v/>
      </c>
      <c r="S111" s="801" t="str">
        <f>IFERROR(Internal_Reinforcing!C14,"")</f>
        <v/>
      </c>
      <c r="T111" s="547">
        <v>7</v>
      </c>
      <c r="U111" s="546" t="str">
        <f>IFERROR(Internal_Tie_rod1!A14,"")</f>
        <v/>
      </c>
      <c r="V111" s="546" t="str">
        <f>IFERROR(Internal_Tie_rod1!B14,"")</f>
        <v/>
      </c>
      <c r="W111" s="546" t="str">
        <f>IFERROR(Internal_Tie_rod1!C14,"")</f>
        <v/>
      </c>
      <c r="X111" s="547">
        <v>7</v>
      </c>
      <c r="Y111" s="799" t="str">
        <f>IFERROR(ETC!A7,"")</f>
        <v>Sealing Tape</v>
      </c>
      <c r="Z111" s="799" t="str">
        <f>IFERROR(ETC!B7,"")</f>
        <v>WST-0050RO</v>
      </c>
      <c r="AA111" s="800">
        <f>IFERROR(ETC!C7,"")</f>
        <v>658.48</v>
      </c>
      <c r="AB111" s="1392">
        <v>7</v>
      </c>
      <c r="AC111" s="801" t="str">
        <f>IFERROR(Fittings!A7,"")</f>
        <v/>
      </c>
      <c r="AD111" s="801" t="str">
        <f>IFERROR(Fittings!B7,"")</f>
        <v/>
      </c>
      <c r="AE111" s="803" t="str">
        <f>IFERROR(Fittings!C7,"")</f>
        <v/>
      </c>
      <c r="AF111" s="1392">
        <v>7</v>
      </c>
    </row>
    <row r="112" spans="1:32" ht="19.5" hidden="1">
      <c r="A112" s="402" t="str">
        <f>IFERROR(          IF(BASIC_TOOL!$B$15=1,Panel2!A12,""),"")</f>
        <v/>
      </c>
      <c r="B112" s="402" t="str">
        <f>IFERROR(          IF(BASIC_TOOL!$B$15=1,Panel2!B12,""),"")</f>
        <v/>
      </c>
      <c r="C112" s="402" t="str">
        <f>IFERROR(          IF(BASIC_TOOL!$B$15=1,Panel2!C12,""),)</f>
        <v/>
      </c>
      <c r="D112" s="1188">
        <v>8</v>
      </c>
      <c r="E112" s="546" t="str">
        <f>Steel_Skid!A15</f>
        <v>Steel Skid(Sub)</v>
      </c>
      <c r="F112" s="546" t="str">
        <f>Steel_Skid!B15</f>
        <v>WFF-0962AMZ</v>
      </c>
      <c r="G112" s="547">
        <f>Steel_Skid!C15</f>
        <v>8</v>
      </c>
      <c r="H112" s="547">
        <v>8</v>
      </c>
      <c r="I112" s="546" t="str">
        <f>IFERROR(BoltnNuts!A12,"")</f>
        <v/>
      </c>
      <c r="J112" s="546" t="str">
        <f>IFERROR(BoltnNuts!B12,"")</f>
        <v/>
      </c>
      <c r="K112" s="937" t="str">
        <f>IFERROR(BoltnNuts!C12,"")</f>
        <v/>
      </c>
      <c r="L112" s="547">
        <v>8</v>
      </c>
      <c r="M112" s="801" t="str">
        <f>IFERROR(External_Reinforcing!A15,"")</f>
        <v/>
      </c>
      <c r="N112" s="802" t="str">
        <f>IFERROR(External_Reinforcing!B15,"")</f>
        <v/>
      </c>
      <c r="O112" s="801" t="str">
        <f>IFERROR(External_Reinforcing!C15,"")</f>
        <v/>
      </c>
      <c r="P112" s="547">
        <v>8</v>
      </c>
      <c r="Q112" s="801" t="str">
        <f>IFERROR(Internal_Reinforcing!A15,"")</f>
        <v/>
      </c>
      <c r="R112" s="802" t="str">
        <f>IFERROR(Internal_Reinforcing!B15,"")</f>
        <v/>
      </c>
      <c r="S112" s="801" t="str">
        <f>IFERROR(Internal_Reinforcing!C15,"")</f>
        <v/>
      </c>
      <c r="T112" s="547">
        <v>8</v>
      </c>
      <c r="U112" s="546" t="str">
        <f>IFERROR(Internal_Tie_rod1!A15,"")</f>
        <v/>
      </c>
      <c r="V112" s="546" t="str">
        <f>IFERROR(Internal_Tie_rod1!B15,"")</f>
        <v/>
      </c>
      <c r="W112" s="546" t="str">
        <f>IFERROR(Internal_Tie_rod1!C15,"")</f>
        <v/>
      </c>
      <c r="X112" s="547">
        <v>8</v>
      </c>
      <c r="Y112" s="799" t="str">
        <f>IFERROR(ETC!A8,"")</f>
        <v>Sealing Tape</v>
      </c>
      <c r="Z112" s="799" t="str">
        <f>IFERROR(ETC!B8,"")</f>
        <v>WST-0120RO</v>
      </c>
      <c r="AA112" s="800">
        <f>IFERROR(ETC!C8,"")</f>
        <v>13</v>
      </c>
      <c r="AB112" s="1392">
        <v>8</v>
      </c>
      <c r="AC112" s="801" t="str">
        <f>IFERROR(Fittings!A8,"")</f>
        <v/>
      </c>
      <c r="AD112" s="801" t="str">
        <f>IFERROR(Fittings!B8,"")</f>
        <v/>
      </c>
      <c r="AE112" s="803" t="str">
        <f>IFERROR(Fittings!C8,"")</f>
        <v/>
      </c>
      <c r="AF112" s="1392">
        <v>8</v>
      </c>
    </row>
    <row r="113" spans="1:32" ht="19.5" hidden="1">
      <c r="A113" s="402" t="str">
        <f>IFERROR(          IF(BASIC_TOOL!$B$15=1,Panel2!A13,""),"")</f>
        <v/>
      </c>
      <c r="B113" s="402" t="str">
        <f>IFERROR(          IF(BASIC_TOOL!$B$15=1,Panel2!B13,""),"")</f>
        <v/>
      </c>
      <c r="C113" s="402" t="str">
        <f>IFERROR(          IF(BASIC_TOOL!$B$15=1,Panel2!C13,""),)</f>
        <v/>
      </c>
      <c r="D113" s="1188">
        <v>9</v>
      </c>
      <c r="E113" s="546" t="str">
        <f>Steel_Skid!A16</f>
        <v>Steel Skid(Sub)</v>
      </c>
      <c r="F113" s="546" t="str">
        <f>Steel_Skid!B16</f>
        <v>WFF-1053AMZ</v>
      </c>
      <c r="G113" s="547">
        <f>Steel_Skid!C16</f>
        <v>4</v>
      </c>
      <c r="H113" s="547">
        <v>9</v>
      </c>
      <c r="I113" s="546" t="str">
        <f>IFERROR(BoltnNuts!A13,"")</f>
        <v/>
      </c>
      <c r="J113" s="546" t="str">
        <f>IFERROR(BoltnNuts!B13,"")</f>
        <v/>
      </c>
      <c r="K113" s="937" t="str">
        <f>IFERROR(BoltnNuts!C13,"")</f>
        <v/>
      </c>
      <c r="L113" s="547">
        <v>9</v>
      </c>
      <c r="M113" s="801" t="str">
        <f>IFERROR(External_Reinforcing!A16,"")</f>
        <v/>
      </c>
      <c r="N113" s="802" t="str">
        <f>IFERROR(External_Reinforcing!B16,"")</f>
        <v/>
      </c>
      <c r="O113" s="801" t="str">
        <f>IFERROR(External_Reinforcing!C16,"")</f>
        <v/>
      </c>
      <c r="P113" s="547">
        <v>9</v>
      </c>
      <c r="Q113" s="801" t="str">
        <f>IFERROR(Internal_Reinforcing!A16,"")</f>
        <v/>
      </c>
      <c r="R113" s="802" t="str">
        <f>IFERROR(Internal_Reinforcing!B16,"")</f>
        <v/>
      </c>
      <c r="S113" s="801" t="str">
        <f>IFERROR(Internal_Reinforcing!C16,"")</f>
        <v/>
      </c>
      <c r="T113" s="547">
        <v>9</v>
      </c>
      <c r="U113" s="546" t="str">
        <f>IFERROR(Internal_Tie_rod1!A16,"")</f>
        <v/>
      </c>
      <c r="V113" s="546" t="str">
        <f>IFERROR(Internal_Tie_rod1!B16,"")</f>
        <v/>
      </c>
      <c r="W113" s="546" t="str">
        <f>IFERROR(Internal_Tie_rod1!C16,"")</f>
        <v/>
      </c>
      <c r="X113" s="547">
        <v>9</v>
      </c>
      <c r="Y113" s="799" t="str">
        <f>IFERROR(ETC!A9,"")</f>
        <v/>
      </c>
      <c r="Z113" s="799" t="str">
        <f>IFERROR(ETC!B9,"")</f>
        <v/>
      </c>
      <c r="AA113" s="800" t="str">
        <f>IFERROR(ETC!C9,"")</f>
        <v/>
      </c>
      <c r="AB113" s="1392">
        <v>9</v>
      </c>
      <c r="AC113" s="801" t="str">
        <f>IFERROR(Fittings!A9,"")</f>
        <v/>
      </c>
      <c r="AD113" s="801" t="str">
        <f>IFERROR(Fittings!B9,"")</f>
        <v/>
      </c>
      <c r="AE113" s="803" t="str">
        <f>IFERROR(Fittings!C9,"")</f>
        <v/>
      </c>
      <c r="AF113" s="1392">
        <v>9</v>
      </c>
    </row>
    <row r="114" spans="1:32" ht="19.5" hidden="1">
      <c r="A114" s="402" t="str">
        <f>IFERROR(          IF(BASIC_TOOL!$B$15=1,Panel2!A14,""),"")</f>
        <v/>
      </c>
      <c r="B114" s="402" t="str">
        <f>IFERROR(          IF(BASIC_TOOL!$B$15=1,Panel2!B14,""),"")</f>
        <v/>
      </c>
      <c r="C114" s="402" t="str">
        <f>IFERROR(          IF(BASIC_TOOL!$B$15=1,Panel2!C14,""),)</f>
        <v/>
      </c>
      <c r="D114" s="1188">
        <v>10</v>
      </c>
      <c r="E114" s="546" t="str">
        <f>Steel_Skid!A17</f>
        <v>Steel Skid(Sub)</v>
      </c>
      <c r="F114" s="546" t="str">
        <f>Steel_Skid!B17</f>
        <v>WFF-0994AMZ</v>
      </c>
      <c r="G114" s="547">
        <f>Steel_Skid!C17</f>
        <v>28</v>
      </c>
      <c r="H114" s="547">
        <v>10</v>
      </c>
      <c r="I114" s="546" t="str">
        <f>IFERROR(BoltnNuts!A14,"")</f>
        <v/>
      </c>
      <c r="J114" s="546" t="str">
        <f>IFERROR(BoltnNuts!B14,"")</f>
        <v/>
      </c>
      <c r="K114" s="937" t="str">
        <f>IFERROR(BoltnNuts!C14,"")</f>
        <v/>
      </c>
      <c r="L114" s="547">
        <v>10</v>
      </c>
      <c r="M114" s="801" t="str">
        <f>IFERROR(External_Reinforcing!A17,"")</f>
        <v/>
      </c>
      <c r="N114" s="802" t="str">
        <f>IFERROR(External_Reinforcing!B17,"")</f>
        <v/>
      </c>
      <c r="O114" s="801" t="str">
        <f>IFERROR(External_Reinforcing!C17,"")</f>
        <v/>
      </c>
      <c r="P114" s="547">
        <v>10</v>
      </c>
      <c r="Q114" s="801" t="str">
        <f>IFERROR(Internal_Reinforcing!A17,"")</f>
        <v/>
      </c>
      <c r="R114" s="802" t="str">
        <f>IFERROR(Internal_Reinforcing!B17,"")</f>
        <v/>
      </c>
      <c r="S114" s="801" t="str">
        <f>IFERROR(Internal_Reinforcing!C17,"")</f>
        <v/>
      </c>
      <c r="T114" s="547">
        <v>10</v>
      </c>
      <c r="U114" s="546" t="str">
        <f>IFERROR(Internal_Tie_rod1!A17,"")</f>
        <v/>
      </c>
      <c r="V114" s="546" t="str">
        <f>IFERROR(Internal_Tie_rod1!B17,"")</f>
        <v/>
      </c>
      <c r="W114" s="546" t="str">
        <f>IFERROR(Internal_Tie_rod1!C17,"")</f>
        <v/>
      </c>
      <c r="X114" s="547">
        <v>10</v>
      </c>
      <c r="Y114" s="799" t="str">
        <f>IFERROR(ETC!A10,"")</f>
        <v/>
      </c>
      <c r="Z114" s="799" t="str">
        <f>IFERROR(ETC!B10,"")</f>
        <v/>
      </c>
      <c r="AA114" s="800" t="str">
        <f>IFERROR(ETC!C10,"")</f>
        <v/>
      </c>
      <c r="AB114" s="1392">
        <v>10</v>
      </c>
      <c r="AC114" s="801" t="str">
        <f>IFERROR(Fittings!A10,"")</f>
        <v/>
      </c>
      <c r="AD114" s="801" t="str">
        <f>IFERROR(Fittings!B10,"")</f>
        <v/>
      </c>
      <c r="AE114" s="803" t="str">
        <f>IFERROR(Fittings!C10,"")</f>
        <v/>
      </c>
      <c r="AF114" s="1392">
        <v>10</v>
      </c>
    </row>
    <row r="115" spans="1:32" ht="19.5" hidden="1">
      <c r="A115" s="402" t="str">
        <f>IFERROR(          IF(BASIC_TOOL!$B$15=1,Panel2!A15,""),"")</f>
        <v/>
      </c>
      <c r="B115" s="402" t="str">
        <f>IFERROR(          IF(BASIC_TOOL!$B$15=1,Panel2!B15,""),"")</f>
        <v/>
      </c>
      <c r="C115" s="402" t="str">
        <f>IFERROR(          IF(BASIC_TOOL!$B$15=1,Panel2!C15,""),)</f>
        <v/>
      </c>
      <c r="D115" s="1188">
        <v>11</v>
      </c>
      <c r="E115" s="546" t="str">
        <f>Steel_Skid!A18</f>
        <v>Liner</v>
      </c>
      <c r="F115" s="546" t="str">
        <f>Steel_Skid!B18</f>
        <v>LNR-3.0T</v>
      </c>
      <c r="G115" s="547">
        <f>Steel_Skid!C18</f>
        <v>304</v>
      </c>
      <c r="H115" s="547">
        <v>11</v>
      </c>
      <c r="I115" s="546" t="str">
        <f>IFERROR(BoltnNuts!A15,"")</f>
        <v/>
      </c>
      <c r="J115" s="546" t="str">
        <f>IFERROR(BoltnNuts!B15,"")</f>
        <v/>
      </c>
      <c r="K115" s="937" t="str">
        <f>IFERROR(BoltnNuts!C15,"")</f>
        <v/>
      </c>
      <c r="L115" s="547">
        <v>11</v>
      </c>
      <c r="M115" s="801" t="str">
        <f>IFERROR(External_Reinforcing!A18,"")</f>
        <v/>
      </c>
      <c r="N115" s="802" t="str">
        <f>IFERROR(External_Reinforcing!B18,"")</f>
        <v/>
      </c>
      <c r="O115" s="801" t="str">
        <f>IFERROR(External_Reinforcing!C18,"")</f>
        <v/>
      </c>
      <c r="P115" s="547">
        <v>11</v>
      </c>
      <c r="Q115" s="801" t="str">
        <f>IFERROR(Internal_Reinforcing!A18,"")</f>
        <v/>
      </c>
      <c r="R115" s="802" t="str">
        <f>IFERROR(Internal_Reinforcing!B18,"")</f>
        <v/>
      </c>
      <c r="S115" s="801" t="str">
        <f>IFERROR(Internal_Reinforcing!C18,"")</f>
        <v/>
      </c>
      <c r="T115" s="547">
        <v>11</v>
      </c>
      <c r="U115" s="546" t="str">
        <f>IFERROR(Internal_Tie_rod1!A18,"")</f>
        <v/>
      </c>
      <c r="V115" s="546" t="str">
        <f>IFERROR(Internal_Tie_rod1!B18,"")</f>
        <v/>
      </c>
      <c r="W115" s="546" t="str">
        <f>IFERROR(Internal_Tie_rod1!C18,"")</f>
        <v/>
      </c>
      <c r="X115" s="547">
        <v>11</v>
      </c>
      <c r="Y115" s="799" t="str">
        <f>IFERROR(ETC!A11,"")</f>
        <v/>
      </c>
      <c r="Z115" s="799" t="str">
        <f>IFERROR(ETC!B11,"")</f>
        <v/>
      </c>
      <c r="AA115" s="800" t="str">
        <f>IFERROR(ETC!C11,"")</f>
        <v/>
      </c>
      <c r="AB115" s="1392">
        <v>11</v>
      </c>
      <c r="AC115" s="801" t="str">
        <f>IFERROR(Fittings!A11,"")</f>
        <v/>
      </c>
      <c r="AD115" s="801" t="str">
        <f>IFERROR(Fittings!B11,"")</f>
        <v/>
      </c>
      <c r="AE115" s="803" t="str">
        <f>IFERROR(Fittings!C11,"")</f>
        <v/>
      </c>
      <c r="AF115" s="1392">
        <v>11</v>
      </c>
    </row>
    <row r="116" spans="1:32" ht="19.5" hidden="1">
      <c r="A116" s="402" t="str">
        <f>IFERROR(          IF(BASIC_TOOL!$B$15=1,Panel2!A16,""),"")</f>
        <v/>
      </c>
      <c r="B116" s="402" t="str">
        <f>IFERROR(          IF(BASIC_TOOL!$B$15=1,Panel2!B16,""),"")</f>
        <v/>
      </c>
      <c r="C116" s="402" t="str">
        <f>IFERROR(          IF(BASIC_TOOL!$B$15=1,Panel2!C16,""),)</f>
        <v/>
      </c>
      <c r="D116" s="1188">
        <v>12</v>
      </c>
      <c r="E116" s="546" t="str">
        <f>Steel_Skid!A19</f>
        <v>Anchor Bracket with bolt and nut set</v>
      </c>
      <c r="F116" s="546" t="str">
        <f>Steel_Skid!B19</f>
        <v>WBR-5010Z</v>
      </c>
      <c r="G116" s="547">
        <f>Steel_Skid!C19</f>
        <v>15</v>
      </c>
      <c r="H116" s="547">
        <v>12</v>
      </c>
      <c r="I116" s="546" t="str">
        <f>IFERROR(BoltnNuts!A16,"")</f>
        <v/>
      </c>
      <c r="J116" s="546" t="str">
        <f>IFERROR(BoltnNuts!B16,"")</f>
        <v/>
      </c>
      <c r="K116" s="937" t="str">
        <f>IFERROR(BoltnNuts!C16,"")</f>
        <v/>
      </c>
      <c r="M116" s="801" t="str">
        <f>IFERROR(External_Reinforcing!A19,"")</f>
        <v/>
      </c>
      <c r="N116" s="802" t="str">
        <f>IFERROR(External_Reinforcing!B19,"")</f>
        <v/>
      </c>
      <c r="O116" s="801" t="str">
        <f>IFERROR(External_Reinforcing!C19,"")</f>
        <v/>
      </c>
      <c r="P116" s="547">
        <v>12</v>
      </c>
      <c r="Q116" s="801" t="str">
        <f>IFERROR(Internal_Reinforcing!A19,"")</f>
        <v/>
      </c>
      <c r="R116" s="802" t="str">
        <f>IFERROR(Internal_Reinforcing!B19,"")</f>
        <v/>
      </c>
      <c r="S116" s="801" t="str">
        <f>IFERROR(Internal_Reinforcing!C19,"")</f>
        <v/>
      </c>
      <c r="T116" s="547">
        <v>12</v>
      </c>
      <c r="U116" s="546" t="str">
        <f>IFERROR(Internal_Tie_rod1!A19,"")</f>
        <v/>
      </c>
      <c r="V116" s="546" t="str">
        <f>IFERROR(Internal_Tie_rod1!B19,"")</f>
        <v/>
      </c>
      <c r="W116" s="546" t="str">
        <f>IFERROR(Internal_Tie_rod1!C19,"")</f>
        <v/>
      </c>
      <c r="X116" s="547">
        <v>12</v>
      </c>
      <c r="Y116" s="799" t="str">
        <f>IFERROR(ETC!A12,"")</f>
        <v/>
      </c>
      <c r="Z116" s="799" t="str">
        <f>IFERROR(ETC!B12,"")</f>
        <v/>
      </c>
      <c r="AA116" s="800" t="str">
        <f>IFERROR(ETC!C12,"")</f>
        <v/>
      </c>
      <c r="AB116" s="1392">
        <v>12</v>
      </c>
      <c r="AC116" s="801" t="str">
        <f>IFERROR(Fittings!A12,"")</f>
        <v/>
      </c>
      <c r="AD116" s="801" t="str">
        <f>IFERROR(Fittings!B12,"")</f>
        <v/>
      </c>
      <c r="AE116" s="803" t="str">
        <f>IFERROR(Fittings!C12,"")</f>
        <v/>
      </c>
      <c r="AF116" s="1392">
        <v>12</v>
      </c>
    </row>
    <row r="117" spans="1:32" ht="19.5" hidden="1">
      <c r="A117" s="402" t="str">
        <f>IFERROR(          IF(BASIC_TOOL!$B$15=1,Panel2!A17,""),"")</f>
        <v/>
      </c>
      <c r="B117" s="402" t="str">
        <f>IFERROR(          IF(BASIC_TOOL!$B$15=1,Panel2!B17,""),"")</f>
        <v/>
      </c>
      <c r="C117" s="402" t="str">
        <f>IFERROR(          IF(BASIC_TOOL!$B$15=1,Panel2!C17,""),)</f>
        <v/>
      </c>
      <c r="D117" s="1188">
        <v>13</v>
      </c>
      <c r="E117" s="546" t="str">
        <f>Steel_Skid!A20</f>
        <v/>
      </c>
      <c r="F117" s="546" t="str">
        <f>Steel_Skid!B20</f>
        <v/>
      </c>
      <c r="G117" s="547" t="str">
        <f>Steel_Skid!C20</f>
        <v/>
      </c>
      <c r="H117" s="547">
        <v>13</v>
      </c>
      <c r="I117" s="546" t="str">
        <f>IFERROR(BoltnNuts!A17,"")</f>
        <v/>
      </c>
      <c r="J117" s="546" t="str">
        <f>IFERROR(BoltnNuts!B17,"")</f>
        <v/>
      </c>
      <c r="K117" s="937" t="str">
        <f>IFERROR(BoltnNuts!C17,"")</f>
        <v/>
      </c>
      <c r="M117" s="801" t="str">
        <f>IFERROR(External_Reinforcing!A20,"")</f>
        <v/>
      </c>
      <c r="N117" s="802" t="str">
        <f>IFERROR(External_Reinforcing!B20,"")</f>
        <v/>
      </c>
      <c r="O117" s="801" t="str">
        <f>IFERROR(External_Reinforcing!C20,"")</f>
        <v/>
      </c>
      <c r="P117" s="547">
        <v>13</v>
      </c>
      <c r="Q117" s="801" t="str">
        <f>IFERROR(Internal_Reinforcing!A20,"")</f>
        <v/>
      </c>
      <c r="R117" s="802" t="str">
        <f>IFERROR(Internal_Reinforcing!B20,"")</f>
        <v/>
      </c>
      <c r="S117" s="801" t="str">
        <f>IFERROR(Internal_Reinforcing!C20,"")</f>
        <v/>
      </c>
      <c r="T117" s="547">
        <v>13</v>
      </c>
      <c r="U117" s="546" t="str">
        <f>IFERROR(Internal_Tie_rod1!A20,"")</f>
        <v/>
      </c>
      <c r="V117" s="546" t="str">
        <f>IFERROR(Internal_Tie_rod1!B20,"")</f>
        <v/>
      </c>
      <c r="W117" s="546" t="str">
        <f>IFERROR(Internal_Tie_rod1!C20,"")</f>
        <v/>
      </c>
      <c r="X117" s="547">
        <v>13</v>
      </c>
      <c r="Y117" s="799" t="str">
        <f>IFERROR(ETC!A13,"")</f>
        <v/>
      </c>
      <c r="Z117" s="799" t="str">
        <f>IFERROR(ETC!B13,"")</f>
        <v/>
      </c>
      <c r="AA117" s="800" t="str">
        <f>IFERROR(ETC!C13,"")</f>
        <v/>
      </c>
      <c r="AB117" s="1392">
        <v>13</v>
      </c>
      <c r="AC117" s="801" t="str">
        <f>IFERROR(Fittings!A13,"")</f>
        <v/>
      </c>
      <c r="AD117" s="801" t="str">
        <f>IFERROR(Fittings!B13,"")</f>
        <v/>
      </c>
      <c r="AE117" s="803" t="str">
        <f>IFERROR(Fittings!C13,"")</f>
        <v/>
      </c>
      <c r="AF117" s="1392">
        <v>13</v>
      </c>
    </row>
    <row r="118" spans="1:32" ht="19.5" hidden="1">
      <c r="A118" s="402" t="str">
        <f>IFERROR(          IF(BASIC_TOOL!$B$15=1,Panel2!A18,""),"")</f>
        <v/>
      </c>
      <c r="B118" s="402" t="str">
        <f>IFERROR(          IF(BASIC_TOOL!$B$15=1,Panel2!B18,""),"")</f>
        <v/>
      </c>
      <c r="C118" s="402" t="str">
        <f>IFERROR(          IF(BASIC_TOOL!$B$15=1,Panel2!C18,""),)</f>
        <v/>
      </c>
      <c r="D118" s="1188">
        <v>14</v>
      </c>
      <c r="E118" s="546" t="str">
        <f>Steel_Skid!A21</f>
        <v/>
      </c>
      <c r="F118" s="546" t="str">
        <f>Steel_Skid!B21</f>
        <v/>
      </c>
      <c r="G118" s="547" t="str">
        <f>Steel_Skid!C21</f>
        <v/>
      </c>
      <c r="H118" s="547">
        <v>14</v>
      </c>
      <c r="I118" s="546" t="str">
        <f>IFERROR(BoltnNuts!A18,"")</f>
        <v/>
      </c>
      <c r="J118" s="546" t="str">
        <f>IFERROR(BoltnNuts!B18,"")</f>
        <v/>
      </c>
      <c r="K118" s="937" t="str">
        <f>IFERROR(BoltnNuts!C18,"")</f>
        <v/>
      </c>
      <c r="M118" s="801" t="str">
        <f>IFERROR(External_Reinforcing!A21,"")</f>
        <v/>
      </c>
      <c r="N118" s="802" t="str">
        <f>IFERROR(External_Reinforcing!B21,"")</f>
        <v/>
      </c>
      <c r="O118" s="801" t="str">
        <f>IFERROR(External_Reinforcing!C21,"")</f>
        <v/>
      </c>
      <c r="P118" s="547">
        <v>14</v>
      </c>
      <c r="Q118" s="801" t="str">
        <f>IFERROR(Internal_Reinforcing!A21,"")</f>
        <v/>
      </c>
      <c r="R118" s="802" t="str">
        <f>IFERROR(Internal_Reinforcing!B21,"")</f>
        <v/>
      </c>
      <c r="S118" s="801" t="str">
        <f>IFERROR(Internal_Reinforcing!C21,"")</f>
        <v/>
      </c>
      <c r="T118" s="547">
        <v>14</v>
      </c>
      <c r="U118" s="546" t="str">
        <f>IFERROR(Internal_Tie_rod1!A21,"")</f>
        <v/>
      </c>
      <c r="V118" s="546" t="str">
        <f>IFERROR(Internal_Tie_rod1!B21,"")</f>
        <v/>
      </c>
      <c r="W118" s="546" t="str">
        <f>IFERROR(Internal_Tie_rod1!C21,"")</f>
        <v/>
      </c>
      <c r="X118" s="547">
        <v>14</v>
      </c>
      <c r="Y118" s="799" t="str">
        <f>IFERROR(ETC!A14,"")</f>
        <v/>
      </c>
      <c r="Z118" s="799" t="str">
        <f>IFERROR(ETC!B14,"")</f>
        <v/>
      </c>
      <c r="AA118" s="800" t="str">
        <f>IFERROR(ETC!C14,"")</f>
        <v/>
      </c>
      <c r="AB118" s="1392">
        <v>14</v>
      </c>
      <c r="AC118" s="801" t="str">
        <f>IFERROR(Fittings!A14,"")</f>
        <v/>
      </c>
      <c r="AD118" s="801" t="str">
        <f>IFERROR(Fittings!B14,"")</f>
        <v/>
      </c>
      <c r="AE118" s="803" t="str">
        <f>IFERROR(Fittings!C14,"")</f>
        <v/>
      </c>
      <c r="AF118" s="1392">
        <v>14</v>
      </c>
    </row>
    <row r="119" spans="1:32" ht="19.5" hidden="1">
      <c r="A119" s="402" t="str">
        <f>IFERROR(          IF(BASIC_TOOL!$B$15=1,Panel2!A19,""),"")</f>
        <v/>
      </c>
      <c r="B119" s="402" t="str">
        <f>IFERROR(          IF(BASIC_TOOL!$B$15=1,Panel2!B19,""),"")</f>
        <v/>
      </c>
      <c r="C119" s="402" t="str">
        <f>IFERROR(          IF(BASIC_TOOL!$B$15=1,Panel2!C19,""),)</f>
        <v/>
      </c>
      <c r="D119" s="1188">
        <v>15</v>
      </c>
      <c r="E119" s="546" t="str">
        <f>Steel_Skid!A22</f>
        <v/>
      </c>
      <c r="F119" s="546" t="str">
        <f>Steel_Skid!B22</f>
        <v/>
      </c>
      <c r="G119" s="547" t="str">
        <f>Steel_Skid!C22</f>
        <v/>
      </c>
      <c r="H119" s="547">
        <v>15</v>
      </c>
      <c r="I119" s="546" t="str">
        <f>IFERROR(BoltnNuts!A19,"")</f>
        <v/>
      </c>
      <c r="J119" s="546" t="str">
        <f>IFERROR(BoltnNuts!B19,"")</f>
        <v/>
      </c>
      <c r="K119" s="937" t="str">
        <f>IFERROR(BoltnNuts!C19,"")</f>
        <v/>
      </c>
      <c r="M119" s="801" t="str">
        <f>IFERROR(External_Reinforcing!A22,"")</f>
        <v/>
      </c>
      <c r="N119" s="802" t="str">
        <f>IFERROR(External_Reinforcing!B22,"")</f>
        <v/>
      </c>
      <c r="O119" s="801" t="str">
        <f>IFERROR(External_Reinforcing!C22,"")</f>
        <v/>
      </c>
      <c r="P119" s="547">
        <v>15</v>
      </c>
      <c r="Q119" s="801" t="str">
        <f>IFERROR(Internal_Reinforcing!A22,"")</f>
        <v/>
      </c>
      <c r="R119" s="802" t="str">
        <f>IFERROR(Internal_Reinforcing!B22,"")</f>
        <v/>
      </c>
      <c r="S119" s="801" t="str">
        <f>IFERROR(Internal_Reinforcing!C22,"")</f>
        <v/>
      </c>
      <c r="T119" s="547">
        <v>15</v>
      </c>
      <c r="U119" s="546" t="str">
        <f>IFERROR(Internal_Tie_rod1!A22,"")</f>
        <v/>
      </c>
      <c r="V119" s="546" t="str">
        <f>IFERROR(Internal_Tie_rod1!B22,"")</f>
        <v/>
      </c>
      <c r="W119" s="546" t="str">
        <f>IFERROR(Internal_Tie_rod1!C22,"")</f>
        <v/>
      </c>
      <c r="X119" s="547">
        <v>15</v>
      </c>
      <c r="Y119" s="799" t="str">
        <f>IFERROR(ETC!A15,"")</f>
        <v/>
      </c>
      <c r="Z119" s="799" t="str">
        <f>IFERROR(ETC!B15,"")</f>
        <v/>
      </c>
      <c r="AA119" s="800" t="str">
        <f>IFERROR(ETC!C15,"")</f>
        <v/>
      </c>
      <c r="AB119" s="1392">
        <v>15</v>
      </c>
      <c r="AC119" s="801" t="str">
        <f>IFERROR(Fittings!A15,"")</f>
        <v/>
      </c>
      <c r="AD119" s="801" t="str">
        <f>IFERROR(Fittings!B15,"")</f>
        <v/>
      </c>
      <c r="AE119" s="803" t="str">
        <f>IFERROR(Fittings!C15,"")</f>
        <v/>
      </c>
      <c r="AF119" s="1392">
        <v>15</v>
      </c>
    </row>
    <row r="120" spans="1:32" ht="19.5" hidden="1">
      <c r="A120" s="402" t="str">
        <f>IFERROR(          IF(BASIC_TOOL!$B$15=1,Panel2!A20,""),"")</f>
        <v/>
      </c>
      <c r="B120" s="402" t="str">
        <f>IFERROR(          IF(BASIC_TOOL!$B$15=1,Panel2!B20,""),"")</f>
        <v/>
      </c>
      <c r="C120" s="402" t="str">
        <f>IFERROR(          IF(BASIC_TOOL!$B$15=1,Panel2!C20,""),)</f>
        <v/>
      </c>
      <c r="D120" s="1188">
        <v>16</v>
      </c>
      <c r="E120" s="546" t="str">
        <f>Steel_Skid!A23</f>
        <v/>
      </c>
      <c r="F120" s="546" t="str">
        <f>Steel_Skid!B23</f>
        <v/>
      </c>
      <c r="G120" s="547" t="str">
        <f>Steel_Skid!C23</f>
        <v/>
      </c>
      <c r="I120" s="546" t="str">
        <f>IFERROR(BoltnNuts!A20,"")</f>
        <v/>
      </c>
      <c r="J120" s="546" t="str">
        <f>IFERROR(BoltnNuts!B20,"")</f>
        <v/>
      </c>
      <c r="K120" s="937" t="str">
        <f>IFERROR(BoltnNuts!C20,"")</f>
        <v/>
      </c>
      <c r="M120" s="801" t="str">
        <f>IFERROR(External_Reinforcing!A23,"")</f>
        <v/>
      </c>
      <c r="N120" s="802" t="str">
        <f>IFERROR(External_Reinforcing!B23,"")</f>
        <v/>
      </c>
      <c r="O120" s="801" t="str">
        <f>IFERROR(External_Reinforcing!C23,"")</f>
        <v/>
      </c>
      <c r="Q120" s="801" t="str">
        <f>IFERROR(Internal_Reinforcing!A23,"")</f>
        <v/>
      </c>
      <c r="R120" s="802" t="str">
        <f>IFERROR(Internal_Reinforcing!B23,"")</f>
        <v/>
      </c>
      <c r="S120" s="801" t="str">
        <f>IFERROR(Internal_Reinforcing!C23,"")</f>
        <v/>
      </c>
      <c r="T120" s="547">
        <v>16</v>
      </c>
      <c r="U120" s="546" t="str">
        <f>IFERROR(Internal_Tie_rod1!A23,"")</f>
        <v/>
      </c>
      <c r="V120" s="546" t="str">
        <f>IFERROR(Internal_Tie_rod1!B23,"")</f>
        <v/>
      </c>
      <c r="W120" s="546" t="str">
        <f>IFERROR(Internal_Tie_rod1!C23,"")</f>
        <v/>
      </c>
      <c r="X120" s="547">
        <v>16</v>
      </c>
      <c r="Y120" s="799" t="str">
        <f>IFERROR(ETC!A16,"")</f>
        <v/>
      </c>
      <c r="Z120" s="799" t="str">
        <f>IFERROR(ETC!B16,"")</f>
        <v/>
      </c>
      <c r="AA120" s="800" t="str">
        <f>IFERROR(ETC!C16,"")</f>
        <v/>
      </c>
      <c r="AB120" s="1392">
        <v>16</v>
      </c>
      <c r="AC120" s="801" t="str">
        <f>IFERROR(Fittings!A16,"")</f>
        <v/>
      </c>
      <c r="AD120" s="801" t="str">
        <f>IFERROR(Fittings!B16,"")</f>
        <v/>
      </c>
      <c r="AE120" s="803" t="str">
        <f>IFERROR(Fittings!C16,"")</f>
        <v/>
      </c>
      <c r="AF120" s="1392">
        <v>16</v>
      </c>
    </row>
    <row r="121" spans="1:32" ht="19.5" hidden="1">
      <c r="A121" s="402" t="str">
        <f>IFERROR(          IF(BASIC_TOOL!$B$15=1,Panel2!A21,""),"")</f>
        <v/>
      </c>
      <c r="B121" s="402" t="str">
        <f>IFERROR(          IF(BASIC_TOOL!$B$15=1,Panel2!B21,""),"")</f>
        <v/>
      </c>
      <c r="C121" s="402" t="str">
        <f>IFERROR(          IF(BASIC_TOOL!$B$15=1,Panel2!C21,""),)</f>
        <v/>
      </c>
      <c r="D121" s="1188">
        <v>17</v>
      </c>
      <c r="I121" s="546" t="str">
        <f>IFERROR(BoltnNuts!A21,"")</f>
        <v/>
      </c>
      <c r="J121" s="546" t="str">
        <f>IFERROR(BoltnNuts!B21,"")</f>
        <v/>
      </c>
      <c r="K121" s="937" t="str">
        <f>IFERROR(BoltnNuts!C21,"")</f>
        <v/>
      </c>
      <c r="M121" s="801" t="str">
        <f>IFERROR(External_Reinforcing!A24,"")</f>
        <v/>
      </c>
      <c r="N121" s="802" t="str">
        <f>IFERROR(External_Reinforcing!B24,"")</f>
        <v/>
      </c>
      <c r="O121" s="801" t="str">
        <f>IFERROR(External_Reinforcing!C24,"")</f>
        <v/>
      </c>
      <c r="Q121" s="801" t="str">
        <f>IFERROR(Internal_Reinforcing!A24,"")</f>
        <v/>
      </c>
      <c r="R121" s="802" t="str">
        <f>IFERROR(Internal_Reinforcing!B24,"")</f>
        <v/>
      </c>
      <c r="U121" s="546" t="str">
        <f>IFERROR(Internal_Tie_rod1!A24,"")</f>
        <v/>
      </c>
      <c r="V121" s="546" t="str">
        <f>IFERROR(Internal_Tie_rod1!B24,"")</f>
        <v/>
      </c>
      <c r="W121" s="546" t="str">
        <f>IFERROR(Internal_Tie_rod1!C24,"")</f>
        <v/>
      </c>
      <c r="X121" s="547">
        <v>17</v>
      </c>
      <c r="Y121" s="799" t="str">
        <f>IFERROR(ETC!A17,"")</f>
        <v/>
      </c>
      <c r="Z121" s="799" t="str">
        <f>IFERROR(ETC!B17,"")</f>
        <v/>
      </c>
      <c r="AA121" s="800" t="str">
        <f>IFERROR(ETC!C17,"")</f>
        <v/>
      </c>
      <c r="AB121" s="1392">
        <v>17</v>
      </c>
      <c r="AC121" s="801" t="str">
        <f>IFERROR(Fittings!A17,"")</f>
        <v/>
      </c>
      <c r="AD121" s="801" t="str">
        <f>IFERROR(Fittings!B17,"")</f>
        <v/>
      </c>
      <c r="AE121" s="803" t="str">
        <f>IFERROR(Fittings!C17,"")</f>
        <v/>
      </c>
      <c r="AF121" s="1392">
        <v>17</v>
      </c>
    </row>
    <row r="122" spans="1:32" ht="19.5" hidden="1">
      <c r="A122" s="402" t="str">
        <f>IFERROR(          IF(BASIC_TOOL!$B$15=1,Panel2!A22,""),"")</f>
        <v/>
      </c>
      <c r="B122" s="402" t="str">
        <f>IFERROR(          IF(BASIC_TOOL!$B$15=1,Panel2!B22,""),"")</f>
        <v/>
      </c>
      <c r="C122" s="402" t="str">
        <f>IFERROR(          IF(BASIC_TOOL!$B$15=1,Panel2!C22,""),)</f>
        <v/>
      </c>
      <c r="D122" s="1188">
        <v>18</v>
      </c>
      <c r="I122" s="546" t="str">
        <f>IFERROR(BoltnNuts!A22,"")</f>
        <v/>
      </c>
      <c r="J122" s="546" t="str">
        <f>IFERROR(BoltnNuts!B22,"")</f>
        <v/>
      </c>
      <c r="K122" s="937" t="str">
        <f>IFERROR(BoltnNuts!C22,"")</f>
        <v/>
      </c>
      <c r="M122" s="801" t="str">
        <f>IFERROR(External_Reinforcing!A25,"")</f>
        <v/>
      </c>
      <c r="N122" s="802" t="str">
        <f>IFERROR(External_Reinforcing!B25,"")</f>
        <v/>
      </c>
      <c r="O122" s="801" t="str">
        <f>IFERROR(External_Reinforcing!C25,"")</f>
        <v/>
      </c>
      <c r="Q122" s="801">
        <f>IFERROR(Internal_Reinforcing!A25,"")</f>
        <v>0</v>
      </c>
      <c r="R122" s="802">
        <f>IFERROR(Internal_Reinforcing!B25,"")</f>
        <v>0</v>
      </c>
      <c r="U122" s="546" t="str">
        <f>IFERROR(Internal_Tie_rod1!A25,"")</f>
        <v/>
      </c>
      <c r="V122" s="546" t="str">
        <f>IFERROR(Internal_Tie_rod1!B25,"")</f>
        <v/>
      </c>
      <c r="W122" s="546" t="str">
        <f>IFERROR(Internal_Tie_rod1!C25,"")</f>
        <v/>
      </c>
      <c r="X122" s="547">
        <v>18</v>
      </c>
      <c r="Y122" s="799" t="str">
        <f>IFERROR(ETC!A18,"")</f>
        <v/>
      </c>
      <c r="Z122" s="799" t="str">
        <f>IFERROR(ETC!B18,"")</f>
        <v/>
      </c>
      <c r="AA122" s="800" t="str">
        <f>IFERROR(ETC!C18,"")</f>
        <v/>
      </c>
      <c r="AB122" s="1392">
        <v>18</v>
      </c>
      <c r="AC122" s="801" t="str">
        <f>IFERROR(Fittings!A18,"")</f>
        <v/>
      </c>
      <c r="AD122" s="801" t="str">
        <f>IFERROR(Fittings!B18,"")</f>
        <v/>
      </c>
      <c r="AE122" s="803" t="str">
        <f>IFERROR(Fittings!C18,"")</f>
        <v/>
      </c>
      <c r="AF122" s="1392">
        <v>18</v>
      </c>
    </row>
    <row r="123" spans="1:32" ht="19.5" hidden="1">
      <c r="A123" s="402" t="str">
        <f>IFERROR(          IF(BASIC_TOOL!$B$15=1,Panel2!A23,""),"")</f>
        <v/>
      </c>
      <c r="B123" s="402" t="str">
        <f>IFERROR(          IF(BASIC_TOOL!$B$15=1,Panel2!B23,""),"")</f>
        <v/>
      </c>
      <c r="C123" s="402" t="str">
        <f>IFERROR(          IF(BASIC_TOOL!$B$15=1,Panel2!C23,""),)</f>
        <v/>
      </c>
      <c r="D123" s="1188">
        <v>19</v>
      </c>
      <c r="I123" s="546" t="str">
        <f>IFERROR(BoltnNuts!A23,"")</f>
        <v/>
      </c>
      <c r="J123" s="546" t="str">
        <f>IFERROR(BoltnNuts!B23,"")</f>
        <v/>
      </c>
      <c r="K123" s="937" t="str">
        <f>IFERROR(BoltnNuts!C23,"")</f>
        <v/>
      </c>
      <c r="M123" s="801" t="str">
        <f>IFERROR(External_Reinforcing!A26,"")</f>
        <v/>
      </c>
      <c r="N123" s="802" t="str">
        <f>IFERROR(External_Reinforcing!B26,"")</f>
        <v/>
      </c>
      <c r="O123" s="801" t="str">
        <f>IFERROR(External_Reinforcing!C26,"")</f>
        <v/>
      </c>
      <c r="U123" s="546" t="str">
        <f>IFERROR(Internal_Tie_rod1!A26,"")</f>
        <v/>
      </c>
      <c r="V123" s="546" t="str">
        <f>IFERROR(Internal_Tie_rod1!B26,"")</f>
        <v/>
      </c>
      <c r="W123" s="546" t="str">
        <f>IFERROR(Internal_Tie_rod1!C26,"")</f>
        <v/>
      </c>
      <c r="X123" s="547">
        <v>19</v>
      </c>
      <c r="Y123" s="799" t="str">
        <f>IFERROR(ETC!A19,"")</f>
        <v/>
      </c>
      <c r="Z123" s="799" t="str">
        <f>IFERROR(ETC!B19,"")</f>
        <v/>
      </c>
      <c r="AA123" s="800" t="str">
        <f>IFERROR(ETC!C19,"")</f>
        <v/>
      </c>
      <c r="AB123" s="1392">
        <v>19</v>
      </c>
    </row>
    <row r="124" spans="1:32" ht="19.5" hidden="1">
      <c r="A124" s="402" t="str">
        <f>IFERROR(          IF(BASIC_TOOL!$B$15=1,Panel2!A24,""),"")</f>
        <v/>
      </c>
      <c r="B124" s="402" t="str">
        <f>IFERROR(          IF(BASIC_TOOL!$B$15=1,Panel2!B24,""),"")</f>
        <v/>
      </c>
      <c r="C124" s="402" t="str">
        <f>IFERROR(          IF(BASIC_TOOL!$B$15=1,Panel2!C24,""),)</f>
        <v/>
      </c>
      <c r="D124" s="1188">
        <v>20</v>
      </c>
      <c r="I124" s="546" t="str">
        <f>IFERROR(BoltnNuts!A24,"")</f>
        <v/>
      </c>
      <c r="J124" s="546" t="str">
        <f>IFERROR(BoltnNuts!B24,"")</f>
        <v/>
      </c>
      <c r="K124" s="937" t="str">
        <f>IFERROR(BoltnNuts!C24,"")</f>
        <v/>
      </c>
      <c r="M124" s="801" t="str">
        <f>IFERROR(External_Reinforcing!A27,"")</f>
        <v/>
      </c>
      <c r="N124" s="802" t="str">
        <f>IFERROR(External_Reinforcing!B27,"")</f>
        <v/>
      </c>
      <c r="O124" s="801" t="str">
        <f>IFERROR(External_Reinforcing!C27,"")</f>
        <v/>
      </c>
      <c r="U124" s="546" t="str">
        <f>IFERROR(Internal_Tie_rod1!A27,"")</f>
        <v/>
      </c>
      <c r="V124" s="546" t="str">
        <f>IFERROR(Internal_Tie_rod1!B27,"")</f>
        <v/>
      </c>
      <c r="W124" s="546" t="str">
        <f>IFERROR(Internal_Tie_rod1!C27,"")</f>
        <v/>
      </c>
      <c r="Y124" s="799" t="str">
        <f>IFERROR(ETC!A20,"")</f>
        <v/>
      </c>
      <c r="Z124" s="799" t="str">
        <f>IFERROR(ETC!B20,"")</f>
        <v/>
      </c>
      <c r="AA124" s="800" t="str">
        <f>IFERROR(ETC!C20,"")</f>
        <v/>
      </c>
      <c r="AB124" s="1392">
        <v>20</v>
      </c>
    </row>
    <row r="125" spans="1:32" ht="19.5" hidden="1">
      <c r="A125" s="402" t="str">
        <f>IFERROR(          IF(BASIC_TOOL!$B$15=1,Panel2!A25,""),"")</f>
        <v/>
      </c>
      <c r="B125" s="402" t="str">
        <f>IFERROR(          IF(BASIC_TOOL!$B$15=1,Panel2!B25,""),"")</f>
        <v/>
      </c>
      <c r="C125" s="402" t="str">
        <f>IFERROR(          IF(BASIC_TOOL!$B$15=1,Panel2!C25,""),)</f>
        <v/>
      </c>
      <c r="D125" s="1188">
        <v>21</v>
      </c>
      <c r="I125" s="546" t="str">
        <f>IFERROR(BoltnNuts!A25,"")</f>
        <v/>
      </c>
      <c r="J125" s="546" t="str">
        <f>IFERROR(BoltnNuts!B25,"")</f>
        <v/>
      </c>
      <c r="K125" s="937" t="str">
        <f>IFERROR(BoltnNuts!C25,"")</f>
        <v/>
      </c>
      <c r="M125" s="801" t="str">
        <f>IFERROR(External_Reinforcing!A28,"")</f>
        <v/>
      </c>
      <c r="N125" s="802" t="str">
        <f>IFERROR(External_Reinforcing!B28,"")</f>
        <v/>
      </c>
      <c r="O125" s="801" t="str">
        <f>IFERROR(External_Reinforcing!C28,"")</f>
        <v/>
      </c>
      <c r="Y125" s="799" t="str">
        <f>IFERROR(ETC!A21,"")</f>
        <v/>
      </c>
      <c r="Z125" s="799" t="str">
        <f>IFERROR(ETC!B21,"")</f>
        <v/>
      </c>
      <c r="AA125" s="800" t="str">
        <f>IFERROR(ETC!C21,"")</f>
        <v/>
      </c>
      <c r="AB125" s="1392">
        <v>21</v>
      </c>
    </row>
    <row r="126" spans="1:32" ht="19.5" hidden="1">
      <c r="A126" s="402" t="str">
        <f>IFERROR(          IF(BASIC_TOOL!$B$15=1,Panel2!A26,""),"")</f>
        <v/>
      </c>
      <c r="B126" s="402" t="str">
        <f>IFERROR(          IF(BASIC_TOOL!$B$15=1,Panel2!B26,""),"")</f>
        <v/>
      </c>
      <c r="C126" s="402" t="str">
        <f>IFERROR(          IF(BASIC_TOOL!$B$15=1,Panel2!C26,""),)</f>
        <v/>
      </c>
      <c r="D126" s="1188">
        <v>22</v>
      </c>
      <c r="I126" s="546" t="str">
        <f>IFERROR(BoltnNuts!A26,"")</f>
        <v/>
      </c>
      <c r="J126" s="546" t="str">
        <f>IFERROR(BoltnNuts!B26,"")</f>
        <v/>
      </c>
      <c r="K126" s="937" t="str">
        <f>IFERROR(BoltnNuts!C26,"")</f>
        <v/>
      </c>
      <c r="M126" s="801" t="str">
        <f>IFERROR(External_Reinforcing!A29,"")</f>
        <v/>
      </c>
      <c r="N126" s="802" t="str">
        <f>IFERROR(External_Reinforcing!B29,"")</f>
        <v/>
      </c>
      <c r="O126" s="801" t="str">
        <f>IFERROR(External_Reinforcing!C29,"")</f>
        <v/>
      </c>
      <c r="Y126" s="799" t="str">
        <f>IFERROR(ETC!A22,"")</f>
        <v/>
      </c>
      <c r="Z126" s="799" t="str">
        <f>IFERROR(ETC!B22,"")</f>
        <v/>
      </c>
      <c r="AA126" s="800" t="str">
        <f>IFERROR(ETC!C22,"")</f>
        <v/>
      </c>
      <c r="AB126" s="1392">
        <v>22</v>
      </c>
    </row>
    <row r="127" spans="1:32" ht="19.5" hidden="1">
      <c r="A127" s="402" t="str">
        <f>IFERROR(          IF(BASIC_TOOL!$B$15=1,Panel2!A27,""),"")</f>
        <v/>
      </c>
      <c r="B127" s="402" t="str">
        <f>IFERROR(          IF(BASIC_TOOL!$B$15=1,Panel2!B27,""),"")</f>
        <v/>
      </c>
      <c r="C127" s="402" t="str">
        <f>IFERROR(          IF(BASIC_TOOL!$B$15=1,Panel2!C27,""),)</f>
        <v/>
      </c>
      <c r="D127" s="1188">
        <v>23</v>
      </c>
      <c r="I127" s="546" t="str">
        <f>IFERROR(BoltnNuts!A27,"")</f>
        <v/>
      </c>
      <c r="J127" s="546" t="str">
        <f>IFERROR(BoltnNuts!B27,"")</f>
        <v/>
      </c>
      <c r="K127" s="937" t="str">
        <f>IFERROR(BoltnNuts!C27,"")</f>
        <v/>
      </c>
      <c r="M127" s="801" t="str">
        <f>IFERROR(External_Reinforcing!A30,"")</f>
        <v/>
      </c>
      <c r="N127" s="802" t="str">
        <f>IFERROR(External_Reinforcing!B30,"")</f>
        <v/>
      </c>
      <c r="O127" s="801" t="str">
        <f>IFERROR(External_Reinforcing!C30,"")</f>
        <v/>
      </c>
    </row>
    <row r="128" spans="1:32" ht="19.5" hidden="1">
      <c r="A128" s="402" t="str">
        <f>IFERROR(          IF(BASIC_TOOL!$B$15=1,Panel2!A28,""),"")</f>
        <v/>
      </c>
      <c r="B128" s="402" t="str">
        <f>IFERROR(          IF(BASIC_TOOL!$B$15=1,Panel2!B28,""),"")</f>
        <v/>
      </c>
      <c r="C128" s="402" t="str">
        <f>IFERROR(          IF(BASIC_TOOL!$B$15=1,Panel2!C28,""),)</f>
        <v/>
      </c>
      <c r="D128" s="1188">
        <v>24</v>
      </c>
      <c r="I128" s="546" t="str">
        <f>IFERROR(BoltnNuts!A28,"")</f>
        <v/>
      </c>
      <c r="J128" s="546" t="str">
        <f>IFERROR(BoltnNuts!B28,"")</f>
        <v/>
      </c>
      <c r="K128" s="937" t="str">
        <f>IFERROR(BoltnNuts!C28,"")</f>
        <v/>
      </c>
      <c r="M128" s="801" t="str">
        <f>IFERROR(External_Reinforcing!A31,"")</f>
        <v/>
      </c>
      <c r="N128" s="802" t="str">
        <f>IFERROR(External_Reinforcing!B31,"")</f>
        <v/>
      </c>
      <c r="O128" s="801" t="str">
        <f>IFERROR(External_Reinforcing!C31,"")</f>
        <v/>
      </c>
    </row>
    <row r="129" spans="1:15" ht="19.5" hidden="1">
      <c r="A129" s="402" t="str">
        <f>IFERROR(          IF(BASIC_TOOL!$B$15=1,Panel2!A29,""),"")</f>
        <v/>
      </c>
      <c r="B129" s="402" t="str">
        <f>IFERROR(          IF(BASIC_TOOL!$B$15=1,Panel2!B29,""),"")</f>
        <v/>
      </c>
      <c r="C129" s="402" t="str">
        <f>IFERROR(          IF(BASIC_TOOL!$B$15=1,Panel2!C29,""),)</f>
        <v/>
      </c>
      <c r="D129" s="1188">
        <v>25</v>
      </c>
      <c r="I129" s="546" t="str">
        <f>IFERROR(BoltnNuts!A29,"")</f>
        <v/>
      </c>
      <c r="J129" s="546" t="str">
        <f>IFERROR(BoltnNuts!B29,"")</f>
        <v/>
      </c>
      <c r="K129" s="937" t="str">
        <f>IFERROR(BoltnNuts!C29,"")</f>
        <v/>
      </c>
      <c r="M129" s="801" t="str">
        <f>IFERROR(External_Reinforcing!A32,"")</f>
        <v/>
      </c>
      <c r="N129" s="802" t="str">
        <f>IFERROR(External_Reinforcing!B32,"")</f>
        <v/>
      </c>
      <c r="O129" s="801" t="str">
        <f>IFERROR(External_Reinforcing!C32,"")</f>
        <v/>
      </c>
    </row>
    <row r="130" spans="1:15" ht="19.5" hidden="1">
      <c r="A130" s="402" t="str">
        <f>IFERROR(          IF(BASIC_TOOL!$B$15=1,Panel2!A30,""),"")</f>
        <v/>
      </c>
      <c r="B130" s="402" t="str">
        <f>IFERROR(          IF(BASIC_TOOL!$B$15=1,Panel2!B30,""),"")</f>
        <v/>
      </c>
      <c r="C130" s="402" t="str">
        <f>IFERROR(          IF(BASIC_TOOL!$B$15=1,Panel2!C30,""),)</f>
        <v/>
      </c>
      <c r="D130" s="1188">
        <v>26</v>
      </c>
      <c r="I130" s="546" t="str">
        <f>IFERROR(BoltnNuts!A30,"")</f>
        <v/>
      </c>
      <c r="J130" s="546" t="str">
        <f>IFERROR(BoltnNuts!B30,"")</f>
        <v/>
      </c>
      <c r="K130" s="937" t="str">
        <f>IFERROR(BoltnNuts!C30,"")</f>
        <v/>
      </c>
      <c r="M130" s="801" t="str">
        <f>IFERROR(External_Reinforcing!A33,"")</f>
        <v/>
      </c>
      <c r="N130" s="802" t="str">
        <f>IFERROR(External_Reinforcing!B33,"")</f>
        <v/>
      </c>
      <c r="O130" s="801" t="str">
        <f>IFERROR(External_Reinforcing!C33,"")</f>
        <v/>
      </c>
    </row>
    <row r="131" spans="1:15" ht="19.5" hidden="1">
      <c r="A131" s="402" t="str">
        <f>IFERROR(          IF(BASIC_TOOL!$B$15=1,Panel2!A31,""),"")</f>
        <v/>
      </c>
      <c r="B131" s="402" t="str">
        <f>IFERROR(          IF(BASIC_TOOL!$B$15=1,Panel2!B31,""),"")</f>
        <v/>
      </c>
      <c r="C131" s="402" t="str">
        <f>IFERROR(          IF(BASIC_TOOL!$B$15=1,Panel2!C31,""),)</f>
        <v/>
      </c>
      <c r="D131" s="1188">
        <v>27</v>
      </c>
      <c r="I131" s="546" t="str">
        <f>IFERROR(BoltnNuts!A31,"")</f>
        <v/>
      </c>
      <c r="J131" s="546" t="str">
        <f>IFERROR(BoltnNuts!B31,"")</f>
        <v/>
      </c>
      <c r="K131" s="937" t="str">
        <f>IFERROR(BoltnNuts!C31,"")</f>
        <v/>
      </c>
      <c r="M131" s="801"/>
      <c r="N131" s="802"/>
      <c r="O131" s="801"/>
    </row>
    <row r="132" spans="1:15" ht="19.5" hidden="1">
      <c r="A132" s="402" t="str">
        <f>IFERROR(          IF(BASIC_TOOL!$B$15=1,Panel2!A32,""),"")</f>
        <v/>
      </c>
      <c r="B132" s="402" t="str">
        <f>IFERROR(          IF(BASIC_TOOL!$B$15=1,Panel2!B32,""),"")</f>
        <v/>
      </c>
      <c r="C132" s="402" t="str">
        <f>IFERROR(          IF(BASIC_TOOL!$B$15=1,Panel2!C32,""),)</f>
        <v/>
      </c>
      <c r="D132" s="1188">
        <v>28</v>
      </c>
      <c r="I132" s="546" t="str">
        <f>IFERROR(BoltnNuts!A32,"")</f>
        <v/>
      </c>
      <c r="J132" s="546" t="str">
        <f>IFERROR(BoltnNuts!B32,"")</f>
        <v/>
      </c>
      <c r="K132" s="937" t="str">
        <f>IFERROR(BoltnNuts!C32,"")</f>
        <v/>
      </c>
      <c r="M132" s="801"/>
      <c r="N132" s="802"/>
      <c r="O132" s="801"/>
    </row>
    <row r="133" spans="1:15" ht="19.5" hidden="1">
      <c r="A133" s="402" t="str">
        <f>IFERROR(          IF(BASIC_TOOL!$B$15=1,Panel2!A33,""),"")</f>
        <v/>
      </c>
      <c r="B133" s="402" t="str">
        <f>IFERROR(          IF(BASIC_TOOL!$B$15=1,Panel2!B33,""),"")</f>
        <v/>
      </c>
      <c r="C133" s="402" t="str">
        <f>IFERROR(          IF(BASIC_TOOL!$B$15=1,Panel2!C33,""),)</f>
        <v/>
      </c>
      <c r="D133" s="1188">
        <v>29</v>
      </c>
      <c r="I133" s="546" t="str">
        <f>IFERROR(BoltnNuts!A33,"")</f>
        <v/>
      </c>
      <c r="J133" s="546" t="str">
        <f>IFERROR(BoltnNuts!B33,"")</f>
        <v/>
      </c>
      <c r="K133" s="937" t="str">
        <f>IFERROR(BoltnNuts!C33,"")</f>
        <v/>
      </c>
      <c r="M133" s="801"/>
      <c r="N133" s="802"/>
      <c r="O133" s="801"/>
    </row>
    <row r="134" spans="1:15" ht="19.5" hidden="1">
      <c r="A134" s="402" t="str">
        <f>IFERROR(          IF(BASIC_TOOL!$B$15=1,Panel2!A34,""),"")</f>
        <v/>
      </c>
      <c r="B134" s="402" t="str">
        <f>IFERROR(          IF(BASIC_TOOL!$B$15=1,Panel2!B34,""),"")</f>
        <v/>
      </c>
      <c r="C134" s="402" t="str">
        <f>IFERROR(          IF(BASIC_TOOL!$B$15=1,Panel2!C34,""),)</f>
        <v/>
      </c>
      <c r="D134" s="1188">
        <v>30</v>
      </c>
      <c r="I134" s="546" t="str">
        <f>IFERROR(BoltnNuts!A34,"")</f>
        <v/>
      </c>
      <c r="J134" s="546" t="str">
        <f>IFERROR(BoltnNuts!B34,"")</f>
        <v/>
      </c>
      <c r="K134" s="937" t="str">
        <f>IFERROR(BoltnNuts!C34,"")</f>
        <v/>
      </c>
      <c r="M134" s="801"/>
      <c r="N134" s="802"/>
      <c r="O134" s="801"/>
    </row>
    <row r="135" spans="1:15" ht="19.5" hidden="1">
      <c r="A135" s="402" t="str">
        <f>IFERROR(          IF(BASIC_TOOL!$B$15=1,Panel2!A35,""),"")</f>
        <v/>
      </c>
      <c r="B135" s="402" t="str">
        <f>IFERROR(          IF(BASIC_TOOL!$B$15=1,Panel2!B35,""),"")</f>
        <v/>
      </c>
      <c r="C135" s="402" t="str">
        <f>IFERROR(          IF(BASIC_TOOL!$B$15=1,Panel2!C35,""),)</f>
        <v/>
      </c>
      <c r="D135" s="1188">
        <v>31</v>
      </c>
      <c r="I135" s="546" t="str">
        <f>IFERROR(BoltnNuts!A35,"")</f>
        <v/>
      </c>
      <c r="J135" s="546" t="str">
        <f>IFERROR(BoltnNuts!B35,"")</f>
        <v/>
      </c>
      <c r="K135" s="937" t="str">
        <f>IFERROR(BoltnNuts!C35,"")</f>
        <v/>
      </c>
      <c r="N135" s="802"/>
      <c r="O135" s="801"/>
    </row>
    <row r="136" spans="1:15" ht="19.5" hidden="1">
      <c r="A136" s="402" t="str">
        <f>IFERROR(          IF(BASIC_TOOL!$B$15=1,Panel2!A36,""),"")</f>
        <v/>
      </c>
      <c r="B136" s="402" t="str">
        <f>IFERROR(          IF(BASIC_TOOL!$B$15=1,Panel2!B36,""),"")</f>
        <v/>
      </c>
      <c r="C136" s="402" t="str">
        <f>IFERROR(          IF(BASIC_TOOL!$B$15=1,Panel2!C36,""),)</f>
        <v/>
      </c>
      <c r="D136" s="1188">
        <v>32</v>
      </c>
      <c r="I136" s="546" t="str">
        <f>IFERROR(BoltnNuts!A36,"")</f>
        <v/>
      </c>
      <c r="J136" s="546" t="str">
        <f>IFERROR(BoltnNuts!B36,"")</f>
        <v/>
      </c>
      <c r="K136" s="937" t="str">
        <f>IFERROR(BoltnNuts!C36,"")</f>
        <v/>
      </c>
      <c r="N136" s="802"/>
      <c r="O136" s="801"/>
    </row>
    <row r="137" spans="1:15" ht="19.5" hidden="1">
      <c r="A137" s="402" t="str">
        <f>IFERROR(          IF(BASIC_TOOL!$B$15=1,Panel2!A37,""),"")</f>
        <v/>
      </c>
      <c r="B137" s="402" t="str">
        <f>IFERROR(          IF(BASIC_TOOL!$B$15=1,Panel2!B37,""),"")</f>
        <v/>
      </c>
      <c r="C137" s="402" t="str">
        <f>IFERROR(          IF(BASIC_TOOL!$B$15=1,Panel2!C37,""),)</f>
        <v/>
      </c>
      <c r="D137" s="1188">
        <v>33</v>
      </c>
      <c r="I137" s="546" t="str">
        <f>IFERROR(BoltnNuts!A37,"")</f>
        <v/>
      </c>
      <c r="J137" s="546" t="str">
        <f>IFERROR(BoltnNuts!B37,"")</f>
        <v/>
      </c>
      <c r="K137" s="937" t="str">
        <f>IFERROR(BoltnNuts!C37,"")</f>
        <v/>
      </c>
      <c r="N137" s="802"/>
      <c r="O137" s="801"/>
    </row>
    <row r="138" spans="1:15" ht="19.5" hidden="1">
      <c r="A138" s="402" t="str">
        <f>IFERROR(          IF(BASIC_TOOL!$B$15=1,Panel2!A38,""),"")</f>
        <v/>
      </c>
      <c r="B138" s="402" t="str">
        <f>IFERROR(          IF(BASIC_TOOL!$B$15=1,Panel2!B38,""),"")</f>
        <v/>
      </c>
      <c r="C138" s="402" t="str">
        <f>IFERROR(          IF(BASIC_TOOL!$B$15=1,Panel2!C38,""),)</f>
        <v/>
      </c>
      <c r="D138" s="1188">
        <v>34</v>
      </c>
      <c r="I138" s="546" t="str">
        <f>IFERROR(BoltnNuts!A38,"")</f>
        <v/>
      </c>
      <c r="J138" s="546" t="str">
        <f>IFERROR(BoltnNuts!B38,"")</f>
        <v/>
      </c>
      <c r="K138" s="937" t="str">
        <f>IFERROR(BoltnNuts!C38,"")</f>
        <v/>
      </c>
      <c r="N138" s="802"/>
      <c r="O138" s="801"/>
    </row>
    <row r="139" spans="1:15" ht="19.5" hidden="1">
      <c r="A139" s="402" t="str">
        <f>IFERROR(          IF(BASIC_TOOL!$B$15=1,Panel2!A39,""),"")</f>
        <v/>
      </c>
      <c r="B139" s="402" t="str">
        <f>IFERROR(          IF(BASIC_TOOL!$B$15=1,Panel2!B39,""),"")</f>
        <v/>
      </c>
      <c r="C139" s="402" t="str">
        <f>IFERROR(          IF(BASIC_TOOL!$B$15=1,Panel2!C39,""),)</f>
        <v/>
      </c>
      <c r="D139" s="1188">
        <v>35</v>
      </c>
      <c r="I139" s="546" t="str">
        <f>IFERROR(BoltnNuts!A39,"")</f>
        <v/>
      </c>
      <c r="J139" s="546" t="str">
        <f>IFERROR(BoltnNuts!B39,"")</f>
        <v/>
      </c>
      <c r="K139" s="937" t="str">
        <f>IFERROR(BoltnNuts!C39,"")</f>
        <v/>
      </c>
      <c r="N139" s="802"/>
      <c r="O139" s="801"/>
    </row>
    <row r="140" spans="1:15" ht="19.5" hidden="1">
      <c r="A140" s="402" t="str">
        <f>IFERROR(          IF(BASIC_TOOL!$B$15=1,Panel2!A40,""),"")</f>
        <v/>
      </c>
      <c r="B140" s="402" t="str">
        <f>IFERROR(          IF(BASIC_TOOL!$B$15=1,Panel2!B40,""),"")</f>
        <v/>
      </c>
      <c r="C140" s="402" t="str">
        <f>IFERROR(          IF(BASIC_TOOL!$B$15=1,Panel2!C40,""),)</f>
        <v/>
      </c>
      <c r="D140" s="1188">
        <v>36</v>
      </c>
      <c r="I140" s="546" t="str">
        <f>IFERROR(BoltnNuts!A40,"")</f>
        <v/>
      </c>
      <c r="J140" s="546" t="str">
        <f>IFERROR(BoltnNuts!B40,"")</f>
        <v/>
      </c>
      <c r="K140" s="937" t="str">
        <f>IFERROR(BoltnNuts!C40,"")</f>
        <v/>
      </c>
      <c r="N140" s="802"/>
      <c r="O140" s="801"/>
    </row>
    <row r="141" spans="1:15" ht="19.5" hidden="1">
      <c r="A141" s="402" t="str">
        <f>IFERROR(          IF(BASIC_TOOL!$B$15=1,Panel2!A41,""),"")</f>
        <v/>
      </c>
      <c r="B141" s="402" t="str">
        <f>IFERROR(          IF(BASIC_TOOL!$B$15=1,Panel2!B41,""),"")</f>
        <v/>
      </c>
      <c r="C141" s="402" t="str">
        <f>IFERROR(          IF(BASIC_TOOL!$B$15=1,Panel2!C41,""),)</f>
        <v/>
      </c>
      <c r="D141" s="1188">
        <v>37</v>
      </c>
      <c r="I141" s="546" t="str">
        <f>IFERROR(BoltnNuts!A41,"")</f>
        <v/>
      </c>
      <c r="J141" s="546" t="str">
        <f>IFERROR(BoltnNuts!B41,"")</f>
        <v/>
      </c>
      <c r="K141" s="937" t="str">
        <f>IFERROR(BoltnNuts!C41,"")</f>
        <v/>
      </c>
      <c r="N141" s="802"/>
      <c r="O141" s="801"/>
    </row>
    <row r="142" spans="1:15" ht="19.5" hidden="1">
      <c r="A142" s="402" t="str">
        <f>IFERROR(          IF(BASIC_TOOL!$B$15=1,Panel2!A42,""),"")</f>
        <v/>
      </c>
      <c r="B142" s="402" t="str">
        <f>IFERROR(          IF(BASIC_TOOL!$B$15=1,Panel2!B42,""),"")</f>
        <v/>
      </c>
      <c r="C142" s="402" t="str">
        <f>IFERROR(          IF(BASIC_TOOL!$B$15=1,Panel2!C42,""),)</f>
        <v/>
      </c>
      <c r="D142" s="1188">
        <v>38</v>
      </c>
      <c r="I142" s="546" t="str">
        <f>IFERROR(BoltnNuts!A42,"")</f>
        <v/>
      </c>
      <c r="J142" s="546" t="str">
        <f>IFERROR(BoltnNuts!B42,"")</f>
        <v/>
      </c>
      <c r="K142" s="937" t="str">
        <f>IFERROR(BoltnNuts!C42,"")</f>
        <v/>
      </c>
    </row>
    <row r="143" spans="1:15" ht="19.5" hidden="1">
      <c r="A143" s="402" t="str">
        <f>IFERROR(          IF(BASIC_TOOL!$B$15=1,Panel2!A43,""),"")</f>
        <v/>
      </c>
      <c r="B143" s="402" t="str">
        <f>IFERROR(          IF(BASIC_TOOL!$B$15=1,Panel2!B43,""),"")</f>
        <v/>
      </c>
      <c r="C143" s="402" t="str">
        <f>IFERROR(          IF(BASIC_TOOL!$B$15=1,Panel2!C43,""),)</f>
        <v/>
      </c>
      <c r="D143" s="1188">
        <v>39</v>
      </c>
      <c r="I143" s="546" t="str">
        <f>IFERROR(BoltnNuts!A43,"")</f>
        <v/>
      </c>
      <c r="J143" s="546" t="str">
        <f>IFERROR(BoltnNuts!B43,"")</f>
        <v/>
      </c>
      <c r="K143" s="937" t="str">
        <f>IFERROR(BoltnNuts!C43,"")</f>
        <v/>
      </c>
    </row>
    <row r="144" spans="1:15" ht="19.5" hidden="1">
      <c r="A144" s="402" t="str">
        <f>IFERROR(          IF(BASIC_TOOL!$B$15=1,Panel2!A44,""),"")</f>
        <v/>
      </c>
      <c r="B144" s="402" t="str">
        <f>IFERROR(          IF(BASIC_TOOL!$B$15=1,Panel2!B44,""),"")</f>
        <v/>
      </c>
      <c r="C144" s="402" t="str">
        <f>IFERROR(          IF(BASIC_TOOL!$B$15=1,Panel2!C44,""),)</f>
        <v/>
      </c>
      <c r="D144" s="1188">
        <v>40</v>
      </c>
    </row>
    <row r="145" spans="1:4" ht="19.5" hidden="1">
      <c r="A145" s="402" t="str">
        <f>IFERROR(          IF(BASIC_TOOL!$B$15=1,Panel2!A45,""),"")</f>
        <v/>
      </c>
      <c r="B145" s="402" t="str">
        <f>IFERROR(          IF(BASIC_TOOL!$B$15=1,Panel2!B45,""),"")</f>
        <v/>
      </c>
      <c r="C145" s="402" t="str">
        <f>IFERROR(          IF(BASIC_TOOL!$B$15=1,Panel2!C45,""),)</f>
        <v/>
      </c>
      <c r="D145" s="1188">
        <v>41</v>
      </c>
    </row>
    <row r="146" spans="1:4" ht="19.5" hidden="1">
      <c r="A146" s="402" t="str">
        <f>IFERROR(          IF(BASIC_TOOL!$B$15=1,Panel2!A46,""),"")</f>
        <v/>
      </c>
      <c r="B146" s="402" t="str">
        <f>IFERROR(          IF(BASIC_TOOL!$B$15=1,Panel2!B46,""),"")</f>
        <v/>
      </c>
      <c r="C146" s="402" t="str">
        <f>IFERROR(          IF(BASIC_TOOL!$B$15=1,Panel2!C46,""),)</f>
        <v/>
      </c>
      <c r="D146" s="1188">
        <v>42</v>
      </c>
    </row>
    <row r="147" spans="1:4" ht="19.5" hidden="1">
      <c r="A147" s="402" t="str">
        <f>IFERROR(          IF(BASIC_TOOL!$B$15=1,Panel2!A47,""),"")</f>
        <v/>
      </c>
      <c r="B147" s="402" t="str">
        <f>IFERROR(          IF(BASIC_TOOL!$B$15=1,Panel2!B47,""),"")</f>
        <v/>
      </c>
      <c r="C147" s="402" t="str">
        <f>IFERROR(          IF(BASIC_TOOL!$B$15=1,Panel2!C47,""),)</f>
        <v/>
      </c>
      <c r="D147" s="1188">
        <v>43</v>
      </c>
    </row>
    <row r="148" spans="1:4" ht="19.5" hidden="1">
      <c r="A148" s="402" t="str">
        <f>IFERROR(          IF(BASIC_TOOL!$B$15=1,Panel2!A48,""),"")</f>
        <v/>
      </c>
      <c r="B148" s="402" t="str">
        <f>IFERROR(          IF(BASIC_TOOL!$B$15=1,Panel2!B48,""),"")</f>
        <v/>
      </c>
      <c r="C148" s="402" t="str">
        <f>IFERROR(          IF(BASIC_TOOL!$B$15=1,Panel2!C48,""),)</f>
        <v/>
      </c>
      <c r="D148" s="1188">
        <v>44</v>
      </c>
    </row>
    <row r="149" spans="1:4" ht="19.5" hidden="1">
      <c r="A149" s="402" t="str">
        <f>IFERROR(          IF(BASIC_TOOL!$B$15=1,Panel2!A49,""),"")</f>
        <v/>
      </c>
      <c r="B149" s="402" t="str">
        <f>IFERROR(          IF(BASIC_TOOL!$B$15=1,Panel2!B49,""),"")</f>
        <v/>
      </c>
      <c r="C149" s="402" t="str">
        <f>IFERROR(          IF(BASIC_TOOL!$B$15=1,Panel2!C49,""),)</f>
        <v/>
      </c>
      <c r="D149" s="1188">
        <v>45</v>
      </c>
    </row>
    <row r="150" spans="1:4" ht="19.5" hidden="1">
      <c r="A150" s="402" t="str">
        <f>IFERROR(          IF(BASIC_TOOL!$B$15=1,Panel2!A50,""),"")</f>
        <v/>
      </c>
      <c r="B150" s="402" t="str">
        <f>IFERROR(          IF(BASIC_TOOL!$B$15=1,Panel2!B50,""),"")</f>
        <v/>
      </c>
      <c r="C150" s="402" t="str">
        <f>IFERROR(          IF(BASIC_TOOL!$B$15=1,Panel2!C50,""),)</f>
        <v/>
      </c>
      <c r="D150" s="1188">
        <v>46</v>
      </c>
    </row>
    <row r="151" spans="1:4" ht="19.5" hidden="1">
      <c r="A151" s="402" t="str">
        <f>IFERROR(          IF(BASIC_TOOL!$B$15=1,Panel2!A51,""),"")</f>
        <v/>
      </c>
      <c r="B151" s="402" t="str">
        <f>IFERROR(          IF(BASIC_TOOL!$B$15=1,Panel2!B51,""),"")</f>
        <v/>
      </c>
      <c r="C151" s="402" t="str">
        <f>IFERROR(          IF(BASIC_TOOL!$B$15=1,Panel2!C51,""),)</f>
        <v/>
      </c>
      <c r="D151" s="1188">
        <v>47</v>
      </c>
    </row>
    <row r="152" spans="1:4" ht="19.5" hidden="1">
      <c r="A152" s="402" t="str">
        <f>IFERROR(          IF(BASIC_TOOL!$B$15=1,Panel2!A52,""),"")</f>
        <v/>
      </c>
      <c r="B152" s="402" t="str">
        <f>IFERROR(          IF(BASIC_TOOL!$B$15=1,Panel2!B52,""),"")</f>
        <v/>
      </c>
      <c r="C152" s="402" t="str">
        <f>IFERROR(          IF(BASIC_TOOL!$B$15=1,Panel2!C52,""),)</f>
        <v/>
      </c>
      <c r="D152" s="1188">
        <v>48</v>
      </c>
    </row>
    <row r="153" spans="1:4" ht="19.5" hidden="1">
      <c r="A153" s="402" t="str">
        <f>IFERROR(          IF(BASIC_TOOL!$B$15=1,Panel2!A53,""),"")</f>
        <v/>
      </c>
      <c r="B153" s="402" t="str">
        <f>IFERROR(          IF(BASIC_TOOL!$B$15=1,Panel2!B53,""),"")</f>
        <v/>
      </c>
      <c r="C153" s="402" t="str">
        <f>IFERROR(          IF(BASIC_TOOL!$B$15=1,Panel2!C53,""),)</f>
        <v/>
      </c>
      <c r="D153" s="1188">
        <v>49</v>
      </c>
    </row>
    <row r="154" spans="1:4" ht="19.5" hidden="1">
      <c r="A154" s="402" t="str">
        <f>IFERROR(          IF(BASIC_TOOL!$B$15=1,Panel2!A54,""),"")</f>
        <v/>
      </c>
      <c r="B154" s="402" t="str">
        <f>IFERROR(          IF(BASIC_TOOL!$B$15=1,Panel2!B54,""),"")</f>
        <v/>
      </c>
      <c r="C154" s="402" t="str">
        <f>IFERROR(          IF(BASIC_TOOL!$B$15=1,Panel2!C54,""),)</f>
        <v/>
      </c>
      <c r="D154" s="1188">
        <v>50</v>
      </c>
    </row>
    <row r="155" spans="1:4" ht="19.5" hidden="1">
      <c r="A155" s="402" t="str">
        <f>IFERROR(          IF(BASIC_TOOL!$B$15=1,Panel2!A55,""),"")</f>
        <v/>
      </c>
      <c r="B155" s="402" t="str">
        <f>IFERROR(          IF(BASIC_TOOL!$B$15=1,Panel2!B55,""),"")</f>
        <v/>
      </c>
      <c r="C155" s="402" t="str">
        <f>IFERROR(          IF(BASIC_TOOL!$B$15=1,Panel2!C55,""),)</f>
        <v/>
      </c>
      <c r="D155" s="1188">
        <v>51</v>
      </c>
    </row>
    <row r="156" spans="1:4" ht="19.5" hidden="1">
      <c r="A156" s="402" t="str">
        <f>IFERROR(          IF(BASIC_TOOL!$B$15=1,Panel2!A56,""),"")</f>
        <v/>
      </c>
      <c r="B156" s="402" t="str">
        <f>IFERROR(          IF(BASIC_TOOL!$B$15=1,Panel2!B56,""),"")</f>
        <v/>
      </c>
      <c r="C156" s="402" t="str">
        <f>IFERROR(          IF(BASIC_TOOL!$B$15=1,Panel2!C56,""),)</f>
        <v/>
      </c>
      <c r="D156" s="1188">
        <v>52</v>
      </c>
    </row>
    <row r="157" spans="1:4" ht="19.5" hidden="1">
      <c r="A157" s="402" t="str">
        <f>IFERROR(          IF(BASIC_TOOL!$B$15=1,Panel2!A57,""),"")</f>
        <v/>
      </c>
      <c r="B157" s="402" t="str">
        <f>IFERROR(          IF(BASIC_TOOL!$B$15=1,Panel2!B57,""),"")</f>
        <v/>
      </c>
      <c r="C157" s="402" t="str">
        <f>IFERROR(          IF(BASIC_TOOL!$B$15=1,Panel2!C57,""),)</f>
        <v/>
      </c>
      <c r="D157" s="1188">
        <v>53</v>
      </c>
    </row>
    <row r="158" spans="1:4" ht="19.5" hidden="1">
      <c r="A158" s="402" t="str">
        <f>IFERROR(          IF(BASIC_TOOL!$B$15=1,Panel2!A58,""),"")</f>
        <v/>
      </c>
      <c r="B158" s="402" t="str">
        <f>IFERROR(          IF(BASIC_TOOL!$B$15=1,Panel2!B58,""),"")</f>
        <v/>
      </c>
      <c r="C158" s="402" t="str">
        <f>IFERROR(          IF(BASIC_TOOL!$B$15=1,Panel2!C58,""),)</f>
        <v/>
      </c>
      <c r="D158" s="1188">
        <v>54</v>
      </c>
    </row>
    <row r="159" spans="1:4" ht="19.5" hidden="1">
      <c r="A159" s="402" t="str">
        <f>IFERROR(          IF(BASIC_TOOL!$B$15=1,Panel2!A59,""),"")</f>
        <v/>
      </c>
      <c r="B159" s="402" t="str">
        <f>IFERROR(          IF(BASIC_TOOL!$B$15=1,Panel2!B59,""),"")</f>
        <v/>
      </c>
      <c r="C159" s="402" t="str">
        <f>IFERROR(          IF(BASIC_TOOL!$B$15=1,Panel2!C59,""),)</f>
        <v/>
      </c>
      <c r="D159" s="1188">
        <v>55</v>
      </c>
    </row>
    <row r="160" spans="1:4" ht="19.5" hidden="1">
      <c r="A160" s="402" t="str">
        <f>IFERROR(          IF(BASIC_TOOL!$B$15=1,Panel2!A60,""),"")</f>
        <v/>
      </c>
      <c r="B160" s="402" t="str">
        <f>IFERROR(          IF(BASIC_TOOL!$B$15=1,Panel2!B60,""),"")</f>
        <v/>
      </c>
      <c r="C160" s="402" t="str">
        <f>IFERROR(          IF(BASIC_TOOL!$B$15=1,Panel2!C60,""),)</f>
        <v/>
      </c>
      <c r="D160" s="1188">
        <v>56</v>
      </c>
    </row>
    <row r="161" spans="1:4" ht="19.5" hidden="1">
      <c r="A161" s="402" t="str">
        <f>IFERROR(          IF(BASIC_TOOL!$B$15=1,Panel2!A61,""),"")</f>
        <v/>
      </c>
      <c r="B161" s="402" t="str">
        <f>IFERROR(          IF(BASIC_TOOL!$B$15=1,Panel2!B61,""),"")</f>
        <v/>
      </c>
      <c r="C161" s="402" t="str">
        <f>IFERROR(          IF(BASIC_TOOL!$B$15=1,Panel2!C61,""),)</f>
        <v/>
      </c>
      <c r="D161" s="1188">
        <v>57</v>
      </c>
    </row>
    <row r="162" spans="1:4" ht="19.5" hidden="1">
      <c r="A162" s="402" t="str">
        <f>IFERROR(          IF(BASIC_TOOL!$B$15=1,Panel2!A62,""),"")</f>
        <v/>
      </c>
      <c r="B162" s="402" t="str">
        <f>IFERROR(          IF(BASIC_TOOL!$B$15=1,Panel2!B62,""),"")</f>
        <v/>
      </c>
      <c r="C162" s="402" t="str">
        <f>IFERROR(          IF(BASIC_TOOL!$B$15=1,Panel2!C62,""),)</f>
        <v/>
      </c>
      <c r="D162" s="1188">
        <v>58</v>
      </c>
    </row>
    <row r="163" spans="1:4" ht="19.5" hidden="1">
      <c r="A163" s="402" t="str">
        <f>IFERROR(          IF(BASIC_TOOL!$B$15=1,Panel2!A63,""),"")</f>
        <v/>
      </c>
      <c r="B163" s="402" t="str">
        <f>IFERROR(          IF(BASIC_TOOL!$B$15=1,Panel2!B63,""),"")</f>
        <v/>
      </c>
      <c r="C163" s="402" t="str">
        <f>IFERROR(          IF(BASIC_TOOL!$B$15=1,Panel2!C63,""),)</f>
        <v/>
      </c>
      <c r="D163" s="1188">
        <v>59</v>
      </c>
    </row>
    <row r="164" spans="1:4" ht="19.5" hidden="1">
      <c r="A164" s="402" t="str">
        <f>IFERROR(          IF(BASIC_TOOL!$B$15=1,Panel2!A64,""),"")</f>
        <v/>
      </c>
      <c r="B164" s="402" t="str">
        <f>IFERROR(          IF(BASIC_TOOL!$B$15=1,Panel2!B64,""),"")</f>
        <v/>
      </c>
      <c r="C164" s="402" t="str">
        <f>IFERROR(          IF(BASIC_TOOL!$B$15=1,Panel2!C64,""),)</f>
        <v/>
      </c>
      <c r="D164" s="1188">
        <v>60</v>
      </c>
    </row>
    <row r="165" spans="1:4" ht="19.5" hidden="1">
      <c r="A165" s="402" t="str">
        <f>IFERROR(          IF(BASIC_TOOL!$B$15=1,Panel2!A65,""),"")</f>
        <v/>
      </c>
      <c r="B165" s="402" t="str">
        <f>IFERROR(          IF(BASIC_TOOL!$B$15=1,Panel2!B65,""),"")</f>
        <v/>
      </c>
      <c r="C165" s="402" t="str">
        <f>IFERROR(          IF(BASIC_TOOL!$B$15=1,Panel2!C65,""),)</f>
        <v/>
      </c>
      <c r="D165" s="1188">
        <v>61</v>
      </c>
    </row>
    <row r="166" spans="1:4" ht="19.5" hidden="1">
      <c r="B166" s="402" t="str">
        <f>IFERROR(          IF(BASIC_TOOL!$B$15=1,Panel2!B66,""),"")</f>
        <v/>
      </c>
      <c r="C166" s="402" t="str">
        <f>IFERROR(          IF(BASIC_TOOL!$B$15=1,Panel2!C66,""),)</f>
        <v/>
      </c>
      <c r="D166" s="1188">
        <v>62</v>
      </c>
    </row>
    <row r="167" spans="1:4" ht="20.25" hidden="1" thickBot="1">
      <c r="A167" s="636" t="s">
        <v>204</v>
      </c>
      <c r="B167" s="637"/>
      <c r="C167" s="637">
        <f>SUM(C109:C165)</f>
        <v>60</v>
      </c>
    </row>
    <row r="168" spans="1:4" hidden="1"/>
    <row r="169" spans="1:4" hidden="1"/>
    <row r="170" spans="1:4" hidden="1"/>
    <row r="171" spans="1:4" hidden="1"/>
    <row r="172" spans="1:4" hidden="1"/>
    <row r="173" spans="1:4" hidden="1"/>
    <row r="174" spans="1:4" hidden="1"/>
    <row r="175" spans="1:4" hidden="1"/>
    <row r="176" spans="1:4" hidden="1"/>
    <row r="177" hidden="1"/>
    <row r="178" hidden="1"/>
    <row r="179" hidden="1"/>
    <row r="180" hidden="1"/>
    <row r="181" hidden="1"/>
    <row r="182" hidden="1"/>
    <row r="183" hidden="1"/>
    <row r="184" hidden="1"/>
  </sheetData>
  <mergeCells count="16">
    <mergeCell ref="E3:L4"/>
    <mergeCell ref="I103:L103"/>
    <mergeCell ref="A78:A79"/>
    <mergeCell ref="A13:D13"/>
    <mergeCell ref="E103:H103"/>
    <mergeCell ref="I13:L13"/>
    <mergeCell ref="E60:H60"/>
    <mergeCell ref="Y103:AB103"/>
    <mergeCell ref="A103:D103"/>
    <mergeCell ref="E13:H13"/>
    <mergeCell ref="E30:H30"/>
    <mergeCell ref="E43:H43"/>
    <mergeCell ref="Q103:T103"/>
    <mergeCell ref="U103:X103"/>
    <mergeCell ref="I34:L34"/>
    <mergeCell ref="I58:L58"/>
  </mergeCells>
  <phoneticPr fontId="13" type="noConversion"/>
  <printOptions horizontalCentered="1" verticalCentered="1"/>
  <pageMargins left="0.21" right="0.12" top="0.3" bottom="0.4" header="0.45" footer="0.2"/>
  <pageSetup paperSize="9" scale="4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단추1_Click">
                <anchor moveWithCells="1" sizeWithCells="1">
                  <from>
                    <xdr:col>12</xdr:col>
                    <xdr:colOff>476250</xdr:colOff>
                    <xdr:row>0</xdr:row>
                    <xdr:rowOff>257175</xdr:rowOff>
                  </from>
                  <to>
                    <xdr:col>12</xdr:col>
                    <xdr:colOff>2381250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1542F98-D9BC-4309-A62A-65348F11F4F5}">
          <x14:formula1>
            <xm:f>Reference!$B$1:$B$343</xm:f>
          </x14:formula1>
          <xm:sqref>B15:B76</xm:sqref>
        </x14:dataValidation>
        <x14:dataValidation type="list" allowBlank="1" showInputMessage="1" showErrorMessage="1" xr:uid="{3D0719D1-8DF3-41D8-8DDA-D2D9E618764F}">
          <x14:formula1>
            <xm:f>Reference!$F$1:$F$24</xm:f>
          </x14:formula1>
          <xm:sqref>F32:F42</xm:sqref>
        </x14:dataValidation>
        <x14:dataValidation type="list" allowBlank="1" showInputMessage="1" showErrorMessage="1" xr:uid="{4BDCB99C-5ED5-4A4B-964A-EAA9F4BCDEA2}">
          <x14:formula1>
            <xm:f>Reference!$H$1:$H$100</xm:f>
          </x14:formula1>
          <xm:sqref>J15:J33</xm:sqref>
        </x14:dataValidation>
        <x14:dataValidation type="list" allowBlank="1" showInputMessage="1" showErrorMessage="1" xr:uid="{7BDDD2BB-E03C-4EB7-B917-6D7AF9F3EFD6}">
          <x14:formula1>
            <xm:f>Reference!$D$1:$D$100</xm:f>
          </x14:formula1>
          <xm:sqref>F15:F29</xm:sqref>
        </x14:dataValidation>
        <x14:dataValidation type="list" allowBlank="1" showInputMessage="1" showErrorMessage="1" xr:uid="{4D443A48-975D-472A-8F81-A56D71395A5C}">
          <x14:formula1>
            <xm:f>Reference!$J$1:$J$21</xm:f>
          </x14:formula1>
          <xm:sqref>F45:F59</xm:sqref>
        </x14:dataValidation>
        <x14:dataValidation type="list" allowBlank="1" showInputMessage="1" showErrorMessage="1" xr:uid="{9E882A11-58F1-41C9-97E4-AC1C3DAD1980}">
          <x14:formula1>
            <xm:f>Reference!$L$1:$L$31</xm:f>
          </x14:formula1>
          <xm:sqref>F62:F77</xm:sqref>
        </x14:dataValidation>
        <x14:dataValidation type="list" allowBlank="1" showInputMessage="1" showErrorMessage="1" xr:uid="{6F405E42-1319-42EF-9CB7-C57344BBB0F4}">
          <x14:formula1>
            <xm:f>Reference!$N$1:$N$48</xm:f>
          </x14:formula1>
          <xm:sqref>J36:J57</xm:sqref>
        </x14:dataValidation>
        <x14:dataValidation type="list" allowBlank="1" showInputMessage="1" showErrorMessage="1" xr:uid="{1C4DE1D2-20DA-4460-91CC-0925DEF77D6C}">
          <x14:formula1>
            <xm:f>Reference!$P$1:$P$19</xm:f>
          </x14:formula1>
          <xm:sqref>J60:J77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BE2B1-7B38-4A78-87B7-9643B57327BE}">
  <sheetPr codeName="Sheet62">
    <pageSetUpPr fitToPage="1"/>
  </sheetPr>
  <dimension ref="A1:AP159"/>
  <sheetViews>
    <sheetView view="pageBreakPreview" topLeftCell="A4" zoomScale="60" zoomScaleNormal="70" workbookViewId="0">
      <selection activeCell="N5" sqref="N5"/>
    </sheetView>
  </sheetViews>
  <sheetFormatPr defaultColWidth="8.875" defaultRowHeight="14.25"/>
  <cols>
    <col min="1" max="1" width="8.875" style="342"/>
    <col min="2" max="2" width="26.375" style="344" customWidth="1"/>
    <col min="3" max="3" width="15.625" style="342" customWidth="1"/>
    <col min="4" max="4" width="9.875" style="343" customWidth="1"/>
    <col min="5" max="5" width="5.375" style="343" customWidth="1"/>
    <col min="6" max="6" width="9.875" style="342" customWidth="1"/>
    <col min="7" max="7" width="9.875" style="344" customWidth="1"/>
    <col min="8" max="9" width="9.875" style="345" customWidth="1"/>
    <col min="10" max="11" width="9.875" style="342" customWidth="1"/>
    <col min="12" max="13" width="9.875" style="343" customWidth="1"/>
    <col min="14" max="15" width="12.75" style="342" customWidth="1"/>
    <col min="16" max="16" width="43.875" style="342" customWidth="1"/>
    <col min="17" max="17" width="53.625" style="342" customWidth="1"/>
    <col min="18" max="18" width="17.75" style="346" customWidth="1"/>
    <col min="19" max="19" width="9.75" style="347" customWidth="1"/>
    <col min="20" max="20" width="6.75" style="342" customWidth="1"/>
    <col min="21" max="21" width="34.375" style="342" customWidth="1"/>
    <col min="22" max="22" width="21.125" style="342" customWidth="1"/>
    <col min="23" max="23" width="9.75" style="342" customWidth="1"/>
    <col min="24" max="24" width="8.875" style="342" customWidth="1"/>
    <col min="25" max="25" width="37.125" style="342" customWidth="1"/>
    <col min="26" max="26" width="25.75" style="342" customWidth="1"/>
    <col min="27" max="28" width="8.875" style="342" customWidth="1"/>
    <col min="29" max="29" width="34.75" style="342" customWidth="1"/>
    <col min="30" max="30" width="26.125" style="342" customWidth="1"/>
    <col min="31" max="32" width="8.875" style="342" customWidth="1"/>
    <col min="33" max="33" width="28.25" style="342" customWidth="1"/>
    <col min="34" max="36" width="8.875" style="342" customWidth="1"/>
    <col min="37" max="37" width="8.875" style="342"/>
    <col min="38" max="38" width="14.375" style="342" bestFit="1" customWidth="1"/>
    <col min="39" max="40" width="8.875" style="342"/>
    <col min="41" max="41" width="11.875" style="342" bestFit="1" customWidth="1"/>
    <col min="42" max="16384" width="8.875" style="342"/>
  </cols>
  <sheetData>
    <row r="1" spans="1:42" ht="22.5" customHeight="1"/>
    <row r="2" spans="1:42" ht="22.5" customHeight="1" thickBot="1"/>
    <row r="3" spans="1:42" s="350" customFormat="1" ht="37.15" customHeight="1">
      <c r="A3" s="804"/>
      <c r="B3" s="1062"/>
      <c r="C3" s="805"/>
      <c r="D3" s="805"/>
      <c r="E3" s="990"/>
      <c r="F3" s="1485" t="s">
        <v>2073</v>
      </c>
      <c r="G3" s="1475"/>
      <c r="H3" s="1475"/>
      <c r="I3" s="1475"/>
      <c r="J3" s="1475"/>
      <c r="K3" s="1475"/>
      <c r="L3" s="1475"/>
      <c r="M3" s="1475"/>
      <c r="N3" s="1475"/>
      <c r="O3" s="1475"/>
      <c r="P3" s="1476"/>
      <c r="Q3" s="970"/>
      <c r="R3" s="349"/>
      <c r="S3" s="348"/>
      <c r="T3" s="348"/>
    </row>
    <row r="4" spans="1:42" ht="37.15" customHeight="1">
      <c r="A4" s="806"/>
      <c r="B4" s="1063"/>
      <c r="C4" s="350"/>
      <c r="D4" s="350"/>
      <c r="E4" s="807"/>
      <c r="F4" s="1486"/>
      <c r="G4" s="1487"/>
      <c r="H4" s="1487"/>
      <c r="I4" s="1487"/>
      <c r="J4" s="1487"/>
      <c r="K4" s="1487"/>
      <c r="L4" s="1487"/>
      <c r="M4" s="1487"/>
      <c r="N4" s="1487"/>
      <c r="O4" s="1487"/>
      <c r="P4" s="1488"/>
      <c r="Q4" s="970"/>
      <c r="R4" s="348"/>
      <c r="S4" s="348"/>
      <c r="T4" s="348"/>
    </row>
    <row r="5" spans="1:42" ht="37.15" customHeight="1">
      <c r="A5" s="806"/>
      <c r="B5" s="1063"/>
      <c r="C5" s="350"/>
      <c r="D5" s="350"/>
      <c r="E5" s="807"/>
      <c r="F5" s="217" t="str">
        <f>'PRINTOUT(BOM)'!E5</f>
        <v xml:space="preserve">▣ Company : ABC                        </v>
      </c>
      <c r="G5" s="115"/>
      <c r="H5" s="646"/>
      <c r="I5" s="821"/>
      <c r="L5" s="645"/>
      <c r="M5" s="645"/>
      <c r="N5" s="646" t="str">
        <f>'PRINTOUT(BOM)'!H5</f>
        <v>▣ Project Name :A Project</v>
      </c>
      <c r="O5" s="217"/>
      <c r="P5" s="1010">
        <f>'PRINTOUT(BOM)'!J5</f>
        <v>0</v>
      </c>
      <c r="Q5" s="819"/>
      <c r="R5" s="348"/>
      <c r="S5" s="348"/>
      <c r="T5" s="348"/>
    </row>
    <row r="6" spans="1:42" ht="37.15" customHeight="1">
      <c r="A6" s="1005"/>
      <c r="B6" s="1064"/>
      <c r="C6" s="1003"/>
      <c r="D6" s="1003"/>
      <c r="E6" s="1004"/>
      <c r="F6" s="967">
        <f>'PRINTOUT(BOM)'!E6</f>
        <v>0</v>
      </c>
      <c r="G6" s="964"/>
      <c r="H6" s="965"/>
      <c r="I6" s="966"/>
      <c r="J6" s="967"/>
      <c r="K6" s="967"/>
      <c r="L6" s="968"/>
      <c r="M6" s="968"/>
      <c r="N6" s="965">
        <f>'PRINTOUT(BOM)'!H6</f>
        <v>0</v>
      </c>
      <c r="O6" s="969"/>
      <c r="P6" s="991"/>
      <c r="Q6" s="348"/>
      <c r="R6" s="348"/>
      <c r="S6" s="348"/>
      <c r="T6" s="348"/>
    </row>
    <row r="7" spans="1:42" s="354" customFormat="1" ht="25.5">
      <c r="A7" s="992"/>
      <c r="B7" s="115" t="str">
        <f>'PRINTOUT(BOM)'!A7</f>
        <v>▣ Size : 10mW x (5)mL x3mH =150 [TON]/ 1[SET]</v>
      </c>
      <c r="C7" s="217"/>
      <c r="D7" s="646"/>
      <c r="E7" s="217"/>
      <c r="F7" s="217"/>
      <c r="G7" s="217"/>
      <c r="H7" s="646"/>
      <c r="I7" s="217"/>
      <c r="J7" s="217"/>
      <c r="K7" s="217"/>
      <c r="L7" s="646"/>
      <c r="M7" s="217"/>
      <c r="N7" s="353"/>
      <c r="O7" s="353"/>
      <c r="P7" s="993"/>
      <c r="Q7" s="353"/>
      <c r="S7" s="355"/>
    </row>
    <row r="8" spans="1:42" s="354" customFormat="1" ht="25.5">
      <c r="A8" s="992"/>
      <c r="B8" s="115" t="str">
        <f>'PRINTOUT(BOM)'!A8</f>
        <v>▣ Reinforcement:  Internal       /    MNT</v>
      </c>
      <c r="C8" s="114"/>
      <c r="D8" s="645"/>
      <c r="E8" s="114"/>
      <c r="H8" s="645"/>
      <c r="I8" s="114"/>
      <c r="J8" s="114"/>
      <c r="K8" s="115" t="str">
        <f>'PRINTOUT(BOM)'!F8</f>
        <v>▣ Bolts and Nuts : EXT:HDG+INT:SS316</v>
      </c>
      <c r="L8" s="115"/>
      <c r="M8" s="114"/>
      <c r="N8" s="651"/>
      <c r="O8" s="651"/>
      <c r="P8" s="994"/>
      <c r="R8" s="351"/>
      <c r="S8" s="355"/>
    </row>
    <row r="9" spans="1:42" s="362" customFormat="1" ht="20.25" customHeight="1">
      <c r="A9" s="1491" t="s">
        <v>335</v>
      </c>
      <c r="B9" s="1489" t="s">
        <v>183</v>
      </c>
      <c r="C9" s="1489"/>
      <c r="D9" s="1489"/>
      <c r="E9" s="1489"/>
      <c r="F9" s="983" t="s">
        <v>2165</v>
      </c>
      <c r="G9" s="1489" t="s">
        <v>2167</v>
      </c>
      <c r="H9" s="1489"/>
      <c r="I9" s="1489"/>
      <c r="J9" s="1489"/>
      <c r="K9" s="1489"/>
      <c r="L9" s="1489"/>
      <c r="M9" s="1489"/>
      <c r="N9" s="1489"/>
      <c r="O9" s="1489"/>
      <c r="P9" s="1490"/>
      <c r="Q9" s="986"/>
      <c r="R9" s="1492" t="s">
        <v>2074</v>
      </c>
      <c r="S9" s="1493" t="s">
        <v>2075</v>
      </c>
      <c r="T9" s="1493" t="s">
        <v>2076</v>
      </c>
      <c r="U9" s="1493" t="s">
        <v>2077</v>
      </c>
      <c r="V9" s="1493" t="s">
        <v>2078</v>
      </c>
      <c r="W9" s="1050" t="s">
        <v>2079</v>
      </c>
      <c r="X9" s="1050" t="s">
        <v>2080</v>
      </c>
      <c r="Y9" s="1050" t="s">
        <v>2081</v>
      </c>
      <c r="Z9" s="1050" t="s">
        <v>2082</v>
      </c>
      <c r="AA9" s="1050" t="s">
        <v>2083</v>
      </c>
      <c r="AB9" s="1081">
        <v>4</v>
      </c>
      <c r="AC9" s="1081">
        <v>5</v>
      </c>
      <c r="AD9" s="1081">
        <v>6</v>
      </c>
      <c r="AE9" s="1484" t="s">
        <v>2084</v>
      </c>
      <c r="AF9" s="1484"/>
      <c r="AG9" s="1484" t="s">
        <v>116</v>
      </c>
    </row>
    <row r="10" spans="1:42" s="362" customFormat="1" ht="20.25" customHeight="1">
      <c r="A10" s="1491"/>
      <c r="B10" s="1065" t="s">
        <v>176</v>
      </c>
      <c r="C10" s="983" t="s">
        <v>177</v>
      </c>
      <c r="D10" s="961" t="s">
        <v>168</v>
      </c>
      <c r="E10" s="979" t="s">
        <v>422</v>
      </c>
      <c r="F10" s="983"/>
      <c r="G10" s="962" t="s">
        <v>2079</v>
      </c>
      <c r="H10" s="962" t="s">
        <v>2080</v>
      </c>
      <c r="I10" s="962" t="s">
        <v>2081</v>
      </c>
      <c r="J10" s="962" t="s">
        <v>2082</v>
      </c>
      <c r="K10" s="962" t="s">
        <v>2083</v>
      </c>
      <c r="L10" s="963">
        <v>4</v>
      </c>
      <c r="M10" s="963">
        <v>5</v>
      </c>
      <c r="N10" s="963">
        <v>6</v>
      </c>
      <c r="O10" s="963" t="s">
        <v>2166</v>
      </c>
      <c r="P10" s="995" t="s">
        <v>2232</v>
      </c>
      <c r="Q10" s="987"/>
      <c r="R10" s="1492"/>
      <c r="S10" s="1493"/>
      <c r="T10" s="1493"/>
      <c r="U10" s="1484"/>
      <c r="V10" s="1493"/>
      <c r="W10" s="1081" t="s">
        <v>2085</v>
      </c>
      <c r="X10" s="1081" t="s">
        <v>2085</v>
      </c>
      <c r="Y10" s="1050" t="s">
        <v>2086</v>
      </c>
      <c r="Z10" s="1081" t="s">
        <v>2085</v>
      </c>
      <c r="AA10" s="1081" t="s">
        <v>2085</v>
      </c>
      <c r="AB10" s="1081" t="s">
        <v>2085</v>
      </c>
      <c r="AC10" s="1081" t="s">
        <v>2085</v>
      </c>
      <c r="AD10" s="1081" t="s">
        <v>2085</v>
      </c>
      <c r="AE10" s="1082" t="s">
        <v>2087</v>
      </c>
      <c r="AF10" s="1081" t="s">
        <v>2088</v>
      </c>
      <c r="AG10" s="1484"/>
    </row>
    <row r="11" spans="1:42" s="363" customFormat="1" ht="31.5" customHeight="1">
      <c r="A11" s="996"/>
      <c r="B11" s="830" t="str">
        <f>'PRINTOUT(BOM)'!A15</f>
        <v>Manhole</v>
      </c>
      <c r="C11" s="1006" t="str">
        <f>'PRINTOUT(BOM)'!B15</f>
        <v>MF00M</v>
      </c>
      <c r="D11" s="1006">
        <f>'PRINTOUT(BOM)'!C15</f>
        <v>1</v>
      </c>
      <c r="E11" s="980"/>
      <c r="F11" s="981" t="str">
        <f t="shared" ref="F11:F46" si="0">IFERROR(VLOOKUP(C11,$U:$AF,2,FALSE),"")</f>
        <v>RM</v>
      </c>
      <c r="G11" s="981" t="str">
        <f t="shared" ref="G11:G40" si="1">IFERROR(VLOOKUP(C11,$U:$AF,3,FALSE),"")</f>
        <v>ON</v>
      </c>
      <c r="H11" s="981" t="str">
        <f t="shared" ref="H11:H40" si="2">IFERROR(VLOOKUP(C11,$U:$AF,4,FALSE),"")</f>
        <v>OFF</v>
      </c>
      <c r="I11" s="981" t="str">
        <f t="shared" ref="I11:I40" si="3">IFERROR(VLOOKUP(C11,$U:$AF,5,FALSE),"")</f>
        <v>2-1</v>
      </c>
      <c r="J11" s="981" t="str">
        <f t="shared" ref="J11:J40" si="4">IFERROR(VLOOKUP(C11,$U:$AF,6,FALSE),"")</f>
        <v>ON</v>
      </c>
      <c r="K11" s="981" t="str">
        <f t="shared" ref="K11:K40" si="5">IFERROR(VLOOKUP(C11,$U:$AF,7,FALSE),"")</f>
        <v>OFF</v>
      </c>
      <c r="L11" s="981" t="str">
        <f t="shared" ref="L11:L40" si="6">IFERROR(VLOOKUP(C11,$U:$AF,8,FALSE),"")</f>
        <v>ON</v>
      </c>
      <c r="M11" s="981" t="str">
        <f t="shared" ref="M11:M40" si="7">IFERROR(VLOOKUP(C11,$U:$AF,9,FALSE),"")</f>
        <v>OFF</v>
      </c>
      <c r="N11" s="980" t="str">
        <f t="shared" ref="N11:N40" si="8">IFERROR(VLOOKUP(C11,$U:$AF,10,FALSE),"")</f>
        <v>OFF</v>
      </c>
      <c r="O11" s="980" t="str">
        <f t="shared" ref="O11:O40" si="9">IFERROR(VLOOKUP(C11,$U:$AF,11,FALSE),"")</f>
        <v>ZIG A</v>
      </c>
      <c r="P11" s="997" t="str">
        <f t="shared" ref="P11:P21" si="10">IFERROR(VLOOKUP(C11,$U:$AF,12,FALSE),"")</f>
        <v xml:space="preserve">DISMENTAL DRILL BIT 4 PCS ON1-1,2-1,3-1,4 </v>
      </c>
      <c r="R11" s="1040">
        <v>1</v>
      </c>
      <c r="S11" s="1041" t="s">
        <v>2089</v>
      </c>
      <c r="T11" s="1051" t="s">
        <v>2090</v>
      </c>
      <c r="U11" s="1043" t="s">
        <v>2091</v>
      </c>
      <c r="V11" s="1044" t="s">
        <v>2092</v>
      </c>
      <c r="W11" s="1044" t="s">
        <v>2093</v>
      </c>
      <c r="X11" s="1044" t="s">
        <v>2094</v>
      </c>
      <c r="Y11" s="1045" t="s">
        <v>2081</v>
      </c>
      <c r="Z11" s="1044" t="s">
        <v>2093</v>
      </c>
      <c r="AA11" s="1044" t="s">
        <v>2094</v>
      </c>
      <c r="AB11" s="1044" t="s">
        <v>2093</v>
      </c>
      <c r="AC11" s="1044" t="s">
        <v>2094</v>
      </c>
      <c r="AD11" s="1044" t="s">
        <v>2094</v>
      </c>
      <c r="AE11" s="1044" t="s">
        <v>2095</v>
      </c>
      <c r="AF11" s="1047" t="s">
        <v>2096</v>
      </c>
      <c r="AG11" s="1048"/>
      <c r="AL11" s="199" t="s">
        <v>1326</v>
      </c>
      <c r="AM11" s="199">
        <v>2</v>
      </c>
      <c r="AO11" s="546" t="s">
        <v>1326</v>
      </c>
      <c r="AP11" s="845">
        <v>2</v>
      </c>
    </row>
    <row r="12" spans="1:42" s="363" customFormat="1" ht="31.5" customHeight="1">
      <c r="A12" s="996"/>
      <c r="B12" s="830" t="str">
        <f>'PRINTOUT(BOM)'!A16</f>
        <v xml:space="preserve">Roof </v>
      </c>
      <c r="C12" s="1006" t="str">
        <f>'PRINTOUT(BOM)'!B16</f>
        <v>RF00M</v>
      </c>
      <c r="D12" s="1006">
        <f>'PRINTOUT(BOM)'!C16</f>
        <v>49</v>
      </c>
      <c r="E12" s="980"/>
      <c r="F12" s="981" t="str">
        <f t="shared" si="0"/>
        <v>RM</v>
      </c>
      <c r="G12" s="981" t="str">
        <f t="shared" si="1"/>
        <v>ON</v>
      </c>
      <c r="H12" s="981" t="str">
        <f t="shared" si="2"/>
        <v>OFF</v>
      </c>
      <c r="I12" s="981" t="str">
        <f t="shared" si="3"/>
        <v>2-1</v>
      </c>
      <c r="J12" s="981" t="str">
        <f t="shared" si="4"/>
        <v>ON</v>
      </c>
      <c r="K12" s="981" t="str">
        <f t="shared" si="5"/>
        <v>OFF</v>
      </c>
      <c r="L12" s="981" t="str">
        <f t="shared" si="6"/>
        <v>ON</v>
      </c>
      <c r="M12" s="981" t="str">
        <f t="shared" si="7"/>
        <v>OFF</v>
      </c>
      <c r="N12" s="980" t="str">
        <f t="shared" si="8"/>
        <v>OFF</v>
      </c>
      <c r="O12" s="980" t="str">
        <f t="shared" si="9"/>
        <v>ZIG A</v>
      </c>
      <c r="P12" s="997" t="str">
        <f t="shared" si="10"/>
        <v xml:space="preserve">DISMENTAL DRILL BIT 4 PCS ON1-1,2-1,3-1,4 </v>
      </c>
      <c r="R12" s="1040">
        <v>2</v>
      </c>
      <c r="S12" s="1041" t="s">
        <v>2097</v>
      </c>
      <c r="T12" s="1042" t="s">
        <v>2098</v>
      </c>
      <c r="U12" s="1043" t="s">
        <v>2099</v>
      </c>
      <c r="V12" s="1044" t="s">
        <v>2092</v>
      </c>
      <c r="W12" s="1044" t="s">
        <v>2093</v>
      </c>
      <c r="X12" s="1044" t="s">
        <v>2094</v>
      </c>
      <c r="Y12" s="1045" t="s">
        <v>2081</v>
      </c>
      <c r="Z12" s="1044" t="s">
        <v>2093</v>
      </c>
      <c r="AA12" s="1044" t="s">
        <v>2094</v>
      </c>
      <c r="AB12" s="1044" t="s">
        <v>2093</v>
      </c>
      <c r="AC12" s="1044" t="s">
        <v>2094</v>
      </c>
      <c r="AD12" s="1044" t="s">
        <v>2094</v>
      </c>
      <c r="AE12" s="1044" t="s">
        <v>2095</v>
      </c>
      <c r="AF12" s="1047" t="s">
        <v>2096</v>
      </c>
      <c r="AG12" s="1048"/>
      <c r="AL12" s="199" t="s">
        <v>1327</v>
      </c>
      <c r="AM12" s="199">
        <v>46</v>
      </c>
      <c r="AO12" s="546" t="s">
        <v>1327</v>
      </c>
      <c r="AP12" s="845">
        <v>46</v>
      </c>
    </row>
    <row r="13" spans="1:42" s="363" customFormat="1" ht="31.5" customHeight="1">
      <c r="A13" s="996"/>
      <c r="B13" s="830" t="str">
        <f>'PRINTOUT(BOM)'!A17</f>
        <v>Base</v>
      </c>
      <c r="C13" s="1006" t="str">
        <f>'PRINTOUT(BOM)'!B17</f>
        <v>BF30M</v>
      </c>
      <c r="D13" s="1006">
        <f>'PRINTOUT(BOM)'!C17</f>
        <v>49</v>
      </c>
      <c r="E13" s="980"/>
      <c r="F13" s="981" t="str">
        <f t="shared" si="0"/>
        <v>BM</v>
      </c>
      <c r="G13" s="981" t="str">
        <f t="shared" si="1"/>
        <v>ON</v>
      </c>
      <c r="H13" s="981" t="str">
        <f t="shared" si="2"/>
        <v>OFF</v>
      </c>
      <c r="I13" s="981" t="str">
        <f t="shared" si="3"/>
        <v>2-1</v>
      </c>
      <c r="J13" s="981" t="str">
        <f t="shared" si="4"/>
        <v>ON</v>
      </c>
      <c r="K13" s="981" t="str">
        <f t="shared" si="5"/>
        <v>OFF</v>
      </c>
      <c r="L13" s="981" t="str">
        <f t="shared" si="6"/>
        <v>ON</v>
      </c>
      <c r="M13" s="981" t="str">
        <f t="shared" si="7"/>
        <v>OFF</v>
      </c>
      <c r="N13" s="980" t="str">
        <f t="shared" si="8"/>
        <v>OFF</v>
      </c>
      <c r="O13" s="980">
        <f t="shared" si="9"/>
        <v>0</v>
      </c>
      <c r="P13" s="997">
        <f t="shared" si="10"/>
        <v>0</v>
      </c>
      <c r="R13" s="1040">
        <v>3</v>
      </c>
      <c r="S13" s="1041" t="s">
        <v>2100</v>
      </c>
      <c r="T13" s="1042" t="s">
        <v>2101</v>
      </c>
      <c r="U13" s="1043" t="s">
        <v>2266</v>
      </c>
      <c r="V13" s="1044" t="s">
        <v>2102</v>
      </c>
      <c r="W13" s="1044" t="s">
        <v>2093</v>
      </c>
      <c r="X13" s="1044" t="s">
        <v>2094</v>
      </c>
      <c r="Y13" s="1045" t="s">
        <v>2081</v>
      </c>
      <c r="Z13" s="1044" t="s">
        <v>2093</v>
      </c>
      <c r="AA13" s="1044" t="s">
        <v>2094</v>
      </c>
      <c r="AB13" s="1044" t="s">
        <v>2093</v>
      </c>
      <c r="AC13" s="1044" t="s">
        <v>2094</v>
      </c>
      <c r="AD13" s="1044" t="s">
        <v>2094</v>
      </c>
      <c r="AE13" s="1044" t="s">
        <v>2095</v>
      </c>
      <c r="AF13" s="1047" t="s">
        <v>2103</v>
      </c>
      <c r="AG13" s="1048"/>
      <c r="AL13" s="199" t="s">
        <v>2237</v>
      </c>
      <c r="AM13" s="199">
        <v>4</v>
      </c>
      <c r="AO13" s="546" t="s">
        <v>2237</v>
      </c>
      <c r="AP13" s="845">
        <v>4</v>
      </c>
    </row>
    <row r="14" spans="1:42" s="363" customFormat="1" ht="31.5" customHeight="1">
      <c r="A14" s="996"/>
      <c r="B14" s="830" t="str">
        <f>'PRINTOUT(BOM)'!A18</f>
        <v>Nozzle_Drain</v>
      </c>
      <c r="C14" s="1006" t="str">
        <f>'PRINTOUT(BOM)'!B18</f>
        <v>DN30M</v>
      </c>
      <c r="D14" s="1006">
        <f>'PRINTOUT(BOM)'!C18</f>
        <v>1</v>
      </c>
      <c r="E14" s="980"/>
      <c r="F14" s="981" t="str">
        <f t="shared" si="0"/>
        <v>BM</v>
      </c>
      <c r="G14" s="981" t="str">
        <f t="shared" si="1"/>
        <v>ON</v>
      </c>
      <c r="H14" s="981" t="str">
        <f t="shared" si="2"/>
        <v>OFF</v>
      </c>
      <c r="I14" s="981" t="str">
        <f t="shared" si="3"/>
        <v>2-1</v>
      </c>
      <c r="J14" s="981" t="str">
        <f t="shared" si="4"/>
        <v>ON</v>
      </c>
      <c r="K14" s="981" t="str">
        <f t="shared" si="5"/>
        <v>OFF</v>
      </c>
      <c r="L14" s="981" t="str">
        <f t="shared" si="6"/>
        <v>ON</v>
      </c>
      <c r="M14" s="981" t="str">
        <f t="shared" si="7"/>
        <v>OFF</v>
      </c>
      <c r="N14" s="980" t="str">
        <f t="shared" si="8"/>
        <v>OFF</v>
      </c>
      <c r="O14" s="980">
        <f t="shared" si="9"/>
        <v>0</v>
      </c>
      <c r="P14" s="997">
        <f t="shared" si="10"/>
        <v>0</v>
      </c>
      <c r="R14" s="1040">
        <v>4</v>
      </c>
      <c r="S14" s="1041" t="s">
        <v>2104</v>
      </c>
      <c r="T14" s="1042" t="s">
        <v>2105</v>
      </c>
      <c r="U14" s="1043" t="s">
        <v>2323</v>
      </c>
      <c r="V14" s="1044" t="s">
        <v>2106</v>
      </c>
      <c r="W14" s="1044" t="s">
        <v>2093</v>
      </c>
      <c r="X14" s="1044" t="s">
        <v>2094</v>
      </c>
      <c r="Y14" s="1045" t="s">
        <v>2081</v>
      </c>
      <c r="Z14" s="1044" t="s">
        <v>2093</v>
      </c>
      <c r="AA14" s="1044" t="s">
        <v>2094</v>
      </c>
      <c r="AB14" s="1044" t="s">
        <v>2093</v>
      </c>
      <c r="AC14" s="1044" t="s">
        <v>2094</v>
      </c>
      <c r="AD14" s="1044" t="s">
        <v>2094</v>
      </c>
      <c r="AE14" s="1044" t="s">
        <v>2107</v>
      </c>
      <c r="AF14" s="1047" t="s">
        <v>2108</v>
      </c>
      <c r="AG14" s="1048"/>
      <c r="AL14" s="199" t="s">
        <v>1334</v>
      </c>
      <c r="AM14" s="199">
        <v>42</v>
      </c>
      <c r="AO14" s="546" t="s">
        <v>1334</v>
      </c>
      <c r="AP14" s="845">
        <v>42</v>
      </c>
    </row>
    <row r="15" spans="1:42" s="363" customFormat="1" ht="31.5" customHeight="1">
      <c r="A15" s="996"/>
      <c r="B15" s="830" t="str">
        <f>'PRINTOUT(BOM)'!A19</f>
        <v>Side Top</v>
      </c>
      <c r="C15" s="1006" t="str">
        <f>'PRINTOUT(BOM)'!B19</f>
        <v>SL20T</v>
      </c>
      <c r="D15" s="1006">
        <f>'PRINTOUT(BOM)'!C19</f>
        <v>30</v>
      </c>
      <c r="E15" s="980"/>
      <c r="F15" s="981" t="str">
        <f t="shared" si="0"/>
        <v>S20T</v>
      </c>
      <c r="G15" s="981" t="str">
        <f t="shared" si="1"/>
        <v>ON</v>
      </c>
      <c r="H15" s="981" t="str">
        <f t="shared" si="2"/>
        <v>ON</v>
      </c>
      <c r="I15" s="981" t="str">
        <f t="shared" si="3"/>
        <v>2-1</v>
      </c>
      <c r="J15" s="981" t="str">
        <f t="shared" si="4"/>
        <v>ON</v>
      </c>
      <c r="K15" s="981" t="str">
        <f t="shared" si="5"/>
        <v>ON</v>
      </c>
      <c r="L15" s="981" t="str">
        <f t="shared" si="6"/>
        <v>OFF</v>
      </c>
      <c r="M15" s="981" t="str">
        <f t="shared" si="7"/>
        <v>OFF</v>
      </c>
      <c r="N15" s="980" t="str">
        <f t="shared" si="8"/>
        <v>ON</v>
      </c>
      <c r="O15" s="980" t="str">
        <f t="shared" si="9"/>
        <v>ZIG C</v>
      </c>
      <c r="P15" s="997">
        <f t="shared" si="10"/>
        <v>0</v>
      </c>
      <c r="R15" s="1040">
        <v>5</v>
      </c>
      <c r="S15" s="1041" t="s">
        <v>2109</v>
      </c>
      <c r="T15" s="1042" t="s">
        <v>2110</v>
      </c>
      <c r="U15" s="1043" t="s">
        <v>2168</v>
      </c>
      <c r="V15" s="1044" t="s">
        <v>2111</v>
      </c>
      <c r="W15" s="1044" t="s">
        <v>2093</v>
      </c>
      <c r="X15" s="1044" t="s">
        <v>2094</v>
      </c>
      <c r="Y15" s="1045" t="s">
        <v>2081</v>
      </c>
      <c r="Z15" s="1044" t="s">
        <v>2093</v>
      </c>
      <c r="AA15" s="1044" t="s">
        <v>2094</v>
      </c>
      <c r="AB15" s="1044" t="s">
        <v>2093</v>
      </c>
      <c r="AC15" s="1044" t="s">
        <v>2094</v>
      </c>
      <c r="AD15" s="1044" t="s">
        <v>2094</v>
      </c>
      <c r="AE15" s="1046"/>
      <c r="AF15" s="1047"/>
      <c r="AG15" s="1048"/>
      <c r="AL15" s="199" t="s">
        <v>1341</v>
      </c>
      <c r="AM15" s="199">
        <v>4</v>
      </c>
      <c r="AO15" s="546" t="s">
        <v>1341</v>
      </c>
      <c r="AP15" s="845">
        <v>4</v>
      </c>
    </row>
    <row r="16" spans="1:42" s="363" customFormat="1" ht="31.5" customHeight="1">
      <c r="A16" s="996"/>
      <c r="B16" s="830" t="str">
        <f>'PRINTOUT(BOM)'!A20</f>
        <v>Side_Low</v>
      </c>
      <c r="C16" s="1006" t="str">
        <f>'PRINTOUT(BOM)'!B20</f>
        <v>SF30L</v>
      </c>
      <c r="D16" s="1006">
        <f>'PRINTOUT(BOM)'!C20</f>
        <v>30</v>
      </c>
      <c r="E16" s="980"/>
      <c r="F16" s="981" t="str">
        <f t="shared" si="0"/>
        <v>S10L</v>
      </c>
      <c r="G16" s="981" t="str">
        <f t="shared" si="1"/>
        <v>ON</v>
      </c>
      <c r="H16" s="981" t="str">
        <f t="shared" si="2"/>
        <v>OFF</v>
      </c>
      <c r="I16" s="981" t="str">
        <f t="shared" si="3"/>
        <v>2-2</v>
      </c>
      <c r="J16" s="981" t="str">
        <f t="shared" si="4"/>
        <v>ON</v>
      </c>
      <c r="K16" s="981" t="str">
        <f t="shared" si="5"/>
        <v>OFF</v>
      </c>
      <c r="L16" s="981" t="str">
        <f t="shared" si="6"/>
        <v>ON</v>
      </c>
      <c r="M16" s="981" t="str">
        <f t="shared" si="7"/>
        <v>ON</v>
      </c>
      <c r="N16" s="980" t="str">
        <f t="shared" si="8"/>
        <v>OFF</v>
      </c>
      <c r="O16" s="980">
        <f t="shared" si="9"/>
        <v>0</v>
      </c>
      <c r="P16" s="997">
        <f t="shared" si="10"/>
        <v>0</v>
      </c>
      <c r="R16" s="1040">
        <v>6</v>
      </c>
      <c r="S16" s="1041" t="s">
        <v>2109</v>
      </c>
      <c r="T16" s="1042" t="s">
        <v>2110</v>
      </c>
      <c r="U16" s="1043" t="s">
        <v>2169</v>
      </c>
      <c r="V16" s="1044" t="s">
        <v>2111</v>
      </c>
      <c r="W16" s="1044" t="s">
        <v>2093</v>
      </c>
      <c r="X16" s="1044" t="s">
        <v>2094</v>
      </c>
      <c r="Y16" s="1045" t="s">
        <v>2081</v>
      </c>
      <c r="Z16" s="1044" t="s">
        <v>2093</v>
      </c>
      <c r="AA16" s="1044" t="s">
        <v>2094</v>
      </c>
      <c r="AB16" s="1044" t="s">
        <v>2093</v>
      </c>
      <c r="AC16" s="1044" t="s">
        <v>2094</v>
      </c>
      <c r="AD16" s="1044" t="s">
        <v>2094</v>
      </c>
      <c r="AE16" s="1046"/>
      <c r="AF16" s="1047"/>
      <c r="AG16" s="1048"/>
      <c r="AL16" s="199" t="s">
        <v>1348</v>
      </c>
      <c r="AM16" s="199">
        <v>4</v>
      </c>
      <c r="AO16" s="546" t="s">
        <v>1348</v>
      </c>
      <c r="AP16" s="845">
        <v>4</v>
      </c>
    </row>
    <row r="17" spans="1:42" s="363" customFormat="1" ht="31.5" customHeight="1">
      <c r="A17" s="996"/>
      <c r="B17" s="830" t="str">
        <f>'PRINTOUT(BOM)'!A21</f>
        <v/>
      </c>
      <c r="C17" s="1006">
        <f>'PRINTOUT(BOM)'!B21</f>
        <v>0</v>
      </c>
      <c r="D17" s="1006">
        <f>'PRINTOUT(BOM)'!C21</f>
        <v>0</v>
      </c>
      <c r="E17" s="980"/>
      <c r="F17" s="981" t="str">
        <f t="shared" si="0"/>
        <v/>
      </c>
      <c r="G17" s="981" t="str">
        <f t="shared" si="1"/>
        <v/>
      </c>
      <c r="H17" s="981" t="str">
        <f t="shared" si="2"/>
        <v/>
      </c>
      <c r="I17" s="981" t="str">
        <f t="shared" si="3"/>
        <v/>
      </c>
      <c r="J17" s="981" t="str">
        <f t="shared" si="4"/>
        <v/>
      </c>
      <c r="K17" s="981" t="str">
        <f t="shared" si="5"/>
        <v/>
      </c>
      <c r="L17" s="981" t="str">
        <f t="shared" si="6"/>
        <v/>
      </c>
      <c r="M17" s="981" t="str">
        <f t="shared" si="7"/>
        <v/>
      </c>
      <c r="N17" s="980" t="str">
        <f t="shared" si="8"/>
        <v/>
      </c>
      <c r="O17" s="980" t="str">
        <f t="shared" si="9"/>
        <v/>
      </c>
      <c r="P17" s="997" t="str">
        <f t="shared" si="10"/>
        <v/>
      </c>
      <c r="R17" s="1040">
        <v>7</v>
      </c>
      <c r="S17" s="1041" t="s">
        <v>2109</v>
      </c>
      <c r="T17" s="1042" t="s">
        <v>2110</v>
      </c>
      <c r="U17" s="1043" t="s">
        <v>2170</v>
      </c>
      <c r="V17" s="1044" t="s">
        <v>2111</v>
      </c>
      <c r="W17" s="1044" t="s">
        <v>2093</v>
      </c>
      <c r="X17" s="1044" t="s">
        <v>2094</v>
      </c>
      <c r="Y17" s="1045" t="s">
        <v>2081</v>
      </c>
      <c r="Z17" s="1044" t="s">
        <v>2093</v>
      </c>
      <c r="AA17" s="1044" t="s">
        <v>2094</v>
      </c>
      <c r="AB17" s="1044" t="s">
        <v>2093</v>
      </c>
      <c r="AC17" s="1044" t="s">
        <v>2094</v>
      </c>
      <c r="AD17" s="1044" t="s">
        <v>2094</v>
      </c>
      <c r="AE17" s="1046"/>
      <c r="AF17" s="1047"/>
      <c r="AG17" s="1048"/>
      <c r="AL17" s="199" t="s">
        <v>1782</v>
      </c>
      <c r="AM17" s="199">
        <v>2</v>
      </c>
      <c r="AO17" s="546" t="s">
        <v>1782</v>
      </c>
      <c r="AP17" s="845">
        <v>2</v>
      </c>
    </row>
    <row r="18" spans="1:42" s="363" customFormat="1" ht="31.5" customHeight="1">
      <c r="A18" s="996"/>
      <c r="B18" s="830" t="str">
        <f>'PRINTOUT(BOM)'!A22</f>
        <v/>
      </c>
      <c r="C18" s="1006">
        <f>'PRINTOUT(BOM)'!B22</f>
        <v>0</v>
      </c>
      <c r="D18" s="1006">
        <f>'PRINTOUT(BOM)'!C22</f>
        <v>0</v>
      </c>
      <c r="E18" s="980"/>
      <c r="F18" s="981" t="str">
        <f t="shared" si="0"/>
        <v/>
      </c>
      <c r="G18" s="981" t="str">
        <f t="shared" si="1"/>
        <v/>
      </c>
      <c r="H18" s="981" t="str">
        <f t="shared" si="2"/>
        <v/>
      </c>
      <c r="I18" s="981" t="str">
        <f t="shared" si="3"/>
        <v/>
      </c>
      <c r="J18" s="981" t="str">
        <f t="shared" si="4"/>
        <v/>
      </c>
      <c r="K18" s="981" t="str">
        <f t="shared" si="5"/>
        <v/>
      </c>
      <c r="L18" s="981" t="str">
        <f t="shared" si="6"/>
        <v/>
      </c>
      <c r="M18" s="981" t="str">
        <f t="shared" si="7"/>
        <v/>
      </c>
      <c r="N18" s="980" t="str">
        <f t="shared" si="8"/>
        <v/>
      </c>
      <c r="O18" s="980" t="str">
        <f t="shared" si="9"/>
        <v/>
      </c>
      <c r="P18" s="997" t="str">
        <f t="shared" si="10"/>
        <v/>
      </c>
      <c r="R18" s="1040">
        <v>8</v>
      </c>
      <c r="S18" s="1041" t="s">
        <v>2109</v>
      </c>
      <c r="T18" s="1042" t="s">
        <v>2110</v>
      </c>
      <c r="U18" s="1043" t="s">
        <v>2171</v>
      </c>
      <c r="V18" s="1044" t="s">
        <v>2111</v>
      </c>
      <c r="W18" s="1044" t="s">
        <v>2093</v>
      </c>
      <c r="X18" s="1044" t="s">
        <v>2094</v>
      </c>
      <c r="Y18" s="1045" t="s">
        <v>2081</v>
      </c>
      <c r="Z18" s="1044" t="s">
        <v>2093</v>
      </c>
      <c r="AA18" s="1044" t="s">
        <v>2094</v>
      </c>
      <c r="AB18" s="1044" t="s">
        <v>2093</v>
      </c>
      <c r="AC18" s="1044" t="s">
        <v>2094</v>
      </c>
      <c r="AD18" s="1044" t="s">
        <v>2094</v>
      </c>
      <c r="AE18" s="1046"/>
      <c r="AF18" s="1047"/>
      <c r="AG18" s="1048"/>
      <c r="AL18" s="199" t="s">
        <v>1401</v>
      </c>
      <c r="AM18" s="199">
        <v>30</v>
      </c>
      <c r="AO18" s="546" t="s">
        <v>1401</v>
      </c>
      <c r="AP18" s="845">
        <v>30</v>
      </c>
    </row>
    <row r="19" spans="1:42" s="363" customFormat="1" ht="31.5" customHeight="1">
      <c r="A19" s="996"/>
      <c r="B19" s="830" t="str">
        <f>'PRINTOUT(BOM)'!A23</f>
        <v/>
      </c>
      <c r="C19" s="1006">
        <f>'PRINTOUT(BOM)'!B23</f>
        <v>0</v>
      </c>
      <c r="D19" s="1006">
        <f>'PRINTOUT(BOM)'!C23</f>
        <v>0</v>
      </c>
      <c r="E19" s="980"/>
      <c r="F19" s="981" t="str">
        <f t="shared" si="0"/>
        <v/>
      </c>
      <c r="G19" s="981" t="str">
        <f t="shared" si="1"/>
        <v/>
      </c>
      <c r="H19" s="981" t="str">
        <f t="shared" si="2"/>
        <v/>
      </c>
      <c r="I19" s="981" t="str">
        <f t="shared" si="3"/>
        <v/>
      </c>
      <c r="J19" s="981" t="str">
        <f t="shared" si="4"/>
        <v/>
      </c>
      <c r="K19" s="981" t="str">
        <f t="shared" si="5"/>
        <v/>
      </c>
      <c r="L19" s="981" t="str">
        <f t="shared" si="6"/>
        <v/>
      </c>
      <c r="M19" s="981" t="str">
        <f t="shared" si="7"/>
        <v/>
      </c>
      <c r="N19" s="980" t="str">
        <f t="shared" si="8"/>
        <v/>
      </c>
      <c r="O19" s="980" t="str">
        <f t="shared" si="9"/>
        <v/>
      </c>
      <c r="P19" s="997" t="str">
        <f t="shared" si="10"/>
        <v/>
      </c>
      <c r="R19" s="1040">
        <v>9</v>
      </c>
      <c r="S19" s="1041" t="s">
        <v>2109</v>
      </c>
      <c r="T19" s="1042" t="s">
        <v>2110</v>
      </c>
      <c r="U19" s="1043" t="s">
        <v>2172</v>
      </c>
      <c r="V19" s="1044" t="s">
        <v>2111</v>
      </c>
      <c r="W19" s="1044" t="s">
        <v>2093</v>
      </c>
      <c r="X19" s="1044" t="s">
        <v>2094</v>
      </c>
      <c r="Y19" s="1045" t="s">
        <v>2081</v>
      </c>
      <c r="Z19" s="1044" t="s">
        <v>2093</v>
      </c>
      <c r="AA19" s="1044" t="s">
        <v>2094</v>
      </c>
      <c r="AB19" s="1044" t="s">
        <v>2093</v>
      </c>
      <c r="AC19" s="1044" t="s">
        <v>2094</v>
      </c>
      <c r="AD19" s="1044" t="s">
        <v>2094</v>
      </c>
      <c r="AE19" s="1046"/>
      <c r="AF19" s="1047"/>
      <c r="AG19" s="1048"/>
      <c r="AL19" s="199" t="s">
        <v>1402</v>
      </c>
      <c r="AM19" s="199">
        <v>1</v>
      </c>
      <c r="AO19" s="546" t="s">
        <v>1402</v>
      </c>
      <c r="AP19" s="845">
        <v>1</v>
      </c>
    </row>
    <row r="20" spans="1:42" s="363" customFormat="1" ht="31.5" customHeight="1">
      <c r="A20" s="996"/>
      <c r="B20" s="830" t="str">
        <f>'PRINTOUT(BOM)'!A24</f>
        <v/>
      </c>
      <c r="C20" s="1006">
        <f>'PRINTOUT(BOM)'!B24</f>
        <v>0</v>
      </c>
      <c r="D20" s="1006">
        <f>'PRINTOUT(BOM)'!C24</f>
        <v>0</v>
      </c>
      <c r="E20" s="980"/>
      <c r="F20" s="981" t="str">
        <f t="shared" si="0"/>
        <v/>
      </c>
      <c r="G20" s="981" t="str">
        <f t="shared" si="1"/>
        <v/>
      </c>
      <c r="H20" s="981" t="str">
        <f t="shared" si="2"/>
        <v/>
      </c>
      <c r="I20" s="981" t="str">
        <f t="shared" si="3"/>
        <v/>
      </c>
      <c r="J20" s="981" t="str">
        <f t="shared" si="4"/>
        <v/>
      </c>
      <c r="K20" s="981" t="str">
        <f t="shared" si="5"/>
        <v/>
      </c>
      <c r="L20" s="981" t="str">
        <f t="shared" si="6"/>
        <v/>
      </c>
      <c r="M20" s="981" t="str">
        <f t="shared" si="7"/>
        <v/>
      </c>
      <c r="N20" s="980" t="str">
        <f t="shared" si="8"/>
        <v/>
      </c>
      <c r="O20" s="980" t="str">
        <f t="shared" si="9"/>
        <v/>
      </c>
      <c r="P20" s="997" t="str">
        <f t="shared" si="10"/>
        <v/>
      </c>
      <c r="R20" s="1040">
        <v>10</v>
      </c>
      <c r="S20" s="1041" t="s">
        <v>2109</v>
      </c>
      <c r="T20" s="1042" t="s">
        <v>2110</v>
      </c>
      <c r="U20" s="1043" t="s">
        <v>2173</v>
      </c>
      <c r="V20" s="1044" t="s">
        <v>2111</v>
      </c>
      <c r="W20" s="1044" t="s">
        <v>2093</v>
      </c>
      <c r="X20" s="1044" t="s">
        <v>2094</v>
      </c>
      <c r="Y20" s="1045" t="s">
        <v>2081</v>
      </c>
      <c r="Z20" s="1044" t="s">
        <v>2093</v>
      </c>
      <c r="AA20" s="1044" t="s">
        <v>2094</v>
      </c>
      <c r="AB20" s="1044" t="s">
        <v>2093</v>
      </c>
      <c r="AC20" s="1044" t="s">
        <v>2094</v>
      </c>
      <c r="AD20" s="1044" t="s">
        <v>2094</v>
      </c>
      <c r="AE20" s="1046"/>
      <c r="AF20" s="1047"/>
      <c r="AG20" s="1048"/>
      <c r="AL20" s="199" t="s">
        <v>1403</v>
      </c>
      <c r="AM20" s="199">
        <v>1</v>
      </c>
      <c r="AO20" s="802" t="s">
        <v>1403</v>
      </c>
      <c r="AP20" s="942">
        <v>1</v>
      </c>
    </row>
    <row r="21" spans="1:42" s="363" customFormat="1" ht="31.5" customHeight="1">
      <c r="A21" s="996"/>
      <c r="B21" s="830" t="str">
        <f>'PRINTOUT(BOM)'!A25</f>
        <v/>
      </c>
      <c r="C21" s="1006">
        <f>'PRINTOUT(BOM)'!B25</f>
        <v>0</v>
      </c>
      <c r="D21" s="1006">
        <f>'PRINTOUT(BOM)'!C25</f>
        <v>0</v>
      </c>
      <c r="E21" s="980"/>
      <c r="F21" s="981" t="str">
        <f t="shared" si="0"/>
        <v/>
      </c>
      <c r="G21" s="981" t="str">
        <f t="shared" si="1"/>
        <v/>
      </c>
      <c r="H21" s="981" t="str">
        <f t="shared" si="2"/>
        <v/>
      </c>
      <c r="I21" s="981" t="str">
        <f t="shared" si="3"/>
        <v/>
      </c>
      <c r="J21" s="981" t="str">
        <f t="shared" si="4"/>
        <v/>
      </c>
      <c r="K21" s="981" t="str">
        <f t="shared" si="5"/>
        <v/>
      </c>
      <c r="L21" s="981" t="str">
        <f t="shared" si="6"/>
        <v/>
      </c>
      <c r="M21" s="981" t="str">
        <f t="shared" si="7"/>
        <v/>
      </c>
      <c r="N21" s="980" t="str">
        <f t="shared" si="8"/>
        <v/>
      </c>
      <c r="O21" s="980" t="str">
        <f t="shared" si="9"/>
        <v/>
      </c>
      <c r="P21" s="997" t="str">
        <f t="shared" si="10"/>
        <v/>
      </c>
      <c r="R21" s="1040">
        <v>11</v>
      </c>
      <c r="S21" s="1041" t="s">
        <v>2109</v>
      </c>
      <c r="T21" s="1042" t="s">
        <v>2110</v>
      </c>
      <c r="U21" s="1043" t="s">
        <v>2174</v>
      </c>
      <c r="V21" s="1044" t="s">
        <v>2111</v>
      </c>
      <c r="W21" s="1044" t="s">
        <v>2093</v>
      </c>
      <c r="X21" s="1044" t="s">
        <v>2094</v>
      </c>
      <c r="Y21" s="1045" t="s">
        <v>2081</v>
      </c>
      <c r="Z21" s="1044" t="s">
        <v>2093</v>
      </c>
      <c r="AA21" s="1044" t="s">
        <v>2094</v>
      </c>
      <c r="AB21" s="1044" t="s">
        <v>2093</v>
      </c>
      <c r="AC21" s="1044" t="s">
        <v>2094</v>
      </c>
      <c r="AD21" s="1044" t="s">
        <v>2094</v>
      </c>
      <c r="AE21" s="1046"/>
      <c r="AF21" s="1047"/>
      <c r="AG21" s="1048"/>
      <c r="AL21" s="199" t="s">
        <v>1419</v>
      </c>
      <c r="AM21" s="199">
        <v>2</v>
      </c>
      <c r="AO21" s="802" t="s">
        <v>1419</v>
      </c>
      <c r="AP21" s="942">
        <v>2</v>
      </c>
    </row>
    <row r="22" spans="1:42" s="364" customFormat="1" ht="31.5" customHeight="1">
      <c r="A22" s="996"/>
      <c r="B22" s="830" t="str">
        <f>'PRINTOUT(BOM)'!A26</f>
        <v/>
      </c>
      <c r="C22" s="1006">
        <f>'PRINTOUT(BOM)'!B26</f>
        <v>0</v>
      </c>
      <c r="D22" s="1006">
        <f>'PRINTOUT(BOM)'!C26</f>
        <v>0</v>
      </c>
      <c r="E22" s="982"/>
      <c r="F22" s="981" t="str">
        <f t="shared" si="0"/>
        <v/>
      </c>
      <c r="G22" s="981" t="str">
        <f t="shared" si="1"/>
        <v/>
      </c>
      <c r="H22" s="981" t="str">
        <f t="shared" si="2"/>
        <v/>
      </c>
      <c r="I22" s="981" t="str">
        <f t="shared" si="3"/>
        <v/>
      </c>
      <c r="J22" s="981" t="str">
        <f t="shared" si="4"/>
        <v/>
      </c>
      <c r="K22" s="981" t="str">
        <f t="shared" si="5"/>
        <v/>
      </c>
      <c r="L22" s="981" t="str">
        <f t="shared" si="6"/>
        <v/>
      </c>
      <c r="M22" s="981" t="str">
        <f t="shared" si="7"/>
        <v/>
      </c>
      <c r="N22" s="980" t="str">
        <f t="shared" si="8"/>
        <v/>
      </c>
      <c r="O22" s="980" t="str">
        <f t="shared" si="9"/>
        <v/>
      </c>
      <c r="P22" s="997" t="e">
        <f>VLOOKUP(C22,$U:$AF,12,FALSE)</f>
        <v>#N/A</v>
      </c>
      <c r="Q22" s="363"/>
      <c r="R22" s="1040">
        <v>12</v>
      </c>
      <c r="S22" s="1041" t="s">
        <v>2109</v>
      </c>
      <c r="T22" s="1042" t="s">
        <v>2110</v>
      </c>
      <c r="U22" s="1043" t="s">
        <v>2175</v>
      </c>
      <c r="V22" s="1044" t="s">
        <v>2111</v>
      </c>
      <c r="W22" s="1044" t="s">
        <v>2093</v>
      </c>
      <c r="X22" s="1044" t="s">
        <v>2094</v>
      </c>
      <c r="Y22" s="1045" t="s">
        <v>2081</v>
      </c>
      <c r="Z22" s="1044" t="s">
        <v>2093</v>
      </c>
      <c r="AA22" s="1044" t="s">
        <v>2094</v>
      </c>
      <c r="AB22" s="1044" t="s">
        <v>2093</v>
      </c>
      <c r="AC22" s="1044" t="s">
        <v>2094</v>
      </c>
      <c r="AD22" s="1044" t="s">
        <v>2094</v>
      </c>
      <c r="AE22" s="1046"/>
      <c r="AF22" s="1047"/>
      <c r="AG22" s="1048"/>
      <c r="AL22" s="150" t="s">
        <v>2238</v>
      </c>
      <c r="AM22" s="150">
        <v>2</v>
      </c>
      <c r="AO22" s="546" t="s">
        <v>2238</v>
      </c>
      <c r="AP22" s="845">
        <v>2</v>
      </c>
    </row>
    <row r="23" spans="1:42" s="364" customFormat="1" ht="31.5" customHeight="1">
      <c r="A23" s="996"/>
      <c r="B23" s="830" t="str">
        <f>'PRINTOUT(BOM)'!A27</f>
        <v/>
      </c>
      <c r="C23" s="1006">
        <f>'PRINTOUT(BOM)'!B27</f>
        <v>0</v>
      </c>
      <c r="D23" s="1006">
        <f>'PRINTOUT(BOM)'!C27</f>
        <v>0</v>
      </c>
      <c r="E23" s="982"/>
      <c r="F23" s="981" t="str">
        <f t="shared" si="0"/>
        <v/>
      </c>
      <c r="G23" s="981" t="str">
        <f t="shared" si="1"/>
        <v/>
      </c>
      <c r="H23" s="981" t="str">
        <f t="shared" si="2"/>
        <v/>
      </c>
      <c r="I23" s="981" t="str">
        <f t="shared" si="3"/>
        <v/>
      </c>
      <c r="J23" s="981" t="str">
        <f t="shared" si="4"/>
        <v/>
      </c>
      <c r="K23" s="981" t="str">
        <f t="shared" si="5"/>
        <v/>
      </c>
      <c r="L23" s="981" t="str">
        <f t="shared" si="6"/>
        <v/>
      </c>
      <c r="M23" s="981" t="str">
        <f t="shared" si="7"/>
        <v/>
      </c>
      <c r="N23" s="980" t="str">
        <f t="shared" si="8"/>
        <v/>
      </c>
      <c r="O23" s="980" t="str">
        <f t="shared" si="9"/>
        <v/>
      </c>
      <c r="P23" s="997" t="str">
        <f t="shared" ref="P23:P40" si="11">IFERROR(VLOOKUP(C23,$U:$AF,12,FALSE),"")</f>
        <v/>
      </c>
      <c r="Q23" s="363"/>
      <c r="R23" s="1040">
        <v>13</v>
      </c>
      <c r="S23" s="1041" t="s">
        <v>2109</v>
      </c>
      <c r="T23" s="1042" t="s">
        <v>2110</v>
      </c>
      <c r="U23" s="1043" t="s">
        <v>2176</v>
      </c>
      <c r="V23" s="1044" t="s">
        <v>2111</v>
      </c>
      <c r="W23" s="1044" t="s">
        <v>2093</v>
      </c>
      <c r="X23" s="1044" t="s">
        <v>2094</v>
      </c>
      <c r="Y23" s="1045" t="s">
        <v>2081</v>
      </c>
      <c r="Z23" s="1044" t="s">
        <v>2093</v>
      </c>
      <c r="AA23" s="1044" t="s">
        <v>2094</v>
      </c>
      <c r="AB23" s="1044" t="s">
        <v>2093</v>
      </c>
      <c r="AC23" s="1044" t="s">
        <v>2094</v>
      </c>
      <c r="AD23" s="1044" t="s">
        <v>2094</v>
      </c>
      <c r="AE23" s="1046"/>
      <c r="AF23" s="1047"/>
      <c r="AG23" s="1048"/>
      <c r="AL23" s="150" t="s">
        <v>1372</v>
      </c>
      <c r="AM23" s="150">
        <v>30</v>
      </c>
      <c r="AO23" s="546" t="s">
        <v>1372</v>
      </c>
      <c r="AP23" s="845">
        <v>30</v>
      </c>
    </row>
    <row r="24" spans="1:42" s="364" customFormat="1" ht="31.5" customHeight="1">
      <c r="A24" s="996"/>
      <c r="B24" s="830" t="str">
        <f>'PRINTOUT(BOM)'!A28</f>
        <v/>
      </c>
      <c r="C24" s="1006">
        <f>'PRINTOUT(BOM)'!B28</f>
        <v>0</v>
      </c>
      <c r="D24" s="1006">
        <f>'PRINTOUT(BOM)'!C28</f>
        <v>0</v>
      </c>
      <c r="E24" s="982"/>
      <c r="F24" s="981" t="str">
        <f t="shared" si="0"/>
        <v/>
      </c>
      <c r="G24" s="981" t="str">
        <f t="shared" si="1"/>
        <v/>
      </c>
      <c r="H24" s="981" t="str">
        <f t="shared" si="2"/>
        <v/>
      </c>
      <c r="I24" s="981" t="str">
        <f t="shared" si="3"/>
        <v/>
      </c>
      <c r="J24" s="981" t="str">
        <f t="shared" si="4"/>
        <v/>
      </c>
      <c r="K24" s="981" t="str">
        <f t="shared" si="5"/>
        <v/>
      </c>
      <c r="L24" s="981" t="str">
        <f t="shared" si="6"/>
        <v/>
      </c>
      <c r="M24" s="981" t="str">
        <f t="shared" si="7"/>
        <v/>
      </c>
      <c r="N24" s="980" t="str">
        <f t="shared" si="8"/>
        <v/>
      </c>
      <c r="O24" s="980" t="str">
        <f t="shared" si="9"/>
        <v/>
      </c>
      <c r="P24" s="997" t="str">
        <f t="shared" si="11"/>
        <v/>
      </c>
      <c r="Q24" s="363"/>
      <c r="R24" s="1040">
        <v>14</v>
      </c>
      <c r="S24" s="1041" t="s">
        <v>2212</v>
      </c>
      <c r="T24" s="1042" t="s">
        <v>2110</v>
      </c>
      <c r="U24" s="1043" t="s">
        <v>2213</v>
      </c>
      <c r="V24" s="1044" t="s">
        <v>2214</v>
      </c>
      <c r="W24" s="1044" t="s">
        <v>2093</v>
      </c>
      <c r="X24" s="1044" t="s">
        <v>2094</v>
      </c>
      <c r="Y24" s="1045" t="s">
        <v>2081</v>
      </c>
      <c r="Z24" s="1044" t="s">
        <v>2093</v>
      </c>
      <c r="AA24" s="1044" t="s">
        <v>2094</v>
      </c>
      <c r="AB24" s="1044" t="s">
        <v>2093</v>
      </c>
      <c r="AC24" s="1044" t="s">
        <v>2094</v>
      </c>
      <c r="AD24" s="1044" t="s">
        <v>2094</v>
      </c>
      <c r="AE24" s="1046"/>
      <c r="AF24" s="1047"/>
      <c r="AG24" s="1048"/>
      <c r="AL24" s="150" t="s">
        <v>2267</v>
      </c>
      <c r="AM24" s="150">
        <v>1</v>
      </c>
      <c r="AO24" s="1070" t="s">
        <v>2267</v>
      </c>
      <c r="AP24" s="1071">
        <v>1</v>
      </c>
    </row>
    <row r="25" spans="1:42" s="364" customFormat="1" ht="31.5" customHeight="1">
      <c r="A25" s="996"/>
      <c r="B25" s="830" t="str">
        <f>'PRINTOUT(BOM)'!A29</f>
        <v/>
      </c>
      <c r="C25" s="1006">
        <f>'PRINTOUT(BOM)'!B29</f>
        <v>0</v>
      </c>
      <c r="D25" s="1006">
        <f>'PRINTOUT(BOM)'!C29</f>
        <v>0</v>
      </c>
      <c r="E25" s="982"/>
      <c r="F25" s="981" t="str">
        <f t="shared" si="0"/>
        <v/>
      </c>
      <c r="G25" s="981" t="str">
        <f t="shared" si="1"/>
        <v/>
      </c>
      <c r="H25" s="981" t="str">
        <f t="shared" si="2"/>
        <v/>
      </c>
      <c r="I25" s="981" t="str">
        <f t="shared" si="3"/>
        <v/>
      </c>
      <c r="J25" s="981" t="str">
        <f t="shared" si="4"/>
        <v/>
      </c>
      <c r="K25" s="981" t="str">
        <f t="shared" si="5"/>
        <v/>
      </c>
      <c r="L25" s="981" t="str">
        <f t="shared" si="6"/>
        <v/>
      </c>
      <c r="M25" s="981" t="str">
        <f t="shared" si="7"/>
        <v/>
      </c>
      <c r="N25" s="980" t="str">
        <f t="shared" si="8"/>
        <v/>
      </c>
      <c r="O25" s="980" t="str">
        <f t="shared" si="9"/>
        <v/>
      </c>
      <c r="P25" s="997" t="str">
        <f t="shared" si="11"/>
        <v/>
      </c>
      <c r="Q25" s="363"/>
      <c r="R25" s="1040">
        <v>15</v>
      </c>
      <c r="S25" s="1041" t="s">
        <v>2212</v>
      </c>
      <c r="T25" s="1042" t="s">
        <v>2110</v>
      </c>
      <c r="U25" s="1043" t="s">
        <v>2215</v>
      </c>
      <c r="V25" s="1044" t="s">
        <v>2111</v>
      </c>
      <c r="W25" s="1044" t="s">
        <v>2093</v>
      </c>
      <c r="X25" s="1044" t="s">
        <v>2094</v>
      </c>
      <c r="Y25" s="1045" t="s">
        <v>2081</v>
      </c>
      <c r="Z25" s="1044" t="s">
        <v>2093</v>
      </c>
      <c r="AA25" s="1044" t="s">
        <v>2094</v>
      </c>
      <c r="AB25" s="1044" t="s">
        <v>2093</v>
      </c>
      <c r="AC25" s="1044" t="s">
        <v>2094</v>
      </c>
      <c r="AD25" s="1044" t="s">
        <v>2094</v>
      </c>
      <c r="AE25" s="1046"/>
      <c r="AF25" s="1047"/>
      <c r="AG25" s="1048"/>
      <c r="AL25" s="150" t="s">
        <v>2268</v>
      </c>
      <c r="AM25" s="150">
        <v>1</v>
      </c>
      <c r="AO25" s="1070" t="s">
        <v>2268</v>
      </c>
      <c r="AP25" s="1071">
        <v>1</v>
      </c>
    </row>
    <row r="26" spans="1:42" s="364" customFormat="1" ht="31.5" customHeight="1">
      <c r="A26" s="996"/>
      <c r="B26" s="830" t="str">
        <f>'PRINTOUT(BOM)'!A30</f>
        <v/>
      </c>
      <c r="C26" s="1006">
        <f>'PRINTOUT(BOM)'!B30</f>
        <v>0</v>
      </c>
      <c r="D26" s="1006">
        <f>'PRINTOUT(BOM)'!C30</f>
        <v>0</v>
      </c>
      <c r="E26" s="982"/>
      <c r="F26" s="981" t="str">
        <f t="shared" si="0"/>
        <v/>
      </c>
      <c r="G26" s="981" t="str">
        <f t="shared" si="1"/>
        <v/>
      </c>
      <c r="H26" s="981" t="str">
        <f t="shared" si="2"/>
        <v/>
      </c>
      <c r="I26" s="981" t="str">
        <f t="shared" si="3"/>
        <v/>
      </c>
      <c r="J26" s="981" t="str">
        <f t="shared" si="4"/>
        <v/>
      </c>
      <c r="K26" s="981" t="str">
        <f t="shared" si="5"/>
        <v/>
      </c>
      <c r="L26" s="981" t="str">
        <f t="shared" si="6"/>
        <v/>
      </c>
      <c r="M26" s="981" t="str">
        <f t="shared" si="7"/>
        <v/>
      </c>
      <c r="N26" s="980" t="str">
        <f t="shared" si="8"/>
        <v/>
      </c>
      <c r="O26" s="980" t="str">
        <f t="shared" si="9"/>
        <v/>
      </c>
      <c r="P26" s="997" t="str">
        <f t="shared" si="11"/>
        <v/>
      </c>
      <c r="Q26" s="363"/>
      <c r="R26" s="1040">
        <v>16</v>
      </c>
      <c r="S26" s="1041" t="s">
        <v>2212</v>
      </c>
      <c r="T26" s="1042" t="s">
        <v>2110</v>
      </c>
      <c r="U26" s="1043" t="s">
        <v>2216</v>
      </c>
      <c r="V26" s="1044" t="s">
        <v>2111</v>
      </c>
      <c r="W26" s="1044" t="s">
        <v>2093</v>
      </c>
      <c r="X26" s="1044" t="s">
        <v>2094</v>
      </c>
      <c r="Y26" s="1045" t="s">
        <v>2081</v>
      </c>
      <c r="Z26" s="1044" t="s">
        <v>2093</v>
      </c>
      <c r="AA26" s="1044" t="s">
        <v>2094</v>
      </c>
      <c r="AB26" s="1044" t="s">
        <v>2093</v>
      </c>
      <c r="AC26" s="1044" t="s">
        <v>2094</v>
      </c>
      <c r="AD26" s="1044" t="s">
        <v>2094</v>
      </c>
      <c r="AE26" s="1046"/>
      <c r="AF26" s="1047"/>
      <c r="AG26" s="1048"/>
      <c r="AL26" s="150" t="s">
        <v>1412</v>
      </c>
      <c r="AM26" s="150">
        <v>2</v>
      </c>
      <c r="AO26" s="546" t="s">
        <v>1412</v>
      </c>
      <c r="AP26" s="845">
        <v>2</v>
      </c>
    </row>
    <row r="27" spans="1:42" s="364" customFormat="1" ht="31.5" customHeight="1">
      <c r="A27" s="996"/>
      <c r="B27" s="830" t="str">
        <f>'PRINTOUT(BOM)'!A31</f>
        <v/>
      </c>
      <c r="C27" s="1006">
        <f>'PRINTOUT(BOM)'!B31</f>
        <v>0</v>
      </c>
      <c r="D27" s="1006">
        <f>'PRINTOUT(BOM)'!C31</f>
        <v>0</v>
      </c>
      <c r="E27" s="982"/>
      <c r="F27" s="981" t="str">
        <f t="shared" si="0"/>
        <v/>
      </c>
      <c r="G27" s="981" t="str">
        <f t="shared" si="1"/>
        <v/>
      </c>
      <c r="H27" s="981" t="str">
        <f t="shared" si="2"/>
        <v/>
      </c>
      <c r="I27" s="981" t="str">
        <f t="shared" si="3"/>
        <v/>
      </c>
      <c r="J27" s="981" t="str">
        <f t="shared" si="4"/>
        <v/>
      </c>
      <c r="K27" s="981" t="str">
        <f t="shared" si="5"/>
        <v/>
      </c>
      <c r="L27" s="981" t="str">
        <f t="shared" si="6"/>
        <v/>
      </c>
      <c r="M27" s="981" t="str">
        <f t="shared" si="7"/>
        <v/>
      </c>
      <c r="N27" s="980" t="str">
        <f t="shared" si="8"/>
        <v/>
      </c>
      <c r="O27" s="980" t="str">
        <f t="shared" si="9"/>
        <v/>
      </c>
      <c r="P27" s="997" t="str">
        <f t="shared" si="11"/>
        <v/>
      </c>
      <c r="Q27" s="363"/>
      <c r="R27" s="1040">
        <v>17</v>
      </c>
      <c r="S27" s="1041" t="s">
        <v>2212</v>
      </c>
      <c r="T27" s="1042" t="s">
        <v>2110</v>
      </c>
      <c r="U27" s="1043" t="s">
        <v>2217</v>
      </c>
      <c r="V27" s="1044" t="s">
        <v>2111</v>
      </c>
      <c r="W27" s="1044" t="s">
        <v>2093</v>
      </c>
      <c r="X27" s="1044" t="s">
        <v>2094</v>
      </c>
      <c r="Y27" s="1045" t="s">
        <v>2081</v>
      </c>
      <c r="Z27" s="1044" t="s">
        <v>2093</v>
      </c>
      <c r="AA27" s="1044" t="s">
        <v>2094</v>
      </c>
      <c r="AB27" s="1044" t="s">
        <v>2093</v>
      </c>
      <c r="AC27" s="1044" t="s">
        <v>2094</v>
      </c>
      <c r="AD27" s="1044" t="s">
        <v>2094</v>
      </c>
      <c r="AE27" s="1046"/>
      <c r="AF27" s="1047"/>
      <c r="AG27" s="1048"/>
      <c r="AL27" s="150" t="s">
        <v>1378</v>
      </c>
      <c r="AM27" s="150">
        <v>30</v>
      </c>
      <c r="AO27" s="546" t="s">
        <v>1378</v>
      </c>
      <c r="AP27" s="845">
        <v>30</v>
      </c>
    </row>
    <row r="28" spans="1:42" s="364" customFormat="1" ht="31.5" customHeight="1">
      <c r="A28" s="996"/>
      <c r="B28" s="830" t="str">
        <f>'PRINTOUT(BOM)'!A32</f>
        <v/>
      </c>
      <c r="C28" s="1006">
        <f>'PRINTOUT(BOM)'!B32</f>
        <v>0</v>
      </c>
      <c r="D28" s="1006">
        <f>'PRINTOUT(BOM)'!C32</f>
        <v>0</v>
      </c>
      <c r="E28" s="982"/>
      <c r="F28" s="981" t="str">
        <f t="shared" si="0"/>
        <v/>
      </c>
      <c r="G28" s="981" t="str">
        <f t="shared" si="1"/>
        <v/>
      </c>
      <c r="H28" s="981" t="str">
        <f t="shared" si="2"/>
        <v/>
      </c>
      <c r="I28" s="981" t="str">
        <f t="shared" si="3"/>
        <v/>
      </c>
      <c r="J28" s="981" t="str">
        <f t="shared" si="4"/>
        <v/>
      </c>
      <c r="K28" s="981" t="str">
        <f t="shared" si="5"/>
        <v/>
      </c>
      <c r="L28" s="981" t="str">
        <f t="shared" si="6"/>
        <v/>
      </c>
      <c r="M28" s="981" t="str">
        <f t="shared" si="7"/>
        <v/>
      </c>
      <c r="N28" s="980" t="str">
        <f t="shared" si="8"/>
        <v/>
      </c>
      <c r="O28" s="980" t="str">
        <f t="shared" si="9"/>
        <v/>
      </c>
      <c r="P28" s="997" t="str">
        <f t="shared" si="11"/>
        <v/>
      </c>
      <c r="Q28" s="363"/>
      <c r="R28" s="1040">
        <v>18</v>
      </c>
      <c r="S28" s="1041" t="s">
        <v>2212</v>
      </c>
      <c r="T28" s="1042" t="s">
        <v>2110</v>
      </c>
      <c r="U28" s="1043" t="s">
        <v>2218</v>
      </c>
      <c r="V28" s="1044" t="s">
        <v>2111</v>
      </c>
      <c r="W28" s="1044" t="s">
        <v>2093</v>
      </c>
      <c r="X28" s="1044" t="s">
        <v>2094</v>
      </c>
      <c r="Y28" s="1045" t="s">
        <v>2081</v>
      </c>
      <c r="Z28" s="1044" t="s">
        <v>2093</v>
      </c>
      <c r="AA28" s="1044" t="s">
        <v>2094</v>
      </c>
      <c r="AB28" s="1044" t="s">
        <v>2093</v>
      </c>
      <c r="AC28" s="1044" t="s">
        <v>2094</v>
      </c>
      <c r="AD28" s="1044" t="s">
        <v>2094</v>
      </c>
      <c r="AE28" s="1046"/>
      <c r="AF28" s="1047"/>
      <c r="AG28" s="1048"/>
      <c r="AL28" s="150" t="s">
        <v>1391</v>
      </c>
      <c r="AM28" s="150">
        <v>1</v>
      </c>
      <c r="AO28" s="546" t="s">
        <v>1391</v>
      </c>
      <c r="AP28" s="942">
        <v>1</v>
      </c>
    </row>
    <row r="29" spans="1:42" s="364" customFormat="1" ht="31.5" customHeight="1">
      <c r="A29" s="996"/>
      <c r="B29" s="830" t="str">
        <f>'PRINTOUT(BOM)'!A33</f>
        <v/>
      </c>
      <c r="C29" s="1006">
        <f>'PRINTOUT(BOM)'!B33</f>
        <v>0</v>
      </c>
      <c r="D29" s="1006">
        <f>'PRINTOUT(BOM)'!C33</f>
        <v>0</v>
      </c>
      <c r="E29" s="982"/>
      <c r="F29" s="981" t="str">
        <f t="shared" si="0"/>
        <v/>
      </c>
      <c r="G29" s="981" t="str">
        <f t="shared" si="1"/>
        <v/>
      </c>
      <c r="H29" s="981" t="str">
        <f t="shared" si="2"/>
        <v/>
      </c>
      <c r="I29" s="981" t="str">
        <f t="shared" si="3"/>
        <v/>
      </c>
      <c r="J29" s="981" t="str">
        <f t="shared" si="4"/>
        <v/>
      </c>
      <c r="K29" s="981" t="str">
        <f t="shared" si="5"/>
        <v/>
      </c>
      <c r="L29" s="981" t="str">
        <f t="shared" si="6"/>
        <v/>
      </c>
      <c r="M29" s="981" t="str">
        <f t="shared" si="7"/>
        <v/>
      </c>
      <c r="N29" s="980" t="str">
        <f t="shared" si="8"/>
        <v/>
      </c>
      <c r="O29" s="980" t="str">
        <f t="shared" si="9"/>
        <v/>
      </c>
      <c r="P29" s="997" t="str">
        <f t="shared" si="11"/>
        <v/>
      </c>
      <c r="Q29" s="363"/>
      <c r="R29" s="1040">
        <v>19</v>
      </c>
      <c r="S29" s="1041" t="s">
        <v>2212</v>
      </c>
      <c r="T29" s="1042" t="s">
        <v>2110</v>
      </c>
      <c r="U29" s="1043" t="s">
        <v>2219</v>
      </c>
      <c r="V29" s="1044" t="s">
        <v>2111</v>
      </c>
      <c r="W29" s="1044" t="s">
        <v>2093</v>
      </c>
      <c r="X29" s="1044" t="s">
        <v>2094</v>
      </c>
      <c r="Y29" s="1045" t="s">
        <v>2081</v>
      </c>
      <c r="Z29" s="1044" t="s">
        <v>2093</v>
      </c>
      <c r="AA29" s="1044" t="s">
        <v>2094</v>
      </c>
      <c r="AB29" s="1044" t="s">
        <v>2093</v>
      </c>
      <c r="AC29" s="1044" t="s">
        <v>2094</v>
      </c>
      <c r="AD29" s="1044" t="s">
        <v>2094</v>
      </c>
      <c r="AE29" s="1046"/>
      <c r="AF29" s="1047"/>
      <c r="AG29" s="1048"/>
      <c r="AL29" s="150" t="s">
        <v>1395</v>
      </c>
      <c r="AM29" s="150">
        <v>1</v>
      </c>
      <c r="AO29" s="546" t="s">
        <v>1395</v>
      </c>
      <c r="AP29" s="942">
        <v>1</v>
      </c>
    </row>
    <row r="30" spans="1:42" s="364" customFormat="1" ht="31.5" customHeight="1">
      <c r="A30" s="996"/>
      <c r="B30" s="830" t="str">
        <f>'PRINTOUT(BOM)'!A34</f>
        <v/>
      </c>
      <c r="C30" s="1006">
        <f>'PRINTOUT(BOM)'!B34</f>
        <v>0</v>
      </c>
      <c r="D30" s="1006">
        <f>'PRINTOUT(BOM)'!C34</f>
        <v>0</v>
      </c>
      <c r="E30" s="982"/>
      <c r="F30" s="981" t="str">
        <f t="shared" si="0"/>
        <v/>
      </c>
      <c r="G30" s="981" t="str">
        <f t="shared" si="1"/>
        <v/>
      </c>
      <c r="H30" s="981" t="str">
        <f t="shared" si="2"/>
        <v/>
      </c>
      <c r="I30" s="981" t="str">
        <f t="shared" si="3"/>
        <v/>
      </c>
      <c r="J30" s="981" t="str">
        <f t="shared" si="4"/>
        <v/>
      </c>
      <c r="K30" s="981" t="str">
        <f t="shared" si="5"/>
        <v/>
      </c>
      <c r="L30" s="981" t="str">
        <f t="shared" si="6"/>
        <v/>
      </c>
      <c r="M30" s="981" t="str">
        <f t="shared" si="7"/>
        <v/>
      </c>
      <c r="N30" s="980" t="str">
        <f t="shared" si="8"/>
        <v/>
      </c>
      <c r="O30" s="980" t="str">
        <f t="shared" si="9"/>
        <v/>
      </c>
      <c r="P30" s="997" t="str">
        <f t="shared" si="11"/>
        <v/>
      </c>
      <c r="Q30" s="363"/>
      <c r="R30" s="1040">
        <v>20</v>
      </c>
      <c r="S30" s="1041" t="s">
        <v>2212</v>
      </c>
      <c r="T30" s="1042" t="s">
        <v>2110</v>
      </c>
      <c r="U30" s="1043" t="s">
        <v>2220</v>
      </c>
      <c r="V30" s="1044" t="s">
        <v>2111</v>
      </c>
      <c r="W30" s="1044" t="s">
        <v>2093</v>
      </c>
      <c r="X30" s="1044" t="s">
        <v>2094</v>
      </c>
      <c r="Y30" s="1045" t="s">
        <v>2081</v>
      </c>
      <c r="Z30" s="1044" t="s">
        <v>2093</v>
      </c>
      <c r="AA30" s="1044" t="s">
        <v>2094</v>
      </c>
      <c r="AB30" s="1044" t="s">
        <v>2093</v>
      </c>
      <c r="AC30" s="1044" t="s">
        <v>2094</v>
      </c>
      <c r="AD30" s="1044" t="s">
        <v>2094</v>
      </c>
      <c r="AE30" s="1046"/>
      <c r="AF30" s="1047"/>
      <c r="AG30" s="1048"/>
      <c r="AL30" s="150" t="s">
        <v>1418</v>
      </c>
      <c r="AM30" s="150">
        <v>2</v>
      </c>
      <c r="AO30" s="546" t="s">
        <v>1418</v>
      </c>
      <c r="AP30" s="942">
        <v>2</v>
      </c>
    </row>
    <row r="31" spans="1:42" s="364" customFormat="1" ht="31.5" customHeight="1">
      <c r="A31" s="996"/>
      <c r="B31" s="830" t="str">
        <f>'PRINTOUT(BOM)'!A35</f>
        <v/>
      </c>
      <c r="C31" s="1006">
        <f>'PRINTOUT(BOM)'!B35</f>
        <v>0</v>
      </c>
      <c r="D31" s="1006">
        <f>'PRINTOUT(BOM)'!C35</f>
        <v>0</v>
      </c>
      <c r="E31" s="982"/>
      <c r="F31" s="981" t="str">
        <f t="shared" si="0"/>
        <v/>
      </c>
      <c r="G31" s="981" t="str">
        <f t="shared" si="1"/>
        <v/>
      </c>
      <c r="H31" s="981" t="str">
        <f t="shared" si="2"/>
        <v/>
      </c>
      <c r="I31" s="981" t="str">
        <f t="shared" si="3"/>
        <v/>
      </c>
      <c r="J31" s="981" t="str">
        <f t="shared" si="4"/>
        <v/>
      </c>
      <c r="K31" s="981" t="str">
        <f t="shared" si="5"/>
        <v/>
      </c>
      <c r="L31" s="981" t="str">
        <f t="shared" si="6"/>
        <v/>
      </c>
      <c r="M31" s="981" t="str">
        <f t="shared" si="7"/>
        <v/>
      </c>
      <c r="N31" s="980" t="str">
        <f t="shared" si="8"/>
        <v/>
      </c>
      <c r="O31" s="980" t="str">
        <f t="shared" si="9"/>
        <v/>
      </c>
      <c r="P31" s="997" t="str">
        <f t="shared" si="11"/>
        <v/>
      </c>
      <c r="Q31" s="363"/>
      <c r="R31" s="1040">
        <v>21</v>
      </c>
      <c r="S31" s="1041" t="s">
        <v>2212</v>
      </c>
      <c r="T31" s="1042" t="s">
        <v>2110</v>
      </c>
      <c r="U31" s="1043" t="s">
        <v>2221</v>
      </c>
      <c r="V31" s="1044" t="s">
        <v>2111</v>
      </c>
      <c r="W31" s="1044" t="s">
        <v>2093</v>
      </c>
      <c r="X31" s="1044" t="s">
        <v>2094</v>
      </c>
      <c r="Y31" s="1045" t="s">
        <v>2081</v>
      </c>
      <c r="Z31" s="1044" t="s">
        <v>2093</v>
      </c>
      <c r="AA31" s="1044" t="s">
        <v>2094</v>
      </c>
      <c r="AB31" s="1044" t="s">
        <v>2093</v>
      </c>
      <c r="AC31" s="1044" t="s">
        <v>2094</v>
      </c>
      <c r="AD31" s="1044" t="s">
        <v>2094</v>
      </c>
      <c r="AE31" s="1046"/>
      <c r="AF31" s="1047"/>
      <c r="AG31" s="1048"/>
      <c r="AL31" s="150" t="s">
        <v>2322</v>
      </c>
      <c r="AM31" s="150">
        <v>4</v>
      </c>
      <c r="AO31" s="546" t="s">
        <v>2322</v>
      </c>
      <c r="AP31" s="942">
        <v>4</v>
      </c>
    </row>
    <row r="32" spans="1:42" s="364" customFormat="1" ht="31.5" customHeight="1">
      <c r="A32" s="996"/>
      <c r="B32" s="830" t="str">
        <f>'PRINTOUT(BOM)'!A36</f>
        <v/>
      </c>
      <c r="C32" s="1006">
        <f>'PRINTOUT(BOM)'!B36</f>
        <v>0</v>
      </c>
      <c r="D32" s="1006">
        <f>'PRINTOUT(BOM)'!C36</f>
        <v>0</v>
      </c>
      <c r="E32" s="982"/>
      <c r="F32" s="981" t="str">
        <f t="shared" si="0"/>
        <v/>
      </c>
      <c r="G32" s="981" t="str">
        <f t="shared" si="1"/>
        <v/>
      </c>
      <c r="H32" s="981" t="str">
        <f t="shared" si="2"/>
        <v/>
      </c>
      <c r="I32" s="981" t="str">
        <f t="shared" si="3"/>
        <v/>
      </c>
      <c r="J32" s="981" t="str">
        <f t="shared" si="4"/>
        <v/>
      </c>
      <c r="K32" s="981" t="str">
        <f t="shared" si="5"/>
        <v/>
      </c>
      <c r="L32" s="981" t="str">
        <f t="shared" si="6"/>
        <v/>
      </c>
      <c r="M32" s="981" t="str">
        <f t="shared" si="7"/>
        <v/>
      </c>
      <c r="N32" s="980" t="str">
        <f t="shared" si="8"/>
        <v/>
      </c>
      <c r="O32" s="980" t="str">
        <f t="shared" si="9"/>
        <v/>
      </c>
      <c r="P32" s="997" t="str">
        <f t="shared" si="11"/>
        <v/>
      </c>
      <c r="Q32" s="363"/>
      <c r="R32" s="1040">
        <v>22</v>
      </c>
      <c r="S32" s="1041" t="s">
        <v>2109</v>
      </c>
      <c r="T32" s="1042" t="s">
        <v>2110</v>
      </c>
      <c r="U32" s="1043" t="s">
        <v>2222</v>
      </c>
      <c r="V32" s="1044" t="s">
        <v>2111</v>
      </c>
      <c r="W32" s="1044" t="s">
        <v>2093</v>
      </c>
      <c r="X32" s="1044" t="s">
        <v>2094</v>
      </c>
      <c r="Y32" s="1045" t="s">
        <v>2081</v>
      </c>
      <c r="Z32" s="1044" t="s">
        <v>2093</v>
      </c>
      <c r="AA32" s="1044" t="s">
        <v>2094</v>
      </c>
      <c r="AB32" s="1044" t="s">
        <v>2093</v>
      </c>
      <c r="AC32" s="1044" t="s">
        <v>2094</v>
      </c>
      <c r="AD32" s="1044" t="s">
        <v>2094</v>
      </c>
      <c r="AE32" s="1046"/>
      <c r="AF32" s="1047"/>
      <c r="AG32" s="1048"/>
      <c r="AL32" s="150" t="s">
        <v>2269</v>
      </c>
      <c r="AM32" s="150">
        <v>4</v>
      </c>
      <c r="AO32" s="546" t="s">
        <v>2269</v>
      </c>
      <c r="AP32" s="845">
        <v>4</v>
      </c>
    </row>
    <row r="33" spans="1:42" s="364" customFormat="1" ht="31.5" customHeight="1">
      <c r="A33" s="1049"/>
      <c r="B33" s="830" t="str">
        <f>'PRINTOUT(BOM)'!A37</f>
        <v/>
      </c>
      <c r="C33" s="1006">
        <f>'PRINTOUT(BOM)'!B37</f>
        <v>0</v>
      </c>
      <c r="D33" s="1006">
        <f>'PRINTOUT(BOM)'!C37</f>
        <v>0</v>
      </c>
      <c r="E33" s="1039"/>
      <c r="F33" s="981" t="str">
        <f t="shared" si="0"/>
        <v/>
      </c>
      <c r="G33" s="981" t="str">
        <f t="shared" si="1"/>
        <v/>
      </c>
      <c r="H33" s="981" t="str">
        <f t="shared" si="2"/>
        <v/>
      </c>
      <c r="I33" s="981" t="str">
        <f t="shared" si="3"/>
        <v/>
      </c>
      <c r="J33" s="981" t="str">
        <f t="shared" si="4"/>
        <v/>
      </c>
      <c r="K33" s="981" t="str">
        <f t="shared" si="5"/>
        <v/>
      </c>
      <c r="L33" s="981" t="str">
        <f t="shared" si="6"/>
        <v/>
      </c>
      <c r="M33" s="981" t="str">
        <f t="shared" si="7"/>
        <v/>
      </c>
      <c r="N33" s="980" t="str">
        <f t="shared" si="8"/>
        <v/>
      </c>
      <c r="O33" s="980" t="str">
        <f t="shared" si="9"/>
        <v/>
      </c>
      <c r="P33" s="997" t="str">
        <f t="shared" si="11"/>
        <v/>
      </c>
      <c r="Q33" s="363"/>
      <c r="R33" s="1040">
        <v>23</v>
      </c>
      <c r="S33" s="1052" t="s">
        <v>2112</v>
      </c>
      <c r="T33" s="1042" t="s">
        <v>2113</v>
      </c>
      <c r="U33" s="1053" t="s">
        <v>2347</v>
      </c>
      <c r="V33" s="1054" t="s">
        <v>2114</v>
      </c>
      <c r="W33" s="1054" t="s">
        <v>2093</v>
      </c>
      <c r="X33" s="1054" t="s">
        <v>2094</v>
      </c>
      <c r="Y33" s="1055" t="s">
        <v>2081</v>
      </c>
      <c r="Z33" s="1054" t="s">
        <v>2093</v>
      </c>
      <c r="AA33" s="1054" t="s">
        <v>2094</v>
      </c>
      <c r="AB33" s="1054" t="s">
        <v>2093</v>
      </c>
      <c r="AC33" s="1054" t="s">
        <v>2093</v>
      </c>
      <c r="AD33" s="1054" t="s">
        <v>2094</v>
      </c>
      <c r="AE33" s="1056"/>
      <c r="AF33" s="1057"/>
      <c r="AG33" s="1048"/>
      <c r="AL33" s="150" t="s">
        <v>1442</v>
      </c>
      <c r="AM33" s="150">
        <v>4</v>
      </c>
      <c r="AO33" s="546" t="s">
        <v>1442</v>
      </c>
      <c r="AP33" s="942">
        <v>4</v>
      </c>
    </row>
    <row r="34" spans="1:42" s="364" customFormat="1" ht="31.5" customHeight="1">
      <c r="A34" s="1049"/>
      <c r="B34" s="830" t="str">
        <f>'PRINTOUT(BOM)'!A38</f>
        <v/>
      </c>
      <c r="C34" s="1006">
        <f>'PRINTOUT(BOM)'!B38</f>
        <v>0</v>
      </c>
      <c r="D34" s="1006">
        <f>'PRINTOUT(BOM)'!C38</f>
        <v>0</v>
      </c>
      <c r="E34" s="1039"/>
      <c r="F34" s="981" t="str">
        <f t="shared" si="0"/>
        <v/>
      </c>
      <c r="G34" s="981" t="str">
        <f t="shared" si="1"/>
        <v/>
      </c>
      <c r="H34" s="981" t="str">
        <f t="shared" si="2"/>
        <v/>
      </c>
      <c r="I34" s="981" t="str">
        <f t="shared" si="3"/>
        <v/>
      </c>
      <c r="J34" s="981" t="str">
        <f t="shared" si="4"/>
        <v/>
      </c>
      <c r="K34" s="981" t="str">
        <f t="shared" si="5"/>
        <v/>
      </c>
      <c r="L34" s="981" t="str">
        <f t="shared" si="6"/>
        <v/>
      </c>
      <c r="M34" s="981" t="str">
        <f t="shared" si="7"/>
        <v/>
      </c>
      <c r="N34" s="980" t="str">
        <f t="shared" si="8"/>
        <v/>
      </c>
      <c r="O34" s="980" t="str">
        <f t="shared" si="9"/>
        <v/>
      </c>
      <c r="P34" s="997" t="str">
        <f t="shared" si="11"/>
        <v/>
      </c>
      <c r="Q34" s="363"/>
      <c r="R34" s="1040">
        <v>24</v>
      </c>
      <c r="S34" s="1052" t="s">
        <v>2112</v>
      </c>
      <c r="T34" s="1042" t="s">
        <v>2113</v>
      </c>
      <c r="U34" s="1053" t="s">
        <v>2348</v>
      </c>
      <c r="V34" s="1054" t="s">
        <v>2114</v>
      </c>
      <c r="W34" s="1054" t="s">
        <v>2093</v>
      </c>
      <c r="X34" s="1054" t="s">
        <v>2094</v>
      </c>
      <c r="Y34" s="1055" t="s">
        <v>2081</v>
      </c>
      <c r="Z34" s="1054" t="s">
        <v>2093</v>
      </c>
      <c r="AA34" s="1054" t="s">
        <v>2094</v>
      </c>
      <c r="AB34" s="1054" t="s">
        <v>2093</v>
      </c>
      <c r="AC34" s="1054" t="s">
        <v>2093</v>
      </c>
      <c r="AD34" s="1054" t="s">
        <v>2094</v>
      </c>
      <c r="AE34" s="1056"/>
      <c r="AF34" s="1057"/>
      <c r="AG34" s="1048"/>
      <c r="AL34" s="150" t="s">
        <v>1483</v>
      </c>
      <c r="AM34" s="150">
        <v>4</v>
      </c>
      <c r="AO34" s="546" t="s">
        <v>1483</v>
      </c>
      <c r="AP34" s="942">
        <v>4</v>
      </c>
    </row>
    <row r="35" spans="1:42" s="364" customFormat="1" ht="31.5" customHeight="1">
      <c r="A35" s="1049"/>
      <c r="B35" s="830" t="str">
        <f>'PRINTOUT(BOM)'!A39</f>
        <v/>
      </c>
      <c r="C35" s="1006">
        <f>'PRINTOUT(BOM)'!B39</f>
        <v>0</v>
      </c>
      <c r="D35" s="1006">
        <f>'PRINTOUT(BOM)'!C39</f>
        <v>0</v>
      </c>
      <c r="E35" s="1039"/>
      <c r="F35" s="981" t="str">
        <f t="shared" si="0"/>
        <v/>
      </c>
      <c r="G35" s="981" t="str">
        <f t="shared" si="1"/>
        <v/>
      </c>
      <c r="H35" s="981" t="str">
        <f t="shared" si="2"/>
        <v/>
      </c>
      <c r="I35" s="981" t="str">
        <f t="shared" si="3"/>
        <v/>
      </c>
      <c r="J35" s="981" t="str">
        <f t="shared" si="4"/>
        <v/>
      </c>
      <c r="K35" s="981" t="str">
        <f t="shared" si="5"/>
        <v/>
      </c>
      <c r="L35" s="981" t="str">
        <f t="shared" si="6"/>
        <v/>
      </c>
      <c r="M35" s="981" t="str">
        <f t="shared" si="7"/>
        <v/>
      </c>
      <c r="N35" s="980" t="str">
        <f t="shared" si="8"/>
        <v/>
      </c>
      <c r="O35" s="980" t="str">
        <f t="shared" si="9"/>
        <v/>
      </c>
      <c r="P35" s="997" t="str">
        <f t="shared" si="11"/>
        <v/>
      </c>
      <c r="Q35" s="363"/>
      <c r="R35" s="1040">
        <v>25</v>
      </c>
      <c r="S35" s="1052" t="s">
        <v>2112</v>
      </c>
      <c r="T35" s="1042" t="s">
        <v>2113</v>
      </c>
      <c r="U35" s="1053" t="s">
        <v>2349</v>
      </c>
      <c r="V35" s="1054" t="s">
        <v>2114</v>
      </c>
      <c r="W35" s="1054" t="s">
        <v>2093</v>
      </c>
      <c r="X35" s="1054" t="s">
        <v>2094</v>
      </c>
      <c r="Y35" s="1055" t="s">
        <v>2081</v>
      </c>
      <c r="Z35" s="1054" t="s">
        <v>2093</v>
      </c>
      <c r="AA35" s="1054" t="s">
        <v>2094</v>
      </c>
      <c r="AB35" s="1054" t="s">
        <v>2093</v>
      </c>
      <c r="AC35" s="1054" t="s">
        <v>2093</v>
      </c>
      <c r="AD35" s="1054" t="s">
        <v>2094</v>
      </c>
      <c r="AE35" s="1056"/>
      <c r="AF35" s="1057"/>
      <c r="AG35" s="1048"/>
    </row>
    <row r="36" spans="1:42" s="364" customFormat="1" ht="31.5" customHeight="1">
      <c r="A36" s="1049"/>
      <c r="B36" s="830" t="str">
        <f>'PRINTOUT(BOM)'!A40</f>
        <v/>
      </c>
      <c r="C36" s="1006">
        <f>'PRINTOUT(BOM)'!B40</f>
        <v>0</v>
      </c>
      <c r="D36" s="1006">
        <f>'PRINTOUT(BOM)'!C40</f>
        <v>0</v>
      </c>
      <c r="E36" s="1039"/>
      <c r="F36" s="981" t="str">
        <f t="shared" si="0"/>
        <v/>
      </c>
      <c r="G36" s="981" t="str">
        <f t="shared" si="1"/>
        <v/>
      </c>
      <c r="H36" s="981" t="str">
        <f t="shared" si="2"/>
        <v/>
      </c>
      <c r="I36" s="981" t="str">
        <f t="shared" si="3"/>
        <v/>
      </c>
      <c r="J36" s="981" t="str">
        <f t="shared" si="4"/>
        <v/>
      </c>
      <c r="K36" s="981" t="str">
        <f t="shared" si="5"/>
        <v/>
      </c>
      <c r="L36" s="981" t="str">
        <f t="shared" si="6"/>
        <v/>
      </c>
      <c r="M36" s="981" t="str">
        <f t="shared" si="7"/>
        <v/>
      </c>
      <c r="N36" s="980" t="str">
        <f t="shared" si="8"/>
        <v/>
      </c>
      <c r="O36" s="980" t="str">
        <f t="shared" si="9"/>
        <v/>
      </c>
      <c r="P36" s="997" t="str">
        <f t="shared" si="11"/>
        <v/>
      </c>
      <c r="Q36" s="363"/>
      <c r="R36" s="1040">
        <v>26</v>
      </c>
      <c r="S36" s="1052" t="s">
        <v>2112</v>
      </c>
      <c r="T36" s="1042" t="s">
        <v>2113</v>
      </c>
      <c r="U36" s="1053" t="s">
        <v>2350</v>
      </c>
      <c r="V36" s="1054" t="s">
        <v>2114</v>
      </c>
      <c r="W36" s="1054" t="s">
        <v>2093</v>
      </c>
      <c r="X36" s="1054" t="s">
        <v>2094</v>
      </c>
      <c r="Y36" s="1055" t="s">
        <v>2081</v>
      </c>
      <c r="Z36" s="1054" t="s">
        <v>2093</v>
      </c>
      <c r="AA36" s="1054" t="s">
        <v>2094</v>
      </c>
      <c r="AB36" s="1054" t="s">
        <v>2093</v>
      </c>
      <c r="AC36" s="1054" t="s">
        <v>2093</v>
      </c>
      <c r="AD36" s="1054" t="s">
        <v>2094</v>
      </c>
      <c r="AE36" s="1056"/>
      <c r="AF36" s="1057"/>
      <c r="AG36" s="1048"/>
    </row>
    <row r="37" spans="1:42" s="364" customFormat="1" ht="31.5" customHeight="1">
      <c r="A37" s="1049"/>
      <c r="B37" s="830" t="str">
        <f>'PRINTOUT(BOM)'!A41</f>
        <v/>
      </c>
      <c r="C37" s="1006">
        <f>'PRINTOUT(BOM)'!B41</f>
        <v>0</v>
      </c>
      <c r="D37" s="1006">
        <f>'PRINTOUT(BOM)'!C41</f>
        <v>0</v>
      </c>
      <c r="E37" s="1039"/>
      <c r="F37" s="981" t="str">
        <f t="shared" si="0"/>
        <v/>
      </c>
      <c r="G37" s="981" t="str">
        <f t="shared" si="1"/>
        <v/>
      </c>
      <c r="H37" s="981" t="str">
        <f t="shared" si="2"/>
        <v/>
      </c>
      <c r="I37" s="981" t="str">
        <f t="shared" si="3"/>
        <v/>
      </c>
      <c r="J37" s="981" t="str">
        <f t="shared" si="4"/>
        <v/>
      </c>
      <c r="K37" s="981" t="str">
        <f t="shared" si="5"/>
        <v/>
      </c>
      <c r="L37" s="981" t="str">
        <f t="shared" si="6"/>
        <v/>
      </c>
      <c r="M37" s="981" t="str">
        <f t="shared" si="7"/>
        <v/>
      </c>
      <c r="N37" s="980" t="str">
        <f t="shared" si="8"/>
        <v/>
      </c>
      <c r="O37" s="980" t="str">
        <f t="shared" si="9"/>
        <v/>
      </c>
      <c r="P37" s="997" t="str">
        <f t="shared" si="11"/>
        <v/>
      </c>
      <c r="Q37" s="363"/>
      <c r="R37" s="1040">
        <v>27</v>
      </c>
      <c r="S37" s="1052" t="s">
        <v>2112</v>
      </c>
      <c r="T37" s="1042" t="s">
        <v>2113</v>
      </c>
      <c r="U37" s="1053" t="s">
        <v>2351</v>
      </c>
      <c r="V37" s="1054" t="s">
        <v>2114</v>
      </c>
      <c r="W37" s="1054" t="s">
        <v>2093</v>
      </c>
      <c r="X37" s="1054" t="s">
        <v>2094</v>
      </c>
      <c r="Y37" s="1055" t="s">
        <v>2081</v>
      </c>
      <c r="Z37" s="1054" t="s">
        <v>2093</v>
      </c>
      <c r="AA37" s="1054" t="s">
        <v>2094</v>
      </c>
      <c r="AB37" s="1054" t="s">
        <v>2093</v>
      </c>
      <c r="AC37" s="1054" t="s">
        <v>2093</v>
      </c>
      <c r="AD37" s="1054" t="s">
        <v>2094</v>
      </c>
      <c r="AE37" s="1056"/>
      <c r="AF37" s="1057"/>
      <c r="AG37" s="1048"/>
    </row>
    <row r="38" spans="1:42" s="364" customFormat="1" ht="31.5" customHeight="1">
      <c r="A38" s="1049"/>
      <c r="B38" s="830" t="str">
        <f>'PRINTOUT(BOM)'!A42</f>
        <v/>
      </c>
      <c r="C38" s="1006">
        <f>'PRINTOUT(BOM)'!B42</f>
        <v>0</v>
      </c>
      <c r="D38" s="1006">
        <f>'PRINTOUT(BOM)'!C42</f>
        <v>0</v>
      </c>
      <c r="E38" s="1039"/>
      <c r="F38" s="981" t="str">
        <f t="shared" si="0"/>
        <v/>
      </c>
      <c r="G38" s="981" t="str">
        <f t="shared" si="1"/>
        <v/>
      </c>
      <c r="H38" s="981" t="str">
        <f t="shared" si="2"/>
        <v/>
      </c>
      <c r="I38" s="981" t="str">
        <f t="shared" si="3"/>
        <v/>
      </c>
      <c r="J38" s="981" t="str">
        <f t="shared" si="4"/>
        <v/>
      </c>
      <c r="K38" s="981" t="str">
        <f t="shared" si="5"/>
        <v/>
      </c>
      <c r="L38" s="981" t="str">
        <f t="shared" si="6"/>
        <v/>
      </c>
      <c r="M38" s="981" t="str">
        <f t="shared" si="7"/>
        <v/>
      </c>
      <c r="N38" s="980" t="str">
        <f t="shared" si="8"/>
        <v/>
      </c>
      <c r="O38" s="980" t="str">
        <f t="shared" si="9"/>
        <v/>
      </c>
      <c r="P38" s="997" t="str">
        <f t="shared" si="11"/>
        <v/>
      </c>
      <c r="Q38" s="363"/>
      <c r="R38" s="1040">
        <v>28</v>
      </c>
      <c r="S38" s="1052" t="s">
        <v>2112</v>
      </c>
      <c r="T38" s="1042" t="s">
        <v>2113</v>
      </c>
      <c r="U38" s="1053" t="s">
        <v>2352</v>
      </c>
      <c r="V38" s="1054" t="s">
        <v>2114</v>
      </c>
      <c r="W38" s="1054" t="s">
        <v>2093</v>
      </c>
      <c r="X38" s="1054" t="s">
        <v>2094</v>
      </c>
      <c r="Y38" s="1055" t="s">
        <v>2081</v>
      </c>
      <c r="Z38" s="1054" t="s">
        <v>2093</v>
      </c>
      <c r="AA38" s="1054" t="s">
        <v>2094</v>
      </c>
      <c r="AB38" s="1054" t="s">
        <v>2093</v>
      </c>
      <c r="AC38" s="1054" t="s">
        <v>2093</v>
      </c>
      <c r="AD38" s="1054" t="s">
        <v>2094</v>
      </c>
      <c r="AE38" s="1056"/>
      <c r="AF38" s="1057"/>
      <c r="AG38" s="1048"/>
    </row>
    <row r="39" spans="1:42" s="364" customFormat="1" ht="31.5" customHeight="1">
      <c r="A39" s="1049"/>
      <c r="B39" s="830" t="str">
        <f>'PRINTOUT(BOM)'!A43</f>
        <v/>
      </c>
      <c r="C39" s="1006">
        <f>'PRINTOUT(BOM)'!B43</f>
        <v>0</v>
      </c>
      <c r="D39" s="1006">
        <f>'PRINTOUT(BOM)'!C43</f>
        <v>0</v>
      </c>
      <c r="E39" s="1039"/>
      <c r="F39" s="981" t="str">
        <f t="shared" si="0"/>
        <v/>
      </c>
      <c r="G39" s="981" t="str">
        <f t="shared" si="1"/>
        <v/>
      </c>
      <c r="H39" s="981" t="str">
        <f t="shared" si="2"/>
        <v/>
      </c>
      <c r="I39" s="981" t="str">
        <f t="shared" si="3"/>
        <v/>
      </c>
      <c r="J39" s="981" t="str">
        <f t="shared" si="4"/>
        <v/>
      </c>
      <c r="K39" s="981" t="str">
        <f t="shared" si="5"/>
        <v/>
      </c>
      <c r="L39" s="981" t="str">
        <f t="shared" si="6"/>
        <v/>
      </c>
      <c r="M39" s="981" t="str">
        <f t="shared" si="7"/>
        <v/>
      </c>
      <c r="N39" s="980" t="str">
        <f t="shared" si="8"/>
        <v/>
      </c>
      <c r="O39" s="980" t="str">
        <f t="shared" si="9"/>
        <v/>
      </c>
      <c r="P39" s="997" t="str">
        <f t="shared" si="11"/>
        <v/>
      </c>
      <c r="Q39" s="363"/>
      <c r="R39" s="1040">
        <v>29</v>
      </c>
      <c r="S39" s="1052" t="s">
        <v>2112</v>
      </c>
      <c r="T39" s="1042" t="s">
        <v>2113</v>
      </c>
      <c r="U39" s="1053" t="s">
        <v>2353</v>
      </c>
      <c r="V39" s="1054" t="s">
        <v>2114</v>
      </c>
      <c r="W39" s="1054" t="s">
        <v>2093</v>
      </c>
      <c r="X39" s="1054" t="s">
        <v>2094</v>
      </c>
      <c r="Y39" s="1055" t="s">
        <v>2081</v>
      </c>
      <c r="Z39" s="1054" t="s">
        <v>2093</v>
      </c>
      <c r="AA39" s="1054" t="s">
        <v>2094</v>
      </c>
      <c r="AB39" s="1054" t="s">
        <v>2093</v>
      </c>
      <c r="AC39" s="1054" t="s">
        <v>2093</v>
      </c>
      <c r="AD39" s="1054" t="s">
        <v>2094</v>
      </c>
      <c r="AE39" s="1056"/>
      <c r="AF39" s="1057"/>
      <c r="AG39" s="1048"/>
    </row>
    <row r="40" spans="1:42" s="364" customFormat="1" ht="31.5" customHeight="1">
      <c r="A40" s="1038"/>
      <c r="B40" s="830" t="str">
        <f>'PRINTOUT(BOM)'!A44</f>
        <v/>
      </c>
      <c r="C40" s="1006">
        <f>'PRINTOUT(BOM)'!B44</f>
        <v>0</v>
      </c>
      <c r="D40" s="1006">
        <f>'PRINTOUT(BOM)'!C44</f>
        <v>0</v>
      </c>
      <c r="E40" s="1039"/>
      <c r="F40" s="981" t="str">
        <f t="shared" si="0"/>
        <v/>
      </c>
      <c r="G40" s="981" t="str">
        <f t="shared" si="1"/>
        <v/>
      </c>
      <c r="H40" s="981" t="str">
        <f t="shared" si="2"/>
        <v/>
      </c>
      <c r="I40" s="981" t="str">
        <f t="shared" si="3"/>
        <v/>
      </c>
      <c r="J40" s="981" t="str">
        <f t="shared" si="4"/>
        <v/>
      </c>
      <c r="K40" s="981" t="str">
        <f t="shared" si="5"/>
        <v/>
      </c>
      <c r="L40" s="981" t="str">
        <f t="shared" si="6"/>
        <v/>
      </c>
      <c r="M40" s="981" t="str">
        <f t="shared" si="7"/>
        <v/>
      </c>
      <c r="N40" s="980" t="str">
        <f t="shared" si="8"/>
        <v/>
      </c>
      <c r="O40" s="980" t="str">
        <f t="shared" si="9"/>
        <v/>
      </c>
      <c r="P40" s="997" t="str">
        <f t="shared" si="11"/>
        <v/>
      </c>
      <c r="Q40" s="363"/>
      <c r="R40" s="1040">
        <v>30</v>
      </c>
      <c r="S40" s="1052" t="s">
        <v>2112</v>
      </c>
      <c r="T40" s="1042" t="s">
        <v>2113</v>
      </c>
      <c r="U40" s="1053" t="s">
        <v>2354</v>
      </c>
      <c r="V40" s="1054" t="s">
        <v>2114</v>
      </c>
      <c r="W40" s="1054" t="s">
        <v>2093</v>
      </c>
      <c r="X40" s="1054" t="s">
        <v>2094</v>
      </c>
      <c r="Y40" s="1055" t="s">
        <v>2081</v>
      </c>
      <c r="Z40" s="1054" t="s">
        <v>2093</v>
      </c>
      <c r="AA40" s="1054" t="s">
        <v>2094</v>
      </c>
      <c r="AB40" s="1054" t="s">
        <v>2093</v>
      </c>
      <c r="AC40" s="1054" t="s">
        <v>2093</v>
      </c>
      <c r="AD40" s="1054" t="s">
        <v>2094</v>
      </c>
      <c r="AE40" s="1056"/>
      <c r="AF40" s="1057"/>
      <c r="AG40" s="1048"/>
    </row>
    <row r="41" spans="1:42" s="364" customFormat="1" ht="31.5" customHeight="1">
      <c r="A41" s="1049"/>
      <c r="B41" s="830" t="str">
        <f>'PRINTOUT(BOM)'!A45</f>
        <v/>
      </c>
      <c r="C41" s="1006">
        <f>'PRINTOUT(BOM)'!B45</f>
        <v>0</v>
      </c>
      <c r="D41" s="1006">
        <f>'PRINTOUT(BOM)'!C45</f>
        <v>0</v>
      </c>
      <c r="E41" s="1039"/>
      <c r="F41" s="981" t="str">
        <f t="shared" si="0"/>
        <v/>
      </c>
      <c r="G41" s="981" t="str">
        <f t="shared" ref="G41:G46" si="12">IFERROR(VLOOKUP(C41,$U:$AF,3,FALSE),"")</f>
        <v/>
      </c>
      <c r="H41" s="981" t="str">
        <f t="shared" ref="H41:H46" si="13">IFERROR(VLOOKUP(C41,$U:$AF,4,FALSE),"")</f>
        <v/>
      </c>
      <c r="I41" s="981" t="str">
        <f t="shared" ref="I41:I46" si="14">IFERROR(VLOOKUP(C41,$U:$AF,5,FALSE),"")</f>
        <v/>
      </c>
      <c r="J41" s="981" t="str">
        <f t="shared" ref="J41:J46" si="15">IFERROR(VLOOKUP(C41,$U:$AF,6,FALSE),"")</f>
        <v/>
      </c>
      <c r="K41" s="981" t="str">
        <f t="shared" ref="K41:K46" si="16">IFERROR(VLOOKUP(C41,$U:$AF,7,FALSE),"")</f>
        <v/>
      </c>
      <c r="L41" s="981" t="str">
        <f t="shared" ref="L41:L46" si="17">IFERROR(VLOOKUP(C41,$U:$AF,8,FALSE),"")</f>
        <v/>
      </c>
      <c r="M41" s="981" t="str">
        <f t="shared" ref="M41:M46" si="18">IFERROR(VLOOKUP(C41,$U:$AF,9,FALSE),"")</f>
        <v/>
      </c>
      <c r="N41" s="980" t="str">
        <f t="shared" ref="N41:N46" si="19">IFERROR(VLOOKUP(C41,$U:$AF,10,FALSE),"")</f>
        <v/>
      </c>
      <c r="O41" s="980" t="str">
        <f t="shared" ref="O41:O46" si="20">IFERROR(VLOOKUP(C41,$U:$AF,11,FALSE),"")</f>
        <v/>
      </c>
      <c r="P41" s="997" t="str">
        <f t="shared" ref="P41:P46" si="21">IFERROR(VLOOKUP(C41,$U:$AF,12,FALSE),"")</f>
        <v/>
      </c>
      <c r="Q41" s="363"/>
      <c r="R41" s="1040">
        <v>31</v>
      </c>
      <c r="S41" s="1052" t="s">
        <v>2115</v>
      </c>
      <c r="T41" s="1042" t="s">
        <v>2116</v>
      </c>
      <c r="U41" s="1053" t="s">
        <v>2177</v>
      </c>
      <c r="V41" s="1054" t="s">
        <v>2117</v>
      </c>
      <c r="W41" s="1054" t="s">
        <v>2093</v>
      </c>
      <c r="X41" s="1054" t="s">
        <v>2094</v>
      </c>
      <c r="Y41" s="1055" t="s">
        <v>2081</v>
      </c>
      <c r="Z41" s="1054" t="s">
        <v>2093</v>
      </c>
      <c r="AA41" s="1054" t="s">
        <v>2094</v>
      </c>
      <c r="AB41" s="1054" t="s">
        <v>2093</v>
      </c>
      <c r="AC41" s="1054" t="s">
        <v>2094</v>
      </c>
      <c r="AD41" s="1054" t="s">
        <v>2094</v>
      </c>
      <c r="AE41" s="1056"/>
      <c r="AF41" s="1057" t="s">
        <v>2103</v>
      </c>
      <c r="AG41" s="1048"/>
    </row>
    <row r="42" spans="1:42" s="364" customFormat="1" ht="31.5" customHeight="1">
      <c r="A42" s="1049"/>
      <c r="B42" s="830" t="str">
        <f>'PRINTOUT(BOM)'!A46</f>
        <v/>
      </c>
      <c r="C42" s="1006">
        <f>'PRINTOUT(BOM)'!B46</f>
        <v>0</v>
      </c>
      <c r="D42" s="1006">
        <f>'PRINTOUT(BOM)'!C46</f>
        <v>0</v>
      </c>
      <c r="E42" s="1039"/>
      <c r="F42" s="981" t="str">
        <f t="shared" si="0"/>
        <v/>
      </c>
      <c r="G42" s="981" t="str">
        <f t="shared" si="12"/>
        <v/>
      </c>
      <c r="H42" s="981" t="str">
        <f t="shared" si="13"/>
        <v/>
      </c>
      <c r="I42" s="981" t="str">
        <f t="shared" si="14"/>
        <v/>
      </c>
      <c r="J42" s="981" t="str">
        <f t="shared" si="15"/>
        <v/>
      </c>
      <c r="K42" s="981" t="str">
        <f t="shared" si="16"/>
        <v/>
      </c>
      <c r="L42" s="981" t="str">
        <f t="shared" si="17"/>
        <v/>
      </c>
      <c r="M42" s="981" t="str">
        <f t="shared" si="18"/>
        <v/>
      </c>
      <c r="N42" s="980" t="str">
        <f t="shared" si="19"/>
        <v/>
      </c>
      <c r="O42" s="980" t="str">
        <f t="shared" si="20"/>
        <v/>
      </c>
      <c r="P42" s="997" t="str">
        <f t="shared" si="21"/>
        <v/>
      </c>
      <c r="Q42" s="363"/>
      <c r="R42" s="1040">
        <v>32</v>
      </c>
      <c r="S42" s="1052" t="s">
        <v>2115</v>
      </c>
      <c r="T42" s="1042" t="s">
        <v>2116</v>
      </c>
      <c r="U42" s="1053" t="s">
        <v>2178</v>
      </c>
      <c r="V42" s="1054" t="s">
        <v>2117</v>
      </c>
      <c r="W42" s="1054" t="s">
        <v>2093</v>
      </c>
      <c r="X42" s="1054" t="s">
        <v>2094</v>
      </c>
      <c r="Y42" s="1055" t="s">
        <v>2081</v>
      </c>
      <c r="Z42" s="1054" t="s">
        <v>2093</v>
      </c>
      <c r="AA42" s="1054" t="s">
        <v>2094</v>
      </c>
      <c r="AB42" s="1054" t="s">
        <v>2093</v>
      </c>
      <c r="AC42" s="1054" t="s">
        <v>2094</v>
      </c>
      <c r="AD42" s="1054" t="s">
        <v>2094</v>
      </c>
      <c r="AE42" s="1056"/>
      <c r="AF42" s="1057" t="s">
        <v>2103</v>
      </c>
      <c r="AG42" s="1048"/>
    </row>
    <row r="43" spans="1:42" s="364" customFormat="1" ht="31.5" customHeight="1">
      <c r="A43" s="1049"/>
      <c r="B43" s="830" t="str">
        <f>'PRINTOUT(BOM)'!A47</f>
        <v/>
      </c>
      <c r="C43" s="1006">
        <f>'PRINTOUT(BOM)'!B47</f>
        <v>0</v>
      </c>
      <c r="D43" s="1006">
        <f>'PRINTOUT(BOM)'!C47</f>
        <v>0</v>
      </c>
      <c r="E43" s="1039"/>
      <c r="F43" s="981" t="str">
        <f t="shared" si="0"/>
        <v/>
      </c>
      <c r="G43" s="981" t="str">
        <f t="shared" si="12"/>
        <v/>
      </c>
      <c r="H43" s="981" t="str">
        <f t="shared" si="13"/>
        <v/>
      </c>
      <c r="I43" s="981" t="str">
        <f t="shared" si="14"/>
        <v/>
      </c>
      <c r="J43" s="981" t="str">
        <f t="shared" si="15"/>
        <v/>
      </c>
      <c r="K43" s="981" t="str">
        <f t="shared" si="16"/>
        <v/>
      </c>
      <c r="L43" s="981" t="str">
        <f t="shared" si="17"/>
        <v/>
      </c>
      <c r="M43" s="981" t="str">
        <f t="shared" si="18"/>
        <v/>
      </c>
      <c r="N43" s="980" t="str">
        <f t="shared" si="19"/>
        <v/>
      </c>
      <c r="O43" s="980" t="str">
        <f t="shared" si="20"/>
        <v/>
      </c>
      <c r="P43" s="997" t="str">
        <f t="shared" si="21"/>
        <v/>
      </c>
      <c r="Q43" s="363"/>
      <c r="R43" s="1040">
        <v>33</v>
      </c>
      <c r="S43" s="1052" t="s">
        <v>2115</v>
      </c>
      <c r="T43" s="1042" t="s">
        <v>2116</v>
      </c>
      <c r="U43" s="1053" t="s">
        <v>2179</v>
      </c>
      <c r="V43" s="1054" t="s">
        <v>2117</v>
      </c>
      <c r="W43" s="1054" t="s">
        <v>2093</v>
      </c>
      <c r="X43" s="1054" t="s">
        <v>2094</v>
      </c>
      <c r="Y43" s="1055" t="s">
        <v>2081</v>
      </c>
      <c r="Z43" s="1054" t="s">
        <v>2093</v>
      </c>
      <c r="AA43" s="1054" t="s">
        <v>2094</v>
      </c>
      <c r="AB43" s="1054" t="s">
        <v>2093</v>
      </c>
      <c r="AC43" s="1054" t="s">
        <v>2094</v>
      </c>
      <c r="AD43" s="1054" t="s">
        <v>2094</v>
      </c>
      <c r="AE43" s="1056"/>
      <c r="AF43" s="1057" t="s">
        <v>2103</v>
      </c>
      <c r="AG43" s="1048"/>
    </row>
    <row r="44" spans="1:42" s="364" customFormat="1" ht="31.5" customHeight="1">
      <c r="A44" s="1049"/>
      <c r="B44" s="830" t="str">
        <f>'PRINTOUT(BOM)'!A48</f>
        <v/>
      </c>
      <c r="C44" s="1006">
        <f>'PRINTOUT(BOM)'!B48</f>
        <v>0</v>
      </c>
      <c r="D44" s="1006">
        <f>'PRINTOUT(BOM)'!C48</f>
        <v>0</v>
      </c>
      <c r="E44" s="1039"/>
      <c r="F44" s="981" t="str">
        <f t="shared" si="0"/>
        <v/>
      </c>
      <c r="G44" s="981" t="str">
        <f t="shared" si="12"/>
        <v/>
      </c>
      <c r="H44" s="981" t="str">
        <f t="shared" si="13"/>
        <v/>
      </c>
      <c r="I44" s="981" t="str">
        <f t="shared" si="14"/>
        <v/>
      </c>
      <c r="J44" s="981" t="str">
        <f t="shared" si="15"/>
        <v/>
      </c>
      <c r="K44" s="981" t="str">
        <f t="shared" si="16"/>
        <v/>
      </c>
      <c r="L44" s="981" t="str">
        <f t="shared" si="17"/>
        <v/>
      </c>
      <c r="M44" s="981" t="str">
        <f t="shared" si="18"/>
        <v/>
      </c>
      <c r="N44" s="980" t="str">
        <f t="shared" si="19"/>
        <v/>
      </c>
      <c r="O44" s="980" t="str">
        <f t="shared" si="20"/>
        <v/>
      </c>
      <c r="P44" s="997" t="str">
        <f t="shared" si="21"/>
        <v/>
      </c>
      <c r="Q44" s="363"/>
      <c r="R44" s="1040">
        <v>34</v>
      </c>
      <c r="S44" s="1052" t="s">
        <v>2115</v>
      </c>
      <c r="T44" s="1042" t="s">
        <v>2116</v>
      </c>
      <c r="U44" s="1053" t="s">
        <v>2180</v>
      </c>
      <c r="V44" s="1054" t="s">
        <v>2117</v>
      </c>
      <c r="W44" s="1054" t="s">
        <v>2093</v>
      </c>
      <c r="X44" s="1054" t="s">
        <v>2094</v>
      </c>
      <c r="Y44" s="1055" t="s">
        <v>2081</v>
      </c>
      <c r="Z44" s="1054" t="s">
        <v>2093</v>
      </c>
      <c r="AA44" s="1054" t="s">
        <v>2094</v>
      </c>
      <c r="AB44" s="1054" t="s">
        <v>2093</v>
      </c>
      <c r="AC44" s="1054" t="s">
        <v>2094</v>
      </c>
      <c r="AD44" s="1054" t="s">
        <v>2094</v>
      </c>
      <c r="AE44" s="1056"/>
      <c r="AF44" s="1057" t="s">
        <v>2103</v>
      </c>
      <c r="AG44" s="1048"/>
    </row>
    <row r="45" spans="1:42" s="364" customFormat="1" ht="31.5" customHeight="1">
      <c r="A45" s="1049"/>
      <c r="B45" s="830" t="str">
        <f>'PRINTOUT(BOM)'!A49</f>
        <v/>
      </c>
      <c r="C45" s="1006">
        <f>'PRINTOUT(BOM)'!B49</f>
        <v>0</v>
      </c>
      <c r="D45" s="1006">
        <f>'PRINTOUT(BOM)'!C49</f>
        <v>0</v>
      </c>
      <c r="E45" s="1039"/>
      <c r="F45" s="981" t="str">
        <f t="shared" si="0"/>
        <v/>
      </c>
      <c r="G45" s="981" t="str">
        <f t="shared" si="12"/>
        <v/>
      </c>
      <c r="H45" s="981" t="str">
        <f t="shared" si="13"/>
        <v/>
      </c>
      <c r="I45" s="981" t="str">
        <f t="shared" si="14"/>
        <v/>
      </c>
      <c r="J45" s="981" t="str">
        <f t="shared" si="15"/>
        <v/>
      </c>
      <c r="K45" s="981" t="str">
        <f t="shared" si="16"/>
        <v/>
      </c>
      <c r="L45" s="981" t="str">
        <f t="shared" si="17"/>
        <v/>
      </c>
      <c r="M45" s="981" t="str">
        <f t="shared" si="18"/>
        <v/>
      </c>
      <c r="N45" s="980" t="str">
        <f t="shared" si="19"/>
        <v/>
      </c>
      <c r="O45" s="980" t="str">
        <f t="shared" si="20"/>
        <v/>
      </c>
      <c r="P45" s="997" t="str">
        <f t="shared" si="21"/>
        <v/>
      </c>
      <c r="Q45" s="363"/>
      <c r="R45" s="1040">
        <v>35</v>
      </c>
      <c r="S45" s="1052" t="s">
        <v>2115</v>
      </c>
      <c r="T45" s="1042" t="s">
        <v>2116</v>
      </c>
      <c r="U45" s="1053" t="s">
        <v>2181</v>
      </c>
      <c r="V45" s="1054" t="s">
        <v>2117</v>
      </c>
      <c r="W45" s="1054" t="s">
        <v>2093</v>
      </c>
      <c r="X45" s="1054" t="s">
        <v>2094</v>
      </c>
      <c r="Y45" s="1055" t="s">
        <v>2081</v>
      </c>
      <c r="Z45" s="1054" t="s">
        <v>2093</v>
      </c>
      <c r="AA45" s="1054" t="s">
        <v>2094</v>
      </c>
      <c r="AB45" s="1054" t="s">
        <v>2093</v>
      </c>
      <c r="AC45" s="1054" t="s">
        <v>2094</v>
      </c>
      <c r="AD45" s="1054" t="s">
        <v>2094</v>
      </c>
      <c r="AE45" s="1056"/>
      <c r="AF45" s="1057" t="s">
        <v>2103</v>
      </c>
      <c r="AG45" s="1048"/>
    </row>
    <row r="46" spans="1:42" s="364" customFormat="1" ht="31.5" customHeight="1">
      <c r="A46" s="1049"/>
      <c r="B46" s="830" t="str">
        <f>'PRINTOUT(BOM)'!A50</f>
        <v/>
      </c>
      <c r="C46" s="1006">
        <f>'PRINTOUT(BOM)'!B50</f>
        <v>0</v>
      </c>
      <c r="D46" s="1006">
        <f>'PRINTOUT(BOM)'!C50</f>
        <v>0</v>
      </c>
      <c r="E46" s="1039"/>
      <c r="F46" s="981" t="str">
        <f t="shared" si="0"/>
        <v/>
      </c>
      <c r="G46" s="981" t="str">
        <f t="shared" si="12"/>
        <v/>
      </c>
      <c r="H46" s="981" t="str">
        <f t="shared" si="13"/>
        <v/>
      </c>
      <c r="I46" s="981" t="str">
        <f t="shared" si="14"/>
        <v/>
      </c>
      <c r="J46" s="981" t="str">
        <f t="shared" si="15"/>
        <v/>
      </c>
      <c r="K46" s="981" t="str">
        <f t="shared" si="16"/>
        <v/>
      </c>
      <c r="L46" s="981" t="str">
        <f t="shared" si="17"/>
        <v/>
      </c>
      <c r="M46" s="981" t="str">
        <f t="shared" si="18"/>
        <v/>
      </c>
      <c r="N46" s="980" t="str">
        <f t="shared" si="19"/>
        <v/>
      </c>
      <c r="O46" s="980" t="str">
        <f t="shared" si="20"/>
        <v/>
      </c>
      <c r="P46" s="997" t="str">
        <f t="shared" si="21"/>
        <v/>
      </c>
      <c r="Q46" s="363"/>
      <c r="R46" s="1040">
        <v>36</v>
      </c>
      <c r="S46" s="1052" t="s">
        <v>2115</v>
      </c>
      <c r="T46" s="1042" t="s">
        <v>2116</v>
      </c>
      <c r="U46" s="1053" t="s">
        <v>2182</v>
      </c>
      <c r="V46" s="1054" t="s">
        <v>2117</v>
      </c>
      <c r="W46" s="1054" t="s">
        <v>2093</v>
      </c>
      <c r="X46" s="1054" t="s">
        <v>2094</v>
      </c>
      <c r="Y46" s="1055" t="s">
        <v>2081</v>
      </c>
      <c r="Z46" s="1054" t="s">
        <v>2093</v>
      </c>
      <c r="AA46" s="1054" t="s">
        <v>2094</v>
      </c>
      <c r="AB46" s="1054" t="s">
        <v>2093</v>
      </c>
      <c r="AC46" s="1054" t="s">
        <v>2094</v>
      </c>
      <c r="AD46" s="1054" t="s">
        <v>2094</v>
      </c>
      <c r="AE46" s="1056"/>
      <c r="AF46" s="1057" t="s">
        <v>2103</v>
      </c>
      <c r="AG46" s="1048"/>
    </row>
    <row r="47" spans="1:42" s="364" customFormat="1" ht="31.5" customHeight="1" thickBot="1">
      <c r="A47" s="1494" t="s">
        <v>2223</v>
      </c>
      <c r="B47" s="1495"/>
      <c r="C47" s="1496"/>
      <c r="D47" s="998">
        <f>SUM(D11:D46)</f>
        <v>160</v>
      </c>
      <c r="E47" s="999"/>
      <c r="F47" s="1000" t="str">
        <f t="shared" ref="F47:F52" si="22">IFERROR(VLOOKUP(C47,$U:$AF,2,FALSE),"")</f>
        <v/>
      </c>
      <c r="G47" s="1000" t="str">
        <f t="shared" ref="G47:G52" si="23">IFERROR(VLOOKUP(C47,$U:$AF,3,FALSE),"")</f>
        <v/>
      </c>
      <c r="H47" s="1000" t="str">
        <f t="shared" ref="H47:H52" si="24">IFERROR(VLOOKUP(C47,$U:$AF,4,FALSE),"")</f>
        <v/>
      </c>
      <c r="I47" s="1000" t="str">
        <f t="shared" ref="I47:I52" si="25">IFERROR(VLOOKUP(C47,$U:$AF,5,FALSE),"")</f>
        <v/>
      </c>
      <c r="J47" s="1000" t="str">
        <f t="shared" ref="J47:J52" si="26">IFERROR(VLOOKUP(C47,$U:$AF,6,FALSE),"")</f>
        <v/>
      </c>
      <c r="K47" s="1000" t="str">
        <f t="shared" ref="K47:K52" si="27">IFERROR(VLOOKUP(C47,$U:$AF,7,FALSE),"")</f>
        <v/>
      </c>
      <c r="L47" s="1000" t="str">
        <f t="shared" ref="L47:L52" si="28">IFERROR(VLOOKUP(C47,$U:$AF,8,FALSE),"")</f>
        <v/>
      </c>
      <c r="M47" s="1000" t="str">
        <f t="shared" ref="M47:M52" si="29">IFERROR(VLOOKUP(C47,$U:$AF,9,FALSE),"")</f>
        <v/>
      </c>
      <c r="N47" s="1001" t="str">
        <f t="shared" ref="N47:N52" si="30">IFERROR(VLOOKUP(C47,$U:$AF,10,FALSE),"")</f>
        <v/>
      </c>
      <c r="O47" s="1001" t="str">
        <f t="shared" ref="O47:O52" si="31">IFERROR(VLOOKUP(C47,$U:$AF,11,FALSE),"")</f>
        <v/>
      </c>
      <c r="P47" s="1002" t="str">
        <f t="shared" ref="P47:P52" si="32">IFERROR(VLOOKUP(C47,$U:$AF,12,FALSE),"")</f>
        <v/>
      </c>
      <c r="Q47" s="363"/>
      <c r="R47" s="1040">
        <v>37</v>
      </c>
      <c r="S47" s="1052" t="s">
        <v>2115</v>
      </c>
      <c r="T47" s="1042" t="s">
        <v>2116</v>
      </c>
      <c r="U47" s="1053" t="s">
        <v>2183</v>
      </c>
      <c r="V47" s="1054" t="s">
        <v>2117</v>
      </c>
      <c r="W47" s="1054" t="s">
        <v>2093</v>
      </c>
      <c r="X47" s="1054" t="s">
        <v>2094</v>
      </c>
      <c r="Y47" s="1055" t="s">
        <v>2081</v>
      </c>
      <c r="Z47" s="1054" t="s">
        <v>2093</v>
      </c>
      <c r="AA47" s="1054" t="s">
        <v>2094</v>
      </c>
      <c r="AB47" s="1054" t="s">
        <v>2093</v>
      </c>
      <c r="AC47" s="1054" t="s">
        <v>2094</v>
      </c>
      <c r="AD47" s="1054" t="s">
        <v>2094</v>
      </c>
      <c r="AE47" s="1056"/>
      <c r="AF47" s="1057" t="s">
        <v>2103</v>
      </c>
      <c r="AG47" s="1048"/>
    </row>
    <row r="48" spans="1:42" s="364" customFormat="1" ht="31.5" customHeight="1">
      <c r="B48" s="972" t="s">
        <v>1286</v>
      </c>
      <c r="C48" s="972" t="s">
        <v>1286</v>
      </c>
      <c r="D48" s="978" t="s">
        <v>1286</v>
      </c>
      <c r="F48" s="972" t="str">
        <f t="shared" si="22"/>
        <v/>
      </c>
      <c r="G48" s="972" t="str">
        <f t="shared" si="23"/>
        <v/>
      </c>
      <c r="H48" s="972" t="str">
        <f t="shared" si="24"/>
        <v/>
      </c>
      <c r="I48" s="972" t="str">
        <f t="shared" si="25"/>
        <v/>
      </c>
      <c r="J48" s="972" t="str">
        <f t="shared" si="26"/>
        <v/>
      </c>
      <c r="K48" s="972" t="str">
        <f t="shared" si="27"/>
        <v/>
      </c>
      <c r="L48" s="972" t="str">
        <f t="shared" si="28"/>
        <v/>
      </c>
      <c r="M48" s="972" t="str">
        <f t="shared" si="29"/>
        <v/>
      </c>
      <c r="N48" s="363" t="str">
        <f t="shared" si="30"/>
        <v/>
      </c>
      <c r="O48" s="363" t="str">
        <f t="shared" si="31"/>
        <v/>
      </c>
      <c r="P48" s="363" t="str">
        <f t="shared" si="32"/>
        <v/>
      </c>
      <c r="Q48" s="363"/>
      <c r="R48" s="1040">
        <v>38</v>
      </c>
      <c r="S48" s="1052" t="s">
        <v>2115</v>
      </c>
      <c r="T48" s="1042" t="s">
        <v>2116</v>
      </c>
      <c r="U48" s="1053" t="s">
        <v>2184</v>
      </c>
      <c r="V48" s="1054" t="s">
        <v>2117</v>
      </c>
      <c r="W48" s="1054" t="s">
        <v>2093</v>
      </c>
      <c r="X48" s="1054" t="s">
        <v>2094</v>
      </c>
      <c r="Y48" s="1055" t="s">
        <v>2081</v>
      </c>
      <c r="Z48" s="1054" t="s">
        <v>2093</v>
      </c>
      <c r="AA48" s="1054" t="s">
        <v>2094</v>
      </c>
      <c r="AB48" s="1054" t="s">
        <v>2093</v>
      </c>
      <c r="AC48" s="1054" t="s">
        <v>2094</v>
      </c>
      <c r="AD48" s="1054" t="s">
        <v>2094</v>
      </c>
      <c r="AE48" s="1056"/>
      <c r="AF48" s="1057" t="s">
        <v>2103</v>
      </c>
      <c r="AG48" s="1048"/>
    </row>
    <row r="49" spans="2:33" s="364" customFormat="1" ht="31.5" customHeight="1">
      <c r="B49" s="972" t="s">
        <v>1286</v>
      </c>
      <c r="C49" s="972" t="s">
        <v>1286</v>
      </c>
      <c r="D49" s="973" t="s">
        <v>1286</v>
      </c>
      <c r="F49" s="972" t="str">
        <f t="shared" si="22"/>
        <v/>
      </c>
      <c r="G49" s="972" t="str">
        <f t="shared" si="23"/>
        <v/>
      </c>
      <c r="H49" s="972" t="str">
        <f t="shared" si="24"/>
        <v/>
      </c>
      <c r="I49" s="972" t="str">
        <f t="shared" si="25"/>
        <v/>
      </c>
      <c r="J49" s="972" t="str">
        <f t="shared" si="26"/>
        <v/>
      </c>
      <c r="K49" s="972" t="str">
        <f t="shared" si="27"/>
        <v/>
      </c>
      <c r="L49" s="972" t="str">
        <f t="shared" si="28"/>
        <v/>
      </c>
      <c r="M49" s="972" t="str">
        <f t="shared" si="29"/>
        <v/>
      </c>
      <c r="N49" s="363" t="str">
        <f t="shared" si="30"/>
        <v/>
      </c>
      <c r="O49" s="363" t="str">
        <f t="shared" si="31"/>
        <v/>
      </c>
      <c r="P49" s="363" t="str">
        <f t="shared" si="32"/>
        <v/>
      </c>
      <c r="Q49" s="363"/>
      <c r="R49" s="1040">
        <v>39</v>
      </c>
      <c r="S49" s="1052" t="s">
        <v>2115</v>
      </c>
      <c r="T49" s="1042" t="s">
        <v>2116</v>
      </c>
      <c r="U49" s="1053" t="s">
        <v>2185</v>
      </c>
      <c r="V49" s="1054" t="s">
        <v>2117</v>
      </c>
      <c r="W49" s="1054" t="s">
        <v>2093</v>
      </c>
      <c r="X49" s="1054" t="s">
        <v>2094</v>
      </c>
      <c r="Y49" s="1055" t="s">
        <v>2081</v>
      </c>
      <c r="Z49" s="1054" t="s">
        <v>2093</v>
      </c>
      <c r="AA49" s="1054" t="s">
        <v>2094</v>
      </c>
      <c r="AB49" s="1054" t="s">
        <v>2093</v>
      </c>
      <c r="AC49" s="1054" t="s">
        <v>2094</v>
      </c>
      <c r="AD49" s="1054" t="s">
        <v>2094</v>
      </c>
      <c r="AE49" s="1056"/>
      <c r="AF49" s="1057" t="s">
        <v>2103</v>
      </c>
      <c r="AG49" s="1048"/>
    </row>
    <row r="50" spans="2:33" s="364" customFormat="1" ht="31.5" customHeight="1">
      <c r="B50" s="972" t="s">
        <v>1286</v>
      </c>
      <c r="C50" s="972" t="s">
        <v>1286</v>
      </c>
      <c r="D50" s="973" t="s">
        <v>1286</v>
      </c>
      <c r="F50" s="972" t="str">
        <f t="shared" si="22"/>
        <v/>
      </c>
      <c r="G50" s="972" t="str">
        <f t="shared" si="23"/>
        <v/>
      </c>
      <c r="H50" s="972" t="str">
        <f t="shared" si="24"/>
        <v/>
      </c>
      <c r="I50" s="972" t="str">
        <f t="shared" si="25"/>
        <v/>
      </c>
      <c r="J50" s="972" t="str">
        <f t="shared" si="26"/>
        <v/>
      </c>
      <c r="K50" s="972" t="str">
        <f t="shared" si="27"/>
        <v/>
      </c>
      <c r="L50" s="972" t="str">
        <f t="shared" si="28"/>
        <v/>
      </c>
      <c r="M50" s="972" t="str">
        <f t="shared" si="29"/>
        <v/>
      </c>
      <c r="N50" s="363" t="str">
        <f t="shared" si="30"/>
        <v/>
      </c>
      <c r="O50" s="363" t="str">
        <f t="shared" si="31"/>
        <v/>
      </c>
      <c r="P50" s="363" t="str">
        <f t="shared" si="32"/>
        <v/>
      </c>
      <c r="Q50" s="363"/>
      <c r="R50" s="1040">
        <v>40</v>
      </c>
      <c r="S50" s="1052" t="s">
        <v>2118</v>
      </c>
      <c r="T50" s="1042" t="s">
        <v>2119</v>
      </c>
      <c r="U50" s="1053" t="s">
        <v>2332</v>
      </c>
      <c r="V50" s="1054" t="s">
        <v>2120</v>
      </c>
      <c r="W50" s="1054" t="s">
        <v>2093</v>
      </c>
      <c r="X50" s="1054" t="s">
        <v>2094</v>
      </c>
      <c r="Y50" s="1055" t="s">
        <v>2081</v>
      </c>
      <c r="Z50" s="1054" t="s">
        <v>2093</v>
      </c>
      <c r="AA50" s="1054" t="s">
        <v>2094</v>
      </c>
      <c r="AB50" s="1054" t="s">
        <v>2093</v>
      </c>
      <c r="AC50" s="1054" t="s">
        <v>2093</v>
      </c>
      <c r="AD50" s="1054" t="s">
        <v>2094</v>
      </c>
      <c r="AE50" s="1056"/>
      <c r="AF50" s="1057" t="s">
        <v>2103</v>
      </c>
      <c r="AG50" s="1048"/>
    </row>
    <row r="51" spans="2:33" s="364" customFormat="1" ht="24" customHeight="1">
      <c r="B51" s="972" t="s">
        <v>1286</v>
      </c>
      <c r="C51" s="972" t="s">
        <v>1286</v>
      </c>
      <c r="D51" s="973" t="s">
        <v>1286</v>
      </c>
      <c r="F51" s="972" t="str">
        <f t="shared" si="22"/>
        <v/>
      </c>
      <c r="G51" s="972" t="str">
        <f t="shared" si="23"/>
        <v/>
      </c>
      <c r="H51" s="972" t="str">
        <f t="shared" si="24"/>
        <v/>
      </c>
      <c r="I51" s="972" t="str">
        <f t="shared" si="25"/>
        <v/>
      </c>
      <c r="J51" s="972" t="str">
        <f t="shared" si="26"/>
        <v/>
      </c>
      <c r="K51" s="972" t="str">
        <f t="shared" si="27"/>
        <v/>
      </c>
      <c r="L51" s="972" t="str">
        <f t="shared" si="28"/>
        <v/>
      </c>
      <c r="M51" s="972" t="str">
        <f t="shared" si="29"/>
        <v/>
      </c>
      <c r="N51" s="363" t="str">
        <f t="shared" si="30"/>
        <v/>
      </c>
      <c r="O51" s="363" t="str">
        <f t="shared" si="31"/>
        <v/>
      </c>
      <c r="P51" s="363" t="str">
        <f t="shared" si="32"/>
        <v/>
      </c>
      <c r="Q51" s="363"/>
      <c r="R51" s="1040">
        <v>41</v>
      </c>
      <c r="S51" s="1052" t="s">
        <v>2118</v>
      </c>
      <c r="T51" s="1042" t="s">
        <v>2119</v>
      </c>
      <c r="U51" s="1053" t="s">
        <v>2333</v>
      </c>
      <c r="V51" s="1054" t="s">
        <v>2120</v>
      </c>
      <c r="W51" s="1054" t="s">
        <v>2093</v>
      </c>
      <c r="X51" s="1054" t="s">
        <v>2094</v>
      </c>
      <c r="Y51" s="1055" t="s">
        <v>2081</v>
      </c>
      <c r="Z51" s="1054" t="s">
        <v>2093</v>
      </c>
      <c r="AA51" s="1054" t="s">
        <v>2094</v>
      </c>
      <c r="AB51" s="1054" t="s">
        <v>2093</v>
      </c>
      <c r="AC51" s="1054" t="s">
        <v>2093</v>
      </c>
      <c r="AD51" s="1054" t="s">
        <v>2094</v>
      </c>
      <c r="AE51" s="1056"/>
      <c r="AF51" s="1057" t="s">
        <v>2103</v>
      </c>
      <c r="AG51" s="1048"/>
    </row>
    <row r="52" spans="2:33" s="364" customFormat="1" ht="24" customHeight="1">
      <c r="B52" s="972" t="s">
        <v>1286</v>
      </c>
      <c r="C52" s="972" t="s">
        <v>1286</v>
      </c>
      <c r="D52" s="973" t="s">
        <v>1286</v>
      </c>
      <c r="F52" s="972" t="str">
        <f t="shared" si="22"/>
        <v/>
      </c>
      <c r="G52" s="972" t="str">
        <f t="shared" si="23"/>
        <v/>
      </c>
      <c r="H52" s="972" t="str">
        <f t="shared" si="24"/>
        <v/>
      </c>
      <c r="I52" s="972" t="str">
        <f t="shared" si="25"/>
        <v/>
      </c>
      <c r="J52" s="972" t="str">
        <f t="shared" si="26"/>
        <v/>
      </c>
      <c r="K52" s="972" t="str">
        <f t="shared" si="27"/>
        <v/>
      </c>
      <c r="L52" s="972" t="str">
        <f t="shared" si="28"/>
        <v/>
      </c>
      <c r="M52" s="972" t="str">
        <f t="shared" si="29"/>
        <v/>
      </c>
      <c r="N52" s="363" t="str">
        <f t="shared" si="30"/>
        <v/>
      </c>
      <c r="O52" s="363" t="str">
        <f t="shared" si="31"/>
        <v/>
      </c>
      <c r="P52" s="363" t="str">
        <f t="shared" si="32"/>
        <v/>
      </c>
      <c r="Q52" s="363"/>
      <c r="R52" s="1040">
        <v>42</v>
      </c>
      <c r="S52" s="1052" t="s">
        <v>2118</v>
      </c>
      <c r="T52" s="1042" t="s">
        <v>2119</v>
      </c>
      <c r="U52" s="1053" t="s">
        <v>2334</v>
      </c>
      <c r="V52" s="1054" t="s">
        <v>2120</v>
      </c>
      <c r="W52" s="1054" t="s">
        <v>2093</v>
      </c>
      <c r="X52" s="1054" t="s">
        <v>2094</v>
      </c>
      <c r="Y52" s="1055" t="s">
        <v>2081</v>
      </c>
      <c r="Z52" s="1054" t="s">
        <v>2093</v>
      </c>
      <c r="AA52" s="1054" t="s">
        <v>2094</v>
      </c>
      <c r="AB52" s="1054" t="s">
        <v>2093</v>
      </c>
      <c r="AC52" s="1054" t="s">
        <v>2093</v>
      </c>
      <c r="AD52" s="1054" t="s">
        <v>2094</v>
      </c>
      <c r="AE52" s="1056"/>
      <c r="AF52" s="1057" t="s">
        <v>2103</v>
      </c>
      <c r="AG52" s="1048"/>
    </row>
    <row r="53" spans="2:33" s="364" customFormat="1" ht="24" customHeight="1">
      <c r="B53" s="972"/>
      <c r="C53" s="972"/>
      <c r="D53" s="973"/>
      <c r="F53" s="972"/>
      <c r="G53" s="972"/>
      <c r="H53" s="972"/>
      <c r="I53" s="972"/>
      <c r="J53" s="972"/>
      <c r="K53" s="972"/>
      <c r="L53" s="972"/>
      <c r="M53" s="972"/>
      <c r="N53" s="363"/>
      <c r="O53" s="363"/>
      <c r="P53" s="363"/>
      <c r="Q53" s="363"/>
      <c r="R53" s="1040">
        <v>43</v>
      </c>
      <c r="S53" s="1052" t="s">
        <v>2118</v>
      </c>
      <c r="T53" s="1042" t="s">
        <v>2121</v>
      </c>
      <c r="U53" s="1053" t="s">
        <v>2335</v>
      </c>
      <c r="V53" s="1054" t="s">
        <v>2122</v>
      </c>
      <c r="W53" s="1054" t="s">
        <v>2093</v>
      </c>
      <c r="X53" s="1054" t="s">
        <v>2094</v>
      </c>
      <c r="Y53" s="1055" t="s">
        <v>2081</v>
      </c>
      <c r="Z53" s="1054" t="s">
        <v>2093</v>
      </c>
      <c r="AA53" s="1054" t="s">
        <v>2094</v>
      </c>
      <c r="AB53" s="1054" t="s">
        <v>2093</v>
      </c>
      <c r="AC53" s="1054" t="s">
        <v>2093</v>
      </c>
      <c r="AD53" s="1054" t="s">
        <v>2094</v>
      </c>
      <c r="AE53" s="1056"/>
      <c r="AF53" s="1057" t="s">
        <v>2103</v>
      </c>
      <c r="AG53" s="1048"/>
    </row>
    <row r="54" spans="2:33" s="364" customFormat="1" ht="24" customHeight="1">
      <c r="B54" s="972"/>
      <c r="C54" s="972"/>
      <c r="D54" s="973"/>
      <c r="F54" s="972"/>
      <c r="G54" s="972"/>
      <c r="H54" s="972"/>
      <c r="I54" s="972"/>
      <c r="J54" s="972"/>
      <c r="K54" s="972"/>
      <c r="L54" s="972"/>
      <c r="M54" s="972"/>
      <c r="N54" s="363"/>
      <c r="O54" s="363"/>
      <c r="P54" s="363"/>
      <c r="Q54" s="363"/>
      <c r="R54" s="1040">
        <v>44</v>
      </c>
      <c r="S54" s="1052" t="s">
        <v>2118</v>
      </c>
      <c r="T54" s="1042" t="s">
        <v>2121</v>
      </c>
      <c r="U54" s="1053" t="s">
        <v>2336</v>
      </c>
      <c r="V54" s="1054" t="s">
        <v>2122</v>
      </c>
      <c r="W54" s="1054" t="s">
        <v>2093</v>
      </c>
      <c r="X54" s="1054" t="s">
        <v>2094</v>
      </c>
      <c r="Y54" s="1055" t="s">
        <v>2081</v>
      </c>
      <c r="Z54" s="1054" t="s">
        <v>2093</v>
      </c>
      <c r="AA54" s="1054" t="s">
        <v>2094</v>
      </c>
      <c r="AB54" s="1054" t="s">
        <v>2093</v>
      </c>
      <c r="AC54" s="1054" t="s">
        <v>2093</v>
      </c>
      <c r="AD54" s="1054" t="s">
        <v>2094</v>
      </c>
      <c r="AE54" s="1056"/>
      <c r="AF54" s="1057" t="s">
        <v>2103</v>
      </c>
      <c r="AG54" s="1048"/>
    </row>
    <row r="55" spans="2:33" ht="24" customHeight="1">
      <c r="B55" s="972"/>
      <c r="C55" s="972"/>
      <c r="D55" s="973"/>
      <c r="E55" s="812"/>
      <c r="F55" s="972"/>
      <c r="G55" s="972"/>
      <c r="H55" s="972"/>
      <c r="I55" s="972"/>
      <c r="J55" s="972"/>
      <c r="K55" s="972"/>
      <c r="L55" s="972"/>
      <c r="M55" s="972"/>
      <c r="N55" s="363"/>
      <c r="O55" s="363"/>
      <c r="P55" s="363"/>
      <c r="Q55" s="363"/>
      <c r="R55" s="1040">
        <v>45</v>
      </c>
      <c r="S55" s="1052" t="s">
        <v>2118</v>
      </c>
      <c r="T55" s="1042" t="s">
        <v>2121</v>
      </c>
      <c r="U55" s="1053" t="s">
        <v>2337</v>
      </c>
      <c r="V55" s="1054" t="s">
        <v>2122</v>
      </c>
      <c r="W55" s="1054" t="s">
        <v>2093</v>
      </c>
      <c r="X55" s="1054" t="s">
        <v>2094</v>
      </c>
      <c r="Y55" s="1055" t="s">
        <v>2081</v>
      </c>
      <c r="Z55" s="1054" t="s">
        <v>2093</v>
      </c>
      <c r="AA55" s="1054" t="s">
        <v>2094</v>
      </c>
      <c r="AB55" s="1054" t="s">
        <v>2093</v>
      </c>
      <c r="AC55" s="1054" t="s">
        <v>2093</v>
      </c>
      <c r="AD55" s="1054" t="s">
        <v>2094</v>
      </c>
      <c r="AE55" s="1056"/>
      <c r="AF55" s="1057" t="s">
        <v>2103</v>
      </c>
      <c r="AG55" s="1048"/>
    </row>
    <row r="56" spans="2:33" ht="24" customHeight="1">
      <c r="B56" s="1066"/>
      <c r="C56" s="974"/>
      <c r="D56" s="974"/>
      <c r="E56" s="974"/>
      <c r="F56" s="972"/>
      <c r="G56" s="972"/>
      <c r="H56" s="972"/>
      <c r="I56" s="972"/>
      <c r="J56" s="972"/>
      <c r="K56" s="972"/>
      <c r="L56" s="972"/>
      <c r="M56" s="975"/>
      <c r="Q56" s="363"/>
      <c r="R56" s="1040">
        <v>46</v>
      </c>
      <c r="S56" s="1052" t="s">
        <v>2123</v>
      </c>
      <c r="T56" s="1042" t="s">
        <v>2124</v>
      </c>
      <c r="U56" s="1053" t="s">
        <v>2324</v>
      </c>
      <c r="V56" s="1054" t="s">
        <v>2125</v>
      </c>
      <c r="W56" s="1054" t="s">
        <v>2093</v>
      </c>
      <c r="X56" s="1054" t="s">
        <v>2094</v>
      </c>
      <c r="Y56" s="1055" t="s">
        <v>2081</v>
      </c>
      <c r="Z56" s="1054" t="s">
        <v>2093</v>
      </c>
      <c r="AA56" s="1054" t="s">
        <v>2094</v>
      </c>
      <c r="AB56" s="1054" t="s">
        <v>2093</v>
      </c>
      <c r="AC56" s="1054" t="s">
        <v>2094</v>
      </c>
      <c r="AD56" s="1054" t="s">
        <v>2094</v>
      </c>
      <c r="AE56" s="1044" t="s">
        <v>2107</v>
      </c>
      <c r="AF56" s="1057" t="s">
        <v>2108</v>
      </c>
      <c r="AG56" s="1048"/>
    </row>
    <row r="57" spans="2:33" ht="24" customHeight="1">
      <c r="B57" s="972"/>
      <c r="C57" s="972"/>
      <c r="D57" s="973"/>
      <c r="E57" s="812"/>
      <c r="F57" s="972"/>
      <c r="G57" s="972"/>
      <c r="H57" s="972"/>
      <c r="I57" s="972"/>
      <c r="J57" s="972"/>
      <c r="K57" s="972"/>
      <c r="L57" s="972"/>
      <c r="M57" s="972"/>
      <c r="N57" s="363"/>
      <c r="O57" s="363"/>
      <c r="P57" s="363"/>
      <c r="Q57" s="363"/>
      <c r="R57" s="1040">
        <v>47</v>
      </c>
      <c r="S57" s="1052" t="s">
        <v>2123</v>
      </c>
      <c r="T57" s="1042" t="s">
        <v>2124</v>
      </c>
      <c r="U57" s="1053" t="s">
        <v>2325</v>
      </c>
      <c r="V57" s="1054" t="s">
        <v>2125</v>
      </c>
      <c r="W57" s="1054" t="s">
        <v>2093</v>
      </c>
      <c r="X57" s="1054" t="s">
        <v>2094</v>
      </c>
      <c r="Y57" s="1055" t="s">
        <v>2081</v>
      </c>
      <c r="Z57" s="1054" t="s">
        <v>2093</v>
      </c>
      <c r="AA57" s="1054" t="s">
        <v>2094</v>
      </c>
      <c r="AB57" s="1054" t="s">
        <v>2093</v>
      </c>
      <c r="AC57" s="1054" t="s">
        <v>2094</v>
      </c>
      <c r="AD57" s="1054" t="s">
        <v>2094</v>
      </c>
      <c r="AE57" s="1044" t="s">
        <v>2107</v>
      </c>
      <c r="AF57" s="1057" t="s">
        <v>2108</v>
      </c>
      <c r="AG57" s="1048"/>
    </row>
    <row r="58" spans="2:33" ht="24" customHeight="1">
      <c r="B58" s="972"/>
      <c r="C58" s="972"/>
      <c r="D58" s="976"/>
      <c r="E58" s="812"/>
      <c r="F58" s="972"/>
      <c r="G58" s="972"/>
      <c r="H58" s="972"/>
      <c r="I58" s="972"/>
      <c r="J58" s="972"/>
      <c r="K58" s="972"/>
      <c r="L58" s="972"/>
      <c r="M58" s="972"/>
      <c r="N58" s="363"/>
      <c r="O58" s="363"/>
      <c r="P58" s="363"/>
      <c r="Q58" s="363"/>
      <c r="R58" s="1040">
        <v>48</v>
      </c>
      <c r="S58" s="1052" t="s">
        <v>2123</v>
      </c>
      <c r="T58" s="1042" t="s">
        <v>2124</v>
      </c>
      <c r="U58" s="1053" t="s">
        <v>2326</v>
      </c>
      <c r="V58" s="1054" t="s">
        <v>2125</v>
      </c>
      <c r="W58" s="1054" t="s">
        <v>2093</v>
      </c>
      <c r="X58" s="1054" t="s">
        <v>2094</v>
      </c>
      <c r="Y58" s="1055" t="s">
        <v>2081</v>
      </c>
      <c r="Z58" s="1054" t="s">
        <v>2093</v>
      </c>
      <c r="AA58" s="1054" t="s">
        <v>2094</v>
      </c>
      <c r="AB58" s="1054" t="s">
        <v>2093</v>
      </c>
      <c r="AC58" s="1054" t="s">
        <v>2094</v>
      </c>
      <c r="AD58" s="1054" t="s">
        <v>2094</v>
      </c>
      <c r="AE58" s="1044" t="s">
        <v>2107</v>
      </c>
      <c r="AF58" s="1057" t="s">
        <v>2108</v>
      </c>
      <c r="AG58" s="1048"/>
    </row>
    <row r="59" spans="2:33" ht="24" customHeight="1">
      <c r="B59" s="972"/>
      <c r="C59" s="972"/>
      <c r="D59" s="976"/>
      <c r="E59" s="812"/>
      <c r="F59" s="972"/>
      <c r="G59" s="972"/>
      <c r="H59" s="972"/>
      <c r="I59" s="972"/>
      <c r="J59" s="972"/>
      <c r="K59" s="972"/>
      <c r="L59" s="972"/>
      <c r="M59" s="972"/>
      <c r="N59" s="363"/>
      <c r="O59" s="363"/>
      <c r="P59" s="363"/>
      <c r="Q59" s="363"/>
      <c r="R59" s="1040">
        <v>49</v>
      </c>
      <c r="S59" s="1052" t="s">
        <v>2126</v>
      </c>
      <c r="T59" s="1052" t="s">
        <v>2127</v>
      </c>
      <c r="U59" s="1053" t="s">
        <v>2128</v>
      </c>
      <c r="V59" s="1054" t="s">
        <v>2129</v>
      </c>
      <c r="W59" s="1054" t="s">
        <v>2093</v>
      </c>
      <c r="X59" s="1054" t="s">
        <v>2094</v>
      </c>
      <c r="Y59" s="1055" t="s">
        <v>2130</v>
      </c>
      <c r="Z59" s="1054" t="s">
        <v>2093</v>
      </c>
      <c r="AA59" s="1054" t="s">
        <v>2094</v>
      </c>
      <c r="AB59" s="1054" t="s">
        <v>2094</v>
      </c>
      <c r="AC59" s="1054" t="s">
        <v>2093</v>
      </c>
      <c r="AD59" s="1054" t="s">
        <v>2093</v>
      </c>
      <c r="AE59" s="1056"/>
      <c r="AF59" s="1061"/>
      <c r="AG59" s="1048"/>
    </row>
    <row r="60" spans="2:33" ht="24" customHeight="1">
      <c r="B60" s="972"/>
      <c r="C60" s="972"/>
      <c r="D60" s="976"/>
      <c r="E60" s="812"/>
      <c r="F60" s="972"/>
      <c r="G60" s="972"/>
      <c r="H60" s="972"/>
      <c r="I60" s="972"/>
      <c r="J60" s="972"/>
      <c r="K60" s="972"/>
      <c r="L60" s="972"/>
      <c r="M60" s="972"/>
      <c r="N60" s="363"/>
      <c r="O60" s="363"/>
      <c r="P60" s="363"/>
      <c r="Q60" s="363"/>
      <c r="R60" s="1040">
        <v>50</v>
      </c>
      <c r="S60" s="1052" t="s">
        <v>2126</v>
      </c>
      <c r="T60" s="1052" t="s">
        <v>2127</v>
      </c>
      <c r="U60" s="1053" t="s">
        <v>2304</v>
      </c>
      <c r="V60" s="1054" t="s">
        <v>2305</v>
      </c>
      <c r="W60" s="1054" t="s">
        <v>2093</v>
      </c>
      <c r="X60" s="1054" t="s">
        <v>2094</v>
      </c>
      <c r="Y60" s="1055" t="s">
        <v>2130</v>
      </c>
      <c r="Z60" s="1054" t="s">
        <v>2093</v>
      </c>
      <c r="AA60" s="1054" t="s">
        <v>2094</v>
      </c>
      <c r="AB60" s="1054" t="s">
        <v>2094</v>
      </c>
      <c r="AC60" s="1054" t="s">
        <v>2093</v>
      </c>
      <c r="AD60" s="1054" t="s">
        <v>2093</v>
      </c>
      <c r="AE60" s="1056"/>
      <c r="AF60" s="1047" t="s">
        <v>2272</v>
      </c>
      <c r="AG60" s="1048"/>
    </row>
    <row r="61" spans="2:33" ht="24" customHeight="1">
      <c r="B61" s="972"/>
      <c r="C61" s="972"/>
      <c r="D61" s="976"/>
      <c r="E61" s="812"/>
      <c r="F61" s="972"/>
      <c r="G61" s="972"/>
      <c r="H61" s="972"/>
      <c r="I61" s="972"/>
      <c r="J61" s="972"/>
      <c r="K61" s="972"/>
      <c r="L61" s="972"/>
      <c r="M61" s="972"/>
      <c r="N61" s="363"/>
      <c r="O61" s="363"/>
      <c r="P61" s="363"/>
      <c r="Q61" s="363"/>
      <c r="R61" s="1040">
        <v>51</v>
      </c>
      <c r="S61" s="1052" t="s">
        <v>2126</v>
      </c>
      <c r="T61" s="1052" t="s">
        <v>2127</v>
      </c>
      <c r="U61" s="1053" t="s">
        <v>2306</v>
      </c>
      <c r="V61" s="1054" t="s">
        <v>2307</v>
      </c>
      <c r="W61" s="1054" t="s">
        <v>2093</v>
      </c>
      <c r="X61" s="1054" t="s">
        <v>2094</v>
      </c>
      <c r="Y61" s="1055" t="s">
        <v>2130</v>
      </c>
      <c r="Z61" s="1054" t="s">
        <v>2093</v>
      </c>
      <c r="AA61" s="1054" t="s">
        <v>2094</v>
      </c>
      <c r="AB61" s="1054" t="s">
        <v>2094</v>
      </c>
      <c r="AC61" s="1054" t="s">
        <v>2093</v>
      </c>
      <c r="AD61" s="1054" t="s">
        <v>2093</v>
      </c>
      <c r="AE61" s="1056"/>
      <c r="AF61" s="1047" t="s">
        <v>2272</v>
      </c>
      <c r="AG61" s="1048"/>
    </row>
    <row r="62" spans="2:33" ht="24" customHeight="1">
      <c r="B62" s="972"/>
      <c r="C62" s="972"/>
      <c r="D62" s="976"/>
      <c r="E62" s="812"/>
      <c r="F62" s="972"/>
      <c r="G62" s="972"/>
      <c r="H62" s="972"/>
      <c r="I62" s="972"/>
      <c r="J62" s="972"/>
      <c r="K62" s="972"/>
      <c r="L62" s="972"/>
      <c r="M62" s="972"/>
      <c r="N62" s="363"/>
      <c r="O62" s="363"/>
      <c r="P62" s="363"/>
      <c r="Q62" s="363"/>
      <c r="R62" s="1040">
        <v>52</v>
      </c>
      <c r="S62" s="1052" t="s">
        <v>2131</v>
      </c>
      <c r="T62" s="1042" t="s">
        <v>2132</v>
      </c>
      <c r="U62" s="1053" t="s">
        <v>2186</v>
      </c>
      <c r="V62" s="1054" t="s">
        <v>2187</v>
      </c>
      <c r="W62" s="1054" t="s">
        <v>2093</v>
      </c>
      <c r="X62" s="1054" t="s">
        <v>2094</v>
      </c>
      <c r="Y62" s="1055" t="s">
        <v>2081</v>
      </c>
      <c r="Z62" s="1054" t="s">
        <v>2093</v>
      </c>
      <c r="AA62" s="1054" t="s">
        <v>2094</v>
      </c>
      <c r="AB62" s="1054" t="s">
        <v>2093</v>
      </c>
      <c r="AC62" s="1054" t="s">
        <v>2094</v>
      </c>
      <c r="AD62" s="1054" t="s">
        <v>2094</v>
      </c>
      <c r="AE62" s="1056"/>
      <c r="AF62" s="1057"/>
      <c r="AG62" s="1048"/>
    </row>
    <row r="63" spans="2:33" ht="24" customHeight="1">
      <c r="B63" s="972"/>
      <c r="C63" s="972"/>
      <c r="D63" s="976"/>
      <c r="E63" s="812"/>
      <c r="F63" s="972"/>
      <c r="G63" s="972"/>
      <c r="H63" s="972"/>
      <c r="I63" s="972"/>
      <c r="J63" s="972"/>
      <c r="K63" s="972"/>
      <c r="L63" s="972"/>
      <c r="M63" s="972"/>
      <c r="N63" s="363"/>
      <c r="P63" s="363"/>
      <c r="Q63" s="363"/>
      <c r="R63" s="1040">
        <v>53</v>
      </c>
      <c r="S63" s="1052" t="s">
        <v>2131</v>
      </c>
      <c r="T63" s="1042" t="s">
        <v>2132</v>
      </c>
      <c r="U63" s="1053" t="s">
        <v>2308</v>
      </c>
      <c r="V63" s="1054" t="s">
        <v>2309</v>
      </c>
      <c r="W63" s="1054" t="s">
        <v>2093</v>
      </c>
      <c r="X63" s="1054" t="s">
        <v>2094</v>
      </c>
      <c r="Y63" s="1055" t="s">
        <v>2081</v>
      </c>
      <c r="Z63" s="1054" t="s">
        <v>2093</v>
      </c>
      <c r="AA63" s="1054" t="s">
        <v>2094</v>
      </c>
      <c r="AB63" s="1054" t="s">
        <v>2093</v>
      </c>
      <c r="AC63" s="1054" t="s">
        <v>2094</v>
      </c>
      <c r="AD63" s="1054" t="s">
        <v>2094</v>
      </c>
      <c r="AE63" s="1056"/>
      <c r="AF63" s="1047" t="s">
        <v>2272</v>
      </c>
      <c r="AG63" s="1048"/>
    </row>
    <row r="64" spans="2:33" ht="24" customHeight="1">
      <c r="B64" s="972"/>
      <c r="C64" s="972"/>
      <c r="D64" s="976"/>
      <c r="E64" s="812"/>
      <c r="F64" s="972"/>
      <c r="G64" s="972"/>
      <c r="H64" s="972"/>
      <c r="I64" s="972"/>
      <c r="J64" s="972"/>
      <c r="K64" s="972"/>
      <c r="L64" s="972"/>
      <c r="M64" s="975"/>
      <c r="R64" s="1040">
        <v>54</v>
      </c>
      <c r="S64" s="1052" t="s">
        <v>2131</v>
      </c>
      <c r="T64" s="1042" t="s">
        <v>2132</v>
      </c>
      <c r="U64" s="1053" t="s">
        <v>2310</v>
      </c>
      <c r="V64" s="1054" t="s">
        <v>2311</v>
      </c>
      <c r="W64" s="1054" t="s">
        <v>2093</v>
      </c>
      <c r="X64" s="1054" t="s">
        <v>2094</v>
      </c>
      <c r="Y64" s="1055" t="s">
        <v>2081</v>
      </c>
      <c r="Z64" s="1054" t="s">
        <v>2093</v>
      </c>
      <c r="AA64" s="1054" t="s">
        <v>2094</v>
      </c>
      <c r="AB64" s="1054" t="s">
        <v>2093</v>
      </c>
      <c r="AC64" s="1054" t="s">
        <v>2094</v>
      </c>
      <c r="AD64" s="1054" t="s">
        <v>2094</v>
      </c>
      <c r="AE64" s="1056"/>
      <c r="AF64" s="1047" t="s">
        <v>2272</v>
      </c>
      <c r="AG64" s="1048"/>
    </row>
    <row r="65" spans="2:33" ht="24" customHeight="1">
      <c r="B65" s="972"/>
      <c r="C65" s="972"/>
      <c r="D65" s="976"/>
      <c r="E65" s="812"/>
      <c r="F65" s="972"/>
      <c r="G65" s="972"/>
      <c r="H65" s="972"/>
      <c r="I65" s="972"/>
      <c r="J65" s="972"/>
      <c r="K65" s="972"/>
      <c r="L65" s="972"/>
      <c r="M65" s="975"/>
      <c r="R65" s="1040">
        <v>55</v>
      </c>
      <c r="S65" s="1052" t="s">
        <v>2131</v>
      </c>
      <c r="T65" s="1042" t="s">
        <v>2132</v>
      </c>
      <c r="U65" s="1053" t="s">
        <v>2188</v>
      </c>
      <c r="V65" s="1054" t="s">
        <v>2189</v>
      </c>
      <c r="W65" s="1054" t="s">
        <v>2093</v>
      </c>
      <c r="X65" s="1054" t="s">
        <v>2094</v>
      </c>
      <c r="Y65" s="1055" t="s">
        <v>2081</v>
      </c>
      <c r="Z65" s="1054" t="s">
        <v>2093</v>
      </c>
      <c r="AA65" s="1054" t="s">
        <v>2094</v>
      </c>
      <c r="AB65" s="1054" t="s">
        <v>2093</v>
      </c>
      <c r="AC65" s="1054" t="s">
        <v>2094</v>
      </c>
      <c r="AD65" s="1054" t="s">
        <v>2094</v>
      </c>
      <c r="AE65" s="1056"/>
      <c r="AF65" s="1057"/>
      <c r="AG65" s="1048"/>
    </row>
    <row r="66" spans="2:33" ht="24" customHeight="1">
      <c r="B66" s="972"/>
      <c r="C66" s="972"/>
      <c r="D66" s="976"/>
      <c r="E66" s="812"/>
      <c r="F66" s="972"/>
      <c r="G66" s="972"/>
      <c r="H66" s="972"/>
      <c r="I66" s="972"/>
      <c r="J66" s="972"/>
      <c r="K66" s="972"/>
      <c r="L66" s="972"/>
      <c r="M66" s="975"/>
      <c r="R66" s="1040">
        <v>56</v>
      </c>
      <c r="S66" s="1052" t="s">
        <v>2131</v>
      </c>
      <c r="T66" s="1042" t="s">
        <v>2132</v>
      </c>
      <c r="U66" s="1053" t="s">
        <v>2312</v>
      </c>
      <c r="V66" s="1054" t="s">
        <v>2309</v>
      </c>
      <c r="W66" s="1054" t="s">
        <v>2093</v>
      </c>
      <c r="X66" s="1054" t="s">
        <v>2094</v>
      </c>
      <c r="Y66" s="1055" t="s">
        <v>2081</v>
      </c>
      <c r="Z66" s="1054" t="s">
        <v>2093</v>
      </c>
      <c r="AA66" s="1054" t="s">
        <v>2094</v>
      </c>
      <c r="AB66" s="1054" t="s">
        <v>2093</v>
      </c>
      <c r="AC66" s="1054" t="s">
        <v>2094</v>
      </c>
      <c r="AD66" s="1054" t="s">
        <v>2094</v>
      </c>
      <c r="AE66" s="1056"/>
      <c r="AF66" s="1047" t="s">
        <v>2272</v>
      </c>
      <c r="AG66" s="1048"/>
    </row>
    <row r="67" spans="2:33" ht="24" customHeight="1">
      <c r="B67" s="972"/>
      <c r="C67" s="972"/>
      <c r="D67" s="976"/>
      <c r="E67" s="812"/>
      <c r="F67" s="972"/>
      <c r="G67" s="972"/>
      <c r="H67" s="972"/>
      <c r="I67" s="972"/>
      <c r="J67" s="972"/>
      <c r="K67" s="972"/>
      <c r="L67" s="972"/>
      <c r="M67" s="975"/>
      <c r="R67" s="1040">
        <v>57</v>
      </c>
      <c r="S67" s="1052" t="s">
        <v>2131</v>
      </c>
      <c r="T67" s="1042" t="s">
        <v>2132</v>
      </c>
      <c r="U67" s="1053" t="s">
        <v>2313</v>
      </c>
      <c r="V67" s="1054" t="s">
        <v>2311</v>
      </c>
      <c r="W67" s="1054" t="s">
        <v>2093</v>
      </c>
      <c r="X67" s="1054" t="s">
        <v>2094</v>
      </c>
      <c r="Y67" s="1055" t="s">
        <v>2081</v>
      </c>
      <c r="Z67" s="1054" t="s">
        <v>2093</v>
      </c>
      <c r="AA67" s="1054" t="s">
        <v>2094</v>
      </c>
      <c r="AB67" s="1054" t="s">
        <v>2093</v>
      </c>
      <c r="AC67" s="1054" t="s">
        <v>2094</v>
      </c>
      <c r="AD67" s="1054" t="s">
        <v>2094</v>
      </c>
      <c r="AE67" s="1056"/>
      <c r="AF67" s="1047" t="s">
        <v>2272</v>
      </c>
      <c r="AG67" s="1048"/>
    </row>
    <row r="68" spans="2:33" ht="24" customHeight="1">
      <c r="B68" s="972"/>
      <c r="C68" s="972"/>
      <c r="D68" s="976"/>
      <c r="E68" s="812"/>
      <c r="F68" s="972"/>
      <c r="G68" s="972"/>
      <c r="H68" s="972"/>
      <c r="I68" s="972"/>
      <c r="J68" s="972"/>
      <c r="K68" s="972"/>
      <c r="L68" s="972"/>
      <c r="M68" s="975"/>
      <c r="R68" s="1040">
        <v>58</v>
      </c>
      <c r="S68" s="1052" t="s">
        <v>2131</v>
      </c>
      <c r="T68" s="1042" t="s">
        <v>2132</v>
      </c>
      <c r="U68" s="1053" t="s">
        <v>2190</v>
      </c>
      <c r="V68" s="1054" t="s">
        <v>2191</v>
      </c>
      <c r="W68" s="1054" t="s">
        <v>2093</v>
      </c>
      <c r="X68" s="1054" t="s">
        <v>2094</v>
      </c>
      <c r="Y68" s="1055" t="s">
        <v>2081</v>
      </c>
      <c r="Z68" s="1054" t="s">
        <v>2093</v>
      </c>
      <c r="AA68" s="1054" t="s">
        <v>2094</v>
      </c>
      <c r="AB68" s="1054" t="s">
        <v>2093</v>
      </c>
      <c r="AC68" s="1054" t="s">
        <v>2094</v>
      </c>
      <c r="AD68" s="1054" t="s">
        <v>2094</v>
      </c>
      <c r="AE68" s="1056"/>
      <c r="AF68" s="1057"/>
      <c r="AG68" s="1048"/>
    </row>
    <row r="69" spans="2:33" ht="24" customHeight="1">
      <c r="B69" s="972"/>
      <c r="C69" s="972"/>
      <c r="D69" s="976"/>
      <c r="E69" s="812"/>
      <c r="F69" s="972"/>
      <c r="G69" s="972"/>
      <c r="H69" s="972"/>
      <c r="I69" s="972"/>
      <c r="J69" s="972"/>
      <c r="K69" s="972"/>
      <c r="L69" s="972"/>
      <c r="M69" s="975"/>
      <c r="R69" s="1040">
        <v>59</v>
      </c>
      <c r="S69" s="1052" t="s">
        <v>2131</v>
      </c>
      <c r="T69" s="1042" t="s">
        <v>2132</v>
      </c>
      <c r="U69" s="1053" t="s">
        <v>2314</v>
      </c>
      <c r="V69" s="1054" t="s">
        <v>2309</v>
      </c>
      <c r="W69" s="1054" t="s">
        <v>2093</v>
      </c>
      <c r="X69" s="1054" t="s">
        <v>2094</v>
      </c>
      <c r="Y69" s="1055" t="s">
        <v>2081</v>
      </c>
      <c r="Z69" s="1054" t="s">
        <v>2093</v>
      </c>
      <c r="AA69" s="1054" t="s">
        <v>2094</v>
      </c>
      <c r="AB69" s="1054" t="s">
        <v>2093</v>
      </c>
      <c r="AC69" s="1054" t="s">
        <v>2094</v>
      </c>
      <c r="AD69" s="1054" t="s">
        <v>2094</v>
      </c>
      <c r="AE69" s="1056"/>
      <c r="AF69" s="1047" t="s">
        <v>2272</v>
      </c>
      <c r="AG69" s="1048"/>
    </row>
    <row r="70" spans="2:33" ht="24" customHeight="1">
      <c r="B70" s="972"/>
      <c r="C70" s="972"/>
      <c r="D70" s="976"/>
      <c r="E70" s="812"/>
      <c r="F70" s="972"/>
      <c r="G70" s="972"/>
      <c r="H70" s="972"/>
      <c r="I70" s="972"/>
      <c r="J70" s="972"/>
      <c r="K70" s="972"/>
      <c r="L70" s="972"/>
      <c r="M70" s="975"/>
      <c r="R70" s="1040">
        <v>60</v>
      </c>
      <c r="S70" s="1052" t="s">
        <v>2131</v>
      </c>
      <c r="T70" s="1042" t="s">
        <v>2132</v>
      </c>
      <c r="U70" s="1053" t="s">
        <v>2315</v>
      </c>
      <c r="V70" s="1054" t="s">
        <v>2311</v>
      </c>
      <c r="W70" s="1054" t="s">
        <v>2093</v>
      </c>
      <c r="X70" s="1054" t="s">
        <v>2094</v>
      </c>
      <c r="Y70" s="1055" t="s">
        <v>2081</v>
      </c>
      <c r="Z70" s="1054" t="s">
        <v>2093</v>
      </c>
      <c r="AA70" s="1054" t="s">
        <v>2094</v>
      </c>
      <c r="AB70" s="1054" t="s">
        <v>2093</v>
      </c>
      <c r="AC70" s="1054" t="s">
        <v>2094</v>
      </c>
      <c r="AD70" s="1054" t="s">
        <v>2094</v>
      </c>
      <c r="AE70" s="1056"/>
      <c r="AF70" s="1047" t="s">
        <v>2272</v>
      </c>
      <c r="AG70" s="1048"/>
    </row>
    <row r="71" spans="2:33" ht="24" customHeight="1">
      <c r="B71" s="972"/>
      <c r="C71" s="972"/>
      <c r="D71" s="976"/>
      <c r="E71" s="812"/>
      <c r="F71" s="972"/>
      <c r="G71" s="972"/>
      <c r="H71" s="972"/>
      <c r="I71" s="972"/>
      <c r="J71" s="972"/>
      <c r="K71" s="972"/>
      <c r="L71" s="972"/>
      <c r="M71" s="975"/>
      <c r="R71" s="1040">
        <v>61</v>
      </c>
      <c r="S71" s="1052" t="s">
        <v>2131</v>
      </c>
      <c r="T71" s="1042" t="s">
        <v>2132</v>
      </c>
      <c r="U71" s="1053" t="s">
        <v>2192</v>
      </c>
      <c r="V71" s="1054" t="s">
        <v>2193</v>
      </c>
      <c r="W71" s="1054" t="s">
        <v>2093</v>
      </c>
      <c r="X71" s="1054" t="s">
        <v>2094</v>
      </c>
      <c r="Y71" s="1055" t="s">
        <v>2081</v>
      </c>
      <c r="Z71" s="1054" t="s">
        <v>2093</v>
      </c>
      <c r="AA71" s="1054" t="s">
        <v>2094</v>
      </c>
      <c r="AB71" s="1054" t="s">
        <v>2093</v>
      </c>
      <c r="AC71" s="1054" t="s">
        <v>2094</v>
      </c>
      <c r="AD71" s="1054" t="s">
        <v>2094</v>
      </c>
      <c r="AE71" s="1056"/>
      <c r="AF71" s="1057"/>
      <c r="AG71" s="1048"/>
    </row>
    <row r="72" spans="2:33" ht="24" customHeight="1">
      <c r="B72" s="972"/>
      <c r="C72" s="972"/>
      <c r="D72" s="976"/>
      <c r="E72" s="812"/>
      <c r="F72" s="972"/>
      <c r="G72" s="972"/>
      <c r="H72" s="972"/>
      <c r="I72" s="972"/>
      <c r="J72" s="972"/>
      <c r="K72" s="972"/>
      <c r="L72" s="972"/>
      <c r="M72" s="975"/>
      <c r="R72" s="1040">
        <v>62</v>
      </c>
      <c r="S72" s="1052" t="s">
        <v>2131</v>
      </c>
      <c r="T72" s="1042" t="s">
        <v>2132</v>
      </c>
      <c r="U72" s="1053" t="s">
        <v>2316</v>
      </c>
      <c r="V72" s="1054" t="s">
        <v>2309</v>
      </c>
      <c r="W72" s="1054" t="s">
        <v>2093</v>
      </c>
      <c r="X72" s="1054" t="s">
        <v>2094</v>
      </c>
      <c r="Y72" s="1055" t="s">
        <v>2081</v>
      </c>
      <c r="Z72" s="1054" t="s">
        <v>2093</v>
      </c>
      <c r="AA72" s="1054" t="s">
        <v>2094</v>
      </c>
      <c r="AB72" s="1054" t="s">
        <v>2093</v>
      </c>
      <c r="AC72" s="1054" t="s">
        <v>2094</v>
      </c>
      <c r="AD72" s="1054" t="s">
        <v>2094</v>
      </c>
      <c r="AE72" s="1056"/>
      <c r="AF72" s="1047" t="s">
        <v>2272</v>
      </c>
      <c r="AG72" s="1048"/>
    </row>
    <row r="73" spans="2:33" ht="24" customHeight="1">
      <c r="B73" s="972"/>
      <c r="C73" s="972"/>
      <c r="D73" s="977"/>
      <c r="E73" s="812"/>
      <c r="F73" s="972"/>
      <c r="G73" s="972"/>
      <c r="H73" s="972"/>
      <c r="I73" s="972"/>
      <c r="J73" s="972"/>
      <c r="K73" s="972"/>
      <c r="L73" s="972"/>
      <c r="M73" s="975"/>
      <c r="R73" s="1040">
        <v>63</v>
      </c>
      <c r="S73" s="1052" t="s">
        <v>2131</v>
      </c>
      <c r="T73" s="1042" t="s">
        <v>2132</v>
      </c>
      <c r="U73" s="1053" t="s">
        <v>2317</v>
      </c>
      <c r="V73" s="1054" t="s">
        <v>2311</v>
      </c>
      <c r="W73" s="1054" t="s">
        <v>2093</v>
      </c>
      <c r="X73" s="1054" t="s">
        <v>2094</v>
      </c>
      <c r="Y73" s="1055" t="s">
        <v>2081</v>
      </c>
      <c r="Z73" s="1054" t="s">
        <v>2093</v>
      </c>
      <c r="AA73" s="1054" t="s">
        <v>2094</v>
      </c>
      <c r="AB73" s="1054" t="s">
        <v>2093</v>
      </c>
      <c r="AC73" s="1054" t="s">
        <v>2094</v>
      </c>
      <c r="AD73" s="1054" t="s">
        <v>2094</v>
      </c>
      <c r="AE73" s="1056"/>
      <c r="AF73" s="1047" t="s">
        <v>2272</v>
      </c>
      <c r="AG73" s="1048"/>
    </row>
    <row r="74" spans="2:33" ht="24" customHeight="1">
      <c r="R74" s="1040">
        <v>64</v>
      </c>
      <c r="S74" s="1052" t="s">
        <v>2131</v>
      </c>
      <c r="T74" s="1042" t="s">
        <v>2132</v>
      </c>
      <c r="U74" s="1053" t="s">
        <v>2194</v>
      </c>
      <c r="V74" s="1054" t="s">
        <v>2195</v>
      </c>
      <c r="W74" s="1054" t="s">
        <v>2093</v>
      </c>
      <c r="X74" s="1054" t="s">
        <v>2094</v>
      </c>
      <c r="Y74" s="1055" t="s">
        <v>2081</v>
      </c>
      <c r="Z74" s="1054" t="s">
        <v>2093</v>
      </c>
      <c r="AA74" s="1054" t="s">
        <v>2094</v>
      </c>
      <c r="AB74" s="1054" t="s">
        <v>2093</v>
      </c>
      <c r="AC74" s="1054" t="s">
        <v>2094</v>
      </c>
      <c r="AD74" s="1054" t="s">
        <v>2094</v>
      </c>
      <c r="AE74" s="1056"/>
      <c r="AF74" s="1057"/>
      <c r="AG74" s="1048"/>
    </row>
    <row r="75" spans="2:33" ht="80.25">
      <c r="R75" s="1040">
        <v>65</v>
      </c>
      <c r="S75" s="1052" t="s">
        <v>2131</v>
      </c>
      <c r="T75" s="1042" t="s">
        <v>2132</v>
      </c>
      <c r="U75" s="1053" t="s">
        <v>2318</v>
      </c>
      <c r="V75" s="1054" t="s">
        <v>2309</v>
      </c>
      <c r="W75" s="1054" t="s">
        <v>2093</v>
      </c>
      <c r="X75" s="1054" t="s">
        <v>2094</v>
      </c>
      <c r="Y75" s="1055" t="s">
        <v>2081</v>
      </c>
      <c r="Z75" s="1054" t="s">
        <v>2093</v>
      </c>
      <c r="AA75" s="1054" t="s">
        <v>2094</v>
      </c>
      <c r="AB75" s="1054" t="s">
        <v>2093</v>
      </c>
      <c r="AC75" s="1054" t="s">
        <v>2094</v>
      </c>
      <c r="AD75" s="1054" t="s">
        <v>2094</v>
      </c>
      <c r="AE75" s="1056"/>
      <c r="AF75" s="1047" t="s">
        <v>2272</v>
      </c>
      <c r="AG75" s="1048"/>
    </row>
    <row r="76" spans="2:33" ht="80.25">
      <c r="R76" s="1040">
        <v>66</v>
      </c>
      <c r="S76" s="1052" t="s">
        <v>2131</v>
      </c>
      <c r="T76" s="1042" t="s">
        <v>2132</v>
      </c>
      <c r="U76" s="1053" t="s">
        <v>2319</v>
      </c>
      <c r="V76" s="1054" t="s">
        <v>2311</v>
      </c>
      <c r="W76" s="1054" t="s">
        <v>2093</v>
      </c>
      <c r="X76" s="1054" t="s">
        <v>2094</v>
      </c>
      <c r="Y76" s="1055" t="s">
        <v>2081</v>
      </c>
      <c r="Z76" s="1054" t="s">
        <v>2093</v>
      </c>
      <c r="AA76" s="1054" t="s">
        <v>2094</v>
      </c>
      <c r="AB76" s="1054" t="s">
        <v>2093</v>
      </c>
      <c r="AC76" s="1054" t="s">
        <v>2094</v>
      </c>
      <c r="AD76" s="1054" t="s">
        <v>2094</v>
      </c>
      <c r="AE76" s="1056"/>
      <c r="AF76" s="1047" t="s">
        <v>2272</v>
      </c>
      <c r="AG76" s="1048"/>
    </row>
    <row r="77" spans="2:33" ht="80.25">
      <c r="R77" s="1040">
        <v>67</v>
      </c>
      <c r="S77" s="1052" t="s">
        <v>2131</v>
      </c>
      <c r="T77" s="1042" t="s">
        <v>2132</v>
      </c>
      <c r="U77" s="1053" t="s">
        <v>2196</v>
      </c>
      <c r="V77" s="1054" t="s">
        <v>2197</v>
      </c>
      <c r="W77" s="1054" t="s">
        <v>2093</v>
      </c>
      <c r="X77" s="1054" t="s">
        <v>2094</v>
      </c>
      <c r="Y77" s="1055" t="s">
        <v>2081</v>
      </c>
      <c r="Z77" s="1054" t="s">
        <v>2093</v>
      </c>
      <c r="AA77" s="1054" t="s">
        <v>2094</v>
      </c>
      <c r="AB77" s="1054" t="s">
        <v>2093</v>
      </c>
      <c r="AC77" s="1054" t="s">
        <v>2094</v>
      </c>
      <c r="AD77" s="1054" t="s">
        <v>2094</v>
      </c>
      <c r="AE77" s="1056"/>
      <c r="AF77" s="1057"/>
      <c r="AG77" s="1048"/>
    </row>
    <row r="78" spans="2:33" ht="80.25">
      <c r="R78" s="1040">
        <v>68</v>
      </c>
      <c r="S78" s="1052" t="s">
        <v>2131</v>
      </c>
      <c r="T78" s="1042" t="s">
        <v>2132</v>
      </c>
      <c r="U78" s="1053" t="s">
        <v>2320</v>
      </c>
      <c r="V78" s="1054" t="s">
        <v>2309</v>
      </c>
      <c r="W78" s="1054" t="s">
        <v>2093</v>
      </c>
      <c r="X78" s="1054" t="s">
        <v>2094</v>
      </c>
      <c r="Y78" s="1055" t="s">
        <v>2081</v>
      </c>
      <c r="Z78" s="1054" t="s">
        <v>2093</v>
      </c>
      <c r="AA78" s="1054" t="s">
        <v>2094</v>
      </c>
      <c r="AB78" s="1054" t="s">
        <v>2093</v>
      </c>
      <c r="AC78" s="1054" t="s">
        <v>2094</v>
      </c>
      <c r="AD78" s="1054" t="s">
        <v>2094</v>
      </c>
      <c r="AE78" s="1056"/>
      <c r="AF78" s="1047" t="s">
        <v>2272</v>
      </c>
      <c r="AG78" s="1048"/>
    </row>
    <row r="79" spans="2:33" ht="80.25">
      <c r="R79" s="1040">
        <v>69</v>
      </c>
      <c r="S79" s="1052" t="s">
        <v>2131</v>
      </c>
      <c r="T79" s="1042" t="s">
        <v>2132</v>
      </c>
      <c r="U79" s="1053" t="s">
        <v>2321</v>
      </c>
      <c r="V79" s="1054" t="s">
        <v>2311</v>
      </c>
      <c r="W79" s="1054" t="s">
        <v>2093</v>
      </c>
      <c r="X79" s="1054" t="s">
        <v>2094</v>
      </c>
      <c r="Y79" s="1055" t="s">
        <v>2081</v>
      </c>
      <c r="Z79" s="1054" t="s">
        <v>2093</v>
      </c>
      <c r="AA79" s="1054" t="s">
        <v>2094</v>
      </c>
      <c r="AB79" s="1054" t="s">
        <v>2093</v>
      </c>
      <c r="AC79" s="1054" t="s">
        <v>2094</v>
      </c>
      <c r="AD79" s="1054" t="s">
        <v>2094</v>
      </c>
      <c r="AE79" s="1056"/>
      <c r="AF79" s="1047" t="s">
        <v>2272</v>
      </c>
      <c r="AG79" s="1048"/>
    </row>
    <row r="80" spans="2:33" ht="80.25">
      <c r="R80" s="1040">
        <v>70</v>
      </c>
      <c r="S80" s="1041" t="s">
        <v>2133</v>
      </c>
      <c r="T80" s="1042" t="s">
        <v>2134</v>
      </c>
      <c r="U80" s="1043" t="s">
        <v>2289</v>
      </c>
      <c r="V80" s="1044" t="s">
        <v>2136</v>
      </c>
      <c r="W80" s="1044" t="s">
        <v>2093</v>
      </c>
      <c r="X80" s="1044" t="s">
        <v>2094</v>
      </c>
      <c r="Y80" s="1045" t="s">
        <v>2130</v>
      </c>
      <c r="Z80" s="1044" t="s">
        <v>2093</v>
      </c>
      <c r="AA80" s="1044" t="s">
        <v>2094</v>
      </c>
      <c r="AB80" s="1044" t="s">
        <v>2093</v>
      </c>
      <c r="AC80" s="1044" t="s">
        <v>2093</v>
      </c>
      <c r="AD80" s="1044" t="s">
        <v>2094</v>
      </c>
      <c r="AE80" s="1046"/>
      <c r="AF80" s="1047"/>
      <c r="AG80" s="1048"/>
    </row>
    <row r="81" spans="18:33" ht="80.25">
      <c r="R81" s="1040">
        <v>71</v>
      </c>
      <c r="S81" s="1041" t="s">
        <v>2133</v>
      </c>
      <c r="T81" s="1042" t="s">
        <v>2134</v>
      </c>
      <c r="U81" s="1043" t="s">
        <v>2290</v>
      </c>
      <c r="V81" s="1044" t="s">
        <v>2291</v>
      </c>
      <c r="W81" s="1044" t="s">
        <v>2093</v>
      </c>
      <c r="X81" s="1044" t="s">
        <v>2094</v>
      </c>
      <c r="Y81" s="1045" t="s">
        <v>2130</v>
      </c>
      <c r="Z81" s="1044" t="s">
        <v>2093</v>
      </c>
      <c r="AA81" s="1044" t="s">
        <v>2094</v>
      </c>
      <c r="AB81" s="1044" t="s">
        <v>2093</v>
      </c>
      <c r="AC81" s="1044" t="s">
        <v>2093</v>
      </c>
      <c r="AD81" s="1044" t="s">
        <v>2094</v>
      </c>
      <c r="AE81" s="1046"/>
      <c r="AF81" s="1047" t="s">
        <v>2272</v>
      </c>
      <c r="AG81" s="1048"/>
    </row>
    <row r="82" spans="18:33" ht="80.25">
      <c r="R82" s="1040">
        <v>72</v>
      </c>
      <c r="S82" s="1041" t="s">
        <v>2133</v>
      </c>
      <c r="T82" s="1042" t="s">
        <v>2134</v>
      </c>
      <c r="U82" s="1043" t="s">
        <v>2292</v>
      </c>
      <c r="V82" s="1044" t="s">
        <v>2293</v>
      </c>
      <c r="W82" s="1044" t="s">
        <v>2093</v>
      </c>
      <c r="X82" s="1044" t="s">
        <v>2094</v>
      </c>
      <c r="Y82" s="1045" t="s">
        <v>2130</v>
      </c>
      <c r="Z82" s="1044" t="s">
        <v>2093</v>
      </c>
      <c r="AA82" s="1044" t="s">
        <v>2094</v>
      </c>
      <c r="AB82" s="1044" t="s">
        <v>2093</v>
      </c>
      <c r="AC82" s="1044" t="s">
        <v>2093</v>
      </c>
      <c r="AD82" s="1044" t="s">
        <v>2094</v>
      </c>
      <c r="AE82" s="1046"/>
      <c r="AF82" s="1047" t="s">
        <v>2272</v>
      </c>
      <c r="AG82" s="1048"/>
    </row>
    <row r="83" spans="18:33" ht="80.25">
      <c r="R83" s="1040">
        <v>73</v>
      </c>
      <c r="S83" s="1041" t="s">
        <v>2133</v>
      </c>
      <c r="T83" s="1042" t="s">
        <v>2134</v>
      </c>
      <c r="U83" s="1043" t="s">
        <v>2198</v>
      </c>
      <c r="V83" s="1044" t="s">
        <v>2136</v>
      </c>
      <c r="W83" s="1044" t="s">
        <v>2093</v>
      </c>
      <c r="X83" s="1044" t="s">
        <v>2094</v>
      </c>
      <c r="Y83" s="1045" t="s">
        <v>2130</v>
      </c>
      <c r="Z83" s="1044" t="s">
        <v>2093</v>
      </c>
      <c r="AA83" s="1044" t="s">
        <v>2094</v>
      </c>
      <c r="AB83" s="1044" t="s">
        <v>2093</v>
      </c>
      <c r="AC83" s="1044" t="s">
        <v>2093</v>
      </c>
      <c r="AD83" s="1044" t="s">
        <v>2094</v>
      </c>
      <c r="AE83" s="1046"/>
      <c r="AF83" s="1047"/>
      <c r="AG83" s="1048"/>
    </row>
    <row r="84" spans="18:33" ht="80.25">
      <c r="R84" s="1040">
        <v>74</v>
      </c>
      <c r="S84" s="1041" t="s">
        <v>2133</v>
      </c>
      <c r="T84" s="1042" t="s">
        <v>2134</v>
      </c>
      <c r="U84" s="1043" t="s">
        <v>2294</v>
      </c>
      <c r="V84" s="1044" t="s">
        <v>2291</v>
      </c>
      <c r="W84" s="1044" t="s">
        <v>2093</v>
      </c>
      <c r="X84" s="1044" t="s">
        <v>2094</v>
      </c>
      <c r="Y84" s="1045" t="s">
        <v>2130</v>
      </c>
      <c r="Z84" s="1044" t="s">
        <v>2093</v>
      </c>
      <c r="AA84" s="1044" t="s">
        <v>2094</v>
      </c>
      <c r="AB84" s="1044" t="s">
        <v>2093</v>
      </c>
      <c r="AC84" s="1044" t="s">
        <v>2093</v>
      </c>
      <c r="AD84" s="1044" t="s">
        <v>2094</v>
      </c>
      <c r="AE84" s="1046"/>
      <c r="AF84" s="1047" t="s">
        <v>2272</v>
      </c>
      <c r="AG84" s="1048"/>
    </row>
    <row r="85" spans="18:33" ht="80.25">
      <c r="R85" s="1040">
        <v>75</v>
      </c>
      <c r="S85" s="1041" t="s">
        <v>2133</v>
      </c>
      <c r="T85" s="1042" t="s">
        <v>2134</v>
      </c>
      <c r="U85" s="1043" t="s">
        <v>2295</v>
      </c>
      <c r="V85" s="1044" t="s">
        <v>2293</v>
      </c>
      <c r="W85" s="1044" t="s">
        <v>2093</v>
      </c>
      <c r="X85" s="1044" t="s">
        <v>2094</v>
      </c>
      <c r="Y85" s="1045" t="s">
        <v>2130</v>
      </c>
      <c r="Z85" s="1044" t="s">
        <v>2093</v>
      </c>
      <c r="AA85" s="1044" t="s">
        <v>2094</v>
      </c>
      <c r="AB85" s="1044" t="s">
        <v>2093</v>
      </c>
      <c r="AC85" s="1044" t="s">
        <v>2093</v>
      </c>
      <c r="AD85" s="1044" t="s">
        <v>2094</v>
      </c>
      <c r="AE85" s="1046"/>
      <c r="AF85" s="1047" t="s">
        <v>2272</v>
      </c>
      <c r="AG85" s="1048"/>
    </row>
    <row r="86" spans="18:33" ht="80.25">
      <c r="R86" s="1040">
        <v>76</v>
      </c>
      <c r="S86" s="1041" t="s">
        <v>2133</v>
      </c>
      <c r="T86" s="1042" t="s">
        <v>2134</v>
      </c>
      <c r="U86" s="1043" t="s">
        <v>2199</v>
      </c>
      <c r="V86" s="1044" t="s">
        <v>2136</v>
      </c>
      <c r="W86" s="1044" t="s">
        <v>2093</v>
      </c>
      <c r="X86" s="1044" t="s">
        <v>2094</v>
      </c>
      <c r="Y86" s="1045" t="s">
        <v>2130</v>
      </c>
      <c r="Z86" s="1044" t="s">
        <v>2093</v>
      </c>
      <c r="AA86" s="1044" t="s">
        <v>2094</v>
      </c>
      <c r="AB86" s="1044" t="s">
        <v>2093</v>
      </c>
      <c r="AC86" s="1044" t="s">
        <v>2093</v>
      </c>
      <c r="AD86" s="1044" t="s">
        <v>2094</v>
      </c>
      <c r="AE86" s="1046"/>
      <c r="AF86" s="1047"/>
      <c r="AG86" s="1048"/>
    </row>
    <row r="87" spans="18:33" ht="80.25">
      <c r="R87" s="1040">
        <v>77</v>
      </c>
      <c r="S87" s="1041" t="s">
        <v>2133</v>
      </c>
      <c r="T87" s="1042" t="s">
        <v>2134</v>
      </c>
      <c r="U87" s="1043" t="s">
        <v>2296</v>
      </c>
      <c r="V87" s="1044" t="s">
        <v>2291</v>
      </c>
      <c r="W87" s="1044" t="s">
        <v>2093</v>
      </c>
      <c r="X87" s="1044" t="s">
        <v>2094</v>
      </c>
      <c r="Y87" s="1045" t="s">
        <v>2130</v>
      </c>
      <c r="Z87" s="1044" t="s">
        <v>2093</v>
      </c>
      <c r="AA87" s="1044" t="s">
        <v>2094</v>
      </c>
      <c r="AB87" s="1044" t="s">
        <v>2093</v>
      </c>
      <c r="AC87" s="1044" t="s">
        <v>2093</v>
      </c>
      <c r="AD87" s="1044" t="s">
        <v>2094</v>
      </c>
      <c r="AE87" s="1046"/>
      <c r="AF87" s="1047" t="s">
        <v>2272</v>
      </c>
      <c r="AG87" s="1048"/>
    </row>
    <row r="88" spans="18:33" ht="80.25">
      <c r="R88" s="1040">
        <v>78</v>
      </c>
      <c r="S88" s="1041" t="s">
        <v>2133</v>
      </c>
      <c r="T88" s="1042" t="s">
        <v>2134</v>
      </c>
      <c r="U88" s="1043" t="s">
        <v>2297</v>
      </c>
      <c r="V88" s="1044" t="s">
        <v>2293</v>
      </c>
      <c r="W88" s="1044" t="s">
        <v>2093</v>
      </c>
      <c r="X88" s="1044" t="s">
        <v>2094</v>
      </c>
      <c r="Y88" s="1045" t="s">
        <v>2130</v>
      </c>
      <c r="Z88" s="1044" t="s">
        <v>2093</v>
      </c>
      <c r="AA88" s="1044" t="s">
        <v>2094</v>
      </c>
      <c r="AB88" s="1044" t="s">
        <v>2093</v>
      </c>
      <c r="AC88" s="1044" t="s">
        <v>2093</v>
      </c>
      <c r="AD88" s="1044" t="s">
        <v>2094</v>
      </c>
      <c r="AE88" s="1046"/>
      <c r="AF88" s="1047" t="s">
        <v>2272</v>
      </c>
      <c r="AG88" s="1048"/>
    </row>
    <row r="89" spans="18:33" ht="80.25">
      <c r="R89" s="1040">
        <v>79</v>
      </c>
      <c r="S89" s="1041" t="s">
        <v>2133</v>
      </c>
      <c r="T89" s="1042" t="s">
        <v>2134</v>
      </c>
      <c r="U89" s="1043" t="s">
        <v>2200</v>
      </c>
      <c r="V89" s="1044" t="s">
        <v>2136</v>
      </c>
      <c r="W89" s="1044" t="s">
        <v>2093</v>
      </c>
      <c r="X89" s="1044" t="s">
        <v>2094</v>
      </c>
      <c r="Y89" s="1045" t="s">
        <v>2130</v>
      </c>
      <c r="Z89" s="1044" t="s">
        <v>2093</v>
      </c>
      <c r="AA89" s="1044" t="s">
        <v>2094</v>
      </c>
      <c r="AB89" s="1044" t="s">
        <v>2093</v>
      </c>
      <c r="AC89" s="1044" t="s">
        <v>2093</v>
      </c>
      <c r="AD89" s="1044" t="s">
        <v>2094</v>
      </c>
      <c r="AE89" s="1046"/>
      <c r="AF89" s="1047"/>
      <c r="AG89" s="1048"/>
    </row>
    <row r="90" spans="18:33" ht="80.25">
      <c r="R90" s="1040">
        <v>80</v>
      </c>
      <c r="S90" s="1041" t="s">
        <v>2133</v>
      </c>
      <c r="T90" s="1042" t="s">
        <v>2134</v>
      </c>
      <c r="U90" s="1043" t="s">
        <v>2298</v>
      </c>
      <c r="V90" s="1044" t="s">
        <v>2291</v>
      </c>
      <c r="W90" s="1044" t="s">
        <v>2093</v>
      </c>
      <c r="X90" s="1044" t="s">
        <v>2094</v>
      </c>
      <c r="Y90" s="1045" t="s">
        <v>2130</v>
      </c>
      <c r="Z90" s="1044" t="s">
        <v>2093</v>
      </c>
      <c r="AA90" s="1044" t="s">
        <v>2094</v>
      </c>
      <c r="AB90" s="1044" t="s">
        <v>2093</v>
      </c>
      <c r="AC90" s="1044" t="s">
        <v>2093</v>
      </c>
      <c r="AD90" s="1044" t="s">
        <v>2094</v>
      </c>
      <c r="AE90" s="1046"/>
      <c r="AF90" s="1047" t="s">
        <v>2272</v>
      </c>
      <c r="AG90" s="1048"/>
    </row>
    <row r="91" spans="18:33" ht="80.25">
      <c r="R91" s="1040">
        <v>81</v>
      </c>
      <c r="S91" s="1041" t="s">
        <v>2133</v>
      </c>
      <c r="T91" s="1042" t="s">
        <v>2134</v>
      </c>
      <c r="U91" s="1043" t="s">
        <v>2299</v>
      </c>
      <c r="V91" s="1044" t="s">
        <v>2293</v>
      </c>
      <c r="W91" s="1044" t="s">
        <v>2093</v>
      </c>
      <c r="X91" s="1044" t="s">
        <v>2094</v>
      </c>
      <c r="Y91" s="1045" t="s">
        <v>2130</v>
      </c>
      <c r="Z91" s="1044" t="s">
        <v>2093</v>
      </c>
      <c r="AA91" s="1044" t="s">
        <v>2094</v>
      </c>
      <c r="AB91" s="1044" t="s">
        <v>2093</v>
      </c>
      <c r="AC91" s="1044" t="s">
        <v>2093</v>
      </c>
      <c r="AD91" s="1044" t="s">
        <v>2094</v>
      </c>
      <c r="AE91" s="1046"/>
      <c r="AF91" s="1047" t="s">
        <v>2272</v>
      </c>
      <c r="AG91" s="1048"/>
    </row>
    <row r="92" spans="18:33" ht="80.25">
      <c r="R92" s="1040">
        <v>82</v>
      </c>
      <c r="S92" s="1041" t="s">
        <v>2133</v>
      </c>
      <c r="T92" s="1042" t="s">
        <v>2134</v>
      </c>
      <c r="U92" s="1043" t="s">
        <v>2201</v>
      </c>
      <c r="V92" s="1044" t="s">
        <v>2136</v>
      </c>
      <c r="W92" s="1044" t="s">
        <v>2093</v>
      </c>
      <c r="X92" s="1044" t="s">
        <v>2094</v>
      </c>
      <c r="Y92" s="1045" t="s">
        <v>2130</v>
      </c>
      <c r="Z92" s="1044" t="s">
        <v>2093</v>
      </c>
      <c r="AA92" s="1044" t="s">
        <v>2094</v>
      </c>
      <c r="AB92" s="1044" t="s">
        <v>2093</v>
      </c>
      <c r="AC92" s="1044" t="s">
        <v>2093</v>
      </c>
      <c r="AD92" s="1044" t="s">
        <v>2094</v>
      </c>
      <c r="AE92" s="1046"/>
      <c r="AF92" s="1047"/>
      <c r="AG92" s="1048"/>
    </row>
    <row r="93" spans="18:33" ht="80.25">
      <c r="R93" s="1040">
        <v>83</v>
      </c>
      <c r="S93" s="1041" t="s">
        <v>2133</v>
      </c>
      <c r="T93" s="1042" t="s">
        <v>2134</v>
      </c>
      <c r="U93" s="1043" t="s">
        <v>2300</v>
      </c>
      <c r="V93" s="1044" t="s">
        <v>2291</v>
      </c>
      <c r="W93" s="1044" t="s">
        <v>2093</v>
      </c>
      <c r="X93" s="1044" t="s">
        <v>2094</v>
      </c>
      <c r="Y93" s="1045" t="s">
        <v>2130</v>
      </c>
      <c r="Z93" s="1044" t="s">
        <v>2093</v>
      </c>
      <c r="AA93" s="1044" t="s">
        <v>2094</v>
      </c>
      <c r="AB93" s="1044" t="s">
        <v>2093</v>
      </c>
      <c r="AC93" s="1044" t="s">
        <v>2093</v>
      </c>
      <c r="AD93" s="1044" t="s">
        <v>2094</v>
      </c>
      <c r="AE93" s="1046"/>
      <c r="AF93" s="1047" t="s">
        <v>2272</v>
      </c>
      <c r="AG93" s="1048"/>
    </row>
    <row r="94" spans="18:33" ht="80.25">
      <c r="R94" s="1040">
        <v>84</v>
      </c>
      <c r="S94" s="1041" t="s">
        <v>2133</v>
      </c>
      <c r="T94" s="1042" t="s">
        <v>2134</v>
      </c>
      <c r="U94" s="1043" t="s">
        <v>2301</v>
      </c>
      <c r="V94" s="1044" t="s">
        <v>2293</v>
      </c>
      <c r="W94" s="1044" t="s">
        <v>2093</v>
      </c>
      <c r="X94" s="1044" t="s">
        <v>2094</v>
      </c>
      <c r="Y94" s="1045" t="s">
        <v>2130</v>
      </c>
      <c r="Z94" s="1044" t="s">
        <v>2093</v>
      </c>
      <c r="AA94" s="1044" t="s">
        <v>2094</v>
      </c>
      <c r="AB94" s="1044" t="s">
        <v>2093</v>
      </c>
      <c r="AC94" s="1044" t="s">
        <v>2093</v>
      </c>
      <c r="AD94" s="1044" t="s">
        <v>2094</v>
      </c>
      <c r="AE94" s="1046"/>
      <c r="AF94" s="1047" t="s">
        <v>2272</v>
      </c>
      <c r="AG94" s="1048"/>
    </row>
    <row r="95" spans="18:33" ht="80.25">
      <c r="R95" s="1040">
        <v>85</v>
      </c>
      <c r="S95" s="1041" t="s">
        <v>2133</v>
      </c>
      <c r="T95" s="1042" t="s">
        <v>2134</v>
      </c>
      <c r="U95" s="1043" t="s">
        <v>2202</v>
      </c>
      <c r="V95" s="1044" t="s">
        <v>2136</v>
      </c>
      <c r="W95" s="1044" t="s">
        <v>2093</v>
      </c>
      <c r="X95" s="1044" t="s">
        <v>2094</v>
      </c>
      <c r="Y95" s="1045" t="s">
        <v>2130</v>
      </c>
      <c r="Z95" s="1044" t="s">
        <v>2093</v>
      </c>
      <c r="AA95" s="1044" t="s">
        <v>2094</v>
      </c>
      <c r="AB95" s="1044" t="s">
        <v>2093</v>
      </c>
      <c r="AC95" s="1044" t="s">
        <v>2093</v>
      </c>
      <c r="AD95" s="1044" t="s">
        <v>2094</v>
      </c>
      <c r="AE95" s="1046"/>
      <c r="AF95" s="1047"/>
      <c r="AG95" s="1048"/>
    </row>
    <row r="96" spans="18:33" ht="80.25">
      <c r="R96" s="1040">
        <v>86</v>
      </c>
      <c r="S96" s="1041" t="s">
        <v>2133</v>
      </c>
      <c r="T96" s="1042" t="s">
        <v>2134</v>
      </c>
      <c r="U96" s="1043" t="s">
        <v>2302</v>
      </c>
      <c r="V96" s="1044" t="s">
        <v>2291</v>
      </c>
      <c r="W96" s="1044" t="s">
        <v>2093</v>
      </c>
      <c r="X96" s="1044" t="s">
        <v>2094</v>
      </c>
      <c r="Y96" s="1045" t="s">
        <v>2130</v>
      </c>
      <c r="Z96" s="1044" t="s">
        <v>2093</v>
      </c>
      <c r="AA96" s="1044" t="s">
        <v>2094</v>
      </c>
      <c r="AB96" s="1044" t="s">
        <v>2093</v>
      </c>
      <c r="AC96" s="1044" t="s">
        <v>2093</v>
      </c>
      <c r="AD96" s="1044" t="s">
        <v>2094</v>
      </c>
      <c r="AE96" s="1046"/>
      <c r="AF96" s="1047" t="s">
        <v>2272</v>
      </c>
      <c r="AG96" s="1048"/>
    </row>
    <row r="97" spans="2:36" ht="80.25">
      <c r="R97" s="1040">
        <v>87</v>
      </c>
      <c r="S97" s="1041" t="s">
        <v>2133</v>
      </c>
      <c r="T97" s="1042" t="s">
        <v>2134</v>
      </c>
      <c r="U97" s="1043" t="s">
        <v>2303</v>
      </c>
      <c r="V97" s="1044" t="s">
        <v>2293</v>
      </c>
      <c r="W97" s="1044" t="s">
        <v>2093</v>
      </c>
      <c r="X97" s="1044" t="s">
        <v>2094</v>
      </c>
      <c r="Y97" s="1045" t="s">
        <v>2130</v>
      </c>
      <c r="Z97" s="1044" t="s">
        <v>2093</v>
      </c>
      <c r="AA97" s="1044" t="s">
        <v>2094</v>
      </c>
      <c r="AB97" s="1044" t="s">
        <v>2093</v>
      </c>
      <c r="AC97" s="1044" t="s">
        <v>2093</v>
      </c>
      <c r="AD97" s="1044" t="s">
        <v>2094</v>
      </c>
      <c r="AE97" s="1046"/>
      <c r="AF97" s="1047" t="s">
        <v>2272</v>
      </c>
      <c r="AG97" s="1048"/>
    </row>
    <row r="98" spans="2:36" ht="80.25">
      <c r="B98" s="1067"/>
      <c r="C98" s="350"/>
      <c r="D98" s="941"/>
      <c r="E98" s="807"/>
      <c r="F98" s="621" t="str">
        <f>"▣ Location :"&amp;BASIC_TOOL!B7</f>
        <v>▣ Location :DAMMAM, KSA</v>
      </c>
      <c r="G98" s="368"/>
      <c r="H98" s="938"/>
      <c r="I98" s="368" t="str">
        <f>"▣ Date : "</f>
        <v xml:space="preserve">▣ Date : </v>
      </c>
      <c r="J98" s="368"/>
      <c r="K98" s="369">
        <f ca="1">BASIC_TOOL!D5</f>
        <v>45228</v>
      </c>
      <c r="L98" s="938"/>
      <c r="M98" s="370"/>
      <c r="R98" s="1040">
        <v>88</v>
      </c>
      <c r="S98" s="1041" t="s">
        <v>2137</v>
      </c>
      <c r="T98" s="1042" t="s">
        <v>2138</v>
      </c>
      <c r="U98" s="1043" t="s">
        <v>2135</v>
      </c>
      <c r="V98" s="1044" t="s">
        <v>2139</v>
      </c>
      <c r="W98" s="1044" t="s">
        <v>2093</v>
      </c>
      <c r="X98" s="1044" t="s">
        <v>2094</v>
      </c>
      <c r="Y98" s="1045" t="s">
        <v>2081</v>
      </c>
      <c r="Z98" s="1044" t="s">
        <v>2093</v>
      </c>
      <c r="AA98" s="1044" t="s">
        <v>2094</v>
      </c>
      <c r="AB98" s="1044" t="s">
        <v>2093</v>
      </c>
      <c r="AC98" s="1044" t="s">
        <v>2094</v>
      </c>
      <c r="AD98" s="1044" t="s">
        <v>2093</v>
      </c>
      <c r="AE98" s="1046"/>
      <c r="AF98" s="1047"/>
      <c r="AG98" s="1048"/>
    </row>
    <row r="99" spans="2:36" ht="57.75" thickBot="1">
      <c r="B99" s="1068"/>
      <c r="C99" s="809"/>
      <c r="D99" s="943"/>
      <c r="E99" s="810"/>
      <c r="F99" s="638" t="str">
        <f>"▣ Company : "&amp;BASIC_TOOL!D6&amp;"                        "</f>
        <v xml:space="preserve">▣ Company : ABC                        </v>
      </c>
      <c r="G99" s="622"/>
      <c r="H99" s="939"/>
      <c r="I99" s="622" t="str">
        <f>"▣ Project Name :"&amp;BASIC_TOOL!B6</f>
        <v>▣ Project Name :A Project</v>
      </c>
      <c r="J99" s="622"/>
      <c r="K99" s="622"/>
      <c r="L99" s="939"/>
      <c r="M99" s="623"/>
      <c r="R99" s="1040">
        <v>89</v>
      </c>
      <c r="S99" s="1041" t="s">
        <v>2140</v>
      </c>
      <c r="T99" s="1058" t="s">
        <v>2141</v>
      </c>
      <c r="U99" s="1043" t="s">
        <v>2142</v>
      </c>
      <c r="V99" s="1044" t="s">
        <v>2143</v>
      </c>
      <c r="W99" s="1044" t="s">
        <v>2093</v>
      </c>
      <c r="X99" s="1044" t="s">
        <v>2093</v>
      </c>
      <c r="Y99" s="1045" t="s">
        <v>2130</v>
      </c>
      <c r="Z99" s="1044" t="s">
        <v>2093</v>
      </c>
      <c r="AA99" s="1044" t="s">
        <v>2093</v>
      </c>
      <c r="AB99" s="1044" t="s">
        <v>2094</v>
      </c>
      <c r="AC99" s="1044" t="s">
        <v>2093</v>
      </c>
      <c r="AD99" s="1044" t="s">
        <v>2093</v>
      </c>
      <c r="AE99" s="1044" t="s">
        <v>2144</v>
      </c>
      <c r="AF99" s="1047"/>
      <c r="AG99" s="1048"/>
    </row>
    <row r="100" spans="2:36" ht="71.25">
      <c r="B100" s="367" t="str">
        <f>"▣ Order No :  "&amp;BASIC_TOOL!B5</f>
        <v>▣ Order No :  NT0606-01</v>
      </c>
      <c r="C100" s="225"/>
      <c r="D100" s="639"/>
      <c r="E100" s="115"/>
      <c r="F100" s="276"/>
      <c r="G100" s="640"/>
      <c r="H100" s="641"/>
      <c r="I100" s="641"/>
      <c r="J100" s="642"/>
      <c r="K100" s="643"/>
      <c r="L100" s="644"/>
      <c r="M100" s="352"/>
      <c r="R100" s="1040">
        <v>90</v>
      </c>
      <c r="S100" s="1041" t="s">
        <v>2140</v>
      </c>
      <c r="T100" s="1058" t="s">
        <v>2141</v>
      </c>
      <c r="U100" s="1043" t="s">
        <v>2270</v>
      </c>
      <c r="V100" s="1044" t="s">
        <v>2271</v>
      </c>
      <c r="W100" s="1044" t="s">
        <v>2093</v>
      </c>
      <c r="X100" s="1044" t="s">
        <v>2093</v>
      </c>
      <c r="Y100" s="1045" t="s">
        <v>2130</v>
      </c>
      <c r="Z100" s="1044" t="s">
        <v>2093</v>
      </c>
      <c r="AA100" s="1044" t="s">
        <v>2093</v>
      </c>
      <c r="AB100" s="1044" t="s">
        <v>2094</v>
      </c>
      <c r="AC100" s="1044" t="s">
        <v>2093</v>
      </c>
      <c r="AD100" s="1044" t="s">
        <v>2093</v>
      </c>
      <c r="AE100" s="1044" t="s">
        <v>2144</v>
      </c>
      <c r="AF100" s="1047" t="s">
        <v>2272</v>
      </c>
      <c r="AG100" s="1048"/>
    </row>
    <row r="101" spans="2:36" ht="71.25">
      <c r="B101" s="367" t="str">
        <f>"▣ Size : "&amp;W_O&amp;"mW x ("&amp;L1_O&amp;IF(L2_O&gt;0,"+"&amp;L2_O,"")&amp;IF(L3_O&gt;0,"+"&amp;L3_O,"")&amp;IF(L4_O&gt;0,"+"&amp;L4_O,"")&amp;")mL x"&amp;H_O&amp;"mH ="&amp;BASIC_TOOL!H11&amp;" [TON]/ 1[SET]"</f>
        <v>▣ Size : 10mW x (5)mL x3mH =150 [TON]/ 1[SET]</v>
      </c>
      <c r="C101" s="222"/>
      <c r="D101" s="645"/>
      <c r="E101" s="646"/>
      <c r="F101" s="217"/>
      <c r="G101" s="366" t="str">
        <f>"▣ Panel: "&amp;BASIC_TOOL!C14&amp;"/ Panel Composition:"&amp;IF(BASIC_TOOL!D15=1,"use Side Panel(only 1x1m)","use side panel (1x2m,1x1.5m)")</f>
        <v>▣ Panel: Non-Insulated/ Panel Composition:use side panel (1x2m,1x1.5m)</v>
      </c>
      <c r="H101" s="647"/>
      <c r="I101" s="647"/>
      <c r="J101" s="351"/>
      <c r="K101" s="648"/>
      <c r="L101" s="649"/>
      <c r="M101" s="356"/>
      <c r="R101" s="1040">
        <v>91</v>
      </c>
      <c r="S101" s="1041" t="s">
        <v>2140</v>
      </c>
      <c r="T101" s="1058" t="s">
        <v>2141</v>
      </c>
      <c r="U101" s="1043" t="s">
        <v>2273</v>
      </c>
      <c r="V101" s="1044" t="s">
        <v>2274</v>
      </c>
      <c r="W101" s="1044" t="s">
        <v>2093</v>
      </c>
      <c r="X101" s="1044" t="s">
        <v>2093</v>
      </c>
      <c r="Y101" s="1045" t="s">
        <v>2130</v>
      </c>
      <c r="Z101" s="1044" t="s">
        <v>2093</v>
      </c>
      <c r="AA101" s="1044" t="s">
        <v>2093</v>
      </c>
      <c r="AB101" s="1044" t="s">
        <v>2094</v>
      </c>
      <c r="AC101" s="1044" t="s">
        <v>2093</v>
      </c>
      <c r="AD101" s="1044" t="s">
        <v>2093</v>
      </c>
      <c r="AE101" s="1044" t="s">
        <v>2144</v>
      </c>
      <c r="AF101" s="1047" t="s">
        <v>2272</v>
      </c>
      <c r="AG101" s="1048"/>
    </row>
    <row r="102" spans="2:36" ht="66">
      <c r="B102" s="367" t="str">
        <f>"▣ Reinforcement:  "&amp;BASIC_TOOL!B22&amp;"       /    "&amp;BASIC_TOOL!B14</f>
        <v>▣ Reinforcement:  Internal       /    MNT</v>
      </c>
      <c r="C102" s="114"/>
      <c r="D102" s="645"/>
      <c r="E102" s="646"/>
      <c r="F102" s="217"/>
      <c r="G102" s="650" t="str">
        <f>"▣ Bolts and Nuts : "&amp;BASIC_TOOL!F22</f>
        <v>▣ Bolts and Nuts : EXT:HDG+INT:SS316</v>
      </c>
      <c r="H102" s="647"/>
      <c r="I102" s="647"/>
      <c r="J102" s="651"/>
      <c r="K102" s="351"/>
      <c r="L102" s="649"/>
      <c r="M102" s="357"/>
      <c r="R102" s="1040">
        <v>92</v>
      </c>
      <c r="S102" s="1041" t="s">
        <v>2145</v>
      </c>
      <c r="T102" s="1058" t="s">
        <v>2146</v>
      </c>
      <c r="U102" s="1043" t="s">
        <v>2147</v>
      </c>
      <c r="V102" s="1044" t="s">
        <v>2148</v>
      </c>
      <c r="W102" s="1044" t="s">
        <v>2093</v>
      </c>
      <c r="X102" s="1044" t="s">
        <v>2093</v>
      </c>
      <c r="Y102" s="1045" t="s">
        <v>2081</v>
      </c>
      <c r="Z102" s="1044" t="s">
        <v>2093</v>
      </c>
      <c r="AA102" s="1044" t="s">
        <v>2093</v>
      </c>
      <c r="AB102" s="1044" t="s">
        <v>2094</v>
      </c>
      <c r="AC102" s="1044" t="s">
        <v>2094</v>
      </c>
      <c r="AD102" s="1044" t="s">
        <v>2093</v>
      </c>
      <c r="AE102" s="1044" t="s">
        <v>2144</v>
      </c>
      <c r="AF102" s="1047"/>
      <c r="AG102" s="1048"/>
    </row>
    <row r="103" spans="2:36" ht="99">
      <c r="B103" s="367" t="str">
        <f>"▣ Steel Skid:"&amp;BASIC_TOOL!D22&amp;"     ▣ External Accessories : HDG  "&amp;"                     ▣ Internal Accessories : "&amp;BASIC_TOOL!E22</f>
        <v>▣ Steel Skid:Default     ▣ External Accessories : HDG                       ▣ Internal Accessories : SS316</v>
      </c>
      <c r="C103" s="114"/>
      <c r="D103" s="645"/>
      <c r="E103" s="217"/>
      <c r="F103" s="217"/>
      <c r="G103" s="652"/>
      <c r="H103" s="647"/>
      <c r="I103" s="647"/>
      <c r="J103" s="651"/>
      <c r="K103" s="351"/>
      <c r="L103" s="649"/>
      <c r="M103" s="357"/>
      <c r="R103" s="1040">
        <v>93</v>
      </c>
      <c r="S103" s="1041" t="s">
        <v>2145</v>
      </c>
      <c r="T103" s="1058" t="s">
        <v>2275</v>
      </c>
      <c r="U103" s="1043" t="s">
        <v>2276</v>
      </c>
      <c r="V103" s="1044" t="s">
        <v>2277</v>
      </c>
      <c r="W103" s="1044" t="s">
        <v>2093</v>
      </c>
      <c r="X103" s="1044" t="s">
        <v>2093</v>
      </c>
      <c r="Y103" s="1045" t="s">
        <v>2081</v>
      </c>
      <c r="Z103" s="1044" t="s">
        <v>2093</v>
      </c>
      <c r="AA103" s="1044" t="s">
        <v>2093</v>
      </c>
      <c r="AB103" s="1044" t="s">
        <v>2094</v>
      </c>
      <c r="AC103" s="1044" t="s">
        <v>2094</v>
      </c>
      <c r="AD103" s="1044" t="s">
        <v>2093</v>
      </c>
      <c r="AE103" s="1044" t="s">
        <v>2144</v>
      </c>
      <c r="AF103" s="1047" t="s">
        <v>2272</v>
      </c>
      <c r="AG103" s="1048"/>
    </row>
    <row r="104" spans="2:36" ht="99">
      <c r="B104" s="359"/>
      <c r="C104" s="653"/>
      <c r="D104" s="936"/>
      <c r="E104" s="654"/>
      <c r="F104" s="360"/>
      <c r="G104" s="654"/>
      <c r="H104" s="653"/>
      <c r="I104" s="653"/>
      <c r="J104" s="654"/>
      <c r="K104" s="654"/>
      <c r="L104" s="653"/>
      <c r="M104" s="361"/>
      <c r="R104" s="1040">
        <v>94</v>
      </c>
      <c r="S104" s="1041" t="s">
        <v>2145</v>
      </c>
      <c r="T104" s="1058" t="s">
        <v>2275</v>
      </c>
      <c r="U104" s="1043" t="s">
        <v>2278</v>
      </c>
      <c r="V104" s="1044" t="s">
        <v>2279</v>
      </c>
      <c r="W104" s="1044" t="s">
        <v>2093</v>
      </c>
      <c r="X104" s="1044" t="s">
        <v>2093</v>
      </c>
      <c r="Y104" s="1045" t="s">
        <v>2081</v>
      </c>
      <c r="Z104" s="1044" t="s">
        <v>2093</v>
      </c>
      <c r="AA104" s="1044" t="s">
        <v>2093</v>
      </c>
      <c r="AB104" s="1044" t="s">
        <v>2094</v>
      </c>
      <c r="AC104" s="1044" t="s">
        <v>2094</v>
      </c>
      <c r="AD104" s="1044" t="s">
        <v>2093</v>
      </c>
      <c r="AE104" s="1044" t="s">
        <v>2144</v>
      </c>
      <c r="AF104" s="1047" t="s">
        <v>2272</v>
      </c>
      <c r="AG104" s="1048"/>
    </row>
    <row r="105" spans="2:36" ht="57">
      <c r="B105" s="359"/>
      <c r="C105" s="653"/>
      <c r="D105" s="936"/>
      <c r="E105" s="654"/>
      <c r="F105" s="654"/>
      <c r="G105" s="654"/>
      <c r="H105" s="653"/>
      <c r="I105" s="653"/>
      <c r="J105" s="654"/>
      <c r="K105" s="654"/>
      <c r="L105" s="653"/>
      <c r="M105" s="361"/>
      <c r="R105" s="1040">
        <v>95</v>
      </c>
      <c r="S105" s="1041" t="s">
        <v>2149</v>
      </c>
      <c r="T105" s="1058" t="s">
        <v>2150</v>
      </c>
      <c r="U105" s="1043" t="s">
        <v>2151</v>
      </c>
      <c r="V105" s="1044" t="s">
        <v>2152</v>
      </c>
      <c r="W105" s="1044" t="s">
        <v>2093</v>
      </c>
      <c r="X105" s="1044" t="s">
        <v>2093</v>
      </c>
      <c r="Y105" s="1045" t="s">
        <v>2130</v>
      </c>
      <c r="Z105" s="1044" t="s">
        <v>2093</v>
      </c>
      <c r="AA105" s="1044" t="s">
        <v>2093</v>
      </c>
      <c r="AB105" s="1044" t="s">
        <v>2094</v>
      </c>
      <c r="AC105" s="1044" t="s">
        <v>2093</v>
      </c>
      <c r="AD105" s="1044" t="s">
        <v>2093</v>
      </c>
      <c r="AE105" s="1044" t="s">
        <v>2153</v>
      </c>
      <c r="AF105" s="1047"/>
      <c r="AG105" s="1048"/>
    </row>
    <row r="106" spans="2:36" ht="71.25">
      <c r="R106" s="1040">
        <v>96</v>
      </c>
      <c r="S106" s="1041" t="s">
        <v>2149</v>
      </c>
      <c r="T106" s="1058" t="s">
        <v>2150</v>
      </c>
      <c r="U106" s="1043" t="s">
        <v>2280</v>
      </c>
      <c r="V106" s="1044" t="s">
        <v>2281</v>
      </c>
      <c r="W106" s="1044" t="s">
        <v>2093</v>
      </c>
      <c r="X106" s="1044" t="s">
        <v>2093</v>
      </c>
      <c r="Y106" s="1045" t="s">
        <v>2130</v>
      </c>
      <c r="Z106" s="1044" t="s">
        <v>2093</v>
      </c>
      <c r="AA106" s="1044" t="s">
        <v>2093</v>
      </c>
      <c r="AB106" s="1044" t="s">
        <v>2094</v>
      </c>
      <c r="AC106" s="1044" t="s">
        <v>2093</v>
      </c>
      <c r="AD106" s="1044" t="s">
        <v>2093</v>
      </c>
      <c r="AE106" s="1044" t="s">
        <v>2153</v>
      </c>
      <c r="AF106" s="1047" t="s">
        <v>2272</v>
      </c>
      <c r="AG106" s="1048"/>
    </row>
    <row r="107" spans="2:36" ht="71.25">
      <c r="R107" s="1040">
        <v>97</v>
      </c>
      <c r="S107" s="1041" t="s">
        <v>2149</v>
      </c>
      <c r="T107" s="1058" t="s">
        <v>2150</v>
      </c>
      <c r="U107" s="1043" t="s">
        <v>2282</v>
      </c>
      <c r="V107" s="1044" t="s">
        <v>2283</v>
      </c>
      <c r="W107" s="1044" t="s">
        <v>2093</v>
      </c>
      <c r="X107" s="1044" t="s">
        <v>2093</v>
      </c>
      <c r="Y107" s="1045" t="s">
        <v>2130</v>
      </c>
      <c r="Z107" s="1044" t="s">
        <v>2093</v>
      </c>
      <c r="AA107" s="1044" t="s">
        <v>2093</v>
      </c>
      <c r="AB107" s="1044" t="s">
        <v>2094</v>
      </c>
      <c r="AC107" s="1044" t="s">
        <v>2093</v>
      </c>
      <c r="AD107" s="1044" t="s">
        <v>2093</v>
      </c>
      <c r="AE107" s="1044" t="s">
        <v>2153</v>
      </c>
      <c r="AF107" s="1047" t="s">
        <v>2272</v>
      </c>
      <c r="AG107" s="1048"/>
    </row>
    <row r="108" spans="2:36" ht="66">
      <c r="B108" s="1469" t="s">
        <v>183</v>
      </c>
      <c r="C108" s="1469"/>
      <c r="D108" s="1469"/>
      <c r="E108" s="1469"/>
      <c r="F108" s="1469"/>
      <c r="G108" s="1469"/>
      <c r="H108" s="1469"/>
      <c r="I108" s="1469"/>
      <c r="J108" s="1469"/>
      <c r="K108" s="1469"/>
      <c r="L108" s="1469"/>
      <c r="M108" s="1469"/>
      <c r="N108" s="795"/>
      <c r="O108" s="795"/>
      <c r="P108" s="960"/>
      <c r="Q108" s="988"/>
      <c r="R108" s="1040">
        <v>98</v>
      </c>
      <c r="S108" s="1041" t="s">
        <v>2154</v>
      </c>
      <c r="T108" s="1058" t="s">
        <v>2155</v>
      </c>
      <c r="U108" s="1043" t="s">
        <v>2156</v>
      </c>
      <c r="V108" s="1044" t="s">
        <v>2157</v>
      </c>
      <c r="W108" s="1044" t="s">
        <v>2093</v>
      </c>
      <c r="X108" s="1044" t="s">
        <v>2093</v>
      </c>
      <c r="Y108" s="1045" t="s">
        <v>2081</v>
      </c>
      <c r="Z108" s="1044" t="s">
        <v>2093</v>
      </c>
      <c r="AA108" s="1044" t="s">
        <v>2093</v>
      </c>
      <c r="AB108" s="1044" t="s">
        <v>2094</v>
      </c>
      <c r="AC108" s="1044" t="s">
        <v>2094</v>
      </c>
      <c r="AD108" s="1044" t="s">
        <v>2093</v>
      </c>
      <c r="AE108" s="1044" t="s">
        <v>2153</v>
      </c>
      <c r="AF108" s="1047"/>
      <c r="AG108" s="1048"/>
      <c r="AH108" s="795"/>
      <c r="AI108" s="795"/>
      <c r="AJ108" s="795"/>
    </row>
    <row r="109" spans="2:36" ht="71.25">
      <c r="B109" s="796" t="s">
        <v>176</v>
      </c>
      <c r="C109" s="796" t="s">
        <v>177</v>
      </c>
      <c r="D109" s="797" t="s">
        <v>168</v>
      </c>
      <c r="E109" s="798" t="s">
        <v>422</v>
      </c>
      <c r="F109" s="795"/>
      <c r="G109" s="796"/>
      <c r="H109" s="797"/>
      <c r="I109" s="798"/>
      <c r="J109" s="795"/>
      <c r="K109" s="796"/>
      <c r="L109" s="797"/>
      <c r="M109" s="798"/>
      <c r="N109" s="795"/>
      <c r="O109" s="795"/>
      <c r="P109" s="960"/>
      <c r="Q109" s="988"/>
      <c r="R109" s="1040">
        <v>99</v>
      </c>
      <c r="S109" s="1041" t="s">
        <v>2154</v>
      </c>
      <c r="T109" s="1058" t="s">
        <v>2155</v>
      </c>
      <c r="U109" s="1043" t="s">
        <v>2284</v>
      </c>
      <c r="V109" s="1044" t="s">
        <v>2285</v>
      </c>
      <c r="W109" s="1044" t="s">
        <v>2093</v>
      </c>
      <c r="X109" s="1044" t="s">
        <v>2093</v>
      </c>
      <c r="Y109" s="1045" t="s">
        <v>2081</v>
      </c>
      <c r="Z109" s="1044" t="s">
        <v>2093</v>
      </c>
      <c r="AA109" s="1044" t="s">
        <v>2093</v>
      </c>
      <c r="AB109" s="1044" t="s">
        <v>2094</v>
      </c>
      <c r="AC109" s="1044" t="s">
        <v>2094</v>
      </c>
      <c r="AD109" s="1044" t="s">
        <v>2093</v>
      </c>
      <c r="AE109" s="1044" t="s">
        <v>2153</v>
      </c>
      <c r="AF109" s="1047" t="s">
        <v>2272</v>
      </c>
      <c r="AG109" s="1048"/>
      <c r="AH109" s="796"/>
      <c r="AI109" s="797"/>
      <c r="AJ109" s="798"/>
    </row>
    <row r="110" spans="2:36" ht="71.25">
      <c r="B110" s="402" t="str">
        <f>IFERROR(          IF(BASIC_TOOL!$B$15=1,Panel2!A5,""),"")</f>
        <v>Manhole</v>
      </c>
      <c r="C110" s="402" t="str">
        <f>IFERROR(          IF(BASIC_TOOL!$B$15=1,Panel2!B5,""),"")</f>
        <v>MF00M</v>
      </c>
      <c r="D110" s="402">
        <f>IFERROR(          IF(BASIC_TOOL!$B$15=1,Panel2!C5,""),"")</f>
        <v>1</v>
      </c>
      <c r="E110" s="372"/>
      <c r="F110" s="546"/>
      <c r="G110" s="546"/>
      <c r="H110" s="547"/>
      <c r="I110" s="547"/>
      <c r="J110" s="546"/>
      <c r="K110" s="546"/>
      <c r="L110" s="937"/>
      <c r="M110" s="547"/>
      <c r="N110" s="801"/>
      <c r="O110" s="801"/>
      <c r="P110" s="984"/>
      <c r="Q110" s="989"/>
      <c r="R110" s="1040">
        <v>100</v>
      </c>
      <c r="S110" s="1041" t="s">
        <v>2154</v>
      </c>
      <c r="T110" s="1058" t="s">
        <v>2155</v>
      </c>
      <c r="U110" s="1043" t="s">
        <v>2286</v>
      </c>
      <c r="V110" s="1044" t="s">
        <v>2287</v>
      </c>
      <c r="W110" s="1044" t="s">
        <v>2093</v>
      </c>
      <c r="X110" s="1044" t="s">
        <v>2093</v>
      </c>
      <c r="Y110" s="1045" t="s">
        <v>2081</v>
      </c>
      <c r="Z110" s="1044" t="s">
        <v>2093</v>
      </c>
      <c r="AA110" s="1044" t="s">
        <v>2093</v>
      </c>
      <c r="AB110" s="1044" t="s">
        <v>2094</v>
      </c>
      <c r="AC110" s="1044" t="s">
        <v>2094</v>
      </c>
      <c r="AD110" s="1044" t="s">
        <v>2093</v>
      </c>
      <c r="AE110" s="1044" t="s">
        <v>2153</v>
      </c>
      <c r="AF110" s="1047" t="s">
        <v>2272</v>
      </c>
      <c r="AG110" s="1048"/>
      <c r="AH110" s="801"/>
      <c r="AI110" s="803"/>
      <c r="AJ110" s="419"/>
    </row>
    <row r="111" spans="2:36" ht="94.5">
      <c r="B111" s="402" t="str">
        <f>IFERROR(          IF(BASIC_TOOL!$B$15=1,Panel2!A6,""),"")</f>
        <v>Roof</v>
      </c>
      <c r="C111" s="402" t="str">
        <f>IFERROR(          IF(BASIC_TOOL!$B$15=1,Panel2!B6,""),"")</f>
        <v>RF00M</v>
      </c>
      <c r="D111" s="402">
        <f>IFERROR(          IF(BASIC_TOOL!$B$15=1,Panel2!C6,""),"")</f>
        <v>49</v>
      </c>
      <c r="E111" s="635"/>
      <c r="F111" s="546"/>
      <c r="G111" s="546"/>
      <c r="H111" s="547"/>
      <c r="I111" s="547"/>
      <c r="J111" s="546"/>
      <c r="K111" s="546"/>
      <c r="L111" s="937"/>
      <c r="M111" s="547"/>
      <c r="N111" s="801"/>
      <c r="O111" s="801"/>
      <c r="P111" s="984"/>
      <c r="Q111" s="989"/>
      <c r="R111" s="1040">
        <v>101</v>
      </c>
      <c r="S111" s="1052" t="s">
        <v>2239</v>
      </c>
      <c r="T111" s="1042" t="s">
        <v>2240</v>
      </c>
      <c r="U111" s="1053" t="s">
        <v>2241</v>
      </c>
      <c r="V111" s="1054" t="s">
        <v>2242</v>
      </c>
      <c r="W111" s="1054" t="s">
        <v>2093</v>
      </c>
      <c r="X111" s="1054" t="s">
        <v>2094</v>
      </c>
      <c r="Y111" s="1055" t="s">
        <v>2081</v>
      </c>
      <c r="Z111" s="1054" t="s">
        <v>2093</v>
      </c>
      <c r="AA111" s="1054" t="s">
        <v>2094</v>
      </c>
      <c r="AB111" s="1054" t="s">
        <v>2093</v>
      </c>
      <c r="AC111" s="1054" t="s">
        <v>2094</v>
      </c>
      <c r="AD111" s="1054" t="s">
        <v>2094</v>
      </c>
      <c r="AE111" s="1056"/>
      <c r="AF111" s="1057" t="s">
        <v>2103</v>
      </c>
      <c r="AG111" s="1048"/>
      <c r="AH111" s="801"/>
      <c r="AI111" s="803"/>
      <c r="AJ111" s="419"/>
    </row>
    <row r="112" spans="2:36" ht="94.5">
      <c r="B112" s="402" t="str">
        <f>IFERROR(          IF(BASIC_TOOL!$B$15=1,Panel2!A7,""),"")</f>
        <v>Base</v>
      </c>
      <c r="C112" s="402" t="str">
        <f>IFERROR(          IF(BASIC_TOOL!$B$15=1,Panel2!B7,""),"")</f>
        <v>BF30M</v>
      </c>
      <c r="D112" s="402">
        <f>IFERROR(          IF(BASIC_TOOL!$B$15=1,Panel2!C7,""),"")</f>
        <v>49</v>
      </c>
      <c r="E112" s="635"/>
      <c r="F112" s="546"/>
      <c r="G112" s="546"/>
      <c r="H112" s="547"/>
      <c r="I112" s="547"/>
      <c r="J112" s="546"/>
      <c r="K112" s="546"/>
      <c r="L112" s="937"/>
      <c r="M112" s="547"/>
      <c r="N112" s="801"/>
      <c r="O112" s="801"/>
      <c r="P112" s="984"/>
      <c r="Q112" s="989"/>
      <c r="R112" s="1040">
        <v>102</v>
      </c>
      <c r="S112" s="1052" t="s">
        <v>2239</v>
      </c>
      <c r="T112" s="1042" t="s">
        <v>2240</v>
      </c>
      <c r="U112" s="1053" t="s">
        <v>2243</v>
      </c>
      <c r="V112" s="1054" t="s">
        <v>2242</v>
      </c>
      <c r="W112" s="1054" t="s">
        <v>2093</v>
      </c>
      <c r="X112" s="1054" t="s">
        <v>2094</v>
      </c>
      <c r="Y112" s="1055" t="s">
        <v>2081</v>
      </c>
      <c r="Z112" s="1054" t="s">
        <v>2093</v>
      </c>
      <c r="AA112" s="1054" t="s">
        <v>2094</v>
      </c>
      <c r="AB112" s="1054" t="s">
        <v>2093</v>
      </c>
      <c r="AC112" s="1054" t="s">
        <v>2094</v>
      </c>
      <c r="AD112" s="1054" t="s">
        <v>2094</v>
      </c>
      <c r="AE112" s="1056"/>
      <c r="AF112" s="1057" t="s">
        <v>2103</v>
      </c>
      <c r="AG112" s="1048"/>
      <c r="AH112" s="801"/>
      <c r="AI112" s="803"/>
      <c r="AJ112" s="419"/>
    </row>
    <row r="113" spans="2:36" ht="94.5">
      <c r="B113" s="402" t="str">
        <f>IFERROR(          IF(BASIC_TOOL!$B$15=1,Panel2!A8,""),"")</f>
        <v>Drain</v>
      </c>
      <c r="C113" s="402" t="str">
        <f>IFERROR(          IF(BASIC_TOOL!$B$15=1,Panel2!B8,""),"")</f>
        <v>DN30M</v>
      </c>
      <c r="D113" s="402">
        <f>IFERROR(          IF(BASIC_TOOL!$B$15=1,Panel2!C8,""),"")</f>
        <v>1</v>
      </c>
      <c r="E113" s="635"/>
      <c r="F113" s="546"/>
      <c r="G113" s="546"/>
      <c r="H113" s="547"/>
      <c r="I113" s="547"/>
      <c r="J113" s="546"/>
      <c r="K113" s="546"/>
      <c r="L113" s="937"/>
      <c r="M113" s="547"/>
      <c r="N113" s="801"/>
      <c r="O113" s="801"/>
      <c r="P113" s="984"/>
      <c r="Q113" s="989"/>
      <c r="R113" s="1040">
        <v>103</v>
      </c>
      <c r="S113" s="1052" t="s">
        <v>2239</v>
      </c>
      <c r="T113" s="1042" t="s">
        <v>2240</v>
      </c>
      <c r="U113" s="1053" t="s">
        <v>2244</v>
      </c>
      <c r="V113" s="1054" t="s">
        <v>2242</v>
      </c>
      <c r="W113" s="1054" t="s">
        <v>2093</v>
      </c>
      <c r="X113" s="1054" t="s">
        <v>2094</v>
      </c>
      <c r="Y113" s="1055" t="s">
        <v>2081</v>
      </c>
      <c r="Z113" s="1054" t="s">
        <v>2093</v>
      </c>
      <c r="AA113" s="1054" t="s">
        <v>2094</v>
      </c>
      <c r="AB113" s="1054" t="s">
        <v>2093</v>
      </c>
      <c r="AC113" s="1054" t="s">
        <v>2094</v>
      </c>
      <c r="AD113" s="1054" t="s">
        <v>2094</v>
      </c>
      <c r="AE113" s="1056"/>
      <c r="AF113" s="1057" t="s">
        <v>2103</v>
      </c>
      <c r="AG113" s="1048"/>
      <c r="AH113" s="801"/>
      <c r="AI113" s="803"/>
      <c r="AJ113" s="419"/>
    </row>
    <row r="114" spans="2:36" ht="94.5">
      <c r="B114" s="402" t="str">
        <f>IFERROR(          IF(BASIC_TOOL!$B$15=1,Panel2!A9,""),"")</f>
        <v>Side20</v>
      </c>
      <c r="C114" s="402" t="str">
        <f>IFERROR(          IF(BASIC_TOOL!$B$15=1,Panel2!B9,""),"")</f>
        <v>SL20T</v>
      </c>
      <c r="D114" s="402">
        <f>IFERROR(          IF(BASIC_TOOL!$B$15=1,Panel2!C9,""),"")</f>
        <v>30</v>
      </c>
      <c r="E114" s="635"/>
      <c r="F114" s="546"/>
      <c r="G114" s="546"/>
      <c r="H114" s="547"/>
      <c r="I114" s="547"/>
      <c r="J114" s="546"/>
      <c r="K114" s="546"/>
      <c r="L114" s="937"/>
      <c r="M114" s="547"/>
      <c r="N114" s="801"/>
      <c r="O114" s="801"/>
      <c r="P114" s="984"/>
      <c r="Q114" s="989"/>
      <c r="R114" s="1040">
        <v>104</v>
      </c>
      <c r="S114" s="1052" t="s">
        <v>2239</v>
      </c>
      <c r="T114" s="1042" t="s">
        <v>2240</v>
      </c>
      <c r="U114" s="1053" t="s">
        <v>2245</v>
      </c>
      <c r="V114" s="1054" t="s">
        <v>2242</v>
      </c>
      <c r="W114" s="1054" t="s">
        <v>2093</v>
      </c>
      <c r="X114" s="1054" t="s">
        <v>2094</v>
      </c>
      <c r="Y114" s="1055" t="s">
        <v>2081</v>
      </c>
      <c r="Z114" s="1054" t="s">
        <v>2093</v>
      </c>
      <c r="AA114" s="1054" t="s">
        <v>2094</v>
      </c>
      <c r="AB114" s="1054" t="s">
        <v>2093</v>
      </c>
      <c r="AC114" s="1054" t="s">
        <v>2094</v>
      </c>
      <c r="AD114" s="1054" t="s">
        <v>2094</v>
      </c>
      <c r="AE114" s="1056"/>
      <c r="AF114" s="1057" t="s">
        <v>2103</v>
      </c>
      <c r="AG114" s="1048"/>
      <c r="AH114" s="801"/>
      <c r="AI114" s="803"/>
      <c r="AJ114" s="419"/>
    </row>
    <row r="115" spans="2:36" ht="94.5">
      <c r="B115" s="402" t="str">
        <f>IFERROR(          IF(BASIC_TOOL!$B$15=1,Panel2!A10,""),"")</f>
        <v>Side</v>
      </c>
      <c r="C115" s="402" t="str">
        <f>IFERROR(          IF(BASIC_TOOL!$B$15=1,Panel2!B10,""),"")</f>
        <v>SF30L</v>
      </c>
      <c r="D115" s="402">
        <f>IFERROR(          IF(BASIC_TOOL!$B$15=1,Panel2!C10,""),"")</f>
        <v>30</v>
      </c>
      <c r="E115" s="635"/>
      <c r="F115" s="546"/>
      <c r="G115" s="546"/>
      <c r="H115" s="547"/>
      <c r="I115" s="547"/>
      <c r="J115" s="546"/>
      <c r="K115" s="546"/>
      <c r="L115" s="937"/>
      <c r="M115" s="547"/>
      <c r="N115" s="801"/>
      <c r="O115" s="801"/>
      <c r="P115" s="984"/>
      <c r="Q115" s="989"/>
      <c r="R115" s="1040">
        <v>105</v>
      </c>
      <c r="S115" s="1052" t="s">
        <v>2239</v>
      </c>
      <c r="T115" s="1042" t="s">
        <v>2240</v>
      </c>
      <c r="U115" s="1053" t="s">
        <v>2246</v>
      </c>
      <c r="V115" s="1054" t="s">
        <v>2242</v>
      </c>
      <c r="W115" s="1054" t="s">
        <v>2093</v>
      </c>
      <c r="X115" s="1054" t="s">
        <v>2094</v>
      </c>
      <c r="Y115" s="1055" t="s">
        <v>2081</v>
      </c>
      <c r="Z115" s="1054" t="s">
        <v>2093</v>
      </c>
      <c r="AA115" s="1054" t="s">
        <v>2094</v>
      </c>
      <c r="AB115" s="1054" t="s">
        <v>2093</v>
      </c>
      <c r="AC115" s="1054" t="s">
        <v>2094</v>
      </c>
      <c r="AD115" s="1054" t="s">
        <v>2094</v>
      </c>
      <c r="AE115" s="1056"/>
      <c r="AF115" s="1057" t="s">
        <v>2103</v>
      </c>
      <c r="AG115" s="1048"/>
      <c r="AH115" s="801"/>
      <c r="AI115" s="803"/>
      <c r="AJ115" s="419"/>
    </row>
    <row r="116" spans="2:36" ht="94.5">
      <c r="B116" s="402" t="str">
        <f>IFERROR(          IF(BASIC_TOOL!$B$15=1,Panel2!A11,""),"")</f>
        <v/>
      </c>
      <c r="C116" s="402" t="str">
        <f>IFERROR(          IF(BASIC_TOOL!$B$15=1,Panel2!B11,""),"")</f>
        <v/>
      </c>
      <c r="D116" s="402" t="str">
        <f>IFERROR(          IF(BASIC_TOOL!$B$15=1,Panel2!C11,""),"")</f>
        <v/>
      </c>
      <c r="E116" s="635"/>
      <c r="F116" s="546"/>
      <c r="G116" s="546"/>
      <c r="H116" s="547"/>
      <c r="I116" s="547"/>
      <c r="J116" s="546"/>
      <c r="K116" s="546"/>
      <c r="L116" s="937"/>
      <c r="M116" s="547"/>
      <c r="N116" s="801"/>
      <c r="O116" s="801"/>
      <c r="P116" s="984"/>
      <c r="Q116" s="989"/>
      <c r="R116" s="1040">
        <v>106</v>
      </c>
      <c r="S116" s="1052" t="s">
        <v>2239</v>
      </c>
      <c r="T116" s="1042" t="s">
        <v>2240</v>
      </c>
      <c r="U116" s="1053" t="s">
        <v>2247</v>
      </c>
      <c r="V116" s="1054" t="s">
        <v>2242</v>
      </c>
      <c r="W116" s="1054" t="s">
        <v>2093</v>
      </c>
      <c r="X116" s="1054" t="s">
        <v>2094</v>
      </c>
      <c r="Y116" s="1055" t="s">
        <v>2081</v>
      </c>
      <c r="Z116" s="1054" t="s">
        <v>2093</v>
      </c>
      <c r="AA116" s="1054" t="s">
        <v>2094</v>
      </c>
      <c r="AB116" s="1054" t="s">
        <v>2093</v>
      </c>
      <c r="AC116" s="1054" t="s">
        <v>2094</v>
      </c>
      <c r="AD116" s="1054" t="s">
        <v>2094</v>
      </c>
      <c r="AE116" s="1056"/>
      <c r="AF116" s="1057" t="s">
        <v>2103</v>
      </c>
      <c r="AG116" s="1048"/>
      <c r="AH116" s="801"/>
      <c r="AI116" s="803"/>
      <c r="AJ116" s="419"/>
    </row>
    <row r="117" spans="2:36" ht="94.5">
      <c r="B117" s="402" t="str">
        <f>IFERROR(          IF(BASIC_TOOL!$B$15=1,Panel2!A12,""),"")</f>
        <v/>
      </c>
      <c r="C117" s="402" t="str">
        <f>IFERROR(          IF(BASIC_TOOL!$B$15=1,Panel2!B12,""),"")</f>
        <v/>
      </c>
      <c r="D117" s="402" t="str">
        <f>IFERROR(          IF(BASIC_TOOL!$B$15=1,Panel2!C12,""),"")</f>
        <v/>
      </c>
      <c r="E117" s="635"/>
      <c r="F117" s="546"/>
      <c r="G117" s="546"/>
      <c r="H117" s="547"/>
      <c r="I117" s="548"/>
      <c r="J117" s="546"/>
      <c r="K117" s="546"/>
      <c r="L117" s="937"/>
      <c r="M117" s="547"/>
      <c r="N117" s="801"/>
      <c r="O117" s="801"/>
      <c r="P117" s="984"/>
      <c r="Q117" s="989"/>
      <c r="R117" s="1040">
        <v>107</v>
      </c>
      <c r="S117" s="1052" t="s">
        <v>2239</v>
      </c>
      <c r="T117" s="1042" t="s">
        <v>2240</v>
      </c>
      <c r="U117" s="1053" t="s">
        <v>2248</v>
      </c>
      <c r="V117" s="1054" t="s">
        <v>2242</v>
      </c>
      <c r="W117" s="1054" t="s">
        <v>2093</v>
      </c>
      <c r="X117" s="1054" t="s">
        <v>2094</v>
      </c>
      <c r="Y117" s="1055" t="s">
        <v>2081</v>
      </c>
      <c r="Z117" s="1054" t="s">
        <v>2093</v>
      </c>
      <c r="AA117" s="1054" t="s">
        <v>2094</v>
      </c>
      <c r="AB117" s="1054" t="s">
        <v>2093</v>
      </c>
      <c r="AC117" s="1054" t="s">
        <v>2094</v>
      </c>
      <c r="AD117" s="1054" t="s">
        <v>2094</v>
      </c>
      <c r="AE117" s="1056"/>
      <c r="AF117" s="1057" t="s">
        <v>2103</v>
      </c>
      <c r="AG117" s="1048"/>
      <c r="AH117" s="801"/>
      <c r="AI117" s="803"/>
      <c r="AJ117" s="419"/>
    </row>
    <row r="118" spans="2:36" ht="94.5">
      <c r="B118" s="402" t="str">
        <f>IFERROR(          IF(BASIC_TOOL!$B$15=1,Panel2!A13,""),"")</f>
        <v/>
      </c>
      <c r="C118" s="402" t="str">
        <f>IFERROR(          IF(BASIC_TOOL!$B$15=1,Panel2!B13,""),"")</f>
        <v/>
      </c>
      <c r="D118" s="402" t="str">
        <f>IFERROR(          IF(BASIC_TOOL!$B$15=1,Panel2!C13,""),"")</f>
        <v/>
      </c>
      <c r="E118" s="635"/>
      <c r="F118" s="546"/>
      <c r="G118" s="546"/>
      <c r="H118" s="547"/>
      <c r="I118" s="548"/>
      <c r="J118" s="546"/>
      <c r="K118" s="546"/>
      <c r="L118" s="937"/>
      <c r="M118" s="547"/>
      <c r="N118" s="801"/>
      <c r="O118" s="801"/>
      <c r="P118" s="984"/>
      <c r="Q118" s="989"/>
      <c r="R118" s="1040">
        <v>108</v>
      </c>
      <c r="S118" s="1052" t="s">
        <v>2239</v>
      </c>
      <c r="T118" s="1042" t="s">
        <v>2240</v>
      </c>
      <c r="U118" s="1053" t="s">
        <v>2249</v>
      </c>
      <c r="V118" s="1054" t="s">
        <v>2242</v>
      </c>
      <c r="W118" s="1054" t="s">
        <v>2093</v>
      </c>
      <c r="X118" s="1054" t="s">
        <v>2094</v>
      </c>
      <c r="Y118" s="1055" t="s">
        <v>2081</v>
      </c>
      <c r="Z118" s="1054" t="s">
        <v>2093</v>
      </c>
      <c r="AA118" s="1054" t="s">
        <v>2094</v>
      </c>
      <c r="AB118" s="1054" t="s">
        <v>2093</v>
      </c>
      <c r="AC118" s="1054" t="s">
        <v>2094</v>
      </c>
      <c r="AD118" s="1054" t="s">
        <v>2094</v>
      </c>
      <c r="AE118" s="1056"/>
      <c r="AF118" s="1057" t="s">
        <v>2103</v>
      </c>
      <c r="AG118" s="1048"/>
      <c r="AH118" s="801"/>
      <c r="AI118" s="803"/>
      <c r="AJ118" s="419"/>
    </row>
    <row r="119" spans="2:36" ht="94.5">
      <c r="B119" s="402" t="str">
        <f>IFERROR(          IF(BASIC_TOOL!$B$15=1,Panel2!A14,""),"")</f>
        <v/>
      </c>
      <c r="C119" s="402" t="str">
        <f>IFERROR(          IF(BASIC_TOOL!$B$15=1,Panel2!B14,""),"")</f>
        <v/>
      </c>
      <c r="D119" s="402" t="str">
        <f>IFERROR(          IF(BASIC_TOOL!$B$15=1,Panel2!C14,""),"")</f>
        <v/>
      </c>
      <c r="E119" s="635"/>
      <c r="F119" s="546"/>
      <c r="G119" s="546"/>
      <c r="H119" s="547"/>
      <c r="I119" s="548"/>
      <c r="J119" s="546"/>
      <c r="K119" s="546"/>
      <c r="L119" s="937"/>
      <c r="M119" s="547"/>
      <c r="N119" s="801"/>
      <c r="O119" s="801"/>
      <c r="P119" s="984"/>
      <c r="Q119" s="989"/>
      <c r="R119" s="1040">
        <v>109</v>
      </c>
      <c r="S119" s="1052" t="s">
        <v>2288</v>
      </c>
      <c r="T119" s="1042" t="s">
        <v>2240</v>
      </c>
      <c r="U119" s="1053" t="s">
        <v>2250</v>
      </c>
      <c r="V119" s="1054" t="s">
        <v>2242</v>
      </c>
      <c r="W119" s="1054" t="s">
        <v>2093</v>
      </c>
      <c r="X119" s="1054" t="s">
        <v>2094</v>
      </c>
      <c r="Y119" s="1055" t="s">
        <v>2081</v>
      </c>
      <c r="Z119" s="1054" t="s">
        <v>2093</v>
      </c>
      <c r="AA119" s="1054" t="s">
        <v>2094</v>
      </c>
      <c r="AB119" s="1054" t="s">
        <v>2093</v>
      </c>
      <c r="AC119" s="1054" t="s">
        <v>2094</v>
      </c>
      <c r="AD119" s="1054" t="s">
        <v>2094</v>
      </c>
      <c r="AE119" s="1056"/>
      <c r="AF119" s="1057" t="s">
        <v>2103</v>
      </c>
      <c r="AG119" s="1048"/>
      <c r="AH119" s="801"/>
      <c r="AI119" s="803"/>
      <c r="AJ119" s="419"/>
    </row>
    <row r="120" spans="2:36" ht="92.25">
      <c r="B120" s="402" t="str">
        <f>IFERROR(          IF(BASIC_TOOL!$B$15=1,Panel2!A15,""),"")</f>
        <v/>
      </c>
      <c r="C120" s="402" t="str">
        <f>IFERROR(          IF(BASIC_TOOL!$B$15=1,Panel2!B15,""),"")</f>
        <v/>
      </c>
      <c r="D120" s="402" t="str">
        <f>IFERROR(          IF(BASIC_TOOL!$B$15=1,Panel2!C15,""),"")</f>
        <v/>
      </c>
      <c r="E120" s="635"/>
      <c r="F120" s="546"/>
      <c r="G120" s="546"/>
      <c r="H120" s="547"/>
      <c r="I120" s="548"/>
      <c r="J120" s="546"/>
      <c r="K120" s="546"/>
      <c r="L120" s="937"/>
      <c r="N120" s="801"/>
      <c r="O120" s="801"/>
      <c r="P120" s="984"/>
      <c r="Q120" s="989"/>
      <c r="R120" s="1040">
        <v>110</v>
      </c>
      <c r="S120" s="1052" t="s">
        <v>2288</v>
      </c>
      <c r="T120" s="1042" t="s">
        <v>2251</v>
      </c>
      <c r="U120" s="1053" t="s">
        <v>2252</v>
      </c>
      <c r="V120" s="1054" t="s">
        <v>2253</v>
      </c>
      <c r="W120" s="1054" t="s">
        <v>2093</v>
      </c>
      <c r="X120" s="1054" t="s">
        <v>2094</v>
      </c>
      <c r="Y120" s="1055" t="s">
        <v>2130</v>
      </c>
      <c r="Z120" s="1054" t="s">
        <v>2093</v>
      </c>
      <c r="AA120" s="1054" t="s">
        <v>2094</v>
      </c>
      <c r="AB120" s="1054" t="s">
        <v>2094</v>
      </c>
      <c r="AC120" s="1054" t="s">
        <v>2093</v>
      </c>
      <c r="AD120" s="1054" t="s">
        <v>2093</v>
      </c>
      <c r="AE120" s="1056"/>
      <c r="AF120" s="1057" t="s">
        <v>2103</v>
      </c>
      <c r="AG120" s="1048"/>
    </row>
    <row r="121" spans="2:36" ht="94.5">
      <c r="B121" s="402" t="str">
        <f>IFERROR(          IF(BASIC_TOOL!$B$15=1,Panel2!A16,""),"")</f>
        <v/>
      </c>
      <c r="C121" s="402" t="str">
        <f>IFERROR(          IF(BASIC_TOOL!$B$15=1,Panel2!B16,""),"")</f>
        <v/>
      </c>
      <c r="D121" s="402" t="str">
        <f>IFERROR(          IF(BASIC_TOOL!$B$15=1,Panel2!C16,""),"")</f>
        <v/>
      </c>
      <c r="E121" s="420"/>
      <c r="F121" s="546"/>
      <c r="G121" s="546"/>
      <c r="H121" s="547"/>
      <c r="I121" s="549"/>
      <c r="J121" s="546"/>
      <c r="K121" s="546"/>
      <c r="L121" s="937"/>
      <c r="N121" s="801"/>
      <c r="O121" s="801"/>
      <c r="P121" s="984"/>
      <c r="Q121" s="989"/>
      <c r="R121" s="1040">
        <v>111</v>
      </c>
      <c r="S121" s="1052" t="s">
        <v>2288</v>
      </c>
      <c r="T121" s="1042" t="s">
        <v>2254</v>
      </c>
      <c r="U121" s="1053" t="s">
        <v>2255</v>
      </c>
      <c r="V121" s="1054" t="s">
        <v>2256</v>
      </c>
      <c r="W121" s="1054" t="s">
        <v>2093</v>
      </c>
      <c r="X121" s="1054" t="s">
        <v>2094</v>
      </c>
      <c r="Y121" s="1055" t="s">
        <v>2130</v>
      </c>
      <c r="Z121" s="1054" t="s">
        <v>2093</v>
      </c>
      <c r="AA121" s="1054" t="s">
        <v>2094</v>
      </c>
      <c r="AB121" s="1054" t="s">
        <v>2093</v>
      </c>
      <c r="AC121" s="1054" t="s">
        <v>2094</v>
      </c>
      <c r="AD121" s="1054" t="s">
        <v>2094</v>
      </c>
      <c r="AE121" s="1056"/>
      <c r="AF121" s="1057" t="s">
        <v>2103</v>
      </c>
      <c r="AG121" s="1048"/>
    </row>
    <row r="122" spans="2:36" ht="94.5">
      <c r="B122" s="402" t="str">
        <f>IFERROR(          IF(BASIC_TOOL!$B$15=1,Panel2!A17,""),"")</f>
        <v/>
      </c>
      <c r="C122" s="402" t="str">
        <f>IFERROR(          IF(BASIC_TOOL!$B$15=1,Panel2!B17,""),"")</f>
        <v/>
      </c>
      <c r="D122" s="402" t="str">
        <f>IFERROR(          IF(BASIC_TOOL!$B$15=1,Panel2!C17,""),"")</f>
        <v/>
      </c>
      <c r="E122" s="420"/>
      <c r="F122" s="546"/>
      <c r="G122" s="546"/>
      <c r="H122" s="547"/>
      <c r="I122" s="549"/>
      <c r="J122" s="546"/>
      <c r="K122" s="546"/>
      <c r="L122" s="937"/>
      <c r="N122" s="801"/>
      <c r="O122" s="801"/>
      <c r="P122" s="984"/>
      <c r="Q122" s="989"/>
      <c r="R122" s="1040">
        <v>112</v>
      </c>
      <c r="S122" s="1052" t="s">
        <v>2288</v>
      </c>
      <c r="T122" s="1042" t="s">
        <v>2254</v>
      </c>
      <c r="U122" s="1053" t="s">
        <v>2257</v>
      </c>
      <c r="V122" s="1054" t="s">
        <v>2256</v>
      </c>
      <c r="W122" s="1054" t="s">
        <v>2093</v>
      </c>
      <c r="X122" s="1054" t="s">
        <v>2094</v>
      </c>
      <c r="Y122" s="1055" t="s">
        <v>2130</v>
      </c>
      <c r="Z122" s="1054" t="s">
        <v>2093</v>
      </c>
      <c r="AA122" s="1054" t="s">
        <v>2094</v>
      </c>
      <c r="AB122" s="1054" t="s">
        <v>2093</v>
      </c>
      <c r="AC122" s="1054" t="s">
        <v>2094</v>
      </c>
      <c r="AD122" s="1054" t="s">
        <v>2094</v>
      </c>
      <c r="AE122" s="1056"/>
      <c r="AF122" s="1057" t="s">
        <v>2103</v>
      </c>
      <c r="AG122" s="1048"/>
    </row>
    <row r="123" spans="2:36" ht="94.5">
      <c r="B123" s="402" t="str">
        <f>IFERROR(          IF(BASIC_TOOL!$B$15=1,Panel2!A18,""),"")</f>
        <v/>
      </c>
      <c r="C123" s="402" t="str">
        <f>IFERROR(          IF(BASIC_TOOL!$B$15=1,Panel2!B18,""),"")</f>
        <v/>
      </c>
      <c r="D123" s="402" t="str">
        <f>IFERROR(          IF(BASIC_TOOL!$B$15=1,Panel2!C18,""),"")</f>
        <v/>
      </c>
      <c r="E123" s="420"/>
      <c r="J123" s="546"/>
      <c r="K123" s="546"/>
      <c r="L123" s="937"/>
      <c r="N123" s="801"/>
      <c r="O123" s="801"/>
      <c r="P123" s="984"/>
      <c r="Q123" s="989"/>
      <c r="R123" s="1040">
        <v>113</v>
      </c>
      <c r="S123" s="1052" t="s">
        <v>2288</v>
      </c>
      <c r="T123" s="1042" t="s">
        <v>2254</v>
      </c>
      <c r="U123" s="1053" t="s">
        <v>2258</v>
      </c>
      <c r="V123" s="1054" t="s">
        <v>2256</v>
      </c>
      <c r="W123" s="1054" t="s">
        <v>2093</v>
      </c>
      <c r="X123" s="1054" t="s">
        <v>2094</v>
      </c>
      <c r="Y123" s="1055" t="s">
        <v>2130</v>
      </c>
      <c r="Z123" s="1054" t="s">
        <v>2093</v>
      </c>
      <c r="AA123" s="1054" t="s">
        <v>2094</v>
      </c>
      <c r="AB123" s="1054" t="s">
        <v>2093</v>
      </c>
      <c r="AC123" s="1054" t="s">
        <v>2094</v>
      </c>
      <c r="AD123" s="1054" t="s">
        <v>2094</v>
      </c>
      <c r="AE123" s="1056"/>
      <c r="AF123" s="1057" t="s">
        <v>2103</v>
      </c>
      <c r="AG123" s="1048"/>
    </row>
    <row r="124" spans="2:36" ht="94.5">
      <c r="B124" s="402" t="str">
        <f>IFERROR(          IF(BASIC_TOOL!$B$15=1,Panel2!A19,""),"")</f>
        <v/>
      </c>
      <c r="C124" s="402" t="str">
        <f>IFERROR(          IF(BASIC_TOOL!$B$15=1,Panel2!B19,""),"")</f>
        <v/>
      </c>
      <c r="D124" s="402" t="str">
        <f>IFERROR(          IF(BASIC_TOOL!$B$15=1,Panel2!C19,""),"")</f>
        <v/>
      </c>
      <c r="E124" s="420"/>
      <c r="J124" s="546"/>
      <c r="K124" s="546"/>
      <c r="L124" s="937"/>
      <c r="N124" s="801"/>
      <c r="O124" s="801"/>
      <c r="P124" s="984"/>
      <c r="Q124" s="989"/>
      <c r="R124" s="1040">
        <v>114</v>
      </c>
      <c r="S124" s="1052" t="s">
        <v>2288</v>
      </c>
      <c r="T124" s="1042" t="s">
        <v>2254</v>
      </c>
      <c r="U124" s="1053" t="s">
        <v>2259</v>
      </c>
      <c r="V124" s="1054" t="s">
        <v>2256</v>
      </c>
      <c r="W124" s="1054" t="s">
        <v>2093</v>
      </c>
      <c r="X124" s="1054" t="s">
        <v>2094</v>
      </c>
      <c r="Y124" s="1055" t="s">
        <v>2130</v>
      </c>
      <c r="Z124" s="1054" t="s">
        <v>2093</v>
      </c>
      <c r="AA124" s="1054" t="s">
        <v>2094</v>
      </c>
      <c r="AB124" s="1054" t="s">
        <v>2093</v>
      </c>
      <c r="AC124" s="1054" t="s">
        <v>2094</v>
      </c>
      <c r="AD124" s="1054" t="s">
        <v>2094</v>
      </c>
      <c r="AE124" s="1056"/>
      <c r="AF124" s="1057" t="s">
        <v>2103</v>
      </c>
      <c r="AG124" s="1048"/>
    </row>
    <row r="125" spans="2:36" ht="94.5">
      <c r="B125" s="402" t="str">
        <f>IFERROR(          IF(BASIC_TOOL!$B$15=1,Panel2!A20,""),"")</f>
        <v/>
      </c>
      <c r="C125" s="402" t="str">
        <f>IFERROR(          IF(BASIC_TOOL!$B$15=1,Panel2!B20,""),"")</f>
        <v/>
      </c>
      <c r="D125" s="402" t="str">
        <f>IFERROR(          IF(BASIC_TOOL!$B$15=1,Panel2!C20,""),"")</f>
        <v/>
      </c>
      <c r="E125" s="420"/>
      <c r="J125" s="546"/>
      <c r="K125" s="546"/>
      <c r="L125" s="937"/>
      <c r="N125" s="801"/>
      <c r="O125" s="801"/>
      <c r="P125" s="984"/>
      <c r="Q125" s="989"/>
      <c r="R125" s="1040">
        <v>115</v>
      </c>
      <c r="S125" s="1052" t="s">
        <v>2288</v>
      </c>
      <c r="T125" s="1042" t="s">
        <v>2254</v>
      </c>
      <c r="U125" s="1053" t="s">
        <v>2260</v>
      </c>
      <c r="V125" s="1054" t="s">
        <v>2256</v>
      </c>
      <c r="W125" s="1054" t="s">
        <v>2093</v>
      </c>
      <c r="X125" s="1054" t="s">
        <v>2094</v>
      </c>
      <c r="Y125" s="1055" t="s">
        <v>2130</v>
      </c>
      <c r="Z125" s="1054" t="s">
        <v>2093</v>
      </c>
      <c r="AA125" s="1054" t="s">
        <v>2094</v>
      </c>
      <c r="AB125" s="1054" t="s">
        <v>2093</v>
      </c>
      <c r="AC125" s="1054" t="s">
        <v>2094</v>
      </c>
      <c r="AD125" s="1054" t="s">
        <v>2094</v>
      </c>
      <c r="AE125" s="1056"/>
      <c r="AF125" s="1057" t="s">
        <v>2103</v>
      </c>
      <c r="AG125" s="1048"/>
    </row>
    <row r="126" spans="2:36" ht="94.5">
      <c r="B126" s="402" t="str">
        <f>IFERROR(          IF(BASIC_TOOL!$B$15=1,Panel2!A21,""),"")</f>
        <v/>
      </c>
      <c r="C126" s="402" t="str">
        <f>IFERROR(          IF(BASIC_TOOL!$B$15=1,Panel2!B21,""),"")</f>
        <v/>
      </c>
      <c r="D126" s="402" t="str">
        <f>IFERROR(          IF(BASIC_TOOL!$B$15=1,Panel2!C21,""),"")</f>
        <v/>
      </c>
      <c r="E126" s="420"/>
      <c r="J126" s="546"/>
      <c r="K126" s="546"/>
      <c r="L126" s="937"/>
      <c r="N126" s="801"/>
      <c r="O126" s="801"/>
      <c r="P126" s="984"/>
      <c r="Q126" s="989"/>
      <c r="R126" s="1040">
        <v>116</v>
      </c>
      <c r="S126" s="1052" t="s">
        <v>2288</v>
      </c>
      <c r="T126" s="1042" t="s">
        <v>2254</v>
      </c>
      <c r="U126" s="1053" t="s">
        <v>2261</v>
      </c>
      <c r="V126" s="1054" t="s">
        <v>2256</v>
      </c>
      <c r="W126" s="1054" t="s">
        <v>2093</v>
      </c>
      <c r="X126" s="1054" t="s">
        <v>2094</v>
      </c>
      <c r="Y126" s="1055" t="s">
        <v>2130</v>
      </c>
      <c r="Z126" s="1054" t="s">
        <v>2093</v>
      </c>
      <c r="AA126" s="1054" t="s">
        <v>2094</v>
      </c>
      <c r="AB126" s="1054" t="s">
        <v>2093</v>
      </c>
      <c r="AC126" s="1054" t="s">
        <v>2094</v>
      </c>
      <c r="AD126" s="1054" t="s">
        <v>2094</v>
      </c>
      <c r="AE126" s="1056"/>
      <c r="AF126" s="1057" t="s">
        <v>2103</v>
      </c>
      <c r="AG126" s="1048"/>
    </row>
    <row r="127" spans="2:36" ht="94.5">
      <c r="B127" s="402" t="str">
        <f>IFERROR(          IF(BASIC_TOOL!$B$15=1,Panel2!A22,""),"")</f>
        <v/>
      </c>
      <c r="C127" s="402" t="str">
        <f>IFERROR(          IF(BASIC_TOOL!$B$15=1,Panel2!B22,""),"")</f>
        <v/>
      </c>
      <c r="D127" s="402" t="str">
        <f>IFERROR(          IF(BASIC_TOOL!$B$15=1,Panel2!C22,""),"")</f>
        <v/>
      </c>
      <c r="E127" s="420"/>
      <c r="J127" s="546"/>
      <c r="K127" s="546"/>
      <c r="L127" s="937"/>
      <c r="N127" s="801"/>
      <c r="O127" s="801"/>
      <c r="P127" s="984"/>
      <c r="Q127" s="989"/>
      <c r="R127" s="1040">
        <v>117</v>
      </c>
      <c r="S127" s="1052" t="s">
        <v>2288</v>
      </c>
      <c r="T127" s="1042" t="s">
        <v>2254</v>
      </c>
      <c r="U127" s="1053" t="s">
        <v>2262</v>
      </c>
      <c r="V127" s="1054" t="s">
        <v>2256</v>
      </c>
      <c r="W127" s="1054" t="s">
        <v>2093</v>
      </c>
      <c r="X127" s="1054" t="s">
        <v>2094</v>
      </c>
      <c r="Y127" s="1055" t="s">
        <v>2130</v>
      </c>
      <c r="Z127" s="1054" t="s">
        <v>2093</v>
      </c>
      <c r="AA127" s="1054" t="s">
        <v>2094</v>
      </c>
      <c r="AB127" s="1054" t="s">
        <v>2093</v>
      </c>
      <c r="AC127" s="1054" t="s">
        <v>2094</v>
      </c>
      <c r="AD127" s="1054" t="s">
        <v>2094</v>
      </c>
      <c r="AE127" s="1056"/>
      <c r="AF127" s="1057" t="s">
        <v>2103</v>
      </c>
      <c r="AG127" s="1048"/>
    </row>
    <row r="128" spans="2:36" ht="94.5">
      <c r="B128" s="402" t="str">
        <f>IFERROR(          IF(BASIC_TOOL!$B$15=1,Panel2!A23,""),"")</f>
        <v/>
      </c>
      <c r="C128" s="402" t="str">
        <f>IFERROR(          IF(BASIC_TOOL!$B$15=1,Panel2!B23,""),"")</f>
        <v/>
      </c>
      <c r="D128" s="402" t="str">
        <f>IFERROR(          IF(BASIC_TOOL!$B$15=1,Panel2!C23,""),"")</f>
        <v/>
      </c>
      <c r="E128" s="420"/>
      <c r="J128" s="546"/>
      <c r="K128" s="546"/>
      <c r="L128" s="937"/>
      <c r="N128" s="801"/>
      <c r="O128" s="801"/>
      <c r="P128" s="984"/>
      <c r="Q128" s="989"/>
      <c r="R128" s="1040">
        <v>118</v>
      </c>
      <c r="S128" s="1052" t="s">
        <v>2288</v>
      </c>
      <c r="T128" s="1042" t="s">
        <v>2254</v>
      </c>
      <c r="U128" s="1053" t="s">
        <v>2263</v>
      </c>
      <c r="V128" s="1054" t="s">
        <v>2256</v>
      </c>
      <c r="W128" s="1054" t="s">
        <v>2093</v>
      </c>
      <c r="X128" s="1054" t="s">
        <v>2094</v>
      </c>
      <c r="Y128" s="1055" t="s">
        <v>2130</v>
      </c>
      <c r="Z128" s="1054" t="s">
        <v>2093</v>
      </c>
      <c r="AA128" s="1054" t="s">
        <v>2094</v>
      </c>
      <c r="AB128" s="1054" t="s">
        <v>2093</v>
      </c>
      <c r="AC128" s="1054" t="s">
        <v>2094</v>
      </c>
      <c r="AD128" s="1054" t="s">
        <v>2094</v>
      </c>
      <c r="AE128" s="1056"/>
      <c r="AF128" s="1057" t="s">
        <v>2103</v>
      </c>
      <c r="AG128" s="1048"/>
    </row>
    <row r="129" spans="2:33" ht="94.5">
      <c r="B129" s="402" t="str">
        <f>IFERROR(          IF(BASIC_TOOL!$B$15=1,Panel2!A24,""),"")</f>
        <v/>
      </c>
      <c r="C129" s="402" t="str">
        <f>IFERROR(          IF(BASIC_TOOL!$B$15=1,Panel2!B24,""),"")</f>
        <v/>
      </c>
      <c r="D129" s="402" t="str">
        <f>IFERROR(          IF(BASIC_TOOL!$B$15=1,Panel2!C24,""),"")</f>
        <v/>
      </c>
      <c r="E129" s="420"/>
      <c r="J129" s="546"/>
      <c r="K129" s="546"/>
      <c r="L129" s="937"/>
      <c r="N129" s="801"/>
      <c r="O129" s="801"/>
      <c r="P129" s="984"/>
      <c r="Q129" s="989"/>
      <c r="R129" s="1040">
        <v>119</v>
      </c>
      <c r="S129" s="1052" t="s">
        <v>2288</v>
      </c>
      <c r="T129" s="1042" t="s">
        <v>2264</v>
      </c>
      <c r="U129" s="1053" t="s">
        <v>2265</v>
      </c>
      <c r="V129" s="1054" t="s">
        <v>2253</v>
      </c>
      <c r="W129" s="1054" t="s">
        <v>2093</v>
      </c>
      <c r="X129" s="1054" t="s">
        <v>2094</v>
      </c>
      <c r="Y129" s="1055" t="s">
        <v>2081</v>
      </c>
      <c r="Z129" s="1054" t="s">
        <v>2093</v>
      </c>
      <c r="AA129" s="1054" t="s">
        <v>2094</v>
      </c>
      <c r="AB129" s="1054" t="s">
        <v>2094</v>
      </c>
      <c r="AC129" s="1054" t="s">
        <v>2094</v>
      </c>
      <c r="AD129" s="1054" t="s">
        <v>2093</v>
      </c>
      <c r="AE129" s="1056"/>
      <c r="AF129" s="1057" t="s">
        <v>2103</v>
      </c>
      <c r="AG129" s="1048"/>
    </row>
    <row r="130" spans="2:33" ht="85.5">
      <c r="B130" s="402" t="str">
        <f>IFERROR(          IF(BASIC_TOOL!$B$15=1,Panel2!A25,""),"")</f>
        <v/>
      </c>
      <c r="C130" s="402" t="str">
        <f>IFERROR(          IF(BASIC_TOOL!$B$15=1,Panel2!B25,""),"")</f>
        <v/>
      </c>
      <c r="D130" s="402" t="str">
        <f>IFERROR(          IF(BASIC_TOOL!$B$15=1,Panel2!C25,""),"")</f>
        <v/>
      </c>
      <c r="E130" s="420"/>
      <c r="J130" s="546"/>
      <c r="K130" s="546"/>
      <c r="L130" s="937"/>
      <c r="N130" s="801"/>
      <c r="O130" s="801"/>
      <c r="P130" s="984"/>
      <c r="Q130" s="989"/>
      <c r="R130" s="1040">
        <v>120</v>
      </c>
      <c r="S130" s="1041" t="s">
        <v>2158</v>
      </c>
      <c r="T130" s="1059" t="s">
        <v>2159</v>
      </c>
      <c r="U130" s="1043" t="s">
        <v>2203</v>
      </c>
      <c r="V130" s="1044" t="s">
        <v>2160</v>
      </c>
      <c r="W130" s="1044" t="s">
        <v>2093</v>
      </c>
      <c r="X130" s="1044" t="s">
        <v>2094</v>
      </c>
      <c r="Y130" s="1055" t="s">
        <v>2081</v>
      </c>
      <c r="Z130" s="1044" t="s">
        <v>2093</v>
      </c>
      <c r="AA130" s="1044" t="s">
        <v>2094</v>
      </c>
      <c r="AB130" s="1044" t="s">
        <v>2093</v>
      </c>
      <c r="AC130" s="1044" t="s">
        <v>2094</v>
      </c>
      <c r="AD130" s="1044" t="s">
        <v>2094</v>
      </c>
      <c r="AE130" s="1046" t="s">
        <v>2161</v>
      </c>
      <c r="AF130" s="1047" t="s">
        <v>2162</v>
      </c>
      <c r="AG130" s="1048"/>
    </row>
    <row r="131" spans="2:33" ht="85.5">
      <c r="B131" s="402" t="str">
        <f>IFERROR(          IF(BASIC_TOOL!$B$15=1,Panel2!A26,""),"")</f>
        <v/>
      </c>
      <c r="C131" s="402" t="str">
        <f>IFERROR(          IF(BASIC_TOOL!$B$15=1,Panel2!B26,""),"")</f>
        <v/>
      </c>
      <c r="D131" s="402" t="str">
        <f>IFERROR(          IF(BASIC_TOOL!$B$15=1,Panel2!C26,""),"")</f>
        <v/>
      </c>
      <c r="E131" s="420"/>
      <c r="J131" s="546"/>
      <c r="K131" s="546"/>
      <c r="L131" s="937"/>
      <c r="N131" s="801"/>
      <c r="O131" s="801"/>
      <c r="P131" s="984"/>
      <c r="Q131" s="989"/>
      <c r="R131" s="1040">
        <v>121</v>
      </c>
      <c r="S131" s="1041" t="s">
        <v>2158</v>
      </c>
      <c r="T131" s="1059" t="s">
        <v>2159</v>
      </c>
      <c r="U131" s="1043" t="s">
        <v>2204</v>
      </c>
      <c r="V131" s="1044" t="s">
        <v>2160</v>
      </c>
      <c r="W131" s="1044" t="s">
        <v>2093</v>
      </c>
      <c r="X131" s="1044" t="s">
        <v>2094</v>
      </c>
      <c r="Y131" s="1055" t="s">
        <v>2081</v>
      </c>
      <c r="Z131" s="1044" t="s">
        <v>2093</v>
      </c>
      <c r="AA131" s="1044" t="s">
        <v>2094</v>
      </c>
      <c r="AB131" s="1044" t="s">
        <v>2093</v>
      </c>
      <c r="AC131" s="1044" t="s">
        <v>2094</v>
      </c>
      <c r="AD131" s="1044" t="s">
        <v>2094</v>
      </c>
      <c r="AE131" s="1046" t="s">
        <v>2161</v>
      </c>
      <c r="AF131" s="1047" t="s">
        <v>2162</v>
      </c>
      <c r="AG131" s="1048"/>
    </row>
    <row r="132" spans="2:33" ht="85.5">
      <c r="B132" s="402" t="str">
        <f>IFERROR(          IF(BASIC_TOOL!$B$15=1,Panel2!A27,""),"")</f>
        <v/>
      </c>
      <c r="C132" s="402" t="str">
        <f>IFERROR(          IF(BASIC_TOOL!$B$15=1,Panel2!B27,""),"")</f>
        <v/>
      </c>
      <c r="D132" s="402" t="str">
        <f>IFERROR(          IF(BASIC_TOOL!$B$15=1,Panel2!C27,""),"")</f>
        <v/>
      </c>
      <c r="E132" s="420"/>
      <c r="J132" s="546"/>
      <c r="K132" s="546"/>
      <c r="L132" s="937"/>
      <c r="N132" s="801"/>
      <c r="O132" s="801"/>
      <c r="P132" s="984"/>
      <c r="Q132" s="989"/>
      <c r="R132" s="1040">
        <v>122</v>
      </c>
      <c r="S132" s="1041" t="s">
        <v>2158</v>
      </c>
      <c r="T132" s="1059" t="s">
        <v>2159</v>
      </c>
      <c r="U132" s="1043" t="s">
        <v>2205</v>
      </c>
      <c r="V132" s="1044" t="s">
        <v>2160</v>
      </c>
      <c r="W132" s="1044" t="s">
        <v>2093</v>
      </c>
      <c r="X132" s="1044" t="s">
        <v>2094</v>
      </c>
      <c r="Y132" s="1055" t="s">
        <v>2081</v>
      </c>
      <c r="Z132" s="1044" t="s">
        <v>2093</v>
      </c>
      <c r="AA132" s="1044" t="s">
        <v>2094</v>
      </c>
      <c r="AB132" s="1044" t="s">
        <v>2093</v>
      </c>
      <c r="AC132" s="1044" t="s">
        <v>2094</v>
      </c>
      <c r="AD132" s="1044" t="s">
        <v>2094</v>
      </c>
      <c r="AE132" s="1046" t="s">
        <v>2161</v>
      </c>
      <c r="AF132" s="1047" t="s">
        <v>2162</v>
      </c>
      <c r="AG132" s="1048"/>
    </row>
    <row r="133" spans="2:33" ht="85.5">
      <c r="B133" s="402" t="str">
        <f>IFERROR(          IF(BASIC_TOOL!$B$15=1,Panel2!A28,""),"")</f>
        <v/>
      </c>
      <c r="C133" s="402" t="str">
        <f>IFERROR(          IF(BASIC_TOOL!$B$15=1,Panel2!B28,""),"")</f>
        <v/>
      </c>
      <c r="D133" s="402" t="str">
        <f>IFERROR(          IF(BASIC_TOOL!$B$15=1,Panel2!C28,""),"")</f>
        <v/>
      </c>
      <c r="E133" s="420"/>
      <c r="J133" s="546"/>
      <c r="K133" s="546"/>
      <c r="L133" s="937"/>
      <c r="N133" s="801"/>
      <c r="O133" s="801"/>
      <c r="P133" s="984"/>
      <c r="Q133" s="989"/>
      <c r="R133" s="1040">
        <v>123</v>
      </c>
      <c r="S133" s="1041" t="s">
        <v>2158</v>
      </c>
      <c r="T133" s="1059" t="s">
        <v>2159</v>
      </c>
      <c r="U133" s="1043" t="s">
        <v>2206</v>
      </c>
      <c r="V133" s="1044" t="s">
        <v>2160</v>
      </c>
      <c r="W133" s="1044" t="s">
        <v>2093</v>
      </c>
      <c r="X133" s="1044" t="s">
        <v>2094</v>
      </c>
      <c r="Y133" s="1055" t="s">
        <v>2081</v>
      </c>
      <c r="Z133" s="1044" t="s">
        <v>2093</v>
      </c>
      <c r="AA133" s="1044" t="s">
        <v>2094</v>
      </c>
      <c r="AB133" s="1044" t="s">
        <v>2093</v>
      </c>
      <c r="AC133" s="1044" t="s">
        <v>2094</v>
      </c>
      <c r="AD133" s="1044" t="s">
        <v>2094</v>
      </c>
      <c r="AE133" s="1046" t="s">
        <v>2161</v>
      </c>
      <c r="AF133" s="1047" t="s">
        <v>2162</v>
      </c>
      <c r="AG133" s="1048"/>
    </row>
    <row r="134" spans="2:33" ht="85.5">
      <c r="B134" s="402" t="str">
        <f>IFERROR(          IF(BASIC_TOOL!$B$15=1,Panel2!A29,""),"")</f>
        <v/>
      </c>
      <c r="C134" s="402" t="str">
        <f>IFERROR(          IF(BASIC_TOOL!$B$15=1,Panel2!B29,""),"")</f>
        <v/>
      </c>
      <c r="D134" s="402" t="str">
        <f>IFERROR(          IF(BASIC_TOOL!$B$15=1,Panel2!C29,""),"")</f>
        <v/>
      </c>
      <c r="E134" s="420"/>
      <c r="J134" s="546"/>
      <c r="K134" s="546"/>
      <c r="L134" s="937"/>
      <c r="N134" s="801"/>
      <c r="O134" s="801"/>
      <c r="P134" s="984"/>
      <c r="Q134" s="989"/>
      <c r="R134" s="1040">
        <v>124</v>
      </c>
      <c r="S134" s="1041" t="s">
        <v>2158</v>
      </c>
      <c r="T134" s="1059" t="s">
        <v>2159</v>
      </c>
      <c r="U134" s="1043" t="s">
        <v>2207</v>
      </c>
      <c r="V134" s="1044" t="s">
        <v>2160</v>
      </c>
      <c r="W134" s="1044" t="s">
        <v>2093</v>
      </c>
      <c r="X134" s="1044" t="s">
        <v>2094</v>
      </c>
      <c r="Y134" s="1055" t="s">
        <v>2081</v>
      </c>
      <c r="Z134" s="1044" t="s">
        <v>2093</v>
      </c>
      <c r="AA134" s="1044" t="s">
        <v>2094</v>
      </c>
      <c r="AB134" s="1044" t="s">
        <v>2093</v>
      </c>
      <c r="AC134" s="1044" t="s">
        <v>2094</v>
      </c>
      <c r="AD134" s="1044" t="s">
        <v>2094</v>
      </c>
      <c r="AE134" s="1046" t="s">
        <v>2161</v>
      </c>
      <c r="AF134" s="1047" t="s">
        <v>2162</v>
      </c>
      <c r="AG134" s="1048"/>
    </row>
    <row r="135" spans="2:33" ht="85.5">
      <c r="B135" s="402" t="str">
        <f>IFERROR(          IF(BASIC_TOOL!$B$15=1,Panel2!A30,""),"")</f>
        <v/>
      </c>
      <c r="C135" s="402" t="str">
        <f>IFERROR(          IF(BASIC_TOOL!$B$15=1,Panel2!B30,""),"")</f>
        <v/>
      </c>
      <c r="D135" s="402" t="str">
        <f>IFERROR(          IF(BASIC_TOOL!$B$15=1,Panel2!C30,""),"")</f>
        <v/>
      </c>
      <c r="E135" s="420"/>
      <c r="J135" s="546"/>
      <c r="K135" s="546"/>
      <c r="L135" s="937"/>
      <c r="N135" s="801"/>
      <c r="O135" s="801"/>
      <c r="P135" s="984"/>
      <c r="Q135" s="989"/>
      <c r="R135" s="1040">
        <v>125</v>
      </c>
      <c r="S135" s="1041" t="s">
        <v>2158</v>
      </c>
      <c r="T135" s="1059" t="s">
        <v>2159</v>
      </c>
      <c r="U135" s="1043" t="s">
        <v>2208</v>
      </c>
      <c r="V135" s="1044" t="s">
        <v>2160</v>
      </c>
      <c r="W135" s="1044" t="s">
        <v>2093</v>
      </c>
      <c r="X135" s="1044" t="s">
        <v>2094</v>
      </c>
      <c r="Y135" s="1055" t="s">
        <v>2081</v>
      </c>
      <c r="Z135" s="1044" t="s">
        <v>2093</v>
      </c>
      <c r="AA135" s="1044" t="s">
        <v>2094</v>
      </c>
      <c r="AB135" s="1044" t="s">
        <v>2093</v>
      </c>
      <c r="AC135" s="1044" t="s">
        <v>2094</v>
      </c>
      <c r="AD135" s="1044" t="s">
        <v>2094</v>
      </c>
      <c r="AE135" s="1046" t="s">
        <v>2161</v>
      </c>
      <c r="AF135" s="1047" t="s">
        <v>2162</v>
      </c>
      <c r="AG135" s="1048"/>
    </row>
    <row r="136" spans="2:33" ht="85.5">
      <c r="B136" s="402" t="str">
        <f>IFERROR(          IF(BASIC_TOOL!$B$15=1,Panel2!A31,""),"")</f>
        <v/>
      </c>
      <c r="C136" s="402" t="str">
        <f>IFERROR(          IF(BASIC_TOOL!$B$15=1,Panel2!B31,""),"")</f>
        <v/>
      </c>
      <c r="D136" s="402" t="str">
        <f>IFERROR(          IF(BASIC_TOOL!$B$15=1,Panel2!C31,""),"")</f>
        <v/>
      </c>
      <c r="E136" s="420"/>
      <c r="J136" s="546"/>
      <c r="K136" s="546"/>
      <c r="L136" s="937"/>
      <c r="N136" s="801"/>
      <c r="O136" s="801"/>
      <c r="P136" s="984"/>
      <c r="Q136" s="989"/>
      <c r="R136" s="1040">
        <v>126</v>
      </c>
      <c r="S136" s="1041" t="s">
        <v>2158</v>
      </c>
      <c r="T136" s="1059" t="s">
        <v>2159</v>
      </c>
      <c r="U136" s="1043" t="s">
        <v>2209</v>
      </c>
      <c r="V136" s="1044" t="s">
        <v>2160</v>
      </c>
      <c r="W136" s="1044" t="s">
        <v>2093</v>
      </c>
      <c r="X136" s="1044" t="s">
        <v>2094</v>
      </c>
      <c r="Y136" s="1055" t="s">
        <v>2081</v>
      </c>
      <c r="Z136" s="1044" t="s">
        <v>2093</v>
      </c>
      <c r="AA136" s="1044" t="s">
        <v>2094</v>
      </c>
      <c r="AB136" s="1044" t="s">
        <v>2093</v>
      </c>
      <c r="AC136" s="1044" t="s">
        <v>2094</v>
      </c>
      <c r="AD136" s="1044" t="s">
        <v>2094</v>
      </c>
      <c r="AE136" s="1046" t="s">
        <v>2161</v>
      </c>
      <c r="AF136" s="1047" t="s">
        <v>2162</v>
      </c>
      <c r="AG136" s="1048"/>
    </row>
    <row r="137" spans="2:33" ht="85.5">
      <c r="B137" s="402" t="str">
        <f>IFERROR(          IF(BASIC_TOOL!$B$15=1,Panel2!A32,""),"")</f>
        <v/>
      </c>
      <c r="C137" s="402" t="str">
        <f>IFERROR(          IF(BASIC_TOOL!$B$15=1,Panel2!B32,""),"")</f>
        <v/>
      </c>
      <c r="D137" s="402" t="str">
        <f>IFERROR(          IF(BASIC_TOOL!$B$15=1,Panel2!C32,""),"")</f>
        <v/>
      </c>
      <c r="E137" s="420"/>
      <c r="J137" s="546"/>
      <c r="K137" s="546"/>
      <c r="L137" s="937"/>
      <c r="N137" s="801"/>
      <c r="O137" s="801"/>
      <c r="P137" s="984"/>
      <c r="Q137" s="989"/>
      <c r="R137" s="1040">
        <v>127</v>
      </c>
      <c r="S137" s="1041" t="s">
        <v>2158</v>
      </c>
      <c r="T137" s="1059" t="s">
        <v>2159</v>
      </c>
      <c r="U137" s="1043" t="s">
        <v>2210</v>
      </c>
      <c r="V137" s="1044" t="s">
        <v>2160</v>
      </c>
      <c r="W137" s="1044" t="s">
        <v>2093</v>
      </c>
      <c r="X137" s="1044" t="s">
        <v>2094</v>
      </c>
      <c r="Y137" s="1055" t="s">
        <v>2081</v>
      </c>
      <c r="Z137" s="1044" t="s">
        <v>2093</v>
      </c>
      <c r="AA137" s="1044" t="s">
        <v>2094</v>
      </c>
      <c r="AB137" s="1044" t="s">
        <v>2093</v>
      </c>
      <c r="AC137" s="1044" t="s">
        <v>2094</v>
      </c>
      <c r="AD137" s="1044" t="s">
        <v>2094</v>
      </c>
      <c r="AE137" s="1046" t="s">
        <v>2161</v>
      </c>
      <c r="AF137" s="1047" t="s">
        <v>2162</v>
      </c>
      <c r="AG137" s="1048"/>
    </row>
    <row r="138" spans="2:33" ht="85.5">
      <c r="B138" s="402" t="str">
        <f>IFERROR(          IF(BASIC_TOOL!$B$15=1,Panel2!A33,""),"")</f>
        <v/>
      </c>
      <c r="C138" s="402" t="str">
        <f>IFERROR(          IF(BASIC_TOOL!$B$15=1,Panel2!B33,""),"")</f>
        <v/>
      </c>
      <c r="D138" s="402" t="str">
        <f>IFERROR(          IF(BASIC_TOOL!$B$15=1,Panel2!C33,""),"")</f>
        <v/>
      </c>
      <c r="E138" s="420"/>
      <c r="J138" s="546"/>
      <c r="K138" s="546"/>
      <c r="L138" s="937"/>
      <c r="N138" s="801"/>
      <c r="O138" s="801"/>
      <c r="P138" s="984"/>
      <c r="Q138" s="989"/>
      <c r="R138" s="1040">
        <v>128</v>
      </c>
      <c r="S138" s="1041" t="s">
        <v>2158</v>
      </c>
      <c r="T138" s="1059" t="s">
        <v>2159</v>
      </c>
      <c r="U138" s="1043" t="s">
        <v>2211</v>
      </c>
      <c r="V138" s="1044" t="s">
        <v>2160</v>
      </c>
      <c r="W138" s="1044" t="s">
        <v>2093</v>
      </c>
      <c r="X138" s="1044" t="s">
        <v>2094</v>
      </c>
      <c r="Y138" s="1055" t="s">
        <v>2081</v>
      </c>
      <c r="Z138" s="1044" t="s">
        <v>2093</v>
      </c>
      <c r="AA138" s="1044" t="s">
        <v>2094</v>
      </c>
      <c r="AB138" s="1044" t="s">
        <v>2093</v>
      </c>
      <c r="AC138" s="1044" t="s">
        <v>2094</v>
      </c>
      <c r="AD138" s="1044" t="s">
        <v>2094</v>
      </c>
      <c r="AE138" s="1046" t="s">
        <v>2161</v>
      </c>
      <c r="AF138" s="1047" t="s">
        <v>2162</v>
      </c>
      <c r="AG138" s="1048"/>
    </row>
    <row r="139" spans="2:33" ht="82.5">
      <c r="B139" s="402" t="str">
        <f>IFERROR(          IF(BASIC_TOOL!$B$15=1,Panel2!A34,""),"")</f>
        <v/>
      </c>
      <c r="C139" s="402" t="str">
        <f>IFERROR(          IF(BASIC_TOOL!$B$15=1,Panel2!B34,""),"")</f>
        <v/>
      </c>
      <c r="D139" s="402" t="str">
        <f>IFERROR(          IF(BASIC_TOOL!$B$15=1,Panel2!C34,""),"")</f>
        <v/>
      </c>
      <c r="E139" s="420"/>
      <c r="J139" s="546" t="str">
        <f>IFERROR(BoltnNuts!A34,"")</f>
        <v/>
      </c>
      <c r="K139" s="546" t="str">
        <f>IFERROR(BoltnNuts!B34,"")</f>
        <v/>
      </c>
      <c r="L139" s="937" t="str">
        <f>IFERROR(BoltnNuts!C34,"")</f>
        <v/>
      </c>
      <c r="N139" s="801">
        <f>IFERROR(External_Reinforcing!A37,"")</f>
        <v>0</v>
      </c>
      <c r="O139" s="801"/>
      <c r="P139" s="984"/>
      <c r="Q139" s="989"/>
      <c r="R139" s="1040">
        <v>129</v>
      </c>
      <c r="S139" s="1041" t="s">
        <v>2163</v>
      </c>
      <c r="T139" s="1059" t="s">
        <v>2164</v>
      </c>
      <c r="U139" s="1043" t="s">
        <v>2338</v>
      </c>
      <c r="V139" s="1044" t="s">
        <v>2339</v>
      </c>
      <c r="W139" s="1054" t="s">
        <v>2093</v>
      </c>
      <c r="X139" s="1054" t="s">
        <v>2094</v>
      </c>
      <c r="Y139" s="1055" t="s">
        <v>2081</v>
      </c>
      <c r="Z139" s="1054" t="s">
        <v>2093</v>
      </c>
      <c r="AA139" s="1054" t="s">
        <v>2094</v>
      </c>
      <c r="AB139" s="1054" t="s">
        <v>2093</v>
      </c>
      <c r="AC139" s="1054" t="s">
        <v>2094</v>
      </c>
      <c r="AD139" s="1054" t="s">
        <v>2094</v>
      </c>
      <c r="AE139" s="1048"/>
      <c r="AF139" s="1060"/>
      <c r="AG139" s="1048"/>
    </row>
    <row r="140" spans="2:33" ht="82.5">
      <c r="B140" s="402" t="str">
        <f>IFERROR(          IF(BASIC_TOOL!$B$15=1,Panel2!A35,""),"")</f>
        <v/>
      </c>
      <c r="C140" s="402" t="str">
        <f>IFERROR(          IF(BASIC_TOOL!$B$15=1,Panel2!B35,""),"")</f>
        <v/>
      </c>
      <c r="D140" s="402" t="str">
        <f>IFERROR(          IF(BASIC_TOOL!$B$15=1,Panel2!C35,""),"")</f>
        <v/>
      </c>
      <c r="E140" s="420"/>
      <c r="J140" s="546" t="str">
        <f>IFERROR(BoltnNuts!A35,"")</f>
        <v/>
      </c>
      <c r="K140" s="546" t="str">
        <f>IFERROR(BoltnNuts!B35,"")</f>
        <v/>
      </c>
      <c r="L140" s="937" t="str">
        <f>IFERROR(BoltnNuts!C35,"")</f>
        <v/>
      </c>
      <c r="R140" s="1040">
        <v>130</v>
      </c>
      <c r="S140" s="1041" t="s">
        <v>2163</v>
      </c>
      <c r="T140" s="1059" t="s">
        <v>2164</v>
      </c>
      <c r="U140" s="1043" t="s">
        <v>2340</v>
      </c>
      <c r="V140" s="1044" t="s">
        <v>2339</v>
      </c>
      <c r="W140" s="1054" t="s">
        <v>2093</v>
      </c>
      <c r="X140" s="1054" t="s">
        <v>2094</v>
      </c>
      <c r="Y140" s="1055" t="s">
        <v>2081</v>
      </c>
      <c r="Z140" s="1054" t="s">
        <v>2093</v>
      </c>
      <c r="AA140" s="1054" t="s">
        <v>2094</v>
      </c>
      <c r="AB140" s="1054" t="s">
        <v>2093</v>
      </c>
      <c r="AC140" s="1054" t="s">
        <v>2094</v>
      </c>
      <c r="AD140" s="1054" t="s">
        <v>2094</v>
      </c>
      <c r="AE140" s="1048"/>
      <c r="AF140" s="1060"/>
      <c r="AG140" s="1048"/>
    </row>
    <row r="141" spans="2:33" ht="82.5">
      <c r="B141" s="402" t="str">
        <f>IFERROR(          IF(BASIC_TOOL!$B$15=1,Panel2!A36,""),"")</f>
        <v/>
      </c>
      <c r="C141" s="402" t="str">
        <f>IFERROR(          IF(BASIC_TOOL!$B$15=1,Panel2!B36,""),"")</f>
        <v/>
      </c>
      <c r="D141" s="402" t="str">
        <f>IFERROR(          IF(BASIC_TOOL!$B$15=1,Panel2!C36,""),"")</f>
        <v/>
      </c>
      <c r="E141" s="420"/>
      <c r="J141" s="546" t="str">
        <f>IFERROR(BoltnNuts!A36,"")</f>
        <v/>
      </c>
      <c r="K141" s="546" t="str">
        <f>IFERROR(BoltnNuts!B36,"")</f>
        <v/>
      </c>
      <c r="L141" s="937" t="str">
        <f>IFERROR(BoltnNuts!C36,"")</f>
        <v/>
      </c>
      <c r="R141" s="1040">
        <v>131</v>
      </c>
      <c r="S141" s="1041" t="s">
        <v>2163</v>
      </c>
      <c r="T141" s="1059" t="s">
        <v>2164</v>
      </c>
      <c r="U141" s="1043" t="s">
        <v>2341</v>
      </c>
      <c r="V141" s="1044" t="s">
        <v>2339</v>
      </c>
      <c r="W141" s="1054" t="s">
        <v>2093</v>
      </c>
      <c r="X141" s="1054" t="s">
        <v>2094</v>
      </c>
      <c r="Y141" s="1055" t="s">
        <v>2081</v>
      </c>
      <c r="Z141" s="1054" t="s">
        <v>2093</v>
      </c>
      <c r="AA141" s="1054" t="s">
        <v>2094</v>
      </c>
      <c r="AB141" s="1054" t="s">
        <v>2093</v>
      </c>
      <c r="AC141" s="1054" t="s">
        <v>2094</v>
      </c>
      <c r="AD141" s="1054" t="s">
        <v>2094</v>
      </c>
      <c r="AE141" s="1048"/>
      <c r="AF141" s="1060"/>
      <c r="AG141" s="1048"/>
    </row>
    <row r="142" spans="2:33" ht="85.5">
      <c r="B142" s="402" t="str">
        <f>IFERROR(          IF(BASIC_TOOL!$B$15=1,Panel2!A37,""),"")</f>
        <v/>
      </c>
      <c r="C142" s="402" t="str">
        <f>IFERROR(          IF(BASIC_TOOL!$B$15=1,Panel2!B37,""),"")</f>
        <v/>
      </c>
      <c r="D142" s="402" t="str">
        <f>IFERROR(          IF(BASIC_TOOL!$B$15=1,Panel2!C37,""),"")</f>
        <v/>
      </c>
      <c r="E142" s="420"/>
      <c r="J142" s="546" t="str">
        <f>IFERROR(BoltnNuts!A37,"")</f>
        <v/>
      </c>
      <c r="K142" s="546" t="str">
        <f>IFERROR(BoltnNuts!B37,"")</f>
        <v/>
      </c>
      <c r="L142" s="937" t="str">
        <f>IFERROR(BoltnNuts!C37,"")</f>
        <v/>
      </c>
      <c r="R142" s="1040">
        <v>122</v>
      </c>
      <c r="S142" s="1041" t="s">
        <v>2342</v>
      </c>
      <c r="T142" s="1059" t="s">
        <v>2159</v>
      </c>
      <c r="U142" s="1043" t="s">
        <v>2343</v>
      </c>
      <c r="V142" s="1044" t="s">
        <v>2344</v>
      </c>
      <c r="W142" s="1044" t="s">
        <v>2093</v>
      </c>
      <c r="X142" s="1044" t="s">
        <v>2094</v>
      </c>
      <c r="Y142" s="1055" t="s">
        <v>2081</v>
      </c>
      <c r="Z142" s="1044" t="s">
        <v>2093</v>
      </c>
      <c r="AA142" s="1044" t="s">
        <v>2094</v>
      </c>
      <c r="AB142" s="1044" t="s">
        <v>2093</v>
      </c>
      <c r="AC142" s="1044" t="s">
        <v>2094</v>
      </c>
      <c r="AD142" s="1044" t="s">
        <v>2094</v>
      </c>
      <c r="AE142" s="1046" t="s">
        <v>2161</v>
      </c>
      <c r="AF142" s="1047" t="s">
        <v>2162</v>
      </c>
      <c r="AG142" s="1048"/>
    </row>
    <row r="143" spans="2:33" ht="85.5">
      <c r="B143" s="402" t="str">
        <f>IFERROR(          IF(BASIC_TOOL!$B$15=1,Panel2!A38,""),"")</f>
        <v/>
      </c>
      <c r="C143" s="402" t="str">
        <f>IFERROR(          IF(BASIC_TOOL!$B$15=1,Panel2!B38,""),"")</f>
        <v/>
      </c>
      <c r="D143" s="402" t="str">
        <f>IFERROR(          IF(BASIC_TOOL!$B$15=1,Panel2!C38,""),"")</f>
        <v/>
      </c>
      <c r="E143" s="420"/>
      <c r="J143" s="546" t="str">
        <f>IFERROR(BoltnNuts!A38,"")</f>
        <v/>
      </c>
      <c r="K143" s="546" t="str">
        <f>IFERROR(BoltnNuts!B38,"")</f>
        <v/>
      </c>
      <c r="L143" s="937" t="str">
        <f>IFERROR(BoltnNuts!C38,"")</f>
        <v/>
      </c>
      <c r="R143" s="1040">
        <v>122</v>
      </c>
      <c r="S143" s="1041" t="s">
        <v>2342</v>
      </c>
      <c r="T143" s="1059" t="s">
        <v>2159</v>
      </c>
      <c r="U143" s="1043" t="s">
        <v>2345</v>
      </c>
      <c r="V143" s="1044" t="s">
        <v>2344</v>
      </c>
      <c r="W143" s="1044" t="s">
        <v>2093</v>
      </c>
      <c r="X143" s="1044" t="s">
        <v>2094</v>
      </c>
      <c r="Y143" s="1055" t="s">
        <v>2081</v>
      </c>
      <c r="Z143" s="1044" t="s">
        <v>2093</v>
      </c>
      <c r="AA143" s="1044" t="s">
        <v>2094</v>
      </c>
      <c r="AB143" s="1044" t="s">
        <v>2093</v>
      </c>
      <c r="AC143" s="1044" t="s">
        <v>2094</v>
      </c>
      <c r="AD143" s="1044" t="s">
        <v>2094</v>
      </c>
      <c r="AE143" s="1046" t="s">
        <v>2161</v>
      </c>
      <c r="AF143" s="1047" t="s">
        <v>2162</v>
      </c>
      <c r="AG143" s="1048"/>
    </row>
    <row r="144" spans="2:33" ht="85.5">
      <c r="B144" s="402" t="str">
        <f>IFERROR(          IF(BASIC_TOOL!$B$15=1,Panel2!A39,""),"")</f>
        <v/>
      </c>
      <c r="C144" s="402" t="str">
        <f>IFERROR(          IF(BASIC_TOOL!$B$15=1,Panel2!B39,""),"")</f>
        <v/>
      </c>
      <c r="D144" s="402" t="str">
        <f>IFERROR(          IF(BASIC_TOOL!$B$15=1,Panel2!C39,""),"")</f>
        <v/>
      </c>
      <c r="E144" s="420"/>
      <c r="J144" s="546" t="str">
        <f>IFERROR(BoltnNuts!A39,"")</f>
        <v/>
      </c>
      <c r="K144" s="546" t="str">
        <f>IFERROR(BoltnNuts!B39,"")</f>
        <v/>
      </c>
      <c r="L144" s="937" t="str">
        <f>IFERROR(BoltnNuts!C39,"")</f>
        <v/>
      </c>
      <c r="R144" s="1040">
        <v>122</v>
      </c>
      <c r="S144" s="1041" t="s">
        <v>2342</v>
      </c>
      <c r="T144" s="1059" t="s">
        <v>2159</v>
      </c>
      <c r="U144" s="1043" t="s">
        <v>2346</v>
      </c>
      <c r="V144" s="1044" t="s">
        <v>2344</v>
      </c>
      <c r="W144" s="1044" t="s">
        <v>2093</v>
      </c>
      <c r="X144" s="1044" t="s">
        <v>2094</v>
      </c>
      <c r="Y144" s="1055" t="s">
        <v>2081</v>
      </c>
      <c r="Z144" s="1044" t="s">
        <v>2093</v>
      </c>
      <c r="AA144" s="1044" t="s">
        <v>2094</v>
      </c>
      <c r="AB144" s="1044" t="s">
        <v>2093</v>
      </c>
      <c r="AC144" s="1044" t="s">
        <v>2094</v>
      </c>
      <c r="AD144" s="1044" t="s">
        <v>2094</v>
      </c>
      <c r="AE144" s="1046" t="s">
        <v>2161</v>
      </c>
      <c r="AF144" s="1047" t="s">
        <v>2162</v>
      </c>
      <c r="AG144" s="1048"/>
    </row>
    <row r="145" spans="2:19" ht="19.5">
      <c r="B145" s="402" t="str">
        <f>IFERROR(          IF(BASIC_TOOL!$B$15=1,Panel2!A40,""),"")</f>
        <v/>
      </c>
      <c r="C145" s="402" t="str">
        <f>IFERROR(          IF(BASIC_TOOL!$B$15=1,Panel2!B40,""),"")</f>
        <v/>
      </c>
      <c r="D145" s="402" t="str">
        <f>IFERROR(          IF(BASIC_TOOL!$B$15=1,Panel2!C40,""),"")</f>
        <v/>
      </c>
      <c r="E145" s="420"/>
      <c r="J145" s="546" t="str">
        <f>IFERROR(BoltnNuts!A40,"")</f>
        <v/>
      </c>
      <c r="K145" s="546" t="str">
        <f>IFERROR(BoltnNuts!B40,"")</f>
        <v/>
      </c>
      <c r="L145" s="937" t="str">
        <f>IFERROR(BoltnNuts!C40,"")</f>
        <v/>
      </c>
      <c r="R145" s="985">
        <f>IFERROR(External_Reinforcing!B43,"")</f>
        <v>0</v>
      </c>
      <c r="S145" s="801">
        <f>IFERROR(External_Reinforcing!C43,"")</f>
        <v>0</v>
      </c>
    </row>
    <row r="146" spans="2:19" ht="19.5">
      <c r="B146" s="402" t="str">
        <f>IFERROR(          IF(BASIC_TOOL!$B$15=1,Panel2!A41,""),"")</f>
        <v/>
      </c>
      <c r="C146" s="402" t="str">
        <f>IFERROR(          IF(BASIC_TOOL!$B$15=1,Panel2!B41,""),"")</f>
        <v/>
      </c>
      <c r="D146" s="402" t="str">
        <f>IFERROR(          IF(BASIC_TOOL!$B$15=1,Panel2!C41,""),"")</f>
        <v/>
      </c>
      <c r="E146" s="420"/>
      <c r="J146" s="546" t="str">
        <f>IFERROR(BoltnNuts!A41,"")</f>
        <v/>
      </c>
      <c r="K146" s="546" t="str">
        <f>IFERROR(BoltnNuts!B41,"")</f>
        <v/>
      </c>
      <c r="L146" s="937" t="str">
        <f>IFERROR(BoltnNuts!C41,"")</f>
        <v/>
      </c>
      <c r="R146" s="985">
        <f>IFERROR(External_Reinforcing!B44,"")</f>
        <v>0</v>
      </c>
      <c r="S146" s="801">
        <f>IFERROR(External_Reinforcing!C44,"")</f>
        <v>0</v>
      </c>
    </row>
    <row r="147" spans="2:19" ht="19.5">
      <c r="B147" s="402" t="str">
        <f>IFERROR(          IF(BASIC_TOOL!$B$15=1,Panel2!A42,""),"")</f>
        <v/>
      </c>
      <c r="C147" s="402" t="str">
        <f>IFERROR(          IF(BASIC_TOOL!$B$15=1,Panel2!B42,""),"")</f>
        <v/>
      </c>
      <c r="D147" s="402" t="str">
        <f>IFERROR(          IF(BASIC_TOOL!$B$15=1,Panel2!C42,""),"")</f>
        <v/>
      </c>
      <c r="E147" s="420"/>
      <c r="J147" s="546" t="str">
        <f>IFERROR(BoltnNuts!A42,"")</f>
        <v/>
      </c>
      <c r="K147" s="546" t="str">
        <f>IFERROR(BoltnNuts!B42,"")</f>
        <v/>
      </c>
      <c r="L147" s="937" t="str">
        <f>IFERROR(BoltnNuts!C42,"")</f>
        <v/>
      </c>
    </row>
    <row r="148" spans="2:19" ht="19.5">
      <c r="B148" s="402" t="str">
        <f>IFERROR(          IF(BASIC_TOOL!$B$15=1,Panel2!A43,""),"")</f>
        <v/>
      </c>
      <c r="C148" s="402" t="str">
        <f>IFERROR(          IF(BASIC_TOOL!$B$15=1,Panel2!B43,""),"")</f>
        <v/>
      </c>
      <c r="D148" s="402" t="str">
        <f>IFERROR(          IF(BASIC_TOOL!$B$15=1,Panel2!C43,""),"")</f>
        <v/>
      </c>
      <c r="E148" s="420"/>
      <c r="J148" s="546" t="str">
        <f>IFERROR(BoltnNuts!A43,"")</f>
        <v/>
      </c>
      <c r="K148" s="546" t="str">
        <f>IFERROR(BoltnNuts!B43,"")</f>
        <v/>
      </c>
      <c r="L148" s="937" t="str">
        <f>IFERROR(BoltnNuts!C43,"")</f>
        <v/>
      </c>
    </row>
    <row r="149" spans="2:19" ht="19.5">
      <c r="B149" s="402" t="str">
        <f>IFERROR(          IF(BASIC_TOOL!$B$15=1,Panel2!A44,""),"")</f>
        <v/>
      </c>
      <c r="C149" s="402" t="str">
        <f>IFERROR(          IF(BASIC_TOOL!$B$15=1,Panel2!B44,""),"")</f>
        <v/>
      </c>
      <c r="D149" s="402" t="str">
        <f>IFERROR(          IF(BASIC_TOOL!$B$15=1,Panel2!C44,""),"")</f>
        <v/>
      </c>
      <c r="E149" s="420"/>
    </row>
    <row r="150" spans="2:19" ht="19.5">
      <c r="B150" s="402" t="str">
        <f>IFERROR(          IF(BASIC_TOOL!$B$15=1,Panel2!A45,""),"")</f>
        <v/>
      </c>
      <c r="C150" s="402" t="str">
        <f>IFERROR(          IF(BASIC_TOOL!$B$15=1,Panel2!B45,""),"")</f>
        <v/>
      </c>
      <c r="D150" s="402" t="str">
        <f>IFERROR(          IF(BASIC_TOOL!$B$15=1,Panel2!C45,""),"")</f>
        <v/>
      </c>
      <c r="E150" s="420"/>
    </row>
    <row r="151" spans="2:19" ht="19.5">
      <c r="B151" s="402" t="str">
        <f>IFERROR(          IF(BASIC_TOOL!$B$15=1,Panel2!A46,""),"")</f>
        <v/>
      </c>
      <c r="C151" s="402" t="str">
        <f>IFERROR(          IF(BASIC_TOOL!$B$15=1,Panel2!B46,""),"")</f>
        <v/>
      </c>
      <c r="D151" s="402" t="str">
        <f>IFERROR(          IF(BASIC_TOOL!$B$15=1,Panel2!C46,""),"")</f>
        <v/>
      </c>
      <c r="E151" s="420"/>
    </row>
    <row r="152" spans="2:19" ht="19.5">
      <c r="B152" s="402" t="str">
        <f>IFERROR(          IF(BASIC_TOOL!$B$15=1,Panel2!A47,""),"")</f>
        <v/>
      </c>
      <c r="C152" s="402" t="str">
        <f>IFERROR(          IF(BASIC_TOOL!$B$15=1,Panel2!B47,""),"")</f>
        <v/>
      </c>
      <c r="D152" s="402" t="str">
        <f>IFERROR(          IF(BASIC_TOOL!$B$15=1,Panel2!C47,""),"")</f>
        <v/>
      </c>
      <c r="E152" s="420"/>
    </row>
    <row r="153" spans="2:19" ht="19.5">
      <c r="B153" s="402" t="str">
        <f>IFERROR(          IF(BASIC_TOOL!$B$15=1,Panel2!A48,""),"")</f>
        <v/>
      </c>
      <c r="C153" s="402" t="str">
        <f>IFERROR(          IF(BASIC_TOOL!$B$15=1,Panel2!B48,""),"")</f>
        <v/>
      </c>
      <c r="D153" s="402" t="str">
        <f>IFERROR(          IF(BASIC_TOOL!$B$15=1,Panel2!C48,""),"")</f>
        <v/>
      </c>
      <c r="E153" s="420"/>
    </row>
    <row r="154" spans="2:19" ht="19.5">
      <c r="B154" s="402" t="str">
        <f>IFERROR(          IF(BASIC_TOOL!$B$15=1,Panel2!A49,""),"")</f>
        <v/>
      </c>
      <c r="C154" s="402" t="str">
        <f>IFERROR(          IF(BASIC_TOOL!$B$15=1,Panel2!B49,""),"")</f>
        <v/>
      </c>
      <c r="D154" s="402" t="str">
        <f>IFERROR(          IF(BASIC_TOOL!$B$15=1,Panel2!C49,""),"")</f>
        <v/>
      </c>
      <c r="E154" s="420"/>
    </row>
    <row r="155" spans="2:19" ht="19.5">
      <c r="B155" s="402" t="str">
        <f>IFERROR(          IF(BASIC_TOOL!$B$15=1,Panel2!A50,""),"")</f>
        <v/>
      </c>
      <c r="C155" s="402" t="str">
        <f>IFERROR(          IF(BASIC_TOOL!$B$15=1,Panel2!B50,""),"")</f>
        <v/>
      </c>
      <c r="D155" s="402" t="str">
        <f>IFERROR(          IF(BASIC_TOOL!$B$15=1,Panel2!C50,""),"")</f>
        <v/>
      </c>
      <c r="E155" s="420"/>
    </row>
    <row r="156" spans="2:19" ht="19.5">
      <c r="B156" s="402" t="str">
        <f>IFERROR(          IF(BASIC_TOOL!$B$15=1,Panel2!A51,""),"")</f>
        <v/>
      </c>
      <c r="C156" s="402" t="str">
        <f>IFERROR(          IF(BASIC_TOOL!$B$15=1,Panel2!B51,""),"")</f>
        <v/>
      </c>
      <c r="D156" s="402" t="str">
        <f>IFERROR(          IF(BASIC_TOOL!$B$15=1,Panel2!C51,""),"")</f>
        <v/>
      </c>
      <c r="E156" s="420"/>
    </row>
    <row r="157" spans="2:19" ht="19.5">
      <c r="B157" s="402" t="str">
        <f>IFERROR(          IF(BASIC_TOOL!$B$15=1,Panel2!A52,""),"")</f>
        <v/>
      </c>
      <c r="C157" s="402" t="str">
        <f>IFERROR(          IF(BASIC_TOOL!$B$15=1,Panel2!B52,""),"")</f>
        <v/>
      </c>
      <c r="D157" s="402" t="str">
        <f>IFERROR(          IF(BASIC_TOOL!$B$15=1,Panel2!C52,""),"")</f>
        <v/>
      </c>
      <c r="E157" s="420"/>
    </row>
    <row r="158" spans="2:19" ht="19.5">
      <c r="B158" s="401" t="str">
        <f>IFERROR(          IF(BASIC_TOOL!$B$15=1,Panel!A53,""),"")</f>
        <v/>
      </c>
      <c r="C158" s="402" t="str">
        <f>IFERROR(          IF(BASIC_TOOL!$B$15=1,Panel!B53,""),"")</f>
        <v/>
      </c>
      <c r="D158" s="402" t="str">
        <f>IFERROR(          IF(BASIC_TOOL!$B$15=1,Panel!C53,""),"")</f>
        <v/>
      </c>
      <c r="E158" s="420"/>
    </row>
    <row r="159" spans="2:19" ht="20.25" thickBot="1">
      <c r="B159" s="1069" t="s">
        <v>204</v>
      </c>
      <c r="C159" s="637"/>
      <c r="D159" s="637">
        <f>SUM(D110:D158)</f>
        <v>160</v>
      </c>
      <c r="E159" s="487"/>
    </row>
  </sheetData>
  <mergeCells count="15">
    <mergeCell ref="B108:E108"/>
    <mergeCell ref="F108:I108"/>
    <mergeCell ref="J108:M108"/>
    <mergeCell ref="B9:E9"/>
    <mergeCell ref="A47:C47"/>
    <mergeCell ref="AG9:AG10"/>
    <mergeCell ref="F3:P4"/>
    <mergeCell ref="G9:P9"/>
    <mergeCell ref="A9:A10"/>
    <mergeCell ref="R9:R10"/>
    <mergeCell ref="S9:S10"/>
    <mergeCell ref="T9:T10"/>
    <mergeCell ref="U9:U10"/>
    <mergeCell ref="V9:V10"/>
    <mergeCell ref="AE9:AF9"/>
  </mergeCells>
  <phoneticPr fontId="13" type="noConversion"/>
  <printOptions horizontalCentered="1" verticalCentered="1"/>
  <pageMargins left="0.21" right="0.12" top="0.3" bottom="0.4" header="0.45" footer="0.2"/>
  <pageSetup paperSize="9" scale="52" orientation="landscape" r:id="rId1"/>
  <ignoredErrors>
    <ignoredError sqref="P22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B8C50A1-CB4A-421C-8348-CD0BFF776A45}">
          <x14:formula1>
            <xm:f>Reference!$B$1:$B$343</xm:f>
          </x14:formula1>
          <xm:sqref>C48:C73 AO11:AO34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3A160-8310-4A41-8003-61C2BA95BA63}">
  <sheetPr codeName="Sheet63">
    <pageSetUpPr fitToPage="1"/>
  </sheetPr>
  <dimension ref="B1:AG123"/>
  <sheetViews>
    <sheetView view="pageBreakPreview" topLeftCell="A5" zoomScale="60" zoomScaleNormal="70" workbookViewId="0">
      <selection activeCell="B11" sqref="B11:D32"/>
    </sheetView>
  </sheetViews>
  <sheetFormatPr defaultColWidth="8.875" defaultRowHeight="14.25"/>
  <cols>
    <col min="1" max="5" width="8.875" style="342"/>
    <col min="6" max="6" width="22.875" style="342" customWidth="1"/>
    <col min="7" max="7" width="17.875" style="342" customWidth="1"/>
    <col min="8" max="8" width="9.875" style="343" customWidth="1"/>
    <col min="9" max="9" width="5.375" style="343" customWidth="1"/>
    <col min="10" max="10" width="9.875" style="342" customWidth="1"/>
    <col min="11" max="11" width="9.875" style="344" customWidth="1"/>
    <col min="12" max="12" width="9.875" style="345" customWidth="1"/>
    <col min="13" max="14" width="9.875" style="342" customWidth="1"/>
    <col min="15" max="21" width="9.875" style="343" customWidth="1"/>
    <col min="22" max="31" width="12.75" style="342" customWidth="1"/>
    <col min="32" max="32" width="43.875" style="342" customWidth="1"/>
    <col min="33" max="33" width="53.625" style="342" customWidth="1"/>
    <col min="34" max="16384" width="8.875" style="342"/>
  </cols>
  <sheetData>
    <row r="1" spans="2:33" ht="22.5" customHeight="1"/>
    <row r="2" spans="2:33" ht="22.5" customHeight="1" thickBot="1"/>
    <row r="3" spans="2:33" s="350" customFormat="1" ht="37.15" customHeight="1">
      <c r="E3" s="804"/>
      <c r="F3" s="805"/>
      <c r="G3" s="805"/>
      <c r="H3" s="805"/>
      <c r="I3" s="990"/>
      <c r="J3" s="1485" t="s">
        <v>2073</v>
      </c>
      <c r="K3" s="1475"/>
      <c r="L3" s="1475"/>
      <c r="M3" s="1475"/>
      <c r="N3" s="1475"/>
      <c r="O3" s="1475"/>
      <c r="P3" s="1475"/>
      <c r="Q3" s="1475"/>
      <c r="R3" s="1475"/>
      <c r="S3" s="1475"/>
      <c r="T3" s="1475"/>
      <c r="U3" s="1475"/>
      <c r="V3" s="1475"/>
      <c r="W3" s="1475"/>
      <c r="X3" s="1475"/>
      <c r="Y3" s="1475"/>
      <c r="Z3" s="1475"/>
      <c r="AA3" s="1475"/>
      <c r="AB3" s="1475"/>
      <c r="AC3" s="1475"/>
      <c r="AD3" s="1475"/>
      <c r="AE3" s="1475"/>
      <c r="AF3" s="1476"/>
      <c r="AG3" s="970"/>
    </row>
    <row r="4" spans="2:33" ht="37.15" customHeight="1">
      <c r="E4" s="806"/>
      <c r="F4" s="350"/>
      <c r="G4" s="350"/>
      <c r="H4" s="350"/>
      <c r="I4" s="807"/>
      <c r="J4" s="1486"/>
      <c r="K4" s="1487"/>
      <c r="L4" s="1487"/>
      <c r="M4" s="1487"/>
      <c r="N4" s="1487"/>
      <c r="O4" s="1487"/>
      <c r="P4" s="1487"/>
      <c r="Q4" s="1487"/>
      <c r="R4" s="1487"/>
      <c r="S4" s="1487"/>
      <c r="T4" s="1487"/>
      <c r="U4" s="1487"/>
      <c r="V4" s="1487"/>
      <c r="W4" s="1487"/>
      <c r="X4" s="1487"/>
      <c r="Y4" s="1487"/>
      <c r="Z4" s="1487"/>
      <c r="AA4" s="1487"/>
      <c r="AB4" s="1487"/>
      <c r="AC4" s="1487"/>
      <c r="AD4" s="1487"/>
      <c r="AE4" s="1487"/>
      <c r="AF4" s="1488"/>
      <c r="AG4" s="970"/>
    </row>
    <row r="5" spans="2:33" ht="37.15" customHeight="1">
      <c r="E5" s="806"/>
      <c r="F5" s="350"/>
      <c r="G5" s="350"/>
      <c r="H5" s="350"/>
      <c r="I5" s="807"/>
      <c r="J5" s="217" t="str">
        <f>'PRINTOUT(BOM)'!E5</f>
        <v xml:space="preserve">▣ Company : ABC                        </v>
      </c>
      <c r="K5" s="115"/>
      <c r="L5" s="821"/>
      <c r="O5" s="645"/>
      <c r="P5" s="645"/>
      <c r="Q5" s="645"/>
      <c r="R5" s="645"/>
      <c r="S5" s="645"/>
      <c r="T5" s="645"/>
      <c r="U5" s="645"/>
      <c r="V5" s="646" t="str">
        <f>'PRINTOUT(BOM)'!H5</f>
        <v>▣ Project Name :A Project</v>
      </c>
      <c r="W5" s="646"/>
      <c r="X5" s="646"/>
      <c r="Y5" s="646"/>
      <c r="Z5" s="646"/>
      <c r="AA5" s="646"/>
      <c r="AB5" s="646"/>
      <c r="AC5" s="646"/>
      <c r="AD5" s="646"/>
      <c r="AE5" s="217"/>
      <c r="AF5" s="1010">
        <f>'PRINTOUT(BOM)'!J5</f>
        <v>0</v>
      </c>
      <c r="AG5" s="819"/>
    </row>
    <row r="6" spans="2:33" ht="37.15" customHeight="1">
      <c r="E6" s="1005"/>
      <c r="F6" s="1003"/>
      <c r="G6" s="1003"/>
      <c r="H6" s="1003"/>
      <c r="I6" s="1004"/>
      <c r="J6" s="967">
        <f>'PRINTOUT(BOM)'!E6</f>
        <v>0</v>
      </c>
      <c r="K6" s="964"/>
      <c r="L6" s="966"/>
      <c r="M6" s="967"/>
      <c r="N6" s="967"/>
      <c r="O6" s="968"/>
      <c r="P6" s="968"/>
      <c r="Q6" s="968"/>
      <c r="R6" s="968"/>
      <c r="S6" s="968"/>
      <c r="T6" s="968"/>
      <c r="U6" s="968"/>
      <c r="V6" s="965">
        <f>'PRINTOUT(BOM)'!H6</f>
        <v>0</v>
      </c>
      <c r="W6" s="965"/>
      <c r="X6" s="965"/>
      <c r="Y6" s="965"/>
      <c r="Z6" s="965"/>
      <c r="AA6" s="965"/>
      <c r="AB6" s="965"/>
      <c r="AC6" s="965"/>
      <c r="AD6" s="965"/>
      <c r="AE6" s="969"/>
      <c r="AF6" s="991"/>
      <c r="AG6" s="348"/>
    </row>
    <row r="7" spans="2:33" s="354" customFormat="1" ht="25.5">
      <c r="E7" s="992"/>
      <c r="F7" s="217" t="str">
        <f>'PRINTOUT(BOM)'!A7</f>
        <v>▣ Size : 10mW x (5)mL x3mH =150 [TON]/ 1[SET]</v>
      </c>
      <c r="G7" s="217"/>
      <c r="H7" s="646"/>
      <c r="I7" s="217"/>
      <c r="J7" s="217"/>
      <c r="K7" s="217"/>
      <c r="L7" s="217"/>
      <c r="M7" s="217"/>
      <c r="N7" s="217"/>
      <c r="O7" s="646"/>
      <c r="P7" s="217"/>
      <c r="Q7" s="217"/>
      <c r="R7" s="217"/>
      <c r="S7" s="217"/>
      <c r="T7" s="217"/>
      <c r="U7" s="217"/>
      <c r="V7" s="353"/>
      <c r="W7" s="353"/>
      <c r="X7" s="353"/>
      <c r="Y7" s="353"/>
      <c r="Z7" s="353"/>
      <c r="AA7" s="353"/>
      <c r="AB7" s="353"/>
      <c r="AC7" s="353"/>
      <c r="AD7" s="353"/>
      <c r="AE7" s="353"/>
      <c r="AF7" s="993"/>
      <c r="AG7" s="353"/>
    </row>
    <row r="8" spans="2:33" s="354" customFormat="1" ht="25.5">
      <c r="E8" s="992"/>
      <c r="F8" s="115" t="str">
        <f>'PRINTOUT(BOM)'!A8</f>
        <v>▣ Reinforcement:  Internal       /    MNT</v>
      </c>
      <c r="G8" s="114"/>
      <c r="H8" s="645"/>
      <c r="I8" s="114"/>
      <c r="L8" s="114"/>
      <c r="M8" s="114"/>
      <c r="N8" s="115" t="str">
        <f>'PRINTOUT(BOM)'!F8</f>
        <v>▣ Bolts and Nuts : EXT:HDG+INT:SS316</v>
      </c>
      <c r="O8" s="115"/>
      <c r="P8" s="114"/>
      <c r="Q8" s="114"/>
      <c r="R8" s="114"/>
      <c r="S8" s="114"/>
      <c r="T8" s="114"/>
      <c r="U8" s="114"/>
      <c r="V8" s="651"/>
      <c r="W8" s="651"/>
      <c r="X8" s="651"/>
      <c r="Y8" s="651"/>
      <c r="Z8" s="651"/>
      <c r="AA8" s="651"/>
      <c r="AB8" s="651"/>
      <c r="AC8" s="651"/>
      <c r="AD8" s="651"/>
      <c r="AE8" s="651"/>
      <c r="AF8" s="994"/>
    </row>
    <row r="9" spans="2:33" s="362" customFormat="1" ht="20.25" customHeight="1">
      <c r="B9" s="342"/>
      <c r="E9" s="1491" t="s">
        <v>335</v>
      </c>
      <c r="F9" s="1489" t="s">
        <v>183</v>
      </c>
      <c r="G9" s="1489"/>
      <c r="H9" s="1489"/>
      <c r="I9" s="1489"/>
      <c r="J9" s="1497" t="s">
        <v>168</v>
      </c>
      <c r="K9" s="1498"/>
      <c r="L9" s="983"/>
      <c r="M9" s="983"/>
      <c r="N9" s="983"/>
      <c r="O9" s="983"/>
      <c r="P9" s="983"/>
      <c r="Q9" s="983"/>
      <c r="R9" s="983"/>
      <c r="S9" s="983"/>
      <c r="T9" s="983"/>
      <c r="U9" s="983"/>
      <c r="V9" s="983"/>
      <c r="W9" s="983"/>
      <c r="X9" s="983"/>
      <c r="Y9" s="983"/>
      <c r="Z9" s="983"/>
      <c r="AA9" s="983"/>
      <c r="AB9" s="983"/>
      <c r="AC9" s="983"/>
      <c r="AD9" s="983"/>
      <c r="AE9" s="983"/>
      <c r="AF9" s="983"/>
      <c r="AG9" s="986"/>
    </row>
    <row r="10" spans="2:33" s="362" customFormat="1" ht="20.25" customHeight="1">
      <c r="E10" s="1491"/>
      <c r="F10" s="983" t="s">
        <v>176</v>
      </c>
      <c r="G10" s="983" t="s">
        <v>177</v>
      </c>
      <c r="H10" s="961" t="s">
        <v>168</v>
      </c>
      <c r="I10" s="979" t="s">
        <v>422</v>
      </c>
      <c r="J10" s="983" t="s">
        <v>2234</v>
      </c>
      <c r="K10" s="983" t="s">
        <v>2233</v>
      </c>
      <c r="L10" s="983">
        <v>1</v>
      </c>
      <c r="M10" s="983">
        <f>L10+1</f>
        <v>2</v>
      </c>
      <c r="N10" s="983">
        <f t="shared" ref="N10:AE10" si="0">M10+1</f>
        <v>3</v>
      </c>
      <c r="O10" s="983">
        <f t="shared" si="0"/>
        <v>4</v>
      </c>
      <c r="P10" s="983">
        <f t="shared" si="0"/>
        <v>5</v>
      </c>
      <c r="Q10" s="983">
        <f t="shared" si="0"/>
        <v>6</v>
      </c>
      <c r="R10" s="983">
        <f t="shared" si="0"/>
        <v>7</v>
      </c>
      <c r="S10" s="983">
        <f t="shared" si="0"/>
        <v>8</v>
      </c>
      <c r="T10" s="983">
        <f t="shared" si="0"/>
        <v>9</v>
      </c>
      <c r="U10" s="983">
        <f t="shared" si="0"/>
        <v>10</v>
      </c>
      <c r="V10" s="983">
        <f t="shared" si="0"/>
        <v>11</v>
      </c>
      <c r="W10" s="983">
        <f t="shared" si="0"/>
        <v>12</v>
      </c>
      <c r="X10" s="983">
        <f t="shared" si="0"/>
        <v>13</v>
      </c>
      <c r="Y10" s="983">
        <f t="shared" si="0"/>
        <v>14</v>
      </c>
      <c r="Z10" s="983">
        <f t="shared" si="0"/>
        <v>15</v>
      </c>
      <c r="AA10" s="983">
        <f t="shared" si="0"/>
        <v>16</v>
      </c>
      <c r="AB10" s="983">
        <f t="shared" si="0"/>
        <v>17</v>
      </c>
      <c r="AC10" s="983">
        <f t="shared" si="0"/>
        <v>18</v>
      </c>
      <c r="AD10" s="983">
        <f t="shared" si="0"/>
        <v>19</v>
      </c>
      <c r="AE10" s="983">
        <f t="shared" si="0"/>
        <v>20</v>
      </c>
      <c r="AF10" s="995" t="s">
        <v>2232</v>
      </c>
      <c r="AG10" s="987"/>
    </row>
    <row r="11" spans="2:33" s="363" customFormat="1" ht="31.5" customHeight="1">
      <c r="E11" s="996"/>
      <c r="F11" s="1006" t="str">
        <f>'PRINTOUT(BOM)'!A15</f>
        <v>Manhole</v>
      </c>
      <c r="G11" s="1006" t="str">
        <f>'PRINTOUT(BOM)'!B15</f>
        <v>MF00M</v>
      </c>
      <c r="H11" s="1006">
        <f>'PRINTOUT(BOM)'!C15</f>
        <v>1</v>
      </c>
      <c r="I11" s="980"/>
      <c r="J11" s="1011">
        <f>H11-K11</f>
        <v>0</v>
      </c>
      <c r="K11" s="981">
        <f>SUM(L11:AE11)</f>
        <v>1</v>
      </c>
      <c r="L11" s="981">
        <v>1</v>
      </c>
      <c r="M11" s="981"/>
      <c r="N11" s="981"/>
      <c r="O11" s="981"/>
      <c r="P11" s="981"/>
      <c r="Q11" s="981"/>
      <c r="R11" s="981"/>
      <c r="S11" s="981"/>
      <c r="T11" s="981"/>
      <c r="U11" s="981"/>
      <c r="V11" s="980"/>
      <c r="W11" s="980"/>
      <c r="X11" s="980"/>
      <c r="Y11" s="980"/>
      <c r="Z11" s="980"/>
      <c r="AA11" s="980"/>
      <c r="AB11" s="980"/>
      <c r="AC11" s="980"/>
      <c r="AD11" s="980"/>
      <c r="AE11" s="980"/>
      <c r="AF11" s="997"/>
    </row>
    <row r="12" spans="2:33" s="363" customFormat="1" ht="31.5" customHeight="1">
      <c r="E12" s="996"/>
      <c r="F12" s="1006" t="str">
        <f>'PRINTOUT(BOM)'!A16</f>
        <v xml:space="preserve">Roof </v>
      </c>
      <c r="G12" s="1006" t="str">
        <f>'PRINTOUT(BOM)'!B16</f>
        <v>RF00M</v>
      </c>
      <c r="H12" s="1006">
        <f>'PRINTOUT(BOM)'!C16</f>
        <v>49</v>
      </c>
      <c r="I12" s="980"/>
      <c r="J12" s="1011">
        <f t="shared" ref="J12:J23" si="1">H12-K12</f>
        <v>-70</v>
      </c>
      <c r="K12" s="981">
        <f t="shared" ref="K12:K24" si="2">SUM(L12:AE12)</f>
        <v>119</v>
      </c>
      <c r="L12" s="981">
        <v>30</v>
      </c>
      <c r="M12" s="981">
        <v>30</v>
      </c>
      <c r="N12" s="981">
        <v>30</v>
      </c>
      <c r="O12" s="981">
        <v>29</v>
      </c>
      <c r="P12" s="981"/>
      <c r="Q12" s="981"/>
      <c r="R12" s="981"/>
      <c r="S12" s="981"/>
      <c r="T12" s="981"/>
      <c r="U12" s="981"/>
      <c r="V12" s="980"/>
      <c r="W12" s="980"/>
      <c r="X12" s="980"/>
      <c r="Y12" s="980"/>
      <c r="Z12" s="980"/>
      <c r="AA12" s="980"/>
      <c r="AB12" s="980"/>
      <c r="AC12" s="980"/>
      <c r="AD12" s="980"/>
      <c r="AE12" s="980"/>
      <c r="AF12" s="997"/>
    </row>
    <row r="13" spans="2:33" s="363" customFormat="1" ht="31.5" customHeight="1">
      <c r="E13" s="996"/>
      <c r="F13" s="1006" t="str">
        <f>'PRINTOUT(BOM)'!A17</f>
        <v>Base</v>
      </c>
      <c r="G13" s="1006" t="str">
        <f>'PRINTOUT(BOM)'!B17</f>
        <v>BF30M</v>
      </c>
      <c r="H13" s="1006">
        <f>'PRINTOUT(BOM)'!C17</f>
        <v>49</v>
      </c>
      <c r="I13" s="980"/>
      <c r="J13" s="1011">
        <f t="shared" si="1"/>
        <v>39</v>
      </c>
      <c r="K13" s="981">
        <f t="shared" si="2"/>
        <v>10</v>
      </c>
      <c r="L13" s="981"/>
      <c r="M13" s="981"/>
      <c r="N13" s="981"/>
      <c r="O13" s="981"/>
      <c r="P13" s="981">
        <v>10</v>
      </c>
      <c r="Q13" s="981"/>
      <c r="R13" s="981"/>
      <c r="S13" s="981"/>
      <c r="T13" s="981"/>
      <c r="U13" s="981"/>
      <c r="V13" s="980"/>
      <c r="W13" s="980"/>
      <c r="X13" s="980"/>
      <c r="Y13" s="980"/>
      <c r="Z13" s="980"/>
      <c r="AA13" s="980"/>
      <c r="AB13" s="980"/>
      <c r="AC13" s="980"/>
      <c r="AD13" s="980"/>
      <c r="AE13" s="980"/>
      <c r="AF13" s="997"/>
    </row>
    <row r="14" spans="2:33" s="363" customFormat="1" ht="31.5" customHeight="1">
      <c r="E14" s="996"/>
      <c r="F14" s="1006" t="str">
        <f>'PRINTOUT(BOM)'!A18</f>
        <v>Nozzle_Drain</v>
      </c>
      <c r="G14" s="1006" t="str">
        <f>'PRINTOUT(BOM)'!B18</f>
        <v>DN30M</v>
      </c>
      <c r="H14" s="1006">
        <f>'PRINTOUT(BOM)'!C18</f>
        <v>1</v>
      </c>
      <c r="I14" s="980"/>
      <c r="J14" s="1011">
        <f t="shared" si="1"/>
        <v>-118</v>
      </c>
      <c r="K14" s="981">
        <f t="shared" si="2"/>
        <v>119</v>
      </c>
      <c r="L14" s="981"/>
      <c r="M14" s="981"/>
      <c r="N14" s="981"/>
      <c r="O14" s="981"/>
      <c r="P14" s="981"/>
      <c r="Q14" s="981">
        <v>24</v>
      </c>
      <c r="R14" s="981">
        <v>24</v>
      </c>
      <c r="S14" s="981">
        <v>24</v>
      </c>
      <c r="T14" s="981">
        <v>24</v>
      </c>
      <c r="U14" s="981">
        <v>23</v>
      </c>
      <c r="V14" s="980"/>
      <c r="W14" s="980"/>
      <c r="X14" s="980"/>
      <c r="Y14" s="980"/>
      <c r="Z14" s="980"/>
      <c r="AA14" s="980"/>
      <c r="AB14" s="980"/>
      <c r="AC14" s="980"/>
      <c r="AD14" s="980"/>
      <c r="AE14" s="980"/>
      <c r="AF14" s="997"/>
    </row>
    <row r="15" spans="2:33" s="363" customFormat="1" ht="31.5" customHeight="1">
      <c r="E15" s="996"/>
      <c r="F15" s="1006" t="str">
        <f>'PRINTOUT(BOM)'!A19</f>
        <v>Side Top</v>
      </c>
      <c r="G15" s="1006" t="str">
        <f>'PRINTOUT(BOM)'!B19</f>
        <v>SL20T</v>
      </c>
      <c r="H15" s="1006">
        <f>'PRINTOUT(BOM)'!C19</f>
        <v>30</v>
      </c>
      <c r="I15" s="980"/>
      <c r="J15" s="1011">
        <f t="shared" si="1"/>
        <v>20</v>
      </c>
      <c r="K15" s="981">
        <f t="shared" si="2"/>
        <v>10</v>
      </c>
      <c r="L15" s="981"/>
      <c r="M15" s="981"/>
      <c r="N15" s="981"/>
      <c r="O15" s="981"/>
      <c r="P15" s="981"/>
      <c r="Q15" s="981"/>
      <c r="R15" s="981"/>
      <c r="S15" s="981"/>
      <c r="T15" s="981"/>
      <c r="U15" s="981"/>
      <c r="V15" s="980">
        <v>10</v>
      </c>
      <c r="W15" s="980"/>
      <c r="X15" s="980"/>
      <c r="Y15" s="980"/>
      <c r="Z15" s="980"/>
      <c r="AA15" s="980"/>
      <c r="AB15" s="980"/>
      <c r="AC15" s="980"/>
      <c r="AD15" s="980"/>
      <c r="AE15" s="980"/>
      <c r="AF15" s="997"/>
    </row>
    <row r="16" spans="2:33" s="363" customFormat="1" ht="31.5" customHeight="1">
      <c r="E16" s="996"/>
      <c r="F16" s="1006" t="str">
        <f>'PRINTOUT(BOM)'!A20</f>
        <v>Side_Low</v>
      </c>
      <c r="G16" s="1006" t="str">
        <f>'PRINTOUT(BOM)'!B20</f>
        <v>SF30L</v>
      </c>
      <c r="H16" s="1006">
        <f>'PRINTOUT(BOM)'!C20</f>
        <v>30</v>
      </c>
      <c r="I16" s="980"/>
      <c r="J16" s="1011">
        <f t="shared" si="1"/>
        <v>29</v>
      </c>
      <c r="K16" s="981">
        <f t="shared" si="2"/>
        <v>1</v>
      </c>
      <c r="L16" s="981"/>
      <c r="M16" s="981"/>
      <c r="N16" s="981"/>
      <c r="O16" s="981"/>
      <c r="P16" s="981"/>
      <c r="Q16" s="981"/>
      <c r="R16" s="981"/>
      <c r="S16" s="981"/>
      <c r="T16" s="981"/>
      <c r="U16" s="981"/>
      <c r="V16" s="980"/>
      <c r="W16" s="980">
        <v>1</v>
      </c>
      <c r="X16" s="980"/>
      <c r="Y16" s="980"/>
      <c r="Z16" s="980"/>
      <c r="AA16" s="980"/>
      <c r="AB16" s="980"/>
      <c r="AC16" s="980"/>
      <c r="AD16" s="980"/>
      <c r="AE16" s="980"/>
      <c r="AF16" s="997"/>
    </row>
    <row r="17" spans="5:33" s="363" customFormat="1" ht="31.5" customHeight="1">
      <c r="E17" s="996"/>
      <c r="F17" s="1006" t="str">
        <f>'PRINTOUT(BOM)'!A21</f>
        <v/>
      </c>
      <c r="G17" s="1006">
        <f>'PRINTOUT(BOM)'!B21</f>
        <v>0</v>
      </c>
      <c r="H17" s="1006">
        <f>'PRINTOUT(BOM)'!C21</f>
        <v>0</v>
      </c>
      <c r="I17" s="980"/>
      <c r="J17" s="1011">
        <f t="shared" si="1"/>
        <v>-44</v>
      </c>
      <c r="K17" s="981">
        <f t="shared" si="2"/>
        <v>44</v>
      </c>
      <c r="L17" s="981"/>
      <c r="M17" s="981"/>
      <c r="N17" s="981"/>
      <c r="O17" s="981"/>
      <c r="P17" s="981"/>
      <c r="Q17" s="981"/>
      <c r="R17" s="981"/>
      <c r="S17" s="981"/>
      <c r="T17" s="981"/>
      <c r="U17" s="981"/>
      <c r="V17" s="980"/>
      <c r="W17" s="980">
        <v>23</v>
      </c>
      <c r="X17" s="980">
        <v>21</v>
      </c>
      <c r="Y17" s="980"/>
      <c r="Z17" s="980"/>
      <c r="AA17" s="980"/>
      <c r="AB17" s="980"/>
      <c r="AC17" s="980"/>
      <c r="AD17" s="980"/>
      <c r="AE17" s="980"/>
      <c r="AF17" s="997"/>
    </row>
    <row r="18" spans="5:33" s="363" customFormat="1" ht="31.5" customHeight="1">
      <c r="E18" s="996"/>
      <c r="F18" s="1006" t="str">
        <f>'PRINTOUT(BOM)'!A22</f>
        <v/>
      </c>
      <c r="G18" s="1006">
        <f>'PRINTOUT(BOM)'!B22</f>
        <v>0</v>
      </c>
      <c r="H18" s="1006">
        <f>'PRINTOUT(BOM)'!C22</f>
        <v>0</v>
      </c>
      <c r="I18" s="980"/>
      <c r="J18" s="1011">
        <f t="shared" si="1"/>
        <v>-2</v>
      </c>
      <c r="K18" s="981">
        <f t="shared" si="2"/>
        <v>2</v>
      </c>
      <c r="L18" s="981"/>
      <c r="M18" s="981"/>
      <c r="N18" s="981"/>
      <c r="O18" s="981"/>
      <c r="P18" s="981"/>
      <c r="Q18" s="981"/>
      <c r="R18" s="981"/>
      <c r="S18" s="981"/>
      <c r="T18" s="981"/>
      <c r="U18" s="981"/>
      <c r="V18" s="980"/>
      <c r="W18" s="980"/>
      <c r="X18" s="980">
        <v>2</v>
      </c>
      <c r="Y18" s="980"/>
      <c r="Z18" s="980"/>
      <c r="AA18" s="980"/>
      <c r="AB18" s="980"/>
      <c r="AC18" s="980"/>
      <c r="AD18" s="980"/>
      <c r="AE18" s="980"/>
      <c r="AF18" s="997"/>
    </row>
    <row r="19" spans="5:33" s="363" customFormat="1" ht="31.5" customHeight="1">
      <c r="E19" s="996"/>
      <c r="F19" s="1006" t="str">
        <f>'PRINTOUT(BOM)'!A23</f>
        <v/>
      </c>
      <c r="G19" s="1006">
        <f>'PRINTOUT(BOM)'!B23</f>
        <v>0</v>
      </c>
      <c r="H19" s="1006">
        <f>'PRINTOUT(BOM)'!C23</f>
        <v>0</v>
      </c>
      <c r="I19" s="980"/>
      <c r="J19" s="1011">
        <f t="shared" si="1"/>
        <v>-2</v>
      </c>
      <c r="K19" s="981">
        <f t="shared" si="2"/>
        <v>2</v>
      </c>
      <c r="L19" s="981"/>
      <c r="M19" s="981"/>
      <c r="N19" s="981"/>
      <c r="O19" s="981"/>
      <c r="P19" s="981"/>
      <c r="Q19" s="981"/>
      <c r="R19" s="981"/>
      <c r="S19" s="981"/>
      <c r="T19" s="981"/>
      <c r="U19" s="981"/>
      <c r="V19" s="980" t="str">
        <f>IFERROR(VLOOKUP(G19,#REF!,10,FALSE),"")</f>
        <v/>
      </c>
      <c r="W19" s="980"/>
      <c r="X19" s="980">
        <v>2</v>
      </c>
      <c r="Y19" s="980"/>
      <c r="Z19" s="980"/>
      <c r="AA19" s="980"/>
      <c r="AB19" s="980"/>
      <c r="AC19" s="980"/>
      <c r="AD19" s="980"/>
      <c r="AE19" s="980" t="str">
        <f>IFERROR(VLOOKUP(G19,#REF!,11,FALSE),"")</f>
        <v/>
      </c>
      <c r="AF19" s="997" t="str">
        <f>IFERROR(VLOOKUP(G19,#REF!,12,FALSE),"")</f>
        <v/>
      </c>
    </row>
    <row r="20" spans="5:33" s="363" customFormat="1" ht="31.5" customHeight="1">
      <c r="E20" s="996"/>
      <c r="F20" s="1006" t="str">
        <f>'PRINTOUT(BOM)'!A24</f>
        <v/>
      </c>
      <c r="G20" s="1006">
        <f>'PRINTOUT(BOM)'!B24</f>
        <v>0</v>
      </c>
      <c r="H20" s="1006">
        <f>'PRINTOUT(BOM)'!C24</f>
        <v>0</v>
      </c>
      <c r="I20" s="980"/>
      <c r="J20" s="1011">
        <f t="shared" si="1"/>
        <v>-44</v>
      </c>
      <c r="K20" s="981">
        <f t="shared" si="2"/>
        <v>44</v>
      </c>
      <c r="L20" s="981"/>
      <c r="M20" s="981"/>
      <c r="N20" s="981"/>
      <c r="O20" s="981"/>
      <c r="P20" s="981"/>
      <c r="Q20" s="981"/>
      <c r="R20" s="981"/>
      <c r="S20" s="981"/>
      <c r="T20" s="981"/>
      <c r="U20" s="981"/>
      <c r="V20" s="980" t="str">
        <f>IFERROR(VLOOKUP(G20,#REF!,10,FALSE),"")</f>
        <v/>
      </c>
      <c r="W20" s="980"/>
      <c r="X20" s="980"/>
      <c r="Y20" s="980">
        <v>24</v>
      </c>
      <c r="Z20" s="980"/>
      <c r="AA20" s="980"/>
      <c r="AB20" s="980">
        <v>20</v>
      </c>
      <c r="AC20" s="980"/>
      <c r="AD20" s="980"/>
      <c r="AE20" s="980" t="str">
        <f>IFERROR(VLOOKUP(G20,#REF!,11,FALSE),"")</f>
        <v/>
      </c>
      <c r="AF20" s="997" t="str">
        <f>IFERROR(VLOOKUP(G20,#REF!,12,FALSE),"")</f>
        <v/>
      </c>
    </row>
    <row r="21" spans="5:33" s="363" customFormat="1" ht="31.5" customHeight="1">
      <c r="E21" s="996"/>
      <c r="F21" s="1006" t="str">
        <f>'PRINTOUT(BOM)'!A25</f>
        <v/>
      </c>
      <c r="G21" s="1006">
        <f>'PRINTOUT(BOM)'!B25</f>
        <v>0</v>
      </c>
      <c r="H21" s="1006">
        <f>'PRINTOUT(BOM)'!C25</f>
        <v>0</v>
      </c>
      <c r="I21" s="980"/>
      <c r="J21" s="1011">
        <f t="shared" si="1"/>
        <v>-2</v>
      </c>
      <c r="K21" s="981">
        <f t="shared" si="2"/>
        <v>2</v>
      </c>
      <c r="L21" s="981"/>
      <c r="M21" s="981"/>
      <c r="N21" s="981"/>
      <c r="O21" s="981"/>
      <c r="P21" s="981"/>
      <c r="Q21" s="981"/>
      <c r="R21" s="981"/>
      <c r="S21" s="981"/>
      <c r="T21" s="981"/>
      <c r="U21" s="981"/>
      <c r="V21" s="980" t="str">
        <f>IFERROR(VLOOKUP(G21,#REF!,10,FALSE),"")</f>
        <v/>
      </c>
      <c r="W21" s="980"/>
      <c r="X21" s="980"/>
      <c r="Y21" s="980"/>
      <c r="Z21" s="980">
        <v>2</v>
      </c>
      <c r="AA21" s="980"/>
      <c r="AB21" s="980"/>
      <c r="AC21" s="980"/>
      <c r="AD21" s="980"/>
      <c r="AE21" s="980" t="str">
        <f>IFERROR(VLOOKUP(G21,#REF!,11,FALSE),"")</f>
        <v/>
      </c>
      <c r="AF21" s="997" t="str">
        <f>IFERROR(VLOOKUP(G21,#REF!,12,FALSE),"")</f>
        <v/>
      </c>
    </row>
    <row r="22" spans="5:33" s="364" customFormat="1" ht="31.5" customHeight="1">
      <c r="E22" s="996"/>
      <c r="F22" s="1006" t="str">
        <f>'PRINTOUT(BOM)'!A26</f>
        <v/>
      </c>
      <c r="G22" s="1006">
        <f>'PRINTOUT(BOM)'!B26</f>
        <v>0</v>
      </c>
      <c r="H22" s="1006">
        <f>'PRINTOUT(BOM)'!C26</f>
        <v>0</v>
      </c>
      <c r="I22" s="982"/>
      <c r="J22" s="1011">
        <f t="shared" si="1"/>
        <v>-44</v>
      </c>
      <c r="K22" s="981">
        <f t="shared" si="2"/>
        <v>44</v>
      </c>
      <c r="L22" s="981"/>
      <c r="M22" s="981"/>
      <c r="N22" s="981"/>
      <c r="O22" s="981"/>
      <c r="P22" s="981"/>
      <c r="Q22" s="981"/>
      <c r="R22" s="981"/>
      <c r="S22" s="981"/>
      <c r="T22" s="981"/>
      <c r="U22" s="981"/>
      <c r="V22" s="980" t="str">
        <f>IFERROR(VLOOKUP(G22,#REF!,10,FALSE),"")</f>
        <v/>
      </c>
      <c r="W22" s="980"/>
      <c r="X22" s="980"/>
      <c r="Y22" s="980"/>
      <c r="Z22" s="980">
        <v>20</v>
      </c>
      <c r="AA22" s="980">
        <v>24</v>
      </c>
      <c r="AB22" s="980"/>
      <c r="AC22" s="980"/>
      <c r="AD22" s="980"/>
      <c r="AE22" s="980" t="str">
        <f>IFERROR(VLOOKUP(G22,#REF!,11,FALSE),"")</f>
        <v/>
      </c>
      <c r="AF22" s="997" t="str">
        <f>IFERROR(VLOOKUP(G22,#REF!,12,FALSE),"")</f>
        <v/>
      </c>
      <c r="AG22" s="363"/>
    </row>
    <row r="23" spans="5:33" s="364" customFormat="1" ht="31.5" customHeight="1">
      <c r="E23" s="996"/>
      <c r="F23" s="1006" t="str">
        <f>'PRINTOUT(BOM)'!A27</f>
        <v/>
      </c>
      <c r="G23" s="1006">
        <f>'PRINTOUT(BOM)'!B27</f>
        <v>0</v>
      </c>
      <c r="H23" s="1006">
        <f>'PRINTOUT(BOM)'!C27</f>
        <v>0</v>
      </c>
      <c r="I23" s="982"/>
      <c r="J23" s="1011">
        <f t="shared" si="1"/>
        <v>-2</v>
      </c>
      <c r="K23" s="981">
        <f t="shared" si="2"/>
        <v>2</v>
      </c>
      <c r="L23" s="981"/>
      <c r="M23" s="981"/>
      <c r="N23" s="981"/>
      <c r="O23" s="981"/>
      <c r="P23" s="981"/>
      <c r="Q23" s="981"/>
      <c r="R23" s="981"/>
      <c r="S23" s="981"/>
      <c r="T23" s="981"/>
      <c r="U23" s="981"/>
      <c r="V23" s="980" t="str">
        <f>IFERROR(VLOOKUP(G23,#REF!,10,FALSE),"")</f>
        <v/>
      </c>
      <c r="W23" s="980"/>
      <c r="X23" s="980"/>
      <c r="Y23" s="980"/>
      <c r="Z23" s="980">
        <v>2</v>
      </c>
      <c r="AA23" s="980"/>
      <c r="AB23" s="980"/>
      <c r="AC23" s="980"/>
      <c r="AD23" s="980"/>
      <c r="AE23" s="980" t="str">
        <f>IFERROR(VLOOKUP(G23,#REF!,11,FALSE),"")</f>
        <v/>
      </c>
      <c r="AF23" s="997" t="str">
        <f>IFERROR(VLOOKUP(G23,#REF!,12,FALSE),"")</f>
        <v/>
      </c>
      <c r="AG23" s="363"/>
    </row>
    <row r="24" spans="5:33" s="364" customFormat="1" ht="31.5" customHeight="1">
      <c r="E24" s="996"/>
      <c r="F24" s="1006" t="str">
        <f>'PRINTOUT(BOM)'!A30</f>
        <v/>
      </c>
      <c r="G24" s="1006">
        <f>'PRINTOUT(BOM)'!B30</f>
        <v>0</v>
      </c>
      <c r="H24" s="1006">
        <f>'PRINTOUT(BOM)'!C30</f>
        <v>0</v>
      </c>
      <c r="I24" s="982"/>
      <c r="J24" s="981" t="str">
        <f>IFERROR(VLOOKUP(G24,#REF!,2,FALSE),"")</f>
        <v/>
      </c>
      <c r="K24" s="981">
        <f t="shared" si="2"/>
        <v>0</v>
      </c>
      <c r="L24" s="981"/>
      <c r="M24" s="981"/>
      <c r="N24" s="981"/>
      <c r="O24" s="981"/>
      <c r="P24" s="981"/>
      <c r="Q24" s="981"/>
      <c r="R24" s="981"/>
      <c r="S24" s="981"/>
      <c r="T24" s="981"/>
      <c r="U24" s="981"/>
      <c r="V24" s="980" t="str">
        <f>IFERROR(VLOOKUP(G24,#REF!,10,FALSE),"")</f>
        <v/>
      </c>
      <c r="W24" s="980"/>
      <c r="X24" s="980"/>
      <c r="Y24" s="980"/>
      <c r="Z24" s="980"/>
      <c r="AA24" s="980"/>
      <c r="AB24" s="980"/>
      <c r="AC24" s="980"/>
      <c r="AD24" s="980"/>
      <c r="AE24" s="980" t="str">
        <f>IFERROR(VLOOKUP(G24,#REF!,11,FALSE),"")</f>
        <v/>
      </c>
      <c r="AF24" s="997" t="str">
        <f>IFERROR(VLOOKUP(G24,#REF!,12,FALSE),"")</f>
        <v/>
      </c>
      <c r="AG24" s="363"/>
    </row>
    <row r="25" spans="5:33" s="364" customFormat="1" ht="31.5" customHeight="1">
      <c r="E25" s="996"/>
      <c r="F25" s="1006" t="str">
        <f>'PRINTOUT(BOM)'!A31</f>
        <v/>
      </c>
      <c r="G25" s="1006">
        <f>'PRINTOUT(BOM)'!B31</f>
        <v>0</v>
      </c>
      <c r="H25" s="1006">
        <f>'PRINTOUT(BOM)'!C31</f>
        <v>0</v>
      </c>
      <c r="I25" s="982"/>
      <c r="J25" s="981" t="str">
        <f>IFERROR(VLOOKUP(G25,#REF!,2,FALSE),"")</f>
        <v/>
      </c>
      <c r="K25" s="981" t="str">
        <f>IFERROR(VLOOKUP(G25,#REF!,3,FALSE),"")</f>
        <v/>
      </c>
      <c r="L25" s="981"/>
      <c r="M25" s="981"/>
      <c r="N25" s="981"/>
      <c r="O25" s="981"/>
      <c r="P25" s="981"/>
      <c r="Q25" s="981"/>
      <c r="R25" s="981"/>
      <c r="S25" s="981"/>
      <c r="T25" s="981"/>
      <c r="U25" s="981"/>
      <c r="V25" s="980" t="str">
        <f>IFERROR(VLOOKUP(G25,#REF!,10,FALSE),"")</f>
        <v/>
      </c>
      <c r="W25" s="980"/>
      <c r="X25" s="980"/>
      <c r="Y25" s="980"/>
      <c r="Z25" s="980"/>
      <c r="AA25" s="980"/>
      <c r="AB25" s="980"/>
      <c r="AC25" s="980"/>
      <c r="AD25" s="980"/>
      <c r="AE25" s="980" t="str">
        <f>IFERROR(VLOOKUP(G25,#REF!,11,FALSE),"")</f>
        <v/>
      </c>
      <c r="AF25" s="997" t="str">
        <f>IFERROR(VLOOKUP(G25,#REF!,12,FALSE),"")</f>
        <v/>
      </c>
      <c r="AG25" s="363"/>
    </row>
    <row r="26" spans="5:33" s="364" customFormat="1" ht="31.5" customHeight="1">
      <c r="E26" s="996"/>
      <c r="F26" s="1006" t="str">
        <f>'PRINTOUT(BOM)'!A32</f>
        <v/>
      </c>
      <c r="G26" s="1006">
        <f>'PRINTOUT(BOM)'!B32</f>
        <v>0</v>
      </c>
      <c r="H26" s="1006">
        <f>'PRINTOUT(BOM)'!C32</f>
        <v>0</v>
      </c>
      <c r="I26" s="982"/>
      <c r="J26" s="981" t="str">
        <f>IFERROR(VLOOKUP(G26,#REF!,2,FALSE),"")</f>
        <v/>
      </c>
      <c r="K26" s="981" t="str">
        <f>IFERROR(VLOOKUP(G26,#REF!,3,FALSE),"")</f>
        <v/>
      </c>
      <c r="L26" s="981"/>
      <c r="M26" s="981"/>
      <c r="N26" s="981"/>
      <c r="O26" s="981"/>
      <c r="P26" s="981"/>
      <c r="Q26" s="981"/>
      <c r="R26" s="981"/>
      <c r="S26" s="981"/>
      <c r="T26" s="981"/>
      <c r="U26" s="981"/>
      <c r="V26" s="980" t="str">
        <f>IFERROR(VLOOKUP(G26,#REF!,10,FALSE),"")</f>
        <v/>
      </c>
      <c r="W26" s="980"/>
      <c r="X26" s="980"/>
      <c r="Y26" s="980"/>
      <c r="Z26" s="980"/>
      <c r="AA26" s="980"/>
      <c r="AB26" s="980"/>
      <c r="AC26" s="980"/>
      <c r="AD26" s="980"/>
      <c r="AE26" s="980" t="str">
        <f>IFERROR(VLOOKUP(G26,#REF!,11,FALSE),"")</f>
        <v/>
      </c>
      <c r="AF26" s="997" t="str">
        <f>IFERROR(VLOOKUP(G26,#REF!,12,FALSE),"")</f>
        <v/>
      </c>
      <c r="AG26" s="363"/>
    </row>
    <row r="27" spans="5:33" s="364" customFormat="1" ht="31.5" customHeight="1">
      <c r="E27" s="996"/>
      <c r="F27" s="1006" t="str">
        <f>'PRINTOUT(BOM)'!A33</f>
        <v/>
      </c>
      <c r="G27" s="1006">
        <f>'PRINTOUT(BOM)'!B33</f>
        <v>0</v>
      </c>
      <c r="H27" s="1006">
        <f>'PRINTOUT(BOM)'!C33</f>
        <v>0</v>
      </c>
      <c r="I27" s="982"/>
      <c r="J27" s="981" t="str">
        <f>IFERROR(VLOOKUP(G27,#REF!,2,FALSE),"")</f>
        <v/>
      </c>
      <c r="K27" s="981" t="str">
        <f>IFERROR(VLOOKUP(G27,#REF!,3,FALSE),"")</f>
        <v/>
      </c>
      <c r="L27" s="981"/>
      <c r="M27" s="981"/>
      <c r="N27" s="981"/>
      <c r="O27" s="981"/>
      <c r="P27" s="981"/>
      <c r="Q27" s="981"/>
      <c r="R27" s="981"/>
      <c r="S27" s="981"/>
      <c r="T27" s="981"/>
      <c r="U27" s="981"/>
      <c r="V27" s="980" t="str">
        <f>IFERROR(VLOOKUP(G27,#REF!,10,FALSE),"")</f>
        <v/>
      </c>
      <c r="W27" s="980"/>
      <c r="X27" s="980"/>
      <c r="Y27" s="980"/>
      <c r="Z27" s="980"/>
      <c r="AA27" s="980"/>
      <c r="AB27" s="980"/>
      <c r="AC27" s="980"/>
      <c r="AD27" s="980"/>
      <c r="AE27" s="980" t="str">
        <f>IFERROR(VLOOKUP(G27,#REF!,11,FALSE),"")</f>
        <v/>
      </c>
      <c r="AF27" s="997" t="str">
        <f>IFERROR(VLOOKUP(G27,#REF!,12,FALSE),"")</f>
        <v/>
      </c>
      <c r="AG27" s="363"/>
    </row>
    <row r="28" spans="5:33" s="364" customFormat="1" ht="31.5" customHeight="1">
      <c r="E28" s="996"/>
      <c r="F28" s="1006" t="str">
        <f>'PRINTOUT(BOM)'!A34</f>
        <v/>
      </c>
      <c r="G28" s="1006">
        <f>'PRINTOUT(BOM)'!B34</f>
        <v>0</v>
      </c>
      <c r="H28" s="1006">
        <f>'PRINTOUT(BOM)'!C34</f>
        <v>0</v>
      </c>
      <c r="I28" s="982"/>
      <c r="J28" s="981" t="str">
        <f>IFERROR(VLOOKUP(G28,#REF!,2,FALSE),"")</f>
        <v/>
      </c>
      <c r="K28" s="981" t="str">
        <f>IFERROR(VLOOKUP(G28,#REF!,3,FALSE),"")</f>
        <v/>
      </c>
      <c r="L28" s="981"/>
      <c r="M28" s="981"/>
      <c r="N28" s="981"/>
      <c r="O28" s="981"/>
      <c r="P28" s="981"/>
      <c r="Q28" s="981"/>
      <c r="R28" s="981"/>
      <c r="S28" s="981"/>
      <c r="T28" s="981"/>
      <c r="U28" s="981"/>
      <c r="V28" s="980" t="str">
        <f>IFERROR(VLOOKUP(G28,#REF!,10,FALSE),"")</f>
        <v/>
      </c>
      <c r="W28" s="980"/>
      <c r="X28" s="980"/>
      <c r="Y28" s="980"/>
      <c r="Z28" s="980"/>
      <c r="AA28" s="980"/>
      <c r="AB28" s="980"/>
      <c r="AC28" s="980"/>
      <c r="AD28" s="980"/>
      <c r="AE28" s="980" t="str">
        <f>IFERROR(VLOOKUP(G28,#REF!,11,FALSE),"")</f>
        <v/>
      </c>
      <c r="AF28" s="997" t="str">
        <f>IFERROR(VLOOKUP(G28,#REF!,12,FALSE),"")</f>
        <v/>
      </c>
      <c r="AG28" s="363"/>
    </row>
    <row r="29" spans="5:33" s="364" customFormat="1" ht="31.5" customHeight="1">
      <c r="E29" s="996"/>
      <c r="F29" s="1006" t="str">
        <f>'PRINTOUT(BOM)'!A35</f>
        <v/>
      </c>
      <c r="G29" s="1006">
        <f>'PRINTOUT(BOM)'!B35</f>
        <v>0</v>
      </c>
      <c r="H29" s="1006">
        <f>'PRINTOUT(BOM)'!C35</f>
        <v>0</v>
      </c>
      <c r="I29" s="982"/>
      <c r="J29" s="981" t="str">
        <f>IFERROR(VLOOKUP(G29,#REF!,2,FALSE),"")</f>
        <v/>
      </c>
      <c r="K29" s="981" t="str">
        <f>IFERROR(VLOOKUP(G29,#REF!,3,FALSE),"")</f>
        <v/>
      </c>
      <c r="L29" s="981"/>
      <c r="M29" s="981"/>
      <c r="N29" s="981"/>
      <c r="O29" s="981"/>
      <c r="P29" s="981" t="str">
        <f>IFERROR(VLOOKUP(G29,#REF!,9,FALSE),"")</f>
        <v/>
      </c>
      <c r="Q29" s="981"/>
      <c r="R29" s="981"/>
      <c r="S29" s="981"/>
      <c r="T29" s="981"/>
      <c r="U29" s="981"/>
      <c r="V29" s="980" t="str">
        <f>IFERROR(VLOOKUP(G29,#REF!,10,FALSE),"")</f>
        <v/>
      </c>
      <c r="W29" s="980"/>
      <c r="X29" s="980"/>
      <c r="Y29" s="980"/>
      <c r="Z29" s="980"/>
      <c r="AA29" s="980"/>
      <c r="AB29" s="980"/>
      <c r="AC29" s="980"/>
      <c r="AD29" s="980"/>
      <c r="AE29" s="980" t="str">
        <f>IFERROR(VLOOKUP(G29,#REF!,11,FALSE),"")</f>
        <v/>
      </c>
      <c r="AF29" s="997" t="str">
        <f>IFERROR(VLOOKUP(G29,#REF!,12,FALSE),"")</f>
        <v/>
      </c>
      <c r="AG29" s="363"/>
    </row>
    <row r="30" spans="5:33" s="364" customFormat="1" ht="31.5" customHeight="1">
      <c r="E30" s="996"/>
      <c r="F30" s="1006" t="str">
        <f>'PRINTOUT(BOM)'!A36</f>
        <v/>
      </c>
      <c r="G30" s="1006">
        <f>'PRINTOUT(BOM)'!B36</f>
        <v>0</v>
      </c>
      <c r="H30" s="1006">
        <f>'PRINTOUT(BOM)'!C36</f>
        <v>0</v>
      </c>
      <c r="I30" s="982"/>
      <c r="J30" s="981" t="str">
        <f>IFERROR(VLOOKUP(G30,#REF!,2,FALSE),"")</f>
        <v/>
      </c>
      <c r="K30" s="981" t="str">
        <f>IFERROR(VLOOKUP(G30,#REF!,3,FALSE),"")</f>
        <v/>
      </c>
      <c r="L30" s="981" t="str">
        <f>IFERROR(VLOOKUP(G30,#REF!,5,FALSE),"")</f>
        <v/>
      </c>
      <c r="M30" s="981" t="str">
        <f>IFERROR(VLOOKUP(G30,#REF!,6,FALSE),"")</f>
        <v/>
      </c>
      <c r="N30" s="981" t="str">
        <f>IFERROR(VLOOKUP(G30,#REF!,7,FALSE),"")</f>
        <v/>
      </c>
      <c r="O30" s="981" t="str">
        <f>IFERROR(VLOOKUP(G30,#REF!,8,FALSE),"")</f>
        <v/>
      </c>
      <c r="P30" s="981" t="str">
        <f>IFERROR(VLOOKUP(G30,#REF!,9,FALSE),"")</f>
        <v/>
      </c>
      <c r="Q30" s="981"/>
      <c r="R30" s="981"/>
      <c r="S30" s="981"/>
      <c r="T30" s="981"/>
      <c r="U30" s="981"/>
      <c r="V30" s="980" t="str">
        <f>IFERROR(VLOOKUP(G30,#REF!,10,FALSE),"")</f>
        <v/>
      </c>
      <c r="W30" s="980"/>
      <c r="X30" s="980"/>
      <c r="Y30" s="980"/>
      <c r="Z30" s="980"/>
      <c r="AA30" s="980"/>
      <c r="AB30" s="980"/>
      <c r="AC30" s="980"/>
      <c r="AD30" s="980"/>
      <c r="AE30" s="980" t="str">
        <f>IFERROR(VLOOKUP(G30,#REF!,11,FALSE),"")</f>
        <v/>
      </c>
      <c r="AF30" s="997" t="str">
        <f>IFERROR(VLOOKUP(G30,#REF!,12,FALSE),"")</f>
        <v/>
      </c>
      <c r="AG30" s="363"/>
    </row>
    <row r="31" spans="5:33" s="364" customFormat="1" ht="31.5" customHeight="1">
      <c r="E31" s="996"/>
      <c r="F31" s="1006" t="str">
        <f>'PRINTOUT(BOM)'!A37</f>
        <v/>
      </c>
      <c r="G31" s="1006">
        <f>'PRINTOUT(BOM)'!B37</f>
        <v>0</v>
      </c>
      <c r="H31" s="1006">
        <f>'PRINTOUT(BOM)'!C37</f>
        <v>0</v>
      </c>
      <c r="I31" s="982"/>
      <c r="J31" s="981" t="str">
        <f>IFERROR(VLOOKUP(G31,#REF!,2,FALSE),"")</f>
        <v/>
      </c>
      <c r="K31" s="981" t="str">
        <f>IFERROR(VLOOKUP(G31,#REF!,3,FALSE),"")</f>
        <v/>
      </c>
      <c r="L31" s="981" t="str">
        <f>IFERROR(VLOOKUP(G31,#REF!,5,FALSE),"")</f>
        <v/>
      </c>
      <c r="M31" s="981" t="str">
        <f>IFERROR(VLOOKUP(G31,#REF!,6,FALSE),"")</f>
        <v/>
      </c>
      <c r="N31" s="981" t="str">
        <f>IFERROR(VLOOKUP(G31,#REF!,7,FALSE),"")</f>
        <v/>
      </c>
      <c r="O31" s="981" t="str">
        <f>IFERROR(VLOOKUP(G31,#REF!,8,FALSE),"")</f>
        <v/>
      </c>
      <c r="P31" s="981" t="str">
        <f>IFERROR(VLOOKUP(G31,#REF!,9,FALSE),"")</f>
        <v/>
      </c>
      <c r="Q31" s="981"/>
      <c r="R31" s="981"/>
      <c r="S31" s="981"/>
      <c r="T31" s="981"/>
      <c r="U31" s="981"/>
      <c r="V31" s="980" t="str">
        <f>IFERROR(VLOOKUP(G31,#REF!,10,FALSE),"")</f>
        <v/>
      </c>
      <c r="W31" s="980"/>
      <c r="X31" s="980"/>
      <c r="Y31" s="980"/>
      <c r="Z31" s="980"/>
      <c r="AA31" s="980"/>
      <c r="AB31" s="980"/>
      <c r="AC31" s="980"/>
      <c r="AD31" s="980"/>
      <c r="AE31" s="980" t="str">
        <f>IFERROR(VLOOKUP(G31,#REF!,11,FALSE),"")</f>
        <v/>
      </c>
      <c r="AF31" s="997" t="str">
        <f>IFERROR(VLOOKUP(G31,#REF!,12,FALSE),"")</f>
        <v/>
      </c>
      <c r="AG31" s="363"/>
    </row>
    <row r="32" spans="5:33" s="364" customFormat="1" ht="31.5" customHeight="1">
      <c r="E32" s="996"/>
      <c r="F32" s="1006" t="str">
        <f>'PRINTOUT(BOM)'!A38</f>
        <v/>
      </c>
      <c r="G32" s="1006">
        <f>'PRINTOUT(BOM)'!B38</f>
        <v>0</v>
      </c>
      <c r="H32" s="1006">
        <f>'PRINTOUT(BOM)'!C38</f>
        <v>0</v>
      </c>
      <c r="I32" s="982"/>
      <c r="J32" s="981" t="str">
        <f>IFERROR(VLOOKUP(G32,#REF!,2,FALSE),"")</f>
        <v/>
      </c>
      <c r="K32" s="981" t="str">
        <f>IFERROR(VLOOKUP(G32,#REF!,3,FALSE),"")</f>
        <v/>
      </c>
      <c r="L32" s="981" t="str">
        <f>IFERROR(VLOOKUP(G32,#REF!,5,FALSE),"")</f>
        <v/>
      </c>
      <c r="M32" s="981" t="str">
        <f>IFERROR(VLOOKUP(G32,#REF!,6,FALSE),"")</f>
        <v/>
      </c>
      <c r="N32" s="981" t="str">
        <f>IFERROR(VLOOKUP(G32,#REF!,7,FALSE),"")</f>
        <v/>
      </c>
      <c r="O32" s="981" t="str">
        <f>IFERROR(VLOOKUP(G32,#REF!,8,FALSE),"")</f>
        <v/>
      </c>
      <c r="P32" s="981" t="str">
        <f>IFERROR(VLOOKUP(G32,#REF!,9,FALSE),"")</f>
        <v/>
      </c>
      <c r="Q32" s="981"/>
      <c r="R32" s="981"/>
      <c r="S32" s="981"/>
      <c r="T32" s="981"/>
      <c r="U32" s="981"/>
      <c r="V32" s="980" t="str">
        <f>IFERROR(VLOOKUP(G32,#REF!,10,FALSE),"")</f>
        <v/>
      </c>
      <c r="W32" s="980"/>
      <c r="X32" s="980"/>
      <c r="Y32" s="980"/>
      <c r="Z32" s="980"/>
      <c r="AA32" s="980"/>
      <c r="AB32" s="980"/>
      <c r="AC32" s="980"/>
      <c r="AD32" s="980"/>
      <c r="AE32" s="980" t="str">
        <f>IFERROR(VLOOKUP(G32,#REF!,11,FALSE),"")</f>
        <v/>
      </c>
      <c r="AF32" s="997" t="str">
        <f>IFERROR(VLOOKUP(G32,#REF!,12,FALSE),"")</f>
        <v/>
      </c>
      <c r="AG32" s="363"/>
    </row>
    <row r="33" spans="5:33" s="364" customFormat="1" ht="31.5" customHeight="1" thickBot="1">
      <c r="E33" s="1494" t="s">
        <v>204</v>
      </c>
      <c r="F33" s="1495"/>
      <c r="G33" s="1496"/>
      <c r="H33" s="998">
        <f>SUM(H11:H32)</f>
        <v>160</v>
      </c>
      <c r="I33" s="998">
        <f t="shared" ref="I33:AE33" si="3">SUM(I11:I32)</f>
        <v>0</v>
      </c>
      <c r="J33" s="998">
        <f t="shared" si="3"/>
        <v>-240</v>
      </c>
      <c r="K33" s="998">
        <f t="shared" si="3"/>
        <v>400</v>
      </c>
      <c r="L33" s="998">
        <f t="shared" si="3"/>
        <v>31</v>
      </c>
      <c r="M33" s="998">
        <f t="shared" si="3"/>
        <v>30</v>
      </c>
      <c r="N33" s="998">
        <f t="shared" si="3"/>
        <v>30</v>
      </c>
      <c r="O33" s="998">
        <f t="shared" si="3"/>
        <v>29</v>
      </c>
      <c r="P33" s="998">
        <f t="shared" si="3"/>
        <v>10</v>
      </c>
      <c r="Q33" s="998">
        <f t="shared" si="3"/>
        <v>24</v>
      </c>
      <c r="R33" s="998">
        <f t="shared" si="3"/>
        <v>24</v>
      </c>
      <c r="S33" s="998">
        <f t="shared" si="3"/>
        <v>24</v>
      </c>
      <c r="T33" s="998">
        <f t="shared" si="3"/>
        <v>24</v>
      </c>
      <c r="U33" s="998">
        <f t="shared" si="3"/>
        <v>23</v>
      </c>
      <c r="V33" s="998">
        <f t="shared" si="3"/>
        <v>10</v>
      </c>
      <c r="W33" s="998">
        <f t="shared" si="3"/>
        <v>24</v>
      </c>
      <c r="X33" s="998">
        <f t="shared" si="3"/>
        <v>25</v>
      </c>
      <c r="Y33" s="998">
        <f t="shared" si="3"/>
        <v>24</v>
      </c>
      <c r="Z33" s="998">
        <f t="shared" si="3"/>
        <v>24</v>
      </c>
      <c r="AA33" s="998">
        <f t="shared" si="3"/>
        <v>24</v>
      </c>
      <c r="AB33" s="998">
        <f t="shared" si="3"/>
        <v>20</v>
      </c>
      <c r="AC33" s="998">
        <f t="shared" si="3"/>
        <v>0</v>
      </c>
      <c r="AD33" s="998">
        <f t="shared" si="3"/>
        <v>0</v>
      </c>
      <c r="AE33" s="998">
        <f t="shared" si="3"/>
        <v>0</v>
      </c>
      <c r="AF33" s="1002" t="str">
        <f>IFERROR(VLOOKUP(G33,#REF!,12,FALSE),"")</f>
        <v/>
      </c>
      <c r="AG33" s="363"/>
    </row>
    <row r="48" spans="5:33">
      <c r="F48" s="342" t="str">
        <f t="array" ref="F48">IF(ISERROR(INDEX(G20:G41,SMALL(IF(L20:L41&lt;&gt;0,ROW(L20:L41)-5),ROW(F10)))),"",INDEX(Panel!$I$6:$I$115,SMALL(IF(Panel!$J$6:$J$115&lt;&gt;0,ROW(Panel!$J$6:$J$115)-5),ROW(F10))))</f>
        <v/>
      </c>
    </row>
    <row r="49" spans="6:6">
      <c r="F49" s="342" t="str">
        <f t="array" ref="F49">IF(ISERROR(INDEX(G21:G42,SMALL(IF(L21:L42&lt;&gt;0,ROW(L21:L42)-5),ROW(F11)))),"",INDEX(Panel!$I$6:$I$115,SMALL(IF(Panel!$J$6:$J$115&lt;&gt;0,ROW(Panel!$J$6:$J$115)-5),ROW(F11))))</f>
        <v/>
      </c>
    </row>
    <row r="50" spans="6:6">
      <c r="F50" s="342" t="str">
        <f t="array" ref="F50">IF(ISERROR(INDEX(G22:G43,SMALL(IF(L22:L43&lt;&gt;0,ROW(L22:L43)-5),ROW(F12)))),"",INDEX(Panel!$I$6:$I$115,SMALL(IF(Panel!$J$6:$J$115&lt;&gt;0,ROW(Panel!$J$6:$J$115)-5),ROW(F12))))</f>
        <v/>
      </c>
    </row>
    <row r="51" spans="6:6">
      <c r="F51" s="342" t="str">
        <f t="array" ref="F51">IF(ISERROR(INDEX(G23:G44,SMALL(IF(L23:L44&lt;&gt;0,ROW(L23:L44)-5),ROW(F13)))),"",INDEX(Panel!$I$6:$I$115,SMALL(IF(Panel!$J$6:$J$115&lt;&gt;0,ROW(Panel!$J$6:$J$115)-5),ROW(F13))))</f>
        <v/>
      </c>
    </row>
    <row r="52" spans="6:6">
      <c r="F52" s="342" t="str">
        <f t="array" ref="F52">IF(ISERROR(INDEX(G24:G45,SMALL(IF(L24:L45&lt;&gt;0,ROW(L24:L45)-5),ROW(F14)))),"",INDEX(Panel!$I$6:$I$115,SMALL(IF(Panel!$J$6:$J$115&lt;&gt;0,ROW(Panel!$J$6:$J$115)-5),ROW(F14))))</f>
        <v/>
      </c>
    </row>
    <row r="53" spans="6:6">
      <c r="F53" s="342" t="str">
        <f t="array" ref="F53">IF(ISERROR(INDEX(G25:G46,SMALL(IF(L25:L46&lt;&gt;0,ROW(L25:L46)-5),ROW(F15)))),"",INDEX(Panel!$I$6:$I$115,SMALL(IF(Panel!$J$6:$J$115&lt;&gt;0,ROW(Panel!$J$6:$J$115)-5),ROW(F15))))</f>
        <v/>
      </c>
    </row>
    <row r="54" spans="6:6">
      <c r="F54" s="342" t="str">
        <f t="array" ref="F54">IF(ISERROR(INDEX(G26:G47,SMALL(IF(L26:L47&lt;&gt;0,ROW(L26:L47)-5),ROW(F16)))),"",INDEX(Panel!$I$6:$I$115,SMALL(IF(Panel!$J$6:$J$115&lt;&gt;0,ROW(Panel!$J$6:$J$115)-5),ROW(F16))))</f>
        <v/>
      </c>
    </row>
    <row r="55" spans="6:6">
      <c r="F55" s="342" t="str">
        <f t="array" ref="F55">IF(ISERROR(INDEX(G27:G48,SMALL(IF(L27:L48&lt;&gt;0,ROW(L27:L48)-5),ROW(F17)))),"",INDEX(Panel!$I$6:$I$115,SMALL(IF(Panel!$J$6:$J$115&lt;&gt;0,ROW(Panel!$J$6:$J$115)-5),ROW(F17))))</f>
        <v/>
      </c>
    </row>
    <row r="56" spans="6:6">
      <c r="F56" s="342" t="str">
        <f t="array" ref="F56">IF(ISERROR(INDEX(G28:G49,SMALL(IF(L28:L49&lt;&gt;0,ROW(L28:L49)-5),ROW(F18)))),"",INDEX(Panel!$I$6:$I$115,SMALL(IF(Panel!$J$6:$J$115&lt;&gt;0,ROW(Panel!$J$6:$J$115)-5),ROW(F18))))</f>
        <v/>
      </c>
    </row>
    <row r="57" spans="6:6">
      <c r="F57" s="342" t="str">
        <f t="array" ref="F57">IF(ISERROR(INDEX(G29:G50,SMALL(IF(L29:L50&lt;&gt;0,ROW(L29:L50)-5),ROW(F19)))),"",INDEX(Panel!$I$6:$I$115,SMALL(IF(Panel!$J$6:$J$115&lt;&gt;0,ROW(Panel!$J$6:$J$115)-5),ROW(F19))))</f>
        <v/>
      </c>
    </row>
    <row r="58" spans="6:6">
      <c r="F58" s="342" t="str">
        <f t="array" ref="F58">IF(ISERROR(INDEX(G30:G51,SMALL(IF(L30:L51&lt;&gt;0,ROW(L30:L51)-5),ROW(F20)))),"",INDEX(Panel!$I$6:$I$115,SMALL(IF(Panel!$J$6:$J$115&lt;&gt;0,ROW(Panel!$J$6:$J$115)-5),ROW(F20))))</f>
        <v/>
      </c>
    </row>
    <row r="59" spans="6:6">
      <c r="F59" s="342" t="str">
        <f t="array" ref="F59">IF(ISERROR(INDEX(G31:G52,SMALL(IF(L31:L52&lt;&gt;0,ROW(L31:L52)-5),ROW(F21)))),"",INDEX(Panel!$I$6:$I$115,SMALL(IF(Panel!$J$6:$J$115&lt;&gt;0,ROW(Panel!$J$6:$J$115)-5),ROW(F21))))</f>
        <v/>
      </c>
    </row>
    <row r="60" spans="6:6">
      <c r="F60" s="342" t="str">
        <f t="array" ref="F60">IF(ISERROR(INDEX(G32:G53,SMALL(IF(L32:L53&lt;&gt;0,ROW(L32:L53)-5),ROW(F22)))),"",INDEX(Panel!$I$6:$I$115,SMALL(IF(Panel!$J$6:$J$115&lt;&gt;0,ROW(Panel!$J$6:$J$115)-5),ROW(F22))))</f>
        <v/>
      </c>
    </row>
    <row r="61" spans="6:6">
      <c r="F61" s="342" t="str">
        <f t="array" ref="F61">IF(ISERROR(INDEX(G33:G54,SMALL(IF(L33:L54&lt;&gt;0,ROW(L33:L54)-5),ROW(F23)))),"",INDEX(Panel!$I$6:$I$115,SMALL(IF(Panel!$J$6:$J$115&lt;&gt;0,ROW(Panel!$J$6:$J$115)-5),ROW(F23))))</f>
        <v/>
      </c>
    </row>
    <row r="62" spans="6:6">
      <c r="F62" s="342" t="str">
        <f t="array" ref="F62">IF(ISERROR(INDEX(G34:G55,SMALL(IF(L34:L55&lt;&gt;0,ROW(L34:L55)-5),ROW(F24)))),"",INDEX(Panel!$I$6:$I$115,SMALL(IF(Panel!$J$6:$J$115&lt;&gt;0,ROW(Panel!$J$6:$J$115)-5),ROW(F24))))</f>
        <v/>
      </c>
    </row>
    <row r="63" spans="6:6">
      <c r="F63" s="342" t="str">
        <f t="array" ref="F63">IF(ISERROR(INDEX(G35:G56,SMALL(IF(L35:L56&lt;&gt;0,ROW(L35:L56)-5),ROW(F25)))),"",INDEX(Panel!$I$6:$I$115,SMALL(IF(Panel!$J$6:$J$115&lt;&gt;0,ROW(Panel!$J$6:$J$115)-5),ROW(F25))))</f>
        <v/>
      </c>
    </row>
    <row r="64" spans="6:6">
      <c r="F64" s="342" t="str">
        <f t="array" ref="F64">IF(ISERROR(INDEX(G36:G57,SMALL(IF(L36:L57&lt;&gt;0,ROW(L36:L57)-5),ROW(F26)))),"",INDEX(Panel!$I$6:$I$115,SMALL(IF(Panel!$J$6:$J$115&lt;&gt;0,ROW(Panel!$J$6:$J$115)-5),ROW(F26))))</f>
        <v/>
      </c>
    </row>
    <row r="65" spans="6:6">
      <c r="F65" s="342" t="str">
        <f t="array" ref="F65">IF(ISERROR(INDEX(G37:G58,SMALL(IF(L37:L58&lt;&gt;0,ROW(L37:L58)-5),ROW(F27)))),"",INDEX(Panel!$I$6:$I$115,SMALL(IF(Panel!$J$6:$J$115&lt;&gt;0,ROW(Panel!$J$6:$J$115)-5),ROW(F27))))</f>
        <v/>
      </c>
    </row>
    <row r="66" spans="6:6">
      <c r="F66" s="342" t="str">
        <f t="array" ref="F66">IF(ISERROR(INDEX(G38:G59,SMALL(IF(L38:L59&lt;&gt;0,ROW(L38:L59)-5),ROW(F28)))),"",INDEX(Panel!$I$6:$I$115,SMALL(IF(Panel!$J$6:$J$115&lt;&gt;0,ROW(Panel!$J$6:$J$115)-5),ROW(F28))))</f>
        <v/>
      </c>
    </row>
    <row r="67" spans="6:6">
      <c r="F67" s="342" t="str">
        <f t="array" ref="F67">IF(ISERROR(INDEX(G39:G60,SMALL(IF(L39:L60&lt;&gt;0,ROW(L39:L60)-5),ROW(F29)))),"",INDEX(Panel!$I$6:$I$115,SMALL(IF(Panel!$J$6:$J$115&lt;&gt;0,ROW(Panel!$J$6:$J$115)-5),ROW(F29))))</f>
        <v/>
      </c>
    </row>
    <row r="68" spans="6:6">
      <c r="F68" s="342" t="str">
        <f t="array" ref="F68">IF(ISERROR(INDEX(G40:G61,SMALL(IF(L40:L61&lt;&gt;0,ROW(L40:L61)-5),ROW(F30)))),"",INDEX(Panel!$I$6:$I$115,SMALL(IF(Panel!$J$6:$J$115&lt;&gt;0,ROW(Panel!$J$6:$J$115)-5),ROW(F30))))</f>
        <v/>
      </c>
    </row>
    <row r="69" spans="6:6">
      <c r="F69" s="342" t="str">
        <f t="array" ref="F69">IF(ISERROR(INDEX(G41:G62,SMALL(IF(L41:L62&lt;&gt;0,ROW(L41:L62)-5),ROW(F31)))),"",INDEX(Panel!$I$6:$I$115,SMALL(IF(Panel!$J$6:$J$115&lt;&gt;0,ROW(Panel!$J$6:$J$115)-5),ROW(F31))))</f>
        <v/>
      </c>
    </row>
    <row r="70" spans="6:6">
      <c r="F70" s="342" t="str">
        <f t="array" ref="F70">IF(ISERROR(INDEX(G42:G63,SMALL(IF(L42:L63&lt;&gt;0,ROW(L42:L63)-5),ROW(F32)))),"",INDEX(Panel!$I$6:$I$115,SMALL(IF(Panel!$J$6:$J$115&lt;&gt;0,ROW(Panel!$J$6:$J$115)-5),ROW(F32))))</f>
        <v/>
      </c>
    </row>
    <row r="71" spans="6:6">
      <c r="F71" s="342" t="str">
        <f t="array" ref="F71">IF(ISERROR(INDEX(G43:G64,SMALL(IF(L43:L64&lt;&gt;0,ROW(L43:L64)-5),ROW(F33)))),"",INDEX(Panel!$I$6:$I$115,SMALL(IF(Panel!$J$6:$J$115&lt;&gt;0,ROW(Panel!$J$6:$J$115)-5),ROW(F33))))</f>
        <v/>
      </c>
    </row>
    <row r="72" spans="6:6">
      <c r="F72" s="342" t="str">
        <f t="array" ref="F72">IF(ISERROR(INDEX(G44:G65,SMALL(IF(L44:L65&lt;&gt;0,ROW(L44:L65)-5),ROW(F34)))),"",INDEX(Panel!$I$6:$I$115,SMALL(IF(Panel!$J$6:$J$115&lt;&gt;0,ROW(Panel!$J$6:$J$115)-5),ROW(F34))))</f>
        <v/>
      </c>
    </row>
    <row r="73" spans="6:6">
      <c r="F73" s="342" t="str">
        <f t="array" ref="F73">IF(ISERROR(INDEX(G45:G66,SMALL(IF(L45:L66&lt;&gt;0,ROW(L45:L66)-5),ROW(F35)))),"",INDEX(Panel!$I$6:$I$115,SMALL(IF(Panel!$J$6:$J$115&lt;&gt;0,ROW(Panel!$J$6:$J$115)-5),ROW(F35))))</f>
        <v/>
      </c>
    </row>
    <row r="74" spans="6:6">
      <c r="F74" s="342" t="str">
        <f t="array" ref="F74">IF(ISERROR(INDEX(G46:G67,SMALL(IF(L46:L67&lt;&gt;0,ROW(L46:L67)-5),ROW(F36)))),"",INDEX(Panel!$I$6:$I$115,SMALL(IF(Panel!$J$6:$J$115&lt;&gt;0,ROW(Panel!$J$6:$J$115)-5),ROW(F36))))</f>
        <v/>
      </c>
    </row>
    <row r="75" spans="6:6">
      <c r="F75" s="342" t="str">
        <f t="array" ref="F75">IF(ISERROR(INDEX(G47:G68,SMALL(IF(L47:L68&lt;&gt;0,ROW(L47:L68)-5),ROW(F37)))),"",INDEX(Panel!$I$6:$I$115,SMALL(IF(Panel!$J$6:$J$115&lt;&gt;0,ROW(Panel!$J$6:$J$115)-5),ROW(F37))))</f>
        <v/>
      </c>
    </row>
    <row r="76" spans="6:6">
      <c r="F76" s="342" t="str">
        <f t="array" ref="F76">IF(ISERROR(INDEX(G48:G69,SMALL(IF(L48:L69&lt;&gt;0,ROW(L48:L69)-5),ROW(B9)))),"",INDEX(Panel!$I$6:$I$115,SMALL(IF(Panel!$J$6:$J$115&lt;&gt;0,ROW(Panel!$J$6:$J$115)-5),ROW(B9))))</f>
        <v/>
      </c>
    </row>
    <row r="77" spans="6:6">
      <c r="F77" s="342" t="str">
        <f t="array" ref="F77">IF(ISERROR(INDEX(G49:G70,SMALL(IF(L49:L70&lt;&gt;0,ROW(L49:L70)-5),ROW(#REF!)))),"",INDEX(Panel!$I$6:$I$115,SMALL(IF(Panel!$J$6:$J$115&lt;&gt;0,ROW(Panel!$J$6:$J$115)-5),ROW(#REF!))))</f>
        <v/>
      </c>
    </row>
    <row r="78" spans="6:6">
      <c r="F78" s="342" t="str">
        <f t="array" ref="F78">IF(ISERROR(INDEX(G50:G71,SMALL(IF(L50:L71&lt;&gt;0,ROW(L50:L71)-5),ROW('PANEL_PACKING(PRINT)'!C105)))),"",INDEX(Panel!$I$6:$I$115,SMALL(IF(Panel!$J$6:$J$115&lt;&gt;0,ROW(Panel!$J$6:$J$115)-5),ROW('PANEL_PACKING(PRINT)'!C105))))</f>
        <v/>
      </c>
    </row>
    <row r="79" spans="6:6">
      <c r="F79" s="342" t="str">
        <f t="array" ref="F79">IF(ISERROR(INDEX(G51:G72,SMALL(IF(L51:L72&lt;&gt;0,ROW(L51:L72)-5),ROW('PANEL_PACKING(PRINT)'!I11)))),"",INDEX(Panel!$I$6:$I$115,SMALL(IF(Panel!$J$6:$J$115&lt;&gt;0,ROW(Panel!$J$6:$J$115)-5),ROW('PANEL_PACKING(PRINT)'!I11))))</f>
        <v/>
      </c>
    </row>
    <row r="80" spans="6:6">
      <c r="F80" s="342" t="str">
        <f t="array" ref="F80">IF(ISERROR(INDEX(G52:G73,SMALL(IF(L52:L73&lt;&gt;0,ROW(L52:L73)-5),ROW('PANEL_PACKING(PRINT)'!B28)))),"",INDEX(Panel!$I$6:$I$115,SMALL(IF(Panel!$J$6:$J$115&lt;&gt;0,ROW(Panel!$J$6:$J$115)-5),ROW('PANEL_PACKING(PRINT)'!B28))))</f>
        <v/>
      </c>
    </row>
    <row r="81" spans="6:6">
      <c r="F81" s="342" t="str">
        <f t="array" ref="F81">IF(ISERROR(INDEX(G53:G74,SMALL(IF(L53:L74&lt;&gt;0,ROW(L53:L74)-5),ROW('PANEL_PACKING(PRINT)'!B29)))),"",INDEX(Panel!$I$6:$I$115,SMALL(IF(Panel!$J$6:$J$115&lt;&gt;0,ROW(Panel!$J$6:$J$115)-5),ROW('PANEL_PACKING(PRINT)'!B29))))</f>
        <v/>
      </c>
    </row>
    <row r="82" spans="6:6">
      <c r="F82" s="342" t="str">
        <f t="array" ref="F82">IF(ISERROR(INDEX(G54:G75,SMALL(IF(L54:L75&lt;&gt;0,ROW(L54:L75)-5),ROW('PANEL_PACKING(PRINT)'!B30)))),"",INDEX(Panel!$I$6:$I$115,SMALL(IF(Panel!$J$6:$J$115&lt;&gt;0,ROW(Panel!$J$6:$J$115)-5),ROW('PANEL_PACKING(PRINT)'!B30))))</f>
        <v/>
      </c>
    </row>
    <row r="83" spans="6:6">
      <c r="F83" s="342" t="str">
        <f t="array" ref="F83">IF(ISERROR(INDEX(G55:G76,SMALL(IF(L55:L76&lt;&gt;0,ROW(L55:L76)-5),ROW('PANEL_PACKING(PRINT)'!B31)))),"",INDEX(Panel!$I$6:$I$115,SMALL(IF(Panel!$J$6:$J$115&lt;&gt;0,ROW(Panel!$J$6:$J$115)-5),ROW('PANEL_PACKING(PRINT)'!B31))))</f>
        <v/>
      </c>
    </row>
    <row r="84" spans="6:6">
      <c r="F84" s="342" t="str">
        <f t="array" ref="F84">IF(ISERROR(INDEX(G56:G77,SMALL(IF(L56:L77&lt;&gt;0,ROW(L56:L77)-5),ROW('PANEL_PACKING(PRINT)'!B32)))),"",INDEX(Panel!$I$6:$I$115,SMALL(IF(Panel!$J$6:$J$115&lt;&gt;0,ROW(Panel!$J$6:$J$115)-5),ROW('PANEL_PACKING(PRINT)'!B32))))</f>
        <v/>
      </c>
    </row>
    <row r="85" spans="6:6">
      <c r="F85" s="342" t="str">
        <f t="array" ref="F85">IF(ISERROR(INDEX(G57:G78,SMALL(IF(L57:L78&lt;&gt;0,ROW(L57:L78)-5),ROW('PANEL_PACKING(PRINT)'!B34)))),"",INDEX(Panel!$I$6:$I$115,SMALL(IF(Panel!$J$6:$J$115&lt;&gt;0,ROW(Panel!$J$6:$J$115)-5),ROW('PANEL_PACKING(PRINT)'!B34))))</f>
        <v/>
      </c>
    </row>
    <row r="86" spans="6:6">
      <c r="F86" s="342" t="str">
        <f t="array" ref="F86">IF(ISERROR(INDEX(G58:G79,SMALL(IF(L58:L79&lt;&gt;0,ROW(L58:L79)-5),ROW(F48)))),"",INDEX(Panel!$I$6:$I$115,SMALL(IF(Panel!$J$6:$J$115&lt;&gt;0,ROW(Panel!$J$6:$J$115)-5),ROW(F48))))</f>
        <v/>
      </c>
    </row>
    <row r="87" spans="6:6">
      <c r="F87" s="342" t="str">
        <f t="array" ref="F87">IF(ISERROR(INDEX(G59:G80,SMALL(IF(L59:L80&lt;&gt;0,ROW(L59:L80)-5),ROW(F49)))),"",INDEX(Panel!$I$6:$I$115,SMALL(IF(Panel!$J$6:$J$115&lt;&gt;0,ROW(Panel!$J$6:$J$115)-5),ROW(F49))))</f>
        <v/>
      </c>
    </row>
    <row r="88" spans="6:6">
      <c r="F88" s="342" t="str">
        <f t="array" ref="F88">IF(ISERROR(INDEX(G60:G81,SMALL(IF(L60:L81&lt;&gt;0,ROW(L60:L81)-5),ROW(F50)))),"",INDEX(Panel!$I$6:$I$115,SMALL(IF(Panel!$J$6:$J$115&lt;&gt;0,ROW(Panel!$J$6:$J$115)-5),ROW(F50))))</f>
        <v/>
      </c>
    </row>
    <row r="89" spans="6:6">
      <c r="F89" s="342" t="str">
        <f t="array" ref="F89">IF(ISERROR(INDEX(G61:G82,SMALL(IF(L61:L82&lt;&gt;0,ROW(L61:L82)-5),ROW(F51)))),"",INDEX(Panel!$I$6:$I$115,SMALL(IF(Panel!$J$6:$J$115&lt;&gt;0,ROW(Panel!$J$6:$J$115)-5),ROW(F51))))</f>
        <v/>
      </c>
    </row>
    <row r="90" spans="6:6">
      <c r="F90" s="342" t="str">
        <f t="array" ref="F90">IF(ISERROR(INDEX(G62:G83,SMALL(IF(L62:L83&lt;&gt;0,ROW(L62:L83)-5),ROW(F52)))),"",INDEX(Panel!$I$6:$I$115,SMALL(IF(Panel!$J$6:$J$115&lt;&gt;0,ROW(Panel!$J$6:$J$115)-5),ROW(F52))))</f>
        <v/>
      </c>
    </row>
    <row r="91" spans="6:6">
      <c r="F91" s="342" t="str">
        <f t="array" ref="F91">IF(ISERROR(INDEX(G63:G84,SMALL(IF(L63:L84&lt;&gt;0,ROW(L63:L84)-5),ROW(F53)))),"",INDEX(Panel!$I$6:$I$115,SMALL(IF(Panel!$J$6:$J$115&lt;&gt;0,ROW(Panel!$J$6:$J$115)-5),ROW(F53))))</f>
        <v/>
      </c>
    </row>
    <row r="92" spans="6:6">
      <c r="F92" s="342" t="str">
        <f t="array" ref="F92">IF(ISERROR(INDEX(G64:G85,SMALL(IF(L64:L85&lt;&gt;0,ROW(L64:L85)-5),ROW(F54)))),"",INDEX(Panel!$I$6:$I$115,SMALL(IF(Panel!$J$6:$J$115&lt;&gt;0,ROW(Panel!$J$6:$J$115)-5),ROW(F54))))</f>
        <v/>
      </c>
    </row>
    <row r="93" spans="6:6">
      <c r="F93" s="342" t="str">
        <f t="array" ref="F93">IF(ISERROR(INDEX(G65:G86,SMALL(IF(L65:L86&lt;&gt;0,ROW(L65:L86)-5),ROW(F55)))),"",INDEX(Panel!$I$6:$I$115,SMALL(IF(Panel!$J$6:$J$115&lt;&gt;0,ROW(Panel!$J$6:$J$115)-5),ROW(F55))))</f>
        <v/>
      </c>
    </row>
    <row r="94" spans="6:6">
      <c r="F94" s="342" t="str">
        <f t="array" ref="F94">IF(ISERROR(INDEX(G66:G87,SMALL(IF(L66:L87&lt;&gt;0,ROW(L66:L87)-5),ROW(F56)))),"",INDEX(Panel!$I$6:$I$115,SMALL(IF(Panel!$J$6:$J$115&lt;&gt;0,ROW(Panel!$J$6:$J$115)-5),ROW(F56))))</f>
        <v/>
      </c>
    </row>
    <row r="95" spans="6:6">
      <c r="F95" s="342" t="str">
        <f t="array" ref="F95">IF(ISERROR(INDEX(G67:G88,SMALL(IF(L67:L88&lt;&gt;0,ROW(L67:L88)-5),ROW(F57)))),"",INDEX(Panel!$I$6:$I$115,SMALL(IF(Panel!$J$6:$J$115&lt;&gt;0,ROW(Panel!$J$6:$J$115)-5),ROW(F57))))</f>
        <v/>
      </c>
    </row>
    <row r="96" spans="6:6">
      <c r="F96" s="342" t="str">
        <f t="array" ref="F96">IF(ISERROR(INDEX(G68:G89,SMALL(IF(L68:L89&lt;&gt;0,ROW(L68:L89)-5),ROW(F58)))),"",INDEX(Panel!$I$6:$I$115,SMALL(IF(Panel!$J$6:$J$115&lt;&gt;0,ROW(Panel!$J$6:$J$115)-5),ROW(F58))))</f>
        <v/>
      </c>
    </row>
    <row r="97" spans="6:6">
      <c r="F97" s="342" t="str">
        <f t="array" ref="F97">IF(ISERROR(INDEX(G69:G90,SMALL(IF(L69:L90&lt;&gt;0,ROW(L69:L90)-5),ROW(F59)))),"",INDEX(Panel!$I$6:$I$115,SMALL(IF(Panel!$J$6:$J$115&lt;&gt;0,ROW(Panel!$J$6:$J$115)-5),ROW(F59))))</f>
        <v/>
      </c>
    </row>
    <row r="98" spans="6:6">
      <c r="F98" s="342" t="str">
        <f t="array" ref="F98">IF(ISERROR(INDEX(G70:G91,SMALL(IF(L70:L91&lt;&gt;0,ROW(L70:L91)-5),ROW(F60)))),"",INDEX(Panel!$I$6:$I$115,SMALL(IF(Panel!$J$6:$J$115&lt;&gt;0,ROW(Panel!$J$6:$J$115)-5),ROW(F60))))</f>
        <v/>
      </c>
    </row>
    <row r="99" spans="6:6">
      <c r="F99" s="342" t="str">
        <f t="array" ref="F99">IF(ISERROR(INDEX(G71:G92,SMALL(IF(L71:L92&lt;&gt;0,ROW(L71:L92)-5),ROW(F61)))),"",INDEX(Panel!$I$6:$I$115,SMALL(IF(Panel!$J$6:$J$115&lt;&gt;0,ROW(Panel!$J$6:$J$115)-5),ROW(F61))))</f>
        <v/>
      </c>
    </row>
    <row r="100" spans="6:6">
      <c r="F100" s="342" t="str">
        <f t="array" ref="F100">IF(ISERROR(INDEX(G72:G93,SMALL(IF(L72:L93&lt;&gt;0,ROW(L72:L93)-5),ROW(F62)))),"",INDEX(Panel!$I$6:$I$115,SMALL(IF(Panel!$J$6:$J$115&lt;&gt;0,ROW(Panel!$J$6:$J$115)-5),ROW(F62))))</f>
        <v/>
      </c>
    </row>
    <row r="101" spans="6:6">
      <c r="F101" s="342" t="str">
        <f t="array" ref="F101">IF(ISERROR(INDEX(G73:G94,SMALL(IF(L73:L94&lt;&gt;0,ROW(L73:L94)-5),ROW(F63)))),"",INDEX(Panel!$I$6:$I$115,SMALL(IF(Panel!$J$6:$J$115&lt;&gt;0,ROW(Panel!$J$6:$J$115)-5),ROW(F63))))</f>
        <v/>
      </c>
    </row>
    <row r="102" spans="6:6">
      <c r="F102" s="342" t="str">
        <f t="array" ref="F102">IF(ISERROR(INDEX(G74:G95,SMALL(IF(L74:L95&lt;&gt;0,ROW(L74:L95)-5),ROW(F64)))),"",INDEX(Panel!$I$6:$I$115,SMALL(IF(Panel!$J$6:$J$115&lt;&gt;0,ROW(Panel!$J$6:$J$115)-5),ROW(F64))))</f>
        <v/>
      </c>
    </row>
    <row r="103" spans="6:6">
      <c r="F103" s="342" t="str">
        <f t="array" ref="F103">IF(ISERROR(INDEX(G75:G96,SMALL(IF(L75:L96&lt;&gt;0,ROW(L75:L96)-5),ROW(F65)))),"",INDEX(Panel!$I$6:$I$115,SMALL(IF(Panel!$J$6:$J$115&lt;&gt;0,ROW(Panel!$J$6:$J$115)-5),ROW(F65))))</f>
        <v/>
      </c>
    </row>
    <row r="104" spans="6:6">
      <c r="F104" s="342" t="str">
        <f t="array" ref="F104">IF(ISERROR(INDEX(G76:G97,SMALL(IF(L76:L97&lt;&gt;0,ROW(L76:L97)-5),ROW(F66)))),"",INDEX(Panel!$I$6:$I$115,SMALL(IF(Panel!$J$6:$J$115&lt;&gt;0,ROW(Panel!$J$6:$J$115)-5),ROW(F66))))</f>
        <v/>
      </c>
    </row>
    <row r="105" spans="6:6">
      <c r="F105" s="342" t="str">
        <f t="array" ref="F105">IF(ISERROR(INDEX(G77:G98,SMALL(IF(L77:L98&lt;&gt;0,ROW(L77:L98)-5),ROW(F67)))),"",INDEX(Panel!$I$6:$I$115,SMALL(IF(Panel!$J$6:$J$115&lt;&gt;0,ROW(Panel!$J$6:$J$115)-5),ROW(F67))))</f>
        <v/>
      </c>
    </row>
    <row r="106" spans="6:6">
      <c r="F106" s="342" t="str">
        <f t="array" ref="F106">IF(ISERROR(INDEX(G78:G99,SMALL(IF(L78:L99&lt;&gt;0,ROW(L78:L99)-5),ROW(F68)))),"",INDEX(Panel!$I$6:$I$115,SMALL(IF(Panel!$J$6:$J$115&lt;&gt;0,ROW(Panel!$J$6:$J$115)-5),ROW(F68))))</f>
        <v/>
      </c>
    </row>
    <row r="107" spans="6:6">
      <c r="F107" s="342" t="str">
        <f t="array" ref="F107">IF(ISERROR(INDEX(G79:G100,SMALL(IF(L79:L100&lt;&gt;0,ROW(L79:L100)-5),ROW(F69)))),"",INDEX(Panel!$I$6:$I$115,SMALL(IF(Panel!$J$6:$J$115&lt;&gt;0,ROW(Panel!$J$6:$J$115)-5),ROW(F69))))</f>
        <v/>
      </c>
    </row>
    <row r="108" spans="6:6">
      <c r="F108" s="342" t="str">
        <f t="array" ref="F108">IF(ISERROR(INDEX(G80:G101,SMALL(IF(L80:L101&lt;&gt;0,ROW(L80:L101)-5),ROW(F70)))),"",INDEX(Panel!$I$6:$I$115,SMALL(IF(Panel!$J$6:$J$115&lt;&gt;0,ROW(Panel!$J$6:$J$115)-5),ROW(F70))))</f>
        <v/>
      </c>
    </row>
    <row r="109" spans="6:6">
      <c r="F109" s="342" t="str">
        <f t="array" ref="F109">IF(ISERROR(INDEX(G81:G102,SMALL(IF(L81:L102&lt;&gt;0,ROW(L81:L102)-5),ROW(F71)))),"",INDEX(Panel!$I$6:$I$115,SMALL(IF(Panel!$J$6:$J$115&lt;&gt;0,ROW(Panel!$J$6:$J$115)-5),ROW(F71))))</f>
        <v/>
      </c>
    </row>
    <row r="110" spans="6:6">
      <c r="F110" s="342" t="str">
        <f t="array" ref="F110">IF(ISERROR(INDEX(G82:G103,SMALL(IF(L82:L103&lt;&gt;0,ROW(L82:L103)-5),ROW(F72)))),"",INDEX(Panel!$I$6:$I$115,SMALL(IF(Panel!$J$6:$J$115&lt;&gt;0,ROW(Panel!$J$6:$J$115)-5),ROW(F72))))</f>
        <v/>
      </c>
    </row>
    <row r="111" spans="6:6">
      <c r="F111" s="342" t="str">
        <f t="array" ref="F111">IF(ISERROR(INDEX(G83:G104,SMALL(IF(L83:L104&lt;&gt;0,ROW(L83:L104)-5),ROW(F73)))),"",INDEX(Panel!$I$6:$I$115,SMALL(IF(Panel!$J$6:$J$115&lt;&gt;0,ROW(Panel!$J$6:$J$115)-5),ROW(F73))))</f>
        <v/>
      </c>
    </row>
    <row r="112" spans="6:6">
      <c r="F112" s="342" t="str">
        <f t="array" ref="F112">IF(ISERROR(INDEX(G84:G105,SMALL(IF(L84:L105&lt;&gt;0,ROW(L84:L105)-5),ROW(F74)))),"",INDEX(Panel!$I$6:$I$115,SMALL(IF(Panel!$J$6:$J$115&lt;&gt;0,ROW(Panel!$J$6:$J$115)-5),ROW(F74))))</f>
        <v/>
      </c>
    </row>
    <row r="113" spans="6:6">
      <c r="F113" s="342" t="str">
        <f t="array" ref="F113">IF(ISERROR(INDEX(G85:G106,SMALL(IF(L85:L106&lt;&gt;0,ROW(L85:L106)-5),ROW(F75)))),"",INDEX(Panel!$I$6:$I$115,SMALL(IF(Panel!$J$6:$J$115&lt;&gt;0,ROW(Panel!$J$6:$J$115)-5),ROW(F75))))</f>
        <v/>
      </c>
    </row>
    <row r="114" spans="6:6">
      <c r="F114" s="342" t="str">
        <f t="array" ref="F114">IF(ISERROR(INDEX(G86:G107,SMALL(IF(L86:L107&lt;&gt;0,ROW(L86:L107)-5),ROW(F76)))),"",INDEX(Panel!$I$6:$I$115,SMALL(IF(Panel!$J$6:$J$115&lt;&gt;0,ROW(Panel!$J$6:$J$115)-5),ROW(F76))))</f>
        <v/>
      </c>
    </row>
    <row r="115" spans="6:6">
      <c r="F115" s="342" t="str">
        <f t="array" ref="F115">IF(ISERROR(INDEX(G87:G108,SMALL(IF(L87:L108&lt;&gt;0,ROW(L87:L108)-5),ROW(F77)))),"",INDEX(Panel!$I$6:$I$115,SMALL(IF(Panel!$J$6:$J$115&lt;&gt;0,ROW(Panel!$J$6:$J$115)-5),ROW(F77))))</f>
        <v/>
      </c>
    </row>
    <row r="116" spans="6:6">
      <c r="F116" s="342" t="str">
        <f t="array" ref="F116">IF(ISERROR(INDEX(G88:G109,SMALL(IF(L88:L109&lt;&gt;0,ROW(L88:L109)-5),ROW(F78)))),"",INDEX(Panel!$I$6:$I$115,SMALL(IF(Panel!$J$6:$J$115&lt;&gt;0,ROW(Panel!$J$6:$J$115)-5),ROW(F78))))</f>
        <v/>
      </c>
    </row>
    <row r="117" spans="6:6">
      <c r="F117" s="342" t="str">
        <f t="array" ref="F117">IF(ISERROR(INDEX(G89:G110,SMALL(IF(L89:L110&lt;&gt;0,ROW(L89:L110)-5),ROW(F79)))),"",INDEX(Panel!$I$6:$I$115,SMALL(IF(Panel!$J$6:$J$115&lt;&gt;0,ROW(Panel!$J$6:$J$115)-5),ROW(F79))))</f>
        <v/>
      </c>
    </row>
    <row r="118" spans="6:6">
      <c r="F118" s="342" t="str">
        <f t="array" ref="F118">IF(ISERROR(INDEX(G90:G111,SMALL(IF(L90:L111&lt;&gt;0,ROW(L90:L111)-5),ROW(F80)))),"",INDEX(Panel!$I$6:$I$115,SMALL(IF(Panel!$J$6:$J$115&lt;&gt;0,ROW(Panel!$J$6:$J$115)-5),ROW(F80))))</f>
        <v/>
      </c>
    </row>
    <row r="119" spans="6:6">
      <c r="F119" s="342" t="str">
        <f t="array" ref="F119">IF(ISERROR(INDEX(G91:G112,SMALL(IF(L91:L112&lt;&gt;0,ROW(L91:L112)-5),ROW(F81)))),"",INDEX(Panel!$I$6:$I$115,SMALL(IF(Panel!$J$6:$J$115&lt;&gt;0,ROW(Panel!$J$6:$J$115)-5),ROW(F81))))</f>
        <v/>
      </c>
    </row>
    <row r="120" spans="6:6">
      <c r="F120" s="342" t="str">
        <f t="array" ref="F120">IF(ISERROR(INDEX(G92:G113,SMALL(IF(L92:L113&lt;&gt;0,ROW(L92:L113)-5),ROW(F82)))),"",INDEX(Panel!$I$6:$I$115,SMALL(IF(Panel!$J$6:$J$115&lt;&gt;0,ROW(Panel!$J$6:$J$115)-5),ROW(F82))))</f>
        <v/>
      </c>
    </row>
    <row r="121" spans="6:6">
      <c r="F121" s="342" t="str">
        <f t="array" ref="F121">IF(ISERROR(INDEX(G93:G114,SMALL(IF(L93:L114&lt;&gt;0,ROW(L93:L114)-5),ROW(F83)))),"",INDEX(Panel!$I$6:$I$115,SMALL(IF(Panel!$J$6:$J$115&lt;&gt;0,ROW(Panel!$J$6:$J$115)-5),ROW(F83))))</f>
        <v/>
      </c>
    </row>
    <row r="122" spans="6:6">
      <c r="F122" s="342" t="str">
        <f t="array" ref="F122">IF(ISERROR(INDEX(G94:G115,SMALL(IF(L94:L115&lt;&gt;0,ROW(L94:L115)-5),ROW(F84)))),"",INDEX(Panel!$I$6:$I$115,SMALL(IF(Panel!$J$6:$J$115&lt;&gt;0,ROW(Panel!$J$6:$J$115)-5),ROW(F84))))</f>
        <v/>
      </c>
    </row>
    <row r="123" spans="6:6">
      <c r="F123" s="342" t="str">
        <f t="array" ref="F123">IF(ISERROR(INDEX(G95:G116,SMALL(IF(L95:L116&lt;&gt;0,ROW(L95:L116)-5),ROW(F85)))),"",INDEX(Panel!$I$6:$I$115,SMALL(IF(Panel!$J$6:$J$115&lt;&gt;0,ROW(Panel!$J$6:$J$115)-5),ROW(F85))))</f>
        <v/>
      </c>
    </row>
  </sheetData>
  <mergeCells count="5">
    <mergeCell ref="E33:G33"/>
    <mergeCell ref="J9:K9"/>
    <mergeCell ref="J3:AF4"/>
    <mergeCell ref="E9:E10"/>
    <mergeCell ref="F9:I9"/>
  </mergeCells>
  <phoneticPr fontId="13" type="noConversion"/>
  <conditionalFormatting sqref="J11:J23">
    <cfRule type="cellIs" dxfId="108" priority="1" operator="equal">
      <formula>" - "</formula>
    </cfRule>
    <cfRule type="cellIs" dxfId="107" priority="2" operator="lessThan">
      <formula>-2</formula>
    </cfRule>
    <cfRule type="cellIs" dxfId="106" priority="3" operator="lessThan">
      <formula>-2</formula>
    </cfRule>
    <cfRule type="cellIs" dxfId="105" priority="4" operator="greaterThan">
      <formula>0</formula>
    </cfRule>
  </conditionalFormatting>
  <printOptions horizontalCentered="1" verticalCentered="1"/>
  <pageMargins left="0.21" right="0.12" top="0.3" bottom="0.4" header="0.45" footer="0.2"/>
  <pageSetup paperSize="9" scale="35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090FD-3D95-4035-93E5-C42CC4573316}">
  <sheetPr codeName="Sheet15">
    <pageSetUpPr fitToPage="1"/>
  </sheetPr>
  <dimension ref="A1:Q121"/>
  <sheetViews>
    <sheetView view="pageBreakPreview" topLeftCell="A64" zoomScale="70" zoomScaleNormal="60" zoomScaleSheetLayoutView="70" workbookViewId="0">
      <selection activeCell="H87" sqref="H87:H88"/>
    </sheetView>
  </sheetViews>
  <sheetFormatPr defaultColWidth="8.875" defaultRowHeight="14.25"/>
  <cols>
    <col min="1" max="1" width="9.875" style="342" customWidth="1"/>
    <col min="2" max="3" width="20" style="342" customWidth="1"/>
    <col min="4" max="4" width="38.75" style="343" customWidth="1"/>
    <col min="5" max="5" width="13" style="342" customWidth="1"/>
    <col min="6" max="7" width="30.75" style="342" customWidth="1"/>
    <col min="8" max="8" width="42" style="342" customWidth="1"/>
    <col min="9" max="9" width="6.875" style="342" bestFit="1" customWidth="1"/>
    <col min="10" max="10" width="3.375" style="342" bestFit="1" customWidth="1"/>
    <col min="11" max="11" width="9.875" style="342" customWidth="1"/>
    <col min="12" max="13" width="20" style="342" customWidth="1"/>
    <col min="14" max="14" width="38.75" style="343" customWidth="1"/>
    <col min="15" max="15" width="13" style="342" customWidth="1"/>
    <col min="16" max="17" width="30.75" style="342" customWidth="1"/>
    <col min="18" max="18" width="42" style="342" customWidth="1"/>
    <col min="19" max="16384" width="8.875" style="342"/>
  </cols>
  <sheetData>
    <row r="1" spans="1:10" s="350" customFormat="1" ht="58.5" customHeight="1" thickBot="1">
      <c r="A1" s="804"/>
      <c r="B1" s="805"/>
      <c r="C1" s="816"/>
      <c r="D1" s="1503" t="s">
        <v>2235</v>
      </c>
      <c r="E1" s="1504"/>
      <c r="F1" s="1504"/>
      <c r="G1" s="1504"/>
      <c r="H1" s="1505"/>
      <c r="I1" s="970"/>
      <c r="J1" s="970"/>
    </row>
    <row r="2" spans="1:10" ht="33.75" customHeight="1">
      <c r="A2" s="806"/>
      <c r="B2" s="350"/>
      <c r="C2" s="817"/>
      <c r="D2" s="813" t="str">
        <f>'PRINTOUT(BOM)'!E5</f>
        <v xml:space="preserve">▣ Company : ABC                        </v>
      </c>
      <c r="E2" s="1019"/>
      <c r="G2" s="935" t="str">
        <f>'PRINTOUT(BOM)'!H5</f>
        <v>▣ Project Name :A Project</v>
      </c>
      <c r="H2" s="1020">
        <f>'PRINTOUT(BOM)'!J5</f>
        <v>0</v>
      </c>
      <c r="I2" s="819"/>
      <c r="J2" s="819"/>
    </row>
    <row r="3" spans="1:10" ht="33.75" customHeight="1">
      <c r="A3" s="806"/>
      <c r="B3" s="350"/>
      <c r="C3" s="817"/>
      <c r="D3" s="814">
        <f>'PRINTOUT(BOM)'!E6</f>
        <v>0</v>
      </c>
      <c r="E3" s="217"/>
      <c r="G3" s="646">
        <f>'PRINTOUT(BOM)'!H6</f>
        <v>0</v>
      </c>
      <c r="H3" s="1016"/>
      <c r="I3" s="348"/>
      <c r="J3" s="348"/>
    </row>
    <row r="4" spans="1:10" s="354" customFormat="1" ht="33.75" customHeight="1">
      <c r="A4" s="992"/>
      <c r="B4" s="350"/>
      <c r="C4" s="817"/>
      <c r="D4" s="814" t="str">
        <f>'PRINTOUT(BOM)'!A7</f>
        <v>▣ Size : 10mW x (5)mL x3mH =150 [TON]/ 1[SET]</v>
      </c>
      <c r="E4" s="217"/>
      <c r="G4" s="115" t="str">
        <f>'PRINTOUT(BOM)'!A8</f>
        <v>▣ Reinforcement:  Internal       /    MNT</v>
      </c>
      <c r="H4" s="1018"/>
      <c r="I4" s="353"/>
      <c r="J4" s="353"/>
    </row>
    <row r="5" spans="1:10" s="354" customFormat="1" ht="33.75" customHeight="1" thickBot="1">
      <c r="A5" s="1012"/>
      <c r="B5" s="809"/>
      <c r="C5" s="1015"/>
      <c r="D5" s="815" t="str">
        <f>'PRINTOUT(BOM)'!F8</f>
        <v>▣ Bolts and Nuts : EXT:HDG+INT:SS316</v>
      </c>
      <c r="E5" s="1013"/>
      <c r="F5" s="1014"/>
      <c r="G5" s="1014"/>
      <c r="H5" s="1017"/>
    </row>
    <row r="6" spans="1:10" s="354" customFormat="1" ht="33.75" customHeight="1">
      <c r="A6" s="992"/>
      <c r="B6" s="350"/>
      <c r="C6" s="350"/>
      <c r="D6" s="217"/>
      <c r="E6" s="114"/>
      <c r="F6" s="651"/>
      <c r="G6" s="651"/>
      <c r="H6" s="1018"/>
    </row>
    <row r="7" spans="1:10" s="354" customFormat="1" ht="48.75" customHeight="1">
      <c r="A7" s="992"/>
      <c r="B7" s="350"/>
      <c r="C7" s="350"/>
      <c r="E7" s="114"/>
      <c r="G7" s="1021" t="s">
        <v>2236</v>
      </c>
      <c r="H7" s="1022" t="str">
        <f>"#"&amp;1</f>
        <v>#1</v>
      </c>
    </row>
    <row r="8" spans="1:10" s="362" customFormat="1" ht="43.5" customHeight="1">
      <c r="A8" s="1506" t="s">
        <v>335</v>
      </c>
      <c r="B8" s="1507" t="s">
        <v>183</v>
      </c>
      <c r="C8" s="1507"/>
      <c r="D8" s="1507"/>
      <c r="E8" s="1023"/>
      <c r="F8" s="1036"/>
      <c r="G8" s="1037"/>
      <c r="H8" s="1499" t="s">
        <v>2232</v>
      </c>
      <c r="I8" s="986"/>
      <c r="J8" s="986"/>
    </row>
    <row r="9" spans="1:10" s="362" customFormat="1" ht="43.5" customHeight="1">
      <c r="A9" s="1506"/>
      <c r="B9" s="1023" t="s">
        <v>176</v>
      </c>
      <c r="C9" s="1023" t="s">
        <v>177</v>
      </c>
      <c r="D9" s="1023" t="s">
        <v>238</v>
      </c>
      <c r="E9" s="1024" t="s">
        <v>168</v>
      </c>
      <c r="F9" s="1025" t="s">
        <v>422</v>
      </c>
      <c r="G9" s="1025"/>
      <c r="H9" s="1500"/>
      <c r="I9" s="987"/>
      <c r="J9" s="987"/>
    </row>
    <row r="10" spans="1:10" s="363" customFormat="1" ht="43.5" customHeight="1">
      <c r="A10" s="1026"/>
      <c r="B10" s="1027"/>
      <c r="C10" s="1027" t="str">
        <f t="shared" ref="C10:C20" si="0">I10</f>
        <v>MF00M</v>
      </c>
      <c r="D10" s="1028"/>
      <c r="E10" s="1027">
        <f t="shared" ref="E10:E20" si="1">J10</f>
        <v>1</v>
      </c>
      <c r="F10" s="1029"/>
      <c r="G10" s="1029"/>
      <c r="H10" s="1030"/>
      <c r="I10" s="342" t="str">
        <f t="array" ref="I10">IF(ISERROR(INDEX(PANEL_PACKING!$G$11:$G$32,SMALL(IF(PANEL_PACKING!$L$11:$L$32&lt;&gt;0,ROW(PANEL_PACKING!$L$11:$L$32)-10),ROW(PANEL_PACKING!B1)))),"",INDEX(PANEL_PACKING!$G$11:$G$32,SMALL(IF(PANEL_PACKING!$L$11:$L$32&lt;&gt;0,ROW(PANEL_PACKING!$L$11:$L$32)-10),ROW(PANEL_PACKING!B1))))</f>
        <v>MF00M</v>
      </c>
      <c r="J10" s="342">
        <f t="array" ref="J10">IF(ISERROR(INDEX(PANEL_PACKING!$L$11:$L$32,SMALL(IF(PANEL_PACKING!$L$11:$L$32&lt;&gt;0,ROW(PANEL_PACKING!$L$11:$L$32)-10),ROW(PANEL_PACKING!C1)))),"",INDEX(PANEL_PACKING!$L$11:$L$32,SMALL(IF(PANEL_PACKING!$L$11:$L$32&lt;&gt;0,ROW(PANEL_PACKING!$L$11:$L$32)-10),ROW(PANEL_PACKING!C1))))</f>
        <v>1</v>
      </c>
    </row>
    <row r="11" spans="1:10" s="363" customFormat="1" ht="43.5" customHeight="1">
      <c r="A11" s="1026"/>
      <c r="B11" s="1027"/>
      <c r="C11" s="1027" t="str">
        <f t="shared" si="0"/>
        <v>RF00M</v>
      </c>
      <c r="D11" s="1028"/>
      <c r="E11" s="1027">
        <f t="shared" si="1"/>
        <v>30</v>
      </c>
      <c r="F11" s="1029"/>
      <c r="G11" s="1029"/>
      <c r="H11" s="1030"/>
      <c r="I11" s="342" t="str">
        <f t="array" ref="I11">IF(ISERROR(INDEX(PANEL_PACKING!$G$11:$G$32,SMALL(IF(PANEL_PACKING!$L$11:$L$32&lt;&gt;0,ROW(PANEL_PACKING!$L$11:$L$32)-10),ROW(PANEL_PACKING!B2)))),"",INDEX(PANEL_PACKING!$G$11:$G$32,SMALL(IF(PANEL_PACKING!$L$11:$L$32&lt;&gt;0,ROW(PANEL_PACKING!$L$11:$L$32)-10),ROW(PANEL_PACKING!B2))))</f>
        <v>RF00M</v>
      </c>
      <c r="J11" s="342">
        <f t="array" ref="J11">IF(ISERROR(INDEX(PANEL_PACKING!$L$11:$L$32,SMALL(IF(PANEL_PACKING!$L$11:$L$32&lt;&gt;0,ROW(PANEL_PACKING!$L$11:$L$32)-10),ROW(PANEL_PACKING!C2)))),"",INDEX(PANEL_PACKING!$L$11:$L$32,SMALL(IF(PANEL_PACKING!$L$11:$L$32&lt;&gt;0,ROW(PANEL_PACKING!$L$11:$L$32)-10),ROW(PANEL_PACKING!C2))))</f>
        <v>30</v>
      </c>
    </row>
    <row r="12" spans="1:10" s="363" customFormat="1" ht="43.5" customHeight="1">
      <c r="A12" s="1026"/>
      <c r="B12" s="1027"/>
      <c r="C12" s="1027">
        <f t="shared" si="0"/>
        <v>0</v>
      </c>
      <c r="D12" s="1028"/>
      <c r="E12" s="1027" t="str">
        <f t="shared" si="1"/>
        <v/>
      </c>
      <c r="F12" s="1029"/>
      <c r="G12" s="1029"/>
      <c r="H12" s="1030"/>
      <c r="I12" s="342">
        <f t="array" ref="I12">IF(ISERROR(INDEX(PANEL_PACKING!$G$11:$G$32,SMALL(IF(PANEL_PACKING!$L$11:$L$32&lt;&gt;0,ROW(PANEL_PACKING!$L$11:$L$32)-10),ROW(PANEL_PACKING!B3)))),"",INDEX(PANEL_PACKING!$G$11:$G$32,SMALL(IF(PANEL_PACKING!$L$11:$L$32&lt;&gt;0,ROW(PANEL_PACKING!$L$11:$L$32)-10),ROW(PANEL_PACKING!B3))))</f>
        <v>0</v>
      </c>
      <c r="J12" s="342" t="str">
        <f t="array" ref="J12">IF(ISERROR(INDEX(PANEL_PACKING!$L$11:$L$32,SMALL(IF(PANEL_PACKING!$L$11:$L$32&lt;&gt;0,ROW(PANEL_PACKING!$L$11:$L$32)-10),ROW(PANEL_PACKING!C3)))),"",INDEX(PANEL_PACKING!$L$11:$L$32,SMALL(IF(PANEL_PACKING!$L$11:$L$32&lt;&gt;0,ROW(PANEL_PACKING!$L$11:$L$32)-10),ROW(PANEL_PACKING!C3))))</f>
        <v/>
      </c>
    </row>
    <row r="13" spans="1:10" s="363" customFormat="1" ht="43.5" customHeight="1">
      <c r="A13" s="1026"/>
      <c r="B13" s="1027"/>
      <c r="C13" s="1027">
        <f t="shared" si="0"/>
        <v>0</v>
      </c>
      <c r="D13" s="1028"/>
      <c r="E13" s="1027" t="str">
        <f t="shared" si="1"/>
        <v/>
      </c>
      <c r="F13" s="1029"/>
      <c r="G13" s="1029"/>
      <c r="H13" s="1030"/>
      <c r="I13" s="342">
        <f t="array" ref="I13">IF(ISERROR(INDEX(PANEL_PACKING!$G$11:$G$32,SMALL(IF(PANEL_PACKING!$L$11:$L$32&lt;&gt;0,ROW(PANEL_PACKING!$L$11:$L$32)-10),ROW(PANEL_PACKING!B4)))),"",INDEX(PANEL_PACKING!$G$11:$G$32,SMALL(IF(PANEL_PACKING!$L$11:$L$32&lt;&gt;0,ROW(PANEL_PACKING!$L$11:$L$32)-10),ROW(PANEL_PACKING!B4))))</f>
        <v>0</v>
      </c>
      <c r="J13" s="342" t="str">
        <f t="array" ref="J13">IF(ISERROR(INDEX(PANEL_PACKING!$L$11:$L$32,SMALL(IF(PANEL_PACKING!$L$11:$L$32&lt;&gt;0,ROW(PANEL_PACKING!$L$11:$L$32)-10),ROW(PANEL_PACKING!C4)))),"",INDEX(PANEL_PACKING!$L$11:$L$32,SMALL(IF(PANEL_PACKING!$L$11:$L$32&lt;&gt;0,ROW(PANEL_PACKING!$L$11:$L$32)-10),ROW(PANEL_PACKING!C4))))</f>
        <v/>
      </c>
    </row>
    <row r="14" spans="1:10" s="363" customFormat="1" ht="43.5" customHeight="1">
      <c r="A14" s="1026"/>
      <c r="B14" s="1027"/>
      <c r="C14" s="1027">
        <f t="shared" si="0"/>
        <v>0</v>
      </c>
      <c r="D14" s="1028"/>
      <c r="E14" s="1027" t="str">
        <f t="shared" si="1"/>
        <v/>
      </c>
      <c r="F14" s="1029"/>
      <c r="G14" s="1029"/>
      <c r="H14" s="1030"/>
      <c r="I14" s="342">
        <f t="array" ref="I14">IF(ISERROR(INDEX(PANEL_PACKING!$G$11:$G$32,SMALL(IF(PANEL_PACKING!$L$11:$L$32&lt;&gt;0,ROW(PANEL_PACKING!$L$11:$L$32)-10),ROW(PANEL_PACKING!B5)))),"",INDEX(PANEL_PACKING!$G$11:$G$32,SMALL(IF(PANEL_PACKING!$L$11:$L$32&lt;&gt;0,ROW(PANEL_PACKING!$L$11:$L$32)-10),ROW(PANEL_PACKING!B5))))</f>
        <v>0</v>
      </c>
      <c r="J14" s="342" t="str">
        <f t="array" ref="J14">IF(ISERROR(INDEX(PANEL_PACKING!$L$11:$L$32,SMALL(IF(PANEL_PACKING!$L$11:$L$32&lt;&gt;0,ROW(PANEL_PACKING!$L$11:$L$32)-10),ROW(PANEL_PACKING!C5)))),"",INDEX(PANEL_PACKING!$L$11:$L$32,SMALL(IF(PANEL_PACKING!$L$11:$L$32&lt;&gt;0,ROW(PANEL_PACKING!$L$11:$L$32)-10),ROW(PANEL_PACKING!C5))))</f>
        <v/>
      </c>
    </row>
    <row r="15" spans="1:10" s="363" customFormat="1" ht="43.5" customHeight="1">
      <c r="A15" s="1026"/>
      <c r="B15" s="1027"/>
      <c r="C15" s="1027" t="str">
        <f t="shared" si="0"/>
        <v/>
      </c>
      <c r="D15" s="1028"/>
      <c r="E15" s="1027" t="str">
        <f t="shared" si="1"/>
        <v/>
      </c>
      <c r="F15" s="1029"/>
      <c r="G15" s="1029"/>
      <c r="H15" s="1030"/>
      <c r="I15" s="342" t="str">
        <f t="array" ref="I15">IF(ISERROR(INDEX(PANEL_PACKING!$G$11:$G$32,SMALL(IF(PANEL_PACKING!$L$11:$L$32&lt;&gt;0,ROW(PANEL_PACKING!$L$11:$L$32)-10),ROW(PANEL_PACKING!B6)))),"",INDEX(PANEL_PACKING!$G$11:$G$32,SMALL(IF(PANEL_PACKING!$L$11:$L$32&lt;&gt;0,ROW(PANEL_PACKING!$L$11:$L$32)-10),ROW(PANEL_PACKING!B6))))</f>
        <v/>
      </c>
      <c r="J15" s="342" t="str">
        <f t="array" ref="J15">IF(ISERROR(INDEX(PANEL_PACKING!$L$11:$L$32,SMALL(IF(PANEL_PACKING!$L$11:$L$32&lt;&gt;0,ROW(PANEL_PACKING!$L$11:$L$32)-10),ROW(PANEL_PACKING!C6)))),"",INDEX(PANEL_PACKING!$L$11:$L$32,SMALL(IF(PANEL_PACKING!$L$11:$L$32&lt;&gt;0,ROW(PANEL_PACKING!$L$11:$L$32)-10),ROW(PANEL_PACKING!C6))))</f>
        <v/>
      </c>
    </row>
    <row r="16" spans="1:10" s="363" customFormat="1" ht="43.5" customHeight="1">
      <c r="A16" s="1026"/>
      <c r="B16" s="1027"/>
      <c r="C16" s="1027" t="str">
        <f t="shared" si="0"/>
        <v/>
      </c>
      <c r="D16" s="1028"/>
      <c r="E16" s="1027" t="str">
        <f t="shared" si="1"/>
        <v/>
      </c>
      <c r="F16" s="1029"/>
      <c r="G16" s="1029"/>
      <c r="H16" s="1030"/>
      <c r="I16" s="342" t="str">
        <f t="array" ref="I16">IF(ISERROR(INDEX(PANEL_PACKING!$G$11:$G$32,SMALL(IF(PANEL_PACKING!$L$11:$L$32&lt;&gt;0,ROW(PANEL_PACKING!$L$11:$L$32)-10),ROW(PANEL_PACKING!B7)))),"",INDEX(PANEL_PACKING!$G$11:$G$32,SMALL(IF(PANEL_PACKING!$L$11:$L$32&lt;&gt;0,ROW(PANEL_PACKING!$L$11:$L$32)-10),ROW(PANEL_PACKING!B7))))</f>
        <v/>
      </c>
      <c r="J16" s="342" t="str">
        <f t="array" ref="J16">IF(ISERROR(INDEX(PANEL_PACKING!$L$11:$L$32,SMALL(IF(PANEL_PACKING!$L$11:$L$32&lt;&gt;0,ROW(PANEL_PACKING!$L$11:$L$32)-10),ROW(PANEL_PACKING!C7)))),"",INDEX(PANEL_PACKING!$L$11:$L$32,SMALL(IF(PANEL_PACKING!$L$11:$L$32&lt;&gt;0,ROW(PANEL_PACKING!$L$11:$L$32)-10),ROW(PANEL_PACKING!C7))))</f>
        <v/>
      </c>
    </row>
    <row r="17" spans="1:10" s="363" customFormat="1" ht="43.5" customHeight="1">
      <c r="A17" s="1026"/>
      <c r="B17" s="1027"/>
      <c r="C17" s="1027" t="str">
        <f t="shared" si="0"/>
        <v/>
      </c>
      <c r="D17" s="1028"/>
      <c r="E17" s="1027" t="str">
        <f t="shared" si="1"/>
        <v/>
      </c>
      <c r="F17" s="1029"/>
      <c r="G17" s="1029"/>
      <c r="H17" s="1030"/>
      <c r="I17" s="342" t="str">
        <f t="array" ref="I17">IF(ISERROR(INDEX(PANEL_PACKING!$G$11:$G$32,SMALL(IF(PANEL_PACKING!$L$11:$L$32&lt;&gt;0,ROW(PANEL_PACKING!$L$11:$L$32)-10),ROW(PANEL_PACKING!B8)))),"",INDEX(PANEL_PACKING!$G$11:$G$32,SMALL(IF(PANEL_PACKING!$L$11:$L$32&lt;&gt;0,ROW(PANEL_PACKING!$L$11:$L$32)-10),ROW(PANEL_PACKING!B8))))</f>
        <v/>
      </c>
      <c r="J17" s="342" t="str">
        <f t="array" ref="J17">IF(ISERROR(INDEX(PANEL_PACKING!$L$11:$L$32,SMALL(IF(PANEL_PACKING!$L$11:$L$32&lt;&gt;0,ROW(PANEL_PACKING!$L$11:$L$32)-10),ROW(PANEL_PACKING!C8)))),"",INDEX(PANEL_PACKING!$L$11:$L$32,SMALL(IF(PANEL_PACKING!$L$11:$L$32&lt;&gt;0,ROW(PANEL_PACKING!$L$11:$L$32)-10),ROW(PANEL_PACKING!C8))))</f>
        <v/>
      </c>
    </row>
    <row r="18" spans="1:10" s="363" customFormat="1" ht="43.5" customHeight="1">
      <c r="A18" s="1026"/>
      <c r="B18" s="1027"/>
      <c r="C18" s="1027" t="str">
        <f t="shared" si="0"/>
        <v/>
      </c>
      <c r="D18" s="1028"/>
      <c r="E18" s="1027" t="str">
        <f t="shared" si="1"/>
        <v/>
      </c>
      <c r="F18" s="1029" t="str">
        <f>IFERROR(VLOOKUP(A18,#REF!,11,FALSE),"")</f>
        <v/>
      </c>
      <c r="G18" s="1029"/>
      <c r="H18" s="1030" t="str">
        <f>IFERROR(VLOOKUP(C18,#REF!,12,FALSE),"")</f>
        <v/>
      </c>
      <c r="I18" s="342" t="str">
        <f t="array" ref="I18">IF(ISERROR(INDEX(PANEL_PACKING!$G$11:$G$32,SMALL(IF(PANEL_PACKING!$L$11:$L$32&lt;&gt;0,ROW(PANEL_PACKING!$L$11:$L$32)-10),ROW(PANEL_PACKING!B9)))),"",INDEX(PANEL_PACKING!$G$11:$G$32,SMALL(IF(PANEL_PACKING!$L$11:$L$32&lt;&gt;0,ROW(PANEL_PACKING!$L$11:$L$32)-10),ROW(PANEL_PACKING!B9))))</f>
        <v/>
      </c>
      <c r="J18" s="342" t="str">
        <f t="array" ref="J18">IF(ISERROR(INDEX(PANEL_PACKING!$L$11:$L$32,SMALL(IF(PANEL_PACKING!$L$11:$L$32&lt;&gt;0,ROW(PANEL_PACKING!$L$11:$L$32)-10),ROW(PANEL_PACKING!C9)))),"",INDEX(PANEL_PACKING!$L$11:$L$32,SMALL(IF(PANEL_PACKING!$L$11:$L$32&lt;&gt;0,ROW(PANEL_PACKING!$L$11:$L$32)-10),ROW(PANEL_PACKING!C9))))</f>
        <v/>
      </c>
    </row>
    <row r="19" spans="1:10" s="363" customFormat="1" ht="43.5" customHeight="1">
      <c r="A19" s="1026"/>
      <c r="B19" s="1027"/>
      <c r="C19" s="1027" t="str">
        <f t="shared" si="0"/>
        <v/>
      </c>
      <c r="D19" s="1028"/>
      <c r="E19" s="1027" t="str">
        <f t="shared" si="1"/>
        <v/>
      </c>
      <c r="F19" s="1029" t="str">
        <f>IFERROR(VLOOKUP(A19,#REF!,11,FALSE),"")</f>
        <v/>
      </c>
      <c r="G19" s="1029"/>
      <c r="H19" s="1030" t="str">
        <f>IFERROR(VLOOKUP(C19,#REF!,12,FALSE),"")</f>
        <v/>
      </c>
      <c r="I19" s="342" t="str">
        <f t="array" ref="I19">IF(ISERROR(INDEX(PANEL_PACKING!$G$11:$G$32,SMALL(IF(PANEL_PACKING!$L$11:$L$32&lt;&gt;0,ROW(PANEL_PACKING!$L$11:$L$32)-10),ROW(PANEL_PACKING!B10)))),"",INDEX(PANEL_PACKING!$G$11:$G$32,SMALL(IF(PANEL_PACKING!$L$11:$L$32&lt;&gt;0,ROW(PANEL_PACKING!$L$11:$L$32)-10),ROW(PANEL_PACKING!B10))))</f>
        <v/>
      </c>
      <c r="J19" s="342" t="str">
        <f t="array" ref="J19">IF(ISERROR(INDEX(PANEL_PACKING!$L$11:$L$32,SMALL(IF(PANEL_PACKING!$L$11:$L$32&lt;&gt;0,ROW(PANEL_PACKING!$L$11:$L$32)-10),ROW(PANEL_PACKING!C10)))),"",INDEX(PANEL_PACKING!$L$11:$L$32,SMALL(IF(PANEL_PACKING!$L$11:$L$32&lt;&gt;0,ROW(PANEL_PACKING!$L$11:$L$32)-10),ROW(PANEL_PACKING!C10))))</f>
        <v/>
      </c>
    </row>
    <row r="20" spans="1:10" s="364" customFormat="1" ht="43.5" customHeight="1">
      <c r="A20" s="1026"/>
      <c r="B20" s="1027" t="str">
        <f>'PRINTOUT(BOM)'!A38</f>
        <v/>
      </c>
      <c r="C20" s="1027" t="str">
        <f t="shared" si="0"/>
        <v/>
      </c>
      <c r="D20" s="1031"/>
      <c r="E20" s="1027" t="str">
        <f t="shared" si="1"/>
        <v/>
      </c>
      <c r="F20" s="1029" t="str">
        <f>IFERROR(VLOOKUP(A20,#REF!,11,FALSE),"")</f>
        <v/>
      </c>
      <c r="G20" s="1029"/>
      <c r="H20" s="1030" t="str">
        <f>IFERROR(VLOOKUP(C20,#REF!,12,FALSE),"")</f>
        <v/>
      </c>
      <c r="I20" s="342" t="str">
        <f t="array" ref="I20">IF(ISERROR(INDEX(PANEL_PACKING!$G$11:$G$32,SMALL(IF(PANEL_PACKING!$L$11:$L$32&lt;&gt;0,ROW(PANEL_PACKING!$L$11:$L$32)-10),ROW(PANEL_PACKING!B11)))),"",INDEX(PANEL_PACKING!$G$11:$G$32,SMALL(IF(PANEL_PACKING!$L$11:$L$32&lt;&gt;0,ROW(PANEL_PACKING!$L$11:$L$32)-10),ROW(PANEL_PACKING!B11))))</f>
        <v/>
      </c>
      <c r="J20" s="342" t="str">
        <f t="array" ref="J20">IF(ISERROR(INDEX(PANEL_PACKING!$L$11:$L$32,SMALL(IF(PANEL_PACKING!$L$11:$L$32&lt;&gt;0,ROW(PANEL_PACKING!$L$11:$L$32)-10),ROW(PANEL_PACKING!C11)))),"",INDEX(PANEL_PACKING!$L$11:$L$32,SMALL(IF(PANEL_PACKING!$L$11:$L$32&lt;&gt;0,ROW(PANEL_PACKING!$L$11:$L$32)-10),ROW(PANEL_PACKING!C11))))</f>
        <v/>
      </c>
    </row>
    <row r="21" spans="1:10" s="364" customFormat="1" ht="43.5" customHeight="1" thickBot="1">
      <c r="A21" s="1501" t="s">
        <v>204</v>
      </c>
      <c r="B21" s="1502"/>
      <c r="C21" s="1502"/>
      <c r="D21" s="1032"/>
      <c r="E21" s="1033">
        <f>SUM(E10:E20)</f>
        <v>31</v>
      </c>
      <c r="F21" s="1034" t="str">
        <f>IFERROR(VLOOKUP(A21,#REF!,11,FALSE),"")</f>
        <v/>
      </c>
      <c r="G21" s="1034"/>
      <c r="H21" s="1035" t="str">
        <f>IFERROR(VLOOKUP(C21,#REF!,12,FALSE),"")</f>
        <v/>
      </c>
      <c r="I21" s="342" t="str">
        <f t="array" ref="I21">IF(ISERROR(INDEX(PANEL_PACKING!$G$11:$G$32,SMALL(IF(PANEL_PACKING!$L$11:$L$32&lt;&gt;0,ROW(PANEL_PACKING!$L$11:$L$32)-10),ROW(PANEL_PACKING!B12)))),"",INDEX(PANEL_PACKING!$G$11:$G$32,SMALL(IF(PANEL_PACKING!$L$11:$L$32&lt;&gt;0,ROW(PANEL_PACKING!$L$11:$L$32)-10),ROW(PANEL_PACKING!B12))))</f>
        <v/>
      </c>
      <c r="J21" s="342" t="str">
        <f t="array" ref="J21">IF(ISERROR(INDEX(PANEL_PACKING!$L$11:$L$32,SMALL(IF(PANEL_PACKING!$L$11:$L$32&lt;&gt;0,ROW(PANEL_PACKING!$L$11:$L$32)-10),ROW(PANEL_PACKING!C12)))),"",INDEX(PANEL_PACKING!$L$11:$L$32,SMALL(IF(PANEL_PACKING!$L$11:$L$32&lt;&gt;0,ROW(PANEL_PACKING!$L$11:$L$32)-10),ROW(PANEL_PACKING!C12))))</f>
        <v/>
      </c>
    </row>
    <row r="22" spans="1:10" s="364" customFormat="1" ht="31.5" customHeight="1">
      <c r="B22" s="971" t="s">
        <v>1286</v>
      </c>
      <c r="C22" s="972" t="s">
        <v>1286</v>
      </c>
      <c r="D22" s="978" t="s">
        <v>1286</v>
      </c>
      <c r="E22" s="972" t="str">
        <f>IFERROR(VLOOKUP(C22,#REF!,2,FALSE),"")</f>
        <v/>
      </c>
      <c r="F22" s="972" t="str">
        <f>IFERROR(VLOOKUP(C22,#REF!,6,FALSE),"")</f>
        <v/>
      </c>
      <c r="G22" s="972"/>
      <c r="H22" s="363" t="str">
        <f>IFERROR(VLOOKUP(C22,#REF!,12,FALSE),"")</f>
        <v/>
      </c>
      <c r="I22" s="342" t="str">
        <f t="array" ref="I22">IF(ISERROR(INDEX(PANEL_PACKING!$G$11:$G$32,SMALL(IF(PANEL_PACKING!$L$11:$L$32&lt;&gt;0,ROW(PANEL_PACKING!$L$11:$L$32)-10),ROW(PANEL_PACKING!B13)))),"",INDEX(PANEL_PACKING!$G$11:$G$32,SMALL(IF(PANEL_PACKING!$L$11:$L$32&lt;&gt;0,ROW(PANEL_PACKING!$L$11:$L$32)-10),ROW(PANEL_PACKING!B13))))</f>
        <v/>
      </c>
      <c r="J22" s="342" t="str">
        <f t="array" ref="J22">IF(ISERROR(INDEX(PANEL_PACKING!$L$11:$L$32,SMALL(IF(PANEL_PACKING!$L$11:$L$32&lt;&gt;0,ROW(PANEL_PACKING!$L$11:$L$32)-10),ROW(PANEL_PACKING!C13)))),"",INDEX(PANEL_PACKING!$L$11:$L$32,SMALL(IF(PANEL_PACKING!$L$11:$L$32&lt;&gt;0,ROW(PANEL_PACKING!$L$11:$L$32)-10),ROW(PANEL_PACKING!C13))))</f>
        <v/>
      </c>
    </row>
    <row r="23" spans="1:10" s="364" customFormat="1" ht="31.5" customHeight="1">
      <c r="B23" s="971" t="s">
        <v>1286</v>
      </c>
      <c r="C23" s="972" t="s">
        <v>1286</v>
      </c>
      <c r="D23" s="973" t="s">
        <v>1286</v>
      </c>
      <c r="E23" s="972" t="str">
        <f>IFERROR(VLOOKUP(C23,#REF!,2,FALSE),"")</f>
        <v/>
      </c>
      <c r="F23" s="972" t="str">
        <f>IFERROR(VLOOKUP(C23,#REF!,6,FALSE),"")</f>
        <v/>
      </c>
      <c r="G23" s="972"/>
      <c r="H23" s="363" t="str">
        <f>IFERROR(VLOOKUP(C23,#REF!,12,FALSE),"")</f>
        <v/>
      </c>
      <c r="I23" s="342" t="str">
        <f t="array" ref="I23">IF(ISERROR(INDEX(PANEL_PACKING!$G$11:$G$32,SMALL(IF(PANEL_PACKING!$L$11:$L$32&lt;&gt;0,ROW(PANEL_PACKING!$L$11:$L$32)-10),ROW(PANEL_PACKING!B14)))),"",INDEX(PANEL_PACKING!$G$11:$G$32,SMALL(IF(PANEL_PACKING!$L$11:$L$32&lt;&gt;0,ROW(PANEL_PACKING!$L$11:$L$32)-10),ROW(PANEL_PACKING!B14))))</f>
        <v/>
      </c>
      <c r="J23" s="342" t="str">
        <f t="array" ref="J23">IF(ISERROR(INDEX(PANEL_PACKING!$L$11:$L$32,SMALL(IF(PANEL_PACKING!$L$11:$L$32&lt;&gt;0,ROW(PANEL_PACKING!$L$11:$L$32)-10),ROW(PANEL_PACKING!C14)))),"",INDEX(PANEL_PACKING!$L$11:$L$32,SMALL(IF(PANEL_PACKING!$L$11:$L$32&lt;&gt;0,ROW(PANEL_PACKING!$L$11:$L$32)-10),ROW(PANEL_PACKING!C14))))</f>
        <v/>
      </c>
    </row>
    <row r="24" spans="1:10" s="364" customFormat="1" ht="31.5" customHeight="1">
      <c r="B24" s="971" t="s">
        <v>1286</v>
      </c>
      <c r="C24" s="972" t="s">
        <v>1286</v>
      </c>
      <c r="D24" s="973" t="s">
        <v>1286</v>
      </c>
      <c r="E24" s="972" t="str">
        <f>IFERROR(VLOOKUP(C24,#REF!,2,FALSE),"")</f>
        <v/>
      </c>
      <c r="F24" s="972" t="str">
        <f>IFERROR(VLOOKUP(C24,#REF!,6,FALSE),"")</f>
        <v/>
      </c>
      <c r="G24" s="972"/>
      <c r="H24" s="363" t="str">
        <f>IFERROR(VLOOKUP(C24,#REF!,12,FALSE),"")</f>
        <v/>
      </c>
      <c r="I24" s="342" t="str">
        <f t="array" ref="I24">IF(ISERROR(INDEX(PANEL_PACKING!$G$11:$G$32,SMALL(IF(PANEL_PACKING!$L$11:$L$32&lt;&gt;0,ROW(PANEL_PACKING!$L$11:$L$32)-10),ROW(PANEL_PACKING!B15)))),"",INDEX(PANEL_PACKING!$G$11:$G$32,SMALL(IF(PANEL_PACKING!$L$11:$L$32&lt;&gt;0,ROW(PANEL_PACKING!$L$11:$L$32)-10),ROW(PANEL_PACKING!B15))))</f>
        <v/>
      </c>
      <c r="J24" s="342" t="str">
        <f t="array" ref="J24">IF(ISERROR(INDEX(PANEL_PACKING!$L$11:$L$32,SMALL(IF(PANEL_PACKING!$L$11:$L$32&lt;&gt;0,ROW(PANEL_PACKING!$L$11:$L$32)-10),ROW(PANEL_PACKING!C15)))),"",INDEX(PANEL_PACKING!$L$11:$L$32,SMALL(IF(PANEL_PACKING!$L$11:$L$32&lt;&gt;0,ROW(PANEL_PACKING!$L$11:$L$32)-10),ROW(PANEL_PACKING!C15))))</f>
        <v/>
      </c>
    </row>
    <row r="25" spans="1:10" s="364" customFormat="1" ht="24" customHeight="1">
      <c r="B25" s="971" t="s">
        <v>1286</v>
      </c>
      <c r="C25" s="342" t="str">
        <f t="array" ref="C25">IF(ISERROR(INDEX(PANEL_PACKING!$G$11:$G$32,SMALL(IF(PANEL_PACKING!$L$11:$L$32&lt;&gt;0,ROW(PANEL_PACKING!$L$11:$L$32)-10),ROW(PANEL_PACKING!#REF!)))),"",INDEX(PANEL_PACKING!$G$11:$G$32,SMALL(IF(PANEL_PACKING!$L$11:$L$32&lt;&gt;0,ROW(PANEL_PACKING!$L$11:$L$32)-10),ROW(PANEL_PACKING!#REF!))))</f>
        <v/>
      </c>
      <c r="D25" s="973" t="s">
        <v>1286</v>
      </c>
      <c r="E25" s="972" t="str">
        <f>IFERROR(VLOOKUP(C25,#REF!,2,FALSE),"")</f>
        <v/>
      </c>
      <c r="F25" s="972" t="str">
        <f>IFERROR(VLOOKUP(C25,#REF!,6,FALSE),"")</f>
        <v/>
      </c>
      <c r="G25" s="972"/>
      <c r="H25" s="363" t="str">
        <f>IFERROR(VLOOKUP(C25,#REF!,12,FALSE),"")</f>
        <v/>
      </c>
      <c r="I25" s="342" t="str">
        <f t="array" ref="I25">IF(ISERROR(INDEX(PANEL_PACKING!$G$11:$G$32,SMALL(IF(PANEL_PACKING!$L$11:$L$32&lt;&gt;0,ROW(PANEL_PACKING!$L$11:$L$32)-10),ROW(PANEL_PACKING!B16)))),"",INDEX(PANEL_PACKING!$G$11:$G$32,SMALL(IF(PANEL_PACKING!$L$11:$L$32&lt;&gt;0,ROW(PANEL_PACKING!$L$11:$L$32)-10),ROW(PANEL_PACKING!B16))))</f>
        <v/>
      </c>
      <c r="J25" s="342" t="str">
        <f t="array" ref="J25">IF(ISERROR(INDEX(PANEL_PACKING!$L$11:$L$32,SMALL(IF(PANEL_PACKING!$L$11:$L$32&lt;&gt;0,ROW(PANEL_PACKING!$L$11:$L$32)-10),ROW(PANEL_PACKING!C16)))),"",INDEX(PANEL_PACKING!$L$11:$L$32,SMALL(IF(PANEL_PACKING!$L$11:$L$32&lt;&gt;0,ROW(PANEL_PACKING!$L$11:$L$32)-10),ROW(PANEL_PACKING!C16))))</f>
        <v/>
      </c>
    </row>
    <row r="26" spans="1:10" s="364" customFormat="1" ht="24" customHeight="1">
      <c r="F26" s="972" t="str">
        <f>IFERROR(VLOOKUP(#REF!,#REF!,6,FALSE),"")</f>
        <v/>
      </c>
      <c r="G26" s="972"/>
      <c r="H26" s="363" t="str">
        <f>IFERROR(VLOOKUP(#REF!,#REF!,12,FALSE),"")</f>
        <v/>
      </c>
      <c r="I26" s="342" t="str">
        <f t="array" ref="I26">IF(ISERROR(INDEX(PANEL_PACKING!$G$11:$G$32,SMALL(IF(PANEL_PACKING!$L$11:$L$32&lt;&gt;0,ROW(PANEL_PACKING!$L$11:$L$32)-10),ROW(PANEL_PACKING!B17)))),"",INDEX(PANEL_PACKING!$G$11:$G$32,SMALL(IF(PANEL_PACKING!$L$11:$L$32&lt;&gt;0,ROW(PANEL_PACKING!$L$11:$L$32)-10),ROW(PANEL_PACKING!B17))))</f>
        <v/>
      </c>
      <c r="J26" s="342" t="str">
        <f t="array" ref="J26">IF(ISERROR(INDEX(PANEL_PACKING!$L$11:$L$32,SMALL(IF(PANEL_PACKING!$L$11:$L$32&lt;&gt;0,ROW(PANEL_PACKING!$L$11:$L$32)-10),ROW(PANEL_PACKING!C17)))),"",INDEX(PANEL_PACKING!$L$11:$L$32,SMALL(IF(PANEL_PACKING!$L$11:$L$32&lt;&gt;0,ROW(PANEL_PACKING!$L$11:$L$32)-10),ROW(PANEL_PACKING!C17))))</f>
        <v/>
      </c>
    </row>
    <row r="27" spans="1:10" s="364" customFormat="1" ht="24" customHeight="1">
      <c r="D27" s="973"/>
      <c r="F27" s="972"/>
      <c r="G27" s="972"/>
      <c r="H27" s="363"/>
      <c r="I27" s="342" t="str">
        <f t="array" ref="I27">IF(ISERROR(INDEX(PANEL_PACKING!$G$11:$G$32,SMALL(IF(PANEL_PACKING!$L$11:$L$32&lt;&gt;0,ROW(PANEL_PACKING!$L$11:$L$32)-10),ROW(PANEL_PACKING!B18)))),"",INDEX(PANEL_PACKING!$G$11:$G$32,SMALL(IF(PANEL_PACKING!$L$11:$L$32&lt;&gt;0,ROW(PANEL_PACKING!$L$11:$L$32)-10),ROW(PANEL_PACKING!B18))))</f>
        <v/>
      </c>
      <c r="J27" s="342" t="str">
        <f t="array" ref="J27">IF(ISERROR(INDEX(PANEL_PACKING!$L$11:$L$32,SMALL(IF(PANEL_PACKING!$L$11:$L$32&lt;&gt;0,ROW(PANEL_PACKING!$L$11:$L$32)-10),ROW(PANEL_PACKING!C18)))),"",INDEX(PANEL_PACKING!$L$11:$L$32,SMALL(IF(PANEL_PACKING!$L$11:$L$32&lt;&gt;0,ROW(PANEL_PACKING!$L$11:$L$32)-10),ROW(PANEL_PACKING!C18))))</f>
        <v/>
      </c>
    </row>
    <row r="28" spans="1:10" s="364" customFormat="1" ht="24" customHeight="1">
      <c r="B28" s="342">
        <f t="array" ref="B28">IF(ISERROR(INDEX(PANEL_PACKING!$G$11:$G$32,SMALL(IF(PANEL_PACKING!$L$11:$L$32&lt;&gt;0,ROW(PANEL_PACKING!$L$11:$L$32)-10),ROW(PANEL_PACKING!B3)))),"",INDEX(PANEL_PACKING!$G$11:$G$32,SMALL(IF(PANEL_PACKING!$L$11:$L$32&lt;&gt;0,ROW(PANEL_PACKING!$L$11:$L$32)-10),ROW(PANEL_PACKING!B3))))</f>
        <v>0</v>
      </c>
      <c r="D28" s="973"/>
      <c r="F28" s="972"/>
      <c r="G28" s="972"/>
      <c r="H28" s="363"/>
      <c r="I28" s="342" t="str">
        <f t="array" ref="I28">IF(ISERROR(INDEX(PANEL_PACKING!$G$11:$G$32,SMALL(IF(PANEL_PACKING!$L$11:$L$32&lt;&gt;0,ROW(PANEL_PACKING!$L$11:$L$32)-10),ROW(PANEL_PACKING!B19)))),"",INDEX(PANEL_PACKING!$G$11:$G$32,SMALL(IF(PANEL_PACKING!$L$11:$L$32&lt;&gt;0,ROW(PANEL_PACKING!$L$11:$L$32)-10),ROW(PANEL_PACKING!B19))))</f>
        <v/>
      </c>
      <c r="J28" s="342" t="str">
        <f t="array" ref="J28">IF(ISERROR(INDEX(PANEL_PACKING!$L$11:$L$32,SMALL(IF(PANEL_PACKING!$L$11:$L$32&lt;&gt;0,ROW(PANEL_PACKING!$L$11:$L$32)-10),ROW(PANEL_PACKING!C19)))),"",INDEX(PANEL_PACKING!$L$11:$L$32,SMALL(IF(PANEL_PACKING!$L$11:$L$32&lt;&gt;0,ROW(PANEL_PACKING!$L$11:$L$32)-10),ROW(PANEL_PACKING!C19))))</f>
        <v/>
      </c>
    </row>
    <row r="29" spans="1:10" ht="24" customHeight="1">
      <c r="B29" s="342">
        <f t="array" ref="B29">IF(ISERROR(INDEX(PANEL_PACKING!$G$11:$G$32,SMALL(IF(PANEL_PACKING!$L$11:$L$32&lt;&gt;0,ROW(PANEL_PACKING!$L$11:$L$32)-10),ROW(PANEL_PACKING!B4)))),"",INDEX(PANEL_PACKING!$G$11:$G$32,SMALL(IF(PANEL_PACKING!$L$11:$L$32&lt;&gt;0,ROW(PANEL_PACKING!$L$11:$L$32)-10),ROW(PANEL_PACKING!B4))))</f>
        <v>0</v>
      </c>
      <c r="D29" s="973"/>
      <c r="F29" s="972"/>
      <c r="G29" s="972"/>
      <c r="H29" s="363"/>
      <c r="I29" s="342" t="str">
        <f t="array" ref="I29">IF(ISERROR(INDEX(PANEL_PACKING!$G$11:$G$32,SMALL(IF(PANEL_PACKING!$L$11:$L$32&lt;&gt;0,ROW(PANEL_PACKING!$L$11:$L$32)-10),ROW(PANEL_PACKING!B20)))),"",INDEX(PANEL_PACKING!$G$11:$G$32,SMALL(IF(PANEL_PACKING!$L$11:$L$32&lt;&gt;0,ROW(PANEL_PACKING!$L$11:$L$32)-10),ROW(PANEL_PACKING!B20))))</f>
        <v/>
      </c>
      <c r="J29" s="342" t="str">
        <f t="array" ref="J29">IF(ISERROR(INDEX(PANEL_PACKING!$L$11:$L$32,SMALL(IF(PANEL_PACKING!$L$11:$L$32&lt;&gt;0,ROW(PANEL_PACKING!$L$11:$L$32)-10),ROW(PANEL_PACKING!C20)))),"",INDEX(PANEL_PACKING!$L$11:$L$32,SMALL(IF(PANEL_PACKING!$L$11:$L$32&lt;&gt;0,ROW(PANEL_PACKING!$L$11:$L$32)-10),ROW(PANEL_PACKING!C20))))</f>
        <v/>
      </c>
    </row>
    <row r="30" spans="1:10" ht="24" customHeight="1">
      <c r="B30" s="342">
        <f t="array" ref="B30">IF(ISERROR(INDEX(PANEL_PACKING!$G$11:$G$32,SMALL(IF(PANEL_PACKING!$L$11:$L$32&lt;&gt;0,ROW(PANEL_PACKING!$L$11:$L$32)-10),ROW(PANEL_PACKING!B5)))),"",INDEX(PANEL_PACKING!$G$11:$G$32,SMALL(IF(PANEL_PACKING!$L$11:$L$32&lt;&gt;0,ROW(PANEL_PACKING!$L$11:$L$32)-10),ROW(PANEL_PACKING!B5))))</f>
        <v>0</v>
      </c>
      <c r="D30" s="974"/>
      <c r="F30" s="972"/>
      <c r="G30" s="972"/>
      <c r="I30" s="342" t="str">
        <f t="array" ref="I30">IF(ISERROR(INDEX(PANEL_PACKING!$G$11:$G$32,SMALL(IF(PANEL_PACKING!$L$11:$L$32&lt;&gt;0,ROW(PANEL_PACKING!$L$11:$L$32)-10),ROW(PANEL_PACKING!B21)))),"",INDEX(PANEL_PACKING!$G$11:$G$32,SMALL(IF(PANEL_PACKING!$L$11:$L$32&lt;&gt;0,ROW(PANEL_PACKING!$L$11:$L$32)-10),ROW(PANEL_PACKING!B21))))</f>
        <v/>
      </c>
      <c r="J30" s="342" t="str">
        <f t="array" ref="J30">IF(ISERROR(INDEX(PANEL_PACKING!$L$11:$L$32,SMALL(IF(PANEL_PACKING!$L$11:$L$32&lt;&gt;0,ROW(PANEL_PACKING!$L$11:$L$32)-10),ROW(PANEL_PACKING!C21)))),"",INDEX(PANEL_PACKING!$L$11:$L$32,SMALL(IF(PANEL_PACKING!$L$11:$L$32&lt;&gt;0,ROW(PANEL_PACKING!$L$11:$L$32)-10),ROW(PANEL_PACKING!C21))))</f>
        <v/>
      </c>
    </row>
    <row r="31" spans="1:10" ht="24" customHeight="1">
      <c r="B31" s="342" t="str">
        <f t="array" ref="B31">IF(ISERROR(INDEX(PANEL_PACKING!$G$11:$G$32,SMALL(IF(PANEL_PACKING!$L$11:$L$32&lt;&gt;0,ROW(PANEL_PACKING!$L$11:$L$32)-10),ROW(PANEL_PACKING!B6)))),"",INDEX(PANEL_PACKING!$G$11:$G$32,SMALL(IF(PANEL_PACKING!$L$11:$L$32&lt;&gt;0,ROW(PANEL_PACKING!$L$11:$L$32)-10),ROW(PANEL_PACKING!B6))))</f>
        <v/>
      </c>
      <c r="D31" s="973"/>
      <c r="F31" s="972"/>
      <c r="G31" s="972"/>
      <c r="H31" s="363"/>
      <c r="I31" s="342" t="str">
        <f t="array" ref="I31">IF(ISERROR(INDEX(PANEL_PACKING!$G$11:$G$32,SMALL(IF(PANEL_PACKING!$L$11:$L$32&lt;&gt;0,ROW(PANEL_PACKING!$L$11:$L$32)-10),ROW(PANEL_PACKING!B22)))),"",INDEX(PANEL_PACKING!$G$11:$G$32,SMALL(IF(PANEL_PACKING!$L$11:$L$32&lt;&gt;0,ROW(PANEL_PACKING!$L$11:$L$32)-10),ROW(PANEL_PACKING!B22))))</f>
        <v/>
      </c>
      <c r="J31" s="342" t="str">
        <f t="array" ref="J31">IF(ISERROR(INDEX(PANEL_PACKING!$L$11:$L$32,SMALL(IF(PANEL_PACKING!$L$11:$L$32&lt;&gt;0,ROW(PANEL_PACKING!$L$11:$L$32)-10),ROW(PANEL_PACKING!C22)))),"",INDEX(PANEL_PACKING!$L$11:$L$32,SMALL(IF(PANEL_PACKING!$L$11:$L$32&lt;&gt;0,ROW(PANEL_PACKING!$L$11:$L$32)-10),ROW(PANEL_PACKING!C22))))</f>
        <v/>
      </c>
    </row>
    <row r="32" spans="1:10" ht="24" customHeight="1">
      <c r="B32" s="342" t="str">
        <f t="array" ref="B32">IF(ISERROR(INDEX(PANEL_PACKING!$G$11:$G$32,SMALL(IF(PANEL_PACKING!$L$11:$L$32&lt;&gt;0,ROW(PANEL_PACKING!$L$11:$L$32)-10),ROW(PANEL_PACKING!B7)))),"",INDEX(PANEL_PACKING!$G$11:$G$32,SMALL(IF(PANEL_PACKING!$L$11:$L$32&lt;&gt;0,ROW(PANEL_PACKING!$L$11:$L$32)-10),ROW(PANEL_PACKING!B7))))</f>
        <v/>
      </c>
      <c r="D32" s="976"/>
      <c r="F32" s="972"/>
      <c r="G32" s="972"/>
      <c r="H32" s="363"/>
      <c r="I32" s="342" t="str">
        <f t="array" ref="I32">IF(ISERROR(INDEX(PANEL_PACKING!$G$11:$G$32,SMALL(IF(PANEL_PACKING!$L$11:$L$32&lt;&gt;0,ROW(PANEL_PACKING!$L$11:$L$32)-10),ROW(PANEL_PACKING!B23)))),"",INDEX(PANEL_PACKING!$G$11:$G$32,SMALL(IF(PANEL_PACKING!$L$11:$L$32&lt;&gt;0,ROW(PANEL_PACKING!$L$11:$L$32)-10),ROW(PANEL_PACKING!B23))))</f>
        <v/>
      </c>
      <c r="J32" s="342" t="str">
        <f t="array" ref="J32">IF(ISERROR(INDEX(PANEL_PACKING!$L$11:$L$32,SMALL(IF(PANEL_PACKING!$L$11:$L$32&lt;&gt;0,ROW(PANEL_PACKING!$L$11:$L$32)-10),ROW(PANEL_PACKING!C23)))),"",INDEX(PANEL_PACKING!$L$11:$L$32,SMALL(IF(PANEL_PACKING!$L$11:$L$32&lt;&gt;0,ROW(PANEL_PACKING!$L$11:$L$32)-10),ROW(PANEL_PACKING!C23))))</f>
        <v/>
      </c>
    </row>
    <row r="33" spans="2:17" ht="24" customHeight="1">
      <c r="B33" s="342" t="str">
        <f t="array" ref="B33">IF(ISERROR(INDEX(PANEL_PACKING!$G$11:$G$32,SMALL(IF(PANEL_PACKING!$L$11:$L$32&lt;&gt;0,ROW(PANEL_PACKING!$L$11:$L$32)-10),ROW(PANEL_PACKING!B8)))),"",INDEX(PANEL_PACKING!$G$11:$G$32,SMALL(IF(PANEL_PACKING!$L$11:$L$32&lt;&gt;0,ROW(PANEL_PACKING!$L$11:$L$32)-10),ROW(PANEL_PACKING!B8))))</f>
        <v/>
      </c>
      <c r="D33" s="976"/>
      <c r="F33" s="972"/>
      <c r="G33" s="972"/>
      <c r="H33" s="363"/>
      <c r="I33" s="342" t="str">
        <f t="array" ref="I33">IF(ISERROR(INDEX(PANEL_PACKING!$G$11:$G$32,SMALL(IF(PANEL_PACKING!$L$11:$L$32&lt;&gt;0,ROW(PANEL_PACKING!$L$11:$L$32)-10),ROW('PANEL_PACKING(PRINT)'!C118)))),"",INDEX(PANEL_PACKING!$G$11:$G$32,SMALL(IF(PANEL_PACKING!$L$11:$L$32&lt;&gt;0,ROW(PANEL_PACKING!$L$11:$L$32)-10),ROW('PANEL_PACKING(PRINT)'!C118))))</f>
        <v/>
      </c>
      <c r="J33" s="342" t="str">
        <f t="array" ref="J33">IF(ISERROR(INDEX(PANEL_PACKING!$L$11:$L$32,SMALL(IF(PANEL_PACKING!$L$11:$L$32&lt;&gt;0,ROW(PANEL_PACKING!$L$11:$L$32)-10),ROW('PANEL_PACKING(PRINT)'!D118)))),"",INDEX(PANEL_PACKING!$L$11:$L$32,SMALL(IF(PANEL_PACKING!$L$11:$L$32&lt;&gt;0,ROW(PANEL_PACKING!$L$11:$L$32)-10),ROW('PANEL_PACKING(PRINT)'!D118))))</f>
        <v/>
      </c>
    </row>
    <row r="34" spans="2:17" ht="24" customHeight="1">
      <c r="B34" s="342" t="str">
        <f t="array" ref="B34">IF(ISERROR(INDEX(PANEL_PACKING!$G$11:$G$32,SMALL(IF(PANEL_PACKING!$L$11:$L$32&lt;&gt;0,ROW(PANEL_PACKING!$L$11:$L$32)-10),ROW(PANEL_PACKING!B9)))),"",INDEX(PANEL_PACKING!$G$11:$G$32,SMALL(IF(PANEL_PACKING!$L$11:$L$32&lt;&gt;0,ROW(PANEL_PACKING!$L$11:$L$32)-10),ROW(PANEL_PACKING!B9))))</f>
        <v/>
      </c>
      <c r="D34" s="976"/>
      <c r="F34" s="972"/>
      <c r="G34" s="972"/>
      <c r="H34" s="363"/>
      <c r="I34" s="342" t="str">
        <f t="array" ref="I34">IF(ISERROR(INDEX(PANEL_PACKING!$G$11:$G$32,SMALL(IF(PANEL_PACKING!$L$11:$L$32&lt;&gt;0,ROW(PANEL_PACKING!$L$11:$L$32)-10),ROW('PANEL_PACKING(PRINT)'!C119)))),"",INDEX(PANEL_PACKING!$G$11:$G$32,SMALL(IF(PANEL_PACKING!$L$11:$L$32&lt;&gt;0,ROW(PANEL_PACKING!$L$11:$L$32)-10),ROW('PANEL_PACKING(PRINT)'!C119))))</f>
        <v/>
      </c>
      <c r="J34" s="342" t="str">
        <f t="array" ref="J34">IF(ISERROR(INDEX(PANEL_PACKING!$L$11:$L$32,SMALL(IF(PANEL_PACKING!$L$11:$L$32&lt;&gt;0,ROW(PANEL_PACKING!$L$11:$L$32)-10),ROW('PANEL_PACKING(PRINT)'!D119)))),"",INDEX(PANEL_PACKING!$L$11:$L$32,SMALL(IF(PANEL_PACKING!$L$11:$L$32&lt;&gt;0,ROW(PANEL_PACKING!$L$11:$L$32)-10),ROW('PANEL_PACKING(PRINT)'!D119))))</f>
        <v/>
      </c>
    </row>
    <row r="35" spans="2:17" ht="24" customHeight="1">
      <c r="B35" s="342" t="str">
        <f t="array" ref="B35">IF(ISERROR(INDEX(PANEL_PACKING!$G$11:$G$32,SMALL(IF(PANEL_PACKING!$L$11:$L$32&lt;&gt;0,ROW(PANEL_PACKING!$L$11:$L$32)-10),ROW('PANEL_PACKING(PRINT)'!C105)))),"",INDEX(PANEL_PACKING!$G$11:$G$32,SMALL(IF(PANEL_PACKING!$L$11:$L$32&lt;&gt;0,ROW(PANEL_PACKING!$L$11:$L$32)-10),ROW('PANEL_PACKING(PRINT)'!C105))))</f>
        <v/>
      </c>
      <c r="D35" s="976"/>
      <c r="F35" s="972"/>
      <c r="G35" s="972"/>
      <c r="H35" s="363"/>
      <c r="I35" s="342" t="str">
        <f t="array" ref="I35">IF(ISERROR(INDEX(PANEL_PACKING!$G$11:$G$32,SMALL(IF(PANEL_PACKING!$L$11:$L$32&lt;&gt;0,ROW(PANEL_PACKING!$L$11:$L$32)-10),ROW('PANEL_PACKING(PRINT)'!C120)))),"",INDEX(PANEL_PACKING!$G$11:$G$32,SMALL(IF(PANEL_PACKING!$L$11:$L$32&lt;&gt;0,ROW(PANEL_PACKING!$L$11:$L$32)-10),ROW('PANEL_PACKING(PRINT)'!C120))))</f>
        <v/>
      </c>
    </row>
    <row r="36" spans="2:17" ht="24" customHeight="1">
      <c r="B36" s="342" t="str">
        <f t="array" ref="B36">IF(ISERROR(INDEX(PANEL_PACKING!$G$11:$G$32,SMALL(IF(PANEL_PACKING!$L$11:$L$32&lt;&gt;0,ROW(PANEL_PACKING!$L$11:$L$32)-10),ROW(I11)))),"",INDEX(PANEL_PACKING!$G$11:$G$32,SMALL(IF(PANEL_PACKING!$L$11:$L$32&lt;&gt;0,ROW(PANEL_PACKING!$L$11:$L$32)-10),ROW(I11))))</f>
        <v/>
      </c>
      <c r="D36" s="976"/>
      <c r="F36" s="972"/>
      <c r="G36" s="972"/>
      <c r="H36" s="363"/>
      <c r="I36" s="342" t="str">
        <f t="array" ref="I36">IF(ISERROR(INDEX(PANEL_PACKING!$G$11:$G$32,SMALL(IF(PANEL_PACKING!$L$11:$L$32&lt;&gt;0,ROW(PANEL_PACKING!$L$11:$L$32)-10),ROW('PANEL_PACKING(PRINT)'!C121)))),"",INDEX(PANEL_PACKING!$G$11:$G$32,SMALL(IF(PANEL_PACKING!$L$11:$L$32&lt;&gt;0,ROW(PANEL_PACKING!$L$11:$L$32)-10),ROW('PANEL_PACKING(PRINT)'!C121))))</f>
        <v/>
      </c>
    </row>
    <row r="37" spans="2:17" ht="24" customHeight="1">
      <c r="B37" s="342" t="str">
        <f t="array" ref="B37">IF(ISERROR(INDEX(PANEL_PACKING!$G$11:$G$32,SMALL(IF(PANEL_PACKING!$L$11:$L$32&lt;&gt;0,ROW(PANEL_PACKING!$L$11:$L$32)-10),ROW(B28)))),"",INDEX(PANEL_PACKING!$G$11:$G$32,SMALL(IF(PANEL_PACKING!$L$11:$L$32&lt;&gt;0,ROW(PANEL_PACKING!$L$11:$L$32)-10),ROW(B28))))</f>
        <v/>
      </c>
      <c r="D37" s="976"/>
      <c r="F37" s="972"/>
      <c r="G37" s="972"/>
      <c r="H37" s="363"/>
      <c r="I37" s="342" t="str">
        <f t="array" ref="I37">IF(ISERROR(INDEX(PANEL_PACKING!$G$11:$G$32,SMALL(IF(PANEL_PACKING!$L$11:$L$32&lt;&gt;0,ROW(PANEL_PACKING!$L$11:$L$32)-10),ROW('PANEL_PACKING(PRINT)'!M43)))),"",INDEX(PANEL_PACKING!$G$11:$G$32,SMALL(IF(PANEL_PACKING!$L$11:$L$32&lt;&gt;0,ROW(PANEL_PACKING!$L$11:$L$32)-10),ROW('PANEL_PACKING(PRINT)'!M43))))</f>
        <v/>
      </c>
    </row>
    <row r="38" spans="2:17" ht="24" customHeight="1">
      <c r="B38" s="342" t="str">
        <f t="array" ref="B38">IF(ISERROR(INDEX(PANEL_PACKING!$G$11:$G$32,SMALL(IF(PANEL_PACKING!$L$11:$L$32&lt;&gt;0,ROW(PANEL_PACKING!$L$11:$L$32)-10),ROW(B29)))),"",INDEX(PANEL_PACKING!$G$11:$G$32,SMALL(IF(PANEL_PACKING!$L$11:$L$32&lt;&gt;0,ROW(PANEL_PACKING!$L$11:$L$32)-10),ROW(B29))))</f>
        <v/>
      </c>
      <c r="D38" s="976"/>
      <c r="F38" s="972"/>
      <c r="G38" s="972"/>
      <c r="I38" s="342" t="str">
        <f t="array" ref="I38">IF(ISERROR(INDEX(PANEL_PACKING!$G$11:$G$32,SMALL(IF(PANEL_PACKING!$L$11:$L$32&lt;&gt;0,ROW(PANEL_PACKING!$L$11:$L$32)-10),ROW('PANEL_PACKING(PRINT)'!M44)))),"",INDEX(PANEL_PACKING!$G$11:$G$32,SMALL(IF(PANEL_PACKING!$L$11:$L$32&lt;&gt;0,ROW(PANEL_PACKING!$L$11:$L$32)-10),ROW('PANEL_PACKING(PRINT)'!M44))))</f>
        <v/>
      </c>
    </row>
    <row r="39" spans="2:17" ht="24" customHeight="1">
      <c r="B39" s="342" t="str">
        <f t="array" ref="B39">IF(ISERROR(INDEX(PANEL_PACKING!$G$11:$G$32,SMALL(IF(PANEL_PACKING!$L$11:$L$32&lt;&gt;0,ROW(PANEL_PACKING!$L$11:$L$32)-10),ROW(B30)))),"",INDEX(PANEL_PACKING!$G$11:$G$32,SMALL(IF(PANEL_PACKING!$L$11:$L$32&lt;&gt;0,ROW(PANEL_PACKING!$L$11:$L$32)-10),ROW(B30))))</f>
        <v/>
      </c>
      <c r="D39" s="976"/>
      <c r="F39" s="972"/>
      <c r="G39" s="972"/>
      <c r="I39" s="342" t="str">
        <f t="array" ref="I39">IF(ISERROR(INDEX(PANEL_PACKING!$G$11:$G$32,SMALL(IF(PANEL_PACKING!$L$11:$L$32&lt;&gt;0,ROW(PANEL_PACKING!$L$11:$L$32)-10),ROW('PANEL_PACKING(PRINT)'!M45)))),"",INDEX(PANEL_PACKING!$G$11:$G$32,SMALL(IF(PANEL_PACKING!$L$11:$L$32&lt;&gt;0,ROW(PANEL_PACKING!$L$11:$L$32)-10),ROW('PANEL_PACKING(PRINT)'!M45))))</f>
        <v/>
      </c>
    </row>
    <row r="40" spans="2:17" ht="24" customHeight="1">
      <c r="B40" s="342" t="str">
        <f t="array" ref="B40">IF(ISERROR(INDEX(PANEL_PACKING!$G$11:$G$32,SMALL(IF(PANEL_PACKING!$L$11:$L$32&lt;&gt;0,ROW(PANEL_PACKING!$L$11:$L$32)-10),ROW(B31)))),"",INDEX(PANEL_PACKING!$G$11:$G$32,SMALL(IF(PANEL_PACKING!$L$11:$L$32&lt;&gt;0,ROW(PANEL_PACKING!$L$11:$L$32)-10),ROW(B31))))</f>
        <v/>
      </c>
      <c r="D40" s="976"/>
      <c r="F40" s="972"/>
      <c r="G40" s="972"/>
      <c r="I40" s="342" t="str">
        <f t="array" ref="I40">IF(ISERROR(INDEX(PANEL_PACKING!$G$11:$G$32,SMALL(IF(PANEL_PACKING!$L$11:$L$32&lt;&gt;0,ROW(PANEL_PACKING!$L$11:$L$32)-10),ROW('PANEL_PACKING(PRINT)'!M46)))),"",INDEX(PANEL_PACKING!$G$11:$G$32,SMALL(IF(PANEL_PACKING!$L$11:$L$32&lt;&gt;0,ROW(PANEL_PACKING!$L$11:$L$32)-10),ROW('PANEL_PACKING(PRINT)'!M46))))</f>
        <v/>
      </c>
    </row>
    <row r="41" spans="2:17" ht="24" customHeight="1">
      <c r="B41" s="342" t="str">
        <f t="array" ref="B41">IF(ISERROR(INDEX(PANEL_PACKING!$G$11:$G$32,SMALL(IF(PANEL_PACKING!$L$11:$L$32&lt;&gt;0,ROW(PANEL_PACKING!$L$11:$L$32)-10),ROW(B32)))),"",INDEX(PANEL_PACKING!$G$11:$G$32,SMALL(IF(PANEL_PACKING!$L$11:$L$32&lt;&gt;0,ROW(PANEL_PACKING!$L$11:$L$32)-10),ROW(B32))))</f>
        <v/>
      </c>
      <c r="D41" s="976"/>
      <c r="F41" s="972"/>
      <c r="G41" s="972"/>
      <c r="I41" s="342" t="str">
        <f t="array" ref="I41">IF(ISERROR(INDEX(PANEL_PACKING!$G$11:$G$32,SMALL(IF(PANEL_PACKING!$L$11:$L$32&lt;&gt;0,ROW(PANEL_PACKING!$L$11:$L$32)-10),ROW('PANEL_PACKING(PRINT)'!M47)))),"",INDEX(PANEL_PACKING!$G$11:$G$32,SMALL(IF(PANEL_PACKING!$L$11:$L$32&lt;&gt;0,ROW(PANEL_PACKING!$L$11:$L$32)-10),ROW('PANEL_PACKING(PRINT)'!M47))))</f>
        <v/>
      </c>
    </row>
    <row r="42" spans="2:17" ht="24" customHeight="1">
      <c r="B42" s="342" t="str">
        <f t="array" ref="B42">IF(ISERROR(INDEX(PANEL_PACKING!$G$11:$G$32,SMALL(IF(PANEL_PACKING!$L$11:$L$32&lt;&gt;0,ROW(PANEL_PACKING!$L$11:$L$32)-10),ROW(B33)))),"",INDEX(PANEL_PACKING!$G$11:$G$32,SMALL(IF(PANEL_PACKING!$L$11:$L$32&lt;&gt;0,ROW(PANEL_PACKING!$L$11:$L$32)-10),ROW(B33))))</f>
        <v/>
      </c>
      <c r="D42" s="976"/>
      <c r="F42" s="972"/>
      <c r="G42" s="972"/>
      <c r="I42" s="342" t="str">
        <f t="array" ref="I42">IF(ISERROR(INDEX(PANEL_PACKING!$G$11:$G$32,SMALL(IF(PANEL_PACKING!$L$11:$L$32&lt;&gt;0,ROW(PANEL_PACKING!$L$11:$L$32)-10),ROW(PANEL_PACKING!B33)))),"",INDEX(PANEL_PACKING!$G$11:$G$32,SMALL(IF(PANEL_PACKING!$L$11:$L$32&lt;&gt;0,ROW(PANEL_PACKING!$L$11:$L$32)-10),ROW(PANEL_PACKING!B33))))</f>
        <v/>
      </c>
    </row>
    <row r="43" spans="2:17" ht="24" customHeight="1">
      <c r="B43" s="342" t="str">
        <f t="array" ref="B43">IF(ISERROR(INDEX(PANEL_PACKING!$G$11:$G$32,SMALL(IF(PANEL_PACKING!$L$11:$L$32&lt;&gt;0,ROW(PANEL_PACKING!$L$11:$L$32)-10),ROW(B34)))),"",INDEX(PANEL_PACKING!$G$11:$G$32,SMALL(IF(PANEL_PACKING!$L$11:$L$32&lt;&gt;0,ROW(PANEL_PACKING!$L$11:$L$32)-10),ROW(B34))))</f>
        <v/>
      </c>
      <c r="D43" s="976"/>
      <c r="F43" s="972"/>
      <c r="G43" s="972"/>
      <c r="I43" s="342" t="str">
        <f t="array" ref="I43">IF(ISERROR(INDEX(PANEL_PACKING!$G$11:$G$32,SMALL(IF(PANEL_PACKING!$L$11:$L$32&lt;&gt;0,ROW(PANEL_PACKING!$L$11:$L$32)-10),ROW(PANEL_PACKING!B34)))),"",INDEX(PANEL_PACKING!$G$11:$G$32,SMALL(IF(PANEL_PACKING!$L$11:$L$32&lt;&gt;0,ROW(PANEL_PACKING!$L$11:$L$32)-10),ROW(PANEL_PACKING!B34))))</f>
        <v/>
      </c>
      <c r="L43" s="342" t="str">
        <f t="array" ref="L43">IF(ISERROR(INDEX(PANEL_PACKING!$G$11:$G$32,SMALL(IF(PANEL_PACKING!$L$11:$L$32&lt;&gt;0,ROW(PANEL_PACKING!$L$11:$L$32)-10),ROW(B113)))),"",INDEX(PANEL_PACKING!$G$11:$G$32,SMALL(IF(PANEL_PACKING!$L$11:$L$32&lt;&gt;0,ROW(PANEL_PACKING!$L$11:$L$32)-10),ROW(B113))))</f>
        <v/>
      </c>
      <c r="M43" s="342" t="str">
        <f t="array" ref="M43">IF(ISERROR(INDEX(PANEL_PACKING!$G$11:$G$32,SMALL(IF(PANEL_PACKING!$M$11:$M$32&lt;&gt;0,ROW(PANEL_PACKING!$M$11:$M$32)-10),ROW('PANEL_PACKING(PRINT)'!C112)))),"",INDEX(PANEL_PACKING!$G$11:$G$32,SMALL(IF(PANEL_PACKING!$M$11:$M$32&lt;&gt;0,ROW(PANEL_PACKING!$M$11:$M$32)-10),ROW('PANEL_PACKING(PRINT)'!C112))))</f>
        <v/>
      </c>
      <c r="N43" s="364"/>
      <c r="O43" s="342" t="str">
        <f t="array" ref="O43">IF(ISERROR(INDEX(PANEL_PACKING!$M$11:$M$32,SMALL(IF(PANEL_PACKING!$M$11:$M$32&lt;&gt;0,ROW(PANEL_PACKING!$M$11:$M$32)-10),ROW('PANEL_PACKING(PRINT)'!D112)))),"",INDEX(PANEL_PACKING!$M$11:$M$32,SMALL(IF(PANEL_PACKING!$M$11:$M$32&lt;&gt;0,ROW(PANEL_PACKING!$M$11:$M$32)-10),ROW('PANEL_PACKING(PRINT)'!D112))))</f>
        <v/>
      </c>
      <c r="P43" s="972"/>
      <c r="Q43" s="972"/>
    </row>
    <row r="44" spans="2:17" ht="24" customHeight="1">
      <c r="B44" s="342" t="str">
        <f t="array" ref="B44">IF(ISERROR(INDEX(PANEL_PACKING!$G$11:$G$32,SMALL(IF(PANEL_PACKING!$L$11:$L$32&lt;&gt;0,ROW(PANEL_PACKING!$L$11:$L$32)-10),ROW(B35)))),"",INDEX(PANEL_PACKING!$G$11:$G$32,SMALL(IF(PANEL_PACKING!$L$11:$L$32&lt;&gt;0,ROW(PANEL_PACKING!$L$11:$L$32)-10),ROW(B35))))</f>
        <v/>
      </c>
      <c r="D44" s="976"/>
      <c r="F44" s="972"/>
      <c r="G44" s="972"/>
      <c r="I44" s="342" t="str">
        <f t="array" ref="I44">IF(ISERROR(INDEX(PANEL_PACKING!$G$11:$G$32,SMALL(IF(PANEL_PACKING!$L$11:$L$32&lt;&gt;0,ROW(PANEL_PACKING!$L$11:$L$32)-10),ROW(PANEL_PACKING!B35)))),"",INDEX(PANEL_PACKING!$G$11:$G$32,SMALL(IF(PANEL_PACKING!$L$11:$L$32&lt;&gt;0,ROW(PANEL_PACKING!$L$11:$L$32)-10),ROW(PANEL_PACKING!B35))))</f>
        <v/>
      </c>
      <c r="L44" s="342" t="str">
        <f t="array" ref="L44">IF(ISERROR(INDEX(PANEL_PACKING!$G$11:$G$32,SMALL(IF(PANEL_PACKING!$L$11:$L$32&lt;&gt;0,ROW(PANEL_PACKING!$L$11:$L$32)-10),ROW(B114)))),"",INDEX(PANEL_PACKING!$G$11:$G$32,SMALL(IF(PANEL_PACKING!$L$11:$L$32&lt;&gt;0,ROW(PANEL_PACKING!$L$11:$L$32)-10),ROW(B114))))</f>
        <v/>
      </c>
      <c r="M44" s="342" t="str">
        <f t="array" ref="M44">IF(ISERROR(INDEX(PANEL_PACKING!$G$11:$G$32,SMALL(IF(PANEL_PACKING!$M$11:$M$32&lt;&gt;0,ROW(PANEL_PACKING!$M$11:$M$32)-10),ROW('PANEL_PACKING(PRINT)'!C113)))),"",INDEX(PANEL_PACKING!$G$11:$G$32,SMALL(IF(PANEL_PACKING!$M$11:$M$32&lt;&gt;0,ROW(PANEL_PACKING!$M$11:$M$32)-10),ROW('PANEL_PACKING(PRINT)'!C113))))</f>
        <v/>
      </c>
      <c r="N44" s="364"/>
      <c r="O44" s="342" t="str">
        <f t="array" ref="O44">IF(ISERROR(INDEX(PANEL_PACKING!$M$11:$M$32,SMALL(IF(PANEL_PACKING!$M$11:$M$32&lt;&gt;0,ROW(PANEL_PACKING!$M$11:$M$32)-10),ROW('PANEL_PACKING(PRINT)'!D113)))),"",INDEX(PANEL_PACKING!$M$11:$M$32,SMALL(IF(PANEL_PACKING!$M$11:$M$32&lt;&gt;0,ROW(PANEL_PACKING!$M$11:$M$32)-10),ROW('PANEL_PACKING(PRINT)'!D113))))</f>
        <v/>
      </c>
      <c r="P44" s="972"/>
      <c r="Q44" s="972"/>
    </row>
    <row r="45" spans="2:17" ht="24" customHeight="1">
      <c r="B45" s="342" t="str">
        <f t="array" ref="B45">IF(ISERROR(INDEX(PANEL_PACKING!$G$11:$G$32,SMALL(IF(PANEL_PACKING!$L$11:$L$32&lt;&gt;0,ROW(PANEL_PACKING!$L$11:$L$32)-10),ROW(B36)))),"",INDEX(PANEL_PACKING!$G$11:$G$32,SMALL(IF(PANEL_PACKING!$L$11:$L$32&lt;&gt;0,ROW(PANEL_PACKING!$L$11:$L$32)-10),ROW(B36))))</f>
        <v/>
      </c>
      <c r="D45" s="976"/>
      <c r="F45" s="972"/>
      <c r="G45" s="972"/>
      <c r="I45" s="342" t="str">
        <f t="array" ref="I45">IF(ISERROR(INDEX(PANEL_PACKING!$G$11:$G$32,SMALL(IF(PANEL_PACKING!$L$11:$L$32&lt;&gt;0,ROW(PANEL_PACKING!$L$11:$L$32)-10),ROW(PANEL_PACKING!B36)))),"",INDEX(PANEL_PACKING!$G$11:$G$32,SMALL(IF(PANEL_PACKING!$L$11:$L$32&lt;&gt;0,ROW(PANEL_PACKING!$L$11:$L$32)-10),ROW(PANEL_PACKING!B36))))</f>
        <v/>
      </c>
      <c r="L45" s="342" t="str">
        <f t="array" ref="L45">IF(ISERROR(INDEX(PANEL_PACKING!$G$11:$G$32,SMALL(IF(PANEL_PACKING!$L$11:$L$32&lt;&gt;0,ROW(PANEL_PACKING!$L$11:$L$32)-10),ROW(B115)))),"",INDEX(PANEL_PACKING!$G$11:$G$32,SMALL(IF(PANEL_PACKING!$L$11:$L$32&lt;&gt;0,ROW(PANEL_PACKING!$L$11:$L$32)-10),ROW(B115))))</f>
        <v/>
      </c>
      <c r="M45" s="342" t="str">
        <f t="array" ref="M45">IF(ISERROR(INDEX(PANEL_PACKING!$G$11:$G$32,SMALL(IF(PANEL_PACKING!$M$11:$M$32&lt;&gt;0,ROW(PANEL_PACKING!$M$11:$M$32)-10),ROW('PANEL_PACKING(PRINT)'!C114)))),"",INDEX(PANEL_PACKING!$G$11:$G$32,SMALL(IF(PANEL_PACKING!$M$11:$M$32&lt;&gt;0,ROW(PANEL_PACKING!$M$11:$M$32)-10),ROW('PANEL_PACKING(PRINT)'!C114))))</f>
        <v/>
      </c>
      <c r="N45" s="364"/>
      <c r="O45" s="342" t="str">
        <f t="array" ref="O45">IF(ISERROR(INDEX(PANEL_PACKING!$M$11:$M$32,SMALL(IF(PANEL_PACKING!$M$11:$M$32&lt;&gt;0,ROW(PANEL_PACKING!$M$11:$M$32)-10),ROW('PANEL_PACKING(PRINT)'!D114)))),"",INDEX(PANEL_PACKING!$M$11:$M$32,SMALL(IF(PANEL_PACKING!$M$11:$M$32&lt;&gt;0,ROW(PANEL_PACKING!$M$11:$M$32)-10),ROW('PANEL_PACKING(PRINT)'!D114))))</f>
        <v/>
      </c>
      <c r="P45" s="972"/>
      <c r="Q45" s="972"/>
    </row>
    <row r="46" spans="2:17" ht="24" customHeight="1">
      <c r="B46" s="342" t="str">
        <f t="array" ref="B46">IF(ISERROR(INDEX(PANEL_PACKING!$G$11:$G$32,SMALL(IF(PANEL_PACKING!$L$11:$L$32&lt;&gt;0,ROW(PANEL_PACKING!$L$11:$L$32)-10),ROW(B37)))),"",INDEX(PANEL_PACKING!$G$11:$G$32,SMALL(IF(PANEL_PACKING!$L$11:$L$32&lt;&gt;0,ROW(PANEL_PACKING!$L$11:$L$32)-10),ROW(B37))))</f>
        <v/>
      </c>
      <c r="D46" s="976"/>
      <c r="F46" s="972"/>
      <c r="G46" s="972"/>
      <c r="I46" s="342" t="str">
        <f t="array" ref="I46">IF(ISERROR(INDEX(PANEL_PACKING!$G$11:$G$32,SMALL(IF(PANEL_PACKING!$L$11:$L$32&lt;&gt;0,ROW(PANEL_PACKING!$L$11:$L$32)-10),ROW(PANEL_PACKING!B37)))),"",INDEX(PANEL_PACKING!$G$11:$G$32,SMALL(IF(PANEL_PACKING!$L$11:$L$32&lt;&gt;0,ROW(PANEL_PACKING!$L$11:$L$32)-10),ROW(PANEL_PACKING!B37))))</f>
        <v/>
      </c>
      <c r="L46" s="342" t="str">
        <f t="array" ref="L46">IF(ISERROR(INDEX(PANEL_PACKING!$G$11:$G$32,SMALL(IF(PANEL_PACKING!$L$11:$L$32&lt;&gt;0,ROW(PANEL_PACKING!$L$11:$L$32)-10),ROW(B116)))),"",INDEX(PANEL_PACKING!$G$11:$G$32,SMALL(IF(PANEL_PACKING!$L$11:$L$32&lt;&gt;0,ROW(PANEL_PACKING!$L$11:$L$32)-10),ROW(B116))))</f>
        <v/>
      </c>
      <c r="M46" s="342" t="str">
        <f t="array" ref="M46">IF(ISERROR(INDEX(PANEL_PACKING!$G$11:$G$32,SMALL(IF(PANEL_PACKING!$M$11:$M$32&lt;&gt;0,ROW(PANEL_PACKING!$M$11:$M$32)-10),ROW('PANEL_PACKING(PRINT)'!C115)))),"",INDEX(PANEL_PACKING!$G$11:$G$32,SMALL(IF(PANEL_PACKING!$M$11:$M$32&lt;&gt;0,ROW(PANEL_PACKING!$M$11:$M$32)-10),ROW('PANEL_PACKING(PRINT)'!C115))))</f>
        <v/>
      </c>
      <c r="N46" s="364"/>
      <c r="O46" s="342" t="str">
        <f t="array" ref="O46">IF(ISERROR(INDEX(PANEL_PACKING!$M$11:$M$32,SMALL(IF(PANEL_PACKING!$M$11:$M$32&lt;&gt;0,ROW(PANEL_PACKING!$M$11:$M$32)-10),ROW('PANEL_PACKING(PRINT)'!D115)))),"",INDEX(PANEL_PACKING!$M$11:$M$32,SMALL(IF(PANEL_PACKING!$M$11:$M$32&lt;&gt;0,ROW(PANEL_PACKING!$M$11:$M$32)-10),ROW('PANEL_PACKING(PRINT)'!D115))))</f>
        <v/>
      </c>
      <c r="P46" s="972"/>
      <c r="Q46" s="972"/>
    </row>
    <row r="47" spans="2:17" ht="24" customHeight="1">
      <c r="B47" s="342" t="str">
        <f t="array" ref="B47">IF(ISERROR(INDEX(PANEL_PACKING!$G$11:$G$32,SMALL(IF(PANEL_PACKING!$L$11:$L$32&lt;&gt;0,ROW(PANEL_PACKING!$L$11:$L$32)-10),ROW(B38)))),"",INDEX(PANEL_PACKING!$G$11:$G$32,SMALL(IF(PANEL_PACKING!$L$11:$L$32&lt;&gt;0,ROW(PANEL_PACKING!$L$11:$L$32)-10),ROW(B38))))</f>
        <v/>
      </c>
      <c r="D47" s="977"/>
      <c r="F47" s="972"/>
      <c r="G47" s="972"/>
      <c r="I47" s="342" t="str">
        <f t="array" ref="I47">IF(ISERROR(INDEX(PANEL_PACKING!$G$11:$G$32,SMALL(IF(PANEL_PACKING!$L$11:$L$32&lt;&gt;0,ROW(PANEL_PACKING!$L$11:$L$32)-10),ROW(PANEL_PACKING!B38)))),"",INDEX(PANEL_PACKING!$G$11:$G$32,SMALL(IF(PANEL_PACKING!$L$11:$L$32&lt;&gt;0,ROW(PANEL_PACKING!$L$11:$L$32)-10),ROW(PANEL_PACKING!B38))))</f>
        <v/>
      </c>
      <c r="L47" s="342" t="str">
        <f t="array" ref="L47">IF(ISERROR(INDEX(PANEL_PACKING!$G$11:$G$32,SMALL(IF(PANEL_PACKING!$L$11:$L$32&lt;&gt;0,ROW(PANEL_PACKING!$L$11:$L$32)-10),ROW(B117)))),"",INDEX(PANEL_PACKING!$G$11:$G$32,SMALL(IF(PANEL_PACKING!$L$11:$L$32&lt;&gt;0,ROW(PANEL_PACKING!$L$11:$L$32)-10),ROW(B117))))</f>
        <v/>
      </c>
      <c r="M47" s="342" t="str">
        <f t="array" ref="M47">IF(ISERROR(INDEX(PANEL_PACKING!$G$11:$G$32,SMALL(IF(PANEL_PACKING!$M$11:$M$32&lt;&gt;0,ROW(PANEL_PACKING!$M$11:$M$32)-10),ROW('PANEL_PACKING(PRINT)'!C116)))),"",INDEX(PANEL_PACKING!$G$11:$G$32,SMALL(IF(PANEL_PACKING!$M$11:$M$32&lt;&gt;0,ROW(PANEL_PACKING!$M$11:$M$32)-10),ROW('PANEL_PACKING(PRINT)'!C116))))</f>
        <v/>
      </c>
      <c r="N47" s="364"/>
      <c r="O47" s="342" t="str">
        <f t="array" ref="O47">IF(ISERROR(INDEX(PANEL_PACKING!$M$11:$M$32,SMALL(IF(PANEL_PACKING!$M$11:$M$32&lt;&gt;0,ROW(PANEL_PACKING!$M$11:$M$32)-10),ROW('PANEL_PACKING(PRINT)'!D116)))),"",INDEX(PANEL_PACKING!$M$11:$M$32,SMALL(IF(PANEL_PACKING!$M$11:$M$32&lt;&gt;0,ROW(PANEL_PACKING!$M$11:$M$32)-10),ROW('PANEL_PACKING(PRINT)'!D116))))</f>
        <v/>
      </c>
      <c r="P47" s="972"/>
      <c r="Q47" s="972"/>
    </row>
    <row r="48" spans="2:17" ht="24" customHeight="1">
      <c r="B48" s="342" t="str">
        <f t="array" ref="B48">IF(ISERROR(INDEX(PANEL_PACKING!$G$11:$G$32,SMALL(IF(PANEL_PACKING!$L$11:$L$32&lt;&gt;0,ROW(PANEL_PACKING!$L$11:$L$32)-10),ROW(B39)))),"",INDEX(PANEL_PACKING!$G$11:$G$32,SMALL(IF(PANEL_PACKING!$L$11:$L$32&lt;&gt;0,ROW(PANEL_PACKING!$L$11:$L$32)-10),ROW(B39))))</f>
        <v/>
      </c>
      <c r="I48" s="342" t="str">
        <f t="array" ref="I48">IF(ISERROR(INDEX(PANEL_PACKING!$G$11:$G$32,SMALL(IF(PANEL_PACKING!$L$11:$L$32&lt;&gt;0,ROW(PANEL_PACKING!$L$11:$L$32)-10),ROW(PANEL_PACKING!B39)))),"",INDEX(PANEL_PACKING!$G$11:$G$32,SMALL(IF(PANEL_PACKING!$L$11:$L$32&lt;&gt;0,ROW(PANEL_PACKING!$L$11:$L$32)-10),ROW(PANEL_PACKING!B39))))</f>
        <v/>
      </c>
      <c r="L48" s="342" t="str">
        <f t="array" ref="L48">IF(ISERROR(INDEX(PANEL_PACKING!$G$11:$G$32,SMALL(IF(PANEL_PACKING!$L$11:$L$32&lt;&gt;0,ROW(PANEL_PACKING!$L$11:$L$32)-10),ROW(B118)))),"",INDEX(PANEL_PACKING!$G$11:$G$32,SMALL(IF(PANEL_PACKING!$L$11:$L$32&lt;&gt;0,ROW(PANEL_PACKING!$L$11:$L$32)-10),ROW(B118))))</f>
        <v/>
      </c>
      <c r="M48" s="342" t="str">
        <f t="array" ref="M48">IF(ISERROR(INDEX(PANEL_PACKING!$G$11:$G$32,SMALL(IF(PANEL_PACKING!$L$11:$L$32&lt;&gt;0,ROW(PANEL_PACKING!$L$11:$L$32)-10),ROW(PANEL_PACKING!K23)))),"",INDEX(PANEL_PACKING!$G$11:$G$32,SMALL(IF(PANEL_PACKING!$L$11:$L$32&lt;&gt;0,ROW(PANEL_PACKING!$L$11:$L$32)-10),ROW(PANEL_PACKING!K23))))</f>
        <v/>
      </c>
      <c r="O48" s="342" t="str">
        <f t="array" ref="O48">IF(ISERROR(INDEX(PANEL_PACKING!$L$11:$L$32,SMALL(IF(PANEL_PACKING!$L$11:$L$32&lt;&gt;0,ROW(PANEL_PACKING!$L$11:$L$32)-10),ROW(PANEL_PACKING!L23)))),"",INDEX(PANEL_PACKING!$L$11:$L$32,SMALL(IF(PANEL_PACKING!$L$11:$L$32&lt;&gt;0,ROW(PANEL_PACKING!$L$11:$L$32)-10),ROW(PANEL_PACKING!L23))))</f>
        <v/>
      </c>
    </row>
    <row r="49" spans="9:15">
      <c r="I49" s="342" t="str">
        <f t="array" ref="I49">IF(ISERROR(INDEX(PANEL_PACKING!$G$11:$G$32,SMALL(IF(PANEL_PACKING!$L$11:$L$32&lt;&gt;0,ROW(PANEL_PACKING!$L$11:$L$32)-10),ROW(PANEL_PACKING!B40)))),"",INDEX(PANEL_PACKING!$G$11:$G$32,SMALL(IF(PANEL_PACKING!$L$11:$L$32&lt;&gt;0,ROW(PANEL_PACKING!$L$11:$L$32)-10),ROW(PANEL_PACKING!B40))))</f>
        <v/>
      </c>
      <c r="M49" s="342" t="str">
        <f t="array" ref="M49">IF(ISERROR(INDEX(PANEL_PACKING!$G$11:$G$32,SMALL(IF(PANEL_PACKING!$L$11:$L$32&lt;&gt;0,ROW(PANEL_PACKING!$L$11:$L$32)-10),ROW(PANEL_PACKING!K24)))),"",INDEX(PANEL_PACKING!$G$11:$G$32,SMALL(IF(PANEL_PACKING!$L$11:$L$32&lt;&gt;0,ROW(PANEL_PACKING!$L$11:$L$32)-10),ROW(PANEL_PACKING!K24))))</f>
        <v/>
      </c>
      <c r="O49" s="342" t="str">
        <f t="array" ref="O49">IF(ISERROR(INDEX(PANEL_PACKING!$L$11:$L$32,SMALL(IF(PANEL_PACKING!$L$11:$L$32&lt;&gt;0,ROW(PANEL_PACKING!$L$11:$L$32)-10),ROW(PANEL_PACKING!L24)))),"",INDEX(PANEL_PACKING!$L$11:$L$32,SMALL(IF(PANEL_PACKING!$L$11:$L$32&lt;&gt;0,ROW(PANEL_PACKING!$L$11:$L$32)-10),ROW(PANEL_PACKING!L24))))</f>
        <v/>
      </c>
    </row>
    <row r="50" spans="9:15">
      <c r="I50" s="342" t="str">
        <f t="array" ref="I50">IF(ISERROR(INDEX(PANEL_PACKING!$G$11:$G$32,SMALL(IF(PANEL_PACKING!$L$11:$L$32&lt;&gt;0,ROW(PANEL_PACKING!$L$11:$L$32)-10),ROW(PANEL_PACKING!B41)))),"",INDEX(PANEL_PACKING!$G$11:$G$32,SMALL(IF(PANEL_PACKING!$L$11:$L$32&lt;&gt;0,ROW(PANEL_PACKING!$L$11:$L$32)-10),ROW(PANEL_PACKING!B41))))</f>
        <v/>
      </c>
      <c r="M50" s="342" t="str">
        <f t="array" ref="M50">IF(ISERROR(INDEX(PANEL_PACKING!$G$11:$G$32,SMALL(IF(PANEL_PACKING!$L$11:$L$32&lt;&gt;0,ROW(PANEL_PACKING!$L$11:$L$32)-10),ROW(PANEL_PACKING!K25)))),"",INDEX(PANEL_PACKING!$G$11:$G$32,SMALL(IF(PANEL_PACKING!$L$11:$L$32&lt;&gt;0,ROW(PANEL_PACKING!$L$11:$L$32)-10),ROW(PANEL_PACKING!K25))))</f>
        <v/>
      </c>
      <c r="O50" s="342" t="str">
        <f t="array" ref="O50">IF(ISERROR(INDEX(PANEL_PACKING!$L$11:$L$32,SMALL(IF(PANEL_PACKING!$L$11:$L$32&lt;&gt;0,ROW(PANEL_PACKING!$L$11:$L$32)-10),ROW(PANEL_PACKING!L25)))),"",INDEX(PANEL_PACKING!$L$11:$L$32,SMALL(IF(PANEL_PACKING!$L$11:$L$32&lt;&gt;0,ROW(PANEL_PACKING!$L$11:$L$32)-10),ROW(PANEL_PACKING!L25))))</f>
        <v/>
      </c>
    </row>
    <row r="51" spans="9:15">
      <c r="I51" s="342" t="str">
        <f t="array" ref="I51">IF(ISERROR(INDEX(PANEL_PACKING!$G$11:$G$32,SMALL(IF(PANEL_PACKING!$L$11:$L$32&lt;&gt;0,ROW(PANEL_PACKING!$L$11:$L$32)-10),ROW(PANEL_PACKING!B42)))),"",INDEX(PANEL_PACKING!$G$11:$G$32,SMALL(IF(PANEL_PACKING!$L$11:$L$32&lt;&gt;0,ROW(PANEL_PACKING!$L$11:$L$32)-10),ROW(PANEL_PACKING!B42))))</f>
        <v/>
      </c>
      <c r="M51" s="342" t="str">
        <f t="array" ref="M51">IF(ISERROR(INDEX(PANEL_PACKING!$G$11:$G$32,SMALL(IF(PANEL_PACKING!$L$11:$L$32&lt;&gt;0,ROW(PANEL_PACKING!$L$11:$L$32)-10),ROW(PANEL_PACKING!K26)))),"",INDEX(PANEL_PACKING!$G$11:$G$32,SMALL(IF(PANEL_PACKING!$L$11:$L$32&lt;&gt;0,ROW(PANEL_PACKING!$L$11:$L$32)-10),ROW(PANEL_PACKING!K26))))</f>
        <v/>
      </c>
    </row>
    <row r="52" spans="9:15">
      <c r="I52" s="342" t="str">
        <f t="array" ref="I52">IF(ISERROR(INDEX(PANEL_PACKING!$G$11:$G$32,SMALL(IF(PANEL_PACKING!$L$11:$L$32&lt;&gt;0,ROW(PANEL_PACKING!$L$11:$L$32)-10),ROW(PANEL_PACKING!B43)))),"",INDEX(PANEL_PACKING!$G$11:$G$32,SMALL(IF(PANEL_PACKING!$L$11:$L$32&lt;&gt;0,ROW(PANEL_PACKING!$L$11:$L$32)-10),ROW(PANEL_PACKING!B43))))</f>
        <v/>
      </c>
      <c r="M52" s="342" t="str">
        <f t="array" ref="M52">IF(ISERROR(INDEX(PANEL_PACKING!$G$11:$G$32,SMALL(IF(PANEL_PACKING!$L$11:$L$32&lt;&gt;0,ROW(PANEL_PACKING!$L$11:$L$32)-10),ROW(PANEL_PACKING!K27)))),"",INDEX(PANEL_PACKING!$G$11:$G$32,SMALL(IF(PANEL_PACKING!$L$11:$L$32&lt;&gt;0,ROW(PANEL_PACKING!$L$11:$L$32)-10),ROW(PANEL_PACKING!K27))))</f>
        <v/>
      </c>
    </row>
    <row r="53" spans="9:15">
      <c r="I53" s="342" t="str">
        <f t="array" ref="I53">IF(ISERROR(INDEX(PANEL_PACKING!$G$11:$G$32,SMALL(IF(PANEL_PACKING!$L$11:$L$32&lt;&gt;0,ROW(PANEL_PACKING!$L$11:$L$32)-10),ROW(PANEL_PACKING!B44)))),"",INDEX(PANEL_PACKING!$G$11:$G$32,SMALL(IF(PANEL_PACKING!$L$11:$L$32&lt;&gt;0,ROW(PANEL_PACKING!$L$11:$L$32)-10),ROW(PANEL_PACKING!B44))))</f>
        <v/>
      </c>
      <c r="M53" s="342" t="str">
        <f t="array" ref="M53">IF(ISERROR(INDEX(PANEL_PACKING!$G$11:$G$32,SMALL(IF(PANEL_PACKING!$L$11:$L$32&lt;&gt;0,ROW(PANEL_PACKING!$L$11:$L$32)-10),ROW(PANEL_PACKING!K28)))),"",INDEX(PANEL_PACKING!$G$11:$G$32,SMALL(IF(PANEL_PACKING!$L$11:$L$32&lt;&gt;0,ROW(PANEL_PACKING!$L$11:$L$32)-10),ROW(PANEL_PACKING!K28))))</f>
        <v/>
      </c>
    </row>
    <row r="54" spans="9:15">
      <c r="I54" s="342" t="str">
        <f t="array" ref="I54">IF(ISERROR(INDEX(PANEL_PACKING!$G$11:$G$32,SMALL(IF(PANEL_PACKING!$L$11:$L$32&lt;&gt;0,ROW(PANEL_PACKING!$L$11:$L$32)-10),ROW(PANEL_PACKING!B45)))),"",INDEX(PANEL_PACKING!$G$11:$G$32,SMALL(IF(PANEL_PACKING!$L$11:$L$32&lt;&gt;0,ROW(PANEL_PACKING!$L$11:$L$32)-10),ROW(PANEL_PACKING!B45))))</f>
        <v/>
      </c>
      <c r="M54" s="342" t="str">
        <f t="array" ref="M54">IF(ISERROR(INDEX(PANEL_PACKING!$G$11:$G$32,SMALL(IF(PANEL_PACKING!$L$11:$L$32&lt;&gt;0,ROW(PANEL_PACKING!$L$11:$L$32)-10),ROW(PANEL_PACKING!K29)))),"",INDEX(PANEL_PACKING!$G$11:$G$32,SMALL(IF(PANEL_PACKING!$L$11:$L$32&lt;&gt;0,ROW(PANEL_PACKING!$L$11:$L$32)-10),ROW(PANEL_PACKING!K29))))</f>
        <v/>
      </c>
    </row>
    <row r="55" spans="9:15">
      <c r="I55" s="342" t="str">
        <f t="array" ref="I55">IF(ISERROR(INDEX(PANEL_PACKING!$G$11:$G$32,SMALL(IF(PANEL_PACKING!$L$11:$L$32&lt;&gt;0,ROW(PANEL_PACKING!$L$11:$L$32)-10),ROW(PANEL_PACKING!B46)))),"",INDEX(PANEL_PACKING!$G$11:$G$32,SMALL(IF(PANEL_PACKING!$L$11:$L$32&lt;&gt;0,ROW(PANEL_PACKING!$L$11:$L$32)-10),ROW(PANEL_PACKING!B46))))</f>
        <v/>
      </c>
      <c r="M55" s="342" t="str">
        <f t="array" ref="M55">IF(ISERROR(INDEX(PANEL_PACKING!$G$11:$G$32,SMALL(IF(PANEL_PACKING!$L$11:$L$32&lt;&gt;0,ROW(PANEL_PACKING!$L$11:$L$32)-10),ROW(PANEL_PACKING!K30)))),"",INDEX(PANEL_PACKING!$G$11:$G$32,SMALL(IF(PANEL_PACKING!$L$11:$L$32&lt;&gt;0,ROW(PANEL_PACKING!$L$11:$L$32)-10),ROW(PANEL_PACKING!K30))))</f>
        <v/>
      </c>
    </row>
    <row r="56" spans="9:15">
      <c r="I56" s="342" t="str">
        <f t="array" ref="I56">IF(ISERROR(INDEX(PANEL_PACKING!$G$11:$G$32,SMALL(IF(PANEL_PACKING!$L$11:$L$32&lt;&gt;0,ROW(PANEL_PACKING!$L$11:$L$32)-10),ROW(PANEL_PACKING!B47)))),"",INDEX(PANEL_PACKING!$G$11:$G$32,SMALL(IF(PANEL_PACKING!$L$11:$L$32&lt;&gt;0,ROW(PANEL_PACKING!$L$11:$L$32)-10),ROW(PANEL_PACKING!B47))))</f>
        <v/>
      </c>
      <c r="M56" s="342" t="str">
        <f t="array" ref="M56">IF(ISERROR(INDEX(PANEL_PACKING!$G$11:$G$32,SMALL(IF(PANEL_PACKING!$L$11:$L$32&lt;&gt;0,ROW(PANEL_PACKING!$L$11:$L$32)-10),ROW(PANEL_PACKING!K31)))),"",INDEX(PANEL_PACKING!$G$11:$G$32,SMALL(IF(PANEL_PACKING!$L$11:$L$32&lt;&gt;0,ROW(PANEL_PACKING!$L$11:$L$32)-10),ROW(PANEL_PACKING!K31))))</f>
        <v/>
      </c>
    </row>
    <row r="57" spans="9:15">
      <c r="I57" s="342" t="str">
        <f t="array" ref="I57">IF(ISERROR(INDEX(PANEL_PACKING!$G$11:$G$32,SMALL(IF(PANEL_PACKING!$L$11:$L$32&lt;&gt;0,ROW(PANEL_PACKING!$L$11:$L$32)-10),ROW(PANEL_PACKING!B48)))),"",INDEX(PANEL_PACKING!$G$11:$G$32,SMALL(IF(PANEL_PACKING!$L$11:$L$32&lt;&gt;0,ROW(PANEL_PACKING!$L$11:$L$32)-10),ROW(PANEL_PACKING!B48))))</f>
        <v/>
      </c>
      <c r="M57" s="342" t="str">
        <f t="array" ref="M57">IF(ISERROR(INDEX(PANEL_PACKING!$G$11:$G$32,SMALL(IF(PANEL_PACKING!$L$11:$L$32&lt;&gt;0,ROW(PANEL_PACKING!$L$11:$L$32)-10),ROW(PANEL_PACKING!K32)))),"",INDEX(PANEL_PACKING!$G$11:$G$32,SMALL(IF(PANEL_PACKING!$L$11:$L$32&lt;&gt;0,ROW(PANEL_PACKING!$L$11:$L$32)-10),ROW(PANEL_PACKING!K32))))</f>
        <v/>
      </c>
    </row>
    <row r="58" spans="9:15">
      <c r="I58" s="342" t="str">
        <f t="array" ref="I58">IF(ISERROR(INDEX(PANEL_PACKING!$G$11:$G$32,SMALL(IF(PANEL_PACKING!$L$11:$L$32&lt;&gt;0,ROW(PANEL_PACKING!$L$11:$L$32)-10),ROW(PANEL_PACKING!B49)))),"",INDEX(PANEL_PACKING!$G$11:$G$32,SMALL(IF(PANEL_PACKING!$L$11:$L$32&lt;&gt;0,ROW(PANEL_PACKING!$L$11:$L$32)-10),ROW(PANEL_PACKING!B49))))</f>
        <v/>
      </c>
      <c r="M58" s="342" t="str">
        <f t="array" ref="M58">IF(ISERROR(INDEX(PANEL_PACKING!$G$11:$G$32,SMALL(IF(PANEL_PACKING!$L$11:$L$32&lt;&gt;0,ROW(PANEL_PACKING!$L$11:$L$32)-10),ROW(PANEL_PACKING!K33)))),"",INDEX(PANEL_PACKING!$G$11:$G$32,SMALL(IF(PANEL_PACKING!$L$11:$L$32&lt;&gt;0,ROW(PANEL_PACKING!$L$11:$L$32)-10),ROW(PANEL_PACKING!K33))))</f>
        <v/>
      </c>
    </row>
    <row r="59" spans="9:15">
      <c r="I59" s="342" t="str">
        <f t="array" ref="I59">IF(ISERROR(INDEX(PANEL_PACKING!$G$11:$G$32,SMALL(IF(PANEL_PACKING!$L$11:$L$32&lt;&gt;0,ROW(PANEL_PACKING!$L$11:$L$32)-10),ROW(PANEL_PACKING!B50)))),"",INDEX(PANEL_PACKING!$G$11:$G$32,SMALL(IF(PANEL_PACKING!$L$11:$L$32&lt;&gt;0,ROW(PANEL_PACKING!$L$11:$L$32)-10),ROW(PANEL_PACKING!B50))))</f>
        <v/>
      </c>
      <c r="M59" s="342" t="str">
        <f t="array" ref="M59">IF(ISERROR(INDEX(PANEL_PACKING!$G$11:$G$32,SMALL(IF(PANEL_PACKING!$L$11:$L$32&lt;&gt;0,ROW(PANEL_PACKING!$L$11:$L$32)-10),ROW(PANEL_PACKING!K34)))),"",INDEX(PANEL_PACKING!$G$11:$G$32,SMALL(IF(PANEL_PACKING!$L$11:$L$32&lt;&gt;0,ROW(PANEL_PACKING!$L$11:$L$32)-10),ROW(PANEL_PACKING!K34))))</f>
        <v/>
      </c>
    </row>
    <row r="60" spans="9:15">
      <c r="M60" s="342" t="str">
        <f t="array" ref="M60">IF(ISERROR(INDEX(PANEL_PACKING!$G$11:$G$32,SMALL(IF(PANEL_PACKING!$L$11:$L$32&lt;&gt;0,ROW(PANEL_PACKING!$L$11:$L$32)-10),ROW(PANEL_PACKING!K35)))),"",INDEX(PANEL_PACKING!$G$11:$G$32,SMALL(IF(PANEL_PACKING!$L$11:$L$32&lt;&gt;0,ROW(PANEL_PACKING!$L$11:$L$32)-10),ROW(PANEL_PACKING!K35))))</f>
        <v/>
      </c>
    </row>
    <row r="61" spans="9:15">
      <c r="M61" s="342" t="str">
        <f t="array" ref="M61">IF(ISERROR(INDEX(PANEL_PACKING!$G$11:$G$32,SMALL(IF(PANEL_PACKING!$L$11:$L$32&lt;&gt;0,ROW(PANEL_PACKING!$L$11:$L$32)-10),ROW(PANEL_PACKING!K36)))),"",INDEX(PANEL_PACKING!$G$11:$G$32,SMALL(IF(PANEL_PACKING!$L$11:$L$32&lt;&gt;0,ROW(PANEL_PACKING!$L$11:$L$32)-10),ROW(PANEL_PACKING!K36))))</f>
        <v/>
      </c>
    </row>
    <row r="62" spans="9:15">
      <c r="M62" s="342" t="str">
        <f t="array" ref="M62">IF(ISERROR(INDEX(PANEL_PACKING!$G$11:$G$32,SMALL(IF(PANEL_PACKING!$L$11:$L$32&lt;&gt;0,ROW(PANEL_PACKING!$L$11:$L$32)-10),ROW(PANEL_PACKING!K37)))),"",INDEX(PANEL_PACKING!$G$11:$G$32,SMALL(IF(PANEL_PACKING!$L$11:$L$32&lt;&gt;0,ROW(PANEL_PACKING!$L$11:$L$32)-10),ROW(PANEL_PACKING!K37))))</f>
        <v/>
      </c>
    </row>
    <row r="63" spans="9:15">
      <c r="M63" s="342" t="str">
        <f t="array" ref="M63">IF(ISERROR(INDEX(PANEL_PACKING!$G$11:$G$32,SMALL(IF(PANEL_PACKING!$L$11:$L$32&lt;&gt;0,ROW(PANEL_PACKING!$L$11:$L$32)-10),ROW(PANEL_PACKING!K38)))),"",INDEX(PANEL_PACKING!$G$11:$G$32,SMALL(IF(PANEL_PACKING!$L$11:$L$32&lt;&gt;0,ROW(PANEL_PACKING!$L$11:$L$32)-10),ROW(PANEL_PACKING!K38))))</f>
        <v/>
      </c>
    </row>
    <row r="64" spans="9:15">
      <c r="M64" s="342" t="str">
        <f t="array" ref="M64">IF(ISERROR(INDEX(PANEL_PACKING!$G$11:$G$32,SMALL(IF(PANEL_PACKING!$L$11:$L$32&lt;&gt;0,ROW(PANEL_PACKING!$L$11:$L$32)-10),ROW(PANEL_PACKING!K39)))),"",INDEX(PANEL_PACKING!$G$11:$G$32,SMALL(IF(PANEL_PACKING!$L$11:$L$32&lt;&gt;0,ROW(PANEL_PACKING!$L$11:$L$32)-10),ROW(PANEL_PACKING!K39))))</f>
        <v/>
      </c>
    </row>
    <row r="65" spans="1:13">
      <c r="M65" s="342" t="str">
        <f t="array" ref="M65">IF(ISERROR(INDEX(PANEL_PACKING!$G$11:$G$32,SMALL(IF(PANEL_PACKING!$L$11:$L$32&lt;&gt;0,ROW(PANEL_PACKING!$L$11:$L$32)-10),ROW(PANEL_PACKING!K40)))),"",INDEX(PANEL_PACKING!$G$11:$G$32,SMALL(IF(PANEL_PACKING!$L$11:$L$32&lt;&gt;0,ROW(PANEL_PACKING!$L$11:$L$32)-10),ROW(PANEL_PACKING!K40))))</f>
        <v/>
      </c>
    </row>
    <row r="66" spans="1:13">
      <c r="M66" s="342" t="str">
        <f t="array" ref="M66">IF(ISERROR(INDEX(PANEL_PACKING!$G$11:$G$32,SMALL(IF(PANEL_PACKING!$L$11:$L$32&lt;&gt;0,ROW(PANEL_PACKING!$L$11:$L$32)-10),ROW(PANEL_PACKING!K41)))),"",INDEX(PANEL_PACKING!$G$11:$G$32,SMALL(IF(PANEL_PACKING!$L$11:$L$32&lt;&gt;0,ROW(PANEL_PACKING!$L$11:$L$32)-10),ROW(PANEL_PACKING!K41))))</f>
        <v/>
      </c>
    </row>
    <row r="67" spans="1:13">
      <c r="M67" s="342" t="str">
        <f t="array" ref="M67">IF(ISERROR(INDEX(PANEL_PACKING!$G$11:$G$32,SMALL(IF(PANEL_PACKING!$L$11:$L$32&lt;&gt;0,ROW(PANEL_PACKING!$L$11:$L$32)-10),ROW(PANEL_PACKING!K42)))),"",INDEX(PANEL_PACKING!$G$11:$G$32,SMALL(IF(PANEL_PACKING!$L$11:$L$32&lt;&gt;0,ROW(PANEL_PACKING!$L$11:$L$32)-10),ROW(PANEL_PACKING!K42))))</f>
        <v/>
      </c>
    </row>
    <row r="68" spans="1:13">
      <c r="M68" s="342" t="str">
        <f t="array" ref="M68">IF(ISERROR(INDEX(PANEL_PACKING!$G$11:$G$32,SMALL(IF(PANEL_PACKING!$L$11:$L$32&lt;&gt;0,ROW(PANEL_PACKING!$L$11:$L$32)-10),ROW(PANEL_PACKING!K43)))),"",INDEX(PANEL_PACKING!$G$11:$G$32,SMALL(IF(PANEL_PACKING!$L$11:$L$32&lt;&gt;0,ROW(PANEL_PACKING!$L$11:$L$32)-10),ROW(PANEL_PACKING!K43))))</f>
        <v/>
      </c>
    </row>
    <row r="69" spans="1:13">
      <c r="M69" s="342" t="str">
        <f t="array" ref="M69">IF(ISERROR(INDEX(PANEL_PACKING!$G$11:$G$32,SMALL(IF(PANEL_PACKING!$L$11:$L$32&lt;&gt;0,ROW(PANEL_PACKING!$L$11:$L$32)-10),ROW(PANEL_PACKING!K44)))),"",INDEX(PANEL_PACKING!$G$11:$G$32,SMALL(IF(PANEL_PACKING!$L$11:$L$32&lt;&gt;0,ROW(PANEL_PACKING!$L$11:$L$32)-10),ROW(PANEL_PACKING!K44))))</f>
        <v/>
      </c>
    </row>
    <row r="70" spans="1:13">
      <c r="M70" s="342" t="str">
        <f t="array" ref="M70">IF(ISERROR(INDEX(PANEL_PACKING!$G$11:$G$32,SMALL(IF(PANEL_PACKING!$L$11:$L$32&lt;&gt;0,ROW(PANEL_PACKING!$L$11:$L$32)-10),ROW(PANEL_PACKING!K45)))),"",INDEX(PANEL_PACKING!$G$11:$G$32,SMALL(IF(PANEL_PACKING!$L$11:$L$32&lt;&gt;0,ROW(PANEL_PACKING!$L$11:$L$32)-10),ROW(PANEL_PACKING!K45))))</f>
        <v/>
      </c>
    </row>
    <row r="71" spans="1:13">
      <c r="M71" s="342" t="str">
        <f t="array" ref="M71">IF(ISERROR(INDEX(PANEL_PACKING!$G$11:$G$32,SMALL(IF(PANEL_PACKING!$L$11:$L$32&lt;&gt;0,ROW(PANEL_PACKING!$L$11:$L$32)-10),ROW(PANEL_PACKING!K46)))),"",INDEX(PANEL_PACKING!$G$11:$G$32,SMALL(IF(PANEL_PACKING!$L$11:$L$32&lt;&gt;0,ROW(PANEL_PACKING!$L$11:$L$32)-10),ROW(PANEL_PACKING!K46))))</f>
        <v/>
      </c>
    </row>
    <row r="72" spans="1:13">
      <c r="M72" s="342" t="str">
        <f t="array" ref="M72">IF(ISERROR(INDEX(PANEL_PACKING!$G$11:$G$32,SMALL(IF(PANEL_PACKING!$L$11:$L$32&lt;&gt;0,ROW(PANEL_PACKING!$L$11:$L$32)-10),ROW(PANEL_PACKING!K47)))),"",INDEX(PANEL_PACKING!$G$11:$G$32,SMALL(IF(PANEL_PACKING!$L$11:$L$32&lt;&gt;0,ROW(PANEL_PACKING!$L$11:$L$32)-10),ROW(PANEL_PACKING!K47))))</f>
        <v/>
      </c>
    </row>
    <row r="73" spans="1:13">
      <c r="M73" s="342" t="str">
        <f t="array" ref="M73">IF(ISERROR(INDEX(PANEL_PACKING!$G$11:$G$32,SMALL(IF(PANEL_PACKING!$L$11:$L$32&lt;&gt;0,ROW(PANEL_PACKING!$L$11:$L$32)-10),ROW(PANEL_PACKING!K48)))),"",INDEX(PANEL_PACKING!$G$11:$G$32,SMALL(IF(PANEL_PACKING!$L$11:$L$32&lt;&gt;0,ROW(PANEL_PACKING!$L$11:$L$32)-10),ROW(PANEL_PACKING!K48))))</f>
        <v/>
      </c>
    </row>
    <row r="74" spans="1:13">
      <c r="M74" s="342" t="str">
        <f t="array" ref="M74">IF(ISERROR(INDEX(PANEL_PACKING!$G$11:$G$32,SMALL(IF(PANEL_PACKING!$L$11:$L$32&lt;&gt;0,ROW(PANEL_PACKING!$L$11:$L$32)-10),ROW(PANEL_PACKING!K49)))),"",INDEX(PANEL_PACKING!$G$11:$G$32,SMALL(IF(PANEL_PACKING!$L$11:$L$32&lt;&gt;0,ROW(PANEL_PACKING!$L$11:$L$32)-10),ROW(PANEL_PACKING!K49))))</f>
        <v/>
      </c>
    </row>
    <row r="75" spans="1:13">
      <c r="M75" s="342" t="str">
        <f t="array" ref="M75">IF(ISERROR(INDEX(PANEL_PACKING!$G$11:$G$32,SMALL(IF(PANEL_PACKING!$L$11:$L$32&lt;&gt;0,ROW(PANEL_PACKING!$L$11:$L$32)-10),ROW(PANEL_PACKING!K50)))),"",INDEX(PANEL_PACKING!$G$11:$G$32,SMALL(IF(PANEL_PACKING!$L$11:$L$32&lt;&gt;0,ROW(PANEL_PACKING!$L$11:$L$32)-10),ROW(PANEL_PACKING!K50))))</f>
        <v/>
      </c>
    </row>
    <row r="76" spans="1:13">
      <c r="C76" s="342" t="str">
        <f t="array" ref="C76">IF(ISERROR(INDEX(PANEL_PACKING!$G$11:$G$32,SMALL(IF(PANEL_PACKING!$L$11:$L$32&lt;&gt;0,ROW(PANEL_PACKING!$L$11:$L$32)-10),ROW(PANEL_PACKING!B51)))),"",INDEX(PANEL_PACKING!$G$11:$G$32,SMALL(IF(PANEL_PACKING!$L$11:$L$32&lt;&gt;0,ROW(PANEL_PACKING!$L$11:$L$32)-10),ROW(PANEL_PACKING!B51))))</f>
        <v/>
      </c>
      <c r="M76" s="342" t="str">
        <f t="array" ref="M76">IF(ISERROR(INDEX(PANEL_PACKING!$G$11:$G$32,SMALL(IF(PANEL_PACKING!$L$11:$L$32&lt;&gt;0,ROW(PANEL_PACKING!$L$11:$L$32)-10),ROW(PANEL_PACKING!K51)))),"",INDEX(PANEL_PACKING!$G$11:$G$32,SMALL(IF(PANEL_PACKING!$L$11:$L$32&lt;&gt;0,ROW(PANEL_PACKING!$L$11:$L$32)-10),ROW(PANEL_PACKING!K51))))</f>
        <v/>
      </c>
    </row>
    <row r="77" spans="1:13">
      <c r="C77" s="342" t="str">
        <f t="array" ref="C77">IF(ISERROR(INDEX(PANEL_PACKING!$G$11:$G$32,SMALL(IF(PANEL_PACKING!$L$11:$L$32&lt;&gt;0,ROW(PANEL_PACKING!$L$11:$L$32)-10),ROW(PANEL_PACKING!B52)))),"",INDEX(PANEL_PACKING!$G$11:$G$32,SMALL(IF(PANEL_PACKING!$L$11:$L$32&lt;&gt;0,ROW(PANEL_PACKING!$L$11:$L$32)-10),ROW(PANEL_PACKING!B52))))</f>
        <v/>
      </c>
      <c r="M77" s="342" t="str">
        <f t="array" ref="M77">IF(ISERROR(INDEX(PANEL_PACKING!$G$11:$G$32,SMALL(IF(PANEL_PACKING!$L$11:$L$32&lt;&gt;0,ROW(PANEL_PACKING!$L$11:$L$32)-10),ROW(PANEL_PACKING!K52)))),"",INDEX(PANEL_PACKING!$G$11:$G$32,SMALL(IF(PANEL_PACKING!$L$11:$L$32&lt;&gt;0,ROW(PANEL_PACKING!$L$11:$L$32)-10),ROW(PANEL_PACKING!K52))))</f>
        <v/>
      </c>
    </row>
    <row r="78" spans="1:13">
      <c r="C78" s="342" t="str">
        <f t="array" ref="C78">IF(ISERROR(INDEX(PANEL_PACKING!$G$11:$G$32,SMALL(IF(PANEL_PACKING!$L$11:$L$32&lt;&gt;0,ROW(PANEL_PACKING!$L$11:$L$32)-10),ROW(PANEL_PACKING!B53)))),"",INDEX(PANEL_PACKING!$G$11:$G$32,SMALL(IF(PANEL_PACKING!$L$11:$L$32&lt;&gt;0,ROW(PANEL_PACKING!$L$11:$L$32)-10),ROW(PANEL_PACKING!B53))))</f>
        <v/>
      </c>
      <c r="M78" s="342" t="str">
        <f t="array" ref="M78">IF(ISERROR(INDEX(PANEL_PACKING!$G$11:$G$32,SMALL(IF(PANEL_PACKING!$L$11:$L$32&lt;&gt;0,ROW(PANEL_PACKING!$L$11:$L$32)-10),ROW(PANEL_PACKING!K53)))),"",INDEX(PANEL_PACKING!$G$11:$G$32,SMALL(IF(PANEL_PACKING!$L$11:$L$32&lt;&gt;0,ROW(PANEL_PACKING!$L$11:$L$32)-10),ROW(PANEL_PACKING!K53))))</f>
        <v/>
      </c>
    </row>
    <row r="79" spans="1:13" ht="15" thickBot="1">
      <c r="C79" s="342" t="str">
        <f t="array" ref="C79">IF(ISERROR(INDEX(PANEL_PACKING!$G$11:$G$32,SMALL(IF(PANEL_PACKING!$L$11:$L$32&lt;&gt;0,ROW(PANEL_PACKING!$L$11:$L$32)-10),ROW(PANEL_PACKING!B54)))),"",INDEX(PANEL_PACKING!$G$11:$G$32,SMALL(IF(PANEL_PACKING!$L$11:$L$32&lt;&gt;0,ROW(PANEL_PACKING!$L$11:$L$32)-10),ROW(PANEL_PACKING!B54))))</f>
        <v/>
      </c>
      <c r="M79" s="342" t="str">
        <f t="array" ref="M79">IF(ISERROR(INDEX(PANEL_PACKING!$G$11:$G$32,SMALL(IF(PANEL_PACKING!$L$11:$L$32&lt;&gt;0,ROW(PANEL_PACKING!$L$11:$L$32)-10),ROW(PANEL_PACKING!K54)))),"",INDEX(PANEL_PACKING!$G$11:$G$32,SMALL(IF(PANEL_PACKING!$L$11:$L$32&lt;&gt;0,ROW(PANEL_PACKING!$L$11:$L$32)-10),ROW(PANEL_PACKING!K54))))</f>
        <v/>
      </c>
    </row>
    <row r="80" spans="1:13" ht="35.25" thickBot="1">
      <c r="A80" s="804"/>
      <c r="B80" s="805"/>
      <c r="C80" s="816"/>
      <c r="D80" s="1503" t="s">
        <v>2235</v>
      </c>
      <c r="E80" s="1504"/>
      <c r="F80" s="1504"/>
      <c r="G80" s="1504"/>
      <c r="H80" s="1505"/>
      <c r="M80" s="342" t="str">
        <f t="array" ref="M80">IF(ISERROR(INDEX(PANEL_PACKING!$G$11:$G$32,SMALL(IF(PANEL_PACKING!$L$11:$L$32&lt;&gt;0,ROW(PANEL_PACKING!$L$11:$L$32)-10),ROW(PANEL_PACKING!K55)))),"",INDEX(PANEL_PACKING!$G$11:$G$32,SMALL(IF(PANEL_PACKING!$L$11:$L$32&lt;&gt;0,ROW(PANEL_PACKING!$L$11:$L$32)-10),ROW(PANEL_PACKING!K55))))</f>
        <v/>
      </c>
    </row>
    <row r="81" spans="1:13" ht="22.5">
      <c r="A81" s="806"/>
      <c r="B81" s="350"/>
      <c r="C81" s="817"/>
      <c r="D81" s="813" t="e">
        <f>'PRINTOUT(BOM)'!#REF!</f>
        <v>#REF!</v>
      </c>
      <c r="E81" s="1019"/>
      <c r="G81" s="935" t="e">
        <f>'PRINTOUT(BOM)'!#REF!</f>
        <v>#REF!</v>
      </c>
      <c r="H81" s="1020" t="e">
        <f>'PRINTOUT(BOM)'!#REF!</f>
        <v>#REF!</v>
      </c>
      <c r="M81" s="342" t="str">
        <f t="array" ref="M81">IF(ISERROR(INDEX(PANEL_PACKING!$G$11:$G$32,SMALL(IF(PANEL_PACKING!$L$11:$L$32&lt;&gt;0,ROW(PANEL_PACKING!$L$11:$L$32)-10),ROW(PANEL_PACKING!K56)))),"",INDEX(PANEL_PACKING!$G$11:$G$32,SMALL(IF(PANEL_PACKING!$L$11:$L$32&lt;&gt;0,ROW(PANEL_PACKING!$L$11:$L$32)-10),ROW(PANEL_PACKING!K56))))</f>
        <v/>
      </c>
    </row>
    <row r="82" spans="1:13" ht="22.5">
      <c r="A82" s="806"/>
      <c r="B82" s="350"/>
      <c r="C82" s="817"/>
      <c r="D82" s="814" t="e">
        <f>'PRINTOUT(BOM)'!#REF!</f>
        <v>#REF!</v>
      </c>
      <c r="E82" s="217"/>
      <c r="G82" s="646" t="e">
        <f>'PRINTOUT(BOM)'!#REF!</f>
        <v>#REF!</v>
      </c>
      <c r="H82" s="1016"/>
      <c r="M82" s="342" t="str">
        <f t="array" ref="M82">IF(ISERROR(INDEX(PANEL_PACKING!$G$11:$G$32,SMALL(IF(PANEL_PACKING!$L$11:$L$32&lt;&gt;0,ROW(PANEL_PACKING!$L$11:$L$32)-10),ROW(PANEL_PACKING!K57)))),"",INDEX(PANEL_PACKING!$G$11:$G$32,SMALL(IF(PANEL_PACKING!$L$11:$L$32&lt;&gt;0,ROW(PANEL_PACKING!$L$11:$L$32)-10),ROW(PANEL_PACKING!K57))))</f>
        <v/>
      </c>
    </row>
    <row r="83" spans="1:13" ht="25.5">
      <c r="A83" s="992"/>
      <c r="B83" s="350"/>
      <c r="C83" s="817"/>
      <c r="D83" s="814" t="e">
        <f>'PRINTOUT(BOM)'!#REF!</f>
        <v>#REF!</v>
      </c>
      <c r="E83" s="217"/>
      <c r="F83" s="354"/>
      <c r="G83" s="115" t="e">
        <f>'PRINTOUT(BOM)'!#REF!</f>
        <v>#REF!</v>
      </c>
      <c r="H83" s="1018"/>
      <c r="M83" s="342" t="str">
        <f t="array" ref="M83">IF(ISERROR(INDEX(PANEL_PACKING!$G$11:$G$32,SMALL(IF(PANEL_PACKING!$L$11:$L$32&lt;&gt;0,ROW(PANEL_PACKING!$L$11:$L$32)-10),ROW(PANEL_PACKING!K58)))),"",INDEX(PANEL_PACKING!$G$11:$G$32,SMALL(IF(PANEL_PACKING!$L$11:$L$32&lt;&gt;0,ROW(PANEL_PACKING!$L$11:$L$32)-10),ROW(PANEL_PACKING!K58))))</f>
        <v/>
      </c>
    </row>
    <row r="84" spans="1:13" ht="26.25" thickBot="1">
      <c r="A84" s="1012"/>
      <c r="B84" s="809"/>
      <c r="C84" s="1015"/>
      <c r="D84" s="815" t="e">
        <f>'PRINTOUT(BOM)'!#REF!</f>
        <v>#REF!</v>
      </c>
      <c r="E84" s="1013"/>
      <c r="F84" s="1014"/>
      <c r="G84" s="1014"/>
      <c r="H84" s="1017"/>
      <c r="M84" s="342" t="str">
        <f t="array" ref="M84">IF(ISERROR(INDEX(PANEL_PACKING!$G$11:$G$32,SMALL(IF(PANEL_PACKING!$L$11:$L$32&lt;&gt;0,ROW(PANEL_PACKING!$L$11:$L$32)-10),ROW(PANEL_PACKING!K59)))),"",INDEX(PANEL_PACKING!$G$11:$G$32,SMALL(IF(PANEL_PACKING!$L$11:$L$32&lt;&gt;0,ROW(PANEL_PACKING!$L$11:$L$32)-10),ROW(PANEL_PACKING!K59))))</f>
        <v/>
      </c>
    </row>
    <row r="85" spans="1:13" ht="25.5">
      <c r="A85" s="992"/>
      <c r="B85" s="350"/>
      <c r="C85" s="350"/>
      <c r="D85" s="217"/>
      <c r="E85" s="114"/>
      <c r="F85" s="651"/>
      <c r="G85" s="651"/>
      <c r="H85" s="1018"/>
      <c r="M85" s="342" t="str">
        <f t="array" ref="M85">IF(ISERROR(INDEX(PANEL_PACKING!$G$11:$G$32,SMALL(IF(PANEL_PACKING!$L$11:$L$32&lt;&gt;0,ROW(PANEL_PACKING!$L$11:$L$32)-10),ROW(PANEL_PACKING!K60)))),"",INDEX(PANEL_PACKING!$G$11:$G$32,SMALL(IF(PANEL_PACKING!$L$11:$L$32&lt;&gt;0,ROW(PANEL_PACKING!$L$11:$L$32)-10),ROW(PANEL_PACKING!K60))))</f>
        <v/>
      </c>
    </row>
    <row r="86" spans="1:13" ht="25.5">
      <c r="A86" s="992"/>
      <c r="B86" s="350"/>
      <c r="C86" s="350"/>
      <c r="D86" s="354"/>
      <c r="E86" s="114"/>
      <c r="F86" s="354"/>
      <c r="G86" s="1021" t="s">
        <v>2236</v>
      </c>
      <c r="H86" s="1022" t="str">
        <f>"#"&amp;2</f>
        <v>#2</v>
      </c>
      <c r="M86" s="342" t="str">
        <f t="array" ref="M86">IF(ISERROR(INDEX(PANEL_PACKING!$G$11:$G$32,SMALL(IF(PANEL_PACKING!$L$11:$L$32&lt;&gt;0,ROW(PANEL_PACKING!$L$11:$L$32)-10),ROW(PANEL_PACKING!K61)))),"",INDEX(PANEL_PACKING!$G$11:$G$32,SMALL(IF(PANEL_PACKING!$L$11:$L$32&lt;&gt;0,ROW(PANEL_PACKING!$L$11:$L$32)-10),ROW(PANEL_PACKING!K61))))</f>
        <v/>
      </c>
    </row>
    <row r="87" spans="1:13" ht="27">
      <c r="A87" s="1506" t="s">
        <v>335</v>
      </c>
      <c r="B87" s="1507" t="s">
        <v>183</v>
      </c>
      <c r="C87" s="1507"/>
      <c r="D87" s="1507"/>
      <c r="E87" s="1023"/>
      <c r="F87" s="1036"/>
      <c r="G87" s="1037"/>
      <c r="H87" s="1499" t="s">
        <v>2232</v>
      </c>
      <c r="M87" s="342" t="str">
        <f t="array" ref="M87">IF(ISERROR(INDEX(PANEL_PACKING!$G$11:$G$32,SMALL(IF(PANEL_PACKING!$L$11:$L$32&lt;&gt;0,ROW(PANEL_PACKING!$L$11:$L$32)-10),ROW(PANEL_PACKING!K62)))),"",INDEX(PANEL_PACKING!$G$11:$G$32,SMALL(IF(PANEL_PACKING!$L$11:$L$32&lt;&gt;0,ROW(PANEL_PACKING!$L$11:$L$32)-10),ROW(PANEL_PACKING!K62))))</f>
        <v/>
      </c>
    </row>
    <row r="88" spans="1:13" ht="33.75">
      <c r="A88" s="1506"/>
      <c r="B88" s="1023" t="s">
        <v>176</v>
      </c>
      <c r="C88" s="1023" t="s">
        <v>177</v>
      </c>
      <c r="D88" s="1023" t="s">
        <v>238</v>
      </c>
      <c r="E88" s="1024" t="s">
        <v>168</v>
      </c>
      <c r="F88" s="1025" t="s">
        <v>422</v>
      </c>
      <c r="G88" s="1025"/>
      <c r="H88" s="1500"/>
      <c r="M88" s="342" t="str">
        <f t="array" ref="M88">IF(ISERROR(INDEX(PANEL_PACKING!$G$11:$G$32,SMALL(IF(PANEL_PACKING!$L$11:$L$32&lt;&gt;0,ROW(PANEL_PACKING!$L$11:$L$32)-10),ROW(PANEL_PACKING!K63)))),"",INDEX(PANEL_PACKING!$G$11:$G$32,SMALL(IF(PANEL_PACKING!$L$11:$L$32&lt;&gt;0,ROW(PANEL_PACKING!$L$11:$L$32)-10),ROW(PANEL_PACKING!K63))))</f>
        <v/>
      </c>
    </row>
    <row r="89" spans="1:13" ht="27">
      <c r="A89" s="1026"/>
      <c r="B89" s="1027"/>
      <c r="C89" s="1027" t="str">
        <f>C105</f>
        <v>RF00M</v>
      </c>
      <c r="D89" s="1028"/>
      <c r="E89" s="1027">
        <f>E105</f>
        <v>30</v>
      </c>
      <c r="F89" s="1029"/>
      <c r="G89" s="1029"/>
      <c r="H89" s="1030"/>
      <c r="M89" s="342" t="str">
        <f t="array" ref="M89">IF(ISERROR(INDEX(PANEL_PACKING!$G$11:$G$32,SMALL(IF(PANEL_PACKING!$L$11:$L$32&lt;&gt;0,ROW(PANEL_PACKING!$L$11:$L$32)-10),ROW(PANEL_PACKING!K64)))),"",INDEX(PANEL_PACKING!$G$11:$G$32,SMALL(IF(PANEL_PACKING!$L$11:$L$32&lt;&gt;0,ROW(PANEL_PACKING!$L$11:$L$32)-10),ROW(PANEL_PACKING!K64))))</f>
        <v/>
      </c>
    </row>
    <row r="90" spans="1:13" ht="27">
      <c r="A90" s="1026"/>
      <c r="B90" s="1027"/>
      <c r="C90" s="1027">
        <f t="shared" ref="C90:C99" si="2">C106</f>
        <v>0</v>
      </c>
      <c r="D90" s="1028"/>
      <c r="E90" s="1027" t="str">
        <f t="shared" ref="E90:E99" si="3">E106</f>
        <v/>
      </c>
      <c r="F90" s="1029"/>
      <c r="G90" s="1029"/>
      <c r="H90" s="1030"/>
      <c r="M90" s="342" t="str">
        <f t="array" ref="M90">IF(ISERROR(INDEX(PANEL_PACKING!$G$11:$G$32,SMALL(IF(PANEL_PACKING!$L$11:$L$32&lt;&gt;0,ROW(PANEL_PACKING!$L$11:$L$32)-10),ROW(PANEL_PACKING!K65)))),"",INDEX(PANEL_PACKING!$G$11:$G$32,SMALL(IF(PANEL_PACKING!$L$11:$L$32&lt;&gt;0,ROW(PANEL_PACKING!$L$11:$L$32)-10),ROW(PANEL_PACKING!K65))))</f>
        <v/>
      </c>
    </row>
    <row r="91" spans="1:13" ht="27">
      <c r="A91" s="1026"/>
      <c r="B91" s="1027"/>
      <c r="C91" s="1027">
        <f t="shared" si="2"/>
        <v>0</v>
      </c>
      <c r="D91" s="1028"/>
      <c r="E91" s="1027" t="str">
        <f t="shared" si="3"/>
        <v/>
      </c>
      <c r="F91" s="1029"/>
      <c r="G91" s="1029"/>
      <c r="H91" s="1030"/>
      <c r="M91" s="342" t="str">
        <f t="array" ref="M91">IF(ISERROR(INDEX(PANEL_PACKING!$G$11:$G$32,SMALL(IF(PANEL_PACKING!$L$11:$L$32&lt;&gt;0,ROW(PANEL_PACKING!$L$11:$L$32)-10),ROW(PANEL_PACKING!K66)))),"",INDEX(PANEL_PACKING!$G$11:$G$32,SMALL(IF(PANEL_PACKING!$L$11:$L$32&lt;&gt;0,ROW(PANEL_PACKING!$L$11:$L$32)-10),ROW(PANEL_PACKING!K66))))</f>
        <v/>
      </c>
    </row>
    <row r="92" spans="1:13" ht="27">
      <c r="A92" s="1026"/>
      <c r="B92" s="1027"/>
      <c r="C92" s="1027">
        <f t="shared" si="2"/>
        <v>0</v>
      </c>
      <c r="D92" s="1028"/>
      <c r="E92" s="1027" t="str">
        <f t="shared" si="3"/>
        <v/>
      </c>
      <c r="F92" s="1029"/>
      <c r="G92" s="1029"/>
      <c r="H92" s="1030"/>
      <c r="M92" s="342" t="str">
        <f t="array" ref="M92">IF(ISERROR(INDEX(PANEL_PACKING!$G$11:$G$32,SMALL(IF(PANEL_PACKING!$L$11:$L$32&lt;&gt;0,ROW(PANEL_PACKING!$L$11:$L$32)-10),ROW(PANEL_PACKING!K67)))),"",INDEX(PANEL_PACKING!$G$11:$G$32,SMALL(IF(PANEL_PACKING!$L$11:$L$32&lt;&gt;0,ROW(PANEL_PACKING!$L$11:$L$32)-10),ROW(PANEL_PACKING!K67))))</f>
        <v/>
      </c>
    </row>
    <row r="93" spans="1:13" ht="27">
      <c r="A93" s="1026"/>
      <c r="B93" s="1027"/>
      <c r="C93" s="1027" t="str">
        <f t="shared" si="2"/>
        <v/>
      </c>
      <c r="D93" s="1028"/>
      <c r="E93" s="1027" t="str">
        <f t="shared" si="3"/>
        <v/>
      </c>
      <c r="F93" s="1029"/>
      <c r="G93" s="1029"/>
      <c r="H93" s="1030"/>
      <c r="M93" s="342" t="str">
        <f t="array" ref="M93">IF(ISERROR(INDEX(PANEL_PACKING!$G$11:$G$32,SMALL(IF(PANEL_PACKING!$L$11:$L$32&lt;&gt;0,ROW(PANEL_PACKING!$L$11:$L$32)-10),ROW(PANEL_PACKING!K68)))),"",INDEX(PANEL_PACKING!$G$11:$G$32,SMALL(IF(PANEL_PACKING!$L$11:$L$32&lt;&gt;0,ROW(PANEL_PACKING!$L$11:$L$32)-10),ROW(PANEL_PACKING!K68))))</f>
        <v/>
      </c>
    </row>
    <row r="94" spans="1:13" ht="27">
      <c r="A94" s="1026"/>
      <c r="B94" s="1027"/>
      <c r="C94" s="1027" t="str">
        <f t="shared" si="2"/>
        <v/>
      </c>
      <c r="D94" s="1028"/>
      <c r="E94" s="1027" t="str">
        <f t="shared" si="3"/>
        <v/>
      </c>
      <c r="F94" s="1029"/>
      <c r="G94" s="1029"/>
      <c r="H94" s="1030"/>
      <c r="M94" s="342" t="str">
        <f t="array" ref="M94">IF(ISERROR(INDEX(PANEL_PACKING!$G$11:$G$32,SMALL(IF(PANEL_PACKING!$L$11:$L$32&lt;&gt;0,ROW(PANEL_PACKING!$L$11:$L$32)-10),ROW(PANEL_PACKING!K69)))),"",INDEX(PANEL_PACKING!$G$11:$G$32,SMALL(IF(PANEL_PACKING!$L$11:$L$32&lt;&gt;0,ROW(PANEL_PACKING!$L$11:$L$32)-10),ROW(PANEL_PACKING!K69))))</f>
        <v/>
      </c>
    </row>
    <row r="95" spans="1:13" ht="27">
      <c r="A95" s="1026"/>
      <c r="B95" s="1027"/>
      <c r="C95" s="1027" t="str">
        <f t="shared" si="2"/>
        <v/>
      </c>
      <c r="D95" s="1028"/>
      <c r="E95" s="1027" t="str">
        <f t="shared" si="3"/>
        <v/>
      </c>
      <c r="F95" s="1029"/>
      <c r="G95" s="1029"/>
      <c r="H95" s="1030"/>
      <c r="M95" s="342" t="str">
        <f t="array" ref="M95">IF(ISERROR(INDEX(PANEL_PACKING!$G$11:$G$32,SMALL(IF(PANEL_PACKING!$L$11:$L$32&lt;&gt;0,ROW(PANEL_PACKING!$L$11:$L$32)-10),ROW(PANEL_PACKING!K70)))),"",INDEX(PANEL_PACKING!$G$11:$G$32,SMALL(IF(PANEL_PACKING!$L$11:$L$32&lt;&gt;0,ROW(PANEL_PACKING!$L$11:$L$32)-10),ROW(PANEL_PACKING!K70))))</f>
        <v/>
      </c>
    </row>
    <row r="96" spans="1:13" ht="27">
      <c r="A96" s="1026"/>
      <c r="B96" s="1027"/>
      <c r="C96" s="1027" t="str">
        <f t="shared" si="2"/>
        <v/>
      </c>
      <c r="D96" s="1028"/>
      <c r="E96" s="1027" t="str">
        <f t="shared" si="3"/>
        <v/>
      </c>
      <c r="F96" s="1029"/>
      <c r="G96" s="1029"/>
      <c r="H96" s="1030"/>
      <c r="M96" s="342" t="str">
        <f t="array" ref="M96">IF(ISERROR(INDEX(PANEL_PACKING!$G$11:$G$32,SMALL(IF(PANEL_PACKING!$L$11:$L$32&lt;&gt;0,ROW(PANEL_PACKING!$L$11:$L$32)-10),ROW(PANEL_PACKING!K71)))),"",INDEX(PANEL_PACKING!$G$11:$G$32,SMALL(IF(PANEL_PACKING!$L$11:$L$32&lt;&gt;0,ROW(PANEL_PACKING!$L$11:$L$32)-10),ROW(PANEL_PACKING!K71))))</f>
        <v/>
      </c>
    </row>
    <row r="97" spans="1:13" ht="27">
      <c r="A97" s="1026"/>
      <c r="B97" s="1027"/>
      <c r="C97" s="1027" t="str">
        <f t="shared" si="2"/>
        <v/>
      </c>
      <c r="D97" s="1028"/>
      <c r="E97" s="1027" t="str">
        <f t="shared" si="3"/>
        <v/>
      </c>
      <c r="F97" s="1029" t="str">
        <f>IFERROR(VLOOKUP(A97,#REF!,11,FALSE),"")</f>
        <v/>
      </c>
      <c r="G97" s="1029"/>
      <c r="H97" s="1030" t="str">
        <f>IFERROR(VLOOKUP(C97,#REF!,12,FALSE),"")</f>
        <v/>
      </c>
      <c r="M97" s="342" t="str">
        <f t="array" ref="M97">IF(ISERROR(INDEX(PANEL_PACKING!$G$11:$G$32,SMALL(IF(PANEL_PACKING!$L$11:$L$32&lt;&gt;0,ROW(PANEL_PACKING!$L$11:$L$32)-10),ROW(PANEL_PACKING!K72)))),"",INDEX(PANEL_PACKING!$G$11:$G$32,SMALL(IF(PANEL_PACKING!$L$11:$L$32&lt;&gt;0,ROW(PANEL_PACKING!$L$11:$L$32)-10),ROW(PANEL_PACKING!K72))))</f>
        <v/>
      </c>
    </row>
    <row r="98" spans="1:13" ht="27">
      <c r="A98" s="1026"/>
      <c r="B98" s="1027"/>
      <c r="C98" s="1027" t="str">
        <f t="shared" si="2"/>
        <v/>
      </c>
      <c r="D98" s="1028"/>
      <c r="E98" s="1027" t="str">
        <f t="shared" si="3"/>
        <v/>
      </c>
      <c r="F98" s="1029" t="str">
        <f>IFERROR(VLOOKUP(A98,#REF!,11,FALSE),"")</f>
        <v/>
      </c>
      <c r="G98" s="1029"/>
      <c r="H98" s="1030" t="str">
        <f>IFERROR(VLOOKUP(C98,#REF!,12,FALSE),"")</f>
        <v/>
      </c>
      <c r="M98" s="342" t="str">
        <f t="array" ref="M98">IF(ISERROR(INDEX(PANEL_PACKING!$G$11:$G$32,SMALL(IF(PANEL_PACKING!$L$11:$L$32&lt;&gt;0,ROW(PANEL_PACKING!$L$11:$L$32)-10),ROW(PANEL_PACKING!K73)))),"",INDEX(PANEL_PACKING!$G$11:$G$32,SMALL(IF(PANEL_PACKING!$L$11:$L$32&lt;&gt;0,ROW(PANEL_PACKING!$L$11:$L$32)-10),ROW(PANEL_PACKING!K73))))</f>
        <v/>
      </c>
    </row>
    <row r="99" spans="1:13" ht="27">
      <c r="A99" s="1026"/>
      <c r="B99" s="1027"/>
      <c r="C99" s="1027" t="str">
        <f t="shared" si="2"/>
        <v/>
      </c>
      <c r="D99" s="1031"/>
      <c r="E99" s="1027" t="str">
        <f t="shared" si="3"/>
        <v/>
      </c>
      <c r="F99" s="1029" t="str">
        <f>IFERROR(VLOOKUP(A99,#REF!,11,FALSE),"")</f>
        <v/>
      </c>
      <c r="G99" s="1029"/>
      <c r="H99" s="1030" t="str">
        <f>IFERROR(VLOOKUP(C99,#REF!,12,FALSE),"")</f>
        <v/>
      </c>
      <c r="M99" s="342" t="str">
        <f t="array" ref="M99">IF(ISERROR(INDEX(PANEL_PACKING!$G$11:$G$32,SMALL(IF(PANEL_PACKING!$L$11:$L$32&lt;&gt;0,ROW(PANEL_PACKING!$L$11:$L$32)-10),ROW(PANEL_PACKING!K74)))),"",INDEX(PANEL_PACKING!$G$11:$G$32,SMALL(IF(PANEL_PACKING!$L$11:$L$32&lt;&gt;0,ROW(PANEL_PACKING!$L$11:$L$32)-10),ROW(PANEL_PACKING!K74))))</f>
        <v/>
      </c>
    </row>
    <row r="100" spans="1:13" ht="27.75" thickBot="1">
      <c r="A100" s="1501" t="s">
        <v>204</v>
      </c>
      <c r="B100" s="1502"/>
      <c r="C100" s="1502"/>
      <c r="D100" s="1032"/>
      <c r="E100" s="1033">
        <f>SUM(E89:E99)</f>
        <v>30</v>
      </c>
      <c r="F100" s="1034" t="str">
        <f>IFERROR(VLOOKUP(A100,#REF!,11,FALSE),"")</f>
        <v/>
      </c>
      <c r="G100" s="1034"/>
      <c r="H100" s="1035" t="str">
        <f>IFERROR(VLOOKUP(C100,#REF!,12,FALSE),"")</f>
        <v/>
      </c>
      <c r="M100" s="342" t="str">
        <f t="array" ref="M100">IF(ISERROR(INDEX(PANEL_PACKING!$G$11:$G$32,SMALL(IF(PANEL_PACKING!$L$11:$L$32&lt;&gt;0,ROW(PANEL_PACKING!$L$11:$L$32)-10),ROW(PANEL_PACKING!K75)))),"",INDEX(PANEL_PACKING!$G$11:$G$32,SMALL(IF(PANEL_PACKING!$L$11:$L$32&lt;&gt;0,ROW(PANEL_PACKING!$L$11:$L$32)-10),ROW(PANEL_PACKING!K75))))</f>
        <v/>
      </c>
    </row>
    <row r="101" spans="1:13" ht="19.5">
      <c r="A101" s="364"/>
      <c r="B101" s="971" t="s">
        <v>1286</v>
      </c>
      <c r="C101" s="972" t="s">
        <v>1286</v>
      </c>
      <c r="D101" s="978" t="s">
        <v>1286</v>
      </c>
      <c r="E101" s="972" t="str">
        <f>IFERROR(VLOOKUP(C101,#REF!,2,FALSE),"")</f>
        <v/>
      </c>
      <c r="F101" s="972" t="str">
        <f>IFERROR(VLOOKUP(C101,#REF!,6,FALSE),"")</f>
        <v/>
      </c>
      <c r="G101" s="972"/>
      <c r="H101" s="363" t="str">
        <f>IFERROR(VLOOKUP(C101,#REF!,12,FALSE),"")</f>
        <v/>
      </c>
      <c r="M101" s="342" t="str">
        <f t="array" ref="M101">IF(ISERROR(INDEX(PANEL_PACKING!$G$11:$G$32,SMALL(IF(PANEL_PACKING!$L$11:$L$32&lt;&gt;0,ROW(PANEL_PACKING!$L$11:$L$32)-10),ROW(PANEL_PACKING!K76)))),"",INDEX(PANEL_PACKING!$G$11:$G$32,SMALL(IF(PANEL_PACKING!$L$11:$L$32&lt;&gt;0,ROW(PANEL_PACKING!$L$11:$L$32)-10),ROW(PANEL_PACKING!K76))))</f>
        <v/>
      </c>
    </row>
    <row r="102" spans="1:13" ht="19.5">
      <c r="A102" s="364"/>
      <c r="B102" s="971" t="s">
        <v>1286</v>
      </c>
      <c r="C102" s="972" t="s">
        <v>1286</v>
      </c>
      <c r="D102" s="973" t="s">
        <v>1286</v>
      </c>
      <c r="E102" s="972" t="str">
        <f>IFERROR(VLOOKUP(C102,#REF!,2,FALSE),"")</f>
        <v/>
      </c>
      <c r="F102" s="972" t="str">
        <f>IFERROR(VLOOKUP(C102,#REF!,6,FALSE),"")</f>
        <v/>
      </c>
      <c r="G102" s="972"/>
      <c r="H102" s="363" t="str">
        <f>IFERROR(VLOOKUP(C102,#REF!,12,FALSE),"")</f>
        <v/>
      </c>
      <c r="M102" s="342" t="str">
        <f t="array" ref="M102">IF(ISERROR(INDEX(PANEL_PACKING!$G$11:$G$32,SMALL(IF(PANEL_PACKING!$L$11:$L$32&lt;&gt;0,ROW(PANEL_PACKING!$L$11:$L$32)-10),ROW(PANEL_PACKING!K77)))),"",INDEX(PANEL_PACKING!$G$11:$G$32,SMALL(IF(PANEL_PACKING!$L$11:$L$32&lt;&gt;0,ROW(PANEL_PACKING!$L$11:$L$32)-10),ROW(PANEL_PACKING!K77))))</f>
        <v/>
      </c>
    </row>
    <row r="103" spans="1:13" ht="19.5">
      <c r="A103" s="364"/>
      <c r="B103" s="971" t="s">
        <v>1286</v>
      </c>
      <c r="C103" s="972" t="s">
        <v>1286</v>
      </c>
      <c r="D103" s="973" t="s">
        <v>1286</v>
      </c>
      <c r="E103" s="972" t="str">
        <f>IFERROR(VLOOKUP(C103,#REF!,2,FALSE),"")</f>
        <v/>
      </c>
      <c r="F103" s="972" t="str">
        <f>IFERROR(VLOOKUP(C103,#REF!,6,FALSE),"")</f>
        <v/>
      </c>
      <c r="G103" s="972"/>
      <c r="H103" s="363" t="str">
        <f>IFERROR(VLOOKUP(C103,#REF!,12,FALSE),"")</f>
        <v/>
      </c>
    </row>
    <row r="104" spans="1:13" ht="19.5">
      <c r="A104" s="364"/>
      <c r="B104" s="971" t="s">
        <v>1286</v>
      </c>
      <c r="C104" s="972" t="s">
        <v>1286</v>
      </c>
      <c r="D104" s="973" t="s">
        <v>1286</v>
      </c>
      <c r="E104" s="972" t="str">
        <f>IFERROR(VLOOKUP(C104,#REF!,2,FALSE),"")</f>
        <v/>
      </c>
      <c r="F104" s="972" t="str">
        <f>IFERROR(VLOOKUP(C104,#REF!,6,FALSE),"")</f>
        <v/>
      </c>
      <c r="G104" s="972"/>
      <c r="H104" s="363" t="str">
        <f>IFERROR(VLOOKUP(C104,#REF!,12,FALSE),"")</f>
        <v/>
      </c>
    </row>
    <row r="105" spans="1:13" ht="19.5">
      <c r="A105" s="364"/>
      <c r="B105" s="364"/>
      <c r="C105" s="342" t="str">
        <f t="array" ref="C105">IF(ISERROR(INDEX(PANEL_PACKING!$G$11:$G$32,SMALL(IF(PANEL_PACKING!$M$11:$M$32&lt;&gt;0,ROW(PANEL_PACKING!$M$11:$M$32)-10),ROW(PANEL_PACKING!B1)))),"",INDEX(PANEL_PACKING!$G$11:$G$32,SMALL(IF(PANEL_PACKING!$M$11:$M$32&lt;&gt;0,ROW(PANEL_PACKING!$M$11:$M$32)-10),ROW(PANEL_PACKING!B1))))</f>
        <v>RF00M</v>
      </c>
      <c r="D105" s="973" t="s">
        <v>1286</v>
      </c>
      <c r="E105" s="342">
        <f t="array" ref="E105">IF(ISERROR(INDEX(PANEL_PACKING!$M$11:$M$32,SMALL(IF(PANEL_PACKING!$M$11:$M$32&lt;&gt;0,ROW(PANEL_PACKING!$M$11:$M$32)-10),ROW(PANEL_PACKING!C1)))),"",INDEX(PANEL_PACKING!$M$11:$M$32,SMALL(IF(PANEL_PACKING!$M$11:$M$32&lt;&gt;0,ROW(PANEL_PACKING!$M$11:$M$32)-10),ROW(PANEL_PACKING!C1))))</f>
        <v>30</v>
      </c>
      <c r="F105" s="972" t="str">
        <f>IFERROR(VLOOKUP(#REF!,#REF!,6,FALSE),"")</f>
        <v/>
      </c>
      <c r="G105" s="972"/>
      <c r="H105" s="363" t="str">
        <f>IFERROR(VLOOKUP(#REF!,#REF!,12,FALSE),"")</f>
        <v/>
      </c>
    </row>
    <row r="106" spans="1:13" ht="19.5">
      <c r="A106" s="364"/>
      <c r="B106" s="364"/>
      <c r="C106" s="342">
        <f t="array" ref="C106">IF(ISERROR(INDEX(PANEL_PACKING!$G$11:$G$32,SMALL(IF(PANEL_PACKING!$M$11:$M$32&lt;&gt;0,ROW(PANEL_PACKING!$M$11:$M$32)-10),ROW(PANEL_PACKING!B2)))),"",INDEX(PANEL_PACKING!$G$11:$G$32,SMALL(IF(PANEL_PACKING!$M$11:$M$32&lt;&gt;0,ROW(PANEL_PACKING!$M$11:$M$32)-10),ROW(PANEL_PACKING!B2))))</f>
        <v>0</v>
      </c>
      <c r="D106" s="973" t="s">
        <v>1286</v>
      </c>
      <c r="E106" s="342" t="str">
        <f t="array" ref="E106">IF(ISERROR(INDEX(PANEL_PACKING!$M$11:$M$32,SMALL(IF(PANEL_PACKING!$M$11:$M$32&lt;&gt;0,ROW(PANEL_PACKING!$M$11:$M$32)-10),ROW(PANEL_PACKING!C2)))),"",INDEX(PANEL_PACKING!$M$11:$M$32,SMALL(IF(PANEL_PACKING!$M$11:$M$32&lt;&gt;0,ROW(PANEL_PACKING!$M$11:$M$32)-10),ROW(PANEL_PACKING!C2))))</f>
        <v/>
      </c>
      <c r="F106" s="972"/>
      <c r="G106" s="972"/>
      <c r="H106" s="363"/>
    </row>
    <row r="107" spans="1:13" ht="19.5">
      <c r="A107" s="364"/>
      <c r="B107" s="342">
        <f t="array" ref="B107">IF(ISERROR(INDEX(PANEL_PACKING!$G$11:$G$32,SMALL(IF(PANEL_PACKING!$L$11:$L$32&lt;&gt;0,ROW(PANEL_PACKING!$L$11:$L$32)-10),ROW(PANEL_PACKING!K3)))),"",INDEX(PANEL_PACKING!$G$11:$G$32,SMALL(IF(PANEL_PACKING!$L$11:$L$32&lt;&gt;0,ROW(PANEL_PACKING!$L$11:$L$32)-10),ROW(PANEL_PACKING!K3))))</f>
        <v>0</v>
      </c>
      <c r="C107" s="342">
        <f t="array" ref="C107">IF(ISERROR(INDEX(PANEL_PACKING!$G$11:$G$32,SMALL(IF(PANEL_PACKING!$M$11:$M$32&lt;&gt;0,ROW(PANEL_PACKING!$M$11:$M$32)-10),ROW(PANEL_PACKING!B3)))),"",INDEX(PANEL_PACKING!$G$11:$G$32,SMALL(IF(PANEL_PACKING!$M$11:$M$32&lt;&gt;0,ROW(PANEL_PACKING!$M$11:$M$32)-10),ROW(PANEL_PACKING!B3))))</f>
        <v>0</v>
      </c>
      <c r="D107" s="973" t="s">
        <v>1286</v>
      </c>
      <c r="E107" s="342" t="str">
        <f t="array" ref="E107">IF(ISERROR(INDEX(PANEL_PACKING!$M$11:$M$32,SMALL(IF(PANEL_PACKING!$M$11:$M$32&lt;&gt;0,ROW(PANEL_PACKING!$M$11:$M$32)-10),ROW(PANEL_PACKING!C3)))),"",INDEX(PANEL_PACKING!$M$11:$M$32,SMALL(IF(PANEL_PACKING!$M$11:$M$32&lt;&gt;0,ROW(PANEL_PACKING!$M$11:$M$32)-10),ROW(PANEL_PACKING!C3))))</f>
        <v/>
      </c>
      <c r="F107" s="972"/>
      <c r="G107" s="972"/>
      <c r="H107" s="363"/>
    </row>
    <row r="108" spans="1:13" ht="19.5">
      <c r="B108" s="342">
        <f t="array" ref="B108">IF(ISERROR(INDEX(PANEL_PACKING!$G$11:$G$32,SMALL(IF(PANEL_PACKING!$L$11:$L$32&lt;&gt;0,ROW(PANEL_PACKING!$L$11:$L$32)-10),ROW(PANEL_PACKING!K4)))),"",INDEX(PANEL_PACKING!$G$11:$G$32,SMALL(IF(PANEL_PACKING!$L$11:$L$32&lt;&gt;0,ROW(PANEL_PACKING!$L$11:$L$32)-10),ROW(PANEL_PACKING!K4))))</f>
        <v>0</v>
      </c>
      <c r="C108" s="342">
        <f t="array" ref="C108">IF(ISERROR(INDEX(PANEL_PACKING!$G$11:$G$32,SMALL(IF(PANEL_PACKING!$M$11:$M$32&lt;&gt;0,ROW(PANEL_PACKING!$M$11:$M$32)-10),ROW(PANEL_PACKING!B4)))),"",INDEX(PANEL_PACKING!$G$11:$G$32,SMALL(IF(PANEL_PACKING!$M$11:$M$32&lt;&gt;0,ROW(PANEL_PACKING!$M$11:$M$32)-10),ROW(PANEL_PACKING!B4))))</f>
        <v>0</v>
      </c>
      <c r="D108" s="973" t="s">
        <v>1286</v>
      </c>
      <c r="E108" s="342" t="str">
        <f t="array" ref="E108">IF(ISERROR(INDEX(PANEL_PACKING!$M$11:$M$32,SMALL(IF(PANEL_PACKING!$M$11:$M$32&lt;&gt;0,ROW(PANEL_PACKING!$M$11:$M$32)-10),ROW(PANEL_PACKING!C4)))),"",INDEX(PANEL_PACKING!$M$11:$M$32,SMALL(IF(PANEL_PACKING!$M$11:$M$32&lt;&gt;0,ROW(PANEL_PACKING!$M$11:$M$32)-10),ROW(PANEL_PACKING!C4))))</f>
        <v/>
      </c>
      <c r="F108" s="972"/>
      <c r="G108" s="972"/>
      <c r="H108" s="363"/>
    </row>
    <row r="109" spans="1:13" ht="19.5">
      <c r="B109" s="342">
        <f t="array" ref="B109">IF(ISERROR(INDEX(PANEL_PACKING!$G$11:$G$32,SMALL(IF(PANEL_PACKING!$L$11:$L$32&lt;&gt;0,ROW(PANEL_PACKING!$L$11:$L$32)-10),ROW(PANEL_PACKING!K5)))),"",INDEX(PANEL_PACKING!$G$11:$G$32,SMALL(IF(PANEL_PACKING!$L$11:$L$32&lt;&gt;0,ROW(PANEL_PACKING!$L$11:$L$32)-10),ROW(PANEL_PACKING!K5))))</f>
        <v>0</v>
      </c>
      <c r="C109" s="342" t="str">
        <f t="array" ref="C109">IF(ISERROR(INDEX(PANEL_PACKING!$G$11:$G$32,SMALL(IF(PANEL_PACKING!$M$11:$M$32&lt;&gt;0,ROW(PANEL_PACKING!$M$11:$M$32)-10),ROW(PANEL_PACKING!B5)))),"",INDEX(PANEL_PACKING!$G$11:$G$32,SMALL(IF(PANEL_PACKING!$M$11:$M$32&lt;&gt;0,ROW(PANEL_PACKING!$M$11:$M$32)-10),ROW(PANEL_PACKING!B5))))</f>
        <v/>
      </c>
      <c r="D109" s="973" t="s">
        <v>1286</v>
      </c>
      <c r="E109" s="342" t="str">
        <f t="array" ref="E109">IF(ISERROR(INDEX(PANEL_PACKING!$M$11:$M$32,SMALL(IF(PANEL_PACKING!$M$11:$M$32&lt;&gt;0,ROW(PANEL_PACKING!$M$11:$M$32)-10),ROW(PANEL_PACKING!C5)))),"",INDEX(PANEL_PACKING!$M$11:$M$32,SMALL(IF(PANEL_PACKING!$M$11:$M$32&lt;&gt;0,ROW(PANEL_PACKING!$M$11:$M$32)-10),ROW(PANEL_PACKING!C5))))</f>
        <v/>
      </c>
      <c r="F109" s="972"/>
      <c r="G109" s="972"/>
    </row>
    <row r="110" spans="1:13" ht="19.5">
      <c r="B110" s="342" t="str">
        <f t="array" ref="B110">IF(ISERROR(INDEX(PANEL_PACKING!$G$11:$G$32,SMALL(IF(PANEL_PACKING!$L$11:$L$32&lt;&gt;0,ROW(PANEL_PACKING!$L$11:$L$32)-10),ROW(PANEL_PACKING!K6)))),"",INDEX(PANEL_PACKING!$G$11:$G$32,SMALL(IF(PANEL_PACKING!$L$11:$L$32&lt;&gt;0,ROW(PANEL_PACKING!$L$11:$L$32)-10),ROW(PANEL_PACKING!K6))))</f>
        <v/>
      </c>
      <c r="C110" s="342" t="str">
        <f t="array" ref="C110">IF(ISERROR(INDEX(PANEL_PACKING!$G$11:$G$32,SMALL(IF(PANEL_PACKING!$M$11:$M$32&lt;&gt;0,ROW(PANEL_PACKING!$M$11:$M$32)-10),ROW(PANEL_PACKING!B6)))),"",INDEX(PANEL_PACKING!$G$11:$G$32,SMALL(IF(PANEL_PACKING!$M$11:$M$32&lt;&gt;0,ROW(PANEL_PACKING!$M$11:$M$32)-10),ROW(PANEL_PACKING!B6))))</f>
        <v/>
      </c>
      <c r="D110" s="973" t="s">
        <v>1286</v>
      </c>
      <c r="E110" s="342" t="str">
        <f t="array" ref="E110">IF(ISERROR(INDEX(PANEL_PACKING!$M$11:$M$32,SMALL(IF(PANEL_PACKING!$M$11:$M$32&lt;&gt;0,ROW(PANEL_PACKING!$M$11:$M$32)-10),ROW(PANEL_PACKING!C6)))),"",INDEX(PANEL_PACKING!$M$11:$M$32,SMALL(IF(PANEL_PACKING!$M$11:$M$32&lt;&gt;0,ROW(PANEL_PACKING!$M$11:$M$32)-10),ROW(PANEL_PACKING!C6))))</f>
        <v/>
      </c>
      <c r="F110" s="972"/>
      <c r="G110" s="972"/>
      <c r="H110" s="363"/>
    </row>
    <row r="111" spans="1:13" ht="19.5">
      <c r="B111" s="342" t="str">
        <f t="array" ref="B111">IF(ISERROR(INDEX(PANEL_PACKING!$G$11:$G$32,SMALL(IF(PANEL_PACKING!$L$11:$L$32&lt;&gt;0,ROW(PANEL_PACKING!$L$11:$L$32)-10),ROW(PANEL_PACKING!K7)))),"",INDEX(PANEL_PACKING!$G$11:$G$32,SMALL(IF(PANEL_PACKING!$L$11:$L$32&lt;&gt;0,ROW(PANEL_PACKING!$L$11:$L$32)-10),ROW(PANEL_PACKING!K7))))</f>
        <v/>
      </c>
      <c r="C111" s="342" t="str">
        <f t="array" ref="C111">IF(ISERROR(INDEX(PANEL_PACKING!$G$11:$G$32,SMALL(IF(PANEL_PACKING!$M$11:$M$32&lt;&gt;0,ROW(PANEL_PACKING!$M$11:$M$32)-10),ROW(PANEL_PACKING!B7)))),"",INDEX(PANEL_PACKING!$G$11:$G$32,SMALL(IF(PANEL_PACKING!$M$11:$M$32&lt;&gt;0,ROW(PANEL_PACKING!$M$11:$M$32)-10),ROW(PANEL_PACKING!B7))))</f>
        <v/>
      </c>
      <c r="D111" s="973" t="s">
        <v>1286</v>
      </c>
      <c r="E111" s="342" t="str">
        <f t="array" ref="E111">IF(ISERROR(INDEX(PANEL_PACKING!$M$11:$M$32,SMALL(IF(PANEL_PACKING!$M$11:$M$32&lt;&gt;0,ROW(PANEL_PACKING!$M$11:$M$32)-10),ROW(PANEL_PACKING!C7)))),"",INDEX(PANEL_PACKING!$M$11:$M$32,SMALL(IF(PANEL_PACKING!$M$11:$M$32&lt;&gt;0,ROW(PANEL_PACKING!$M$11:$M$32)-10),ROW(PANEL_PACKING!C7))))</f>
        <v/>
      </c>
      <c r="F111" s="972"/>
      <c r="G111" s="972"/>
      <c r="H111" s="363"/>
    </row>
    <row r="112" spans="1:13" ht="19.5">
      <c r="B112" s="342" t="str">
        <f t="array" ref="B112">IF(ISERROR(INDEX(PANEL_PACKING!$G$11:$G$32,SMALL(IF(PANEL_PACKING!$L$11:$L$32&lt;&gt;0,ROW(PANEL_PACKING!$L$11:$L$32)-10),ROW(PANEL_PACKING!K8)))),"",INDEX(PANEL_PACKING!$G$11:$G$32,SMALL(IF(PANEL_PACKING!$L$11:$L$32&lt;&gt;0,ROW(PANEL_PACKING!$L$11:$L$32)-10),ROW(PANEL_PACKING!K8))))</f>
        <v/>
      </c>
      <c r="C112" s="342" t="str">
        <f t="array" ref="C112">IF(ISERROR(INDEX(PANEL_PACKING!$G$11:$G$32,SMALL(IF(PANEL_PACKING!$M$11:$M$32&lt;&gt;0,ROW(PANEL_PACKING!$M$11:$M$32)-10),ROW(PANEL_PACKING!B8)))),"",INDEX(PANEL_PACKING!$G$11:$G$32,SMALL(IF(PANEL_PACKING!$M$11:$M$32&lt;&gt;0,ROW(PANEL_PACKING!$M$11:$M$32)-10),ROW(PANEL_PACKING!B8))))</f>
        <v/>
      </c>
      <c r="D112" s="973" t="s">
        <v>1286</v>
      </c>
      <c r="E112" s="342" t="str">
        <f t="array" ref="E112">IF(ISERROR(INDEX(PANEL_PACKING!$M$11:$M$32,SMALL(IF(PANEL_PACKING!$M$11:$M$32&lt;&gt;0,ROW(PANEL_PACKING!$M$11:$M$32)-10),ROW(PANEL_PACKING!C8)))),"",INDEX(PANEL_PACKING!$M$11:$M$32,SMALL(IF(PANEL_PACKING!$M$11:$M$32&lt;&gt;0,ROW(PANEL_PACKING!$M$11:$M$32)-10),ROW(PANEL_PACKING!C8))))</f>
        <v/>
      </c>
      <c r="F112" s="972"/>
      <c r="G112" s="972"/>
      <c r="H112" s="363"/>
    </row>
    <row r="113" spans="2:8" ht="19.5">
      <c r="B113" s="342" t="str">
        <f t="array" ref="B113">IF(ISERROR(INDEX(PANEL_PACKING!$G$11:$G$32,SMALL(IF(PANEL_PACKING!$L$11:$L$32&lt;&gt;0,ROW(PANEL_PACKING!$L$11:$L$32)-10),ROW(PANEL_PACKING!K9)))),"",INDEX(PANEL_PACKING!$G$11:$G$32,SMALL(IF(PANEL_PACKING!$L$11:$L$32&lt;&gt;0,ROW(PANEL_PACKING!$L$11:$L$32)-10),ROW(PANEL_PACKING!K9))))</f>
        <v/>
      </c>
      <c r="C113" s="342" t="str">
        <f t="array" ref="C113">IF(ISERROR(INDEX(PANEL_PACKING!$G$11:$G$32,SMALL(IF(PANEL_PACKING!$M$11:$M$32&lt;&gt;0,ROW(PANEL_PACKING!$M$11:$M$32)-10),ROW(PANEL_PACKING!B9)))),"",INDEX(PANEL_PACKING!$G$11:$G$32,SMALL(IF(PANEL_PACKING!$M$11:$M$32&lt;&gt;0,ROW(PANEL_PACKING!$M$11:$M$32)-10),ROW(PANEL_PACKING!B9))))</f>
        <v/>
      </c>
      <c r="D113" s="973" t="s">
        <v>1286</v>
      </c>
      <c r="E113" s="342" t="str">
        <f t="array" ref="E113">IF(ISERROR(INDEX(PANEL_PACKING!$M$11:$M$32,SMALL(IF(PANEL_PACKING!$M$11:$M$32&lt;&gt;0,ROW(PANEL_PACKING!$M$11:$M$32)-10),ROW(PANEL_PACKING!C9)))),"",INDEX(PANEL_PACKING!$M$11:$M$32,SMALL(IF(PANEL_PACKING!$M$11:$M$32&lt;&gt;0,ROW(PANEL_PACKING!$M$11:$M$32)-10),ROW(PANEL_PACKING!C9))))</f>
        <v/>
      </c>
      <c r="F113" s="972"/>
      <c r="G113" s="972"/>
      <c r="H113" s="363"/>
    </row>
    <row r="114" spans="2:8" ht="19.5">
      <c r="B114" s="342" t="str">
        <f t="array" ref="B114">IF(ISERROR(INDEX(PANEL_PACKING!$G$11:$G$32,SMALL(IF(PANEL_PACKING!$L$11:$L$32&lt;&gt;0,ROW(PANEL_PACKING!$L$11:$L$32)-10),ROW(#REF!)))),"",INDEX(PANEL_PACKING!$G$11:$G$32,SMALL(IF(PANEL_PACKING!$L$11:$L$32&lt;&gt;0,ROW(PANEL_PACKING!$L$11:$L$32)-10),ROW(#REF!))))</f>
        <v/>
      </c>
      <c r="C114" s="342" t="str">
        <f t="array" ref="C114">IF(ISERROR(INDEX(PANEL_PACKING!$G$11:$G$32,SMALL(IF(PANEL_PACKING!$M$11:$M$32&lt;&gt;0,ROW(PANEL_PACKING!$M$11:$M$32)-10),ROW(PANEL_PACKING!B10)))),"",INDEX(PANEL_PACKING!$G$11:$G$32,SMALL(IF(PANEL_PACKING!$M$11:$M$32&lt;&gt;0,ROW(PANEL_PACKING!$M$11:$M$32)-10),ROW(PANEL_PACKING!B10))))</f>
        <v/>
      </c>
      <c r="D114" s="973" t="s">
        <v>1286</v>
      </c>
      <c r="E114" s="342" t="str">
        <f t="array" ref="E114">IF(ISERROR(INDEX(PANEL_PACKING!$M$11:$M$32,SMALL(IF(PANEL_PACKING!$M$11:$M$32&lt;&gt;0,ROW(PANEL_PACKING!$M$11:$M$32)-10),ROW(PANEL_PACKING!C10)))),"",INDEX(PANEL_PACKING!$M$11:$M$32,SMALL(IF(PANEL_PACKING!$M$11:$M$32&lt;&gt;0,ROW(PANEL_PACKING!$M$11:$M$32)-10),ROW(PANEL_PACKING!C10))))</f>
        <v/>
      </c>
      <c r="F114" s="972"/>
      <c r="G114" s="972"/>
      <c r="H114" s="363"/>
    </row>
    <row r="115" spans="2:8" ht="19.5">
      <c r="B115" s="342" t="str">
        <f t="array" ref="B115">IF(ISERROR(INDEX(PANEL_PACKING!$G$11:$G$32,SMALL(IF(PANEL_PACKING!$L$11:$L$32&lt;&gt;0,ROW(PANEL_PACKING!$L$11:$L$32)-10),ROW(#REF!)))),"",INDEX(PANEL_PACKING!$G$11:$G$32,SMALL(IF(PANEL_PACKING!$L$11:$L$32&lt;&gt;0,ROW(PANEL_PACKING!$L$11:$L$32)-10),ROW(#REF!))))</f>
        <v/>
      </c>
      <c r="C115" s="342" t="str">
        <f t="array" ref="C115">IF(ISERROR(INDEX(PANEL_PACKING!$G$11:$G$32,SMALL(IF(PANEL_PACKING!$M$11:$M$32&lt;&gt;0,ROW(PANEL_PACKING!$M$11:$M$32)-10),ROW('PANEL_PACKING(PRINT)'!C105)))),"",INDEX(PANEL_PACKING!$G$11:$G$32,SMALL(IF(PANEL_PACKING!$M$11:$M$32&lt;&gt;0,ROW(PANEL_PACKING!$M$11:$M$32)-10),ROW('PANEL_PACKING(PRINT)'!C105))))</f>
        <v/>
      </c>
      <c r="D115" s="973" t="s">
        <v>1286</v>
      </c>
      <c r="E115" s="342" t="str">
        <f t="array" ref="E115">IF(ISERROR(INDEX(PANEL_PACKING!$M$11:$M$32,SMALL(IF(PANEL_PACKING!$M$11:$M$32&lt;&gt;0,ROW(PANEL_PACKING!$M$11:$M$32)-10),ROW('PANEL_PACKING(PRINT)'!D105)))),"",INDEX(PANEL_PACKING!$M$11:$M$32,SMALL(IF(PANEL_PACKING!$M$11:$M$32&lt;&gt;0,ROW(PANEL_PACKING!$M$11:$M$32)-10),ROW('PANEL_PACKING(PRINT)'!D105))))</f>
        <v/>
      </c>
      <c r="F115" s="972"/>
      <c r="G115" s="972"/>
      <c r="H115" s="363"/>
    </row>
    <row r="116" spans="2:8" ht="19.5">
      <c r="B116" s="342" t="str">
        <f t="array" ref="B116">IF(ISERROR(INDEX(PANEL_PACKING!$G$11:$G$32,SMALL(IF(PANEL_PACKING!$L$11:$L$32&lt;&gt;0,ROW(PANEL_PACKING!$L$11:$L$32)-10),ROW(B107)))),"",INDEX(PANEL_PACKING!$G$11:$G$32,SMALL(IF(PANEL_PACKING!$L$11:$L$32&lt;&gt;0,ROW(PANEL_PACKING!$L$11:$L$32)-10),ROW(B107))))</f>
        <v/>
      </c>
      <c r="C116" s="342" t="str">
        <f t="array" ref="C116">IF(ISERROR(INDEX(PANEL_PACKING!$G$11:$G$32,SMALL(IF(PANEL_PACKING!$M$11:$M$32&lt;&gt;0,ROW(PANEL_PACKING!$M$11:$M$32)-10),ROW('PANEL_PACKING(PRINT)'!C106)))),"",INDEX(PANEL_PACKING!$G$11:$G$32,SMALL(IF(PANEL_PACKING!$M$11:$M$32&lt;&gt;0,ROW(PANEL_PACKING!$M$11:$M$32)-10),ROW('PANEL_PACKING(PRINT)'!C106))))</f>
        <v/>
      </c>
      <c r="D116" s="973" t="s">
        <v>1286</v>
      </c>
      <c r="E116" s="342" t="str">
        <f t="array" ref="E116">IF(ISERROR(INDEX(PANEL_PACKING!$M$11:$M$32,SMALL(IF(PANEL_PACKING!$M$11:$M$32&lt;&gt;0,ROW(PANEL_PACKING!$M$11:$M$32)-10),ROW('PANEL_PACKING(PRINT)'!D106)))),"",INDEX(PANEL_PACKING!$M$11:$M$32,SMALL(IF(PANEL_PACKING!$M$11:$M$32&lt;&gt;0,ROW(PANEL_PACKING!$M$11:$M$32)-10),ROW('PANEL_PACKING(PRINT)'!D106))))</f>
        <v/>
      </c>
      <c r="F116" s="972"/>
      <c r="G116" s="972"/>
      <c r="H116" s="363"/>
    </row>
    <row r="117" spans="2:8" ht="19.5">
      <c r="B117" s="342" t="str">
        <f t="array" ref="B117">IF(ISERROR(INDEX(PANEL_PACKING!$G$11:$G$32,SMALL(IF(PANEL_PACKING!$L$11:$L$32&lt;&gt;0,ROW(PANEL_PACKING!$L$11:$L$32)-10),ROW(B108)))),"",INDEX(PANEL_PACKING!$G$11:$G$32,SMALL(IF(PANEL_PACKING!$L$11:$L$32&lt;&gt;0,ROW(PANEL_PACKING!$L$11:$L$32)-10),ROW(B108))))</f>
        <v/>
      </c>
      <c r="C117" s="342" t="str">
        <f t="array" ref="C117">IF(ISERROR(INDEX(PANEL_PACKING!$G$11:$G$32,SMALL(IF(PANEL_PACKING!$M$11:$M$32&lt;&gt;0,ROW(PANEL_PACKING!$M$11:$M$32)-10),ROW('PANEL_PACKING(PRINT)'!C107)))),"",INDEX(PANEL_PACKING!$G$11:$G$32,SMALL(IF(PANEL_PACKING!$M$11:$M$32&lt;&gt;0,ROW(PANEL_PACKING!$M$11:$M$32)-10),ROW('PANEL_PACKING(PRINT)'!C107))))</f>
        <v/>
      </c>
      <c r="D117" s="973" t="s">
        <v>1286</v>
      </c>
      <c r="E117" s="342" t="str">
        <f t="array" ref="E117">IF(ISERROR(INDEX(PANEL_PACKING!$M$11:$M$32,SMALL(IF(PANEL_PACKING!$M$11:$M$32&lt;&gt;0,ROW(PANEL_PACKING!$M$11:$M$32)-10),ROW('PANEL_PACKING(PRINT)'!D107)))),"",INDEX(PANEL_PACKING!$M$11:$M$32,SMALL(IF(PANEL_PACKING!$M$11:$M$32&lt;&gt;0,ROW(PANEL_PACKING!$M$11:$M$32)-10),ROW('PANEL_PACKING(PRINT)'!D107))))</f>
        <v/>
      </c>
      <c r="F117" s="972"/>
      <c r="G117" s="972"/>
    </row>
    <row r="118" spans="2:8" ht="19.5">
      <c r="B118" s="342" t="str">
        <f t="array" ref="B118">IF(ISERROR(INDEX(PANEL_PACKING!$G$11:$G$32,SMALL(IF(PANEL_PACKING!$L$11:$L$32&lt;&gt;0,ROW(PANEL_PACKING!$L$11:$L$32)-10),ROW(B109)))),"",INDEX(PANEL_PACKING!$G$11:$G$32,SMALL(IF(PANEL_PACKING!$L$11:$L$32&lt;&gt;0,ROW(PANEL_PACKING!$L$11:$L$32)-10),ROW(B109))))</f>
        <v/>
      </c>
      <c r="C118" s="342" t="str">
        <f t="array" ref="C118">IF(ISERROR(INDEX(PANEL_PACKING!$G$11:$G$32,SMALL(IF(PANEL_PACKING!$M$11:$M$32&lt;&gt;0,ROW(PANEL_PACKING!$M$11:$M$32)-10),ROW('PANEL_PACKING(PRINT)'!C108)))),"",INDEX(PANEL_PACKING!$G$11:$G$32,SMALL(IF(PANEL_PACKING!$M$11:$M$32&lt;&gt;0,ROW(PANEL_PACKING!$M$11:$M$32)-10),ROW('PANEL_PACKING(PRINT)'!C108))))</f>
        <v/>
      </c>
      <c r="D118" s="364"/>
      <c r="E118" s="342" t="str">
        <f t="array" ref="E118">IF(ISERROR(INDEX(PANEL_PACKING!$M$11:$M$32,SMALL(IF(PANEL_PACKING!$M$11:$M$32&lt;&gt;0,ROW(PANEL_PACKING!$M$11:$M$32)-10),ROW('PANEL_PACKING(PRINT)'!D108)))),"",INDEX(PANEL_PACKING!$M$11:$M$32,SMALL(IF(PANEL_PACKING!$M$11:$M$32&lt;&gt;0,ROW(PANEL_PACKING!$M$11:$M$32)-10),ROW('PANEL_PACKING(PRINT)'!D108))))</f>
        <v/>
      </c>
      <c r="F118" s="972"/>
      <c r="G118" s="972"/>
    </row>
    <row r="119" spans="2:8" ht="19.5">
      <c r="B119" s="342" t="str">
        <f t="array" ref="B119">IF(ISERROR(INDEX(PANEL_PACKING!$G$11:$G$32,SMALL(IF(PANEL_PACKING!$L$11:$L$32&lt;&gt;0,ROW(PANEL_PACKING!$L$11:$L$32)-10),ROW(B110)))),"",INDEX(PANEL_PACKING!$G$11:$G$32,SMALL(IF(PANEL_PACKING!$L$11:$L$32&lt;&gt;0,ROW(PANEL_PACKING!$L$11:$L$32)-10),ROW(B110))))</f>
        <v/>
      </c>
      <c r="C119" s="342" t="str">
        <f t="array" ref="C119">IF(ISERROR(INDEX(PANEL_PACKING!$G$11:$G$32,SMALL(IF(PANEL_PACKING!$M$11:$M$32&lt;&gt;0,ROW(PANEL_PACKING!$M$11:$M$32)-10),ROW('PANEL_PACKING(PRINT)'!C109)))),"",INDEX(PANEL_PACKING!$G$11:$G$32,SMALL(IF(PANEL_PACKING!$M$11:$M$32&lt;&gt;0,ROW(PANEL_PACKING!$M$11:$M$32)-10),ROW('PANEL_PACKING(PRINT)'!C109))))</f>
        <v/>
      </c>
      <c r="D119" s="364"/>
      <c r="E119" s="342" t="str">
        <f t="array" ref="E119">IF(ISERROR(INDEX(PANEL_PACKING!$M$11:$M$32,SMALL(IF(PANEL_PACKING!$M$11:$M$32&lt;&gt;0,ROW(PANEL_PACKING!$M$11:$M$32)-10),ROW('PANEL_PACKING(PRINT)'!D109)))),"",INDEX(PANEL_PACKING!$M$11:$M$32,SMALL(IF(PANEL_PACKING!$M$11:$M$32&lt;&gt;0,ROW(PANEL_PACKING!$M$11:$M$32)-10),ROW('PANEL_PACKING(PRINT)'!D109))))</f>
        <v/>
      </c>
      <c r="F119" s="972"/>
      <c r="G119" s="972"/>
    </row>
    <row r="120" spans="2:8" ht="19.5">
      <c r="B120" s="342" t="str">
        <f t="array" ref="B120">IF(ISERROR(INDEX(PANEL_PACKING!$G$11:$G$32,SMALL(IF(PANEL_PACKING!$L$11:$L$32&lt;&gt;0,ROW(PANEL_PACKING!$L$11:$L$32)-10),ROW(B111)))),"",INDEX(PANEL_PACKING!$G$11:$G$32,SMALL(IF(PANEL_PACKING!$L$11:$L$32&lt;&gt;0,ROW(PANEL_PACKING!$L$11:$L$32)-10),ROW(B111))))</f>
        <v/>
      </c>
      <c r="C120" s="342" t="str">
        <f t="array" ref="C120">IF(ISERROR(INDEX(PANEL_PACKING!$G$11:$G$32,SMALL(IF(PANEL_PACKING!$M$11:$M$32&lt;&gt;0,ROW(PANEL_PACKING!$M$11:$M$32)-10),ROW('PANEL_PACKING(PRINT)'!C110)))),"",INDEX(PANEL_PACKING!$G$11:$G$32,SMALL(IF(PANEL_PACKING!$M$11:$M$32&lt;&gt;0,ROW(PANEL_PACKING!$M$11:$M$32)-10),ROW('PANEL_PACKING(PRINT)'!C110))))</f>
        <v/>
      </c>
      <c r="D120" s="364"/>
      <c r="E120" s="342" t="str">
        <f t="array" ref="E120">IF(ISERROR(INDEX(PANEL_PACKING!$M$11:$M$32,SMALL(IF(PANEL_PACKING!$M$11:$M$32&lt;&gt;0,ROW(PANEL_PACKING!$M$11:$M$32)-10),ROW('PANEL_PACKING(PRINT)'!D110)))),"",INDEX(PANEL_PACKING!$M$11:$M$32,SMALL(IF(PANEL_PACKING!$M$11:$M$32&lt;&gt;0,ROW(PANEL_PACKING!$M$11:$M$32)-10),ROW('PANEL_PACKING(PRINT)'!D110))))</f>
        <v/>
      </c>
      <c r="F120" s="972"/>
      <c r="G120" s="972"/>
    </row>
    <row r="121" spans="2:8" ht="19.5">
      <c r="B121" s="342" t="str">
        <f t="array" ref="B121">IF(ISERROR(INDEX(PANEL_PACKING!$G$11:$G$32,SMALL(IF(PANEL_PACKING!$L$11:$L$32&lt;&gt;0,ROW(PANEL_PACKING!$L$11:$L$32)-10),ROW(B112)))),"",INDEX(PANEL_PACKING!$G$11:$G$32,SMALL(IF(PANEL_PACKING!$L$11:$L$32&lt;&gt;0,ROW(PANEL_PACKING!$L$11:$L$32)-10),ROW(B112))))</f>
        <v/>
      </c>
      <c r="C121" s="342" t="str">
        <f t="array" ref="C121">IF(ISERROR(INDEX(PANEL_PACKING!$G$11:$G$32,SMALL(IF(PANEL_PACKING!$M$11:$M$32&lt;&gt;0,ROW(PANEL_PACKING!$M$11:$M$32)-10),ROW('PANEL_PACKING(PRINT)'!C111)))),"",INDEX(PANEL_PACKING!$G$11:$G$32,SMALL(IF(PANEL_PACKING!$M$11:$M$32&lt;&gt;0,ROW(PANEL_PACKING!$M$11:$M$32)-10),ROW('PANEL_PACKING(PRINT)'!C111))))</f>
        <v/>
      </c>
      <c r="D121" s="364"/>
      <c r="E121" s="342" t="str">
        <f t="array" ref="E121">IF(ISERROR(INDEX(PANEL_PACKING!$M$11:$M$32,SMALL(IF(PANEL_PACKING!$M$11:$M$32&lt;&gt;0,ROW(PANEL_PACKING!$M$11:$M$32)-10),ROW('PANEL_PACKING(PRINT)'!D111)))),"",INDEX(PANEL_PACKING!$M$11:$M$32,SMALL(IF(PANEL_PACKING!$M$11:$M$32&lt;&gt;0,ROW(PANEL_PACKING!$M$11:$M$32)-10),ROW('PANEL_PACKING(PRINT)'!D111))))</f>
        <v/>
      </c>
      <c r="F121" s="972"/>
      <c r="G121" s="972"/>
    </row>
  </sheetData>
  <mergeCells count="10">
    <mergeCell ref="H87:H88"/>
    <mergeCell ref="A100:C100"/>
    <mergeCell ref="D1:H1"/>
    <mergeCell ref="H8:H9"/>
    <mergeCell ref="A87:A88"/>
    <mergeCell ref="B87:D87"/>
    <mergeCell ref="A8:A9"/>
    <mergeCell ref="B8:D8"/>
    <mergeCell ref="A21:C21"/>
    <mergeCell ref="D80:H80"/>
  </mergeCells>
  <phoneticPr fontId="13" type="noConversion"/>
  <pageMargins left="0.7" right="0.7" top="0.75" bottom="0.75" header="0.3" footer="0.3"/>
  <pageSetup paperSize="9" scale="5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0000"/>
    <pageSetUpPr fitToPage="1"/>
  </sheetPr>
  <dimension ref="A1:AA67"/>
  <sheetViews>
    <sheetView topLeftCell="A13" zoomScale="55" zoomScaleNormal="55" zoomScaleSheetLayoutView="95" workbookViewId="0">
      <selection activeCell="G37" sqref="G37"/>
    </sheetView>
  </sheetViews>
  <sheetFormatPr defaultColWidth="8.875" defaultRowHeight="22.5"/>
  <cols>
    <col min="1" max="1" width="24.75" style="114" customWidth="1"/>
    <col min="2" max="2" width="18.625" style="114" customWidth="1"/>
    <col min="3" max="3" width="11.75" style="213" bestFit="1" customWidth="1"/>
    <col min="4" max="4" width="13.625" style="114" customWidth="1"/>
    <col min="5" max="5" width="16.375" style="114" customWidth="1"/>
    <col min="6" max="6" width="36.875" style="213" customWidth="1"/>
    <col min="7" max="7" width="19.75" style="114" customWidth="1"/>
    <col min="8" max="8" width="10.125" style="625" customWidth="1"/>
    <col min="9" max="9" width="13.25" style="624" customWidth="1"/>
    <col min="10" max="10" width="15.125" style="114" customWidth="1"/>
    <col min="11" max="11" width="35.125" style="114" customWidth="1"/>
    <col min="12" max="12" width="19.25" style="114" customWidth="1"/>
    <col min="13" max="13" width="8" style="213" customWidth="1"/>
    <col min="14" max="14" width="9.75" style="114" customWidth="1"/>
    <col min="15" max="15" width="11.125" style="114" customWidth="1"/>
    <col min="16" max="16" width="19.75" style="114" customWidth="1"/>
    <col min="17" max="17" width="22.25" style="217" customWidth="1"/>
    <col min="18" max="18" width="10.125" style="213" customWidth="1"/>
    <col min="19" max="19" width="14.75" style="114" bestFit="1" customWidth="1"/>
    <col min="20" max="20" width="13.75" style="114" customWidth="1"/>
    <col min="21" max="21" width="7.625" style="114" bestFit="1" customWidth="1"/>
    <col min="22" max="16384" width="8.875" style="114"/>
  </cols>
  <sheetData>
    <row r="1" spans="1:20" s="115" customFormat="1" ht="14.25" customHeight="1">
      <c r="C1" s="114"/>
      <c r="F1" s="212"/>
      <c r="H1" s="624"/>
      <c r="I1" s="624"/>
      <c r="R1" s="212"/>
    </row>
    <row r="2" spans="1:20" s="115" customFormat="1" ht="58.5">
      <c r="A2" s="1508" t="s">
        <v>203</v>
      </c>
      <c r="B2" s="1508"/>
      <c r="C2" s="1508"/>
      <c r="D2" s="1508"/>
      <c r="E2" s="1508"/>
      <c r="F2" s="1508"/>
      <c r="G2" s="1508"/>
      <c r="H2" s="1508"/>
      <c r="I2" s="1508"/>
      <c r="J2" s="1508"/>
      <c r="K2" s="1508"/>
      <c r="L2" s="1508"/>
      <c r="M2" s="1508"/>
      <c r="N2" s="1508"/>
      <c r="O2" s="1508"/>
      <c r="P2" s="1508"/>
      <c r="Q2" s="1508"/>
      <c r="R2" s="1508"/>
      <c r="S2" s="1508"/>
      <c r="T2" s="1508"/>
    </row>
    <row r="3" spans="1:20" s="115" customFormat="1" ht="25.5" customHeight="1">
      <c r="C3" s="213"/>
      <c r="F3" s="212"/>
      <c r="G3" s="214"/>
      <c r="H3" s="625"/>
      <c r="I3" s="624"/>
      <c r="M3" s="212"/>
      <c r="O3" s="215"/>
      <c r="R3" s="212"/>
    </row>
    <row r="4" spans="1:20" s="115" customFormat="1" ht="23.25" customHeight="1">
      <c r="B4" s="114"/>
      <c r="C4" s="216"/>
      <c r="D4" s="216"/>
      <c r="E4" s="217"/>
      <c r="F4" s="114"/>
      <c r="G4" s="216"/>
      <c r="H4" s="625"/>
      <c r="I4" s="624"/>
      <c r="K4" s="1511"/>
      <c r="L4" s="1511"/>
      <c r="M4" s="1511"/>
      <c r="N4" s="218"/>
      <c r="O4" s="217"/>
      <c r="P4" s="225"/>
      <c r="R4" s="212"/>
    </row>
    <row r="5" spans="1:20" s="150" customFormat="1" ht="25.5">
      <c r="A5" s="226" t="str">
        <f>"▣ Order No :"&amp;BASIC_TOOL!B5&amp;"                      ▣  Customer : "&amp;BASIC_TOOL!D6&amp;"     "&amp;"                    ▣ Project Name :"&amp;BASIC_TOOL!B6</f>
        <v>▣ Order No :NT0606-01                      ▣  Customer : ABC                         ▣ Project Name :A Project</v>
      </c>
      <c r="B5" s="227"/>
      <c r="C5" s="228"/>
      <c r="D5" s="226"/>
      <c r="E5" s="229"/>
      <c r="F5" s="230"/>
      <c r="G5" s="231"/>
      <c r="H5" s="626"/>
      <c r="I5" s="627"/>
      <c r="J5" s="232"/>
      <c r="K5" s="228"/>
      <c r="L5" s="228"/>
      <c r="M5" s="148"/>
      <c r="N5" s="233"/>
      <c r="O5" s="149"/>
    </row>
    <row r="6" spans="1:20" s="150" customFormat="1" ht="31.5">
      <c r="A6" s="226" t="str">
        <f>"▣ Address :"&amp;BASIC_TOOL!B6&amp;"                      "</f>
        <v xml:space="preserve">▣ Address :A Project                      </v>
      </c>
      <c r="B6" s="151"/>
      <c r="C6" s="234"/>
      <c r="D6" s="235"/>
      <c r="G6" s="150" t="s">
        <v>424</v>
      </c>
      <c r="H6" s="1512">
        <f ca="1">BASIC_TOOL!D5</f>
        <v>45228</v>
      </c>
      <c r="I6" s="1512"/>
      <c r="J6" s="236"/>
      <c r="K6" s="234"/>
      <c r="L6" s="236"/>
      <c r="N6" s="233"/>
      <c r="O6" s="149"/>
    </row>
    <row r="7" spans="1:20" s="150" customFormat="1" ht="25.5">
      <c r="A7" s="226" t="str">
        <f>"▣ Size : "&amp;W_O&amp;" x ("&amp;L1_O&amp;IF(L2_O&gt;0,"+"&amp;L2_O,"")&amp;IF(L3_O&gt;0,"+"&amp;L3_O,"")&amp;IF(L4_O&gt;0,"+"&amp;L4_O,"")&amp;")x"&amp;H_O&amp;"mH ="&amp;BASIC_TOOL!H11&amp;" [TON]/ 1[SET]"</f>
        <v>▣ Size : 10 x (5)x3mH =150 [TON]/ 1[SET]</v>
      </c>
      <c r="B7" s="237"/>
      <c r="C7" s="234"/>
      <c r="D7" s="235"/>
      <c r="F7" s="238"/>
      <c r="G7" s="150" t="str">
        <f>"▣ Panel: "&amp;BASIC_TOOL!C13&amp;"/ Panel Composition:"&amp;IF(BASIC_TOOL!D14=1,"use Side Panel(only 1x1m)","use side panel (1x2m,1x1.5m)")</f>
        <v>▣ Panel: Insulated or not/ Panel Composition:use side panel (1x2m,1x1.5m)</v>
      </c>
      <c r="H7" s="628"/>
      <c r="I7" s="629"/>
      <c r="J7" s="226"/>
      <c r="K7" s="234"/>
      <c r="L7" s="234"/>
      <c r="N7" s="233"/>
      <c r="O7" s="149"/>
    </row>
    <row r="8" spans="1:20" s="150" customFormat="1" ht="25.5">
      <c r="A8" s="238" t="str">
        <f>"▣ Steel Skid:"&amp;BASIC_TOOL!D21&amp;"       ▣ External Accessories : HDG  "&amp;"           ▣ Internal Accessories : "&amp;BASIC_TOOL!E22   &amp;"                ▣ Bolt&amp;Nut : "&amp;BASIC_TOOL!F22</f>
        <v>▣ Steel Skid:Steel Skid       ▣ External Accessories : HDG             ▣ Internal Accessories : SS316                ▣ Bolt&amp;Nut : EXT:HDG+INT:SS316</v>
      </c>
      <c r="B8" s="237"/>
      <c r="C8" s="234"/>
      <c r="F8" s="239"/>
      <c r="H8" s="628"/>
      <c r="I8" s="629"/>
      <c r="J8" s="226"/>
      <c r="K8" s="234"/>
      <c r="L8" s="234"/>
      <c r="N8" s="233"/>
      <c r="O8" s="149"/>
    </row>
    <row r="9" spans="1:20" ht="23.25" customHeight="1">
      <c r="A9" s="115"/>
      <c r="B9" s="113"/>
      <c r="C9" s="114"/>
      <c r="F9" s="114"/>
      <c r="G9" s="113"/>
      <c r="H9" s="630"/>
      <c r="J9" s="115"/>
      <c r="K9" s="113"/>
      <c r="L9" s="113"/>
      <c r="M9" s="115"/>
      <c r="N9" s="113"/>
      <c r="P9" s="113"/>
    </row>
    <row r="10" spans="1:20" ht="13.5" customHeight="1"/>
    <row r="11" spans="1:20" s="217" customFormat="1" ht="29.25" customHeight="1">
      <c r="A11" s="1509" t="s">
        <v>187</v>
      </c>
      <c r="B11" s="1509"/>
      <c r="C11" s="1509"/>
      <c r="D11" s="1509"/>
      <c r="E11" s="1509"/>
      <c r="F11" s="1509" t="s">
        <v>182</v>
      </c>
      <c r="G11" s="1509"/>
      <c r="H11" s="1509"/>
      <c r="I11" s="1509"/>
      <c r="J11" s="1509"/>
      <c r="K11" s="1509" t="s">
        <v>194</v>
      </c>
      <c r="L11" s="1509"/>
      <c r="M11" s="1509"/>
      <c r="N11" s="1509"/>
      <c r="O11" s="1509"/>
      <c r="P11" s="1509" t="s">
        <v>196</v>
      </c>
      <c r="Q11" s="1509"/>
      <c r="R11" s="1509"/>
      <c r="S11" s="1509"/>
      <c r="T11" s="1509"/>
    </row>
    <row r="12" spans="1:20" s="217" customFormat="1" ht="32.25" customHeight="1">
      <c r="A12" s="828" t="s">
        <v>188</v>
      </c>
      <c r="B12" s="828" t="s">
        <v>189</v>
      </c>
      <c r="C12" s="829" t="s">
        <v>190</v>
      </c>
      <c r="D12" s="828" t="s">
        <v>192</v>
      </c>
      <c r="E12" s="828" t="s">
        <v>191</v>
      </c>
      <c r="F12" s="828" t="s">
        <v>188</v>
      </c>
      <c r="G12" s="828" t="s">
        <v>189</v>
      </c>
      <c r="H12" s="829" t="s">
        <v>190</v>
      </c>
      <c r="I12" s="828" t="s">
        <v>192</v>
      </c>
      <c r="J12" s="828" t="s">
        <v>191</v>
      </c>
      <c r="K12" s="828" t="s">
        <v>188</v>
      </c>
      <c r="L12" s="828" t="s">
        <v>189</v>
      </c>
      <c r="M12" s="829" t="s">
        <v>190</v>
      </c>
      <c r="N12" s="828" t="s">
        <v>192</v>
      </c>
      <c r="O12" s="828" t="s">
        <v>191</v>
      </c>
      <c r="P12" s="828" t="s">
        <v>188</v>
      </c>
      <c r="Q12" s="828" t="s">
        <v>189</v>
      </c>
      <c r="R12" s="829" t="s">
        <v>190</v>
      </c>
      <c r="S12" s="828" t="s">
        <v>192</v>
      </c>
      <c r="T12" s="828" t="s">
        <v>191</v>
      </c>
    </row>
    <row r="13" spans="1:20" s="217" customFormat="1" ht="18" customHeight="1">
      <c r="A13" s="546" t="str">
        <f>'PRINTOUT(BOM)'!A15</f>
        <v>Manhole</v>
      </c>
      <c r="B13" s="546" t="str">
        <f>'PRINTOUT(BOM)'!B15</f>
        <v>MF00M</v>
      </c>
      <c r="C13" s="546">
        <f>'PRINTOUT(BOM)'!C15</f>
        <v>1</v>
      </c>
      <c r="D13" s="831">
        <f>IFERROR((VLOOKUP(B:B,'0.39'!$B:$D,3,FALSE)),"")</f>
        <v>80</v>
      </c>
      <c r="E13" s="830">
        <f>IFERROR(C13*D13,"")</f>
        <v>80</v>
      </c>
      <c r="F13" s="547" t="str">
        <f>'PRINTOUT(BOM)'!E15</f>
        <v>Steel Skid Connetor</v>
      </c>
      <c r="G13" s="1412" t="str">
        <f>'PRINTOUT(BOM)'!F15</f>
        <v>WBR-0120Z</v>
      </c>
      <c r="H13" s="547">
        <f>'PRINTOUT(BOM)'!G15</f>
        <v>22</v>
      </c>
      <c r="I13" s="1411">
        <f>IFERROR((VLOOKUP(G:G,'0.39'!$B:$D,3,FALSE)),"")</f>
        <v>15</v>
      </c>
      <c r="J13" s="832">
        <f>IFERROR(H13*I13,"")</f>
        <v>330</v>
      </c>
      <c r="K13" s="547" t="str">
        <f>'PRINTOUT(BOM)'!E45</f>
        <v>F/L Reinforcing plate</v>
      </c>
      <c r="L13" s="1412" t="str">
        <f>'PRINTOUT(BOM)'!F45</f>
        <v>WFB-0950ZP</v>
      </c>
      <c r="M13" s="547">
        <f>'PRINTOUT(BOM)'!G45</f>
        <v>64</v>
      </c>
      <c r="N13" s="1408">
        <f>IF(L13="","",(VLOOKUP(L:L,'0.39'!$B:$D,3,FALSE)))</f>
        <v>16</v>
      </c>
      <c r="O13" s="830">
        <f>IFERROR(M13*N13,"")</f>
        <v>1024</v>
      </c>
      <c r="P13" s="547" t="str">
        <f>'PRINTOUT(BOM)'!I15</f>
        <v xml:space="preserve">SS316 Tie-Rod </v>
      </c>
      <c r="Q13" s="1412" t="str">
        <f>'PRINTOUT(BOM)'!J15</f>
        <v>TR-12M1880SA4</v>
      </c>
      <c r="R13" s="547">
        <f>'PRINTOUT(BOM)'!K15</f>
        <v>12</v>
      </c>
      <c r="S13" s="1408">
        <f>IF(Q13="","",(VLOOKUP(Q:Q,'0.39'!$B:$D,3,FALSE)))</f>
        <v>57</v>
      </c>
      <c r="T13" s="830">
        <f>IFERROR(R13*S13,"")</f>
        <v>684</v>
      </c>
    </row>
    <row r="14" spans="1:20" s="217" customFormat="1" ht="18" customHeight="1">
      <c r="A14" s="546" t="str">
        <f>'PRINTOUT(BOM)'!A16</f>
        <v xml:space="preserve">Roof </v>
      </c>
      <c r="B14" s="546" t="str">
        <f>'PRINTOUT(BOM)'!B16</f>
        <v>RF00M</v>
      </c>
      <c r="C14" s="546">
        <f>'PRINTOUT(BOM)'!C16</f>
        <v>49</v>
      </c>
      <c r="D14" s="831">
        <f>IFERROR((VLOOKUP(B:B,'0.39'!$B:$D,3,FALSE)),"")</f>
        <v>55</v>
      </c>
      <c r="E14" s="830">
        <f t="shared" ref="E14:E54" si="0">IFERROR(C14*D14,"")</f>
        <v>2695</v>
      </c>
      <c r="F14" s="547" t="str">
        <f>'PRINTOUT(BOM)'!E16</f>
        <v>Steel Skid Connetor</v>
      </c>
      <c r="G14" s="1412" t="str">
        <f>'PRINTOUT(BOM)'!F16</f>
        <v>WBR-21590Z</v>
      </c>
      <c r="H14" s="547">
        <f>'PRINTOUT(BOM)'!G16</f>
        <v>8</v>
      </c>
      <c r="I14" s="1411">
        <f>IFERROR((VLOOKUP(G:G,'0.39'!$B:$D,3,FALSE)),"")</f>
        <v>16</v>
      </c>
      <c r="J14" s="832">
        <f t="shared" ref="J14:J33" si="1">IFERROR(H14*I14,"")</f>
        <v>128</v>
      </c>
      <c r="K14" s="547" t="str">
        <f>'PRINTOUT(BOM)'!E46</f>
        <v>F/L Reinforcing Angle</v>
      </c>
      <c r="L14" s="1412" t="str">
        <f>'PRINTOUT(BOM)'!F46</f>
        <v>WFB-0950Z</v>
      </c>
      <c r="M14" s="547">
        <f>'PRINTOUT(BOM)'!G46</f>
        <v>56</v>
      </c>
      <c r="N14" s="1408">
        <f>IF(L14="","",(VLOOKUP(L:L,'0.39'!$B:$D,3,FALSE)))</f>
        <v>30</v>
      </c>
      <c r="O14" s="830">
        <f t="shared" ref="O14:O31" si="2">IFERROR(M14*N14,"")</f>
        <v>1680</v>
      </c>
      <c r="P14" s="547" t="str">
        <f>'PRINTOUT(BOM)'!I16</f>
        <v xml:space="preserve">SS316 Tie-Rod </v>
      </c>
      <c r="Q14" s="1412" t="str">
        <f>'PRINTOUT(BOM)'!J16</f>
        <v>TR-12M4000SA4</v>
      </c>
      <c r="R14" s="547">
        <f>'PRINTOUT(BOM)'!K16</f>
        <v>24</v>
      </c>
      <c r="S14" s="1410">
        <f>IF(Q14="","",(VLOOKUP(Q:Q,'0.39'!$B:$D,3,FALSE)))</f>
        <v>110</v>
      </c>
      <c r="T14" s="830">
        <f t="shared" ref="T14:T22" si="3">IFERROR(R14*S14,"")</f>
        <v>2640</v>
      </c>
    </row>
    <row r="15" spans="1:20" s="217" customFormat="1" ht="18" customHeight="1">
      <c r="A15" s="546" t="str">
        <f>'PRINTOUT(BOM)'!A17</f>
        <v>Base</v>
      </c>
      <c r="B15" s="546" t="str">
        <f>'PRINTOUT(BOM)'!B17</f>
        <v>BF30M</v>
      </c>
      <c r="C15" s="546">
        <f>'PRINTOUT(BOM)'!C17</f>
        <v>49</v>
      </c>
      <c r="D15" s="831">
        <f>IFERROR((VLOOKUP(B:B,'0.39'!$B:$D,3,FALSE)),"")</f>
        <v>105</v>
      </c>
      <c r="E15" s="799">
        <f t="shared" si="0"/>
        <v>5145</v>
      </c>
      <c r="F15" s="547" t="str">
        <f>'PRINTOUT(BOM)'!E17</f>
        <v>Steel Skid(Main-L)</v>
      </c>
      <c r="G15" s="1412" t="str">
        <f>'PRINTOUT(BOM)'!F17</f>
        <v>WFF-1990CLZ</v>
      </c>
      <c r="H15" s="547">
        <f>'PRINTOUT(BOM)'!G17</f>
        <v>22</v>
      </c>
      <c r="I15" s="1411">
        <f>IFERROR((VLOOKUP(G:G,'0.39'!$B:$D,3,FALSE)),"")</f>
        <v>217</v>
      </c>
      <c r="J15" s="832">
        <f t="shared" si="1"/>
        <v>4774</v>
      </c>
      <c r="K15" s="547" t="str">
        <f>'PRINTOUT(BOM)'!E47</f>
        <v>F/L Reinforcing Angle</v>
      </c>
      <c r="L15" s="1412" t="str">
        <f>'PRINTOUT(BOM)'!F47</f>
        <v>WFB-1200Z</v>
      </c>
      <c r="M15" s="547">
        <f>'PRINTOUT(BOM)'!G47</f>
        <v>26</v>
      </c>
      <c r="N15" s="1408">
        <f>IF(L15="","",(VLOOKUP(L:L,'0.39'!$B:$D,3,FALSE)))</f>
        <v>35</v>
      </c>
      <c r="O15" s="830">
        <f t="shared" si="2"/>
        <v>910</v>
      </c>
      <c r="P15" s="547" t="str">
        <f>'PRINTOUT(BOM)'!I17</f>
        <v xml:space="preserve">SS316 Tie-Rod </v>
      </c>
      <c r="Q15" s="1412" t="str">
        <f>'PRINTOUT(BOM)'!J17</f>
        <v>TR-12M4880SA4</v>
      </c>
      <c r="R15" s="547">
        <f>'PRINTOUT(BOM)'!K17</f>
        <v>27</v>
      </c>
      <c r="S15" s="1410">
        <f>IF(Q15="","",(VLOOKUP(Q:Q,'0.39'!$B:$D,3,FALSE)))</f>
        <v>130</v>
      </c>
      <c r="T15" s="830">
        <f t="shared" si="3"/>
        <v>3510</v>
      </c>
    </row>
    <row r="16" spans="1:20" s="217" customFormat="1" ht="18" customHeight="1">
      <c r="A16" s="546" t="str">
        <f>'PRINTOUT(BOM)'!A18</f>
        <v>Nozzle_Drain</v>
      </c>
      <c r="B16" s="546" t="str">
        <f>'PRINTOUT(BOM)'!B18</f>
        <v>DN30M</v>
      </c>
      <c r="C16" s="546">
        <f>'PRINTOUT(BOM)'!C18</f>
        <v>1</v>
      </c>
      <c r="D16" s="831">
        <f>IFERROR((VLOOKUP(B:B,'0.39'!$B:$D,3,FALSE)),"")</f>
        <v>115</v>
      </c>
      <c r="E16" s="799">
        <f t="shared" si="0"/>
        <v>115</v>
      </c>
      <c r="F16" s="547" t="str">
        <f>'PRINTOUT(BOM)'!E18</f>
        <v>Steel Skid(Main-L)</v>
      </c>
      <c r="G16" s="1412" t="str">
        <f>'PRINTOUT(BOM)'!F18</f>
        <v>WFF-0990CLZ</v>
      </c>
      <c r="H16" s="547">
        <f>'PRINTOUT(BOM)'!G18</f>
        <v>11</v>
      </c>
      <c r="I16" s="1411">
        <f>IFERROR((VLOOKUP(G:G,'0.39'!$B:$D,3,FALSE)),"")</f>
        <v>115</v>
      </c>
      <c r="J16" s="832">
        <f t="shared" si="1"/>
        <v>1265</v>
      </c>
      <c r="K16" s="547" t="str">
        <f>'PRINTOUT(BOM)'!E48</f>
        <v>Corner Frame</v>
      </c>
      <c r="L16" s="1412" t="str">
        <f>'PRINTOUT(BOM)'!F48</f>
        <v>WCF-1000Z</v>
      </c>
      <c r="M16" s="547">
        <f>'PRINTOUT(BOM)'!G48</f>
        <v>4</v>
      </c>
      <c r="N16" s="1408">
        <f>IF(L16="","",(VLOOKUP(L:L,'0.39'!$B:$D,3,FALSE)))</f>
        <v>42</v>
      </c>
      <c r="O16" s="830">
        <f t="shared" si="2"/>
        <v>168</v>
      </c>
      <c r="P16" s="547" t="str">
        <f>'PRINTOUT(BOM)'!I18</f>
        <v>SS316 T/Rod Nut</v>
      </c>
      <c r="Q16" s="1412" t="str">
        <f>'PRINTOUT(BOM)'!J18</f>
        <v>M12 NUT(SA4)</v>
      </c>
      <c r="R16" s="547">
        <f>'PRINTOUT(BOM)'!K18</f>
        <v>156</v>
      </c>
      <c r="S16" s="1408">
        <f>IF(Q16="","",(VLOOKUP(Q:Q,'0.39'!$B:$D,3,FALSE)))</f>
        <v>1.1000000000000001</v>
      </c>
      <c r="T16" s="830">
        <f t="shared" si="3"/>
        <v>171.60000000000002</v>
      </c>
    </row>
    <row r="17" spans="1:27" s="217" customFormat="1" ht="18" customHeight="1">
      <c r="A17" s="546" t="str">
        <f>'PRINTOUT(BOM)'!A19</f>
        <v>Side Top</v>
      </c>
      <c r="B17" s="546" t="str">
        <f>'PRINTOUT(BOM)'!B19</f>
        <v>SL20T</v>
      </c>
      <c r="C17" s="546">
        <f>'PRINTOUT(BOM)'!C19</f>
        <v>30</v>
      </c>
      <c r="D17" s="831">
        <f>IFERROR((VLOOKUP(B:B,'0.39'!$B:$D,3,FALSE)),"")</f>
        <v>150</v>
      </c>
      <c r="E17" s="799">
        <f t="shared" si="0"/>
        <v>4500</v>
      </c>
      <c r="F17" s="547" t="str">
        <f>'PRINTOUT(BOM)'!E19</f>
        <v>Steel Skid(Main-L)</v>
      </c>
      <c r="G17" s="1412" t="str">
        <f>'PRINTOUT(BOM)'!F19</f>
        <v>WFF-2060CSZR</v>
      </c>
      <c r="H17" s="547">
        <f>'PRINTOUT(BOM)'!G19</f>
        <v>2</v>
      </c>
      <c r="I17" s="1411">
        <f>IFERROR((VLOOKUP(G:G,'0.39'!$B:$D,3,FALSE)),"")</f>
        <v>258</v>
      </c>
      <c r="J17" s="832">
        <f t="shared" si="1"/>
        <v>516</v>
      </c>
      <c r="K17" s="547" t="str">
        <f>'PRINTOUT(BOM)'!E49</f>
        <v>Corner Frame</v>
      </c>
      <c r="L17" s="1412" t="str">
        <f>'PRINTOUT(BOM)'!F49</f>
        <v>WCF-2000Z</v>
      </c>
      <c r="M17" s="547">
        <f>'PRINTOUT(BOM)'!G49</f>
        <v>4</v>
      </c>
      <c r="N17" s="1408">
        <f>IF(L17="","",(VLOOKUP(L:L,'0.39'!$B:$D,3,FALSE)))</f>
        <v>76</v>
      </c>
      <c r="O17" s="830">
        <f t="shared" si="2"/>
        <v>304</v>
      </c>
      <c r="P17" s="547" t="str">
        <f>'PRINTOUT(BOM)'!I19</f>
        <v xml:space="preserve">SS316 T/Rod Washer </v>
      </c>
      <c r="Q17" s="1412" t="str">
        <f>'PRINTOUT(BOM)'!J19</f>
        <v>M12 BW(SA4)</v>
      </c>
      <c r="R17" s="547">
        <f>'PRINTOUT(BOM)'!K19</f>
        <v>156</v>
      </c>
      <c r="S17" s="1408">
        <f>IF(Q17="","",(VLOOKUP(Q:Q,'0.39'!$B:$D,3,FALSE)))</f>
        <v>1.1000000000000001</v>
      </c>
      <c r="T17" s="830">
        <f t="shared" si="3"/>
        <v>171.60000000000002</v>
      </c>
    </row>
    <row r="18" spans="1:27" s="217" customFormat="1" ht="18" customHeight="1">
      <c r="A18" s="546" t="str">
        <f>'PRINTOUT(BOM)'!A20</f>
        <v>Side_Low</v>
      </c>
      <c r="B18" s="546" t="str">
        <f>'PRINTOUT(BOM)'!B20</f>
        <v>SF30L</v>
      </c>
      <c r="C18" s="546">
        <f>'PRINTOUT(BOM)'!C20</f>
        <v>30</v>
      </c>
      <c r="D18" s="831">
        <f>IFERROR((VLOOKUP(B:B,'0.39'!$B:$D,3,FALSE)),"")</f>
        <v>115</v>
      </c>
      <c r="E18" s="799">
        <f t="shared" si="0"/>
        <v>3450</v>
      </c>
      <c r="F18" s="547" t="str">
        <f>'PRINTOUT(BOM)'!E20</f>
        <v>Steel Skid(Main-L)</v>
      </c>
      <c r="G18" s="1412" t="str">
        <f>'PRINTOUT(BOM)'!F20</f>
        <v>WFF-2060CSZL</v>
      </c>
      <c r="H18" s="547">
        <f>'PRINTOUT(BOM)'!G20</f>
        <v>2</v>
      </c>
      <c r="I18" s="1411">
        <f>IFERROR((VLOOKUP(G:G,'0.39'!$B:$D,3,FALSE)),"")</f>
        <v>258</v>
      </c>
      <c r="J18" s="832">
        <f t="shared" si="1"/>
        <v>516</v>
      </c>
      <c r="K18" s="547" t="str">
        <f>'PRINTOUT(BOM)'!E50</f>
        <v>Cross Plate BKT(2 Hole)</v>
      </c>
      <c r="L18" s="1412" t="str">
        <f>'PRINTOUT(BOM)'!F50</f>
        <v>WCP-1780Z</v>
      </c>
      <c r="M18" s="547">
        <f>'PRINTOUT(BOM)'!G50</f>
        <v>34</v>
      </c>
      <c r="N18" s="1408">
        <f>IF(L18="","",(VLOOKUP(L:L,'0.39'!$B:$D,3,FALSE)))</f>
        <v>12</v>
      </c>
      <c r="O18" s="830">
        <f t="shared" si="2"/>
        <v>408</v>
      </c>
      <c r="P18" s="547" t="str">
        <f>'PRINTOUT(BOM)'!I20</f>
        <v>STS316 Tie-Rod Connector</v>
      </c>
      <c r="Q18" s="1412" t="str">
        <f>'PRINTOUT(BOM)'!J20</f>
        <v>TC-12M60SA4</v>
      </c>
      <c r="R18" s="547">
        <f>'PRINTOUT(BOM)'!K20</f>
        <v>24</v>
      </c>
      <c r="S18" s="1408">
        <f>IF(Q18="","",(VLOOKUP(Q:Q,'0.39'!$B:$D,3,FALSE)))</f>
        <v>17</v>
      </c>
      <c r="T18" s="830">
        <f t="shared" si="3"/>
        <v>408</v>
      </c>
      <c r="AA18" s="216"/>
    </row>
    <row r="19" spans="1:27" s="217" customFormat="1" ht="18" customHeight="1">
      <c r="A19" s="546" t="str">
        <f>'PRINTOUT(BOM)'!A21</f>
        <v/>
      </c>
      <c r="B19" s="546">
        <f>'PRINTOUT(BOM)'!B21</f>
        <v>0</v>
      </c>
      <c r="C19" s="546">
        <f>'PRINTOUT(BOM)'!C21</f>
        <v>0</v>
      </c>
      <c r="D19" s="831" t="str">
        <f>IFERROR((VLOOKUP(B:B,'0.39'!$B:$D,3,FALSE)),"")</f>
        <v/>
      </c>
      <c r="E19" s="799" t="str">
        <f t="shared" si="0"/>
        <v/>
      </c>
      <c r="F19" s="547" t="str">
        <f>'PRINTOUT(BOM)'!E21</f>
        <v>Steel Skid(Main-W)</v>
      </c>
      <c r="G19" s="1412" t="str">
        <f>'PRINTOUT(BOM)'!F21</f>
        <v>WFF-2000CSZ</v>
      </c>
      <c r="H19" s="547">
        <f>'PRINTOUT(BOM)'!G21</f>
        <v>6</v>
      </c>
      <c r="I19" s="1411">
        <f>IFERROR((VLOOKUP(G:G,'0.39'!$B:$D,3,FALSE)),"")</f>
        <v>250</v>
      </c>
      <c r="J19" s="832">
        <f t="shared" si="1"/>
        <v>1500</v>
      </c>
      <c r="K19" s="547" t="str">
        <f>'PRINTOUT(BOM)'!E51</f>
        <v>Cross Plate BKT(4 Hole)</v>
      </c>
      <c r="L19" s="1412" t="str">
        <f>'PRINTOUT(BOM)'!F51</f>
        <v>WCP-1616Z</v>
      </c>
      <c r="M19" s="547">
        <f>'PRINTOUT(BOM)'!G51</f>
        <v>26</v>
      </c>
      <c r="N19" s="1408">
        <f>IF(L19="","",(VLOOKUP(L:L,'0.39'!$B:$D,3,FALSE)))</f>
        <v>20</v>
      </c>
      <c r="O19" s="830">
        <f t="shared" si="2"/>
        <v>520</v>
      </c>
      <c r="P19" s="547" t="str">
        <f>'PRINTOUT(BOM)'!I21</f>
        <v/>
      </c>
      <c r="Q19" s="547">
        <f>'PRINTOUT(BOM)'!J21</f>
        <v>0</v>
      </c>
      <c r="R19" s="547">
        <f>'PRINTOUT(BOM)'!K21</f>
        <v>0</v>
      </c>
      <c r="S19" s="833" t="e">
        <f>IF(Q19="","",(VLOOKUP(Q:Q,'0.39'!$B:$D,3,FALSE)))</f>
        <v>#N/A</v>
      </c>
      <c r="T19" s="830" t="str">
        <f t="shared" si="3"/>
        <v/>
      </c>
      <c r="AA19" s="216"/>
    </row>
    <row r="20" spans="1:27" s="217" customFormat="1" ht="18" customHeight="1">
      <c r="A20" s="546" t="str">
        <f>'PRINTOUT(BOM)'!A22</f>
        <v/>
      </c>
      <c r="B20" s="546">
        <f>'PRINTOUT(BOM)'!B22</f>
        <v>0</v>
      </c>
      <c r="C20" s="546">
        <f>'PRINTOUT(BOM)'!C22</f>
        <v>0</v>
      </c>
      <c r="D20" s="831" t="str">
        <f>IFERROR((VLOOKUP(B:B,'0.39'!$B:$D,3,FALSE)),"")</f>
        <v/>
      </c>
      <c r="E20" s="799" t="str">
        <f t="shared" si="0"/>
        <v/>
      </c>
      <c r="F20" s="547" t="str">
        <f>'PRINTOUT(BOM)'!E22</f>
        <v>Steel Skid(Sub)</v>
      </c>
      <c r="G20" s="1412" t="str">
        <f>'PRINTOUT(BOM)'!F22</f>
        <v>WFF-0962AMZ</v>
      </c>
      <c r="H20" s="547">
        <f>'PRINTOUT(BOM)'!G22</f>
        <v>8</v>
      </c>
      <c r="I20" s="1411">
        <f>IFERROR((VLOOKUP(G:G,'0.39'!$B:$D,3,FALSE)),"")</f>
        <v>82</v>
      </c>
      <c r="J20" s="832">
        <f t="shared" si="1"/>
        <v>656</v>
      </c>
      <c r="K20" s="547" t="str">
        <f>'PRINTOUT(BOM)'!E52</f>
        <v/>
      </c>
      <c r="L20" s="1412">
        <f>'PRINTOUT(BOM)'!F52</f>
        <v>0</v>
      </c>
      <c r="M20" s="547">
        <f>'PRINTOUT(BOM)'!G52</f>
        <v>0</v>
      </c>
      <c r="N20" s="1408" t="e">
        <f>IF(L20="","",(VLOOKUP(L:L,'0.39'!$B:$D,3,FALSE)))</f>
        <v>#N/A</v>
      </c>
      <c r="O20" s="830" t="str">
        <f t="shared" si="2"/>
        <v/>
      </c>
      <c r="P20" s="547" t="str">
        <f>'PRINTOUT(BOM)'!I22</f>
        <v/>
      </c>
      <c r="Q20" s="547">
        <f>'PRINTOUT(BOM)'!J22</f>
        <v>0</v>
      </c>
      <c r="R20" s="547">
        <f>'PRINTOUT(BOM)'!K22</f>
        <v>0</v>
      </c>
      <c r="S20" s="833" t="e">
        <f>IF(Q20="","",(VLOOKUP(Q:Q,'0.39'!$B:$D,3,FALSE)))</f>
        <v>#N/A</v>
      </c>
      <c r="T20" s="830" t="str">
        <f t="shared" si="3"/>
        <v/>
      </c>
    </row>
    <row r="21" spans="1:27" s="217" customFormat="1" ht="18" customHeight="1">
      <c r="A21" s="546" t="str">
        <f>'PRINTOUT(BOM)'!A23</f>
        <v/>
      </c>
      <c r="B21" s="546">
        <f>'PRINTOUT(BOM)'!B23</f>
        <v>0</v>
      </c>
      <c r="C21" s="546">
        <f>'PRINTOUT(BOM)'!C23</f>
        <v>0</v>
      </c>
      <c r="D21" s="831" t="str">
        <f>IFERROR((VLOOKUP(B:B,'0.39'!$B:$D,3,FALSE)),"")</f>
        <v/>
      </c>
      <c r="E21" s="799" t="str">
        <f t="shared" si="0"/>
        <v/>
      </c>
      <c r="F21" s="547" t="str">
        <f>'PRINTOUT(BOM)'!E23</f>
        <v>Steel Skid(Sub)</v>
      </c>
      <c r="G21" s="1412" t="str">
        <f>'PRINTOUT(BOM)'!F23</f>
        <v>WFF-1053AMZ</v>
      </c>
      <c r="H21" s="547">
        <f>'PRINTOUT(BOM)'!G23</f>
        <v>4</v>
      </c>
      <c r="I21" s="1411">
        <f>IFERROR((VLOOKUP(G:G,'0.39'!$B:$D,3,FALSE)),"")</f>
        <v>82</v>
      </c>
      <c r="J21" s="832">
        <f t="shared" si="1"/>
        <v>328</v>
      </c>
      <c r="K21" s="547" t="str">
        <f>'PRINTOUT(BOM)'!E53</f>
        <v/>
      </c>
      <c r="L21" s="1412">
        <f>'PRINTOUT(BOM)'!F53</f>
        <v>0</v>
      </c>
      <c r="M21" s="547">
        <f>'PRINTOUT(BOM)'!G53</f>
        <v>0</v>
      </c>
      <c r="N21" s="1408" t="e">
        <f>IF(L21="","",(VLOOKUP(L:L,'0.39'!$B:$D,3,FALSE)))</f>
        <v>#N/A</v>
      </c>
      <c r="O21" s="830" t="str">
        <f t="shared" si="2"/>
        <v/>
      </c>
      <c r="P21" s="547" t="str">
        <f>'PRINTOUT(BOM)'!I23</f>
        <v/>
      </c>
      <c r="Q21" s="547">
        <f>'PRINTOUT(BOM)'!J23</f>
        <v>0</v>
      </c>
      <c r="R21" s="547">
        <f>'PRINTOUT(BOM)'!K23</f>
        <v>0</v>
      </c>
      <c r="S21" s="833" t="e">
        <f>IF(Q21="","",(VLOOKUP(Q:Q,'0.39'!$B:$D,3,FALSE)))</f>
        <v>#N/A</v>
      </c>
      <c r="T21" s="830" t="str">
        <f t="shared" si="3"/>
        <v/>
      </c>
    </row>
    <row r="22" spans="1:27" s="217" customFormat="1" ht="18" customHeight="1">
      <c r="A22" s="546" t="str">
        <f>'PRINTOUT(BOM)'!A24</f>
        <v/>
      </c>
      <c r="B22" s="546">
        <f>'PRINTOUT(BOM)'!B24</f>
        <v>0</v>
      </c>
      <c r="C22" s="546">
        <f>'PRINTOUT(BOM)'!C24</f>
        <v>0</v>
      </c>
      <c r="D22" s="831" t="str">
        <f>IFERROR((VLOOKUP(B:B,'0.39'!$B:$D,3,FALSE)),"")</f>
        <v/>
      </c>
      <c r="E22" s="799" t="str">
        <f t="shared" si="0"/>
        <v/>
      </c>
      <c r="F22" s="547" t="str">
        <f>'PRINTOUT(BOM)'!E24</f>
        <v>Steel Skid(Sub)</v>
      </c>
      <c r="G22" s="1412" t="str">
        <f>'PRINTOUT(BOM)'!F24</f>
        <v>WFF-0994AMZ</v>
      </c>
      <c r="H22" s="547">
        <f>'PRINTOUT(BOM)'!G24</f>
        <v>28</v>
      </c>
      <c r="I22" s="1411">
        <f>IFERROR((VLOOKUP(G:G,'0.39'!$B:$D,3,FALSE)),"")</f>
        <v>82</v>
      </c>
      <c r="J22" s="832">
        <f t="shared" si="1"/>
        <v>2296</v>
      </c>
      <c r="K22" s="547" t="str">
        <f>'PRINTOUT(BOM)'!E54</f>
        <v/>
      </c>
      <c r="L22" s="547">
        <f>'PRINTOUT(BOM)'!F54</f>
        <v>0</v>
      </c>
      <c r="M22" s="547">
        <f>'PRINTOUT(BOM)'!G54</f>
        <v>0</v>
      </c>
      <c r="N22" s="833" t="e">
        <f>IF(L22="","",(VLOOKUP(L:L,'0.39'!$B:$D,3,FALSE)))</f>
        <v>#N/A</v>
      </c>
      <c r="O22" s="830" t="str">
        <f t="shared" si="2"/>
        <v/>
      </c>
      <c r="P22" s="547" t="str">
        <f>'PRINTOUT(BOM)'!I24</f>
        <v/>
      </c>
      <c r="Q22" s="547">
        <f>'PRINTOUT(BOM)'!J24</f>
        <v>0</v>
      </c>
      <c r="R22" s="547">
        <f>'PRINTOUT(BOM)'!K24</f>
        <v>0</v>
      </c>
      <c r="S22" s="833" t="e">
        <f>IF(Q22="","",(VLOOKUP(Q:Q,'0.39'!$B:$D,3,FALSE)))</f>
        <v>#N/A</v>
      </c>
      <c r="T22" s="830" t="str">
        <f t="shared" si="3"/>
        <v/>
      </c>
    </row>
    <row r="23" spans="1:27" s="217" customFormat="1" ht="18" customHeight="1">
      <c r="A23" s="546" t="str">
        <f>'PRINTOUT(BOM)'!A25</f>
        <v/>
      </c>
      <c r="B23" s="546">
        <f>'PRINTOUT(BOM)'!B25</f>
        <v>0</v>
      </c>
      <c r="C23" s="546">
        <f>'PRINTOUT(BOM)'!C25</f>
        <v>0</v>
      </c>
      <c r="D23" s="831" t="str">
        <f>IFERROR((VLOOKUP(B:B,'0.39'!$B:$D,3,FALSE)),"")</f>
        <v/>
      </c>
      <c r="E23" s="799" t="str">
        <f t="shared" si="0"/>
        <v/>
      </c>
      <c r="F23" s="547" t="str">
        <f>'PRINTOUT(BOM)'!E25</f>
        <v>Liner</v>
      </c>
      <c r="G23" s="1412" t="str">
        <f>'PRINTOUT(BOM)'!F25</f>
        <v>LNR-3.0T</v>
      </c>
      <c r="H23" s="547">
        <f>'PRINTOUT(BOM)'!G25</f>
        <v>304</v>
      </c>
      <c r="I23" s="1409">
        <f>IFERROR((VLOOKUP(G:G,'0.39'!$B:$D,3,FALSE)),"")</f>
        <v>1.2</v>
      </c>
      <c r="J23" s="832">
        <f t="shared" si="1"/>
        <v>364.8</v>
      </c>
      <c r="K23" s="547" t="str">
        <f>'PRINTOUT(BOM)'!E55</f>
        <v/>
      </c>
      <c r="L23" s="547">
        <f>'PRINTOUT(BOM)'!F55</f>
        <v>0</v>
      </c>
      <c r="M23" s="547">
        <f>'PRINTOUT(BOM)'!G55</f>
        <v>0</v>
      </c>
      <c r="N23" s="833" t="e">
        <f>IF(L23="","",(VLOOKUP(L:L,'0.39'!$B:$D,3,FALSE)))</f>
        <v>#N/A</v>
      </c>
      <c r="O23" s="830" t="str">
        <f t="shared" si="2"/>
        <v/>
      </c>
      <c r="P23" s="826"/>
      <c r="Q23" s="826"/>
      <c r="R23" s="834"/>
      <c r="S23" s="835"/>
      <c r="T23" s="836">
        <f>SUM(T13:T22)</f>
        <v>7585.2000000000007</v>
      </c>
    </row>
    <row r="24" spans="1:27" s="217" customFormat="1" ht="18" customHeight="1">
      <c r="A24" s="546" t="str">
        <f>'PRINTOUT(BOM)'!A26</f>
        <v/>
      </c>
      <c r="B24" s="546">
        <f>'PRINTOUT(BOM)'!B26</f>
        <v>0</v>
      </c>
      <c r="C24" s="546">
        <f>'PRINTOUT(BOM)'!C26</f>
        <v>0</v>
      </c>
      <c r="D24" s="831" t="str">
        <f>IFERROR((VLOOKUP(B:B,'0.39'!$B:$D,3,FALSE)),"")</f>
        <v/>
      </c>
      <c r="E24" s="799" t="str">
        <f t="shared" si="0"/>
        <v/>
      </c>
      <c r="F24" s="547" t="str">
        <f>'PRINTOUT(BOM)'!E26</f>
        <v>Anchor Bracket with bolt and nut set</v>
      </c>
      <c r="G24" s="1412" t="str">
        <f>'PRINTOUT(BOM)'!F26</f>
        <v>WBR-5010Z</v>
      </c>
      <c r="H24" s="547">
        <f>'PRINTOUT(BOM)'!G26</f>
        <v>15</v>
      </c>
      <c r="I24" s="1409">
        <f>IFERROR((VLOOKUP(G:G,'0.39'!$B:$D,3,FALSE)),"")</f>
        <v>16</v>
      </c>
      <c r="J24" s="832">
        <f t="shared" si="1"/>
        <v>240</v>
      </c>
      <c r="K24" s="547"/>
      <c r="L24" s="825" t="str">
        <f>External_Reinforcing!B20</f>
        <v/>
      </c>
      <c r="M24" s="825" t="str">
        <f>External_Reinforcing!C20</f>
        <v/>
      </c>
      <c r="N24" s="833" t="str">
        <f>IF(L24="","",(VLOOKUP(L:L,'0.39'!$B:$D,3,FALSE)))</f>
        <v/>
      </c>
      <c r="O24" s="830" t="str">
        <f t="shared" si="2"/>
        <v/>
      </c>
      <c r="P24" s="1510" t="s">
        <v>180</v>
      </c>
      <c r="Q24" s="1510"/>
      <c r="R24" s="1510"/>
      <c r="S24" s="1510"/>
      <c r="T24" s="1510"/>
    </row>
    <row r="25" spans="1:27" s="217" customFormat="1" ht="18" customHeight="1">
      <c r="A25" s="546" t="str">
        <f>'PRINTOUT(BOM)'!A27</f>
        <v/>
      </c>
      <c r="B25" s="546">
        <f>'PRINTOUT(BOM)'!B27</f>
        <v>0</v>
      </c>
      <c r="C25" s="546">
        <f>'PRINTOUT(BOM)'!C27</f>
        <v>0</v>
      </c>
      <c r="D25" s="831" t="str">
        <f>IFERROR((VLOOKUP(B:B,'0.39'!$B:$D,3,FALSE)),"")</f>
        <v/>
      </c>
      <c r="E25" s="799" t="str">
        <f t="shared" si="0"/>
        <v/>
      </c>
      <c r="F25" s="547"/>
      <c r="G25" s="547"/>
      <c r="H25" s="547"/>
      <c r="I25" s="831" t="str">
        <f>IFERROR((VLOOKUP(G:G,'0.39'!$B:$D,3,FALSE)),"")</f>
        <v/>
      </c>
      <c r="J25" s="830" t="str">
        <f t="shared" si="1"/>
        <v/>
      </c>
      <c r="K25" s="547" t="str">
        <f>IF(L25="","",(VLOOKUP(L:L,'0.39'!$B:$F,5,FALSE)))</f>
        <v/>
      </c>
      <c r="L25" s="825" t="str">
        <f>External_Reinforcing!B25</f>
        <v/>
      </c>
      <c r="M25" s="825" t="str">
        <f>External_Reinforcing!C25</f>
        <v/>
      </c>
      <c r="N25" s="833" t="str">
        <f>IF(L25="","",(VLOOKUP(L:L,'0.39'!$B:$D,3,FALSE)))</f>
        <v/>
      </c>
      <c r="O25" s="830" t="str">
        <f t="shared" si="2"/>
        <v/>
      </c>
      <c r="P25" s="828" t="s">
        <v>188</v>
      </c>
      <c r="Q25" s="828" t="s">
        <v>189</v>
      </c>
      <c r="R25" s="829" t="s">
        <v>190</v>
      </c>
      <c r="S25" s="828" t="s">
        <v>192</v>
      </c>
      <c r="T25" s="828" t="s">
        <v>191</v>
      </c>
    </row>
    <row r="26" spans="1:27" s="217" customFormat="1" ht="18" customHeight="1">
      <c r="A26" s="546" t="str">
        <f>'PRINTOUT(BOM)'!A28</f>
        <v/>
      </c>
      <c r="B26" s="1070">
        <f>'PRINTOUT(BOM)'!$B$28</f>
        <v>0</v>
      </c>
      <c r="C26" s="546">
        <f>'PRINTOUT(BOM)'!C28</f>
        <v>0</v>
      </c>
      <c r="D26" s="831" t="str">
        <f>IFERROR((VLOOKUP(B:B,'0.39'!$B:$D,3,FALSE)),"")</f>
        <v/>
      </c>
      <c r="E26" s="799" t="str">
        <f t="shared" si="0"/>
        <v/>
      </c>
      <c r="F26" s="1072"/>
      <c r="G26" s="1072"/>
      <c r="H26" s="1072"/>
      <c r="I26" s="1425"/>
      <c r="J26" s="1426"/>
      <c r="K26" s="1072"/>
      <c r="L26" s="1427"/>
      <c r="M26" s="1427"/>
      <c r="N26" s="1428"/>
      <c r="O26" s="1426"/>
      <c r="P26" s="1429"/>
      <c r="Q26" s="1429"/>
      <c r="R26" s="1430"/>
      <c r="S26" s="1429"/>
      <c r="T26" s="1429"/>
    </row>
    <row r="27" spans="1:27" s="217" customFormat="1" ht="18" customHeight="1">
      <c r="A27" s="546" t="str">
        <f>'PRINTOUT(BOM)'!A29</f>
        <v/>
      </c>
      <c r="B27" s="1070" t="str">
        <f>'0.39'!$B$471</f>
        <v>PL20TCB</v>
      </c>
      <c r="C27" s="546">
        <f>'PRINTOUT(BOM)'!C29</f>
        <v>0</v>
      </c>
      <c r="D27" s="1425">
        <f>'0.39'!$D$471</f>
        <v>150</v>
      </c>
      <c r="E27" s="799">
        <f t="shared" si="0"/>
        <v>0</v>
      </c>
      <c r="F27" s="1072"/>
      <c r="G27" s="1072"/>
      <c r="H27" s="1072"/>
      <c r="I27" s="1425"/>
      <c r="J27" s="1426"/>
      <c r="K27" s="1072"/>
      <c r="L27" s="1427"/>
      <c r="M27" s="1427"/>
      <c r="N27" s="1428"/>
      <c r="O27" s="1426"/>
      <c r="P27" s="1429"/>
      <c r="Q27" s="1429"/>
      <c r="R27" s="1430"/>
      <c r="S27" s="1429"/>
      <c r="T27" s="1429"/>
    </row>
    <row r="28" spans="1:27" s="217" customFormat="1" ht="18" customHeight="1">
      <c r="A28" s="546" t="str">
        <f>'PRINTOUT(BOM)'!A30</f>
        <v/>
      </c>
      <c r="B28" s="546">
        <f>'PRINTOUT(BOM)'!B30</f>
        <v>0</v>
      </c>
      <c r="C28" s="546">
        <f>'PRINTOUT(BOM)'!C30</f>
        <v>0</v>
      </c>
      <c r="D28" s="831" t="str">
        <f>IFERROR((VLOOKUP(B:B,'0.39'!$B:$D,3,FALSE)),"")</f>
        <v/>
      </c>
      <c r="E28" s="799" t="str">
        <f t="shared" si="0"/>
        <v/>
      </c>
      <c r="F28" s="547"/>
      <c r="G28" s="547"/>
      <c r="H28" s="547"/>
      <c r="I28" s="831" t="str">
        <f>IFERROR((VLOOKUP(G:G,'0.39'!$B:$D,3,FALSE)),"")</f>
        <v/>
      </c>
      <c r="J28" s="830" t="str">
        <f t="shared" si="1"/>
        <v/>
      </c>
      <c r="K28" s="547" t="str">
        <f>IF(L28="","",(VLOOKUP(L:L,'0.39'!$B:$F,5,FALSE)))</f>
        <v/>
      </c>
      <c r="L28" s="825" t="str">
        <f>External_Reinforcing!B29</f>
        <v/>
      </c>
      <c r="M28" s="825" t="str">
        <f>External_Reinforcing!C29</f>
        <v/>
      </c>
      <c r="N28" s="833" t="str">
        <f>IF(L28="","",(VLOOKUP(L:L,'0.39'!$B:$D,3,FALSE)))</f>
        <v/>
      </c>
      <c r="O28" s="830" t="str">
        <f t="shared" si="2"/>
        <v/>
      </c>
      <c r="P28" s="547" t="str">
        <f>'PRINTOUT(BOM)'!I36</f>
        <v xml:space="preserve">Air Vent </v>
      </c>
      <c r="Q28" s="1412" t="str">
        <f>'PRINTOUT(BOM)'!J36</f>
        <v>WAV-0100A</v>
      </c>
      <c r="R28" s="547">
        <f>'PRINTOUT(BOM)'!K36</f>
        <v>2</v>
      </c>
      <c r="S28" s="1408">
        <f>IF(Q28="","",(VLOOKUP(Q:Q,'0.39'!$B:$D,3,FALSE)))</f>
        <v>53</v>
      </c>
      <c r="T28" s="830">
        <f t="shared" ref="T28:T38" si="4">IFERROR(R28*S28,"")</f>
        <v>106</v>
      </c>
    </row>
    <row r="29" spans="1:27" s="217" customFormat="1" ht="18" customHeight="1">
      <c r="A29" s="546" t="str">
        <f>'PRINTOUT(BOM)'!A31</f>
        <v/>
      </c>
      <c r="B29" s="546">
        <f>'PRINTOUT(BOM)'!B31</f>
        <v>0</v>
      </c>
      <c r="C29" s="546">
        <f>'PRINTOUT(BOM)'!C31</f>
        <v>0</v>
      </c>
      <c r="D29" s="831" t="str">
        <f>IFERROR((VLOOKUP(B:B,'0.39'!$B:$D,3,FALSE)),"")</f>
        <v/>
      </c>
      <c r="E29" s="799" t="str">
        <f t="shared" si="0"/>
        <v/>
      </c>
      <c r="F29" s="547"/>
      <c r="G29" s="547"/>
      <c r="H29" s="547"/>
      <c r="I29" s="831" t="str">
        <f>IFERROR((VLOOKUP(G:G,'0.39'!$B:$D,3,FALSE)),"")</f>
        <v/>
      </c>
      <c r="J29" s="830" t="str">
        <f t="shared" si="1"/>
        <v/>
      </c>
      <c r="K29" s="547" t="str">
        <f>IF(L29="","",(VLOOKUP(L:L,'0.39'!$B:$F,5,FALSE)))</f>
        <v/>
      </c>
      <c r="L29" s="825" t="str">
        <f>External_Reinforcing!B30</f>
        <v/>
      </c>
      <c r="M29" s="825" t="str">
        <f>External_Reinforcing!C30</f>
        <v/>
      </c>
      <c r="N29" s="833" t="str">
        <f>IF(L29="","",(VLOOKUP(L:L,'0.39'!$B:$D,3,FALSE)))</f>
        <v/>
      </c>
      <c r="O29" s="830" t="str">
        <f t="shared" si="2"/>
        <v/>
      </c>
      <c r="P29" s="547" t="str">
        <f>'PRINTOUT(BOM)'!I37</f>
        <v>Roof Supporter(3.0mH)</v>
      </c>
      <c r="Q29" s="1412" t="str">
        <f>'PRINTOUT(BOM)'!J37</f>
        <v>WRS-3000F</v>
      </c>
      <c r="R29" s="547">
        <f>'PRINTOUT(BOM)'!K37</f>
        <v>9</v>
      </c>
      <c r="S29" s="1408">
        <f>IF(Q29="","",(VLOOKUP(Q:Q,'0.39'!$B:$D,3,FALSE)))</f>
        <v>66</v>
      </c>
      <c r="T29" s="830">
        <f t="shared" si="4"/>
        <v>594</v>
      </c>
    </row>
    <row r="30" spans="1:27" s="217" customFormat="1" ht="18" customHeight="1">
      <c r="A30" s="546" t="str">
        <f>'PRINTOUT(BOM)'!A32</f>
        <v/>
      </c>
      <c r="B30" s="546">
        <f>'PRINTOUT(BOM)'!B32</f>
        <v>0</v>
      </c>
      <c r="C30" s="546">
        <f>'PRINTOUT(BOM)'!C32</f>
        <v>0</v>
      </c>
      <c r="D30" s="831" t="str">
        <f>IFERROR((VLOOKUP(B:B,'0.39'!$B:$D,3,FALSE)),"")</f>
        <v/>
      </c>
      <c r="E30" s="799" t="str">
        <f t="shared" si="0"/>
        <v/>
      </c>
      <c r="F30" s="547" t="str">
        <f>IF(G30="","",(VLOOKUP(G:G,'0.39'!$B:$F,5,FALSE)))</f>
        <v/>
      </c>
      <c r="G30" s="546" t="str">
        <f>Steel_Skid!B23</f>
        <v/>
      </c>
      <c r="H30" s="837" t="str">
        <f>Steel_Skid!C23</f>
        <v/>
      </c>
      <c r="I30" s="831" t="str">
        <f>IFERROR((VLOOKUP(G:G,'0.39'!$B:$D,3,FALSE)),"")</f>
        <v/>
      </c>
      <c r="J30" s="830" t="str">
        <f t="shared" si="1"/>
        <v/>
      </c>
      <c r="K30" s="547" t="str">
        <f>IF(L30="","",(VLOOKUP(L:L,'0.39'!$B:$F,5,FALSE)))</f>
        <v/>
      </c>
      <c r="L30" s="825" t="str">
        <f>External_Reinforcing!B31</f>
        <v/>
      </c>
      <c r="M30" s="825" t="str">
        <f>External_Reinforcing!C31</f>
        <v/>
      </c>
      <c r="N30" s="833" t="str">
        <f>IF(L30="","",(VLOOKUP(L:L,'0.39'!$B:$D,3,FALSE)))</f>
        <v/>
      </c>
      <c r="O30" s="830" t="str">
        <f t="shared" si="2"/>
        <v/>
      </c>
      <c r="P30" s="547" t="str">
        <f>'PRINTOUT(BOM)'!I38</f>
        <v>Internal Ladder(3.0mH)</v>
      </c>
      <c r="Q30" s="1412" t="str">
        <f>'PRINTOUT(BOM)'!J38</f>
        <v>WLD-3000FI</v>
      </c>
      <c r="R30" s="547">
        <f>'PRINTOUT(BOM)'!K38</f>
        <v>1</v>
      </c>
      <c r="S30" s="1408">
        <f>IF(Q30="","",(VLOOKUP(Q:Q,'0.39'!$B:$D,3,FALSE)))</f>
        <v>264</v>
      </c>
      <c r="T30" s="830">
        <f t="shared" si="4"/>
        <v>264</v>
      </c>
    </row>
    <row r="31" spans="1:27" s="217" customFormat="1" ht="18" customHeight="1">
      <c r="A31" s="546" t="str">
        <f>'PRINTOUT(BOM)'!A33</f>
        <v/>
      </c>
      <c r="B31" s="546">
        <f>'PRINTOUT(BOM)'!B33</f>
        <v>0</v>
      </c>
      <c r="C31" s="546">
        <f>'PRINTOUT(BOM)'!C33</f>
        <v>0</v>
      </c>
      <c r="D31" s="831" t="str">
        <f>IFERROR((VLOOKUP(B:B,'0.39'!$B:$D,3,FALSE)),"")</f>
        <v/>
      </c>
      <c r="E31" s="799" t="str">
        <f t="shared" si="0"/>
        <v/>
      </c>
      <c r="F31" s="547" t="str">
        <f>IF(G31="","",(VLOOKUP(G:G,'0.39'!$B:$F,5,FALSE)))</f>
        <v/>
      </c>
      <c r="G31" s="546" t="str">
        <f>Steel_Skid!B24</f>
        <v/>
      </c>
      <c r="H31" s="837" t="str">
        <f>Steel_Skid!C24</f>
        <v/>
      </c>
      <c r="I31" s="831" t="str">
        <f>IFERROR((VLOOKUP(G:G,'0.39'!$B:$D,3,FALSE)),"")</f>
        <v/>
      </c>
      <c r="J31" s="830" t="str">
        <f t="shared" si="1"/>
        <v/>
      </c>
      <c r="K31" s="547" t="str">
        <f>IF(L31="","",(VLOOKUP(L:L,'0.39'!$B:$F,5,FALSE)))</f>
        <v/>
      </c>
      <c r="L31" s="825" t="str">
        <f>External_Reinforcing!B32</f>
        <v/>
      </c>
      <c r="M31" s="825" t="str">
        <f>External_Reinforcing!C32</f>
        <v/>
      </c>
      <c r="N31" s="833" t="str">
        <f>IF(L31="","",(VLOOKUP(L:L,'0.39'!$B:$D,3,FALSE)))</f>
        <v/>
      </c>
      <c r="O31" s="830" t="str">
        <f t="shared" si="2"/>
        <v/>
      </c>
      <c r="P31" s="547" t="str">
        <f>'PRINTOUT(BOM)'!I39</f>
        <v>EX-Ladder(3mH)</v>
      </c>
      <c r="Q31" s="1412" t="str">
        <f>'PRINTOUT(BOM)'!J39</f>
        <v>WLD-3000ZO</v>
      </c>
      <c r="R31" s="547">
        <f>'PRINTOUT(BOM)'!K39</f>
        <v>1</v>
      </c>
      <c r="S31" s="1408">
        <f>IF(Q31="","",(VLOOKUP(Q:Q,'0.39'!$B:$D,3,FALSE)))</f>
        <v>275</v>
      </c>
      <c r="T31" s="830">
        <f t="shared" si="4"/>
        <v>275</v>
      </c>
    </row>
    <row r="32" spans="1:27" s="217" customFormat="1" ht="18" customHeight="1">
      <c r="A32" s="546" t="str">
        <f>'PRINTOUT(BOM)'!A34</f>
        <v/>
      </c>
      <c r="B32" s="546">
        <f>'PRINTOUT(BOM)'!B34</f>
        <v>0</v>
      </c>
      <c r="C32" s="546">
        <f>'PRINTOUT(BOM)'!C34</f>
        <v>0</v>
      </c>
      <c r="D32" s="831" t="str">
        <f>IFERROR((VLOOKUP(B:B,'0.39'!$B:$D,3,FALSE)),"")</f>
        <v/>
      </c>
      <c r="E32" s="799" t="str">
        <f t="shared" si="0"/>
        <v/>
      </c>
      <c r="F32" s="547" t="str">
        <f>IF(G32="","",(VLOOKUP(G:G,'0.39'!$B:$F,5,FALSE)))</f>
        <v/>
      </c>
      <c r="G32" s="546" t="str">
        <f>Steel_Skid!B25</f>
        <v/>
      </c>
      <c r="H32" s="837" t="str">
        <f>Steel_Skid!C25</f>
        <v/>
      </c>
      <c r="I32" s="831" t="str">
        <f>IFERROR((VLOOKUP(G:G,'0.39'!$B:$D,3,FALSE)),"")</f>
        <v/>
      </c>
      <c r="J32" s="830" t="str">
        <f t="shared" si="1"/>
        <v/>
      </c>
      <c r="K32" s="826"/>
      <c r="L32" s="826"/>
      <c r="M32" s="826"/>
      <c r="N32" s="835"/>
      <c r="O32" s="835">
        <f>SUM(O13:O31)</f>
        <v>5014</v>
      </c>
      <c r="P32" s="547" t="str">
        <f>'PRINTOUT(BOM)'!I40</f>
        <v>Silicon</v>
      </c>
      <c r="Q32" s="1412" t="str">
        <f>'PRINTOUT(BOM)'!J40</f>
        <v>Silicon</v>
      </c>
      <c r="R32" s="547">
        <f>'PRINTOUT(BOM)'!K40</f>
        <v>5</v>
      </c>
      <c r="S32" s="1408">
        <f>IF(Q32="","",(VLOOKUP(Q:Q,'0.39'!$B:$D,3,FALSE)))</f>
        <v>15</v>
      </c>
      <c r="T32" s="830">
        <f t="shared" si="4"/>
        <v>75</v>
      </c>
    </row>
    <row r="33" spans="1:20" s="217" customFormat="1" ht="18" customHeight="1">
      <c r="A33" s="546" t="str">
        <f>'PRINTOUT(BOM)'!A35</f>
        <v/>
      </c>
      <c r="B33" s="546">
        <f>'PRINTOUT(BOM)'!B35</f>
        <v>0</v>
      </c>
      <c r="C33" s="546">
        <f>'PRINTOUT(BOM)'!C35</f>
        <v>0</v>
      </c>
      <c r="D33" s="831" t="str">
        <f>IFERROR((VLOOKUP(B:B,'0.39'!$B:$D,3,FALSE)),"")</f>
        <v/>
      </c>
      <c r="E33" s="799" t="str">
        <f t="shared" si="0"/>
        <v/>
      </c>
      <c r="F33" s="547" t="str">
        <f>IF(G33="","",(VLOOKUP(G:G,'0.39'!$B:$F,5,FALSE)))</f>
        <v/>
      </c>
      <c r="G33" s="546" t="str">
        <f>Steel_Skid!B26</f>
        <v/>
      </c>
      <c r="H33" s="837" t="str">
        <f>Steel_Skid!C26</f>
        <v/>
      </c>
      <c r="I33" s="831" t="str">
        <f>IFERROR((VLOOKUP(G:G,'0.39'!$B:$D,3,FALSE)),"")</f>
        <v/>
      </c>
      <c r="J33" s="830" t="str">
        <f t="shared" si="1"/>
        <v/>
      </c>
      <c r="K33" s="1509" t="s">
        <v>195</v>
      </c>
      <c r="L33" s="1509"/>
      <c r="M33" s="1509"/>
      <c r="N33" s="1509"/>
      <c r="O33" s="1509"/>
      <c r="P33" s="547" t="str">
        <f>'PRINTOUT(BOM)'!I42</f>
        <v>Sealing Tape</v>
      </c>
      <c r="Q33" s="1412" t="str">
        <f>'PRINTOUT(BOM)'!J42</f>
        <v>WST-0050RO</v>
      </c>
      <c r="R33" s="547">
        <f>'PRINTOUT(BOM)'!K42</f>
        <v>658.48</v>
      </c>
      <c r="S33" s="1408">
        <f>IF(Q33="","",(VLOOKUP(Q:Q,'0.39'!$B:$D,3,FALSE)))</f>
        <v>4</v>
      </c>
      <c r="T33" s="830">
        <f t="shared" si="4"/>
        <v>2633.92</v>
      </c>
    </row>
    <row r="34" spans="1:20" s="217" customFormat="1" ht="18" customHeight="1">
      <c r="A34" s="546" t="str">
        <f>'PRINTOUT(BOM)'!A36</f>
        <v/>
      </c>
      <c r="B34" s="546">
        <f>'PRINTOUT(BOM)'!B36</f>
        <v>0</v>
      </c>
      <c r="C34" s="546">
        <f>'PRINTOUT(BOM)'!C36</f>
        <v>0</v>
      </c>
      <c r="D34" s="831" t="str">
        <f>IFERROR((VLOOKUP(B:B,'0.39'!$B:$D,3,FALSE)),"")</f>
        <v/>
      </c>
      <c r="E34" s="799" t="str">
        <f t="shared" si="0"/>
        <v/>
      </c>
      <c r="F34" s="838"/>
      <c r="G34" s="839" t="s">
        <v>49</v>
      </c>
      <c r="H34" s="840"/>
      <c r="I34" s="840"/>
      <c r="J34" s="841">
        <f>SUM(J13:J33)</f>
        <v>12913.8</v>
      </c>
      <c r="K34" s="828" t="s">
        <v>188</v>
      </c>
      <c r="L34" s="828" t="s">
        <v>189</v>
      </c>
      <c r="M34" s="829" t="s">
        <v>190</v>
      </c>
      <c r="N34" s="828" t="s">
        <v>192</v>
      </c>
      <c r="O34" s="828" t="s">
        <v>191</v>
      </c>
      <c r="P34" s="547" t="str">
        <f>'PRINTOUT(BOM)'!I43</f>
        <v>Sealing Tape</v>
      </c>
      <c r="Q34" s="1412" t="str">
        <f>'PRINTOUT(BOM)'!J43</f>
        <v>WST-0120RO</v>
      </c>
      <c r="R34" s="547">
        <f>'PRINTOUT(BOM)'!K43</f>
        <v>13</v>
      </c>
      <c r="S34" s="1408">
        <f>IF(Q34="","",(VLOOKUP(Q:Q,'0.39'!$B:$D,3,FALSE)))</f>
        <v>8</v>
      </c>
      <c r="T34" s="830">
        <f t="shared" si="4"/>
        <v>104</v>
      </c>
    </row>
    <row r="35" spans="1:20" s="217" customFormat="1">
      <c r="A35" s="546" t="str">
        <f>'PRINTOUT(BOM)'!A37</f>
        <v/>
      </c>
      <c r="B35" s="546">
        <f>'PRINTOUT(BOM)'!B37</f>
        <v>0</v>
      </c>
      <c r="C35" s="546">
        <f>'PRINTOUT(BOM)'!C37</f>
        <v>0</v>
      </c>
      <c r="D35" s="831" t="str">
        <f>IFERROR((VLOOKUP(B:B,'0.39'!$B:$D,3,FALSE)),"")</f>
        <v/>
      </c>
      <c r="E35" s="799" t="str">
        <f t="shared" si="0"/>
        <v/>
      </c>
      <c r="F35" s="1510" t="s">
        <v>193</v>
      </c>
      <c r="G35" s="1510"/>
      <c r="H35" s="1510"/>
      <c r="I35" s="1510"/>
      <c r="J35" s="1510"/>
      <c r="K35" s="547" t="str">
        <f>'PRINTOUT(BOM)'!E60</f>
        <v>Internal Reinforcing</v>
      </c>
      <c r="L35" s="547">
        <f>'PRINTOUT(BOM)'!F60</f>
        <v>0</v>
      </c>
      <c r="M35" s="547">
        <f>'PRINTOUT(BOM)'!G60</f>
        <v>0</v>
      </c>
      <c r="N35" s="833" t="e">
        <f>IF(L35="","",(VLOOKUP(L:L,'0.39'!$B:$D,3,FALSE)))</f>
        <v>#N/A</v>
      </c>
      <c r="O35" s="830" t="str">
        <f t="shared" ref="O35:O48" si="5">IFERROR(M35*N35,"")</f>
        <v/>
      </c>
      <c r="P35" s="547" t="str">
        <f>'PRINTOUT(BOM)'!$I$41</f>
        <v>Level Indicator</v>
      </c>
      <c r="Q35" s="1412" t="str">
        <f>'PRINTOUT(BOM)'!$J$41</f>
        <v>WLV-3000SET(G)</v>
      </c>
      <c r="R35" s="547">
        <f>'PRINTOUT(BOM)'!$K$41</f>
        <v>1</v>
      </c>
      <c r="S35" s="1408">
        <f>IF(Q35="","",(VLOOKUP(Q:Q,'0.39'!$B:$D,3,FALSE)))</f>
        <v>450</v>
      </c>
      <c r="T35" s="830">
        <f t="shared" si="4"/>
        <v>450</v>
      </c>
    </row>
    <row r="36" spans="1:20" s="217" customFormat="1" ht="18" customHeight="1">
      <c r="A36" s="546" t="str">
        <f>'PRINTOUT(BOM)'!A38</f>
        <v/>
      </c>
      <c r="B36" s="546">
        <f>'PRINTOUT(BOM)'!B38</f>
        <v>0</v>
      </c>
      <c r="C36" s="546">
        <f>'PRINTOUT(BOM)'!C38</f>
        <v>0</v>
      </c>
      <c r="D36" s="831" t="str">
        <f>IFERROR((VLOOKUP(B:B,'0.39'!$B:$D,3,FALSE)),"")</f>
        <v/>
      </c>
      <c r="E36" s="799" t="str">
        <f t="shared" si="0"/>
        <v/>
      </c>
      <c r="F36" s="828" t="s">
        <v>188</v>
      </c>
      <c r="G36" s="828" t="s">
        <v>189</v>
      </c>
      <c r="H36" s="842" t="s">
        <v>190</v>
      </c>
      <c r="I36" s="843" t="s">
        <v>192</v>
      </c>
      <c r="J36" s="828" t="s">
        <v>191</v>
      </c>
      <c r="K36" s="547" t="str">
        <f>'PRINTOUT(BOM)'!E61</f>
        <v>Part Name</v>
      </c>
      <c r="L36" s="547" t="str">
        <f>'PRINTOUT(BOM)'!F61</f>
        <v>Part No.</v>
      </c>
      <c r="M36" s="547" t="str">
        <f>'PRINTOUT(BOM)'!G61</f>
        <v>Q'ty</v>
      </c>
      <c r="N36" s="833" t="str">
        <f>IF(L36="","",(VLOOKUP(L:L,'0.39'!$B:$D,3,FALSE)))</f>
        <v>Buying Price</v>
      </c>
      <c r="O36" s="830" t="str">
        <f t="shared" si="5"/>
        <v/>
      </c>
      <c r="P36" s="547" t="str">
        <f>'PRINTOUT(BOM)'!I45</f>
        <v/>
      </c>
      <c r="Q36" s="547">
        <f>'PRINTOUT(BOM)'!J45</f>
        <v>0</v>
      </c>
      <c r="R36" s="547">
        <f>'PRINTOUT(BOM)'!K45</f>
        <v>0</v>
      </c>
      <c r="S36" s="833" t="e">
        <f>IF(Q36="","",(VLOOKUP(Q:Q,'0.39'!$B:$D,3,FALSE)))</f>
        <v>#N/A</v>
      </c>
      <c r="T36" s="830" t="str">
        <f t="shared" si="4"/>
        <v/>
      </c>
    </row>
    <row r="37" spans="1:20" s="217" customFormat="1" ht="18" customHeight="1">
      <c r="A37" s="546" t="str">
        <f>'PRINTOUT(BOM)'!A39</f>
        <v/>
      </c>
      <c r="B37" s="546">
        <f>'PRINTOUT(BOM)'!B39</f>
        <v>0</v>
      </c>
      <c r="C37" s="546">
        <f>'PRINTOUT(BOM)'!C39</f>
        <v>0</v>
      </c>
      <c r="D37" s="831" t="str">
        <f>IFERROR((VLOOKUP(B:B,'0.39'!$B:$D,3,FALSE)),"")</f>
        <v/>
      </c>
      <c r="E37" s="799" t="str">
        <f t="shared" si="0"/>
        <v/>
      </c>
      <c r="F37" s="547" t="str">
        <f>'PRINTOUT(BOM)'!E32</f>
        <v>HDG  Bolt and Nuts Set</v>
      </c>
      <c r="G37" s="1412" t="str">
        <f>'PRINTOUT(BOM)'!F32</f>
        <v>WBT-1440Z</v>
      </c>
      <c r="H37" s="547">
        <f>'PRINTOUT(BOM)'!G32</f>
        <v>223</v>
      </c>
      <c r="I37" s="1411">
        <f>IFERROR((VLOOKUP(G:G,'0.39'!$B:$D,3,FALSE)),"")</f>
        <v>1.9</v>
      </c>
      <c r="J37" s="844">
        <f t="shared" ref="J37:J54" si="6">IFERROR(H37*I37,"")</f>
        <v>423.7</v>
      </c>
      <c r="K37" s="547" t="str">
        <f>'PRINTOUT(BOM)'!E62</f>
        <v>IN-BRKT(2 tierod)_SS316</v>
      </c>
      <c r="L37" s="1412" t="str">
        <f>'PRINTOUT(BOM)'!F62</f>
        <v>WCP-17160SA4</v>
      </c>
      <c r="M37" s="547">
        <f>'PRINTOUT(BOM)'!G62</f>
        <v>26</v>
      </c>
      <c r="N37" s="1408">
        <f>IF(L37="","",(VLOOKUP(L:L,'0.39'!$B:$D,3,FALSE)))</f>
        <v>75</v>
      </c>
      <c r="O37" s="830">
        <f t="shared" si="5"/>
        <v>1950</v>
      </c>
      <c r="P37" s="547" t="str">
        <f>'PRINTOUT(BOM)'!I46</f>
        <v/>
      </c>
      <c r="Q37" s="547">
        <f>'PRINTOUT(BOM)'!J46</f>
        <v>0</v>
      </c>
      <c r="R37" s="547">
        <f>'PRINTOUT(BOM)'!K46</f>
        <v>0</v>
      </c>
      <c r="S37" s="833" t="e">
        <f>IF(Q37="","",(VLOOKUP(Q:Q,'0.39'!$B:$D,3,FALSE)))</f>
        <v>#N/A</v>
      </c>
      <c r="T37" s="830" t="str">
        <f t="shared" si="4"/>
        <v/>
      </c>
    </row>
    <row r="38" spans="1:20" s="217" customFormat="1" ht="18" customHeight="1">
      <c r="A38" s="546" t="str">
        <f>'PRINTOUT(BOM)'!A40</f>
        <v/>
      </c>
      <c r="B38" s="546">
        <f>'PRINTOUT(BOM)'!B40</f>
        <v>0</v>
      </c>
      <c r="C38" s="546">
        <f>'PRINTOUT(BOM)'!C40</f>
        <v>0</v>
      </c>
      <c r="D38" s="831" t="str">
        <f>IFERROR((VLOOKUP(B:B,'0.39'!$B:$D,3,FALSE)),"")</f>
        <v/>
      </c>
      <c r="E38" s="799" t="str">
        <f t="shared" si="0"/>
        <v/>
      </c>
      <c r="F38" s="547" t="str">
        <f>'PRINTOUT(BOM)'!E33</f>
        <v>M10x35mm(HDG)</v>
      </c>
      <c r="G38" s="1412" t="str">
        <f>'PRINTOUT(BOM)'!F33</f>
        <v>WBT-1035Z</v>
      </c>
      <c r="H38" s="547">
        <f>'PRINTOUT(BOM)'!G33</f>
        <v>196</v>
      </c>
      <c r="I38" s="1411">
        <f>IFERROR((VLOOKUP(G:G,'0.39'!$B:$D,3,FALSE)),"")</f>
        <v>0.72</v>
      </c>
      <c r="J38" s="844">
        <f t="shared" si="6"/>
        <v>141.12</v>
      </c>
      <c r="K38" s="547" t="str">
        <f>'PRINTOUT(BOM)'!E63</f>
        <v>IN-BRKT(1 tierod)_SS316</v>
      </c>
      <c r="L38" s="1412" t="str">
        <f>'PRINTOUT(BOM)'!F63</f>
        <v>WCP-1760SA4</v>
      </c>
      <c r="M38" s="547">
        <f>'PRINTOUT(BOM)'!G63</f>
        <v>26</v>
      </c>
      <c r="N38" s="1408">
        <f>IF(L38="","",(VLOOKUP(L:L,'0.39'!$B:$D,3,FALSE)))</f>
        <v>37</v>
      </c>
      <c r="O38" s="830">
        <f t="shared" si="5"/>
        <v>962</v>
      </c>
      <c r="P38" s="547" t="str">
        <f>IF(Q38="","",(VLOOKUP(Q:Q,'0.39'!$B:$F,5,FALSE)))</f>
        <v/>
      </c>
      <c r="Q38" s="825" t="str">
        <f>ETC!B11</f>
        <v/>
      </c>
      <c r="R38" s="845" t="str">
        <f>ETC!C11</f>
        <v/>
      </c>
      <c r="S38" s="833" t="str">
        <f>IF(Q38="","",(VLOOKUP(Q:Q,'0.39'!$B:$D,3,FALSE)))</f>
        <v/>
      </c>
      <c r="T38" s="830" t="str">
        <f t="shared" si="4"/>
        <v/>
      </c>
    </row>
    <row r="39" spans="1:20" s="217" customFormat="1" ht="18" customHeight="1">
      <c r="A39" s="546" t="str">
        <f>'PRINTOUT(BOM)'!A42</f>
        <v/>
      </c>
      <c r="B39" s="546">
        <f>'PRINTOUT(BOM)'!B42</f>
        <v>0</v>
      </c>
      <c r="C39" s="546">
        <f>'PRINTOUT(BOM)'!C42</f>
        <v>0</v>
      </c>
      <c r="D39" s="831" t="str">
        <f>IFERROR((VLOOKUP(B:B,'0.39'!$B:$D,3,FALSE)),"")</f>
        <v/>
      </c>
      <c r="E39" s="799" t="str">
        <f t="shared" si="0"/>
        <v/>
      </c>
      <c r="F39" s="547" t="str">
        <f>'PRINTOUT(BOM)'!E34</f>
        <v>M10x50mm(HDG)</v>
      </c>
      <c r="G39" s="1412" t="str">
        <f>'PRINTOUT(BOM)'!F34</f>
        <v>WBT-1050Z</v>
      </c>
      <c r="H39" s="547">
        <f>'PRINTOUT(BOM)'!G34</f>
        <v>1784</v>
      </c>
      <c r="I39" s="1411">
        <f>IFERROR((VLOOKUP(G:G,'0.39'!$B:$D,3,FALSE)),"")</f>
        <v>0.85</v>
      </c>
      <c r="J39" s="844">
        <f t="shared" si="6"/>
        <v>1516.3999999999999</v>
      </c>
      <c r="K39" s="547" t="str">
        <f>'PRINTOUT(BOM)'!E64</f>
        <v>Corner BRKT(SS316)</v>
      </c>
      <c r="L39" s="1412" t="str">
        <f>'PRINTOUT(BOM)'!F64</f>
        <v>WBR-9090SA4</v>
      </c>
      <c r="M39" s="547">
        <f>'PRINTOUT(BOM)'!G64</f>
        <v>4</v>
      </c>
      <c r="N39" s="1408">
        <f>IF(L39="","",(VLOOKUP(L:L,'0.39'!$B:$D,3,FALSE)))</f>
        <v>45</v>
      </c>
      <c r="O39" s="830">
        <f t="shared" si="5"/>
        <v>180</v>
      </c>
      <c r="P39" s="826"/>
      <c r="Q39" s="826"/>
      <c r="R39" s="834"/>
      <c r="S39" s="835"/>
      <c r="T39" s="835">
        <f>SUM(T28:T38)</f>
        <v>4501.92</v>
      </c>
    </row>
    <row r="40" spans="1:20" s="217" customFormat="1" ht="18" customHeight="1">
      <c r="A40" s="546" t="str">
        <f>'PRINTOUT(BOM)'!A43</f>
        <v/>
      </c>
      <c r="B40" s="546">
        <f>'PRINTOUT(BOM)'!B43</f>
        <v>0</v>
      </c>
      <c r="C40" s="546">
        <f>'PRINTOUT(BOM)'!C43</f>
        <v>0</v>
      </c>
      <c r="D40" s="831" t="str">
        <f>IFERROR((VLOOKUP(B:B,'0.39'!$B:$D,3,FALSE)),"")</f>
        <v/>
      </c>
      <c r="E40" s="799" t="str">
        <f t="shared" si="0"/>
        <v/>
      </c>
      <c r="F40" s="547" t="str">
        <f>'PRINTOUT(BOM)'!E35</f>
        <v>M10x35mm(SS316)</v>
      </c>
      <c r="G40" s="1412" t="str">
        <f>'PRINTOUT(BOM)'!F35</f>
        <v>WBT-1035SA4</v>
      </c>
      <c r="H40" s="547">
        <f>'PRINTOUT(BOM)'!G35</f>
        <v>340</v>
      </c>
      <c r="I40" s="1411">
        <f>IFERROR((VLOOKUP(G:G,'0.39'!$B:$D,3,FALSE)),"")</f>
        <v>2.2000000000000002</v>
      </c>
      <c r="J40" s="844">
        <f t="shared" si="6"/>
        <v>748.00000000000011</v>
      </c>
      <c r="K40" s="547" t="str">
        <f>'PRINTOUT(BOM)'!E65</f>
        <v/>
      </c>
      <c r="L40" s="1412">
        <f>'PRINTOUT(BOM)'!F65</f>
        <v>0</v>
      </c>
      <c r="M40" s="547">
        <f>'PRINTOUT(BOM)'!G65</f>
        <v>0</v>
      </c>
      <c r="N40" s="1408" t="e">
        <f>IF(L40="","",(VLOOKUP(L:L,'0.39'!$B:$D,3,FALSE)))</f>
        <v>#N/A</v>
      </c>
      <c r="O40" s="830" t="str">
        <f t="shared" si="5"/>
        <v/>
      </c>
      <c r="P40" s="801"/>
      <c r="Q40" s="801"/>
      <c r="R40" s="846"/>
      <c r="S40" s="801"/>
      <c r="T40" s="801"/>
    </row>
    <row r="41" spans="1:20" s="217" customFormat="1" ht="18" customHeight="1">
      <c r="A41" s="546" t="str">
        <f>'PRINTOUT(BOM)'!A44</f>
        <v/>
      </c>
      <c r="B41" s="546">
        <f>'PRINTOUT(BOM)'!B44</f>
        <v>0</v>
      </c>
      <c r="C41" s="546">
        <f>'PRINTOUT(BOM)'!C44</f>
        <v>0</v>
      </c>
      <c r="D41" s="831" t="str">
        <f>IFERROR((VLOOKUP(B:B,'0.39'!$B:$D,3,FALSE)),"")</f>
        <v/>
      </c>
      <c r="E41" s="799" t="str">
        <f t="shared" si="0"/>
        <v/>
      </c>
      <c r="F41" s="547" t="str">
        <f>'PRINTOUT(BOM)'!E36</f>
        <v>M10x50mm(SS316)</v>
      </c>
      <c r="G41" s="1412" t="str">
        <f>'PRINTOUT(BOM)'!F36</f>
        <v>WBT-1050SA4</v>
      </c>
      <c r="H41" s="547">
        <f>'PRINTOUT(BOM)'!G36</f>
        <v>120</v>
      </c>
      <c r="I41" s="1411">
        <f>IFERROR((VLOOKUP(G:G,'0.39'!$B:$D,3,FALSE)),"")</f>
        <v>2.65</v>
      </c>
      <c r="J41" s="844">
        <f t="shared" si="6"/>
        <v>318</v>
      </c>
      <c r="K41" s="547" t="str">
        <f>'PRINTOUT(BOM)'!E66</f>
        <v/>
      </c>
      <c r="L41" s="1412">
        <f>'PRINTOUT(BOM)'!F66</f>
        <v>0</v>
      </c>
      <c r="M41" s="547">
        <f>'PRINTOUT(BOM)'!G66</f>
        <v>0</v>
      </c>
      <c r="N41" s="1408" t="e">
        <f>IF(L41="","",(VLOOKUP(L:L,'0.39'!$B:$D,3,FALSE)))</f>
        <v>#N/A</v>
      </c>
      <c r="O41" s="830" t="str">
        <f t="shared" si="5"/>
        <v/>
      </c>
      <c r="P41" s="1510" t="s">
        <v>197</v>
      </c>
      <c r="Q41" s="1510"/>
      <c r="R41" s="1510"/>
      <c r="S41" s="1510"/>
      <c r="T41" s="1510"/>
    </row>
    <row r="42" spans="1:20" s="217" customFormat="1" ht="18" customHeight="1">
      <c r="A42" s="546" t="str">
        <f>'PRINTOUT(BOM)'!A45</f>
        <v/>
      </c>
      <c r="B42" s="546">
        <f>'PRINTOUT(BOM)'!B45</f>
        <v>0</v>
      </c>
      <c r="C42" s="546">
        <f>'PRINTOUT(BOM)'!C45</f>
        <v>0</v>
      </c>
      <c r="D42" s="831" t="str">
        <f>IFERROR((VLOOKUP(B:B,'0.39'!$B:$D,3,FALSE)),"")</f>
        <v/>
      </c>
      <c r="E42" s="799" t="str">
        <f t="shared" si="0"/>
        <v/>
      </c>
      <c r="F42" s="547" t="str">
        <f>'PRINTOUT(BOM)'!E37</f>
        <v>M12x40mm(HDG)</v>
      </c>
      <c r="G42" s="1412" t="str">
        <f>'PRINTOUT(BOM)'!F37</f>
        <v>WBT-1240Z</v>
      </c>
      <c r="H42" s="547">
        <f>'PRINTOUT(BOM)'!G37</f>
        <v>60</v>
      </c>
      <c r="I42" s="1411">
        <f>IFERROR((VLOOKUP(G:G,'0.39'!$B:$D,3,FALSE)),"")</f>
        <v>1.9</v>
      </c>
      <c r="J42" s="844">
        <f t="shared" si="6"/>
        <v>114</v>
      </c>
      <c r="K42" s="547" t="str">
        <f>'PRINTOUT(BOM)'!E67</f>
        <v/>
      </c>
      <c r="L42" s="1412">
        <f>'PRINTOUT(BOM)'!F67</f>
        <v>0</v>
      </c>
      <c r="M42" s="547">
        <f>'PRINTOUT(BOM)'!G67</f>
        <v>0</v>
      </c>
      <c r="N42" s="1408" t="e">
        <f>IF(L42="","",(VLOOKUP(L:L,'0.39'!$B:$D,3,FALSE)))</f>
        <v>#N/A</v>
      </c>
      <c r="O42" s="830" t="str">
        <f t="shared" si="5"/>
        <v/>
      </c>
      <c r="P42" s="828" t="s">
        <v>188</v>
      </c>
      <c r="Q42" s="828" t="s">
        <v>189</v>
      </c>
      <c r="R42" s="829" t="s">
        <v>190</v>
      </c>
      <c r="S42" s="828" t="s">
        <v>192</v>
      </c>
      <c r="T42" s="828" t="s">
        <v>191</v>
      </c>
    </row>
    <row r="43" spans="1:20" s="217" customFormat="1" ht="18" customHeight="1">
      <c r="A43" s="546" t="str">
        <f>'PRINTOUT(BOM)'!A46</f>
        <v/>
      </c>
      <c r="B43" s="546">
        <f>'PRINTOUT(BOM)'!B46</f>
        <v>0</v>
      </c>
      <c r="C43" s="546">
        <f>'PRINTOUT(BOM)'!C46</f>
        <v>0</v>
      </c>
      <c r="D43" s="831" t="str">
        <f>IFERROR((VLOOKUP(B:B,'0.39'!$B:$D,3,FALSE)),"")</f>
        <v/>
      </c>
      <c r="E43" s="799" t="str">
        <f t="shared" si="0"/>
        <v/>
      </c>
      <c r="F43" s="547" t="str">
        <f>'PRINTOUT(BOM)'!E38</f>
        <v>M14x120mm(Rubber HDG)</v>
      </c>
      <c r="G43" s="1412" t="str">
        <f>'PRINTOUT(BOM)'!F38</f>
        <v>WBT-14120RD</v>
      </c>
      <c r="H43" s="547">
        <f>'PRINTOUT(BOM)'!G38</f>
        <v>172</v>
      </c>
      <c r="I43" s="1411">
        <f>IFERROR((VLOOKUP(G:G,'0.39'!$B:$D,3,FALSE)),"")</f>
        <v>14</v>
      </c>
      <c r="J43" s="844">
        <f t="shared" si="6"/>
        <v>2408</v>
      </c>
      <c r="K43" s="547" t="str">
        <f>'PRINTOUT(BOM)'!E68</f>
        <v/>
      </c>
      <c r="L43" s="1412">
        <f>'PRINTOUT(BOM)'!F68</f>
        <v>0</v>
      </c>
      <c r="M43" s="547">
        <f>'PRINTOUT(BOM)'!G68</f>
        <v>0</v>
      </c>
      <c r="N43" s="1408" t="e">
        <f>IF(L43="","",(VLOOKUP(L:L,'0.39'!$B:$D,3,FALSE)))</f>
        <v>#N/A</v>
      </c>
      <c r="O43" s="830" t="str">
        <f t="shared" si="5"/>
        <v/>
      </c>
      <c r="P43" s="547" t="str">
        <f>'PRINTOUT(BOM)'!I60</f>
        <v/>
      </c>
      <c r="Q43" s="547">
        <f>'PRINTOUT(BOM)'!J60</f>
        <v>0</v>
      </c>
      <c r="R43" s="547">
        <f>'PRINTOUT(BOM)'!K60</f>
        <v>0</v>
      </c>
      <c r="S43" s="830" t="e">
        <f>IF(Q43="","",(VLOOKUP(Q:Q,'0.39'!$B:$C,3,FALSE)))</f>
        <v>#N/A</v>
      </c>
      <c r="T43" s="830" t="str">
        <f>IFERROR(R43*S43,"")</f>
        <v/>
      </c>
    </row>
    <row r="44" spans="1:20" s="217" customFormat="1" ht="18" customHeight="1">
      <c r="A44" s="546" t="str">
        <f>'PRINTOUT(BOM)'!A47</f>
        <v/>
      </c>
      <c r="B44" s="546">
        <f>'PRINTOUT(BOM)'!B47</f>
        <v>0</v>
      </c>
      <c r="C44" s="546">
        <f>'PRINTOUT(BOM)'!C47</f>
        <v>0</v>
      </c>
      <c r="D44" s="831" t="str">
        <f>IFERROR((VLOOKUP(B:B,'0.39'!$B:$D,3,FALSE)),"")</f>
        <v/>
      </c>
      <c r="E44" s="799" t="str">
        <f t="shared" si="0"/>
        <v/>
      </c>
      <c r="F44" s="547" t="str">
        <f>'PRINTOUT(BOM)'!E39</f>
        <v/>
      </c>
      <c r="G44" s="1412">
        <f>'PRINTOUT(BOM)'!F39</f>
        <v>0</v>
      </c>
      <c r="H44" s="547">
        <f>'PRINTOUT(BOM)'!G39</f>
        <v>0</v>
      </c>
      <c r="I44" s="1411" t="str">
        <f>IFERROR((VLOOKUP(G:G,'0.39'!$B:$D,3,FALSE)),"")</f>
        <v/>
      </c>
      <c r="J44" s="844" t="str">
        <f t="shared" si="6"/>
        <v/>
      </c>
      <c r="K44" s="547" t="str">
        <f>'PRINTOUT(BOM)'!E69</f>
        <v/>
      </c>
      <c r="L44" s="1412">
        <f>'PRINTOUT(BOM)'!F69</f>
        <v>0</v>
      </c>
      <c r="M44" s="547">
        <f>'PRINTOUT(BOM)'!G69</f>
        <v>0</v>
      </c>
      <c r="N44" s="1408" t="e">
        <f>IF(L44="","",(VLOOKUP(L:L,'0.39'!$B:$D,3,FALSE)))</f>
        <v>#N/A</v>
      </c>
      <c r="O44" s="830" t="str">
        <f t="shared" si="5"/>
        <v/>
      </c>
      <c r="P44" s="547" t="str">
        <f>'PRINTOUT(BOM)'!I61</f>
        <v/>
      </c>
      <c r="Q44" s="547">
        <f>'PRINTOUT(BOM)'!J61</f>
        <v>0</v>
      </c>
      <c r="R44" s="547">
        <f>'PRINTOUT(BOM)'!K61</f>
        <v>0</v>
      </c>
      <c r="S44" s="830" t="e">
        <f>IF(Q44="","",(VLOOKUP(Q:Q,'0.39'!$B:$C,3,FALSE)))</f>
        <v>#N/A</v>
      </c>
      <c r="T44" s="830" t="str">
        <f t="shared" ref="T44:T54" si="7">IFERROR(R44*S44,"")</f>
        <v/>
      </c>
    </row>
    <row r="45" spans="1:20" s="217" customFormat="1" ht="18" customHeight="1">
      <c r="A45" s="546" t="str">
        <f>'PRINTOUT(BOM)'!A48</f>
        <v/>
      </c>
      <c r="B45" s="546">
        <f>'PRINTOUT(BOM)'!B48</f>
        <v>0</v>
      </c>
      <c r="C45" s="546">
        <f>'PRINTOUT(BOM)'!C48</f>
        <v>0</v>
      </c>
      <c r="D45" s="831" t="str">
        <f>IFERROR((VLOOKUP(B:B,'0.39'!$B:$D,3,FALSE)),"")</f>
        <v/>
      </c>
      <c r="E45" s="799" t="str">
        <f t="shared" si="0"/>
        <v/>
      </c>
      <c r="F45" s="547" t="str">
        <f>'PRINTOUT(BOM)'!E40</f>
        <v/>
      </c>
      <c r="G45" s="1412">
        <f>'PRINTOUT(BOM)'!F40</f>
        <v>0</v>
      </c>
      <c r="H45" s="547">
        <f>'PRINTOUT(BOM)'!G40</f>
        <v>0</v>
      </c>
      <c r="I45" s="1411" t="str">
        <f>IFERROR((VLOOKUP(G:G,'0.39'!$B:$D,3,FALSE)),"")</f>
        <v/>
      </c>
      <c r="J45" s="844" t="str">
        <f t="shared" si="6"/>
        <v/>
      </c>
      <c r="K45" s="547" t="str">
        <f>'PRINTOUT(BOM)'!E70</f>
        <v/>
      </c>
      <c r="L45" s="1414">
        <f>'PRINTOUT(BOM)'!$F$70</f>
        <v>0</v>
      </c>
      <c r="M45" s="825">
        <f>'PRINTOUT(BOM)'!$G$70</f>
        <v>0</v>
      </c>
      <c r="N45" s="1408" t="e">
        <f>IF(L45="","",(VLOOKUP(L:L,'0.39'!$B:$D,3,FALSE)))</f>
        <v>#N/A</v>
      </c>
      <c r="O45" s="830" t="str">
        <f t="shared" si="5"/>
        <v/>
      </c>
      <c r="P45" s="547" t="str">
        <f>'PRINTOUT(BOM)'!I62</f>
        <v/>
      </c>
      <c r="Q45" s="547">
        <f>'PRINTOUT(BOM)'!J62</f>
        <v>0</v>
      </c>
      <c r="R45" s="547">
        <f>'PRINTOUT(BOM)'!K62</f>
        <v>0</v>
      </c>
      <c r="S45" s="830" t="e">
        <f>IF(Q45="","",(VLOOKUP(Q:Q,'0.39'!$B:$C,3,FALSE)))</f>
        <v>#N/A</v>
      </c>
      <c r="T45" s="830" t="str">
        <f t="shared" si="7"/>
        <v/>
      </c>
    </row>
    <row r="46" spans="1:20" s="217" customFormat="1" ht="18" customHeight="1">
      <c r="A46" s="546" t="str">
        <f>'PRINTOUT(BOM)'!A49</f>
        <v/>
      </c>
      <c r="B46" s="546">
        <f>'PRINTOUT(BOM)'!B49</f>
        <v>0</v>
      </c>
      <c r="C46" s="546">
        <f>'PRINTOUT(BOM)'!C49</f>
        <v>0</v>
      </c>
      <c r="D46" s="831" t="str">
        <f>IFERROR((VLOOKUP(B:B,'0.39'!$B:$D,3,FALSE)),"")</f>
        <v/>
      </c>
      <c r="E46" s="799" t="str">
        <f t="shared" si="0"/>
        <v/>
      </c>
      <c r="F46" s="547" t="str">
        <f>'PRINTOUT(BOM)'!E42</f>
        <v/>
      </c>
      <c r="G46" s="547">
        <f>'PRINTOUT(BOM)'!F42</f>
        <v>0</v>
      </c>
      <c r="H46" s="547">
        <f>'PRINTOUT(BOM)'!G42</f>
        <v>0</v>
      </c>
      <c r="I46" s="831" t="str">
        <f>IFERROR((VLOOKUP(G:G,'0.39'!$B:$D,3,FALSE)),"")</f>
        <v/>
      </c>
      <c r="J46" s="844" t="str">
        <f t="shared" si="6"/>
        <v/>
      </c>
      <c r="K46" s="547" t="str">
        <f>'PRINTOUT(BOM)'!E71</f>
        <v/>
      </c>
      <c r="L46" s="1414">
        <f>'PRINTOUT(BOM)'!$F$71</f>
        <v>0</v>
      </c>
      <c r="M46" s="825">
        <f>'PRINTOUT(BOM)'!$G$71</f>
        <v>0</v>
      </c>
      <c r="N46" s="1408" t="e">
        <f>IF(L46="","",(VLOOKUP(L:L,'0.39'!$B:$D,3,FALSE)))</f>
        <v>#N/A</v>
      </c>
      <c r="O46" s="830" t="str">
        <f t="shared" si="5"/>
        <v/>
      </c>
      <c r="P46" s="547" t="str">
        <f>'PRINTOUT(BOM)'!I63</f>
        <v/>
      </c>
      <c r="Q46" s="547">
        <f>'PRINTOUT(BOM)'!J63</f>
        <v>0</v>
      </c>
      <c r="R46" s="547">
        <f>'PRINTOUT(BOM)'!K63</f>
        <v>0</v>
      </c>
      <c r="S46" s="830" t="e">
        <f>IF(Q46="","",(VLOOKUP(Q:Q,'0.39'!$B:$C,3,FALSE)))</f>
        <v>#N/A</v>
      </c>
      <c r="T46" s="830" t="str">
        <f t="shared" si="7"/>
        <v/>
      </c>
    </row>
    <row r="47" spans="1:20" s="217" customFormat="1" ht="18" customHeight="1">
      <c r="A47" s="546" t="str">
        <f>'PRINTOUT(BOM)'!A50</f>
        <v/>
      </c>
      <c r="B47" s="546">
        <f>'PRINTOUT(BOM)'!B50</f>
        <v>0</v>
      </c>
      <c r="C47" s="546">
        <f>'PRINTOUT(BOM)'!C50</f>
        <v>0</v>
      </c>
      <c r="D47" s="831" t="str">
        <f>IFERROR((VLOOKUP(B:B,'0.39'!$B:$D,3,FALSE)),"")</f>
        <v/>
      </c>
      <c r="E47" s="799" t="str">
        <f t="shared" si="0"/>
        <v/>
      </c>
      <c r="F47" s="547"/>
      <c r="G47" s="844" t="str">
        <f>IFERROR(BoltnNuts!B15,"")</f>
        <v/>
      </c>
      <c r="H47" s="847" t="str">
        <f>IFERROR(BoltnNuts!C15,"")</f>
        <v/>
      </c>
      <c r="I47" s="831" t="str">
        <f>IFERROR((VLOOKUP(G:G,'0.39'!$B:$D,3,FALSE)),"")</f>
        <v/>
      </c>
      <c r="J47" s="844"/>
      <c r="K47" s="547" t="str">
        <f>'PRINTOUT(BOM)'!E72</f>
        <v/>
      </c>
      <c r="L47" s="1414">
        <f>'PRINTOUT(BOM)'!$F$72</f>
        <v>0</v>
      </c>
      <c r="M47" s="825">
        <f>'PRINTOUT(BOM)'!G72</f>
        <v>0</v>
      </c>
      <c r="N47" s="1408" t="e">
        <f>IF(L47="","",(VLOOKUP(L:L,'0.39'!$B:$D,3,FALSE)))</f>
        <v>#N/A</v>
      </c>
      <c r="O47" s="830" t="str">
        <f t="shared" si="5"/>
        <v/>
      </c>
      <c r="P47" s="547" t="str">
        <f>'PRINTOUT(BOM)'!I64</f>
        <v/>
      </c>
      <c r="Q47" s="547">
        <f>'PRINTOUT(BOM)'!J64</f>
        <v>0</v>
      </c>
      <c r="R47" s="547">
        <f>'PRINTOUT(BOM)'!K64</f>
        <v>0</v>
      </c>
      <c r="S47" s="830" t="e">
        <f>IF(Q47="","",(VLOOKUP(Q:Q,'0.39'!$B:$C,3,FALSE)))</f>
        <v>#N/A</v>
      </c>
      <c r="T47" s="830" t="str">
        <f t="shared" si="7"/>
        <v/>
      </c>
    </row>
    <row r="48" spans="1:20" s="217" customFormat="1" ht="18" customHeight="1">
      <c r="A48" s="546" t="str">
        <f>'PRINTOUT(BOM)'!A51</f>
        <v/>
      </c>
      <c r="B48" s="546">
        <f>'PRINTOUT(BOM)'!B51</f>
        <v>0</v>
      </c>
      <c r="C48" s="546">
        <f>'PRINTOUT(BOM)'!C51</f>
        <v>0</v>
      </c>
      <c r="D48" s="831" t="str">
        <f>IFERROR((VLOOKUP(B:B,'0.39'!$B:$D,3,FALSE)),"")</f>
        <v/>
      </c>
      <c r="E48" s="799" t="str">
        <f t="shared" si="0"/>
        <v/>
      </c>
      <c r="F48" s="547"/>
      <c r="G48" s="844" t="str">
        <f>IFERROR(BoltnNuts!B16,"")</f>
        <v/>
      </c>
      <c r="H48" s="847" t="str">
        <f>IFERROR(BoltnNuts!C16,"")</f>
        <v/>
      </c>
      <c r="I48" s="831" t="str">
        <f>IFERROR((VLOOKUP(G:G,'0.39'!$B:$D,3,FALSE)),"")</f>
        <v/>
      </c>
      <c r="J48" s="844"/>
      <c r="K48" s="825" t="str">
        <f>'PRINTOUT(BOM)'!E73</f>
        <v/>
      </c>
      <c r="L48" s="1414">
        <f>'PRINTOUT(BOM)'!$F$73</f>
        <v>0</v>
      </c>
      <c r="M48" s="825">
        <f>'PRINTOUT(BOM)'!G73</f>
        <v>0</v>
      </c>
      <c r="N48" s="1408" t="e">
        <f>IF(L48="","",(VLOOKUP(L:L,'0.39'!$B:$D,3,FALSE)))</f>
        <v>#N/A</v>
      </c>
      <c r="O48" s="830" t="str">
        <f t="shared" si="5"/>
        <v/>
      </c>
      <c r="P48" s="547" t="str">
        <f>'PRINTOUT(BOM)'!I65</f>
        <v/>
      </c>
      <c r="Q48" s="547">
        <f>'PRINTOUT(BOM)'!J65</f>
        <v>0</v>
      </c>
      <c r="R48" s="547">
        <f>'PRINTOUT(BOM)'!K65</f>
        <v>0</v>
      </c>
      <c r="S48" s="830" t="e">
        <f>IF(Q48="","",(VLOOKUP(Q:Q,'0.39'!$B:$C,3,FALSE)))</f>
        <v>#N/A</v>
      </c>
      <c r="T48" s="830" t="str">
        <f t="shared" si="7"/>
        <v/>
      </c>
    </row>
    <row r="49" spans="1:20" s="217" customFormat="1" ht="18" customHeight="1">
      <c r="A49" s="546" t="str">
        <f>'PRINTOUT(BOM)'!A52</f>
        <v/>
      </c>
      <c r="B49" s="546">
        <f>'PRINTOUT(BOM)'!B52</f>
        <v>0</v>
      </c>
      <c r="C49" s="546">
        <f>'PRINTOUT(BOM)'!C52</f>
        <v>0</v>
      </c>
      <c r="D49" s="831" t="str">
        <f>IFERROR((VLOOKUP(B:B,'0.39'!$B:$D,3,FALSE)),"")</f>
        <v/>
      </c>
      <c r="E49" s="799" t="str">
        <f t="shared" si="0"/>
        <v/>
      </c>
      <c r="F49" s="547" t="str">
        <f>IF(G49="","",(VLOOKUP(G:G,'0.39'!$B:$F,5,FALSE)))</f>
        <v/>
      </c>
      <c r="G49" s="844" t="str">
        <f>IFERROR(BoltnNuts!B17,"")</f>
        <v/>
      </c>
      <c r="H49" s="847" t="str">
        <f>IFERROR(BoltnNuts!C17,"")</f>
        <v/>
      </c>
      <c r="I49" s="831" t="str">
        <f>IFERROR((VLOOKUP(G:G,'0.39'!$B:$D,3,FALSE)),"")</f>
        <v/>
      </c>
      <c r="J49" s="844"/>
      <c r="K49" s="825"/>
      <c r="L49" s="825"/>
      <c r="M49" s="825"/>
      <c r="N49" s="833" t="str">
        <f>IF(L49="","",(VLOOKUP(L:L,'0.39'!$B:$D,3,FALSE)))</f>
        <v/>
      </c>
      <c r="O49" s="830"/>
      <c r="P49" s="547" t="str">
        <f>'PRINTOUT(BOM)'!I66</f>
        <v/>
      </c>
      <c r="Q49" s="547">
        <f>'PRINTOUT(BOM)'!J66</f>
        <v>0</v>
      </c>
      <c r="R49" s="547">
        <f>'PRINTOUT(BOM)'!K66</f>
        <v>0</v>
      </c>
      <c r="S49" s="830" t="e">
        <f>IF(Q49="","",(VLOOKUP(Q:Q,'0.39'!$B:$C,3,FALSE)))</f>
        <v>#N/A</v>
      </c>
      <c r="T49" s="830" t="str">
        <f t="shared" si="7"/>
        <v/>
      </c>
    </row>
    <row r="50" spans="1:20" s="217" customFormat="1" ht="18" customHeight="1">
      <c r="A50" s="546" t="str">
        <f>'PRINTOUT(BOM)'!A53</f>
        <v/>
      </c>
      <c r="B50" s="546">
        <f>'PRINTOUT(BOM)'!B53</f>
        <v>0</v>
      </c>
      <c r="C50" s="546">
        <f>'PRINTOUT(BOM)'!C53</f>
        <v>0</v>
      </c>
      <c r="D50" s="831" t="str">
        <f>IFERROR((VLOOKUP(B:B,'0.39'!$B:$D,3,FALSE)),"")</f>
        <v/>
      </c>
      <c r="E50" s="799" t="str">
        <f t="shared" si="0"/>
        <v/>
      </c>
      <c r="F50" s="547" t="str">
        <f>IF(G50="","",(VLOOKUP(G:G,'0.39'!$B:$F,5,FALSE)))</f>
        <v/>
      </c>
      <c r="G50" s="844" t="str">
        <f>IFERROR(BoltnNuts!B18,"")</f>
        <v/>
      </c>
      <c r="H50" s="847" t="str">
        <f>IFERROR(BoltnNuts!C18,"")</f>
        <v/>
      </c>
      <c r="I50" s="831" t="str">
        <f>IFERROR((VLOOKUP(G:G,'0.39'!$B:$D,3,FALSE)),"")</f>
        <v/>
      </c>
      <c r="J50" s="844"/>
      <c r="K50" s="825"/>
      <c r="L50" s="825"/>
      <c r="M50" s="825"/>
      <c r="N50" s="833" t="str">
        <f>IF(L50="","",(VLOOKUP(L:L,'0.39'!$B:$D,3,FALSE)))</f>
        <v/>
      </c>
      <c r="O50" s="830"/>
      <c r="P50" s="547" t="str">
        <f>'PRINTOUT(BOM)'!I67</f>
        <v/>
      </c>
      <c r="Q50" s="547">
        <f>'PRINTOUT(BOM)'!J67</f>
        <v>0</v>
      </c>
      <c r="R50" s="547">
        <f>'PRINTOUT(BOM)'!K67</f>
        <v>0</v>
      </c>
      <c r="S50" s="830" t="e">
        <f>IF(Q50="","",(VLOOKUP(Q:Q,'0.39'!$B:$C,3,FALSE)))</f>
        <v>#N/A</v>
      </c>
      <c r="T50" s="830" t="str">
        <f t="shared" si="7"/>
        <v/>
      </c>
    </row>
    <row r="51" spans="1:20" s="217" customFormat="1" ht="18" customHeight="1">
      <c r="A51" s="546" t="str">
        <f>'PRINTOUT(BOM)'!A54</f>
        <v/>
      </c>
      <c r="B51" s="546">
        <f>'PRINTOUT(BOM)'!B54</f>
        <v>0</v>
      </c>
      <c r="C51" s="546">
        <f>'PRINTOUT(BOM)'!C54</f>
        <v>0</v>
      </c>
      <c r="D51" s="831" t="str">
        <f>IFERROR((VLOOKUP(B:B,'0.39'!$B:$D,3,FALSE)),"")</f>
        <v/>
      </c>
      <c r="E51" s="799" t="str">
        <f t="shared" si="0"/>
        <v/>
      </c>
      <c r="F51" s="547" t="str">
        <f>IF(G51="","",(VLOOKUP(G:G,'0.39'!$B:$F,5,FALSE)))</f>
        <v/>
      </c>
      <c r="G51" s="844" t="str">
        <f>IFERROR(BoltnNuts!B19,"")</f>
        <v/>
      </c>
      <c r="H51" s="847" t="str">
        <f>IFERROR(BoltnNuts!C19,"")</f>
        <v/>
      </c>
      <c r="I51" s="831" t="str">
        <f>IFERROR((VLOOKUP(G:G,'0.39'!$B:$D,3,FALSE)),"")</f>
        <v/>
      </c>
      <c r="J51" s="844"/>
      <c r="K51" s="825"/>
      <c r="L51" s="825"/>
      <c r="M51" s="825"/>
      <c r="N51" s="833" t="str">
        <f>IF(L51="","",(VLOOKUP(L:L,'0.39'!$B:$D,3,FALSE)))</f>
        <v/>
      </c>
      <c r="O51" s="830"/>
      <c r="P51" s="547" t="str">
        <f>'PRINTOUT(BOM)'!I68</f>
        <v/>
      </c>
      <c r="Q51" s="547">
        <f>'PRINTOUT(BOM)'!J68</f>
        <v>0</v>
      </c>
      <c r="R51" s="547">
        <f>'PRINTOUT(BOM)'!K68</f>
        <v>0</v>
      </c>
      <c r="S51" s="830" t="e">
        <f>IF(Q51="","",(VLOOKUP(Q:Q,'0.39'!$B:$C,3,FALSE)))</f>
        <v>#N/A</v>
      </c>
      <c r="T51" s="830" t="str">
        <f t="shared" si="7"/>
        <v/>
      </c>
    </row>
    <row r="52" spans="1:20" s="217" customFormat="1" ht="18" customHeight="1">
      <c r="A52" s="546" t="str">
        <f>'PRINTOUT(BOM)'!A55</f>
        <v/>
      </c>
      <c r="B52" s="546">
        <f>'PRINTOUT(BOM)'!B55</f>
        <v>0</v>
      </c>
      <c r="C52" s="546">
        <f>'PRINTOUT(BOM)'!C55</f>
        <v>0</v>
      </c>
      <c r="D52" s="831" t="str">
        <f>IFERROR((VLOOKUP(B:B,'0.39'!$B:$D,3,FALSE)),"")</f>
        <v/>
      </c>
      <c r="E52" s="799" t="str">
        <f t="shared" si="0"/>
        <v/>
      </c>
      <c r="F52" s="547" t="str">
        <f>IF(G52="","",(VLOOKUP(G:G,'0.39'!$B:$F,5,FALSE)))</f>
        <v/>
      </c>
      <c r="G52" s="844" t="str">
        <f>IFERROR(BoltnNuts!B20,"")</f>
        <v/>
      </c>
      <c r="H52" s="847" t="str">
        <f>IFERROR(BoltnNuts!C20,"")</f>
        <v/>
      </c>
      <c r="I52" s="831" t="str">
        <f>IFERROR((VLOOKUP(G:G,'0.39'!$B:$D,3,FALSE)),"")</f>
        <v/>
      </c>
      <c r="J52" s="844"/>
      <c r="K52" s="825"/>
      <c r="L52" s="825"/>
      <c r="M52" s="825"/>
      <c r="N52" s="833" t="str">
        <f>IF(L52="","",(VLOOKUP(L:L,'0.39'!$B:$D,3,FALSE)))</f>
        <v/>
      </c>
      <c r="O52" s="830"/>
      <c r="P52" s="547" t="str">
        <f>'PRINTOUT(BOM)'!I74</f>
        <v/>
      </c>
      <c r="Q52" s="547">
        <f>'PRINTOUT(BOM)'!J74</f>
        <v>0</v>
      </c>
      <c r="R52" s="547">
        <f>'PRINTOUT(BOM)'!K74</f>
        <v>0</v>
      </c>
      <c r="S52" s="830" t="e">
        <f>IF(Q52="","",(VLOOKUP(Q:Q,'0.39'!$B:$C,3,FALSE)))</f>
        <v>#N/A</v>
      </c>
      <c r="T52" s="830" t="str">
        <f t="shared" si="7"/>
        <v/>
      </c>
    </row>
    <row r="53" spans="1:20" s="217" customFormat="1" ht="18" customHeight="1">
      <c r="A53" s="546" t="str">
        <f>'PRINTOUT(BOM)'!A58</f>
        <v/>
      </c>
      <c r="B53" s="546">
        <f>'PRINTOUT(BOM)'!B58</f>
        <v>0</v>
      </c>
      <c r="C53" s="546">
        <f>'PRINTOUT(BOM)'!C58</f>
        <v>0</v>
      </c>
      <c r="D53" s="831" t="str">
        <f>IFERROR((VLOOKUP(B:B,'0.39'!$B:$D,3,FALSE)),"")</f>
        <v/>
      </c>
      <c r="E53" s="799" t="str">
        <f t="shared" si="0"/>
        <v/>
      </c>
      <c r="F53" s="547" t="str">
        <f>IF(G53="","",(VLOOKUP(G:G,'0.39'!$B:$F,5,FALSE)))</f>
        <v/>
      </c>
      <c r="G53" s="844" t="str">
        <f>IFERROR(BoltnNuts!B21,"")</f>
        <v/>
      </c>
      <c r="H53" s="847" t="str">
        <f>IFERROR(BoltnNuts!C21,"")</f>
        <v/>
      </c>
      <c r="I53" s="831" t="str">
        <f>IFERROR((VLOOKUP(G:G,'0.39'!$B:$D,3,FALSE)),"")</f>
        <v/>
      </c>
      <c r="J53" s="848" t="str">
        <f t="shared" si="6"/>
        <v/>
      </c>
      <c r="K53" s="825" t="str">
        <f>Internal_Reinforcing!A20</f>
        <v/>
      </c>
      <c r="L53" s="825"/>
      <c r="M53" s="825" t="str">
        <f>Internal_Reinforcing!C20</f>
        <v/>
      </c>
      <c r="N53" s="833" t="str">
        <f>IF(L53="","",(VLOOKUP(L:L,'0.39'!$B:$D,3,FALSE)))</f>
        <v/>
      </c>
      <c r="O53" s="830" t="str">
        <f>IFERROR(M53*N53,"")</f>
        <v/>
      </c>
      <c r="P53" s="547" t="str">
        <f>IF(Q53="","",(VLOOKUP(Q:Q,'0.39'!$B:$B,2,FALSE)))</f>
        <v/>
      </c>
      <c r="Q53" s="825" t="str">
        <f>Fittings!B11</f>
        <v/>
      </c>
      <c r="R53" s="845" t="str">
        <f>Fittings!C11</f>
        <v/>
      </c>
      <c r="S53" s="830" t="str">
        <f>IF(Q53="","",(VLOOKUP(Q:Q,'0.39'!$B:$C,3,FALSE)))</f>
        <v/>
      </c>
      <c r="T53" s="830" t="str">
        <f t="shared" si="7"/>
        <v/>
      </c>
    </row>
    <row r="54" spans="1:20" s="217" customFormat="1" ht="18" customHeight="1">
      <c r="A54" s="546" t="str">
        <f>'PRINTOUT(BOM)'!A59</f>
        <v/>
      </c>
      <c r="B54" s="546">
        <f>'PRINTOUT(BOM)'!B59</f>
        <v>0</v>
      </c>
      <c r="C54" s="546">
        <f>'PRINTOUT(BOM)'!C59</f>
        <v>0</v>
      </c>
      <c r="D54" s="831" t="str">
        <f>IFERROR((VLOOKUP(B:B,'0.39'!$B:$D,3,FALSE)),"")</f>
        <v/>
      </c>
      <c r="E54" s="799" t="str">
        <f t="shared" si="0"/>
        <v/>
      </c>
      <c r="F54" s="547" t="str">
        <f>IF(G54="","",(VLOOKUP(G:G,'0.39'!$B:$F,5,FALSE)))</f>
        <v/>
      </c>
      <c r="G54" s="844" t="str">
        <f>IFERROR(BoltnNuts!B22,"")</f>
        <v/>
      </c>
      <c r="H54" s="847" t="str">
        <f>IFERROR(BoltnNuts!C22,"")</f>
        <v/>
      </c>
      <c r="I54" s="831" t="str">
        <f>IFERROR((VLOOKUP(G:G,'0.39'!$B:$D,3,FALSE)),"")</f>
        <v/>
      </c>
      <c r="J54" s="830" t="str">
        <f t="shared" si="6"/>
        <v/>
      </c>
      <c r="K54" s="825" t="str">
        <f>Internal_Reinforcing!A21</f>
        <v/>
      </c>
      <c r="L54" s="825"/>
      <c r="M54" s="825" t="str">
        <f>Internal_Reinforcing!C21</f>
        <v/>
      </c>
      <c r="N54" s="833" t="str">
        <f>IF(L54="","",(VLOOKUP(L:L,'0.39'!$B:$D,3,FALSE)))</f>
        <v/>
      </c>
      <c r="O54" s="830" t="str">
        <f>IFERROR(M54*N54,"")</f>
        <v/>
      </c>
      <c r="P54" s="547" t="str">
        <f>IF(Q54="","",(VLOOKUP(Q:Q,'0.39'!$B:$B,2,FALSE)))</f>
        <v/>
      </c>
      <c r="Q54" s="825" t="str">
        <f>Fittings!B12</f>
        <v/>
      </c>
      <c r="R54" s="845" t="str">
        <f>Fittings!C12</f>
        <v/>
      </c>
      <c r="S54" s="830" t="str">
        <f>IF(Q54="","",(VLOOKUP(Q:Q,'0.39'!$B:$C,3,FALSE)))</f>
        <v/>
      </c>
      <c r="T54" s="830" t="str">
        <f t="shared" si="7"/>
        <v/>
      </c>
    </row>
    <row r="55" spans="1:20" s="217" customFormat="1" ht="18" customHeight="1">
      <c r="A55" s="849"/>
      <c r="B55" s="850"/>
      <c r="C55" s="851">
        <f>SUM(C13:C54)</f>
        <v>160</v>
      </c>
      <c r="D55" s="839"/>
      <c r="E55" s="841">
        <f>SUM(E13:E54)</f>
        <v>15985</v>
      </c>
      <c r="F55" s="838"/>
      <c r="G55" s="839"/>
      <c r="H55" s="852"/>
      <c r="I55" s="840"/>
      <c r="J55" s="841">
        <f>SUM(J37:J54)</f>
        <v>5669.2199999999993</v>
      </c>
      <c r="K55" s="841"/>
      <c r="L55" s="849"/>
      <c r="M55" s="853"/>
      <c r="N55" s="854"/>
      <c r="O55" s="841">
        <f>SUM(O35:O54)</f>
        <v>3092</v>
      </c>
      <c r="P55" s="841"/>
      <c r="Q55" s="839"/>
      <c r="R55" s="853"/>
      <c r="S55" s="849"/>
      <c r="T55" s="841">
        <f>SUM(T43:T54)</f>
        <v>0</v>
      </c>
    </row>
    <row r="56" spans="1:20" s="115" customFormat="1" ht="18.75" customHeight="1" thickBot="1">
      <c r="B56" s="114"/>
      <c r="C56" s="213"/>
      <c r="H56" s="625"/>
      <c r="I56" s="624"/>
      <c r="M56" s="212"/>
      <c r="O56" s="212"/>
      <c r="Q56" s="217"/>
      <c r="R56" s="212"/>
    </row>
    <row r="57" spans="1:20" s="115" customFormat="1" ht="18.75" customHeight="1" thickBot="1">
      <c r="B57" s="114"/>
      <c r="C57" s="213"/>
      <c r="E57" s="114"/>
      <c r="F57" s="1524" t="s">
        <v>423</v>
      </c>
      <c r="G57" s="1525"/>
      <c r="H57" s="625"/>
      <c r="I57" s="624"/>
      <c r="M57" s="212"/>
      <c r="O57" s="212"/>
      <c r="Q57" s="217"/>
      <c r="R57" s="212"/>
    </row>
    <row r="58" spans="1:20" s="115" customFormat="1" ht="24" customHeight="1">
      <c r="A58" s="470" t="s">
        <v>198</v>
      </c>
      <c r="B58" s="471">
        <f>E55</f>
        <v>15985</v>
      </c>
      <c r="C58" s="1513">
        <f>B58/B66</f>
        <v>0.29190407650388578</v>
      </c>
      <c r="D58" s="1513"/>
      <c r="E58" s="366"/>
      <c r="F58" s="472" t="s">
        <v>198</v>
      </c>
      <c r="G58" s="371">
        <f>ROUNDUP(B58,-2)</f>
        <v>16000</v>
      </c>
      <c r="H58" s="631"/>
      <c r="I58" s="1517" t="s">
        <v>404</v>
      </c>
      <c r="J58" s="473" t="s">
        <v>405</v>
      </c>
      <c r="K58" s="474">
        <f>G58/BASIC_TOOL!J11</f>
        <v>84.21052631578948</v>
      </c>
      <c r="L58" s="213"/>
      <c r="Q58" s="217"/>
      <c r="R58" s="212"/>
    </row>
    <row r="59" spans="1:20" s="115" customFormat="1" ht="24" customHeight="1">
      <c r="A59" s="470" t="s">
        <v>182</v>
      </c>
      <c r="B59" s="471">
        <f>J34</f>
        <v>12913.8</v>
      </c>
      <c r="C59" s="1513">
        <f>B59/B66</f>
        <v>0.23582051067600127</v>
      </c>
      <c r="D59" s="1513"/>
      <c r="E59" s="366"/>
      <c r="F59" s="472" t="s">
        <v>182</v>
      </c>
      <c r="G59" s="371">
        <f t="shared" ref="G59:G65" si="8">ROUNDUP(B59,-2)</f>
        <v>13000</v>
      </c>
      <c r="H59" s="631"/>
      <c r="I59" s="1523"/>
      <c r="J59" s="472" t="s">
        <v>406</v>
      </c>
      <c r="K59" s="475">
        <f>SUM(G59:G65)/BASIC_TOOL!J11</f>
        <v>205.78947368421052</v>
      </c>
      <c r="L59" s="213"/>
      <c r="Q59" s="217"/>
      <c r="R59" s="212"/>
    </row>
    <row r="60" spans="1:20" s="115" customFormat="1" ht="24" customHeight="1" thickBot="1">
      <c r="A60" s="470" t="s">
        <v>199</v>
      </c>
      <c r="B60" s="471">
        <f>J55</f>
        <v>5669.2199999999993</v>
      </c>
      <c r="C60" s="1513">
        <f>B60/B66</f>
        <v>0.10352633272426395</v>
      </c>
      <c r="D60" s="1513"/>
      <c r="E60" s="366"/>
      <c r="F60" s="472" t="s">
        <v>199</v>
      </c>
      <c r="G60" s="371">
        <f t="shared" si="8"/>
        <v>5700</v>
      </c>
      <c r="H60" s="631"/>
      <c r="I60" s="1518"/>
      <c r="J60" s="476" t="s">
        <v>394</v>
      </c>
      <c r="K60" s="477">
        <f>ROUNDUP(SUM(K58:K59),-3)</f>
        <v>1000</v>
      </c>
      <c r="L60" s="219"/>
      <c r="Q60" s="217"/>
      <c r="R60" s="212"/>
    </row>
    <row r="61" spans="1:20" s="115" customFormat="1" ht="24" customHeight="1" thickBot="1">
      <c r="A61" s="470" t="s">
        <v>200</v>
      </c>
      <c r="B61" s="471">
        <f>O32</f>
        <v>5014</v>
      </c>
      <c r="C61" s="1513">
        <f>B61/B66</f>
        <v>9.15612786731613E-2</v>
      </c>
      <c r="D61" s="1513"/>
      <c r="E61" s="366"/>
      <c r="F61" s="472" t="s">
        <v>200</v>
      </c>
      <c r="G61" s="371">
        <f t="shared" si="8"/>
        <v>5100</v>
      </c>
      <c r="H61" s="632"/>
      <c r="I61" s="633"/>
      <c r="J61" s="478"/>
      <c r="K61" s="366"/>
      <c r="M61" s="212"/>
      <c r="Q61" s="217"/>
      <c r="R61" s="212"/>
    </row>
    <row r="62" spans="1:20" s="115" customFormat="1" ht="24" customHeight="1">
      <c r="A62" s="470" t="s">
        <v>181</v>
      </c>
      <c r="B62" s="471">
        <f>O55</f>
        <v>3092</v>
      </c>
      <c r="C62" s="1513">
        <f>B62/B66</f>
        <v>5.646339721926899E-2</v>
      </c>
      <c r="D62" s="1513"/>
      <c r="E62" s="366"/>
      <c r="F62" s="472" t="s">
        <v>181</v>
      </c>
      <c r="G62" s="371">
        <f t="shared" si="8"/>
        <v>3100</v>
      </c>
      <c r="H62" s="634"/>
      <c r="I62" s="1517" t="s">
        <v>407</v>
      </c>
      <c r="J62" s="1519" t="s">
        <v>394</v>
      </c>
      <c r="K62" s="1521">
        <f>B66/BASIC_TOOL!H11</f>
        <v>365.07426666666669</v>
      </c>
      <c r="L62" s="114"/>
      <c r="M62" s="212"/>
      <c r="Q62" s="217"/>
      <c r="R62" s="212"/>
    </row>
    <row r="63" spans="1:20" s="115" customFormat="1" ht="24" customHeight="1" thickBot="1">
      <c r="A63" s="479" t="s">
        <v>201</v>
      </c>
      <c r="B63" s="480">
        <f>T23</f>
        <v>7585.2000000000007</v>
      </c>
      <c r="C63" s="1515">
        <f>B63/B66</f>
        <v>0.13851428220814982</v>
      </c>
      <c r="D63" s="1516"/>
      <c r="E63" s="366"/>
      <c r="F63" s="481" t="s">
        <v>201</v>
      </c>
      <c r="G63" s="371">
        <f t="shared" si="8"/>
        <v>7600</v>
      </c>
      <c r="H63" s="634"/>
      <c r="I63" s="1518"/>
      <c r="J63" s="1520"/>
      <c r="K63" s="1522"/>
      <c r="L63" s="113"/>
      <c r="M63" s="113"/>
      <c r="N63" s="113"/>
      <c r="Q63" s="217"/>
      <c r="R63" s="212"/>
    </row>
    <row r="64" spans="1:20" s="115" customFormat="1" ht="24" customHeight="1">
      <c r="A64" s="482" t="s">
        <v>180</v>
      </c>
      <c r="B64" s="471">
        <f>T39</f>
        <v>4501.92</v>
      </c>
      <c r="C64" s="1513">
        <f>B64/B66</f>
        <v>8.2210121995268906E-2</v>
      </c>
      <c r="D64" s="1513"/>
      <c r="E64" s="366"/>
      <c r="F64" s="483" t="s">
        <v>180</v>
      </c>
      <c r="G64" s="371">
        <f t="shared" si="8"/>
        <v>4600</v>
      </c>
      <c r="H64" s="634"/>
      <c r="I64" s="631"/>
      <c r="J64" s="484"/>
      <c r="K64" s="485"/>
      <c r="L64" s="221"/>
      <c r="M64" s="113"/>
      <c r="N64" s="220"/>
      <c r="Q64" s="217"/>
      <c r="R64" s="212"/>
    </row>
    <row r="65" spans="1:18" s="115" customFormat="1" ht="24" customHeight="1">
      <c r="A65" s="482" t="s">
        <v>197</v>
      </c>
      <c r="B65" s="471">
        <f>T55</f>
        <v>0</v>
      </c>
      <c r="C65" s="1513">
        <f>B65/B66</f>
        <v>0</v>
      </c>
      <c r="D65" s="1513"/>
      <c r="E65" s="366"/>
      <c r="F65" s="483" t="s">
        <v>197</v>
      </c>
      <c r="G65" s="371">
        <f t="shared" si="8"/>
        <v>0</v>
      </c>
      <c r="H65" s="634"/>
      <c r="I65" s="631"/>
      <c r="J65" s="484"/>
      <c r="K65" s="485"/>
      <c r="L65" s="221"/>
      <c r="M65" s="113"/>
      <c r="N65" s="220"/>
      <c r="Q65" s="217"/>
      <c r="R65" s="212"/>
    </row>
    <row r="66" spans="1:18" s="115" customFormat="1" ht="23.25" thickBot="1">
      <c r="A66" s="482" t="s">
        <v>202</v>
      </c>
      <c r="B66" s="486">
        <f>B58+B59+B60+B61+B62+B63+B64+B65</f>
        <v>54761.14</v>
      </c>
      <c r="C66" s="1514">
        <f>SUM(C58:D65)</f>
        <v>1</v>
      </c>
      <c r="D66" s="1514"/>
      <c r="E66" s="366"/>
      <c r="F66" s="483" t="s">
        <v>202</v>
      </c>
      <c r="G66" s="487">
        <f>SUM(G58:G65)</f>
        <v>55100</v>
      </c>
      <c r="H66" s="631"/>
      <c r="I66" s="631"/>
      <c r="J66" s="366" t="s">
        <v>50</v>
      </c>
      <c r="K66" s="366"/>
      <c r="M66" s="212"/>
      <c r="Q66" s="217"/>
      <c r="R66" s="212"/>
    </row>
    <row r="67" spans="1:18" s="115" customFormat="1">
      <c r="B67" s="222"/>
      <c r="C67" s="114"/>
      <c r="F67" s="212"/>
      <c r="H67" s="624"/>
      <c r="I67" s="624"/>
      <c r="M67" s="212"/>
      <c r="Q67" s="217"/>
      <c r="R67" s="212"/>
    </row>
  </sheetData>
  <mergeCells count="25">
    <mergeCell ref="I62:I63"/>
    <mergeCell ref="J62:J63"/>
    <mergeCell ref="K62:K63"/>
    <mergeCell ref="P11:T11"/>
    <mergeCell ref="P41:T41"/>
    <mergeCell ref="F35:J35"/>
    <mergeCell ref="I58:I60"/>
    <mergeCell ref="F57:G57"/>
    <mergeCell ref="C64:D64"/>
    <mergeCell ref="C66:D66"/>
    <mergeCell ref="C65:D65"/>
    <mergeCell ref="C58:D58"/>
    <mergeCell ref="C59:D59"/>
    <mergeCell ref="C60:D60"/>
    <mergeCell ref="C61:D61"/>
    <mergeCell ref="C62:D62"/>
    <mergeCell ref="C63:D63"/>
    <mergeCell ref="A2:T2"/>
    <mergeCell ref="F11:J11"/>
    <mergeCell ref="K11:O11"/>
    <mergeCell ref="P24:T24"/>
    <mergeCell ref="K33:O33"/>
    <mergeCell ref="K4:M4"/>
    <mergeCell ref="A11:E11"/>
    <mergeCell ref="H6:I6"/>
  </mergeCells>
  <phoneticPr fontId="13" type="noConversion"/>
  <pageMargins left="0.21" right="0.25" top="0.36" bottom="0.19" header="0.14000000000000001" footer="0.13"/>
  <pageSetup paperSize="8" scale="51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  <pageSetUpPr fitToPage="1"/>
  </sheetPr>
  <dimension ref="A1:AA65"/>
  <sheetViews>
    <sheetView showGridLines="0" topLeftCell="A3" zoomScale="50" zoomScaleNormal="50" zoomScaleSheetLayoutView="95" workbookViewId="0">
      <selection activeCell="V8" sqref="V8"/>
    </sheetView>
  </sheetViews>
  <sheetFormatPr defaultColWidth="8.875" defaultRowHeight="22.5"/>
  <cols>
    <col min="1" max="1" width="22.625" style="269" customWidth="1"/>
    <col min="2" max="2" width="18.625" style="269" customWidth="1"/>
    <col min="3" max="3" width="6.75" style="271" customWidth="1"/>
    <col min="4" max="4" width="10.75" style="269" customWidth="1"/>
    <col min="5" max="5" width="15.625" style="269" customWidth="1"/>
    <col min="6" max="6" width="24.375" style="271" customWidth="1"/>
    <col min="7" max="7" width="19.75" style="269" customWidth="1"/>
    <col min="8" max="8" width="13.25" style="271" customWidth="1"/>
    <col min="9" max="9" width="12.875" style="269" bestFit="1" customWidth="1"/>
    <col min="10" max="10" width="14.75" style="269" bestFit="1" customWidth="1"/>
    <col min="11" max="11" width="17.125" style="269" bestFit="1" customWidth="1"/>
    <col min="12" max="12" width="16.875" style="269" customWidth="1"/>
    <col min="13" max="13" width="8" style="271" customWidth="1"/>
    <col min="14" max="14" width="9.75" style="269" customWidth="1"/>
    <col min="15" max="15" width="14.75" style="269" customWidth="1"/>
    <col min="16" max="16" width="19.75" style="269" customWidth="1"/>
    <col min="17" max="17" width="28.875" style="281" bestFit="1" customWidth="1"/>
    <col min="18" max="18" width="10.125" style="271" customWidth="1"/>
    <col min="19" max="19" width="14.75" style="269" bestFit="1" customWidth="1"/>
    <col min="20" max="20" width="15.125" style="269" customWidth="1"/>
    <col min="21" max="21" width="7.625" style="269" bestFit="1" customWidth="1"/>
    <col min="22" max="16384" width="8.875" style="269"/>
  </cols>
  <sheetData>
    <row r="1" spans="1:20" s="268" customFormat="1" ht="14.25" customHeight="1">
      <c r="C1" s="269"/>
      <c r="F1" s="270"/>
      <c r="H1" s="269"/>
      <c r="R1" s="270"/>
    </row>
    <row r="2" spans="1:20" s="268" customFormat="1" ht="87.75">
      <c r="A2" s="1545" t="s">
        <v>287</v>
      </c>
      <c r="B2" s="1545"/>
      <c r="C2" s="1545"/>
      <c r="D2" s="1545"/>
      <c r="E2" s="1545"/>
      <c r="F2" s="1545"/>
      <c r="G2" s="1545"/>
      <c r="H2" s="1545"/>
      <c r="I2" s="1545"/>
      <c r="J2" s="1545"/>
      <c r="K2" s="1545"/>
      <c r="L2" s="1545"/>
      <c r="M2" s="1545"/>
      <c r="N2" s="1545"/>
      <c r="O2" s="1545"/>
      <c r="P2" s="1545"/>
      <c r="Q2" s="1545"/>
      <c r="R2" s="1545"/>
      <c r="S2" s="1545"/>
      <c r="T2" s="1545"/>
    </row>
    <row r="3" spans="1:20" s="268" customFormat="1" ht="25.5" customHeight="1">
      <c r="C3" s="271"/>
      <c r="F3" s="270"/>
      <c r="G3" s="272"/>
      <c r="H3" s="271"/>
      <c r="M3" s="270"/>
      <c r="O3" s="273"/>
      <c r="R3" s="270"/>
    </row>
    <row r="4" spans="1:20" s="268" customFormat="1" ht="23.25" customHeight="1">
      <c r="B4" s="274"/>
      <c r="C4" s="275"/>
      <c r="D4" s="275"/>
      <c r="E4" s="276"/>
      <c r="F4" s="276"/>
      <c r="G4" s="277"/>
      <c r="H4" s="277"/>
      <c r="I4" s="276"/>
      <c r="J4" s="278"/>
      <c r="K4" s="275"/>
      <c r="L4" s="275"/>
      <c r="M4" s="278"/>
      <c r="N4" s="278"/>
      <c r="O4" s="279"/>
      <c r="P4" s="279"/>
      <c r="R4" s="270"/>
    </row>
    <row r="5" spans="1:20" s="268" customFormat="1" ht="23.25" customHeight="1">
      <c r="B5" s="269"/>
      <c r="C5" s="280"/>
      <c r="D5" s="280"/>
      <c r="E5" s="281"/>
      <c r="F5" s="269"/>
      <c r="G5" s="280"/>
      <c r="H5" s="280"/>
      <c r="I5" s="281"/>
      <c r="K5" s="1546"/>
      <c r="L5" s="1546"/>
      <c r="M5" s="1546"/>
      <c r="N5" s="282"/>
      <c r="O5" s="281"/>
      <c r="P5" s="274"/>
      <c r="R5" s="270"/>
    </row>
    <row r="6" spans="1:20" s="281" customFormat="1" ht="27">
      <c r="A6" s="283" t="str">
        <f>"▣ Order No :"&amp;BASIC_TOOL!B5&amp;"          ▣  Customer : "&amp;BASIC_TOOL!D6&amp;"     "&amp;"           ▣ Project Name :"&amp;BASIC_TOOL!B6</f>
        <v>▣ Order No :NT0606-01          ▣  Customer : ABC                ▣ Project Name :A Project</v>
      </c>
      <c r="B6" s="284"/>
      <c r="C6" s="285"/>
      <c r="D6" s="283"/>
      <c r="E6" s="286"/>
      <c r="F6" s="287"/>
      <c r="G6" s="288"/>
      <c r="H6" s="288"/>
      <c r="I6" s="286"/>
      <c r="J6" s="278"/>
      <c r="K6" s="275"/>
      <c r="L6" s="275"/>
      <c r="M6" s="289"/>
      <c r="N6" s="290"/>
      <c r="O6" s="291"/>
    </row>
    <row r="7" spans="1:20" s="281" customFormat="1" ht="27">
      <c r="A7" s="283" t="str">
        <f>"▣ Address :"&amp;BASIC_TOOL!B6&amp;"                      "</f>
        <v xml:space="preserve">▣ Address :A Project                      </v>
      </c>
      <c r="B7" s="292"/>
      <c r="C7" s="293"/>
      <c r="D7" s="294"/>
      <c r="G7" s="295" t="s">
        <v>433</v>
      </c>
      <c r="H7" s="1547">
        <f ca="1">BASIC_TOOL!D5</f>
        <v>45228</v>
      </c>
      <c r="I7" s="1547"/>
      <c r="J7" s="296"/>
      <c r="K7" s="271"/>
      <c r="L7" s="296"/>
      <c r="N7" s="290"/>
      <c r="O7" s="291"/>
    </row>
    <row r="8" spans="1:20" s="281" customFormat="1" ht="27">
      <c r="A8" s="283" t="str">
        <f>"▣ Size : "&amp;W_O&amp;" x ("&amp;L1_O&amp;IF(L2_O&gt;0,"+"&amp;L2_O,"")&amp;IF(L3_O&gt;0,"+"&amp;L3_O,"")&amp;IF(L4_O&gt;0,"+"&amp;L4_O,"")&amp;")x"&amp;H_O&amp;"mH ="&amp;BASIC_TOOL!H11&amp;" [TON]/ 1[SET]"</f>
        <v>▣ Size : 10 x (5)x3mH =150 [TON]/ 1[SET]</v>
      </c>
      <c r="B8" s="297"/>
      <c r="C8" s="293"/>
      <c r="D8" s="294"/>
      <c r="E8" s="295"/>
      <c r="F8" s="298"/>
      <c r="G8" s="295" t="str">
        <f>"▣ Panel: "&amp;BASIC_TOOL!C14&amp;"/ Panel Composition:"&amp;IF(BASIC_TOOL!D15=1,"use Side Panel(only 1x1m)","use side panel (1x2m,1x1.5m)")</f>
        <v>▣ Panel: Non-Insulated/ Panel Composition:use side panel (1x2m,1x1.5m)</v>
      </c>
      <c r="H8" s="294"/>
      <c r="I8" s="297"/>
      <c r="J8" s="268"/>
      <c r="K8" s="271"/>
      <c r="L8" s="271"/>
      <c r="N8" s="290"/>
      <c r="O8" s="291"/>
    </row>
    <row r="9" spans="1:20" s="281" customFormat="1" ht="27">
      <c r="A9" s="298" t="str">
        <f>"▣ Steel Skid:"&amp;BASIC_TOOL!D22&amp;"       ▣ External Accessories : HDG  "&amp;"           ▣ Internal Accessories : "&amp;BASIC_TOOL!E22   &amp;"                ▣ Bolt&amp;Nut : "&amp;BASIC_TOOL!F22</f>
        <v>▣ Steel Skid:Default       ▣ External Accessories : HDG             ▣ Internal Accessories : SS316                ▣ Bolt&amp;Nut : EXT:HDG+INT:SS316</v>
      </c>
      <c r="B9" s="297"/>
      <c r="C9" s="293"/>
      <c r="D9" s="295"/>
      <c r="E9" s="295"/>
      <c r="F9" s="299"/>
      <c r="G9" s="295"/>
      <c r="H9" s="294"/>
      <c r="I9" s="297"/>
      <c r="J9" s="268"/>
      <c r="K9" s="271"/>
      <c r="L9" s="271"/>
      <c r="N9" s="290"/>
      <c r="O9" s="291"/>
    </row>
    <row r="10" spans="1:20" ht="23.25" customHeight="1">
      <c r="A10" s="268"/>
      <c r="B10" s="300"/>
      <c r="C10" s="269"/>
      <c r="F10" s="269"/>
      <c r="G10" s="300"/>
      <c r="H10" s="300"/>
      <c r="I10" s="268"/>
      <c r="J10" s="268"/>
      <c r="K10" s="300"/>
      <c r="L10" s="300"/>
      <c r="M10" s="268"/>
      <c r="N10" s="300"/>
      <c r="P10" s="300"/>
    </row>
    <row r="11" spans="1:20" ht="13.5" customHeight="1" thickBot="1"/>
    <row r="12" spans="1:20" s="281" customFormat="1" ht="29.25" customHeight="1">
      <c r="A12" s="1537" t="s">
        <v>183</v>
      </c>
      <c r="B12" s="1538"/>
      <c r="C12" s="1538"/>
      <c r="D12" s="1538"/>
      <c r="E12" s="1539"/>
      <c r="F12" s="1537" t="s">
        <v>182</v>
      </c>
      <c r="G12" s="1538"/>
      <c r="H12" s="1538"/>
      <c r="I12" s="1538"/>
      <c r="J12" s="1539"/>
      <c r="K12" s="1537" t="s">
        <v>194</v>
      </c>
      <c r="L12" s="1538"/>
      <c r="M12" s="1538"/>
      <c r="N12" s="1538"/>
      <c r="O12" s="1539"/>
      <c r="P12" s="1537" t="s">
        <v>196</v>
      </c>
      <c r="Q12" s="1538"/>
      <c r="R12" s="1538"/>
      <c r="S12" s="1538"/>
      <c r="T12" s="1539"/>
    </row>
    <row r="13" spans="1:20" s="281" customFormat="1" ht="32.25" customHeight="1" thickBot="1">
      <c r="A13" s="301" t="s">
        <v>176</v>
      </c>
      <c r="B13" s="302" t="s">
        <v>177</v>
      </c>
      <c r="C13" s="303" t="s">
        <v>168</v>
      </c>
      <c r="D13" s="302" t="s">
        <v>288</v>
      </c>
      <c r="E13" s="304" t="s">
        <v>191</v>
      </c>
      <c r="F13" s="301" t="s">
        <v>176</v>
      </c>
      <c r="G13" s="302" t="s">
        <v>177</v>
      </c>
      <c r="H13" s="303" t="s">
        <v>168</v>
      </c>
      <c r="I13" s="302" t="s">
        <v>288</v>
      </c>
      <c r="J13" s="304" t="s">
        <v>191</v>
      </c>
      <c r="K13" s="301" t="s">
        <v>176</v>
      </c>
      <c r="L13" s="302" t="s">
        <v>177</v>
      </c>
      <c r="M13" s="303" t="s">
        <v>168</v>
      </c>
      <c r="N13" s="302" t="s">
        <v>288</v>
      </c>
      <c r="O13" s="304" t="s">
        <v>191</v>
      </c>
      <c r="P13" s="301" t="s">
        <v>176</v>
      </c>
      <c r="Q13" s="302" t="s">
        <v>177</v>
      </c>
      <c r="R13" s="303" t="s">
        <v>168</v>
      </c>
      <c r="S13" s="302" t="s">
        <v>288</v>
      </c>
      <c r="T13" s="304" t="s">
        <v>191</v>
      </c>
    </row>
    <row r="14" spans="1:20" s="281" customFormat="1" ht="18" customHeight="1">
      <c r="A14" s="305" t="str">
        <f>'PRINTOUT(BOM)'!A15</f>
        <v>Manhole</v>
      </c>
      <c r="B14" s="305" t="str">
        <f>'PRINTOUT(BOM)'!B15</f>
        <v>MF00M</v>
      </c>
      <c r="C14" s="305">
        <f>'PRINTOUT(BOM)'!C15</f>
        <v>1</v>
      </c>
      <c r="D14" s="306">
        <f>IFERROR((VLOOKUP(B:B,'0.39'!$B:$G,6,FALSE)),"")</f>
        <v>15</v>
      </c>
      <c r="E14" s="307">
        <f>IFERROR(C14*D14,"")</f>
        <v>15</v>
      </c>
      <c r="F14" s="305" t="str">
        <f>'PRINTOUT(BOM)'!E15</f>
        <v>Steel Skid Connetor</v>
      </c>
      <c r="G14" s="305" t="str">
        <f>'PRINTOUT(BOM)'!F15</f>
        <v>WBR-0120Z</v>
      </c>
      <c r="H14" s="305">
        <f>'PRINTOUT(BOM)'!G15</f>
        <v>22</v>
      </c>
      <c r="I14" s="306">
        <f>IFERROR((VLOOKUP(G:G,'0.39'!$B:$G,6,FALSE)),"")</f>
        <v>1.06</v>
      </c>
      <c r="J14" s="307">
        <f>IFERROR(H14*I14,"")</f>
        <v>23.32</v>
      </c>
      <c r="K14" s="309" t="str">
        <f>'PRINTOUT(BOM)'!E45</f>
        <v>F/L Reinforcing plate</v>
      </c>
      <c r="L14" s="309" t="str">
        <f>'PRINTOUT(BOM)'!F45</f>
        <v>WFB-0950ZP</v>
      </c>
      <c r="M14" s="309">
        <f>'PRINTOUT(BOM)'!G45</f>
        <v>64</v>
      </c>
      <c r="N14" s="306">
        <f>IFERROR((VLOOKUP(L:L,'0.39'!$B:$G,6,FALSE)),"")</f>
        <v>0.78715874999999991</v>
      </c>
      <c r="O14" s="307">
        <f>IFERROR(M14*N14,"")</f>
        <v>50.378159999999994</v>
      </c>
      <c r="P14" s="309" t="str">
        <f>'PRINTOUT(BOM)'!I15</f>
        <v xml:space="preserve">SS316 Tie-Rod </v>
      </c>
      <c r="Q14" s="309" t="str">
        <f>'PRINTOUT(BOM)'!J15</f>
        <v>TR-12M1880SA4</v>
      </c>
      <c r="R14" s="309">
        <f>'PRINTOUT(BOM)'!K15</f>
        <v>12</v>
      </c>
      <c r="S14" s="306">
        <f>IFERROR((VLOOKUP(Q:Q,'0.39'!$B:$G,6,FALSE)),"")</f>
        <v>1.34</v>
      </c>
      <c r="T14" s="307">
        <f>IFERROR(R14*S14,"")</f>
        <v>16.080000000000002</v>
      </c>
    </row>
    <row r="15" spans="1:20" s="281" customFormat="1" ht="18" customHeight="1">
      <c r="A15" s="305" t="str">
        <f>'PRINTOUT(BOM)'!A16</f>
        <v xml:space="preserve">Roof </v>
      </c>
      <c r="B15" s="305" t="str">
        <f>'PRINTOUT(BOM)'!B16</f>
        <v>RF00M</v>
      </c>
      <c r="C15" s="305">
        <f>'PRINTOUT(BOM)'!C16</f>
        <v>49</v>
      </c>
      <c r="D15" s="306">
        <f>IFERROR((VLOOKUP(B:B,'0.39'!$B:$G,6,FALSE)),"")</f>
        <v>9</v>
      </c>
      <c r="E15" s="311">
        <f t="shared" ref="E15:E53" si="0">IFERROR(C15*D15,"")</f>
        <v>441</v>
      </c>
      <c r="F15" s="305" t="str">
        <f>'PRINTOUT(BOM)'!E16</f>
        <v>Steel Skid Connetor</v>
      </c>
      <c r="G15" s="305" t="str">
        <f>'PRINTOUT(BOM)'!F16</f>
        <v>WBR-21590Z</v>
      </c>
      <c r="H15" s="305">
        <f>'PRINTOUT(BOM)'!G16</f>
        <v>8</v>
      </c>
      <c r="I15" s="306" t="str">
        <f>IFERROR((VLOOKUP(G:G,'0.39'!$B:$G,6,FALSE)),"")</f>
        <v/>
      </c>
      <c r="J15" s="311" t="str">
        <f t="shared" ref="J15:J32" si="1">IFERROR(H15*I15,"")</f>
        <v/>
      </c>
      <c r="K15" s="309" t="str">
        <f>'PRINTOUT(BOM)'!E46</f>
        <v>F/L Reinforcing Angle</v>
      </c>
      <c r="L15" s="309" t="str">
        <f>'PRINTOUT(BOM)'!F46</f>
        <v>WFB-0950Z</v>
      </c>
      <c r="M15" s="309">
        <f>'PRINTOUT(BOM)'!G46</f>
        <v>56</v>
      </c>
      <c r="N15" s="306">
        <f>IFERROR((VLOOKUP(L:L,'0.39'!$B:$G,6,FALSE)),"")</f>
        <v>2.0241225000000003</v>
      </c>
      <c r="O15" s="307">
        <f t="shared" ref="O15:O26" si="2">IFERROR(M15*N15,"")</f>
        <v>113.35086000000001</v>
      </c>
      <c r="P15" s="309" t="str">
        <f>'PRINTOUT(BOM)'!I16</f>
        <v xml:space="preserve">SS316 Tie-Rod </v>
      </c>
      <c r="Q15" s="309" t="str">
        <f>'PRINTOUT(BOM)'!J16</f>
        <v>TR-12M4000SA4</v>
      </c>
      <c r="R15" s="309">
        <f>'PRINTOUT(BOM)'!K16</f>
        <v>24</v>
      </c>
      <c r="S15" s="306">
        <f>IFERROR((VLOOKUP(Q:Q,'0.39'!$B:$G,6,FALSE)),"")</f>
        <v>2.84</v>
      </c>
      <c r="T15" s="307">
        <f t="shared" ref="T15:T24" si="3">IFERROR(R15*S15,"")</f>
        <v>68.16</v>
      </c>
    </row>
    <row r="16" spans="1:20" s="281" customFormat="1" ht="18" customHeight="1">
      <c r="A16" s="305" t="str">
        <f>'PRINTOUT(BOM)'!A17</f>
        <v>Base</v>
      </c>
      <c r="B16" s="305" t="str">
        <f>'PRINTOUT(BOM)'!B17</f>
        <v>BF30M</v>
      </c>
      <c r="C16" s="305">
        <f>'PRINTOUT(BOM)'!C17</f>
        <v>49</v>
      </c>
      <c r="D16" s="306">
        <f>IFERROR((VLOOKUP(B:B,'0.39'!$B:$G,6,FALSE)),"")</f>
        <v>21</v>
      </c>
      <c r="E16" s="312">
        <f t="shared" si="0"/>
        <v>1029</v>
      </c>
      <c r="F16" s="305" t="str">
        <f>'PRINTOUT(BOM)'!E17</f>
        <v>Steel Skid(Main-L)</v>
      </c>
      <c r="G16" s="305" t="str">
        <f>'PRINTOUT(BOM)'!F17</f>
        <v>WFF-1990CLZ</v>
      </c>
      <c r="H16" s="305">
        <f>'PRINTOUT(BOM)'!G17</f>
        <v>22</v>
      </c>
      <c r="I16" s="306">
        <f>IFERROR((VLOOKUP(G:G,'0.39'!$B:$G,6,FALSE)),"")</f>
        <v>28</v>
      </c>
      <c r="J16" s="311">
        <f t="shared" si="1"/>
        <v>616</v>
      </c>
      <c r="K16" s="309" t="str">
        <f>'PRINTOUT(BOM)'!E47</f>
        <v>F/L Reinforcing Angle</v>
      </c>
      <c r="L16" s="309" t="str">
        <f>'PRINTOUT(BOM)'!F47</f>
        <v>WFB-1200Z</v>
      </c>
      <c r="M16" s="309">
        <f>'PRINTOUT(BOM)'!G47</f>
        <v>26</v>
      </c>
      <c r="N16" s="306">
        <f>IFERROR((VLOOKUP(L:L,'0.39'!$B:$G,6,FALSE)),"")</f>
        <v>2.5539974999999999</v>
      </c>
      <c r="O16" s="307">
        <f t="shared" si="2"/>
        <v>66.403935000000004</v>
      </c>
      <c r="P16" s="309" t="str">
        <f>'PRINTOUT(BOM)'!I17</f>
        <v xml:space="preserve">SS316 Tie-Rod </v>
      </c>
      <c r="Q16" s="309" t="str">
        <f>'PRINTOUT(BOM)'!J17</f>
        <v>TR-12M4880SA4</v>
      </c>
      <c r="R16" s="309">
        <f>'PRINTOUT(BOM)'!K17</f>
        <v>27</v>
      </c>
      <c r="S16" s="306">
        <f>IFERROR((VLOOKUP(Q:Q,'0.39'!$B:$G,6,FALSE)),"")</f>
        <v>3.46</v>
      </c>
      <c r="T16" s="307">
        <f t="shared" si="3"/>
        <v>93.42</v>
      </c>
    </row>
    <row r="17" spans="1:27" s="281" customFormat="1" ht="18" customHeight="1">
      <c r="A17" s="305" t="str">
        <f>'PRINTOUT(BOM)'!A18</f>
        <v>Nozzle_Drain</v>
      </c>
      <c r="B17" s="305" t="str">
        <f>'PRINTOUT(BOM)'!B18</f>
        <v>DN30M</v>
      </c>
      <c r="C17" s="305">
        <f>'PRINTOUT(BOM)'!C18</f>
        <v>1</v>
      </c>
      <c r="D17" s="306">
        <f>IFERROR((VLOOKUP(B:B,'0.39'!$B:$G,6,FALSE)),"")</f>
        <v>23</v>
      </c>
      <c r="E17" s="312">
        <f t="shared" si="0"/>
        <v>23</v>
      </c>
      <c r="F17" s="305" t="str">
        <f>'PRINTOUT(BOM)'!E18</f>
        <v>Steel Skid(Main-L)</v>
      </c>
      <c r="G17" s="305" t="str">
        <f>'PRINTOUT(BOM)'!F18</f>
        <v>WFF-0990CLZ</v>
      </c>
      <c r="H17" s="305">
        <f>'PRINTOUT(BOM)'!G18</f>
        <v>11</v>
      </c>
      <c r="I17" s="306">
        <f>IFERROR((VLOOKUP(G:G,'0.39'!$B:$G,6,FALSE)),"")</f>
        <v>13.93</v>
      </c>
      <c r="J17" s="311">
        <f t="shared" si="1"/>
        <v>153.22999999999999</v>
      </c>
      <c r="K17" s="309" t="str">
        <f>'PRINTOUT(BOM)'!E48</f>
        <v>Corner Frame</v>
      </c>
      <c r="L17" s="309" t="str">
        <f>'PRINTOUT(BOM)'!F48</f>
        <v>WCF-1000Z</v>
      </c>
      <c r="M17" s="309">
        <f>'PRINTOUT(BOM)'!G48</f>
        <v>4</v>
      </c>
      <c r="N17" s="306">
        <f>IFERROR((VLOOKUP(L:L,'0.39'!$B:$G,6,FALSE)),"")</f>
        <v>3.3054000000000001</v>
      </c>
      <c r="O17" s="307">
        <f t="shared" si="2"/>
        <v>13.2216</v>
      </c>
      <c r="P17" s="309" t="str">
        <f>'PRINTOUT(BOM)'!I18</f>
        <v>SS316 T/Rod Nut</v>
      </c>
      <c r="Q17" s="309" t="str">
        <f>'PRINTOUT(BOM)'!J18</f>
        <v>M12 NUT(SA4)</v>
      </c>
      <c r="R17" s="309">
        <f>'PRINTOUT(BOM)'!K18</f>
        <v>156</v>
      </c>
      <c r="S17" s="306">
        <f>IFERROR((VLOOKUP(Q:Q,'0.39'!$B:$G,6,FALSE)),"")</f>
        <v>1.5599999999999999E-2</v>
      </c>
      <c r="T17" s="307">
        <f t="shared" si="3"/>
        <v>2.4335999999999998</v>
      </c>
    </row>
    <row r="18" spans="1:27" s="281" customFormat="1" ht="18" customHeight="1">
      <c r="A18" s="305" t="str">
        <f>'PRINTOUT(BOM)'!A19</f>
        <v>Side Top</v>
      </c>
      <c r="B18" s="305" t="str">
        <f>'PRINTOUT(BOM)'!B19</f>
        <v>SL20T</v>
      </c>
      <c r="C18" s="305">
        <f>'PRINTOUT(BOM)'!C19</f>
        <v>30</v>
      </c>
      <c r="D18" s="306">
        <f>IFERROR((VLOOKUP(B:B,'0.39'!$B:$G,6,FALSE)),"")</f>
        <v>28.5</v>
      </c>
      <c r="E18" s="312">
        <f t="shared" si="0"/>
        <v>855</v>
      </c>
      <c r="F18" s="305" t="str">
        <f>'PRINTOUT(BOM)'!E19</f>
        <v>Steel Skid(Main-L)</v>
      </c>
      <c r="G18" s="305" t="str">
        <f>'PRINTOUT(BOM)'!F19</f>
        <v>WFF-2060CSZR</v>
      </c>
      <c r="H18" s="305">
        <f>'PRINTOUT(BOM)'!G19</f>
        <v>2</v>
      </c>
      <c r="I18" s="306">
        <f>IFERROR((VLOOKUP(G:G,'0.39'!$B:$G,6,FALSE)),"")</f>
        <v>28.98</v>
      </c>
      <c r="J18" s="311">
        <f t="shared" si="1"/>
        <v>57.96</v>
      </c>
      <c r="K18" s="309" t="str">
        <f>'PRINTOUT(BOM)'!E49</f>
        <v>Corner Frame</v>
      </c>
      <c r="L18" s="309" t="str">
        <f>'PRINTOUT(BOM)'!F49</f>
        <v>WCF-2000Z</v>
      </c>
      <c r="M18" s="309">
        <f>'PRINTOUT(BOM)'!G49</f>
        <v>4</v>
      </c>
      <c r="N18" s="306">
        <f>IFERROR((VLOOKUP(L:L,'0.39'!$B:$G,6,FALSE)),"")</f>
        <v>6.6108000000000002</v>
      </c>
      <c r="O18" s="307">
        <f t="shared" si="2"/>
        <v>26.443200000000001</v>
      </c>
      <c r="P18" s="309" t="str">
        <f>'PRINTOUT(BOM)'!I19</f>
        <v xml:space="preserve">SS316 T/Rod Washer </v>
      </c>
      <c r="Q18" s="309" t="str">
        <f>'PRINTOUT(BOM)'!J19</f>
        <v>M12 BW(SA4)</v>
      </c>
      <c r="R18" s="309">
        <f>'PRINTOUT(BOM)'!K19</f>
        <v>156</v>
      </c>
      <c r="S18" s="306">
        <f>IFERROR((VLOOKUP(Q:Q,'0.39'!$B:$G,6,FALSE)),"")</f>
        <v>1.5599999999999999E-2</v>
      </c>
      <c r="T18" s="307">
        <f t="shared" si="3"/>
        <v>2.4335999999999998</v>
      </c>
    </row>
    <row r="19" spans="1:27" s="281" customFormat="1" ht="18" customHeight="1">
      <c r="A19" s="305" t="str">
        <f>'PRINTOUT(BOM)'!A20</f>
        <v>Side_Low</v>
      </c>
      <c r="B19" s="305" t="str">
        <f>'PRINTOUT(BOM)'!B20</f>
        <v>SF30L</v>
      </c>
      <c r="C19" s="305">
        <f>'PRINTOUT(BOM)'!C20</f>
        <v>30</v>
      </c>
      <c r="D19" s="306">
        <f>IFERROR((VLOOKUP(B:B,'0.39'!$B:$G,6,FALSE)),"")</f>
        <v>23</v>
      </c>
      <c r="E19" s="312">
        <f t="shared" si="0"/>
        <v>690</v>
      </c>
      <c r="F19" s="305" t="str">
        <f>'PRINTOUT(BOM)'!E20</f>
        <v>Steel Skid(Main-L)</v>
      </c>
      <c r="G19" s="305" t="str">
        <f>'PRINTOUT(BOM)'!F20</f>
        <v>WFF-2060CSZL</v>
      </c>
      <c r="H19" s="305">
        <f>'PRINTOUT(BOM)'!G20</f>
        <v>2</v>
      </c>
      <c r="I19" s="306">
        <f>IFERROR((VLOOKUP(G:G,'0.39'!$B:$G,6,FALSE)),"")</f>
        <v>28.98</v>
      </c>
      <c r="J19" s="311">
        <f t="shared" si="1"/>
        <v>57.96</v>
      </c>
      <c r="K19" s="309" t="str">
        <f>'PRINTOUT(BOM)'!E50</f>
        <v>Cross Plate BKT(2 Hole)</v>
      </c>
      <c r="L19" s="309" t="str">
        <f>'PRINTOUT(BOM)'!F50</f>
        <v>WCP-1780Z</v>
      </c>
      <c r="M19" s="309">
        <f>'PRINTOUT(BOM)'!G50</f>
        <v>34</v>
      </c>
      <c r="N19" s="306">
        <f>IFERROR((VLOOKUP(L:L,'0.39'!$B:$G,6,FALSE)),"")</f>
        <v>0.47220000000000001</v>
      </c>
      <c r="O19" s="307">
        <f t="shared" si="2"/>
        <v>16.0548</v>
      </c>
      <c r="P19" s="309" t="str">
        <f>'PRINTOUT(BOM)'!I20</f>
        <v>STS316 Tie-Rod Connector</v>
      </c>
      <c r="Q19" s="309" t="str">
        <f>'PRINTOUT(BOM)'!J20</f>
        <v>TC-12M60SA4</v>
      </c>
      <c r="R19" s="309">
        <f>'PRINTOUT(BOM)'!K20</f>
        <v>24</v>
      </c>
      <c r="S19" s="306" t="str">
        <f>IFERROR((VLOOKUP(Q:Q,'0.39'!$B:$G,6,FALSE)),"")</f>
        <v/>
      </c>
      <c r="T19" s="307" t="str">
        <f t="shared" si="3"/>
        <v/>
      </c>
      <c r="AA19" s="280"/>
    </row>
    <row r="20" spans="1:27" s="281" customFormat="1" ht="18" customHeight="1">
      <c r="A20" s="305" t="str">
        <f>'PRINTOUT(BOM)'!A21</f>
        <v/>
      </c>
      <c r="B20" s="305">
        <f>'PRINTOUT(BOM)'!B21</f>
        <v>0</v>
      </c>
      <c r="C20" s="305">
        <f>'PRINTOUT(BOM)'!C21</f>
        <v>0</v>
      </c>
      <c r="D20" s="306" t="str">
        <f>IFERROR((VLOOKUP(B:B,'0.39'!$B:$G,6,FALSE)),"")</f>
        <v/>
      </c>
      <c r="E20" s="312" t="str">
        <f t="shared" si="0"/>
        <v/>
      </c>
      <c r="F20" s="305" t="str">
        <f>'PRINTOUT(BOM)'!E21</f>
        <v>Steel Skid(Main-W)</v>
      </c>
      <c r="G20" s="305" t="str">
        <f>'PRINTOUT(BOM)'!F21</f>
        <v>WFF-2000CSZ</v>
      </c>
      <c r="H20" s="305">
        <f>'PRINTOUT(BOM)'!G21</f>
        <v>6</v>
      </c>
      <c r="I20" s="306">
        <f>IFERROR((VLOOKUP(G:G,'0.39'!$B:$G,6,FALSE)),"")</f>
        <v>28.14</v>
      </c>
      <c r="J20" s="311">
        <f t="shared" si="1"/>
        <v>168.84</v>
      </c>
      <c r="K20" s="309" t="str">
        <f>'PRINTOUT(BOM)'!E51</f>
        <v>Cross Plate BKT(4 Hole)</v>
      </c>
      <c r="L20" s="309" t="str">
        <f>'PRINTOUT(BOM)'!F51</f>
        <v>WCP-1616Z</v>
      </c>
      <c r="M20" s="309">
        <f>'PRINTOUT(BOM)'!G51</f>
        <v>26</v>
      </c>
      <c r="N20" s="306" t="str">
        <f>IFERROR((VLOOKUP(L:L,'0.39'!$B:$G,6,FALSE)),"")</f>
        <v/>
      </c>
      <c r="O20" s="307" t="str">
        <f t="shared" si="2"/>
        <v/>
      </c>
      <c r="P20" s="309" t="str">
        <f>'PRINTOUT(BOM)'!I21</f>
        <v/>
      </c>
      <c r="Q20" s="309">
        <f>'PRINTOUT(BOM)'!J21</f>
        <v>0</v>
      </c>
      <c r="R20" s="309">
        <f>'PRINTOUT(BOM)'!K21</f>
        <v>0</v>
      </c>
      <c r="S20" s="306" t="str">
        <f>IFERROR((VLOOKUP(Q:Q,'0.39'!$B:$G,6,FALSE)),"")</f>
        <v/>
      </c>
      <c r="T20" s="307" t="str">
        <f t="shared" si="3"/>
        <v/>
      </c>
      <c r="AA20" s="280"/>
    </row>
    <row r="21" spans="1:27" s="281" customFormat="1" ht="18" customHeight="1">
      <c r="A21" s="305" t="str">
        <f>'PRINTOUT(BOM)'!A22</f>
        <v/>
      </c>
      <c r="B21" s="305">
        <f>'PRINTOUT(BOM)'!B22</f>
        <v>0</v>
      </c>
      <c r="C21" s="305">
        <f>'PRINTOUT(BOM)'!C22</f>
        <v>0</v>
      </c>
      <c r="D21" s="306" t="str">
        <f>IFERROR((VLOOKUP(B:B,'0.39'!$B:$G,6,FALSE)),"")</f>
        <v/>
      </c>
      <c r="E21" s="312" t="str">
        <f t="shared" si="0"/>
        <v/>
      </c>
      <c r="F21" s="305" t="str">
        <f>'PRINTOUT(BOM)'!E22</f>
        <v>Steel Skid(Sub)</v>
      </c>
      <c r="G21" s="305" t="str">
        <f>'PRINTOUT(BOM)'!F22</f>
        <v>WFF-0962AMZ</v>
      </c>
      <c r="H21" s="305">
        <f>'PRINTOUT(BOM)'!G22</f>
        <v>8</v>
      </c>
      <c r="I21" s="306">
        <f>IFERROR((VLOOKUP(G:G,'0.39'!$B:$G,6,FALSE)),"")</f>
        <v>8.1</v>
      </c>
      <c r="J21" s="311">
        <f t="shared" si="1"/>
        <v>64.8</v>
      </c>
      <c r="K21" s="309" t="str">
        <f>'PRINTOUT(BOM)'!E52</f>
        <v/>
      </c>
      <c r="L21" s="309">
        <f>'PRINTOUT(BOM)'!F52</f>
        <v>0</v>
      </c>
      <c r="M21" s="309">
        <f>'PRINTOUT(BOM)'!G52</f>
        <v>0</v>
      </c>
      <c r="N21" s="306" t="str">
        <f>IFERROR((VLOOKUP(L:L,'0.39'!$B:$G,6,FALSE)),"")</f>
        <v/>
      </c>
      <c r="O21" s="307" t="str">
        <f t="shared" si="2"/>
        <v/>
      </c>
      <c r="P21" s="309" t="str">
        <f>'PRINTOUT(BOM)'!I22</f>
        <v/>
      </c>
      <c r="Q21" s="309">
        <f>'PRINTOUT(BOM)'!J22</f>
        <v>0</v>
      </c>
      <c r="R21" s="309">
        <f>'PRINTOUT(BOM)'!K22</f>
        <v>0</v>
      </c>
      <c r="S21" s="306" t="str">
        <f>IFERROR((VLOOKUP(Q:Q,'0.39'!$B:$G,6,FALSE)),"")</f>
        <v/>
      </c>
      <c r="T21" s="307" t="str">
        <f t="shared" si="3"/>
        <v/>
      </c>
    </row>
    <row r="22" spans="1:27" s="281" customFormat="1" ht="18" customHeight="1">
      <c r="A22" s="305" t="str">
        <f>'PRINTOUT(BOM)'!A23</f>
        <v/>
      </c>
      <c r="B22" s="305">
        <f>'PRINTOUT(BOM)'!B23</f>
        <v>0</v>
      </c>
      <c r="C22" s="305">
        <f>'PRINTOUT(BOM)'!C23</f>
        <v>0</v>
      </c>
      <c r="D22" s="306" t="str">
        <f>IFERROR((VLOOKUP(B:B,'0.39'!$B:$G,6,FALSE)),"")</f>
        <v/>
      </c>
      <c r="E22" s="312" t="str">
        <f t="shared" si="0"/>
        <v/>
      </c>
      <c r="F22" s="305" t="str">
        <f>'PRINTOUT(BOM)'!E23</f>
        <v>Steel Skid(Sub)</v>
      </c>
      <c r="G22" s="305" t="str">
        <f>'PRINTOUT(BOM)'!F23</f>
        <v>WFF-1053AMZ</v>
      </c>
      <c r="H22" s="305">
        <f>'PRINTOUT(BOM)'!G23</f>
        <v>4</v>
      </c>
      <c r="I22" s="306">
        <f>IFERROR((VLOOKUP(G:G,'0.39'!$B:$G,6,FALSE)),"")</f>
        <v>8.76</v>
      </c>
      <c r="J22" s="311">
        <f t="shared" si="1"/>
        <v>35.04</v>
      </c>
      <c r="K22" s="309" t="str">
        <f>'PRINTOUT(BOM)'!E53</f>
        <v/>
      </c>
      <c r="L22" s="309">
        <f>'PRINTOUT(BOM)'!F53</f>
        <v>0</v>
      </c>
      <c r="M22" s="309">
        <f>'PRINTOUT(BOM)'!G53</f>
        <v>0</v>
      </c>
      <c r="N22" s="306" t="str">
        <f>IFERROR((VLOOKUP(L:L,'0.39'!$B:$G,6,FALSE)),"")</f>
        <v/>
      </c>
      <c r="O22" s="307" t="str">
        <f t="shared" si="2"/>
        <v/>
      </c>
      <c r="P22" s="309" t="str">
        <f>'PRINTOUT(BOM)'!I23</f>
        <v/>
      </c>
      <c r="Q22" s="309">
        <f>'PRINTOUT(BOM)'!J23</f>
        <v>0</v>
      </c>
      <c r="R22" s="309">
        <f>'PRINTOUT(BOM)'!K23</f>
        <v>0</v>
      </c>
      <c r="S22" s="306" t="str">
        <f>IFERROR((VLOOKUP(Q:Q,'0.39'!$B:$G,6,FALSE)),"")</f>
        <v/>
      </c>
      <c r="T22" s="307" t="str">
        <f t="shared" si="3"/>
        <v/>
      </c>
    </row>
    <row r="23" spans="1:27" s="281" customFormat="1" ht="18" customHeight="1">
      <c r="A23" s="305" t="str">
        <f>'PRINTOUT(BOM)'!A24</f>
        <v/>
      </c>
      <c r="B23" s="305">
        <f>'PRINTOUT(BOM)'!B24</f>
        <v>0</v>
      </c>
      <c r="C23" s="305">
        <f>'PRINTOUT(BOM)'!C24</f>
        <v>0</v>
      </c>
      <c r="D23" s="306" t="str">
        <f>IFERROR((VLOOKUP(B:B,'0.39'!$B:$G,6,FALSE)),"")</f>
        <v/>
      </c>
      <c r="E23" s="312" t="str">
        <f t="shared" si="0"/>
        <v/>
      </c>
      <c r="F23" s="305" t="str">
        <f>'PRINTOUT(BOM)'!E24</f>
        <v>Steel Skid(Sub)</v>
      </c>
      <c r="G23" s="305" t="str">
        <f>'PRINTOUT(BOM)'!F24</f>
        <v>WFF-0994AMZ</v>
      </c>
      <c r="H23" s="305">
        <f>'PRINTOUT(BOM)'!G24</f>
        <v>28</v>
      </c>
      <c r="I23" s="306">
        <f>IFERROR((VLOOKUP(G:G,'0.39'!$B:$G,6,FALSE)),"")</f>
        <v>8.33</v>
      </c>
      <c r="J23" s="311">
        <f t="shared" si="1"/>
        <v>233.24</v>
      </c>
      <c r="K23" s="309" t="str">
        <f>'PRINTOUT(BOM)'!E54</f>
        <v/>
      </c>
      <c r="L23" s="309">
        <f>'PRINTOUT(BOM)'!F54</f>
        <v>0</v>
      </c>
      <c r="M23" s="309">
        <f>'PRINTOUT(BOM)'!G54</f>
        <v>0</v>
      </c>
      <c r="N23" s="306" t="str">
        <f>IFERROR((VLOOKUP(L:L,'0.39'!$B:$G,6,FALSE)),"")</f>
        <v/>
      </c>
      <c r="O23" s="307" t="str">
        <f t="shared" si="2"/>
        <v/>
      </c>
      <c r="P23" s="309" t="str">
        <f>'PRINTOUT(BOM)'!I24</f>
        <v/>
      </c>
      <c r="Q23" s="309" t="str">
        <f>Internal_Tie_rod1!B17</f>
        <v/>
      </c>
      <c r="R23" s="309" t="str">
        <f>Internal_Tie_rod1!C17</f>
        <v/>
      </c>
      <c r="S23" s="309" t="str">
        <f>Internal_Tie_rod1!D17</f>
        <v/>
      </c>
      <c r="T23" s="307" t="str">
        <f t="shared" si="3"/>
        <v/>
      </c>
    </row>
    <row r="24" spans="1:27" s="281" customFormat="1" ht="18" customHeight="1" thickBot="1">
      <c r="A24" s="305" t="str">
        <f>'PRINTOUT(BOM)'!A25</f>
        <v/>
      </c>
      <c r="B24" s="305">
        <f>'PRINTOUT(BOM)'!B25</f>
        <v>0</v>
      </c>
      <c r="C24" s="305">
        <f>'PRINTOUT(BOM)'!C25</f>
        <v>0</v>
      </c>
      <c r="D24" s="306" t="str">
        <f>IFERROR((VLOOKUP(B:B,'0.39'!$B:$G,6,FALSE)),"")</f>
        <v/>
      </c>
      <c r="E24" s="312" t="str">
        <f t="shared" si="0"/>
        <v/>
      </c>
      <c r="F24" s="305" t="str">
        <f>'PRINTOUT(BOM)'!E25</f>
        <v>Liner</v>
      </c>
      <c r="G24" s="305" t="str">
        <f>'PRINTOUT(BOM)'!F25</f>
        <v>LNR-3.0T</v>
      </c>
      <c r="H24" s="305">
        <f>'PRINTOUT(BOM)'!G25</f>
        <v>304</v>
      </c>
      <c r="I24" s="306">
        <f>IFERROR((VLOOKUP(G:G,'0.39'!$B:$G,6,FALSE)),"")</f>
        <v>9.9162E-2</v>
      </c>
      <c r="J24" s="311">
        <f t="shared" si="1"/>
        <v>30.145247999999999</v>
      </c>
      <c r="K24" s="309" t="str">
        <f>'PRINTOUT(BOM)'!E55</f>
        <v/>
      </c>
      <c r="L24" s="309">
        <f>'PRINTOUT(BOM)'!F55</f>
        <v>0</v>
      </c>
      <c r="M24" s="309">
        <f>'PRINTOUT(BOM)'!G55</f>
        <v>0</v>
      </c>
      <c r="N24" s="306" t="str">
        <f>IFERROR((VLOOKUP(L:L,'0.39'!$B:$G,6,FALSE)),"")</f>
        <v/>
      </c>
      <c r="O24" s="307" t="str">
        <f t="shared" si="2"/>
        <v/>
      </c>
      <c r="P24" s="313"/>
      <c r="Q24" s="313"/>
      <c r="R24" s="314"/>
      <c r="S24" s="315"/>
      <c r="T24" s="307">
        <f t="shared" si="3"/>
        <v>0</v>
      </c>
    </row>
    <row r="25" spans="1:27" s="281" customFormat="1" ht="18" customHeight="1">
      <c r="A25" s="305" t="str">
        <f>'PRINTOUT(BOM)'!A26</f>
        <v/>
      </c>
      <c r="B25" s="305">
        <f>'PRINTOUT(BOM)'!B26</f>
        <v>0</v>
      </c>
      <c r="C25" s="305">
        <f>'PRINTOUT(BOM)'!C26</f>
        <v>0</v>
      </c>
      <c r="D25" s="306" t="str">
        <f>IFERROR((VLOOKUP(B:B,'0.39'!$B:$G,6,FALSE)),"")</f>
        <v/>
      </c>
      <c r="E25" s="312" t="str">
        <f t="shared" si="0"/>
        <v/>
      </c>
      <c r="F25" s="305" t="str">
        <f>'PRINTOUT(BOM)'!E26</f>
        <v>Anchor Bracket with bolt and nut set</v>
      </c>
      <c r="G25" s="305" t="str">
        <f>'PRINTOUT(BOM)'!F26</f>
        <v>WBR-5010Z</v>
      </c>
      <c r="H25" s="305">
        <f>'PRINTOUT(BOM)'!G26</f>
        <v>15</v>
      </c>
      <c r="I25" s="306">
        <f>IFERROR((VLOOKUP(G:G,'0.39'!$B:$G,6,FALSE)),"")</f>
        <v>0.35</v>
      </c>
      <c r="J25" s="311">
        <f t="shared" si="1"/>
        <v>5.25</v>
      </c>
      <c r="K25" s="309" t="str">
        <f>'PRINTOUT(BOM)'!E56</f>
        <v/>
      </c>
      <c r="L25" s="309">
        <f>'PRINTOUT(BOM)'!F56</f>
        <v>0</v>
      </c>
      <c r="M25" s="309">
        <f>'PRINTOUT(BOM)'!G56</f>
        <v>0</v>
      </c>
      <c r="N25" s="306" t="str">
        <f>IFERROR((VLOOKUP(L:L,'0.39'!$B:$G,6,FALSE)),"")</f>
        <v/>
      </c>
      <c r="O25" s="307" t="str">
        <f t="shared" si="2"/>
        <v/>
      </c>
      <c r="P25" s="1534" t="s">
        <v>180</v>
      </c>
      <c r="Q25" s="1535"/>
      <c r="R25" s="1535"/>
      <c r="S25" s="1535"/>
      <c r="T25" s="1536"/>
    </row>
    <row r="26" spans="1:27" s="281" customFormat="1" ht="18" customHeight="1" thickBot="1">
      <c r="A26" s="305" t="str">
        <f>'PRINTOUT(BOM)'!A27</f>
        <v/>
      </c>
      <c r="B26" s="305">
        <f>'PRINTOUT(BOM)'!B27</f>
        <v>0</v>
      </c>
      <c r="C26" s="305">
        <f>'PRINTOUT(BOM)'!C27</f>
        <v>0</v>
      </c>
      <c r="D26" s="306" t="str">
        <f>IFERROR((VLOOKUP(B:B,'0.39'!$B:$G,6,FALSE)),"")</f>
        <v/>
      </c>
      <c r="E26" s="312" t="str">
        <f t="shared" si="0"/>
        <v/>
      </c>
      <c r="F26" s="305"/>
      <c r="G26" s="305"/>
      <c r="H26" s="305"/>
      <c r="I26" s="306" t="str">
        <f>IFERROR((VLOOKUP(G:G,'0.39'!$B:$G,6,FALSE)),"")</f>
        <v/>
      </c>
      <c r="J26" s="311" t="str">
        <f t="shared" si="1"/>
        <v/>
      </c>
      <c r="K26" s="309" t="str">
        <f>'PRINTOUT(BOM)'!E57</f>
        <v/>
      </c>
      <c r="L26" s="309">
        <f>'PRINTOUT(BOM)'!F57</f>
        <v>0</v>
      </c>
      <c r="M26" s="309">
        <f>'PRINTOUT(BOM)'!G57</f>
        <v>0</v>
      </c>
      <c r="N26" s="306" t="str">
        <f>IFERROR((VLOOKUP(L:L,'0.39'!$B:$G,6,FALSE)),"")</f>
        <v/>
      </c>
      <c r="O26" s="307" t="str">
        <f t="shared" si="2"/>
        <v/>
      </c>
      <c r="P26" s="301" t="s">
        <v>176</v>
      </c>
      <c r="Q26" s="302" t="s">
        <v>177</v>
      </c>
      <c r="R26" s="303" t="s">
        <v>168</v>
      </c>
      <c r="S26" s="302" t="s">
        <v>288</v>
      </c>
      <c r="T26" s="304" t="s">
        <v>191</v>
      </c>
    </row>
    <row r="27" spans="1:27" s="281" customFormat="1" ht="18" customHeight="1">
      <c r="A27" s="305" t="str">
        <f>'PRINTOUT(BOM)'!A30</f>
        <v/>
      </c>
      <c r="B27" s="305">
        <f>'PRINTOUT(BOM)'!B30</f>
        <v>0</v>
      </c>
      <c r="C27" s="305">
        <f>'PRINTOUT(BOM)'!C30</f>
        <v>0</v>
      </c>
      <c r="D27" s="306" t="str">
        <f>IFERROR((VLOOKUP(B:B,'0.39'!$B:$G,6,FALSE)),"")</f>
        <v/>
      </c>
      <c r="E27" s="312" t="str">
        <f t="shared" si="0"/>
        <v/>
      </c>
      <c r="F27" s="305"/>
      <c r="G27" s="305"/>
      <c r="H27" s="305"/>
      <c r="I27" s="306" t="str">
        <f>IFERROR((VLOOKUP(G:G,'0.39'!$B:$G,6,FALSE)),"")</f>
        <v/>
      </c>
      <c r="J27" s="311" t="str">
        <f t="shared" si="1"/>
        <v/>
      </c>
      <c r="K27" s="309"/>
      <c r="L27" s="309"/>
      <c r="M27" s="309"/>
      <c r="N27" s="306"/>
      <c r="O27" s="311"/>
      <c r="P27" s="1397" t="str">
        <f>'PRINTOUT(BOM)'!I36</f>
        <v xml:space="preserve">Air Vent </v>
      </c>
      <c r="Q27" s="1397" t="str">
        <f>'PRINTOUT(BOM)'!J36</f>
        <v>WAV-0100A</v>
      </c>
      <c r="R27" s="1397">
        <f>'PRINTOUT(BOM)'!K36</f>
        <v>2</v>
      </c>
      <c r="S27" s="306" t="str">
        <f>IFERROR((VLOOKUP(Q:Q,'0.39'!$B:$G,6,FALSE)),"")</f>
        <v/>
      </c>
      <c r="T27" s="307" t="str">
        <f>IFERROR(R27*S27,"")</f>
        <v/>
      </c>
    </row>
    <row r="28" spans="1:27" s="281" customFormat="1" ht="18" customHeight="1">
      <c r="A28" s="305" t="str">
        <f>'PRINTOUT(BOM)'!A31</f>
        <v/>
      </c>
      <c r="B28" s="305">
        <f>'PRINTOUT(BOM)'!B31</f>
        <v>0</v>
      </c>
      <c r="C28" s="305">
        <f>'PRINTOUT(BOM)'!C31</f>
        <v>0</v>
      </c>
      <c r="D28" s="306" t="str">
        <f>IFERROR((VLOOKUP(B:B,'0.39'!$B:$G,6,FALSE)),"")</f>
        <v/>
      </c>
      <c r="E28" s="312" t="str">
        <f t="shared" si="0"/>
        <v/>
      </c>
      <c r="F28" s="305"/>
      <c r="G28" s="305"/>
      <c r="H28" s="305"/>
      <c r="I28" s="306" t="str">
        <f>IFERROR((VLOOKUP(G:G,'0.39'!$B:$G,6,FALSE)),"")</f>
        <v/>
      </c>
      <c r="J28" s="311" t="str">
        <f t="shared" si="1"/>
        <v/>
      </c>
      <c r="K28" s="309"/>
      <c r="L28" s="309"/>
      <c r="M28" s="309"/>
      <c r="N28" s="306"/>
      <c r="O28" s="311"/>
      <c r="P28" s="1397" t="str">
        <f>'PRINTOUT(BOM)'!I37</f>
        <v>Roof Supporter(3.0mH)</v>
      </c>
      <c r="Q28" s="1397" t="str">
        <f>'PRINTOUT(BOM)'!J37</f>
        <v>WRS-3000F</v>
      </c>
      <c r="R28" s="1397">
        <f>'PRINTOUT(BOM)'!K37</f>
        <v>9</v>
      </c>
      <c r="S28" s="306" t="str">
        <f>IFERROR((VLOOKUP(Q:Q,'0.39'!$B:$G,6,FALSE)),"")</f>
        <v/>
      </c>
      <c r="T28" s="307" t="str">
        <f t="shared" ref="T28:T34" si="4">IFERROR(R28*S28,"")</f>
        <v/>
      </c>
    </row>
    <row r="29" spans="1:27" s="281" customFormat="1" ht="18" customHeight="1">
      <c r="A29" s="305" t="str">
        <f>'PRINTOUT(BOM)'!A32</f>
        <v/>
      </c>
      <c r="B29" s="305">
        <f>'PRINTOUT(BOM)'!B32</f>
        <v>0</v>
      </c>
      <c r="C29" s="305">
        <f>'PRINTOUT(BOM)'!C32</f>
        <v>0</v>
      </c>
      <c r="D29" s="306" t="str">
        <f>IFERROR((VLOOKUP(B:B,'0.39'!$B:$G,6,FALSE)),"")</f>
        <v/>
      </c>
      <c r="E29" s="312" t="str">
        <f t="shared" si="0"/>
        <v/>
      </c>
      <c r="F29" s="305"/>
      <c r="G29" s="305"/>
      <c r="H29" s="305"/>
      <c r="I29" s="306" t="str">
        <f>IFERROR((VLOOKUP(G:G,'0.39'!$B:$G,6,FALSE)),"")</f>
        <v/>
      </c>
      <c r="J29" s="311" t="str">
        <f t="shared" si="1"/>
        <v/>
      </c>
      <c r="K29" s="309"/>
      <c r="L29" s="309"/>
      <c r="M29" s="309"/>
      <c r="N29" s="306"/>
      <c r="O29" s="311"/>
      <c r="P29" s="1397" t="str">
        <f>'PRINTOUT(BOM)'!I38</f>
        <v>Internal Ladder(3.0mH)</v>
      </c>
      <c r="Q29" s="1397" t="str">
        <f>'PRINTOUT(BOM)'!J38</f>
        <v>WLD-3000FI</v>
      </c>
      <c r="R29" s="1397">
        <f>'PRINTOUT(BOM)'!K38</f>
        <v>1</v>
      </c>
      <c r="S29" s="306">
        <f>IFERROR((VLOOKUP(Q:Q,'0.39'!$B:$G,6,FALSE)),"")</f>
        <v>8.1000000000000014</v>
      </c>
      <c r="T29" s="307">
        <f t="shared" si="4"/>
        <v>8.1000000000000014</v>
      </c>
    </row>
    <row r="30" spans="1:27" s="281" customFormat="1" ht="18" customHeight="1">
      <c r="A30" s="305" t="str">
        <f>'PRINTOUT(BOM)'!A33</f>
        <v/>
      </c>
      <c r="B30" s="305">
        <f>'PRINTOUT(BOM)'!B33</f>
        <v>0</v>
      </c>
      <c r="C30" s="305">
        <f>'PRINTOUT(BOM)'!C33</f>
        <v>0</v>
      </c>
      <c r="D30" s="306" t="str">
        <f>IFERROR((VLOOKUP(B:B,'0.39'!$B:$G,6,FALSE)),"")</f>
        <v/>
      </c>
      <c r="E30" s="312" t="str">
        <f t="shared" si="0"/>
        <v/>
      </c>
      <c r="F30" s="305"/>
      <c r="G30" s="305"/>
      <c r="H30" s="305"/>
      <c r="I30" s="306" t="str">
        <f>IFERROR((VLOOKUP(G:G,'0.39'!$B:$G,6,FALSE)),"")</f>
        <v/>
      </c>
      <c r="J30" s="311" t="str">
        <f t="shared" si="1"/>
        <v/>
      </c>
      <c r="K30" s="309"/>
      <c r="L30" s="309"/>
      <c r="M30" s="309"/>
      <c r="N30" s="306"/>
      <c r="O30" s="311"/>
      <c r="P30" s="1397" t="str">
        <f>'PRINTOUT(BOM)'!I39</f>
        <v>EX-Ladder(3mH)</v>
      </c>
      <c r="Q30" s="1397" t="str">
        <f>'PRINTOUT(BOM)'!J39</f>
        <v>WLD-3000ZO</v>
      </c>
      <c r="R30" s="1397">
        <f>'PRINTOUT(BOM)'!K39</f>
        <v>1</v>
      </c>
      <c r="S30" s="306">
        <f>IFERROR((VLOOKUP(Q:Q,'0.39'!$B:$G,6,FALSE)),"")</f>
        <v>5.6</v>
      </c>
      <c r="T30" s="307">
        <f t="shared" si="4"/>
        <v>5.6</v>
      </c>
    </row>
    <row r="31" spans="1:27" s="281" customFormat="1" ht="18" customHeight="1" thickBot="1">
      <c r="A31" s="305" t="str">
        <f>'PRINTOUT(BOM)'!A34</f>
        <v/>
      </c>
      <c r="B31" s="305">
        <f>'PRINTOUT(BOM)'!B34</f>
        <v>0</v>
      </c>
      <c r="C31" s="305">
        <f>'PRINTOUT(BOM)'!C34</f>
        <v>0</v>
      </c>
      <c r="D31" s="306" t="str">
        <f>IFERROR((VLOOKUP(B:B,'0.39'!$B:$G,6,FALSE)),"")</f>
        <v/>
      </c>
      <c r="E31" s="312" t="str">
        <f t="shared" si="0"/>
        <v/>
      </c>
      <c r="F31" s="305"/>
      <c r="G31" s="305"/>
      <c r="H31" s="305"/>
      <c r="I31" s="306" t="str">
        <f>IFERROR((VLOOKUP(G:G,'0.39'!$B:$G,6,FALSE)),"")</f>
        <v/>
      </c>
      <c r="J31" s="311" t="str">
        <f t="shared" si="1"/>
        <v/>
      </c>
      <c r="K31" s="313"/>
      <c r="L31" s="313"/>
      <c r="M31" s="313"/>
      <c r="N31" s="315"/>
      <c r="O31" s="316">
        <f>SUM(O14:O30)</f>
        <v>285.852555</v>
      </c>
      <c r="P31" s="1397" t="str">
        <f>'PRINTOUT(BOM)'!I40</f>
        <v>Silicon</v>
      </c>
      <c r="Q31" s="1397" t="str">
        <f>'PRINTOUT(BOM)'!J40</f>
        <v>Silicon</v>
      </c>
      <c r="R31" s="1397">
        <f>'PRINTOUT(BOM)'!K40</f>
        <v>5</v>
      </c>
      <c r="S31" s="306" t="str">
        <f>IFERROR((VLOOKUP(Q:Q,'0.39'!$B:$G,6,FALSE)),"")</f>
        <v/>
      </c>
      <c r="T31" s="307" t="str">
        <f t="shared" si="4"/>
        <v/>
      </c>
    </row>
    <row r="32" spans="1:27" s="281" customFormat="1" ht="18" customHeight="1">
      <c r="A32" s="305" t="str">
        <f>'PRINTOUT(BOM)'!A35</f>
        <v/>
      </c>
      <c r="B32" s="305">
        <f>'PRINTOUT(BOM)'!B35</f>
        <v>0</v>
      </c>
      <c r="C32" s="305">
        <f>'PRINTOUT(BOM)'!C35</f>
        <v>0</v>
      </c>
      <c r="D32" s="306" t="str">
        <f>IFERROR((VLOOKUP(B:B,'0.39'!$B:$G,6,FALSE)),"")</f>
        <v/>
      </c>
      <c r="E32" s="312" t="str">
        <f t="shared" si="0"/>
        <v/>
      </c>
      <c r="F32" s="305" t="str">
        <f>'PRINTOUT(COST)'!F33</f>
        <v/>
      </c>
      <c r="G32" s="305" t="str">
        <f>'PRINTOUT(COST)'!G33</f>
        <v/>
      </c>
      <c r="H32" s="305" t="str">
        <f>'PRINTOUT(COST)'!H33</f>
        <v/>
      </c>
      <c r="I32" s="306" t="str">
        <f>IFERROR((VLOOKUP(G:G,'0.39'!$B:$G,6,FALSE)),"")</f>
        <v/>
      </c>
      <c r="J32" s="311" t="str">
        <f t="shared" si="1"/>
        <v/>
      </c>
      <c r="K32" s="1537" t="s">
        <v>195</v>
      </c>
      <c r="L32" s="1538"/>
      <c r="M32" s="1538"/>
      <c r="N32" s="1538"/>
      <c r="O32" s="1539"/>
      <c r="P32" s="1397" t="str">
        <f>'PRINTOUT(BOM)'!I41</f>
        <v>Level Indicator</v>
      </c>
      <c r="Q32" s="1397" t="str">
        <f>'PRINTOUT(BOM)'!J41</f>
        <v>WLV-3000SET(G)</v>
      </c>
      <c r="R32" s="1397">
        <f>'PRINTOUT(BOM)'!K41</f>
        <v>1</v>
      </c>
      <c r="S32" s="306" t="str">
        <f>IFERROR((VLOOKUP(Q:Q,'0.39'!$B:$G,6,FALSE)),"")</f>
        <v/>
      </c>
      <c r="T32" s="307" t="str">
        <f t="shared" si="4"/>
        <v/>
      </c>
    </row>
    <row r="33" spans="1:20" s="281" customFormat="1" ht="18" customHeight="1" thickBot="1">
      <c r="A33" s="305" t="str">
        <f>'PRINTOUT(BOM)'!A36</f>
        <v/>
      </c>
      <c r="B33" s="305">
        <f>'PRINTOUT(BOM)'!B36</f>
        <v>0</v>
      </c>
      <c r="C33" s="305">
        <f>'PRINTOUT(BOM)'!C36</f>
        <v>0</v>
      </c>
      <c r="D33" s="306" t="str">
        <f>IFERROR((VLOOKUP(B:B,'0.39'!$B:$G,6,FALSE)),"")</f>
        <v/>
      </c>
      <c r="E33" s="312" t="str">
        <f t="shared" si="0"/>
        <v/>
      </c>
      <c r="F33" s="317"/>
      <c r="G33" s="318" t="s">
        <v>49</v>
      </c>
      <c r="H33" s="319"/>
      <c r="I33" s="318"/>
      <c r="J33" s="320">
        <f>SUM(J14:J32)</f>
        <v>1445.7852480000001</v>
      </c>
      <c r="K33" s="301" t="s">
        <v>176</v>
      </c>
      <c r="L33" s="302" t="s">
        <v>177</v>
      </c>
      <c r="M33" s="303" t="s">
        <v>168</v>
      </c>
      <c r="N33" s="302" t="s">
        <v>288</v>
      </c>
      <c r="O33" s="304" t="s">
        <v>191</v>
      </c>
      <c r="P33" s="1397" t="str">
        <f>'PRINTOUT(BOM)'!I42</f>
        <v>Sealing Tape</v>
      </c>
      <c r="Q33" s="1397" t="str">
        <f>'PRINTOUT(BOM)'!J42</f>
        <v>WST-0050RO</v>
      </c>
      <c r="R33" s="1397">
        <f>'PRINTOUT(BOM)'!K42</f>
        <v>658.48</v>
      </c>
      <c r="S33" s="306" t="str">
        <f>IFERROR((VLOOKUP(Q:Q,'0.39'!$B:$G,6,FALSE)),"")</f>
        <v/>
      </c>
      <c r="T33" s="307" t="str">
        <f t="shared" si="4"/>
        <v/>
      </c>
    </row>
    <row r="34" spans="1:20" s="281" customFormat="1">
      <c r="A34" s="305" t="str">
        <f>'PRINTOUT(BOM)'!A37</f>
        <v/>
      </c>
      <c r="B34" s="305">
        <f>'PRINTOUT(BOM)'!B37</f>
        <v>0</v>
      </c>
      <c r="C34" s="305">
        <f>'PRINTOUT(BOM)'!C37</f>
        <v>0</v>
      </c>
      <c r="D34" s="306" t="str">
        <f>IFERROR((VLOOKUP(B:B,'0.39'!$B:$G,6,FALSE)),"")</f>
        <v/>
      </c>
      <c r="E34" s="312" t="str">
        <f t="shared" si="0"/>
        <v/>
      </c>
      <c r="F34" s="1534" t="s">
        <v>193</v>
      </c>
      <c r="G34" s="1535"/>
      <c r="H34" s="1535"/>
      <c r="I34" s="1535"/>
      <c r="J34" s="1536"/>
      <c r="K34" s="309" t="str">
        <f>Internal_Reinforcing!A8</f>
        <v>IN-BRKT(2 tierod)_SS316</v>
      </c>
      <c r="L34" s="309" t="str">
        <f>Internal_Reinforcing!B8</f>
        <v>WCP-17160SA4</v>
      </c>
      <c r="M34" s="309">
        <f>Internal_Reinforcing!C8</f>
        <v>26</v>
      </c>
      <c r="N34" s="306">
        <f>IFERROR((VLOOKUP(L:L,'0.39'!$B:$G,6,FALSE)),"")</f>
        <v>2.0147200000000001</v>
      </c>
      <c r="O34" s="311">
        <f t="shared" ref="O34:O45" si="5">IFERROR(M34*N34,"")</f>
        <v>52.382719999999999</v>
      </c>
      <c r="P34" s="1397" t="str">
        <f>'PRINTOUT(BOM)'!I43</f>
        <v>Sealing Tape</v>
      </c>
      <c r="Q34" s="1397" t="str">
        <f>'PRINTOUT(BOM)'!J43</f>
        <v>WST-0120RO</v>
      </c>
      <c r="R34" s="1397">
        <f>'PRINTOUT(BOM)'!K43</f>
        <v>13</v>
      </c>
      <c r="S34" s="306" t="str">
        <f>IFERROR((VLOOKUP(Q:Q,'0.39'!$B:$G,6,FALSE)),"")</f>
        <v/>
      </c>
      <c r="T34" s="307" t="str">
        <f t="shared" si="4"/>
        <v/>
      </c>
    </row>
    <row r="35" spans="1:20" s="281" customFormat="1" ht="18" customHeight="1" thickBot="1">
      <c r="A35" s="305" t="str">
        <f>'PRINTOUT(BOM)'!A38</f>
        <v/>
      </c>
      <c r="B35" s="305">
        <f>'PRINTOUT(BOM)'!B38</f>
        <v>0</v>
      </c>
      <c r="C35" s="305">
        <f>'PRINTOUT(BOM)'!C38</f>
        <v>0</v>
      </c>
      <c r="D35" s="306" t="str">
        <f>IFERROR((VLOOKUP(B:B,'0.39'!$B:$G,6,FALSE)),"")</f>
        <v/>
      </c>
      <c r="E35" s="312" t="str">
        <f t="shared" si="0"/>
        <v/>
      </c>
      <c r="F35" s="301" t="s">
        <v>176</v>
      </c>
      <c r="G35" s="302" t="s">
        <v>177</v>
      </c>
      <c r="H35" s="303" t="s">
        <v>168</v>
      </c>
      <c r="I35" s="302" t="s">
        <v>288</v>
      </c>
      <c r="J35" s="304" t="s">
        <v>191</v>
      </c>
      <c r="K35" s="309" t="str">
        <f>Internal_Reinforcing!A9</f>
        <v>IN-BRKT(1 tierod)_SS316</v>
      </c>
      <c r="L35" s="309" t="str">
        <f>Internal_Reinforcing!B9</f>
        <v>WCP-1760SA4</v>
      </c>
      <c r="M35" s="309">
        <f>Internal_Reinforcing!C9</f>
        <v>26</v>
      </c>
      <c r="N35" s="306">
        <f>IFERROR((VLOOKUP(L:L,'0.39'!$B:$G,6,FALSE)),"")</f>
        <v>0.75551999999999997</v>
      </c>
      <c r="O35" s="311">
        <f t="shared" si="5"/>
        <v>19.643519999999999</v>
      </c>
      <c r="P35" s="1397"/>
      <c r="Q35" s="1397"/>
      <c r="R35" s="1397"/>
      <c r="S35" s="306"/>
      <c r="T35" s="307"/>
    </row>
    <row r="36" spans="1:20" s="281" customFormat="1" ht="18" customHeight="1">
      <c r="A36" s="305" t="str">
        <f>'PRINTOUT(BOM)'!A39</f>
        <v/>
      </c>
      <c r="B36" s="305">
        <f>'PRINTOUT(BOM)'!B39</f>
        <v>0</v>
      </c>
      <c r="C36" s="305">
        <f>'PRINTOUT(BOM)'!C39</f>
        <v>0</v>
      </c>
      <c r="D36" s="306" t="str">
        <f>IFERROR((VLOOKUP(B:B,'0.39'!$B:$G,6,FALSE)),"")</f>
        <v/>
      </c>
      <c r="E36" s="321" t="str">
        <f t="shared" si="0"/>
        <v/>
      </c>
      <c r="F36" s="322" t="str">
        <f>'PRINTOUT(BOM)'!E32</f>
        <v>HDG  Bolt and Nuts Set</v>
      </c>
      <c r="G36" s="322" t="str">
        <f>'PRINTOUT(BOM)'!F32</f>
        <v>WBT-1440Z</v>
      </c>
      <c r="H36" s="322">
        <f>'PRINTOUT(BOM)'!G32</f>
        <v>223</v>
      </c>
      <c r="I36" s="306">
        <f>IFERROR((VLOOKUP(G:G,'0.39'!$B:$G,6,FALSE)),"")</f>
        <v>4.9000000000000002E-2</v>
      </c>
      <c r="J36" s="323">
        <f t="shared" ref="J36:J44" si="6">IFERROR(H36*I36,"")</f>
        <v>10.927</v>
      </c>
      <c r="K36" s="309" t="str">
        <f>Internal_Reinforcing!A10</f>
        <v>Corner BRKT(SS316)</v>
      </c>
      <c r="L36" s="309" t="str">
        <f>Internal_Reinforcing!B10</f>
        <v>WBR-9090SA4</v>
      </c>
      <c r="M36" s="309">
        <f>Internal_Reinforcing!C10</f>
        <v>4</v>
      </c>
      <c r="N36" s="306">
        <f>IFERROR((VLOOKUP(L:L,'0.39'!$B:$G,6,FALSE)),"")</f>
        <v>0.78</v>
      </c>
      <c r="O36" s="311">
        <f t="shared" si="5"/>
        <v>3.12</v>
      </c>
      <c r="P36" s="1397"/>
      <c r="Q36" s="1397"/>
      <c r="R36" s="1397"/>
      <c r="S36" s="306"/>
      <c r="T36" s="307"/>
    </row>
    <row r="37" spans="1:20" s="281" customFormat="1" ht="18" customHeight="1">
      <c r="A37" s="305" t="str">
        <f>'PRINTOUT(BOM)'!A40</f>
        <v/>
      </c>
      <c r="B37" s="305">
        <f>'PRINTOUT(BOM)'!B40</f>
        <v>0</v>
      </c>
      <c r="C37" s="305">
        <f>'PRINTOUT(BOM)'!C40</f>
        <v>0</v>
      </c>
      <c r="D37" s="306" t="str">
        <f>IFERROR((VLOOKUP(B:B,'0.39'!$B:$G,6,FALSE)),"")</f>
        <v/>
      </c>
      <c r="E37" s="321" t="str">
        <f t="shared" si="0"/>
        <v/>
      </c>
      <c r="F37" s="322" t="str">
        <f>'PRINTOUT(BOM)'!E33</f>
        <v>M10x35mm(HDG)</v>
      </c>
      <c r="G37" s="322" t="str">
        <f>'PRINTOUT(BOM)'!F33</f>
        <v>WBT-1035Z</v>
      </c>
      <c r="H37" s="322">
        <f>'PRINTOUT(BOM)'!G33</f>
        <v>196</v>
      </c>
      <c r="I37" s="306">
        <f>IFERROR((VLOOKUP(G:G,'0.39'!$B:$G,6,FALSE)),"")</f>
        <v>7.0000000000000007E-2</v>
      </c>
      <c r="J37" s="323">
        <f t="shared" si="6"/>
        <v>13.72</v>
      </c>
      <c r="K37" s="309" t="str">
        <f>Internal_Reinforcing!A11</f>
        <v/>
      </c>
      <c r="L37" s="309" t="str">
        <f>Internal_Reinforcing!B11</f>
        <v/>
      </c>
      <c r="M37" s="309" t="str">
        <f>Internal_Reinforcing!C11</f>
        <v/>
      </c>
      <c r="N37" s="306" t="str">
        <f>IFERROR((VLOOKUP(L:L,'0.39'!$B:$G,6,FALSE)),"")</f>
        <v/>
      </c>
      <c r="O37" s="311" t="str">
        <f t="shared" si="5"/>
        <v/>
      </c>
      <c r="P37" s="1397"/>
      <c r="Q37" s="1397"/>
      <c r="R37" s="1397"/>
      <c r="S37" s="306"/>
      <c r="T37" s="307"/>
    </row>
    <row r="38" spans="1:20" s="281" customFormat="1" ht="18" customHeight="1">
      <c r="A38" s="305" t="str">
        <f>'PRINTOUT(BOM)'!A42</f>
        <v/>
      </c>
      <c r="B38" s="305">
        <f>'PRINTOUT(BOM)'!B42</f>
        <v>0</v>
      </c>
      <c r="C38" s="305">
        <f>'PRINTOUT(BOM)'!C42</f>
        <v>0</v>
      </c>
      <c r="D38" s="306" t="str">
        <f>IFERROR((VLOOKUP(B:B,'0.39'!$B:$G,6,FALSE)),"")</f>
        <v/>
      </c>
      <c r="E38" s="321" t="str">
        <f t="shared" si="0"/>
        <v/>
      </c>
      <c r="F38" s="322" t="str">
        <f>'PRINTOUT(BOM)'!E34</f>
        <v>M10x50mm(HDG)</v>
      </c>
      <c r="G38" s="322" t="str">
        <f>'PRINTOUT(BOM)'!F34</f>
        <v>WBT-1050Z</v>
      </c>
      <c r="H38" s="322">
        <f>'PRINTOUT(BOM)'!G34</f>
        <v>1784</v>
      </c>
      <c r="I38" s="306">
        <f>IFERROR((VLOOKUP(G:G,'0.39'!$B:$G,6,FALSE)),"")</f>
        <v>7.0000000000000007E-2</v>
      </c>
      <c r="J38" s="323">
        <f t="shared" si="6"/>
        <v>124.88000000000001</v>
      </c>
      <c r="K38" s="309" t="str">
        <f>Internal_Reinforcing!A12</f>
        <v/>
      </c>
      <c r="L38" s="309" t="str">
        <f>Internal_Reinforcing!B12</f>
        <v/>
      </c>
      <c r="M38" s="309" t="str">
        <f>Internal_Reinforcing!C12</f>
        <v/>
      </c>
      <c r="N38" s="306" t="str">
        <f>IFERROR((VLOOKUP(L:L,'0.39'!$B:$G,6,FALSE)),"")</f>
        <v/>
      </c>
      <c r="O38" s="311" t="str">
        <f t="shared" si="5"/>
        <v/>
      </c>
      <c r="P38" s="313"/>
      <c r="Q38" s="313"/>
      <c r="R38" s="314"/>
      <c r="S38" s="315"/>
      <c r="T38" s="316">
        <f>SUM(T27:T37)</f>
        <v>13.700000000000001</v>
      </c>
    </row>
    <row r="39" spans="1:20" s="281" customFormat="1" ht="18" customHeight="1" thickBot="1">
      <c r="A39" s="305" t="str">
        <f>'PRINTOUT(BOM)'!A43</f>
        <v/>
      </c>
      <c r="B39" s="305">
        <f>'PRINTOUT(BOM)'!B43</f>
        <v>0</v>
      </c>
      <c r="C39" s="305">
        <f>'PRINTOUT(BOM)'!C43</f>
        <v>0</v>
      </c>
      <c r="D39" s="306" t="str">
        <f>IFERROR((VLOOKUP(B:B,'0.39'!$B:$G,6,FALSE)),"")</f>
        <v/>
      </c>
      <c r="E39" s="321" t="str">
        <f t="shared" si="0"/>
        <v/>
      </c>
      <c r="F39" s="322" t="str">
        <f>'PRINTOUT(BOM)'!E35</f>
        <v>M10x35mm(SS316)</v>
      </c>
      <c r="G39" s="322" t="str">
        <f>'PRINTOUT(BOM)'!F35</f>
        <v>WBT-1035SA4</v>
      </c>
      <c r="H39" s="322">
        <f>'PRINTOUT(BOM)'!G35</f>
        <v>340</v>
      </c>
      <c r="I39" s="306">
        <f>IFERROR((VLOOKUP(G:G,'0.39'!$B:$G,6,FALSE)),"")</f>
        <v>6.6600000000000006E-2</v>
      </c>
      <c r="J39" s="323">
        <f t="shared" si="6"/>
        <v>22.644000000000002</v>
      </c>
      <c r="K39" s="309" t="str">
        <f>Internal_Reinforcing!A13</f>
        <v/>
      </c>
      <c r="L39" s="309" t="str">
        <f>Internal_Reinforcing!B13</f>
        <v/>
      </c>
      <c r="M39" s="309" t="str">
        <f>Internal_Reinforcing!C13</f>
        <v/>
      </c>
      <c r="N39" s="306" t="str">
        <f>IFERROR((VLOOKUP(L:L,'0.39'!$B:$G,6,FALSE)),"")</f>
        <v/>
      </c>
      <c r="O39" s="311" t="str">
        <f t="shared" si="5"/>
        <v/>
      </c>
      <c r="P39" s="324"/>
      <c r="Q39" s="324"/>
      <c r="R39" s="325"/>
      <c r="S39" s="324"/>
      <c r="T39" s="324"/>
    </row>
    <row r="40" spans="1:20" s="281" customFormat="1" ht="18" customHeight="1">
      <c r="A40" s="305" t="str">
        <f>'PRINTOUT(BOM)'!A44</f>
        <v/>
      </c>
      <c r="B40" s="305">
        <f>'PRINTOUT(BOM)'!B44</f>
        <v>0</v>
      </c>
      <c r="C40" s="305">
        <f>'PRINTOUT(BOM)'!C44</f>
        <v>0</v>
      </c>
      <c r="D40" s="306" t="str">
        <f>IFERROR((VLOOKUP(B:B,'0.39'!$B:$G,6,FALSE)),"")</f>
        <v/>
      </c>
      <c r="E40" s="321" t="str">
        <f t="shared" si="0"/>
        <v/>
      </c>
      <c r="F40" s="322" t="str">
        <f>'PRINTOUT(BOM)'!E36</f>
        <v>M10x50mm(SS316)</v>
      </c>
      <c r="G40" s="322" t="str">
        <f>'PRINTOUT(BOM)'!F36</f>
        <v>WBT-1050SA4</v>
      </c>
      <c r="H40" s="322">
        <f>'PRINTOUT(BOM)'!G36</f>
        <v>120</v>
      </c>
      <c r="I40" s="306">
        <f>IFERROR((VLOOKUP(G:G,'0.39'!$B:$G,6,FALSE)),"")</f>
        <v>6.6600000000000006E-2</v>
      </c>
      <c r="J40" s="323">
        <f t="shared" si="6"/>
        <v>7.9920000000000009</v>
      </c>
      <c r="K40" s="309" t="str">
        <f>Internal_Reinforcing!A14</f>
        <v/>
      </c>
      <c r="L40" s="309" t="str">
        <f>Internal_Reinforcing!B14</f>
        <v/>
      </c>
      <c r="M40" s="309" t="str">
        <f>Internal_Reinforcing!C14</f>
        <v/>
      </c>
      <c r="N40" s="306" t="str">
        <f>IFERROR((VLOOKUP(L:L,'0.39'!$B:$G,6,FALSE)),"")</f>
        <v/>
      </c>
      <c r="O40" s="311" t="str">
        <f t="shared" si="5"/>
        <v/>
      </c>
      <c r="P40" s="1534" t="s">
        <v>197</v>
      </c>
      <c r="Q40" s="1535"/>
      <c r="R40" s="1535"/>
      <c r="S40" s="1535"/>
      <c r="T40" s="1536"/>
    </row>
    <row r="41" spans="1:20" s="281" customFormat="1" ht="18" customHeight="1" thickBot="1">
      <c r="A41" s="305" t="str">
        <f>'PRINTOUT(BOM)'!A45</f>
        <v/>
      </c>
      <c r="B41" s="305">
        <f>'PRINTOUT(BOM)'!B45</f>
        <v>0</v>
      </c>
      <c r="C41" s="305">
        <f>'PRINTOUT(BOM)'!C45</f>
        <v>0</v>
      </c>
      <c r="D41" s="306" t="str">
        <f>IFERROR((VLOOKUP(B:B,'0.39'!$B:$G,6,FALSE)),"")</f>
        <v/>
      </c>
      <c r="E41" s="321" t="str">
        <f t="shared" si="0"/>
        <v/>
      </c>
      <c r="F41" s="322" t="str">
        <f>'PRINTOUT(BOM)'!E37</f>
        <v>M12x40mm(HDG)</v>
      </c>
      <c r="G41" s="322" t="str">
        <f>'PRINTOUT(BOM)'!F37</f>
        <v>WBT-1240Z</v>
      </c>
      <c r="H41" s="322">
        <f>'PRINTOUT(BOM)'!G37</f>
        <v>60</v>
      </c>
      <c r="I41" s="306" t="str">
        <f>IFERROR((VLOOKUP(G:G,'0.39'!$B:$G,6,FALSE)),"")</f>
        <v/>
      </c>
      <c r="J41" s="323" t="str">
        <f t="shared" si="6"/>
        <v/>
      </c>
      <c r="K41" s="309" t="str">
        <f>Internal_Reinforcing!A15</f>
        <v/>
      </c>
      <c r="L41" s="309" t="str">
        <f>Internal_Reinforcing!B15</f>
        <v/>
      </c>
      <c r="M41" s="309" t="str">
        <f>Internal_Reinforcing!C15</f>
        <v/>
      </c>
      <c r="N41" s="306" t="str">
        <f>IFERROR((VLOOKUP(L:L,'0.39'!$B:$G,6,FALSE)),"")</f>
        <v/>
      </c>
      <c r="O41" s="311" t="str">
        <f t="shared" si="5"/>
        <v/>
      </c>
      <c r="P41" s="301" t="s">
        <v>176</v>
      </c>
      <c r="Q41" s="302" t="s">
        <v>177</v>
      </c>
      <c r="R41" s="303" t="s">
        <v>168</v>
      </c>
      <c r="S41" s="302" t="s">
        <v>288</v>
      </c>
      <c r="T41" s="304" t="s">
        <v>191</v>
      </c>
    </row>
    <row r="42" spans="1:20" s="281" customFormat="1" ht="18" customHeight="1">
      <c r="A42" s="305" t="str">
        <f>'PRINTOUT(BOM)'!A46</f>
        <v/>
      </c>
      <c r="B42" s="305">
        <f>'PRINTOUT(BOM)'!B46</f>
        <v>0</v>
      </c>
      <c r="C42" s="305">
        <f>'PRINTOUT(BOM)'!C46</f>
        <v>0</v>
      </c>
      <c r="D42" s="306" t="str">
        <f>IFERROR((VLOOKUP(B:B,'0.39'!$B:$G,6,FALSE)),"")</f>
        <v/>
      </c>
      <c r="E42" s="321" t="str">
        <f t="shared" si="0"/>
        <v/>
      </c>
      <c r="F42" s="322" t="str">
        <f>'PRINTOUT(BOM)'!E38</f>
        <v>M14x120mm(Rubber HDG)</v>
      </c>
      <c r="G42" s="322" t="str">
        <f>'PRINTOUT(BOM)'!F38</f>
        <v>WBT-14120RD</v>
      </c>
      <c r="H42" s="322">
        <f>'PRINTOUT(BOM)'!G38</f>
        <v>172</v>
      </c>
      <c r="I42" s="306">
        <f>IFERROR((VLOOKUP(G:G,'0.39'!$B:$G,6,FALSE)),"")</f>
        <v>0.28000000000000003</v>
      </c>
      <c r="J42" s="323">
        <f t="shared" si="6"/>
        <v>48.160000000000004</v>
      </c>
      <c r="K42" s="309" t="str">
        <f>Internal_Reinforcing!A16</f>
        <v/>
      </c>
      <c r="L42" s="309" t="str">
        <f>Internal_Reinforcing!B16</f>
        <v/>
      </c>
      <c r="M42" s="309" t="str">
        <f>Internal_Reinforcing!C16</f>
        <v/>
      </c>
      <c r="N42" s="306" t="str">
        <f>IFERROR((VLOOKUP(L:L,'0.39'!$B:$G,6,FALSE)),"")</f>
        <v/>
      </c>
      <c r="O42" s="311" t="str">
        <f t="shared" si="5"/>
        <v/>
      </c>
      <c r="P42" s="308" t="str">
        <f>IF(Q42="","",(VLOOKUP(Q:Q,'0.39'!$B:$B,2,FALSE)))</f>
        <v/>
      </c>
      <c r="Q42" s="309" t="str">
        <f>Fittings!B1</f>
        <v/>
      </c>
      <c r="R42" s="310" t="str">
        <f>Fittings!C1</f>
        <v/>
      </c>
      <c r="S42" s="306" t="str">
        <f>IFERROR((VLOOKUP(Q:Q,'0.39'!$B:$G,6,FALSE)),"")</f>
        <v/>
      </c>
      <c r="T42" s="307" t="str">
        <f>IFERROR(R42*S42,"")</f>
        <v/>
      </c>
    </row>
    <row r="43" spans="1:20" s="281" customFormat="1" ht="18" customHeight="1">
      <c r="A43" s="305" t="str">
        <f>'PRINTOUT(BOM)'!A47</f>
        <v/>
      </c>
      <c r="B43" s="305">
        <f>'PRINTOUT(BOM)'!B47</f>
        <v>0</v>
      </c>
      <c r="C43" s="305">
        <f>'PRINTOUT(BOM)'!C47</f>
        <v>0</v>
      </c>
      <c r="D43" s="306" t="str">
        <f>IFERROR((VLOOKUP(B:B,'0.39'!$B:$G,6,FALSE)),"")</f>
        <v/>
      </c>
      <c r="E43" s="321" t="str">
        <f t="shared" si="0"/>
        <v/>
      </c>
      <c r="F43" s="322" t="str">
        <f>'PRINTOUT(BOM)'!E39</f>
        <v/>
      </c>
      <c r="G43" s="322">
        <f>'PRINTOUT(BOM)'!F39</f>
        <v>0</v>
      </c>
      <c r="H43" s="322">
        <f>'PRINTOUT(BOM)'!G39</f>
        <v>0</v>
      </c>
      <c r="I43" s="306" t="str">
        <f>IFERROR((VLOOKUP(G:G,'0.39'!$B:$G,6,FALSE)),"")</f>
        <v/>
      </c>
      <c r="J43" s="323" t="str">
        <f t="shared" si="6"/>
        <v/>
      </c>
      <c r="K43" s="309" t="str">
        <f>Internal_Reinforcing!A17</f>
        <v/>
      </c>
      <c r="L43" s="309" t="str">
        <f>Internal_Reinforcing!B17</f>
        <v/>
      </c>
      <c r="M43" s="309" t="str">
        <f>Internal_Reinforcing!C17</f>
        <v/>
      </c>
      <c r="N43" s="306" t="str">
        <f>IFERROR((VLOOKUP(L:L,'0.39'!$B:$G,6,FALSE)),"")</f>
        <v/>
      </c>
      <c r="O43" s="311" t="str">
        <f t="shared" si="5"/>
        <v/>
      </c>
      <c r="P43" s="308" t="str">
        <f>IF(Q43="","",(VLOOKUP(Q:Q,'0.39'!$B:$B,2,FALSE)))</f>
        <v/>
      </c>
      <c r="Q43" s="309" t="str">
        <f>Fittings!B2</f>
        <v/>
      </c>
      <c r="R43" s="310" t="str">
        <f>Fittings!C2</f>
        <v/>
      </c>
      <c r="S43" s="306" t="str">
        <f>IFERROR((VLOOKUP(Q:Q,'0.39'!$B:$G,6,FALSE)),"")</f>
        <v/>
      </c>
      <c r="T43" s="307" t="str">
        <f t="shared" ref="T43:T52" si="7">IFERROR(R43*S43,"")</f>
        <v/>
      </c>
    </row>
    <row r="44" spans="1:20" s="281" customFormat="1" ht="18" customHeight="1">
      <c r="A44" s="305" t="str">
        <f>'PRINTOUT(BOM)'!A48</f>
        <v/>
      </c>
      <c r="B44" s="305">
        <f>'PRINTOUT(BOM)'!B48</f>
        <v>0</v>
      </c>
      <c r="C44" s="305">
        <f>'PRINTOUT(BOM)'!C48</f>
        <v>0</v>
      </c>
      <c r="D44" s="306" t="str">
        <f>IFERROR((VLOOKUP(B:B,'0.39'!$B:$G,6,FALSE)),"")</f>
        <v/>
      </c>
      <c r="E44" s="321" t="str">
        <f t="shared" si="0"/>
        <v/>
      </c>
      <c r="F44" s="322" t="str">
        <f>'PRINTOUT(BOM)'!E40</f>
        <v/>
      </c>
      <c r="G44" s="322">
        <f>'PRINTOUT(BOM)'!F40</f>
        <v>0</v>
      </c>
      <c r="H44" s="322">
        <f>'PRINTOUT(BOM)'!G40</f>
        <v>0</v>
      </c>
      <c r="I44" s="306" t="str">
        <f>IFERROR((VLOOKUP(G:G,'0.39'!$B:$G,6,FALSE)),"")</f>
        <v/>
      </c>
      <c r="J44" s="323" t="str">
        <f t="shared" si="6"/>
        <v/>
      </c>
      <c r="K44" s="309" t="str">
        <f>Internal_Reinforcing!A18</f>
        <v/>
      </c>
      <c r="L44" s="309" t="str">
        <f>Internal_Reinforcing!B18</f>
        <v/>
      </c>
      <c r="M44" s="309" t="str">
        <f>Internal_Reinforcing!C18</f>
        <v/>
      </c>
      <c r="N44" s="306" t="str">
        <f>IFERROR((VLOOKUP(L:L,'0.39'!$B:$G,6,FALSE)),"")</f>
        <v/>
      </c>
      <c r="O44" s="311" t="str">
        <f t="shared" si="5"/>
        <v/>
      </c>
      <c r="P44" s="308" t="str">
        <f>IF(Q44="","",(VLOOKUP(Q:Q,'0.39'!$B:$B,2,FALSE)))</f>
        <v/>
      </c>
      <c r="Q44" s="309" t="str">
        <f>Fittings!B3</f>
        <v/>
      </c>
      <c r="R44" s="310" t="str">
        <f>Fittings!C3</f>
        <v/>
      </c>
      <c r="S44" s="306" t="str">
        <f>IFERROR((VLOOKUP(Q:Q,'0.39'!$B:$G,6,FALSE)),"")</f>
        <v/>
      </c>
      <c r="T44" s="307" t="str">
        <f t="shared" si="7"/>
        <v/>
      </c>
    </row>
    <row r="45" spans="1:20" s="281" customFormat="1" ht="18" customHeight="1">
      <c r="A45" s="305" t="str">
        <f>'PRINTOUT(BOM)'!A49</f>
        <v/>
      </c>
      <c r="B45" s="305">
        <f>'PRINTOUT(BOM)'!B49</f>
        <v>0</v>
      </c>
      <c r="C45" s="305">
        <f>'PRINTOUT(BOM)'!C49</f>
        <v>0</v>
      </c>
      <c r="D45" s="306" t="str">
        <f>IFERROR((VLOOKUP(B:B,'0.39'!$B:$G,6,FALSE)),"")</f>
        <v/>
      </c>
      <c r="E45" s="321" t="str">
        <f t="shared" si="0"/>
        <v/>
      </c>
      <c r="F45" s="322" t="str">
        <f>'PRINTOUT(BOM)'!E41</f>
        <v/>
      </c>
      <c r="G45" s="322">
        <f>'PRINTOUT(BOM)'!F41</f>
        <v>0</v>
      </c>
      <c r="H45" s="322">
        <f>'PRINTOUT(BOM)'!G41</f>
        <v>0</v>
      </c>
      <c r="I45" s="306" t="str">
        <f>IFERROR((VLOOKUP(G:G,'0.39'!$B:$G,6,FALSE)),"")</f>
        <v/>
      </c>
      <c r="J45" s="323"/>
      <c r="K45" s="309" t="str">
        <f>Internal_Reinforcing!A19</f>
        <v/>
      </c>
      <c r="L45" s="309" t="str">
        <f>Internal_Reinforcing!B19</f>
        <v/>
      </c>
      <c r="M45" s="309" t="str">
        <f>Internal_Reinforcing!C19</f>
        <v/>
      </c>
      <c r="N45" s="306" t="str">
        <f>IFERROR((VLOOKUP(L:L,'0.39'!$B:$G,6,FALSE)),"")</f>
        <v/>
      </c>
      <c r="O45" s="311" t="str">
        <f t="shared" si="5"/>
        <v/>
      </c>
      <c r="P45" s="308" t="str">
        <f>IF(Q45="","",(VLOOKUP(Q:Q,'0.39'!$B:$B,2,FALSE)))</f>
        <v/>
      </c>
      <c r="Q45" s="309" t="str">
        <f>Fittings!B4</f>
        <v/>
      </c>
      <c r="R45" s="310" t="str">
        <f>Fittings!C4</f>
        <v/>
      </c>
      <c r="S45" s="306" t="str">
        <f>IFERROR((VLOOKUP(Q:Q,'0.39'!$B:$G,6,FALSE)),"")</f>
        <v/>
      </c>
      <c r="T45" s="307" t="str">
        <f t="shared" si="7"/>
        <v/>
      </c>
    </row>
    <row r="46" spans="1:20" s="281" customFormat="1" ht="18" customHeight="1">
      <c r="A46" s="305" t="str">
        <f>'PRINTOUT(BOM)'!A50</f>
        <v/>
      </c>
      <c r="B46" s="305">
        <f>'PRINTOUT(BOM)'!B50</f>
        <v>0</v>
      </c>
      <c r="C46" s="305">
        <f>'PRINTOUT(BOM)'!C50</f>
        <v>0</v>
      </c>
      <c r="D46" s="306" t="str">
        <f>IFERROR((VLOOKUP(B:B,'0.39'!$B:$G,6,FALSE)),"")</f>
        <v/>
      </c>
      <c r="E46" s="321"/>
      <c r="F46" s="322" t="str">
        <f>'PRINTOUT(BOM)'!E42</f>
        <v/>
      </c>
      <c r="G46" s="322">
        <f>'PRINTOUT(BOM)'!F42</f>
        <v>0</v>
      </c>
      <c r="H46" s="322">
        <f>'PRINTOUT(BOM)'!G42</f>
        <v>0</v>
      </c>
      <c r="I46" s="322"/>
      <c r="J46" s="323"/>
      <c r="K46" s="309" t="str">
        <f>Internal_Reinforcing!A20</f>
        <v/>
      </c>
      <c r="L46" s="309" t="str">
        <f>Internal_Reinforcing!B20</f>
        <v/>
      </c>
      <c r="M46" s="309"/>
      <c r="N46" s="306" t="str">
        <f>IFERROR((VLOOKUP(L:L,'0.39'!$B:$G,6,FALSE)),"")</f>
        <v/>
      </c>
      <c r="O46" s="311"/>
      <c r="P46" s="308" t="str">
        <f>IF(Q46="","",(VLOOKUP(Q:Q,'0.39'!$B:$B,2,FALSE)))</f>
        <v/>
      </c>
      <c r="Q46" s="309" t="str">
        <f>Fittings!B5</f>
        <v/>
      </c>
      <c r="R46" s="310" t="str">
        <f>Fittings!C5</f>
        <v/>
      </c>
      <c r="S46" s="306" t="str">
        <f>IFERROR((VLOOKUP(Q:Q,'0.39'!$B:$G,6,FALSE)),"")</f>
        <v/>
      </c>
      <c r="T46" s="307" t="str">
        <f t="shared" si="7"/>
        <v/>
      </c>
    </row>
    <row r="47" spans="1:20" s="281" customFormat="1" ht="18" customHeight="1">
      <c r="A47" s="305" t="str">
        <f>'PRINTOUT(BOM)'!A51</f>
        <v/>
      </c>
      <c r="B47" s="305">
        <f>'PRINTOUT(BOM)'!B51</f>
        <v>0</v>
      </c>
      <c r="C47" s="305">
        <f>'PRINTOUT(BOM)'!C51</f>
        <v>0</v>
      </c>
      <c r="D47" s="306" t="str">
        <f>IFERROR((VLOOKUP(B:B,'0.39'!$B:$G,6,FALSE)),"")</f>
        <v/>
      </c>
      <c r="E47" s="321"/>
      <c r="F47" s="322"/>
      <c r="G47" s="322">
        <f>'PRINTOUT(BOM)'!F43</f>
        <v>0</v>
      </c>
      <c r="H47" s="322">
        <f>'PRINTOUT(BOM)'!G43</f>
        <v>0</v>
      </c>
      <c r="I47" s="306"/>
      <c r="J47" s="323"/>
      <c r="K47" s="309" t="str">
        <f>Internal_Reinforcing!A21</f>
        <v/>
      </c>
      <c r="L47" s="309" t="str">
        <f>Internal_Reinforcing!B21</f>
        <v/>
      </c>
      <c r="M47" s="309"/>
      <c r="N47" s="306" t="str">
        <f>IFERROR((VLOOKUP(L:L,'0.39'!$B:$G,6,FALSE)),"")</f>
        <v/>
      </c>
      <c r="O47" s="311"/>
      <c r="P47" s="308" t="str">
        <f>IF(Q47="","",(VLOOKUP(Q:Q,'0.39'!$B:$B,2,FALSE)))</f>
        <v/>
      </c>
      <c r="Q47" s="309" t="str">
        <f>Fittings!B6</f>
        <v/>
      </c>
      <c r="R47" s="310" t="str">
        <f>Fittings!C6</f>
        <v/>
      </c>
      <c r="S47" s="306" t="str">
        <f>IFERROR((VLOOKUP(Q:Q,'0.39'!$B:$G,6,FALSE)),"")</f>
        <v/>
      </c>
      <c r="T47" s="307" t="str">
        <f t="shared" si="7"/>
        <v/>
      </c>
    </row>
    <row r="48" spans="1:20" s="281" customFormat="1" ht="18" customHeight="1">
      <c r="A48" s="305" t="str">
        <f>'PRINTOUT(BOM)'!A52</f>
        <v/>
      </c>
      <c r="B48" s="305">
        <f>'PRINTOUT(BOM)'!B52</f>
        <v>0</v>
      </c>
      <c r="C48" s="305">
        <f>'PRINTOUT(BOM)'!C52</f>
        <v>0</v>
      </c>
      <c r="D48" s="306" t="str">
        <f>IFERROR((VLOOKUP(B:B,'0.39'!$B:$G,6,FALSE)),"")</f>
        <v/>
      </c>
      <c r="E48" s="321"/>
      <c r="F48" s="322"/>
      <c r="G48" s="322"/>
      <c r="H48" s="322"/>
      <c r="I48" s="306"/>
      <c r="J48" s="323"/>
      <c r="K48" s="309" t="str">
        <f>Internal_Reinforcing!A22</f>
        <v/>
      </c>
      <c r="L48" s="309" t="str">
        <f>Internal_Reinforcing!B22</f>
        <v/>
      </c>
      <c r="M48" s="309"/>
      <c r="N48" s="306" t="str">
        <f>IFERROR((VLOOKUP(L:L,'0.39'!$B:$G,6,FALSE)),"")</f>
        <v/>
      </c>
      <c r="O48" s="311"/>
      <c r="P48" s="308" t="str">
        <f>IF(Q48="","",(VLOOKUP(Q:Q,'0.39'!$B:$B,2,FALSE)))</f>
        <v/>
      </c>
      <c r="Q48" s="309" t="str">
        <f>Fittings!B7</f>
        <v/>
      </c>
      <c r="R48" s="310" t="str">
        <f>Fittings!C7</f>
        <v/>
      </c>
      <c r="S48" s="306" t="str">
        <f>IFERROR((VLOOKUP(Q:Q,'0.39'!$B:$G,6,FALSE)),"")</f>
        <v/>
      </c>
      <c r="T48" s="307" t="str">
        <f t="shared" si="7"/>
        <v/>
      </c>
    </row>
    <row r="49" spans="1:20" s="281" customFormat="1" ht="18" customHeight="1">
      <c r="A49" s="305" t="str">
        <f>'PRINTOUT(BOM)'!A53</f>
        <v/>
      </c>
      <c r="B49" s="305">
        <f>'PRINTOUT(BOM)'!B53</f>
        <v>0</v>
      </c>
      <c r="C49" s="305">
        <f>'PRINTOUT(BOM)'!C53</f>
        <v>0</v>
      </c>
      <c r="D49" s="306" t="str">
        <f>IFERROR((VLOOKUP(B:B,'0.39'!$B:$G,6,FALSE)),"")</f>
        <v/>
      </c>
      <c r="E49" s="321"/>
      <c r="F49" s="322"/>
      <c r="G49" s="322"/>
      <c r="H49" s="322"/>
      <c r="I49" s="306"/>
      <c r="J49" s="323"/>
      <c r="K49" s="309" t="str">
        <f>Internal_Reinforcing!A23</f>
        <v/>
      </c>
      <c r="L49" s="309" t="str">
        <f>Internal_Reinforcing!B23</f>
        <v/>
      </c>
      <c r="M49" s="309"/>
      <c r="N49" s="306" t="str">
        <f>IFERROR((VLOOKUP(L:L,'0.39'!$B:$G,6,FALSE)),"")</f>
        <v/>
      </c>
      <c r="O49" s="311"/>
      <c r="P49" s="308" t="str">
        <f>IF(Q49="","",(VLOOKUP(Q:Q,'0.39'!$B:$B,2,FALSE)))</f>
        <v/>
      </c>
      <c r="Q49" s="309" t="str">
        <f>Fittings!B8</f>
        <v/>
      </c>
      <c r="R49" s="310" t="str">
        <f>Fittings!C8</f>
        <v/>
      </c>
      <c r="S49" s="306" t="str">
        <f>IFERROR((VLOOKUP(Q:Q,'0.39'!$B:$G,6,FALSE)),"")</f>
        <v/>
      </c>
      <c r="T49" s="307" t="str">
        <f t="shared" si="7"/>
        <v/>
      </c>
    </row>
    <row r="50" spans="1:20" s="281" customFormat="1" ht="18" customHeight="1">
      <c r="A50" s="305" t="str">
        <f>'PRINTOUT(BOM)'!A54</f>
        <v/>
      </c>
      <c r="B50" s="305">
        <f>'PRINTOUT(BOM)'!B54</f>
        <v>0</v>
      </c>
      <c r="C50" s="305">
        <f>'PRINTOUT(BOM)'!C54</f>
        <v>0</v>
      </c>
      <c r="D50" s="306" t="str">
        <f>IFERROR((VLOOKUP(B:B,'0.39'!$B:$G,6,FALSE)),"")</f>
        <v/>
      </c>
      <c r="E50" s="321"/>
      <c r="F50" s="322"/>
      <c r="G50" s="322"/>
      <c r="H50" s="322"/>
      <c r="I50" s="306"/>
      <c r="J50" s="323"/>
      <c r="K50" s="309" t="str">
        <f>Internal_Reinforcing!A24</f>
        <v/>
      </c>
      <c r="L50" s="309" t="str">
        <f>Internal_Reinforcing!B24</f>
        <v/>
      </c>
      <c r="M50" s="309"/>
      <c r="N50" s="306" t="str">
        <f>IFERROR((VLOOKUP(L:L,'0.39'!$B:$G,6,FALSE)),"")</f>
        <v/>
      </c>
      <c r="O50" s="311"/>
      <c r="P50" s="308" t="str">
        <f>IF(Q50="","",(VLOOKUP(Q:Q,'0.39'!$B:$B,2,FALSE)))</f>
        <v/>
      </c>
      <c r="Q50" s="309" t="str">
        <f>Fittings!B9</f>
        <v/>
      </c>
      <c r="R50" s="310" t="str">
        <f>Fittings!C9</f>
        <v/>
      </c>
      <c r="S50" s="306" t="str">
        <f>IFERROR((VLOOKUP(Q:Q,'0.39'!$B:$G,6,FALSE)),"")</f>
        <v/>
      </c>
      <c r="T50" s="307" t="str">
        <f t="shared" si="7"/>
        <v/>
      </c>
    </row>
    <row r="51" spans="1:20" s="281" customFormat="1" ht="18" customHeight="1">
      <c r="A51" s="305" t="str">
        <f>'PRINTOUT(BOM)'!A55</f>
        <v/>
      </c>
      <c r="B51" s="305">
        <f>'PRINTOUT(BOM)'!B55</f>
        <v>0</v>
      </c>
      <c r="C51" s="305">
        <f>'PRINTOUT(BOM)'!C55</f>
        <v>0</v>
      </c>
      <c r="D51" s="306" t="str">
        <f>IFERROR((VLOOKUP(B:B,'0.39'!$B:$G,6,FALSE)),"")</f>
        <v/>
      </c>
      <c r="E51" s="321"/>
      <c r="F51" s="322"/>
      <c r="G51" s="322"/>
      <c r="H51" s="322"/>
      <c r="I51" s="306"/>
      <c r="J51" s="323"/>
      <c r="K51" s="309"/>
      <c r="L51" s="309"/>
      <c r="M51" s="309"/>
      <c r="N51" s="306"/>
      <c r="O51" s="311"/>
      <c r="P51" s="308"/>
      <c r="Q51" s="309"/>
      <c r="R51" s="310" t="str">
        <f>Fittings!C10</f>
        <v/>
      </c>
      <c r="S51" s="306" t="str">
        <f>IFERROR((VLOOKUP(Q:Q,'0.39'!$B:$G,6,FALSE)),"")</f>
        <v/>
      </c>
      <c r="T51" s="307" t="str">
        <f t="shared" si="7"/>
        <v/>
      </c>
    </row>
    <row r="52" spans="1:20" s="281" customFormat="1" ht="18" customHeight="1">
      <c r="A52" s="305" t="str">
        <f>'PRINTOUT(BOM)'!A58</f>
        <v/>
      </c>
      <c r="B52" s="305">
        <f>'PRINTOUT(BOM)'!B58</f>
        <v>0</v>
      </c>
      <c r="C52" s="305">
        <f>'PRINTOUT(BOM)'!C58</f>
        <v>0</v>
      </c>
      <c r="D52" s="306" t="str">
        <f>IFERROR((VLOOKUP(B:B,'0.39'!$B:$G,6,FALSE)),"")</f>
        <v/>
      </c>
      <c r="E52" s="312" t="str">
        <f t="shared" si="0"/>
        <v/>
      </c>
      <c r="F52" s="322"/>
      <c r="G52" s="322"/>
      <c r="H52" s="322"/>
      <c r="I52" s="306"/>
      <c r="J52" s="326"/>
      <c r="K52" s="309"/>
      <c r="L52" s="309"/>
      <c r="M52" s="309"/>
      <c r="N52" s="306"/>
      <c r="O52" s="311"/>
      <c r="P52" s="308"/>
      <c r="Q52" s="309"/>
      <c r="R52" s="310" t="str">
        <f>Fittings!C11</f>
        <v/>
      </c>
      <c r="S52" s="306" t="str">
        <f>IFERROR((VLOOKUP(Q:Q,'0.39'!$B:$G,6,FALSE)),"")</f>
        <v/>
      </c>
      <c r="T52" s="307" t="str">
        <f t="shared" si="7"/>
        <v/>
      </c>
    </row>
    <row r="53" spans="1:20" s="281" customFormat="1" ht="18" customHeight="1" thickBot="1">
      <c r="A53" s="305" t="str">
        <f>'PRINTOUT(BOM)'!A59</f>
        <v/>
      </c>
      <c r="B53" s="305">
        <f>'PRINTOUT(BOM)'!B59</f>
        <v>0</v>
      </c>
      <c r="C53" s="305">
        <f>'PRINTOUT(BOM)'!C59</f>
        <v>0</v>
      </c>
      <c r="D53" s="306" t="str">
        <f>IFERROR((VLOOKUP(B:B,'0.39'!$B:$G,6,FALSE)),"")</f>
        <v/>
      </c>
      <c r="E53" s="312" t="str">
        <f t="shared" si="0"/>
        <v/>
      </c>
      <c r="F53" s="322"/>
      <c r="G53" s="322"/>
      <c r="H53" s="322"/>
      <c r="I53" s="306"/>
      <c r="J53" s="311"/>
      <c r="K53" s="309"/>
      <c r="L53" s="309"/>
      <c r="M53" s="309"/>
      <c r="N53" s="306"/>
      <c r="O53" s="311"/>
      <c r="P53" s="308"/>
      <c r="Q53" s="309"/>
      <c r="R53" s="310" t="str">
        <f>Fittings!C12</f>
        <v/>
      </c>
      <c r="S53" s="306" t="str">
        <f>IFERROR((VLOOKUP(Q:Q,'0.39'!$B:$G,6,FALSE)),"")</f>
        <v/>
      </c>
      <c r="T53" s="307" t="str">
        <f>IFERROR(R53*S53,"")</f>
        <v/>
      </c>
    </row>
    <row r="54" spans="1:20" s="281" customFormat="1" ht="18" customHeight="1" thickBot="1">
      <c r="A54" s="327"/>
      <c r="B54" s="328"/>
      <c r="C54" s="329">
        <f>SUM(C14:C53)</f>
        <v>160</v>
      </c>
      <c r="D54" s="330"/>
      <c r="E54" s="331">
        <f>SUM(E14:E53)</f>
        <v>3053</v>
      </c>
      <c r="F54" s="332"/>
      <c r="G54" s="330"/>
      <c r="H54" s="329"/>
      <c r="I54" s="330"/>
      <c r="J54" s="331">
        <f>SUM(J36:J53)</f>
        <v>228.32300000000001</v>
      </c>
      <c r="K54" s="333"/>
      <c r="L54" s="334"/>
      <c r="M54" s="335"/>
      <c r="N54" s="336"/>
      <c r="O54" s="331">
        <f>SUM(O34:O53)</f>
        <v>75.146240000000006</v>
      </c>
      <c r="P54" s="333"/>
      <c r="Q54" s="330"/>
      <c r="R54" s="335"/>
      <c r="S54" s="334"/>
      <c r="T54" s="331">
        <f>SUM(T42:T53)</f>
        <v>0</v>
      </c>
    </row>
    <row r="55" spans="1:20" s="268" customFormat="1" ht="18.75" customHeight="1" thickBot="1">
      <c r="B55" s="269"/>
      <c r="C55" s="271"/>
      <c r="E55" s="1540" t="s">
        <v>408</v>
      </c>
      <c r="F55" s="1541"/>
      <c r="H55" s="271"/>
      <c r="M55" s="270"/>
      <c r="O55" s="270"/>
      <c r="Q55" s="281"/>
      <c r="R55" s="270"/>
    </row>
    <row r="56" spans="1:20" s="268" customFormat="1" ht="24" customHeight="1">
      <c r="A56" s="453" t="s">
        <v>183</v>
      </c>
      <c r="B56" s="454">
        <f>E54</f>
        <v>3053</v>
      </c>
      <c r="C56" s="1526">
        <f>B56/B64</f>
        <v>0.59841541913838303</v>
      </c>
      <c r="D56" s="1526"/>
      <c r="E56" s="453" t="s">
        <v>183</v>
      </c>
      <c r="F56" s="455">
        <f>ROUNDUP(B56,-4)</f>
        <v>10000</v>
      </c>
      <c r="G56" s="178"/>
      <c r="H56" s="178"/>
      <c r="I56" s="1542" t="s">
        <v>404</v>
      </c>
      <c r="J56" s="456" t="s">
        <v>405</v>
      </c>
      <c r="K56" s="457">
        <f>F56/BASIC_TOOL!J11</f>
        <v>52.631578947368418</v>
      </c>
      <c r="L56" s="271"/>
      <c r="Q56" s="281"/>
      <c r="R56" s="270"/>
    </row>
    <row r="57" spans="1:20" s="268" customFormat="1" ht="24" customHeight="1">
      <c r="A57" s="453" t="s">
        <v>182</v>
      </c>
      <c r="B57" s="454">
        <f>J33</f>
        <v>1445.7852480000001</v>
      </c>
      <c r="C57" s="1526">
        <f>B57/B64</f>
        <v>0.28338689327416022</v>
      </c>
      <c r="D57" s="1526"/>
      <c r="E57" s="453" t="s">
        <v>182</v>
      </c>
      <c r="F57" s="455">
        <f t="shared" ref="F57:F63" si="8">ROUNDUP(B57,-4)</f>
        <v>10000</v>
      </c>
      <c r="G57" s="178"/>
      <c r="H57" s="178"/>
      <c r="I57" s="1543"/>
      <c r="J57" s="458" t="s">
        <v>406</v>
      </c>
      <c r="K57" s="459">
        <f>SUM(F57:F63)/BASIC_TOOL!J11</f>
        <v>263.15789473684208</v>
      </c>
      <c r="L57" s="271"/>
      <c r="Q57" s="281"/>
      <c r="R57" s="270"/>
    </row>
    <row r="58" spans="1:20" s="268" customFormat="1" ht="24" customHeight="1" thickBot="1">
      <c r="A58" s="453" t="s">
        <v>199</v>
      </c>
      <c r="B58" s="454">
        <f>J54</f>
        <v>228.32300000000001</v>
      </c>
      <c r="C58" s="1526">
        <f>B58/B64</f>
        <v>4.4753358579735683E-2</v>
      </c>
      <c r="D58" s="1526"/>
      <c r="E58" s="453" t="s">
        <v>199</v>
      </c>
      <c r="F58" s="455">
        <f t="shared" si="8"/>
        <v>10000</v>
      </c>
      <c r="G58" s="178"/>
      <c r="H58" s="178"/>
      <c r="I58" s="1544"/>
      <c r="J58" s="460" t="s">
        <v>394</v>
      </c>
      <c r="K58" s="461">
        <f>ROUNDUP(SUM(K56:K57),-3)</f>
        <v>1000</v>
      </c>
      <c r="L58" s="337"/>
      <c r="Q58" s="281"/>
      <c r="R58" s="270"/>
    </row>
    <row r="59" spans="1:20" s="268" customFormat="1" ht="24" customHeight="1" thickBot="1">
      <c r="A59" s="453" t="s">
        <v>200</v>
      </c>
      <c r="B59" s="454">
        <f>O31</f>
        <v>285.852555</v>
      </c>
      <c r="C59" s="1526">
        <f>B59/B64</f>
        <v>5.6029668035408674E-2</v>
      </c>
      <c r="D59" s="1526"/>
      <c r="E59" s="453" t="s">
        <v>200</v>
      </c>
      <c r="F59" s="455">
        <f t="shared" si="8"/>
        <v>10000</v>
      </c>
      <c r="G59" s="462"/>
      <c r="H59" s="110"/>
      <c r="I59" s="463"/>
      <c r="J59" s="464"/>
      <c r="K59" s="178"/>
      <c r="M59" s="270"/>
      <c r="Q59" s="281"/>
      <c r="R59" s="270"/>
    </row>
    <row r="60" spans="1:20" s="268" customFormat="1" ht="24" customHeight="1">
      <c r="A60" s="453" t="s">
        <v>181</v>
      </c>
      <c r="B60" s="454">
        <f>O54</f>
        <v>75.146240000000006</v>
      </c>
      <c r="C60" s="1526">
        <f>B60/B64</f>
        <v>1.4729337931959885E-2</v>
      </c>
      <c r="D60" s="1526"/>
      <c r="E60" s="453" t="s">
        <v>181</v>
      </c>
      <c r="F60" s="455">
        <f t="shared" si="8"/>
        <v>10000</v>
      </c>
      <c r="G60" s="178"/>
      <c r="H60" s="187"/>
      <c r="I60" s="1528" t="s">
        <v>407</v>
      </c>
      <c r="J60" s="1530" t="s">
        <v>394</v>
      </c>
      <c r="K60" s="1532">
        <f>B64/BASIC_TOOL!H11</f>
        <v>34.012046953333339</v>
      </c>
      <c r="L60" s="269"/>
      <c r="M60" s="270"/>
      <c r="Q60" s="281"/>
      <c r="R60" s="270"/>
    </row>
    <row r="61" spans="1:20" s="268" customFormat="1" ht="24" customHeight="1" thickBot="1">
      <c r="A61" s="465" t="s">
        <v>201</v>
      </c>
      <c r="B61" s="466">
        <f>T24</f>
        <v>0</v>
      </c>
      <c r="C61" s="1526">
        <f>B61/B64</f>
        <v>0</v>
      </c>
      <c r="D61" s="1526"/>
      <c r="E61" s="465" t="s">
        <v>201</v>
      </c>
      <c r="F61" s="455">
        <f t="shared" si="8"/>
        <v>0</v>
      </c>
      <c r="G61" s="178"/>
      <c r="H61" s="187"/>
      <c r="I61" s="1529"/>
      <c r="J61" s="1531"/>
      <c r="K61" s="1533"/>
      <c r="L61" s="300"/>
      <c r="M61" s="300"/>
      <c r="N61" s="300"/>
      <c r="Q61" s="281"/>
      <c r="R61" s="270"/>
    </row>
    <row r="62" spans="1:20" s="268" customFormat="1" ht="24" customHeight="1">
      <c r="A62" s="467" t="s">
        <v>180</v>
      </c>
      <c r="B62" s="454">
        <f>T38</f>
        <v>13.700000000000001</v>
      </c>
      <c r="C62" s="1526">
        <f>B62/B64</f>
        <v>2.6853230403523906E-3</v>
      </c>
      <c r="D62" s="1526"/>
      <c r="E62" s="467" t="s">
        <v>180</v>
      </c>
      <c r="F62" s="455">
        <f t="shared" si="8"/>
        <v>10000</v>
      </c>
      <c r="G62" s="178"/>
      <c r="H62" s="187"/>
      <c r="I62" s="179"/>
      <c r="J62" s="111"/>
      <c r="K62" s="468"/>
      <c r="L62" s="339"/>
      <c r="M62" s="300"/>
      <c r="N62" s="338"/>
      <c r="Q62" s="281"/>
      <c r="R62" s="270"/>
    </row>
    <row r="63" spans="1:20" s="268" customFormat="1" ht="24" customHeight="1">
      <c r="A63" s="467" t="s">
        <v>197</v>
      </c>
      <c r="B63" s="454">
        <f>T54</f>
        <v>0</v>
      </c>
      <c r="C63" s="1526">
        <f>B63/B64</f>
        <v>0</v>
      </c>
      <c r="D63" s="1526"/>
      <c r="E63" s="467" t="s">
        <v>197</v>
      </c>
      <c r="F63" s="455">
        <f t="shared" si="8"/>
        <v>0</v>
      </c>
      <c r="G63" s="178"/>
      <c r="H63" s="187"/>
      <c r="I63" s="179"/>
      <c r="J63" s="111"/>
      <c r="K63" s="468"/>
      <c r="L63" s="339"/>
      <c r="M63" s="300"/>
      <c r="N63" s="338"/>
      <c r="Q63" s="281"/>
      <c r="R63" s="270"/>
    </row>
    <row r="64" spans="1:20" s="268" customFormat="1">
      <c r="A64" s="467" t="s">
        <v>191</v>
      </c>
      <c r="B64" s="469">
        <f>B56+B57+B58+B59+B60+B61+B62+B63</f>
        <v>5101.8070430000007</v>
      </c>
      <c r="C64" s="1527">
        <f>SUM(C56:D63)</f>
        <v>0.99999999999999989</v>
      </c>
      <c r="D64" s="1527"/>
      <c r="E64" s="467" t="s">
        <v>191</v>
      </c>
      <c r="F64" s="469">
        <f>SUM(F56:F63)</f>
        <v>60000</v>
      </c>
      <c r="G64" s="178"/>
      <c r="H64" s="111"/>
      <c r="I64" s="178"/>
      <c r="J64" s="178" t="s">
        <v>50</v>
      </c>
      <c r="K64" s="178"/>
      <c r="M64" s="270"/>
      <c r="Q64" s="281"/>
      <c r="R64" s="270"/>
    </row>
    <row r="65" spans="2:18" s="268" customFormat="1">
      <c r="B65" s="340"/>
      <c r="C65" s="269"/>
      <c r="F65" s="270"/>
      <c r="H65" s="269"/>
      <c r="M65" s="270"/>
      <c r="Q65" s="281"/>
      <c r="R65" s="270"/>
    </row>
  </sheetData>
  <mergeCells count="25">
    <mergeCell ref="A2:T2"/>
    <mergeCell ref="K5:M5"/>
    <mergeCell ref="A12:E12"/>
    <mergeCell ref="F12:J12"/>
    <mergeCell ref="K12:O12"/>
    <mergeCell ref="P12:T12"/>
    <mergeCell ref="H7:I7"/>
    <mergeCell ref="I60:I61"/>
    <mergeCell ref="J60:J61"/>
    <mergeCell ref="K60:K61"/>
    <mergeCell ref="C61:D61"/>
    <mergeCell ref="P25:T25"/>
    <mergeCell ref="K32:O32"/>
    <mergeCell ref="F34:J34"/>
    <mergeCell ref="P40:T40"/>
    <mergeCell ref="E55:F55"/>
    <mergeCell ref="C56:D56"/>
    <mergeCell ref="I56:I58"/>
    <mergeCell ref="C57:D57"/>
    <mergeCell ref="C58:D58"/>
    <mergeCell ref="C62:D62"/>
    <mergeCell ref="C63:D63"/>
    <mergeCell ref="C64:D64"/>
    <mergeCell ref="C59:D59"/>
    <mergeCell ref="C60:D60"/>
  </mergeCells>
  <phoneticPr fontId="13" type="noConversion"/>
  <pageMargins left="0.21" right="0.25" top="0.36" bottom="0.19" header="0.14000000000000001" footer="0.13"/>
  <pageSetup paperSize="9" scale="38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J63"/>
  <sheetViews>
    <sheetView showGridLines="0" view="pageBreakPreview" zoomScale="60" zoomScaleNormal="60" zoomScalePageLayoutView="50" workbookViewId="0">
      <selection activeCell="G64" sqref="G64"/>
    </sheetView>
  </sheetViews>
  <sheetFormatPr defaultColWidth="8.875" defaultRowHeight="15"/>
  <cols>
    <col min="1" max="1" width="3.75" style="25" customWidth="1"/>
    <col min="2" max="2" width="22.25" style="25" customWidth="1"/>
    <col min="3" max="3" width="26.875" style="25" customWidth="1"/>
    <col min="4" max="4" width="18.25" style="25" customWidth="1"/>
    <col min="5" max="6" width="18.125" style="25" customWidth="1"/>
    <col min="7" max="7" width="23.875" style="25" customWidth="1"/>
    <col min="8" max="8" width="19.75" style="25" customWidth="1"/>
    <col min="9" max="9" width="21" style="25" customWidth="1"/>
    <col min="10" max="16384" width="8.875" style="25"/>
  </cols>
  <sheetData>
    <row r="1" spans="1:10" ht="21" customHeight="1">
      <c r="A1" s="1578"/>
      <c r="B1" s="1578"/>
      <c r="C1" s="1578"/>
      <c r="D1" s="1578"/>
      <c r="E1" s="1578"/>
      <c r="F1" s="1578"/>
      <c r="G1" s="1578"/>
      <c r="H1" s="1578"/>
      <c r="I1" s="1578"/>
      <c r="J1" s="24"/>
    </row>
    <row r="2" spans="1:10" ht="15" customHeight="1">
      <c r="A2" s="1579"/>
      <c r="B2" s="1579"/>
      <c r="C2" s="1579"/>
      <c r="D2" s="1579"/>
      <c r="E2" s="1579"/>
      <c r="F2" s="1579"/>
      <c r="G2" s="1579"/>
      <c r="H2" s="1579"/>
      <c r="I2" s="1579"/>
      <c r="J2" s="26"/>
    </row>
    <row r="3" spans="1:10" ht="15" customHeight="1">
      <c r="A3" s="1579"/>
      <c r="B3" s="1579"/>
      <c r="C3" s="1579"/>
      <c r="D3" s="1579"/>
      <c r="E3" s="1579"/>
      <c r="F3" s="1579"/>
      <c r="G3" s="1579"/>
      <c r="H3" s="1579"/>
      <c r="I3" s="1579"/>
      <c r="J3" s="26"/>
    </row>
    <row r="4" spans="1:10" ht="15" customHeight="1">
      <c r="A4" s="1580"/>
      <c r="B4" s="1580"/>
      <c r="C4" s="1580"/>
      <c r="D4" s="1580"/>
      <c r="E4" s="1580"/>
      <c r="F4" s="1580"/>
      <c r="G4" s="1580"/>
      <c r="H4" s="1580"/>
      <c r="I4" s="1580"/>
      <c r="J4" s="27"/>
    </row>
    <row r="5" spans="1:10" ht="21" customHeight="1">
      <c r="A5" s="1581"/>
      <c r="B5" s="1581"/>
      <c r="C5" s="1581"/>
      <c r="D5" s="1581"/>
      <c r="E5" s="1581"/>
      <c r="F5" s="1581"/>
      <c r="G5" s="1581"/>
      <c r="H5" s="1581"/>
      <c r="I5" s="1581"/>
      <c r="J5" s="28"/>
    </row>
    <row r="6" spans="1:10" ht="11.25" customHeight="1"/>
    <row r="7" spans="1:10" ht="51">
      <c r="A7" s="1582" t="s">
        <v>91</v>
      </c>
      <c r="B7" s="1582"/>
      <c r="C7" s="1582"/>
      <c r="D7" s="1582"/>
      <c r="E7" s="1582"/>
      <c r="F7" s="1582"/>
      <c r="G7" s="1582"/>
      <c r="H7" s="1582"/>
      <c r="I7" s="1582"/>
    </row>
    <row r="8" spans="1:10" ht="21.75" customHeight="1">
      <c r="A8" s="1583" t="s">
        <v>92</v>
      </c>
      <c r="B8" s="1583"/>
      <c r="C8" s="1583"/>
      <c r="D8" s="1583"/>
      <c r="E8" s="1583"/>
      <c r="F8" s="1583"/>
      <c r="G8" s="1583"/>
      <c r="H8" s="1583"/>
      <c r="I8" s="1583"/>
    </row>
    <row r="9" spans="1:10" ht="12.75" customHeight="1"/>
    <row r="10" spans="1:10" ht="19.5">
      <c r="A10" s="29" t="s">
        <v>93</v>
      </c>
      <c r="C10" s="30" t="str">
        <f>BASIC_TOOL!D6</f>
        <v>ABC</v>
      </c>
      <c r="D10" s="31"/>
      <c r="E10" s="31"/>
      <c r="F10" s="31"/>
      <c r="G10" s="31"/>
      <c r="H10" s="32" t="s">
        <v>94</v>
      </c>
      <c r="I10" s="33">
        <f ca="1">TODAY()</f>
        <v>45228</v>
      </c>
    </row>
    <row r="11" spans="1:10" ht="14.25" customHeight="1">
      <c r="A11" s="29"/>
      <c r="C11" s="34"/>
      <c r="D11" s="31"/>
      <c r="E11" s="31"/>
      <c r="F11" s="31"/>
      <c r="G11" s="31"/>
      <c r="H11" s="32"/>
      <c r="I11" s="35"/>
    </row>
    <row r="12" spans="1:10" ht="30.75" customHeight="1">
      <c r="A12" s="29" t="s">
        <v>95</v>
      </c>
      <c r="B12" s="31"/>
      <c r="C12" s="31"/>
      <c r="D12" s="31"/>
      <c r="E12" s="31"/>
      <c r="F12" s="31"/>
      <c r="G12" s="31"/>
      <c r="H12" s="32"/>
      <c r="I12" s="36"/>
    </row>
    <row r="13" spans="1:10" ht="15" customHeight="1">
      <c r="A13" s="37"/>
      <c r="B13" s="31"/>
      <c r="C13" s="31"/>
      <c r="D13" s="31"/>
      <c r="E13" s="31"/>
      <c r="F13" s="31"/>
      <c r="G13" s="31"/>
      <c r="H13" s="31"/>
      <c r="I13" s="31"/>
    </row>
    <row r="14" spans="1:10" ht="19.5">
      <c r="A14" s="31"/>
      <c r="B14" s="1558" t="s">
        <v>96</v>
      </c>
      <c r="C14" s="1558"/>
      <c r="D14" s="1584" t="s">
        <v>97</v>
      </c>
      <c r="E14" s="1584"/>
      <c r="G14" s="38" t="s">
        <v>98</v>
      </c>
      <c r="H14" s="39" t="s">
        <v>99</v>
      </c>
      <c r="I14" s="31"/>
    </row>
    <row r="15" spans="1:10" ht="19.5">
      <c r="A15" s="31"/>
      <c r="B15" s="1558" t="s">
        <v>149</v>
      </c>
      <c r="C15" s="1558"/>
      <c r="D15" s="1559" t="str">
        <f>BASIC_TOOL!D8</f>
        <v>DAMMAM, KSA</v>
      </c>
      <c r="E15" s="1559"/>
      <c r="G15" s="38" t="s">
        <v>100</v>
      </c>
      <c r="H15" s="40" t="str">
        <f>BASIC_TOOL!B8</f>
        <v>L/C at sight</v>
      </c>
      <c r="I15" s="31"/>
    </row>
    <row r="16" spans="1:10" ht="19.5">
      <c r="A16" s="31"/>
      <c r="B16" s="1558" t="s">
        <v>101</v>
      </c>
      <c r="C16" s="1558"/>
      <c r="D16" s="1577" t="s">
        <v>102</v>
      </c>
      <c r="E16" s="1577"/>
      <c r="G16" s="38" t="s">
        <v>103</v>
      </c>
      <c r="H16" s="39" t="s">
        <v>104</v>
      </c>
      <c r="I16" s="31"/>
    </row>
    <row r="17" spans="1:10" ht="19.5">
      <c r="A17" s="31"/>
      <c r="B17" s="1558" t="s">
        <v>105</v>
      </c>
      <c r="C17" s="1558"/>
      <c r="D17" s="1559" t="s">
        <v>106</v>
      </c>
      <c r="E17" s="1559"/>
      <c r="G17" s="38" t="s">
        <v>107</v>
      </c>
      <c r="H17" s="39" t="s">
        <v>108</v>
      </c>
      <c r="I17" s="31"/>
    </row>
    <row r="18" spans="1:10" ht="13.5" customHeight="1" thickBot="1"/>
    <row r="19" spans="1:10" ht="18.75">
      <c r="A19" s="1560" t="s">
        <v>109</v>
      </c>
      <c r="B19" s="1560"/>
      <c r="C19" s="1560"/>
      <c r="D19" s="1560"/>
      <c r="E19" s="1560"/>
      <c r="F19" s="1560"/>
      <c r="G19" s="1560"/>
      <c r="H19" s="1560"/>
      <c r="I19" s="1560"/>
    </row>
    <row r="20" spans="1:10" ht="40.15" customHeight="1">
      <c r="A20" s="1561" t="s">
        <v>110</v>
      </c>
      <c r="B20" s="1562"/>
      <c r="C20" s="41" t="s">
        <v>111</v>
      </c>
      <c r="D20" s="42" t="s">
        <v>112</v>
      </c>
      <c r="E20" s="42" t="s">
        <v>113</v>
      </c>
      <c r="F20" s="41" t="s">
        <v>114</v>
      </c>
      <c r="G20" s="42" t="s">
        <v>115</v>
      </c>
      <c r="H20" s="1563" t="s">
        <v>116</v>
      </c>
      <c r="I20" s="1564"/>
    </row>
    <row r="21" spans="1:10" ht="48.75" customHeight="1">
      <c r="A21" s="1565" t="s">
        <v>117</v>
      </c>
      <c r="B21" s="1566"/>
      <c r="C21" s="59" t="str">
        <f>W_O&amp;" x ("&amp;L1_O&amp;IF(L2_O&gt;0,"+"&amp;L2_O,"")&amp;IF(L3_O&gt;0,"+"&amp;L3_O,"")&amp;IF(L4_O&gt;0,"+"&amp;L4_O,"")&amp;")x"&amp;H_O&amp;"mH "</f>
        <v xml:space="preserve">10 x (5)x3mH </v>
      </c>
      <c r="D21" s="43">
        <f>BASIC_TOOL!H11</f>
        <v>150</v>
      </c>
      <c r="E21" s="60">
        <f>BASIC_TOOL!C40</f>
        <v>0</v>
      </c>
      <c r="F21" s="43">
        <f>BASIC_TOOL!G11</f>
        <v>1</v>
      </c>
      <c r="G21" s="61">
        <f>E21*F21</f>
        <v>0</v>
      </c>
      <c r="H21" s="1571"/>
      <c r="I21" s="1572"/>
    </row>
    <row r="22" spans="1:10" ht="48.75" customHeight="1">
      <c r="A22" s="1567"/>
      <c r="B22" s="1568"/>
      <c r="C22" s="44"/>
      <c r="D22" s="44"/>
      <c r="E22" s="44"/>
      <c r="F22" s="44"/>
      <c r="G22" s="44"/>
      <c r="H22" s="1573"/>
      <c r="I22" s="1574"/>
    </row>
    <row r="23" spans="1:10" ht="48.75" customHeight="1">
      <c r="A23" s="1567"/>
      <c r="B23" s="1568"/>
      <c r="C23" s="44"/>
      <c r="D23" s="44"/>
      <c r="E23" s="44"/>
      <c r="F23" s="44"/>
      <c r="G23" s="44"/>
      <c r="H23" s="1573"/>
      <c r="I23" s="1574"/>
    </row>
    <row r="24" spans="1:10" ht="48.75" customHeight="1">
      <c r="A24" s="1569"/>
      <c r="B24" s="1570"/>
      <c r="C24" s="45"/>
      <c r="D24" s="45"/>
      <c r="E24" s="45"/>
      <c r="F24" s="45"/>
      <c r="G24" s="45"/>
      <c r="H24" s="1575"/>
      <c r="I24" s="1576"/>
    </row>
    <row r="25" spans="1:10" ht="40.15" customHeight="1" thickBot="1">
      <c r="A25" s="1556" t="str">
        <f>"TOTAL  ---   "&amp;(D17)&amp;" PORT    ---   "</f>
        <v xml:space="preserve">TOTAL  ---   FOB BUSAN PORT    ---   </v>
      </c>
      <c r="B25" s="1556"/>
      <c r="C25" s="1556"/>
      <c r="D25" s="1556"/>
      <c r="E25" s="1556"/>
      <c r="F25" s="1556"/>
      <c r="G25" s="62">
        <f>SUM(G21:G24)</f>
        <v>0</v>
      </c>
      <c r="H25" s="1557"/>
      <c r="I25" s="1557"/>
    </row>
    <row r="26" spans="1:10" ht="11.25" customHeight="1"/>
    <row r="27" spans="1:10" ht="24" customHeight="1">
      <c r="A27" s="46" t="s">
        <v>56</v>
      </c>
      <c r="B27" s="46"/>
      <c r="C27" s="47"/>
      <c r="D27" s="47"/>
      <c r="E27" s="47"/>
      <c r="F27" s="48"/>
      <c r="G27" s="49"/>
      <c r="H27" s="50"/>
      <c r="I27" s="51"/>
      <c r="J27" s="52"/>
    </row>
    <row r="28" spans="1:10" ht="24" customHeight="1">
      <c r="A28" s="53"/>
      <c r="B28" s="1553" t="s">
        <v>118</v>
      </c>
      <c r="C28" s="1553"/>
      <c r="D28" s="1553"/>
      <c r="E28" s="1554" t="str">
        <f>IF(OR(BASIC_TOOL!C15=1,BASIC_TOOL!C15=3,BASIC_TOOL!C15=4),"Non Insulated","Insulated")</f>
        <v>Non Insulated</v>
      </c>
      <c r="F28" s="1554"/>
      <c r="G28" s="1554"/>
      <c r="H28" s="50"/>
      <c r="I28" s="54"/>
      <c r="J28" s="55"/>
    </row>
    <row r="29" spans="1:10" ht="24" customHeight="1">
      <c r="A29" s="53"/>
      <c r="B29" s="1553" t="s">
        <v>119</v>
      </c>
      <c r="C29" s="1553"/>
      <c r="D29" s="1553"/>
      <c r="E29" s="1554" t="str">
        <f>IF(OR(BASIC_TOOL!C15=1,BASIC_TOOL!C15=3,BASIC_TOOL!C15=4),"Non Insulated","Insulated")</f>
        <v>Non Insulated</v>
      </c>
      <c r="F29" s="1554"/>
      <c r="G29" s="1554"/>
      <c r="H29" s="50"/>
      <c r="I29" s="54"/>
      <c r="J29" s="55"/>
    </row>
    <row r="30" spans="1:10" ht="24" customHeight="1">
      <c r="A30" s="53"/>
      <c r="B30" s="1553" t="s">
        <v>120</v>
      </c>
      <c r="C30" s="1553"/>
      <c r="D30" s="1553"/>
      <c r="E30" s="1554" t="str">
        <f>IF(OR(BASIC_TOOL!C15=1,BASIC_TOOL!C15=4),"Non Insulated","Insulated")</f>
        <v>Non Insulated</v>
      </c>
      <c r="F30" s="1554"/>
      <c r="G30" s="1554"/>
      <c r="H30" s="49"/>
      <c r="I30" s="49"/>
      <c r="J30" s="49"/>
    </row>
    <row r="31" spans="1:10" ht="24" customHeight="1">
      <c r="A31" s="53"/>
      <c r="B31" s="1553" t="s">
        <v>121</v>
      </c>
      <c r="C31" s="1553"/>
      <c r="D31" s="1553"/>
      <c r="E31" s="1554" t="str">
        <f>IF(OR(BASIC_TOOL!C15=1,BASIC_TOOL!C15=4),"Non Insulated","Insulated")</f>
        <v>Non Insulated</v>
      </c>
      <c r="F31" s="1554"/>
      <c r="G31" s="1554"/>
    </row>
    <row r="32" spans="1:10" ht="24" customHeight="1">
      <c r="A32" s="53"/>
      <c r="B32" s="1553" t="s">
        <v>122</v>
      </c>
      <c r="C32" s="1553"/>
      <c r="D32" s="1553"/>
      <c r="E32" s="1554" t="s">
        <v>147</v>
      </c>
      <c r="F32" s="1554"/>
      <c r="G32" s="1554"/>
    </row>
    <row r="33" spans="1:7" ht="24" customHeight="1">
      <c r="A33" s="46" t="s">
        <v>123</v>
      </c>
      <c r="B33" s="46"/>
      <c r="C33" s="47"/>
      <c r="D33" s="47"/>
      <c r="E33" s="53"/>
    </row>
    <row r="34" spans="1:7" ht="24" customHeight="1">
      <c r="A34" s="46" t="s">
        <v>57</v>
      </c>
      <c r="B34" s="46"/>
      <c r="C34" s="47"/>
      <c r="D34" s="47"/>
      <c r="E34" s="47"/>
    </row>
    <row r="35" spans="1:7" ht="24" customHeight="1">
      <c r="A35" s="46" t="s">
        <v>124</v>
      </c>
      <c r="B35" s="46"/>
      <c r="C35" s="47"/>
      <c r="D35" s="47"/>
      <c r="E35" s="53"/>
    </row>
    <row r="36" spans="1:7" ht="24" customHeight="1">
      <c r="A36" s="46"/>
      <c r="B36" s="1553" t="s">
        <v>125</v>
      </c>
      <c r="C36" s="1553"/>
      <c r="D36" s="1553"/>
      <c r="E36" s="1555" t="str">
        <f>BASIC_TOOL!E22</f>
        <v>SS316</v>
      </c>
      <c r="F36" s="1554"/>
      <c r="G36" s="1554"/>
    </row>
    <row r="37" spans="1:7" ht="24" customHeight="1">
      <c r="A37" s="46"/>
      <c r="B37" s="1553" t="s">
        <v>127</v>
      </c>
      <c r="C37" s="1553"/>
      <c r="D37" s="1553"/>
      <c r="E37" s="1555" t="str">
        <f>BASIC_TOOL!G22</f>
        <v>SS316</v>
      </c>
      <c r="F37" s="1554"/>
      <c r="G37" s="1554"/>
    </row>
    <row r="38" spans="1:7" ht="24" customHeight="1">
      <c r="A38" s="46"/>
      <c r="B38" s="1553" t="s">
        <v>128</v>
      </c>
      <c r="C38" s="1553"/>
      <c r="D38" s="1553"/>
      <c r="E38" s="1554" t="s">
        <v>126</v>
      </c>
      <c r="F38" s="1554"/>
      <c r="G38" s="1554"/>
    </row>
    <row r="39" spans="1:7" ht="24" customHeight="1">
      <c r="A39" s="46"/>
      <c r="B39" s="1553" t="s">
        <v>129</v>
      </c>
      <c r="C39" s="1553"/>
      <c r="D39" s="1553"/>
      <c r="E39" s="1554" t="s">
        <v>130</v>
      </c>
      <c r="F39" s="1554"/>
      <c r="G39" s="1554"/>
    </row>
    <row r="40" spans="1:7" ht="24" customHeight="1">
      <c r="A40" s="46" t="s">
        <v>131</v>
      </c>
      <c r="B40" s="46"/>
      <c r="C40" s="47"/>
      <c r="D40" s="47"/>
      <c r="E40" s="53"/>
    </row>
    <row r="41" spans="1:7" ht="24" customHeight="1">
      <c r="A41" s="46"/>
      <c r="B41" s="1553" t="s">
        <v>132</v>
      </c>
      <c r="C41" s="1553"/>
      <c r="D41" s="1553"/>
      <c r="E41" s="1554" t="s">
        <v>133</v>
      </c>
      <c r="F41" s="1554"/>
      <c r="G41" s="1554"/>
    </row>
    <row r="42" spans="1:7" ht="24" customHeight="1">
      <c r="A42" s="46"/>
      <c r="B42" s="1553" t="s">
        <v>134</v>
      </c>
      <c r="C42" s="1553"/>
      <c r="D42" s="1553"/>
      <c r="E42" s="1554" t="s">
        <v>133</v>
      </c>
      <c r="F42" s="1554"/>
      <c r="G42" s="1554"/>
    </row>
    <row r="43" spans="1:7" ht="24" customHeight="1">
      <c r="A43" s="46"/>
      <c r="B43" s="1553" t="s">
        <v>135</v>
      </c>
      <c r="C43" s="1553"/>
      <c r="D43" s="1553"/>
      <c r="E43" s="1554" t="s">
        <v>133</v>
      </c>
      <c r="F43" s="1554"/>
      <c r="G43" s="1554"/>
    </row>
    <row r="44" spans="1:7" ht="24" customHeight="1">
      <c r="A44" s="46"/>
      <c r="B44" s="1553" t="s">
        <v>136</v>
      </c>
      <c r="C44" s="1553"/>
      <c r="D44" s="1553"/>
      <c r="E44" s="1554" t="s">
        <v>137</v>
      </c>
      <c r="F44" s="1554"/>
      <c r="G44" s="1554"/>
    </row>
    <row r="45" spans="1:7" ht="24" customHeight="1">
      <c r="A45" s="46" t="s">
        <v>58</v>
      </c>
      <c r="B45" s="46"/>
      <c r="C45" s="47"/>
      <c r="D45" s="47"/>
      <c r="E45" s="53"/>
    </row>
    <row r="46" spans="1:7" ht="24" customHeight="1">
      <c r="A46" s="46" t="s">
        <v>59</v>
      </c>
      <c r="B46" s="46"/>
      <c r="C46" s="47"/>
      <c r="D46" s="47"/>
      <c r="E46" s="47"/>
    </row>
    <row r="47" spans="1:7" ht="24" customHeight="1">
      <c r="A47" s="46" t="s">
        <v>138</v>
      </c>
      <c r="B47" s="46"/>
      <c r="C47" s="47"/>
      <c r="D47" s="47"/>
      <c r="E47" s="47"/>
    </row>
    <row r="48" spans="1:7" ht="24" customHeight="1">
      <c r="A48" s="46" t="s">
        <v>60</v>
      </c>
      <c r="B48" s="46"/>
      <c r="C48" s="47"/>
      <c r="D48" s="47"/>
      <c r="E48" s="47"/>
    </row>
    <row r="49" spans="1:8" ht="24" customHeight="1">
      <c r="A49" s="46" t="s">
        <v>139</v>
      </c>
      <c r="B49" s="46"/>
      <c r="C49" s="47"/>
      <c r="D49" s="47"/>
      <c r="E49" s="47"/>
    </row>
    <row r="50" spans="1:8" ht="24" customHeight="1">
      <c r="A50" s="46"/>
      <c r="B50" s="1553" t="s">
        <v>61</v>
      </c>
      <c r="C50" s="1553"/>
      <c r="D50" s="1553"/>
      <c r="E50" s="1554" t="s">
        <v>137</v>
      </c>
      <c r="F50" s="1554"/>
      <c r="G50" s="1554"/>
    </row>
    <row r="51" spans="1:8" ht="24" customHeight="1">
      <c r="A51" s="46"/>
      <c r="B51" s="1553" t="s">
        <v>62</v>
      </c>
      <c r="C51" s="1553"/>
      <c r="D51" s="1553"/>
      <c r="E51" s="1554" t="s">
        <v>137</v>
      </c>
      <c r="F51" s="1554"/>
      <c r="G51" s="1554"/>
    </row>
    <row r="52" spans="1:8" ht="24" customHeight="1">
      <c r="A52" s="46"/>
      <c r="B52" s="1553" t="s">
        <v>63</v>
      </c>
      <c r="C52" s="1553"/>
      <c r="D52" s="1553"/>
      <c r="E52" s="1554" t="s">
        <v>137</v>
      </c>
      <c r="F52" s="1554"/>
      <c r="G52" s="1554"/>
    </row>
    <row r="53" spans="1:8" ht="24" customHeight="1">
      <c r="A53" s="46"/>
      <c r="B53" s="1553" t="s">
        <v>64</v>
      </c>
      <c r="C53" s="1553"/>
      <c r="D53" s="1553"/>
      <c r="E53" s="1554" t="s">
        <v>137</v>
      </c>
      <c r="F53" s="1554"/>
      <c r="G53" s="1554"/>
    </row>
    <row r="54" spans="1:8" ht="24" customHeight="1">
      <c r="A54" s="46" t="s">
        <v>140</v>
      </c>
      <c r="B54" s="46"/>
    </row>
    <row r="55" spans="1:8" ht="24" customHeight="1">
      <c r="A55" s="46" t="s">
        <v>141</v>
      </c>
      <c r="B55" s="46"/>
      <c r="C55" s="56"/>
      <c r="D55" s="56"/>
      <c r="E55" s="56"/>
      <c r="F55" s="56"/>
      <c r="G55" s="56"/>
      <c r="H55" s="56"/>
    </row>
    <row r="56" spans="1:8" ht="24" customHeight="1">
      <c r="A56" s="46" t="s">
        <v>142</v>
      </c>
      <c r="B56" s="46"/>
      <c r="C56" s="56"/>
      <c r="D56" s="56"/>
      <c r="E56" s="56"/>
      <c r="F56" s="56"/>
      <c r="G56" s="56"/>
      <c r="H56" s="56"/>
    </row>
    <row r="57" spans="1:8" ht="24" customHeight="1">
      <c r="A57" s="46" t="s">
        <v>143</v>
      </c>
      <c r="B57" s="46"/>
      <c r="C57" s="56"/>
      <c r="D57" s="56"/>
      <c r="E57" s="56"/>
      <c r="F57" s="56"/>
      <c r="G57" s="56"/>
      <c r="H57" s="56"/>
    </row>
    <row r="58" spans="1:8" ht="24" customHeight="1">
      <c r="A58" s="46" t="s">
        <v>144</v>
      </c>
      <c r="B58" s="46"/>
      <c r="C58" s="56"/>
      <c r="D58" s="56"/>
      <c r="E58" s="56"/>
      <c r="F58" s="56"/>
      <c r="G58" s="56"/>
      <c r="H58" s="56"/>
    </row>
    <row r="59" spans="1:8" ht="7.5" customHeight="1"/>
    <row r="60" spans="1:8" ht="24" customHeight="1">
      <c r="A60" s="46" t="s">
        <v>145</v>
      </c>
      <c r="B60" s="46"/>
    </row>
    <row r="61" spans="1:8" ht="42" customHeight="1">
      <c r="A61" s="57"/>
      <c r="B61" s="1548"/>
      <c r="C61" s="1548"/>
      <c r="G61" s="1550"/>
      <c r="H61" s="1550"/>
    </row>
    <row r="62" spans="1:8" ht="42" customHeight="1" thickBot="1">
      <c r="A62" s="57"/>
      <c r="B62" s="1549"/>
      <c r="C62" s="1549"/>
      <c r="G62" s="1551"/>
      <c r="H62" s="1551"/>
    </row>
    <row r="63" spans="1:8" ht="18.75" customHeight="1">
      <c r="A63" s="57"/>
      <c r="B63" s="58" t="s">
        <v>146</v>
      </c>
      <c r="C63" s="58"/>
      <c r="D63" s="58"/>
      <c r="E63" s="58"/>
      <c r="F63" s="58"/>
      <c r="G63" s="1552" t="s">
        <v>1261</v>
      </c>
      <c r="H63" s="1552"/>
    </row>
  </sheetData>
  <mergeCells count="62">
    <mergeCell ref="B16:C16"/>
    <mergeCell ref="D16:E16"/>
    <mergeCell ref="A1:I1"/>
    <mergeCell ref="A2:I2"/>
    <mergeCell ref="A3:I3"/>
    <mergeCell ref="A4:I4"/>
    <mergeCell ref="A5:I5"/>
    <mergeCell ref="A7:I7"/>
    <mergeCell ref="A8:I8"/>
    <mergeCell ref="B14:C14"/>
    <mergeCell ref="D14:E14"/>
    <mergeCell ref="B15:C15"/>
    <mergeCell ref="D15:E15"/>
    <mergeCell ref="A21:B24"/>
    <mergeCell ref="H21:I21"/>
    <mergeCell ref="H22:I22"/>
    <mergeCell ref="H23:I23"/>
    <mergeCell ref="H24:I24"/>
    <mergeCell ref="B17:C17"/>
    <mergeCell ref="D17:E17"/>
    <mergeCell ref="A19:I19"/>
    <mergeCell ref="A20:B20"/>
    <mergeCell ref="H20:I20"/>
    <mergeCell ref="A25:F25"/>
    <mergeCell ref="H25:I25"/>
    <mergeCell ref="B28:D28"/>
    <mergeCell ref="E28:G28"/>
    <mergeCell ref="B29:D29"/>
    <mergeCell ref="E29:G29"/>
    <mergeCell ref="B30:D30"/>
    <mergeCell ref="E30:G30"/>
    <mergeCell ref="B31:D31"/>
    <mergeCell ref="E31:G31"/>
    <mergeCell ref="B32:D32"/>
    <mergeCell ref="E32:G32"/>
    <mergeCell ref="B36:D36"/>
    <mergeCell ref="E36:G36"/>
    <mergeCell ref="B37:D37"/>
    <mergeCell ref="E37:G37"/>
    <mergeCell ref="B38:D38"/>
    <mergeCell ref="E38:G38"/>
    <mergeCell ref="B39:D39"/>
    <mergeCell ref="E39:G39"/>
    <mergeCell ref="B41:D41"/>
    <mergeCell ref="E41:G41"/>
    <mergeCell ref="B42:D42"/>
    <mergeCell ref="E42:G42"/>
    <mergeCell ref="B43:D43"/>
    <mergeCell ref="E43:G43"/>
    <mergeCell ref="B44:D44"/>
    <mergeCell ref="E44:G44"/>
    <mergeCell ref="B50:D50"/>
    <mergeCell ref="E50:G50"/>
    <mergeCell ref="B61:C62"/>
    <mergeCell ref="G61:H62"/>
    <mergeCell ref="G63:H63"/>
    <mergeCell ref="B51:D51"/>
    <mergeCell ref="E51:G51"/>
    <mergeCell ref="B52:D52"/>
    <mergeCell ref="E52:G52"/>
    <mergeCell ref="B53:D53"/>
    <mergeCell ref="E53:G53"/>
  </mergeCells>
  <phoneticPr fontId="13" type="noConversion"/>
  <pageMargins left="0.25" right="0.25" top="0.75" bottom="0.75" header="0.3" footer="0.3"/>
  <pageSetup paperSize="9" scale="5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A178D-D75A-49FF-8E2F-5329D83CD905}">
  <sheetPr codeName="Sheet20">
    <pageSetUpPr fitToPage="1"/>
  </sheetPr>
  <dimension ref="A1:AC122"/>
  <sheetViews>
    <sheetView topLeftCell="A7" zoomScale="90" zoomScaleNormal="90" workbookViewId="0">
      <selection activeCell="W33" sqref="W33"/>
    </sheetView>
  </sheetViews>
  <sheetFormatPr defaultColWidth="8.875" defaultRowHeight="14.25"/>
  <cols>
    <col min="1" max="1" width="14.75" style="133" customWidth="1"/>
    <col min="2" max="2" width="9.75" style="133" customWidth="1"/>
    <col min="3" max="3" width="5.125" style="133" bestFit="1" customWidth="1"/>
    <col min="4" max="4" width="4.375" style="133" customWidth="1"/>
    <col min="5" max="5" width="14.875" style="133" customWidth="1"/>
    <col min="6" max="6" width="20.125" style="133" customWidth="1"/>
    <col min="7" max="7" width="23.125" style="139" customWidth="1"/>
    <col min="8" max="8" width="13.375" style="146" bestFit="1" customWidth="1"/>
    <col min="9" max="9" width="10" style="146" customWidth="1"/>
    <col min="10" max="10" width="5.125" style="139" customWidth="1"/>
    <col min="11" max="11" width="15.75" style="174" customWidth="1"/>
    <col min="12" max="12" width="18.875" style="146" customWidth="1"/>
    <col min="13" max="13" width="6.125" style="138" customWidth="1"/>
    <col min="14" max="14" width="11.75" style="138" customWidth="1"/>
    <col min="15" max="23" width="7.75" style="138" customWidth="1"/>
    <col min="24" max="24" width="8.875" style="133" customWidth="1"/>
    <col min="25" max="25" width="10.375" style="139" customWidth="1"/>
    <col min="26" max="26" width="8.875" style="133" customWidth="1"/>
    <col min="27" max="27" width="8.875" style="133"/>
    <col min="28" max="28" width="12.125" style="133" bestFit="1" customWidth="1"/>
    <col min="29" max="16384" width="8.875" style="133"/>
  </cols>
  <sheetData>
    <row r="1" spans="1:29" ht="18">
      <c r="A1" s="176" t="str">
        <f>"▣ Size : "&amp;W_O&amp;" x ("&amp;L1_O&amp;"+"&amp;L2_O&amp;"+"&amp;L3_O&amp;"+"&amp;L4_O&amp;") x"&amp;H_O&amp;"mH ="&amp;BASIC_TOOL!H11&amp;" [TON]/ 1[SET]"&amp;"         "</f>
        <v xml:space="preserve">▣ Size : 10 x (5+0+0+0) x3mH =150 [TON]/ 1[SET]         </v>
      </c>
      <c r="H1" s="1586" t="s">
        <v>412</v>
      </c>
      <c r="I1" s="1586"/>
      <c r="J1" s="1586"/>
      <c r="K1" s="1586"/>
      <c r="L1" s="1586"/>
      <c r="M1" s="1586"/>
      <c r="N1" s="1586"/>
      <c r="O1" s="1586"/>
      <c r="P1" s="1586"/>
      <c r="Q1" s="1586"/>
      <c r="R1" s="1586"/>
      <c r="S1" s="1586"/>
      <c r="T1" s="1586"/>
      <c r="U1" s="1586"/>
      <c r="V1" s="1586"/>
      <c r="W1" s="1586"/>
      <c r="X1" s="1586"/>
      <c r="Y1" s="1586"/>
      <c r="Z1" s="1586"/>
    </row>
    <row r="2" spans="1:29" ht="13.5" customHeight="1">
      <c r="H2" s="1586"/>
      <c r="I2" s="1586"/>
      <c r="J2" s="1586"/>
      <c r="K2" s="1586"/>
      <c r="L2" s="1586"/>
      <c r="M2" s="1586"/>
      <c r="N2" s="1586"/>
      <c r="O2" s="1586"/>
      <c r="P2" s="1586"/>
      <c r="Q2" s="1586"/>
      <c r="R2" s="1586"/>
      <c r="S2" s="1586"/>
      <c r="T2" s="1586"/>
      <c r="U2" s="1586"/>
      <c r="V2" s="1586"/>
      <c r="W2" s="1586"/>
      <c r="X2" s="1586"/>
      <c r="Y2" s="1586"/>
      <c r="Z2" s="1586"/>
    </row>
    <row r="3" spans="1:29" ht="19.5" customHeight="1">
      <c r="A3" s="1587" t="s">
        <v>183</v>
      </c>
      <c r="B3" s="1588"/>
      <c r="C3" s="655">
        <f>SUM(C5:C97)</f>
        <v>160</v>
      </c>
      <c r="D3" s="139"/>
      <c r="E3" s="139"/>
      <c r="X3" s="140"/>
      <c r="Y3" s="138"/>
    </row>
    <row r="4" spans="1:29" s="142" customFormat="1" ht="15.75">
      <c r="A4" s="655" t="s">
        <v>176</v>
      </c>
      <c r="B4" s="655" t="s">
        <v>177</v>
      </c>
      <c r="C4" s="655" t="s">
        <v>168</v>
      </c>
      <c r="E4" s="600"/>
      <c r="F4" s="600"/>
      <c r="G4" s="601"/>
      <c r="H4" s="602"/>
      <c r="I4" s="1589" t="s">
        <v>0</v>
      </c>
      <c r="J4" s="1589" t="s">
        <v>239</v>
      </c>
      <c r="K4" s="600"/>
      <c r="L4" s="600"/>
      <c r="M4" s="601"/>
      <c r="N4" s="600"/>
      <c r="O4" s="1589" t="s">
        <v>2</v>
      </c>
      <c r="P4" s="1589"/>
      <c r="Q4" s="1589"/>
      <c r="R4" s="1589"/>
      <c r="S4" s="1589"/>
      <c r="T4" s="1589"/>
      <c r="U4" s="1589"/>
      <c r="V4" s="1589"/>
      <c r="W4" s="1589"/>
      <c r="X4" s="603" t="s">
        <v>1</v>
      </c>
      <c r="Y4" s="604" t="s">
        <v>457</v>
      </c>
      <c r="Z4" s="604" t="s">
        <v>411</v>
      </c>
      <c r="AA4" s="1585" t="s">
        <v>1255</v>
      </c>
      <c r="AB4" s="1585"/>
      <c r="AC4" s="142" t="s">
        <v>478</v>
      </c>
    </row>
    <row r="5" spans="1:29" s="142" customFormat="1" ht="18" customHeight="1">
      <c r="A5" s="655" t="str">
        <f t="array" ref="A5">IF( ISERROR(INDEX(Panel2!$H$6:$H$115,SMALL(IF(Panel2!$J$6:$J$115&lt;&gt;0,ROW(Panel2!$J$6:$J$115)-5),ROW(A1)))),"",INDEX(Panel2!$H$6:$H$115,SMALL(IF(Panel2!$J$6:$J$115&lt;&gt;0,ROW(Panel2!$J$6:$J$115)-5),ROW(A1))))</f>
        <v>Manhole</v>
      </c>
      <c r="B5" s="655" t="str">
        <f t="array" ref="B5">IF(ISERROR(INDEX(Panel2!$I$6:$I$115,SMALL(IF(Panel2!$J$6:$J$115&lt;&gt;0,ROW(Panel2!$J$6:$J$115)-5),ROW(B1)))),"",INDEX(Panel2!$I$6:$I$115,SMALL(IF(Panel2!$J$6:$J$115&lt;&gt;0,ROW(Panel2!$J$6:$J$115)-5),ROW(B1))))</f>
        <v>MF00M</v>
      </c>
      <c r="C5" s="944">
        <f t="array" ref="C5">IF( ISERROR(INDEX(Panel2!$J$6:$J$115,SMALL(IF(Panel2!$J$6:$J$115&lt;&gt;0,ROW(Panel2!$J$6:$J$115)-5),ROW(C1)))),"",  INDEX(Panel2!$J$6:$J$115,SMALL(IF(Panel2!$J$6:$J$115&lt;&gt;0,ROW(Panel2!$J$6:$J$115)-5),ROW(C1))))</f>
        <v>1</v>
      </c>
      <c r="E5" s="600"/>
      <c r="F5" s="600"/>
      <c r="G5" s="601"/>
      <c r="H5" s="870"/>
      <c r="I5" s="1589"/>
      <c r="J5" s="1589"/>
      <c r="K5" s="607" t="s">
        <v>346</v>
      </c>
      <c r="L5" s="607" t="s">
        <v>3</v>
      </c>
      <c r="M5" s="607" t="s">
        <v>463</v>
      </c>
      <c r="N5" s="607" t="s">
        <v>1289</v>
      </c>
      <c r="O5" s="871">
        <v>1</v>
      </c>
      <c r="P5" s="871">
        <v>1.5</v>
      </c>
      <c r="Q5" s="871">
        <v>2</v>
      </c>
      <c r="R5" s="871">
        <v>2.5</v>
      </c>
      <c r="S5" s="871">
        <v>3</v>
      </c>
      <c r="T5" s="871">
        <v>3.5</v>
      </c>
      <c r="U5" s="871">
        <v>4</v>
      </c>
      <c r="V5" s="871">
        <v>4.5</v>
      </c>
      <c r="W5" s="871">
        <v>5</v>
      </c>
      <c r="X5" s="603"/>
      <c r="Y5" s="872">
        <f>BASIC_TOOL!F11</f>
        <v>3</v>
      </c>
      <c r="Z5" s="600"/>
      <c r="AA5" s="613"/>
      <c r="AB5" s="614">
        <f>SUM(AB6:AB72)</f>
        <v>622</v>
      </c>
      <c r="AC5" s="142" t="s">
        <v>523</v>
      </c>
    </row>
    <row r="6" spans="1:29" s="143" customFormat="1" ht="17.25" customHeight="1">
      <c r="A6" s="655" t="str">
        <f t="array" ref="A6">IF( ISERROR(INDEX(Panel2!$H$6:$H$115,SMALL(IF(Panel2!$J$6:$J$115&lt;&gt;0,ROW(Panel2!$J$6:$J$115)-5),ROW(A2)))),"",INDEX(Panel2!$H$6:$H$115,SMALL(IF(Panel2!$J$6:$J$115&lt;&gt;0,ROW(Panel2!$J$6:$J$115)-5),ROW(A2))))</f>
        <v>Roof</v>
      </c>
      <c r="B6" s="655" t="str">
        <f t="array" ref="B6">IF(ISERROR(INDEX(Panel2!$I$6:$I$115,SMALL(IF(Panel2!$J$6:$J$115&lt;&gt;0,ROW(Panel2!$J$6:$J$115)-5),ROW(B2)))),"",INDEX(Panel2!$I$6:$I$115,SMALL(IF(Panel2!$J$6:$J$115&lt;&gt;0,ROW(Panel2!$J$6:$J$115)-5),ROW(B2))))</f>
        <v>RF00M</v>
      </c>
      <c r="C6" s="944">
        <f t="array" ref="C6">IF( ISERROR(INDEX(Panel2!$J$6:$J$115,SMALL(IF(Panel2!$J$6:$J$115&lt;&gt;0,ROW(Panel2!$J$6:$J$115)-5),ROW(C2)))),"",  INDEX(Panel2!$J$6:$J$115,SMALL(IF(Panel2!$J$6:$J$115&lt;&gt;0,ROW(Panel2!$J$6:$J$115)-5),ROW(C2))))</f>
        <v>49</v>
      </c>
      <c r="D6" s="142"/>
      <c r="E6" s="1590" t="s">
        <v>4</v>
      </c>
      <c r="F6" s="605" t="s">
        <v>440</v>
      </c>
      <c r="G6" s="607" t="s">
        <v>460</v>
      </c>
      <c r="H6" s="606" t="str">
        <f>K6</f>
        <v>Manhole</v>
      </c>
      <c r="I6" s="606" t="str">
        <f>M6&amp;Y6&amp;IF(OR(BASIC_TOOL!$C$15=1,BASIC_TOOL!$C$15=5),,N6)</f>
        <v>MF00M</v>
      </c>
      <c r="J6" s="607">
        <f>IF(OR(X6=0,Y6=0),0,X6)</f>
        <v>1</v>
      </c>
      <c r="K6" s="606" t="str">
        <f>L6&amp;IF(OR( BASIC_TOOL!$C$15=1,BASIC_TOOL!$C$15=5),"","(I)")</f>
        <v>Manhole</v>
      </c>
      <c r="L6" s="606" t="s">
        <v>460</v>
      </c>
      <c r="M6" s="607" t="s">
        <v>1293</v>
      </c>
      <c r="N6" s="607" t="s">
        <v>464</v>
      </c>
      <c r="O6" s="608" t="s">
        <v>484</v>
      </c>
      <c r="P6" s="608" t="s">
        <v>484</v>
      </c>
      <c r="Q6" s="608" t="s">
        <v>484</v>
      </c>
      <c r="R6" s="608" t="s">
        <v>484</v>
      </c>
      <c r="S6" s="608" t="s">
        <v>484</v>
      </c>
      <c r="T6" s="608" t="s">
        <v>484</v>
      </c>
      <c r="U6" s="608" t="s">
        <v>484</v>
      </c>
      <c r="V6" s="608" t="s">
        <v>484</v>
      </c>
      <c r="W6" s="608" t="s">
        <v>484</v>
      </c>
      <c r="X6" s="603">
        <f>1+N_PA</f>
        <v>1</v>
      </c>
      <c r="Y6" s="607" t="str">
        <f>HLOOKUP(H_O,$O$5:$W$115,Z6,FALSE)</f>
        <v>00M</v>
      </c>
      <c r="Z6" s="600">
        <v>2</v>
      </c>
      <c r="AA6" s="613">
        <v>2.1</v>
      </c>
      <c r="AB6" s="615">
        <f t="shared" ref="AB6:AB69" si="0">AA6*J6</f>
        <v>2.1</v>
      </c>
    </row>
    <row r="7" spans="1:29" s="143" customFormat="1" ht="17.25" customHeight="1">
      <c r="A7" s="655" t="str">
        <f t="array" ref="A7">IF( ISERROR(INDEX(Panel2!$H$6:$H$115,SMALL(IF(Panel2!$J$6:$J$115&lt;&gt;0,ROW(Panel2!$J$6:$J$115)-5),ROW(A3)))),"",INDEX(Panel2!$H$6:$H$115,SMALL(IF(Panel2!$J$6:$J$115&lt;&gt;0,ROW(Panel2!$J$6:$J$115)-5),ROW(A3))))</f>
        <v>Base</v>
      </c>
      <c r="B7" s="655" t="str">
        <f t="array" ref="B7">IF(ISERROR(INDEX(Panel2!$I$6:$I$115,SMALL(IF(Panel2!$J$6:$J$115&lt;&gt;0,ROW(Panel2!$J$6:$J$115)-5),ROW(B3)))),"",INDEX(Panel2!$I$6:$I$115,SMALL(IF(Panel2!$J$6:$J$115&lt;&gt;0,ROW(Panel2!$J$6:$J$115)-5),ROW(B3))))</f>
        <v>BF30M</v>
      </c>
      <c r="C7" s="944">
        <f t="array" ref="C7">IF( ISERROR(INDEX(Panel2!$J$6:$J$115,SMALL(IF(Panel2!$J$6:$J$115&lt;&gt;0,ROW(Panel2!$J$6:$J$115)-5),ROW(C3)))),"",  INDEX(Panel2!$J$6:$J$115,SMALL(IF(Panel2!$J$6:$J$115&lt;&gt;0,ROW(Panel2!$J$6:$J$115)-5),ROW(C3))))</f>
        <v>49</v>
      </c>
      <c r="D7" s="142"/>
      <c r="E7" s="1590"/>
      <c r="F7" s="605" t="s">
        <v>441</v>
      </c>
      <c r="G7" s="1589" t="s">
        <v>459</v>
      </c>
      <c r="H7" s="606" t="str">
        <f>K7</f>
        <v>Roof</v>
      </c>
      <c r="I7" s="606" t="str">
        <f>M7&amp;Y7&amp;IF(OR(BASIC_TOOL!$C$15=1,BASIC_TOOL!$C$15=5),,N7)</f>
        <v>RF00M</v>
      </c>
      <c r="J7" s="607">
        <f>IF(OR(X7=0,Y7=0),0,X7)</f>
        <v>49</v>
      </c>
      <c r="K7" s="606" t="str">
        <f>L7&amp;IF(OR( BASIC_TOOL!$C$15=1,BASIC_TOOL!$C$15=5),"","(I)")</f>
        <v>Roof</v>
      </c>
      <c r="L7" s="606" t="s">
        <v>455</v>
      </c>
      <c r="M7" s="607" t="s">
        <v>1294</v>
      </c>
      <c r="N7" s="607" t="s">
        <v>464</v>
      </c>
      <c r="O7" s="608" t="s">
        <v>484</v>
      </c>
      <c r="P7" s="608" t="s">
        <v>484</v>
      </c>
      <c r="Q7" s="608" t="s">
        <v>484</v>
      </c>
      <c r="R7" s="608" t="s">
        <v>484</v>
      </c>
      <c r="S7" s="608" t="s">
        <v>484</v>
      </c>
      <c r="T7" s="608" t="s">
        <v>484</v>
      </c>
      <c r="U7" s="608" t="s">
        <v>484</v>
      </c>
      <c r="V7" s="608" t="s">
        <v>484</v>
      </c>
      <c r="W7" s="608" t="s">
        <v>484</v>
      </c>
      <c r="X7" s="603">
        <f>IF(W_C*(L1_C+L2_C+L3_C+L4_C)-X6-X10-X11&lt;0,0,W_C*(L1_C+L2_C+L3_C+L4_C)-X6-X10-X11)</f>
        <v>49</v>
      </c>
      <c r="Y7" s="607" t="str">
        <f>HLOOKUP(H_O,$O$5:$W$115,Z7,FALSE)</f>
        <v>00M</v>
      </c>
      <c r="Z7" s="600">
        <v>3</v>
      </c>
      <c r="AA7" s="616">
        <v>2.1</v>
      </c>
      <c r="AB7" s="615">
        <f t="shared" si="0"/>
        <v>102.9</v>
      </c>
    </row>
    <row r="8" spans="1:29" s="143" customFormat="1" ht="17.25" customHeight="1">
      <c r="A8" s="655" t="str">
        <f t="array" ref="A8">IF( ISERROR(INDEX(Panel2!$H$6:$H$115,SMALL(IF(Panel2!$J$6:$J$115&lt;&gt;0,ROW(Panel2!$J$6:$J$115)-5),ROW(A4)))),"",INDEX(Panel2!$H$6:$H$115,SMALL(IF(Panel2!$J$6:$J$115&lt;&gt;0,ROW(Panel2!$J$6:$J$115)-5),ROW(A4))))</f>
        <v>Drain</v>
      </c>
      <c r="B8" s="655" t="str">
        <f t="array" ref="B8">IF(ISERROR(INDEX(Panel2!$I$6:$I$115,SMALL(IF(Panel2!$J$6:$J$115&lt;&gt;0,ROW(Panel2!$J$6:$J$115)-5),ROW(B4)))),"",INDEX(Panel2!$I$6:$I$115,SMALL(IF(Panel2!$J$6:$J$115&lt;&gt;0,ROW(Panel2!$J$6:$J$115)-5),ROW(B4))))</f>
        <v>DN30M</v>
      </c>
      <c r="C8" s="655">
        <f t="array" ref="C8">IF( ISERROR(INDEX(Panel2!$J$6:$J$115,SMALL(IF(Panel2!$J$6:$J$115&lt;&gt;0,ROW(Panel2!$J$6:$J$115)-5),ROW(C4)))),"",  INDEX(Panel2!$J$6:$J$115,SMALL(IF(Panel2!$J$6:$J$115&lt;&gt;0,ROW(Panel2!$J$6:$J$115)-5),ROW(C4))))</f>
        <v>1</v>
      </c>
      <c r="D8" s="142"/>
      <c r="E8" s="1590"/>
      <c r="F8" s="605" t="s">
        <v>442</v>
      </c>
      <c r="G8" s="1589"/>
      <c r="H8" s="606" t="str">
        <f>K8</f>
        <v>HRoof</v>
      </c>
      <c r="I8" s="606" t="str">
        <f>M8&amp;Y8&amp;IF(OR(BASIC_TOOL!$C$15=1,BASIC_TOOL!$C$15=5),,N8)</f>
        <v>RH10M</v>
      </c>
      <c r="J8" s="607">
        <f>IF(OR(X8=0,Y8=0),0,X8)</f>
        <v>0</v>
      </c>
      <c r="K8" s="606" t="str">
        <f>L8&amp;IF(OR( BASIC_TOOL!$C$15=1,BASIC_TOOL!$C$15=5),"","(I)")</f>
        <v>HRoof</v>
      </c>
      <c r="L8" s="606" t="s">
        <v>548</v>
      </c>
      <c r="M8" s="607" t="s">
        <v>1295</v>
      </c>
      <c r="N8" s="607" t="s">
        <v>464</v>
      </c>
      <c r="O8" s="608" t="s">
        <v>485</v>
      </c>
      <c r="P8" s="608" t="s">
        <v>485</v>
      </c>
      <c r="Q8" s="608" t="s">
        <v>485</v>
      </c>
      <c r="R8" s="608" t="s">
        <v>485</v>
      </c>
      <c r="S8" s="608" t="s">
        <v>485</v>
      </c>
      <c r="T8" s="608" t="s">
        <v>485</v>
      </c>
      <c r="U8" s="608" t="s">
        <v>485</v>
      </c>
      <c r="V8" s="608" t="s">
        <v>485</v>
      </c>
      <c r="W8" s="608" t="s">
        <v>485</v>
      </c>
      <c r="X8" s="603">
        <f>W_C*(L1_F+L2_F+L3_F+L4_F)+W_F*(L1_C+L2_C+L3_C+L4_C)</f>
        <v>0</v>
      </c>
      <c r="Y8" s="607" t="str">
        <f>HLOOKUP(H_O,$O$5:$W$115,Z8,FALSE)</f>
        <v>10M</v>
      </c>
      <c r="Z8" s="600">
        <v>4</v>
      </c>
      <c r="AA8" s="616">
        <v>1.6</v>
      </c>
      <c r="AB8" s="615">
        <f t="shared" si="0"/>
        <v>0</v>
      </c>
    </row>
    <row r="9" spans="1:29" s="143" customFormat="1" ht="17.25" customHeight="1">
      <c r="A9" s="655" t="str">
        <f t="array" ref="A9">IF( ISERROR(INDEX(Panel2!$H$6:$H$115,SMALL(IF(Panel2!$J$6:$J$115&lt;&gt;0,ROW(Panel2!$J$6:$J$115)-5),ROW(A5)))),"",INDEX(Panel2!$H$6:$H$115,SMALL(IF(Panel2!$J$6:$J$115&lt;&gt;0,ROW(Panel2!$J$6:$J$115)-5),ROW(A5))))</f>
        <v>Side20</v>
      </c>
      <c r="B9" s="655" t="str">
        <f t="array" ref="B9">IF(ISERROR(INDEX(Panel2!$I$6:$I$115,SMALL(IF(Panel2!$J$6:$J$115&lt;&gt;0,ROW(Panel2!$J$6:$J$115)-5),ROW(B5)))),"",INDEX(Panel2!$I$6:$I$115,SMALL(IF(Panel2!$J$6:$J$115&lt;&gt;0,ROW(Panel2!$J$6:$J$115)-5),ROW(B5))))</f>
        <v>SL20T</v>
      </c>
      <c r="C9" s="655">
        <f t="array" ref="C9">IF( ISERROR(INDEX(Panel2!$J$6:$J$115,SMALL(IF(Panel2!$J$6:$J$115&lt;&gt;0,ROW(Panel2!$J$6:$J$115)-5),ROW(C5)))),"",  INDEX(Panel2!$J$6:$J$115,SMALL(IF(Panel2!$J$6:$J$115&lt;&gt;0,ROW(Panel2!$J$6:$J$115)-5),ROW(C5))))</f>
        <v>30</v>
      </c>
      <c r="D9" s="142"/>
      <c r="E9" s="1590"/>
      <c r="F9" s="605" t="s">
        <v>443</v>
      </c>
      <c r="G9" s="1589"/>
      <c r="H9" s="606" t="str">
        <f>K9</f>
        <v>QRooF</v>
      </c>
      <c r="I9" s="606" t="str">
        <f>M9&amp;Y9&amp;IF(OR(BASIC_TOOL!$C$15=1,BASIC_TOOL!$C$15=5),,N9)</f>
        <v>RQ10M</v>
      </c>
      <c r="J9" s="607">
        <f>IF(OR(X9=0,Y9=0),0,X9)</f>
        <v>0</v>
      </c>
      <c r="K9" s="606" t="str">
        <f>L9&amp;IF(OR( BASIC_TOOL!$C$15=1,BASIC_TOOL!$C$15=5),"","(I)")</f>
        <v>QRooF</v>
      </c>
      <c r="L9" s="606" t="s">
        <v>549</v>
      </c>
      <c r="M9" s="607" t="s">
        <v>1296</v>
      </c>
      <c r="N9" s="607" t="s">
        <v>464</v>
      </c>
      <c r="O9" s="608" t="s">
        <v>485</v>
      </c>
      <c r="P9" s="608" t="s">
        <v>485</v>
      </c>
      <c r="Q9" s="608" t="s">
        <v>485</v>
      </c>
      <c r="R9" s="608" t="s">
        <v>485</v>
      </c>
      <c r="S9" s="608" t="s">
        <v>485</v>
      </c>
      <c r="T9" s="608" t="s">
        <v>485</v>
      </c>
      <c r="U9" s="608" t="s">
        <v>485</v>
      </c>
      <c r="V9" s="608" t="s">
        <v>485</v>
      </c>
      <c r="W9" s="608" t="s">
        <v>485</v>
      </c>
      <c r="X9" s="603">
        <f>IF(AND(W_F=1,OR(L1_F,L2_F,L3_F,L4_F)),L1_F+L2_F+L3_F+L4_F,0)</f>
        <v>0</v>
      </c>
      <c r="Y9" s="607" t="str">
        <f>HLOOKUP(H_O,$O$5:$W$115,Z9,FALSE)</f>
        <v>10M</v>
      </c>
      <c r="Z9" s="600">
        <v>5</v>
      </c>
      <c r="AA9" s="616">
        <v>1.1000000000000001</v>
      </c>
      <c r="AB9" s="615">
        <f t="shared" si="0"/>
        <v>0</v>
      </c>
    </row>
    <row r="10" spans="1:29" s="143" customFormat="1" ht="17.25" customHeight="1">
      <c r="A10" s="655" t="str">
        <f t="array" ref="A10">IF( ISERROR(INDEX(Panel2!$H$6:$H$115,SMALL(IF(Panel2!$J$6:$J$115&lt;&gt;0,ROW(Panel2!$J$6:$J$115)-5),ROW(A6)))),"",INDEX(Panel2!$H$6:$H$115,SMALL(IF(Panel2!$J$6:$J$115&lt;&gt;0,ROW(Panel2!$J$6:$J$115)-5),ROW(A6))))</f>
        <v>Side</v>
      </c>
      <c r="B10" s="655" t="str">
        <f t="array" ref="B10">IF(ISERROR(INDEX(Panel2!$I$6:$I$115,SMALL(IF(Panel2!$J$6:$J$115&lt;&gt;0,ROW(Panel2!$J$6:$J$115)-5),ROW(B6)))),"",INDEX(Panel2!$I$6:$I$115,SMALL(IF(Panel2!$J$6:$J$115&lt;&gt;0,ROW(Panel2!$J$6:$J$115)-5),ROW(B6))))</f>
        <v>SF30L</v>
      </c>
      <c r="C10" s="655">
        <f t="array" ref="C10">IF( ISERROR(INDEX(Panel2!$J$6:$J$115,SMALL(IF(Panel2!$J$6:$J$115&lt;&gt;0,ROW(Panel2!$J$6:$J$115)-5),ROW(C6)))),"",  INDEX(Panel2!$J$6:$J$115,SMALL(IF(Panel2!$J$6:$J$115&lt;&gt;0,ROW(Panel2!$J$6:$J$115)-5),ROW(C6))))</f>
        <v>30</v>
      </c>
      <c r="D10" s="142"/>
      <c r="E10" s="610"/>
      <c r="F10" s="605"/>
      <c r="G10" s="607"/>
      <c r="H10" s="606"/>
      <c r="I10" s="606"/>
      <c r="J10" s="607"/>
      <c r="K10" s="606"/>
      <c r="L10" s="606"/>
      <c r="M10" s="607"/>
      <c r="N10" s="607"/>
      <c r="O10" s="608"/>
      <c r="P10" s="608"/>
      <c r="Q10" s="608"/>
      <c r="R10" s="608"/>
      <c r="S10" s="608"/>
      <c r="T10" s="608"/>
      <c r="U10" s="608"/>
      <c r="V10" s="608"/>
      <c r="W10" s="608"/>
      <c r="X10" s="603"/>
      <c r="Y10" s="607"/>
      <c r="Z10" s="600">
        <v>6</v>
      </c>
      <c r="AA10" s="616">
        <v>0</v>
      </c>
      <c r="AB10" s="615">
        <f t="shared" si="0"/>
        <v>0</v>
      </c>
    </row>
    <row r="11" spans="1:29" s="143" customFormat="1" ht="17.25" customHeight="1">
      <c r="A11" s="655" t="str">
        <f t="array" ref="A11">IF( ISERROR(INDEX(Panel2!$H$6:$H$115,SMALL(IF(Panel2!$J$6:$J$115&lt;&gt;0,ROW(Panel2!$J$6:$J$115)-5),ROW(A7)))),"",INDEX(Panel2!$H$6:$H$115,SMALL(IF(Panel2!$J$6:$J$115&lt;&gt;0,ROW(Panel2!$J$6:$J$115)-5),ROW(A7))))</f>
        <v/>
      </c>
      <c r="B11" s="655" t="str">
        <f t="array" ref="B11">IF(ISERROR(INDEX(Panel2!$I$6:$I$115,SMALL(IF(Panel2!$J$6:$J$115&lt;&gt;0,ROW(Panel2!$J$6:$J$115)-5),ROW(B7)))),"",INDEX(Panel2!$I$6:$I$115,SMALL(IF(Panel2!$J$6:$J$115&lt;&gt;0,ROW(Panel2!$J$6:$J$115)-5),ROW(B7))))</f>
        <v/>
      </c>
      <c r="C11" s="655" t="str">
        <f t="array" ref="C11">IF( ISERROR(INDEX(Panel2!$J$6:$J$115,SMALL(IF(Panel2!$J$6:$J$115&lt;&gt;0,ROW(Panel2!$J$6:$J$115)-5),ROW(C7)))),"",  INDEX(Panel2!$J$6:$J$115,SMALL(IF(Panel2!$J$6:$J$115&lt;&gt;0,ROW(Panel2!$J$6:$J$115)-5),ROW(C7))))</f>
        <v/>
      </c>
      <c r="D11" s="142"/>
      <c r="E11" s="610"/>
      <c r="F11" s="605"/>
      <c r="G11" s="607"/>
      <c r="H11" s="606"/>
      <c r="I11" s="606"/>
      <c r="J11" s="607"/>
      <c r="K11" s="606"/>
      <c r="L11" s="606"/>
      <c r="M11" s="607"/>
      <c r="N11" s="607"/>
      <c r="O11" s="608"/>
      <c r="P11" s="608"/>
      <c r="Q11" s="608"/>
      <c r="R11" s="608"/>
      <c r="S11" s="608"/>
      <c r="T11" s="608"/>
      <c r="U11" s="608"/>
      <c r="V11" s="608"/>
      <c r="W11" s="608"/>
      <c r="X11" s="603"/>
      <c r="Y11" s="607"/>
      <c r="Z11" s="600">
        <v>7</v>
      </c>
      <c r="AA11" s="616">
        <v>0</v>
      </c>
      <c r="AB11" s="615">
        <f t="shared" si="0"/>
        <v>0</v>
      </c>
    </row>
    <row r="12" spans="1:29" s="143" customFormat="1" ht="17.25" customHeight="1">
      <c r="A12" s="655" t="str">
        <f t="array" ref="A12">IF( ISERROR(INDEX(Panel2!$H$6:$H$115,SMALL(IF(Panel2!$J$6:$J$115&lt;&gt;0,ROW(Panel2!$J$6:$J$115)-5),ROW(A8)))),"",INDEX(Panel2!$H$6:$H$115,SMALL(IF(Panel2!$J$6:$J$115&lt;&gt;0,ROW(Panel2!$J$6:$J$115)-5),ROW(A8))))</f>
        <v/>
      </c>
      <c r="B12" s="655" t="str">
        <f t="array" ref="B12">IF(ISERROR(INDEX(Panel2!$I$6:$I$115,SMALL(IF(Panel2!$J$6:$J$115&lt;&gt;0,ROW(Panel2!$J$6:$J$115)-5),ROW(B8)))),"",INDEX(Panel2!$I$6:$I$115,SMALL(IF(Panel2!$J$6:$J$115&lt;&gt;0,ROW(Panel2!$J$6:$J$115)-5),ROW(B8))))</f>
        <v/>
      </c>
      <c r="C12" s="655" t="str">
        <f t="array" ref="C12">IF( ISERROR(INDEX(Panel2!$J$6:$J$115,SMALL(IF(Panel2!$J$6:$J$115&lt;&gt;0,ROW(Panel2!$J$6:$J$115)-5),ROW(C8)))),"",  INDEX(Panel2!$J$6:$J$115,SMALL(IF(Panel2!$J$6:$J$115&lt;&gt;0,ROW(Panel2!$J$6:$J$115)-5),ROW(C8))))</f>
        <v/>
      </c>
      <c r="D12" s="142"/>
      <c r="E12" s="1590" t="s">
        <v>467</v>
      </c>
      <c r="F12" s="605" t="s">
        <v>466</v>
      </c>
      <c r="G12" s="607" t="s">
        <v>461</v>
      </c>
      <c r="H12" s="606" t="str">
        <f t="shared" ref="H12:H15" si="1">K12</f>
        <v>Base</v>
      </c>
      <c r="I12" s="606" t="str">
        <f>M12&amp;Y12&amp;IF(OR(BASIC_TOOL!$C$15=1,BASIC_TOOL!$C$15=5),,N12)</f>
        <v>BF30M</v>
      </c>
      <c r="J12" s="607">
        <f t="shared" ref="J12:J15" si="2">IF(OR(X12=0,Y12=0),0,X12)</f>
        <v>49</v>
      </c>
      <c r="K12" s="606" t="str">
        <f>L12&amp;IF(OR( BASIC_TOOL!$C$15=1,BASIC_TOOL!$C$15=5),"","(I)")</f>
        <v>Base</v>
      </c>
      <c r="L12" s="606" t="s">
        <v>550</v>
      </c>
      <c r="M12" s="607" t="s">
        <v>1297</v>
      </c>
      <c r="N12" s="607" t="s">
        <v>464</v>
      </c>
      <c r="O12" s="608" t="s">
        <v>485</v>
      </c>
      <c r="P12" s="608" t="s">
        <v>479</v>
      </c>
      <c r="Q12" s="608" t="s">
        <v>487</v>
      </c>
      <c r="R12" s="608" t="s">
        <v>488</v>
      </c>
      <c r="S12" s="608" t="s">
        <v>489</v>
      </c>
      <c r="T12" s="608" t="s">
        <v>490</v>
      </c>
      <c r="U12" s="608" t="s">
        <v>491</v>
      </c>
      <c r="V12" s="608" t="s">
        <v>492</v>
      </c>
      <c r="W12" s="608" t="s">
        <v>493</v>
      </c>
      <c r="X12" s="603">
        <f>IF(W_C*(L1_C+L2_C+L3_C+L4_C)-X13-X17&lt;0,0,W_C*(L1_C+L2_C+L3_C+L4_C)-X13-X17)</f>
        <v>49</v>
      </c>
      <c r="Y12" s="607" t="str">
        <f t="shared" ref="Y12:Y15" si="3">HLOOKUP(H_O,$O$5:$W$115,Z12,FALSE)</f>
        <v>30M</v>
      </c>
      <c r="Z12" s="600">
        <v>8</v>
      </c>
      <c r="AA12" s="616">
        <v>4.0999999999999996</v>
      </c>
      <c r="AB12" s="615">
        <f t="shared" si="0"/>
        <v>200.89999999999998</v>
      </c>
    </row>
    <row r="13" spans="1:29" s="143" customFormat="1" ht="17.25" customHeight="1">
      <c r="A13" s="655" t="str">
        <f t="array" ref="A13">IF( ISERROR(INDEX(Panel2!$H$6:$H$115,SMALL(IF(Panel2!$J$6:$J$115&lt;&gt;0,ROW(Panel2!$J$6:$J$115)-5),ROW(A9)))),"",INDEX(Panel2!$H$6:$H$115,SMALL(IF(Panel2!$J$6:$J$115&lt;&gt;0,ROW(Panel2!$J$6:$J$115)-5),ROW(A9))))</f>
        <v/>
      </c>
      <c r="B13" s="655" t="str">
        <f t="array" ref="B13">IF(ISERROR(INDEX(Panel2!$I$6:$I$115,SMALL(IF(Panel2!$J$6:$J$115&lt;&gt;0,ROW(Panel2!$J$6:$J$115)-5),ROW(B9)))),"",INDEX(Panel2!$I$6:$I$115,SMALL(IF(Panel2!$J$6:$J$115&lt;&gt;0,ROW(Panel2!$J$6:$J$115)-5),ROW(B9))))</f>
        <v/>
      </c>
      <c r="C13" s="655" t="str">
        <f t="array" ref="C13">IF( ISERROR(INDEX(Panel2!$J$6:$J$115,SMALL(IF(Panel2!$J$6:$J$115&lt;&gt;0,ROW(Panel2!$J$6:$J$115)-5),ROW(C9)))),"",  INDEX(Panel2!$J$6:$J$115,SMALL(IF(Panel2!$J$6:$J$115&lt;&gt;0,ROW(Panel2!$J$6:$J$115)-5),ROW(C9))))</f>
        <v/>
      </c>
      <c r="D13" s="142"/>
      <c r="E13" s="1590"/>
      <c r="F13" s="605" t="s">
        <v>465</v>
      </c>
      <c r="G13" s="604" t="s">
        <v>458</v>
      </c>
      <c r="H13" s="606" t="str">
        <f t="shared" si="1"/>
        <v>Base_Par</v>
      </c>
      <c r="I13" s="606" t="str">
        <f>M13&amp;Y13&amp;IF(OR(BASIC_TOOL!$C$15=1,BASIC_TOOL!$C$15=5),,N13)</f>
        <v>BF30P</v>
      </c>
      <c r="J13" s="607">
        <f t="shared" si="2"/>
        <v>0</v>
      </c>
      <c r="K13" s="606" t="str">
        <f>L13&amp;IF(OR( BASIC_TOOL!$C$15=1,BASIC_TOOL!$C$15=5),"","(I)")</f>
        <v>Base_Par</v>
      </c>
      <c r="L13" s="606" t="s">
        <v>1262</v>
      </c>
      <c r="M13" s="607" t="s">
        <v>1297</v>
      </c>
      <c r="N13" s="607" t="s">
        <v>464</v>
      </c>
      <c r="O13" s="608" t="s">
        <v>494</v>
      </c>
      <c r="P13" s="608" t="s">
        <v>495</v>
      </c>
      <c r="Q13" s="608" t="s">
        <v>496</v>
      </c>
      <c r="R13" s="608" t="s">
        <v>497</v>
      </c>
      <c r="S13" s="608" t="s">
        <v>498</v>
      </c>
      <c r="T13" s="608" t="s">
        <v>499</v>
      </c>
      <c r="U13" s="608" t="s">
        <v>500</v>
      </c>
      <c r="V13" s="608" t="s">
        <v>501</v>
      </c>
      <c r="W13" s="608" t="s">
        <v>502</v>
      </c>
      <c r="X13" s="603">
        <f>(W_C)*N_PA</f>
        <v>0</v>
      </c>
      <c r="Y13" s="607" t="str">
        <f t="shared" si="3"/>
        <v>30P</v>
      </c>
      <c r="Z13" s="600">
        <v>9</v>
      </c>
      <c r="AA13" s="616">
        <v>4.0999999999999996</v>
      </c>
      <c r="AB13" s="615">
        <f t="shared" si="0"/>
        <v>0</v>
      </c>
    </row>
    <row r="14" spans="1:29" s="143" customFormat="1" ht="17.25" customHeight="1">
      <c r="A14" s="655" t="str">
        <f t="array" ref="A14">IF( ISERROR(INDEX(Panel2!$H$6:$H$115,SMALL(IF(Panel2!$J$6:$J$115&lt;&gt;0,ROW(Panel2!$J$6:$J$115)-5),ROW(A10)))),"",INDEX(Panel2!$H$6:$H$115,SMALL(IF(Panel2!$J$6:$J$115&lt;&gt;0,ROW(Panel2!$J$6:$J$115)-5),ROW(A10))))</f>
        <v/>
      </c>
      <c r="B14" s="655" t="str">
        <f t="array" ref="B14">IF(ISERROR(INDEX(Panel2!$I$6:$I$115,SMALL(IF(Panel2!$J$6:$J$115&lt;&gt;0,ROW(Panel2!$J$6:$J$115)-5),ROW(B10)))),"",INDEX(Panel2!$I$6:$I$115,SMALL(IF(Panel2!$J$6:$J$115&lt;&gt;0,ROW(Panel2!$J$6:$J$115)-5),ROW(B10))))</f>
        <v/>
      </c>
      <c r="C14" s="655" t="str">
        <f t="array" ref="C14">IF( ISERROR(INDEX(Panel2!$J$6:$J$115,SMALL(IF(Panel2!$J$6:$J$115&lt;&gt;0,ROW(Panel2!$J$6:$J$115)-5),ROW(C10)))),"",  INDEX(Panel2!$J$6:$J$115,SMALL(IF(Panel2!$J$6:$J$115&lt;&gt;0,ROW(Panel2!$J$6:$J$115)-5),ROW(C10))))</f>
        <v/>
      </c>
      <c r="D14" s="142"/>
      <c r="E14" s="1590"/>
      <c r="F14" s="605" t="s">
        <v>444</v>
      </c>
      <c r="G14" s="607" t="s">
        <v>461</v>
      </c>
      <c r="H14" s="606" t="str">
        <f t="shared" si="1"/>
        <v>HBase</v>
      </c>
      <c r="I14" s="606" t="str">
        <f>M14&amp;Y14&amp;IF(OR(BASIC_TOOL!$C$15=1,BASIC_TOOL!$C$15=5),,N14)</f>
        <v>BH40M</v>
      </c>
      <c r="J14" s="607">
        <f t="shared" si="2"/>
        <v>0</v>
      </c>
      <c r="K14" s="606" t="str">
        <f>L14&amp;IF(OR( BASIC_TOOL!$C$15=1,BASIC_TOOL!$C$15=5),"","(I)")</f>
        <v>HBase</v>
      </c>
      <c r="L14" s="606" t="s">
        <v>551</v>
      </c>
      <c r="M14" s="607" t="s">
        <v>1298</v>
      </c>
      <c r="N14" s="607" t="s">
        <v>464</v>
      </c>
      <c r="O14" s="608" t="s">
        <v>485</v>
      </c>
      <c r="P14" s="608" t="s">
        <v>488</v>
      </c>
      <c r="Q14" s="608" t="s">
        <v>488</v>
      </c>
      <c r="R14" s="608" t="s">
        <v>488</v>
      </c>
      <c r="S14" s="608" t="s">
        <v>491</v>
      </c>
      <c r="T14" s="608" t="s">
        <v>491</v>
      </c>
      <c r="U14" s="608" t="s">
        <v>491</v>
      </c>
      <c r="V14" s="608" t="s">
        <v>493</v>
      </c>
      <c r="W14" s="608" t="s">
        <v>493</v>
      </c>
      <c r="X14" s="603">
        <f>W_C*(L1_F+L2_F+L3_F+L4_F)+W_F*(L1_C+L2_C+L3_C+L4_C)-X15</f>
        <v>0</v>
      </c>
      <c r="Y14" s="607" t="str">
        <f t="shared" si="3"/>
        <v>40M</v>
      </c>
      <c r="Z14" s="600">
        <v>10</v>
      </c>
      <c r="AA14" s="616">
        <v>3.1</v>
      </c>
      <c r="AB14" s="615">
        <f t="shared" si="0"/>
        <v>0</v>
      </c>
    </row>
    <row r="15" spans="1:29" s="143" customFormat="1" ht="17.25" customHeight="1">
      <c r="A15" s="655" t="str">
        <f t="array" ref="A15">IF( ISERROR(INDEX(Panel2!$H$6:$H$115,SMALL(IF(Panel2!$J$6:$J$115&lt;&gt;0,ROW(Panel2!$J$6:$J$115)-5),ROW(A11)))),"",INDEX(Panel2!$H$6:$H$115,SMALL(IF(Panel2!$J$6:$J$115&lt;&gt;0,ROW(Panel2!$J$6:$J$115)-5),ROW(A11))))</f>
        <v/>
      </c>
      <c r="B15" s="655" t="str">
        <f t="array" ref="B15">IF(ISERROR(INDEX(Panel2!$I$6:$I$115,SMALL(IF(Panel2!$J$6:$J$115&lt;&gt;0,ROW(Panel2!$J$6:$J$115)-5),ROW(B11)))),"",INDEX(Panel2!$I$6:$I$115,SMALL(IF(Panel2!$J$6:$J$115&lt;&gt;0,ROW(Panel2!$J$6:$J$115)-5),ROW(B11))))</f>
        <v/>
      </c>
      <c r="C15" s="655" t="str">
        <f t="array" ref="C15">IF( ISERROR(INDEX(Panel2!$J$6:$J$115,SMALL(IF(Panel2!$J$6:$J$115&lt;&gt;0,ROW(Panel2!$J$6:$J$115)-5),ROW(C11)))),"",  INDEX(Panel2!$J$6:$J$115,SMALL(IF(Panel2!$J$6:$J$115&lt;&gt;0,ROW(Panel2!$J$6:$J$115)-5),ROW(C11))))</f>
        <v/>
      </c>
      <c r="D15" s="142"/>
      <c r="E15" s="1590"/>
      <c r="F15" s="605" t="s">
        <v>444</v>
      </c>
      <c r="G15" s="607" t="s">
        <v>461</v>
      </c>
      <c r="H15" s="606" t="str">
        <f t="shared" si="1"/>
        <v>HBase_Short(4HOLES)</v>
      </c>
      <c r="I15" s="606" t="str">
        <f>M15&amp;Y15&amp;IF(OR(BASIC_TOOL!$C$15=1,BASIC_TOOL!$C$15=5),,N15)</f>
        <v>BH40PS</v>
      </c>
      <c r="J15" s="607">
        <f t="shared" si="2"/>
        <v>0</v>
      </c>
      <c r="K15" s="606" t="str">
        <f>L15&amp;IF(OR( BASIC_TOOL!$C$15=1,BASIC_TOOL!$C$15=5),"","(I)")</f>
        <v>HBase_Short(4HOLES)</v>
      </c>
      <c r="L15" s="606" t="s">
        <v>2331</v>
      </c>
      <c r="M15" s="607" t="s">
        <v>1298</v>
      </c>
      <c r="N15" s="607" t="s">
        <v>464</v>
      </c>
      <c r="O15" s="608" t="s">
        <v>2327</v>
      </c>
      <c r="P15" s="608" t="s">
        <v>2328</v>
      </c>
      <c r="Q15" s="608" t="s">
        <v>2328</v>
      </c>
      <c r="R15" s="608" t="s">
        <v>2328</v>
      </c>
      <c r="S15" s="608" t="s">
        <v>2329</v>
      </c>
      <c r="T15" s="608" t="s">
        <v>2329</v>
      </c>
      <c r="U15" s="608" t="s">
        <v>2329</v>
      </c>
      <c r="V15" s="608" t="s">
        <v>2330</v>
      </c>
      <c r="W15" s="608" t="s">
        <v>2330</v>
      </c>
      <c r="X15" s="603">
        <f>IF(W_F=1,N_PA,0)</f>
        <v>0</v>
      </c>
      <c r="Y15" s="607" t="str">
        <f t="shared" si="3"/>
        <v>40PS</v>
      </c>
      <c r="Z15" s="600">
        <v>11</v>
      </c>
      <c r="AA15" s="616">
        <v>3.1</v>
      </c>
      <c r="AB15" s="615">
        <f t="shared" si="0"/>
        <v>0</v>
      </c>
    </row>
    <row r="16" spans="1:29" s="143" customFormat="1" ht="17.25" customHeight="1">
      <c r="A16" s="655" t="str">
        <f t="array" ref="A16">IF( ISERROR(INDEX(Panel2!$H$6:$H$115,SMALL(IF(Panel2!$J$6:$J$115&lt;&gt;0,ROW(Panel2!$J$6:$J$115)-5),ROW(A12)))),"",INDEX(Panel2!$H$6:$H$115,SMALL(IF(Panel2!$J$6:$J$115&lt;&gt;0,ROW(Panel2!$J$6:$J$115)-5),ROW(A12))))</f>
        <v/>
      </c>
      <c r="B16" s="655" t="str">
        <f t="array" ref="B16">IF(ISERROR(INDEX(Panel2!$I$6:$I$115,SMALL(IF(Panel2!$J$6:$J$115&lt;&gt;0,ROW(Panel2!$J$6:$J$115)-5),ROW(B12)))),"",INDEX(Panel2!$I$6:$I$115,SMALL(IF(Panel2!$J$6:$J$115&lt;&gt;0,ROW(Panel2!$J$6:$J$115)-5),ROW(B12))))</f>
        <v/>
      </c>
      <c r="C16" s="655" t="str">
        <f t="array" ref="C16">IF( ISERROR(INDEX(Panel2!$J$6:$J$115,SMALL(IF(Panel2!$J$6:$J$115&lt;&gt;0,ROW(Panel2!$J$6:$J$115)-5),ROW(C12)))),"",  INDEX(Panel2!$J$6:$J$115,SMALL(IF(Panel2!$J$6:$J$115&lt;&gt;0,ROW(Panel2!$J$6:$J$115)-5),ROW(C12))))</f>
        <v/>
      </c>
      <c r="D16" s="142"/>
      <c r="E16" s="1590"/>
      <c r="F16" s="605" t="s">
        <v>445</v>
      </c>
      <c r="G16" s="607" t="s">
        <v>461</v>
      </c>
      <c r="H16" s="606" t="str">
        <f>K16</f>
        <v>QBase</v>
      </c>
      <c r="I16" s="606" t="str">
        <f>M16&amp;Y16&amp;IF(OR(BASIC_TOOL!$C$15=1,BASIC_TOOL!$C$15=5),,N16)</f>
        <v>BQ40M</v>
      </c>
      <c r="J16" s="607">
        <f>IF(OR(X16=0,Y16=0),0,X16)</f>
        <v>0</v>
      </c>
      <c r="K16" s="606" t="str">
        <f>L16&amp;IF(OR( BASIC_TOOL!$C$15=1,BASIC_TOOL!$C$15=5),"","(I)")</f>
        <v>QBase</v>
      </c>
      <c r="L16" s="606" t="s">
        <v>553</v>
      </c>
      <c r="M16" s="607" t="s">
        <v>1299</v>
      </c>
      <c r="N16" s="607" t="s">
        <v>464</v>
      </c>
      <c r="O16" s="608" t="s">
        <v>485</v>
      </c>
      <c r="P16" s="608" t="s">
        <v>491</v>
      </c>
      <c r="Q16" s="608" t="s">
        <v>491</v>
      </c>
      <c r="R16" s="608" t="s">
        <v>491</v>
      </c>
      <c r="S16" s="608" t="s">
        <v>491</v>
      </c>
      <c r="T16" s="608" t="s">
        <v>491</v>
      </c>
      <c r="U16" s="608" t="s">
        <v>491</v>
      </c>
      <c r="V16" s="608" t="s">
        <v>493</v>
      </c>
      <c r="W16" s="608" t="s">
        <v>493</v>
      </c>
      <c r="X16" s="603">
        <f>IF(AND(W_F=1,OR(L1_F,L2_F,L3_F,L4_F)),L1_F+L2_F+L3_F+L4_F,0)</f>
        <v>0</v>
      </c>
      <c r="Y16" s="607" t="str">
        <f>HLOOKUP(H_O,$O$5:$W$115,Z16,FALSE)</f>
        <v>40M</v>
      </c>
      <c r="Z16" s="600">
        <v>12</v>
      </c>
      <c r="AA16" s="616">
        <v>2.1</v>
      </c>
      <c r="AB16" s="615">
        <f t="shared" si="0"/>
        <v>0</v>
      </c>
    </row>
    <row r="17" spans="1:28" s="143" customFormat="1" ht="17.25" customHeight="1">
      <c r="A17" s="655" t="str">
        <f t="array" ref="A17">IF( ISERROR(INDEX(Panel2!$H$6:$H$115,SMALL(IF(Panel2!$J$6:$J$115&lt;&gt;0,ROW(Panel2!$J$6:$J$115)-5),ROW(A13)))),"",INDEX(Panel2!$H$6:$H$115,SMALL(IF(Panel2!$J$6:$J$115&lt;&gt;0,ROW(Panel2!$J$6:$J$115)-5),ROW(A13))))</f>
        <v/>
      </c>
      <c r="B17" s="655" t="str">
        <f t="array" ref="B17">IF(ISERROR(INDEX(Panel2!$I$6:$I$115,SMALL(IF(Panel2!$J$6:$J$115&lt;&gt;0,ROW(Panel2!$J$6:$J$115)-5),ROW(B13)))),"",INDEX(Panel2!$I$6:$I$115,SMALL(IF(Panel2!$J$6:$J$115&lt;&gt;0,ROW(Panel2!$J$6:$J$115)-5),ROW(B13))))</f>
        <v/>
      </c>
      <c r="C17" s="655" t="str">
        <f t="array" ref="C17">IF( ISERROR(INDEX(Panel2!$J$6:$J$115,SMALL(IF(Panel2!$J$6:$J$115&lt;&gt;0,ROW(Panel2!$J$6:$J$115)-5),ROW(C13)))),"",  INDEX(Panel2!$J$6:$J$115,SMALL(IF(Panel2!$J$6:$J$115&lt;&gt;0,ROW(Panel2!$J$6:$J$115)-5),ROW(C13))))</f>
        <v/>
      </c>
      <c r="D17" s="142"/>
      <c r="E17" s="1590"/>
      <c r="F17" s="605" t="s">
        <v>446</v>
      </c>
      <c r="G17" s="607" t="s">
        <v>462</v>
      </c>
      <c r="H17" s="606" t="str">
        <f>K17</f>
        <v>Drain</v>
      </c>
      <c r="I17" s="606" t="str">
        <f>M17&amp;Y17&amp;IF(OR(BASIC_TOOL!$C$15=1,BASIC_TOOL!$C$15=5),,N17)</f>
        <v>DN30M</v>
      </c>
      <c r="J17" s="607">
        <f>IF(OR(X17=0,Y17=0),0,X17)</f>
        <v>1</v>
      </c>
      <c r="K17" s="606" t="str">
        <f>L17&amp;IF(OR( BASIC_TOOL!$C$15=1,BASIC_TOOL!$C$15=5),"","(I)")</f>
        <v>Drain</v>
      </c>
      <c r="L17" s="606" t="s">
        <v>456</v>
      </c>
      <c r="M17" s="607" t="s">
        <v>1300</v>
      </c>
      <c r="N17" s="607" t="s">
        <v>464</v>
      </c>
      <c r="O17" s="608" t="s">
        <v>485</v>
      </c>
      <c r="P17" s="608" t="s">
        <v>479</v>
      </c>
      <c r="Q17" s="608" t="s">
        <v>487</v>
      </c>
      <c r="R17" s="608" t="s">
        <v>488</v>
      </c>
      <c r="S17" s="608" t="s">
        <v>489</v>
      </c>
      <c r="T17" s="608" t="s">
        <v>490</v>
      </c>
      <c r="U17" s="608" t="s">
        <v>491</v>
      </c>
      <c r="V17" s="608" t="s">
        <v>492</v>
      </c>
      <c r="W17" s="608" t="s">
        <v>493</v>
      </c>
      <c r="X17" s="603">
        <f>(1+N_PA)-X19</f>
        <v>1</v>
      </c>
      <c r="Y17" s="607" t="str">
        <f>HLOOKUP(H_O,$O$5:$W$115,Z17,FALSE)</f>
        <v>30M</v>
      </c>
      <c r="Z17" s="600">
        <v>13</v>
      </c>
      <c r="AA17" s="616">
        <v>4.0999999999999996</v>
      </c>
      <c r="AB17" s="615">
        <f t="shared" si="0"/>
        <v>4.0999999999999996</v>
      </c>
    </row>
    <row r="18" spans="1:28" s="143" customFormat="1" ht="17.25" customHeight="1">
      <c r="A18" s="655" t="str">
        <f t="array" ref="A18">IF( ISERROR(INDEX(Panel2!$H$6:$H$115,SMALL(IF(Panel2!$J$6:$J$115&lt;&gt;0,ROW(Panel2!$J$6:$J$115)-5),ROW(A14)))),"",INDEX(Panel2!$H$6:$H$115,SMALL(IF(Panel2!$J$6:$J$115&lt;&gt;0,ROW(Panel2!$J$6:$J$115)-5),ROW(A14))))</f>
        <v/>
      </c>
      <c r="B18" s="655" t="str">
        <f t="array" ref="B18">IF(ISERROR(INDEX(Panel2!$I$6:$I$115,SMALL(IF(Panel2!$J$6:$J$115&lt;&gt;0,ROW(Panel2!$J$6:$J$115)-5),ROW(B14)))),"",INDEX(Panel2!$I$6:$I$115,SMALL(IF(Panel2!$J$6:$J$115&lt;&gt;0,ROW(Panel2!$J$6:$J$115)-5),ROW(B14))))</f>
        <v/>
      </c>
      <c r="C18" s="655" t="str">
        <f t="array" ref="C18">IF( ISERROR(INDEX(Panel2!$J$6:$J$115,SMALL(IF(Panel2!$J$6:$J$115&lt;&gt;0,ROW(Panel2!$J$6:$J$115)-5),ROW(C14)))),"",  INDEX(Panel2!$J$6:$J$115,SMALL(IF(Panel2!$J$6:$J$115&lt;&gt;0,ROW(Panel2!$J$6:$J$115)-5),ROW(C14))))</f>
        <v/>
      </c>
      <c r="D18" s="142"/>
      <c r="E18" s="610"/>
      <c r="F18" s="605"/>
      <c r="G18" s="607"/>
      <c r="H18" s="606"/>
      <c r="I18" s="606"/>
      <c r="J18" s="607"/>
      <c r="K18" s="606"/>
      <c r="L18" s="606"/>
      <c r="M18" s="607"/>
      <c r="N18" s="607"/>
      <c r="O18" s="608"/>
      <c r="P18" s="608"/>
      <c r="Q18" s="608"/>
      <c r="R18" s="608"/>
      <c r="S18" s="608"/>
      <c r="T18" s="608"/>
      <c r="U18" s="608"/>
      <c r="V18" s="608"/>
      <c r="W18" s="608"/>
      <c r="X18" s="603"/>
      <c r="Y18" s="607"/>
      <c r="Z18" s="600">
        <v>14</v>
      </c>
      <c r="AA18" s="616"/>
      <c r="AB18" s="615">
        <f t="shared" si="0"/>
        <v>0</v>
      </c>
    </row>
    <row r="19" spans="1:28" s="143" customFormat="1" ht="17.25" customHeight="1">
      <c r="A19" s="655" t="str">
        <f t="array" ref="A19">IF( ISERROR(INDEX(Panel2!$H$6:$H$115,SMALL(IF(Panel2!$J$6:$J$115&lt;&gt;0,ROW(Panel2!$J$6:$J$115)-5),ROW(A15)))),"",INDEX(Panel2!$H$6:$H$115,SMALL(IF(Panel2!$J$6:$J$115&lt;&gt;0,ROW(Panel2!$J$6:$J$115)-5),ROW(A15))))</f>
        <v/>
      </c>
      <c r="B19" s="655" t="str">
        <f t="array" ref="B19">IF(ISERROR(INDEX(Panel2!$I$6:$I$115,SMALL(IF(Panel2!$J$6:$J$115&lt;&gt;0,ROW(Panel2!$J$6:$J$115)-5),ROW(B15)))),"",INDEX(Panel2!$I$6:$I$115,SMALL(IF(Panel2!$J$6:$J$115&lt;&gt;0,ROW(Panel2!$J$6:$J$115)-5),ROW(B15))))</f>
        <v/>
      </c>
      <c r="C19" s="655" t="str">
        <f t="array" ref="C19">IF( ISERROR(INDEX(Panel2!$J$6:$J$115,SMALL(IF(Panel2!$J$6:$J$115&lt;&gt;0,ROW(Panel2!$J$6:$J$115)-5),ROW(C15)))),"",  INDEX(Panel2!$J$6:$J$115,SMALL(IF(Panel2!$J$6:$J$115&lt;&gt;0,ROW(Panel2!$J$6:$J$115)-5),ROW(C15))))</f>
        <v/>
      </c>
      <c r="D19" s="142"/>
      <c r="E19" s="610"/>
      <c r="F19" s="605"/>
      <c r="G19" s="607"/>
      <c r="H19" s="606"/>
      <c r="I19" s="606"/>
      <c r="J19" s="607"/>
      <c r="K19" s="606"/>
      <c r="L19" s="606"/>
      <c r="M19" s="607"/>
      <c r="N19" s="607"/>
      <c r="O19" s="608"/>
      <c r="P19" s="608"/>
      <c r="Q19" s="608"/>
      <c r="R19" s="608"/>
      <c r="S19" s="608"/>
      <c r="T19" s="608"/>
      <c r="U19" s="608"/>
      <c r="V19" s="608"/>
      <c r="W19" s="608"/>
      <c r="X19" s="603"/>
      <c r="Y19" s="607">
        <f t="shared" ref="Y19:Y54" si="4">HLOOKUP(H_O,$O$5:$W$115,Z19,FALSE)</f>
        <v>0</v>
      </c>
      <c r="Z19" s="600">
        <v>15</v>
      </c>
      <c r="AA19" s="616"/>
      <c r="AB19" s="615">
        <f t="shared" si="0"/>
        <v>0</v>
      </c>
    </row>
    <row r="20" spans="1:28" s="143" customFormat="1" ht="17.25" customHeight="1">
      <c r="A20" s="655" t="str">
        <f t="array" ref="A20">IF( ISERROR(INDEX(Panel2!$H$6:$H$115,SMALL(IF(Panel2!$J$6:$J$115&lt;&gt;0,ROW(Panel2!$J$6:$J$115)-5),ROW(A16)))),"",INDEX(Panel2!$H$6:$H$115,SMALL(IF(Panel2!$J$6:$J$115&lt;&gt;0,ROW(Panel2!$J$6:$J$115)-5),ROW(A16))))</f>
        <v/>
      </c>
      <c r="B20" s="655" t="str">
        <f t="array" ref="B20">IF(ISERROR(INDEX(Panel2!$I$6:$I$115,SMALL(IF(Panel2!$J$6:$J$115&lt;&gt;0,ROW(Panel2!$J$6:$J$115)-5),ROW(B16)))),"",INDEX(Panel2!$I$6:$I$115,SMALL(IF(Panel2!$J$6:$J$115&lt;&gt;0,ROW(Panel2!$J$6:$J$115)-5),ROW(B16))))</f>
        <v/>
      </c>
      <c r="C20" s="655" t="str">
        <f t="array" ref="C20">IF( ISERROR(INDEX(Panel2!$J$6:$J$115,SMALL(IF(Panel2!$J$6:$J$115&lt;&gt;0,ROW(Panel2!$J$6:$J$115)-5),ROW(C16)))),"",  INDEX(Panel2!$J$6:$J$115,SMALL(IF(Panel2!$J$6:$J$115&lt;&gt;0,ROW(Panel2!$J$6:$J$115)-5),ROW(C16))))</f>
        <v/>
      </c>
      <c r="D20" s="142"/>
      <c r="E20" s="1590" t="s">
        <v>527</v>
      </c>
      <c r="F20" s="1589" t="s">
        <v>413</v>
      </c>
      <c r="G20" s="607" t="s">
        <v>414</v>
      </c>
      <c r="H20" s="606" t="str">
        <f t="shared" ref="H20:H54" si="5">K20</f>
        <v>Side15</v>
      </c>
      <c r="I20" s="606" t="str">
        <f>M20&amp;Y20&amp;IF(OR(BASIC_TOOL!$C$15=1,BASIC_TOOL!$C$15=5),,N20)</f>
        <v>SL0</v>
      </c>
      <c r="J20" s="607">
        <f t="shared" ref="J20:J54" si="6">IF(OR(X20=0,Y20=0),0,X20)</f>
        <v>0</v>
      </c>
      <c r="K20" s="606" t="str">
        <f>L20&amp;IF(OR( BASIC_TOOL!$C$15=1,BASIC_TOOL!$C$15=5),"","(I)")</f>
        <v>Side15</v>
      </c>
      <c r="L20" s="606" t="s">
        <v>1265</v>
      </c>
      <c r="M20" s="607" t="s">
        <v>503</v>
      </c>
      <c r="N20" s="607" t="s">
        <v>464</v>
      </c>
      <c r="O20" s="607"/>
      <c r="P20" s="607" t="s">
        <v>468</v>
      </c>
      <c r="Q20" s="607"/>
      <c r="R20" s="607" t="s">
        <v>471</v>
      </c>
      <c r="S20" s="607"/>
      <c r="T20" s="607" t="s">
        <v>471</v>
      </c>
      <c r="U20" s="607"/>
      <c r="V20" s="607" t="s">
        <v>471</v>
      </c>
      <c r="W20" s="607"/>
      <c r="X20" s="603">
        <f>IF(BASIC_TOOL!D15=1,0,((W_C+L1_C+L2_C+L3_C+L4_C)*2)-X22-X21)</f>
        <v>30</v>
      </c>
      <c r="Y20" s="607">
        <f t="shared" si="4"/>
        <v>0</v>
      </c>
      <c r="Z20" s="600">
        <v>16</v>
      </c>
      <c r="AA20" s="616">
        <v>5.2</v>
      </c>
      <c r="AB20" s="615">
        <f>AA20*J20</f>
        <v>0</v>
      </c>
    </row>
    <row r="21" spans="1:28" s="143" customFormat="1" ht="17.25" customHeight="1">
      <c r="A21" s="655" t="str">
        <f t="array" ref="A21">IF( ISERROR(INDEX(Panel2!$H$6:$H$115,SMALL(IF(Panel2!$J$6:$J$115&lt;&gt;0,ROW(Panel2!$J$6:$J$115)-5),ROW(A17)))),"",INDEX(Panel2!$H$6:$H$115,SMALL(IF(Panel2!$J$6:$J$115&lt;&gt;0,ROW(Panel2!$J$6:$J$115)-5),ROW(A17))))</f>
        <v/>
      </c>
      <c r="B21" s="655" t="str">
        <f t="array" ref="B21">IF(ISERROR(INDEX(Panel2!$I$6:$I$115,SMALL(IF(Panel2!$J$6:$J$115&lt;&gt;0,ROW(Panel2!$J$6:$J$115)-5),ROW(B17)))),"",INDEX(Panel2!$I$6:$I$115,SMALL(IF(Panel2!$J$6:$J$115&lt;&gt;0,ROW(Panel2!$J$6:$J$115)-5),ROW(B17))))</f>
        <v/>
      </c>
      <c r="C21" s="655" t="str">
        <f t="array" ref="C21">IF( ISERROR(INDEX(Panel2!$J$6:$J$115,SMALL(IF(Panel2!$J$6:$J$115&lt;&gt;0,ROW(Panel2!$J$6:$J$115)-5),ROW(C17)))),"",  INDEX(Panel2!$J$6:$J$115,SMALL(IF(Panel2!$J$6:$J$115&lt;&gt;0,ROW(Panel2!$J$6:$J$115)-5),ROW(C17))))</f>
        <v/>
      </c>
      <c r="D21" s="142"/>
      <c r="E21" s="1590"/>
      <c r="F21" s="1589"/>
      <c r="G21" s="607" t="s">
        <v>414</v>
      </c>
      <c r="H21" s="606" t="str">
        <f t="shared" si="5"/>
        <v>Side15_ParLT</v>
      </c>
      <c r="I21" s="606" t="str">
        <f>M21&amp;Y21&amp;IF(OR(BASIC_TOOL!$C$15=1,BASIC_TOOL!$C$15=5),,N21)</f>
        <v>SL0</v>
      </c>
      <c r="J21" s="607">
        <f t="shared" si="6"/>
        <v>0</v>
      </c>
      <c r="K21" s="606" t="str">
        <f>L21&amp;IF(OR( BASIC_TOOL!$C$15=1,BASIC_TOOL!$C$15=5),"","(I)")</f>
        <v>Side15_ParLT</v>
      </c>
      <c r="L21" s="606" t="s">
        <v>1266</v>
      </c>
      <c r="M21" s="607" t="s">
        <v>503</v>
      </c>
      <c r="N21" s="607" t="s">
        <v>464</v>
      </c>
      <c r="O21" s="607"/>
      <c r="P21" s="607" t="s">
        <v>469</v>
      </c>
      <c r="Q21" s="607"/>
      <c r="R21" s="607" t="s">
        <v>472</v>
      </c>
      <c r="S21" s="607"/>
      <c r="T21" s="607" t="s">
        <v>472</v>
      </c>
      <c r="U21" s="607"/>
      <c r="V21" s="607" t="s">
        <v>472</v>
      </c>
      <c r="W21" s="607"/>
      <c r="X21" s="603">
        <f>IF(BASIC_TOOL!D15=1,0,N_PA)</f>
        <v>0</v>
      </c>
      <c r="Y21" s="607">
        <f t="shared" si="4"/>
        <v>0</v>
      </c>
      <c r="Z21" s="600">
        <v>17</v>
      </c>
      <c r="AA21" s="616">
        <v>5.2</v>
      </c>
      <c r="AB21" s="615">
        <f t="shared" si="0"/>
        <v>0</v>
      </c>
    </row>
    <row r="22" spans="1:28" s="143" customFormat="1" ht="17.25" customHeight="1">
      <c r="A22" s="655" t="str">
        <f t="array" ref="A22">IF( ISERROR(INDEX(Panel2!$H$6:$H$115,SMALL(IF(Panel2!$J$6:$J$115&lt;&gt;0,ROW(Panel2!$J$6:$J$115)-5),ROW(A18)))),"",INDEX(Panel2!$H$6:$H$115,SMALL(IF(Panel2!$J$6:$J$115&lt;&gt;0,ROW(Panel2!$J$6:$J$115)-5),ROW(A18))))</f>
        <v/>
      </c>
      <c r="B22" s="655" t="str">
        <f t="array" ref="B22">IF(ISERROR(INDEX(Panel2!$I$6:$I$115,SMALL(IF(Panel2!$J$6:$J$115&lt;&gt;0,ROW(Panel2!$J$6:$J$115)-5),ROW(B18)))),"",INDEX(Panel2!$I$6:$I$115,SMALL(IF(Panel2!$J$6:$J$115&lt;&gt;0,ROW(Panel2!$J$6:$J$115)-5),ROW(B18))))</f>
        <v/>
      </c>
      <c r="C22" s="655" t="str">
        <f t="array" ref="C22">IF( ISERROR(INDEX(Panel2!$J$6:$J$115,SMALL(IF(Panel2!$J$6:$J$115&lt;&gt;0,ROW(Panel2!$J$6:$J$115)-5),ROW(C18)))),"",  INDEX(Panel2!$J$6:$J$115,SMALL(IF(Panel2!$J$6:$J$115&lt;&gt;0,ROW(Panel2!$J$6:$J$115)-5),ROW(C18))))</f>
        <v/>
      </c>
      <c r="D22" s="142"/>
      <c r="E22" s="1590"/>
      <c r="F22" s="1589"/>
      <c r="G22" s="607" t="s">
        <v>414</v>
      </c>
      <c r="H22" s="606" t="str">
        <f t="shared" si="5"/>
        <v>Side15_ParRT</v>
      </c>
      <c r="I22" s="606" t="str">
        <f>M22&amp;Y22&amp;IF(OR(BASIC_TOOL!$C$15=1,BASIC_TOOL!$C$15=5),,N22)</f>
        <v>SL0</v>
      </c>
      <c r="J22" s="607">
        <f t="shared" si="6"/>
        <v>0</v>
      </c>
      <c r="K22" s="606" t="str">
        <f>L22&amp;IF(OR( BASIC_TOOL!$C$15=1,BASIC_TOOL!$C$15=5),"","(I)")</f>
        <v>Side15_ParRT</v>
      </c>
      <c r="L22" s="606" t="s">
        <v>1267</v>
      </c>
      <c r="M22" s="607" t="s">
        <v>503</v>
      </c>
      <c r="N22" s="607" t="s">
        <v>464</v>
      </c>
      <c r="O22" s="607"/>
      <c r="P22" s="607" t="s">
        <v>470</v>
      </c>
      <c r="Q22" s="607"/>
      <c r="R22" s="607" t="s">
        <v>473</v>
      </c>
      <c r="S22" s="607"/>
      <c r="T22" s="607" t="s">
        <v>473</v>
      </c>
      <c r="U22" s="607"/>
      <c r="V22" s="607" t="s">
        <v>473</v>
      </c>
      <c r="W22" s="607"/>
      <c r="X22" s="603">
        <f>IF(BASIC_TOOL!D15=1,0,N_PA)</f>
        <v>0</v>
      </c>
      <c r="Y22" s="607">
        <f t="shared" si="4"/>
        <v>0</v>
      </c>
      <c r="Z22" s="600">
        <v>18</v>
      </c>
      <c r="AA22" s="616">
        <v>5.2</v>
      </c>
      <c r="AB22" s="615">
        <f t="shared" si="0"/>
        <v>0</v>
      </c>
    </row>
    <row r="23" spans="1:28" s="143" customFormat="1" ht="17.25" customHeight="1">
      <c r="A23" s="655" t="str">
        <f t="array" ref="A23">IF( ISERROR(INDEX(Panel2!$H$6:$H$115,SMALL(IF(Panel2!$J$6:$J$115&lt;&gt;0,ROW(Panel2!$J$6:$J$115)-5),ROW(A19)))),"",INDEX(Panel2!$H$6:$H$115,SMALL(IF(Panel2!$J$6:$J$115&lt;&gt;0,ROW(Panel2!$J$6:$J$115)-5),ROW(A19))))</f>
        <v/>
      </c>
      <c r="B23" s="655" t="str">
        <f t="array" ref="B23">IF(ISERROR(INDEX(Panel2!$I$6:$I$115,SMALL(IF(Panel2!$J$6:$J$115&lt;&gt;0,ROW(Panel2!$J$6:$J$115)-5),ROW(B19)))),"",INDEX(Panel2!$I$6:$I$115,SMALL(IF(Panel2!$J$6:$J$115&lt;&gt;0,ROW(Panel2!$J$6:$J$115)-5),ROW(B19))))</f>
        <v/>
      </c>
      <c r="C23" s="655" t="str">
        <f t="array" ref="C23">IF( ISERROR(INDEX(Panel2!$J$6:$J$115,SMALL(IF(Panel2!$J$6:$J$115&lt;&gt;0,ROW(Panel2!$J$6:$J$115)-5),ROW(C19)))),"",  INDEX(Panel2!$J$6:$J$115,SMALL(IF(Panel2!$J$6:$J$115&lt;&gt;0,ROW(Panel2!$J$6:$J$115)-5),ROW(C19))))</f>
        <v/>
      </c>
      <c r="D23" s="142"/>
      <c r="E23" s="1590"/>
      <c r="F23" s="1590" t="s">
        <v>516</v>
      </c>
      <c r="G23" s="1591" t="s">
        <v>415</v>
      </c>
      <c r="H23" s="822" t="str">
        <f t="shared" si="5"/>
        <v>Side</v>
      </c>
      <c r="I23" s="822" t="str">
        <f>M23&amp;Y23&amp;IF(OR(BASIC_TOOL!$C$15=1,BASIC_TOOL!$C$15=5),,N23)</f>
        <v>SF0</v>
      </c>
      <c r="J23" s="823">
        <f t="shared" si="6"/>
        <v>0</v>
      </c>
      <c r="K23" s="822" t="str">
        <f>L23&amp;IF(OR( BASIC_TOOL!$C$15=1,BASIC_TOOL!$C$15=5),"","(I)")</f>
        <v>Side</v>
      </c>
      <c r="L23" s="822" t="s">
        <v>554</v>
      </c>
      <c r="M23" s="823" t="s">
        <v>1301</v>
      </c>
      <c r="N23" s="823" t="s">
        <v>464</v>
      </c>
      <c r="O23" s="823"/>
      <c r="P23" s="823" t="s">
        <v>513</v>
      </c>
      <c r="Q23" s="823"/>
      <c r="R23" s="823" t="s">
        <v>513</v>
      </c>
      <c r="S23" s="823"/>
      <c r="T23" s="823" t="s">
        <v>513</v>
      </c>
      <c r="U23" s="823"/>
      <c r="V23" s="823" t="s">
        <v>513</v>
      </c>
      <c r="W23" s="823"/>
      <c r="X23" s="1170">
        <f>(IF(BASIC_TOOL!D15=0,0,(W_C+L1_C+L2_C+L3_C+L4_C)*2)-X24-X25)</f>
        <v>0</v>
      </c>
      <c r="Y23" s="823">
        <f t="shared" si="4"/>
        <v>0</v>
      </c>
      <c r="Z23" s="1171">
        <v>19</v>
      </c>
      <c r="AA23" s="616">
        <v>4.2</v>
      </c>
      <c r="AB23" s="615">
        <f t="shared" si="0"/>
        <v>0</v>
      </c>
    </row>
    <row r="24" spans="1:28" s="143" customFormat="1" ht="17.25" customHeight="1">
      <c r="A24" s="655" t="str">
        <f t="array" ref="A24">IF( ISERROR(INDEX(Panel2!$H$6:$H$115,SMALL(IF(Panel2!$J$6:$J$115&lt;&gt;0,ROW(Panel2!$J$6:$J$115)-5),ROW(A20)))),"",INDEX(Panel2!$H$6:$H$115,SMALL(IF(Panel2!$J$6:$J$115&lt;&gt;0,ROW(Panel2!$J$6:$J$115)-5),ROW(A20))))</f>
        <v/>
      </c>
      <c r="B24" s="655" t="str">
        <f t="array" ref="B24">IF(ISERROR(INDEX(Panel2!$I$6:$I$115,SMALL(IF(Panel2!$J$6:$J$115&lt;&gt;0,ROW(Panel2!$J$6:$J$115)-5),ROW(B20)))),"",INDEX(Panel2!$I$6:$I$115,SMALL(IF(Panel2!$J$6:$J$115&lt;&gt;0,ROW(Panel2!$J$6:$J$115)-5),ROW(B20))))</f>
        <v/>
      </c>
      <c r="C24" s="655" t="str">
        <f t="array" ref="C24">IF( ISERROR(INDEX(Panel2!$J$6:$J$115,SMALL(IF(Panel2!$J$6:$J$115&lt;&gt;0,ROW(Panel2!$J$6:$J$115)-5),ROW(C20)))),"",  INDEX(Panel2!$J$6:$J$115,SMALL(IF(Panel2!$J$6:$J$115&lt;&gt;0,ROW(Panel2!$J$6:$J$115)-5),ROW(C20))))</f>
        <v/>
      </c>
      <c r="D24" s="142"/>
      <c r="E24" s="1590"/>
      <c r="F24" s="1590"/>
      <c r="G24" s="1591"/>
      <c r="H24" s="822" t="str">
        <f t="shared" si="5"/>
        <v>Side_ParLT</v>
      </c>
      <c r="I24" s="822" t="str">
        <f>M24&amp;Y24&amp;IF(OR(BASIC_TOOL!$C$15=1,BASIC_TOOL!$C$15=5),,N24)</f>
        <v>SF0</v>
      </c>
      <c r="J24" s="823">
        <f t="shared" si="6"/>
        <v>0</v>
      </c>
      <c r="K24" s="822" t="str">
        <f>L24&amp;IF(OR( BASIC_TOOL!$C$15=1,BASIC_TOOL!$C$15=5),"","(I)")</f>
        <v>Side_ParLT</v>
      </c>
      <c r="L24" s="822" t="s">
        <v>1263</v>
      </c>
      <c r="M24" s="823" t="s">
        <v>1301</v>
      </c>
      <c r="N24" s="823" t="s">
        <v>464</v>
      </c>
      <c r="O24" s="823"/>
      <c r="P24" s="823" t="s">
        <v>514</v>
      </c>
      <c r="Q24" s="823"/>
      <c r="R24" s="823" t="s">
        <v>514</v>
      </c>
      <c r="S24" s="823"/>
      <c r="T24" s="823" t="s">
        <v>514</v>
      </c>
      <c r="U24" s="823"/>
      <c r="V24" s="823" t="s">
        <v>514</v>
      </c>
      <c r="W24" s="823"/>
      <c r="X24" s="1170">
        <f>N_PA*BASIC_TOOL!D15</f>
        <v>0</v>
      </c>
      <c r="Y24" s="823">
        <f t="shared" si="4"/>
        <v>0</v>
      </c>
      <c r="Z24" s="1171">
        <v>20</v>
      </c>
      <c r="AA24" s="616">
        <v>4.2</v>
      </c>
      <c r="AB24" s="615">
        <f t="shared" si="0"/>
        <v>0</v>
      </c>
    </row>
    <row r="25" spans="1:28" s="143" customFormat="1" ht="17.25" customHeight="1">
      <c r="A25" s="655" t="str">
        <f t="array" ref="A25">IF( ISERROR(INDEX(Panel2!$H$6:$H$115,SMALL(IF(Panel2!$J$6:$J$115&lt;&gt;0,ROW(Panel2!$J$6:$J$115)-5),ROW(A21)))),"",INDEX(Panel2!$H$6:$H$115,SMALL(IF(Panel2!$J$6:$J$115&lt;&gt;0,ROW(Panel2!$J$6:$J$115)-5),ROW(A21))))</f>
        <v/>
      </c>
      <c r="B25" s="655" t="str">
        <f t="array" ref="B25">IF(ISERROR(INDEX(Panel2!$I$6:$I$115,SMALL(IF(Panel2!$J$6:$J$115&lt;&gt;0,ROW(Panel2!$J$6:$J$115)-5),ROW(B21)))),"",INDEX(Panel2!$I$6:$I$115,SMALL(IF(Panel2!$J$6:$J$115&lt;&gt;0,ROW(Panel2!$J$6:$J$115)-5),ROW(B21))))</f>
        <v/>
      </c>
      <c r="C25" s="655" t="str">
        <f t="array" ref="C25">IF( ISERROR(INDEX(Panel2!$J$6:$J$115,SMALL(IF(Panel2!$J$6:$J$115&lt;&gt;0,ROW(Panel2!$J$6:$J$115)-5),ROW(C21)))),"",  INDEX(Panel2!$J$6:$J$115,SMALL(IF(Panel2!$J$6:$J$115&lt;&gt;0,ROW(Panel2!$J$6:$J$115)-5),ROW(C21))))</f>
        <v/>
      </c>
      <c r="D25" s="142"/>
      <c r="E25" s="1590"/>
      <c r="F25" s="1590"/>
      <c r="G25" s="1591"/>
      <c r="H25" s="822" t="str">
        <f t="shared" si="5"/>
        <v>Side_ParRT</v>
      </c>
      <c r="I25" s="822" t="str">
        <f>M25&amp;Y25&amp;IF(OR(BASIC_TOOL!$C$15=1,BASIC_TOOL!$C$15=5),,N25)</f>
        <v>SF0</v>
      </c>
      <c r="J25" s="823">
        <f t="shared" si="6"/>
        <v>0</v>
      </c>
      <c r="K25" s="822" t="str">
        <f>L25&amp;IF(OR( BASIC_TOOL!$C$15=1,BASIC_TOOL!$C$15=5),"","(I)")</f>
        <v>Side_ParRT</v>
      </c>
      <c r="L25" s="822" t="s">
        <v>1264</v>
      </c>
      <c r="M25" s="823" t="s">
        <v>1301</v>
      </c>
      <c r="N25" s="823" t="s">
        <v>464</v>
      </c>
      <c r="O25" s="823"/>
      <c r="P25" s="823" t="s">
        <v>515</v>
      </c>
      <c r="Q25" s="823"/>
      <c r="R25" s="823" t="s">
        <v>515</v>
      </c>
      <c r="S25" s="823"/>
      <c r="T25" s="823" t="s">
        <v>515</v>
      </c>
      <c r="U25" s="823"/>
      <c r="V25" s="823" t="s">
        <v>515</v>
      </c>
      <c r="W25" s="823"/>
      <c r="X25" s="1170">
        <f>N_PA*BASIC_TOOL!D15</f>
        <v>0</v>
      </c>
      <c r="Y25" s="823">
        <f t="shared" si="4"/>
        <v>0</v>
      </c>
      <c r="Z25" s="1171">
        <v>21</v>
      </c>
      <c r="AA25" s="616">
        <v>4.2</v>
      </c>
      <c r="AB25" s="615">
        <f t="shared" si="0"/>
        <v>0</v>
      </c>
    </row>
    <row r="26" spans="1:28" s="143" customFormat="1" ht="17.25" customHeight="1">
      <c r="A26" s="655" t="str">
        <f t="array" ref="A26">IF( ISERROR(INDEX(Panel2!$H$6:$H$115,SMALL(IF(Panel2!$J$6:$J$115&lt;&gt;0,ROW(Panel2!$J$6:$J$115)-5),ROW(A22)))),"",INDEX(Panel2!$H$6:$H$115,SMALL(IF(Panel2!$J$6:$J$115&lt;&gt;0,ROW(Panel2!$J$6:$J$115)-5),ROW(A22))))</f>
        <v/>
      </c>
      <c r="B26" s="655" t="str">
        <f t="array" ref="B26">IF(ISERROR(INDEX(Panel2!$I$6:$I$115,SMALL(IF(Panel2!$J$6:$J$115&lt;&gt;0,ROW(Panel2!$J$6:$J$115)-5),ROW(B22)))),"",INDEX(Panel2!$I$6:$I$115,SMALL(IF(Panel2!$J$6:$J$115&lt;&gt;0,ROW(Panel2!$J$6:$J$115)-5),ROW(B22))))</f>
        <v/>
      </c>
      <c r="C26" s="655" t="str">
        <f t="array" ref="C26">IF( ISERROR(INDEX(Panel2!$J$6:$J$115,SMALL(IF(Panel2!$J$6:$J$115&lt;&gt;0,ROW(Panel2!$J$6:$J$115)-5),ROW(C22)))),"",  INDEX(Panel2!$J$6:$J$115,SMALL(IF(Panel2!$J$6:$J$115&lt;&gt;0,ROW(Panel2!$J$6:$J$115)-5),ROW(C22))))</f>
        <v/>
      </c>
      <c r="D26" s="142"/>
      <c r="E26" s="1590"/>
      <c r="F26" s="1590"/>
      <c r="G26" s="823" t="s">
        <v>505</v>
      </c>
      <c r="H26" s="822" t="str">
        <f t="shared" si="5"/>
        <v>Hside</v>
      </c>
      <c r="I26" s="822" t="str">
        <f>M26&amp;Y26&amp;IF(OR(BASIC_TOOL!$C$15=1,BASIC_TOOL!$C$15=5),,N26)</f>
        <v>SH0</v>
      </c>
      <c r="J26" s="823">
        <f t="shared" si="6"/>
        <v>0</v>
      </c>
      <c r="K26" s="822" t="str">
        <f>L26&amp;IF(OR( BASIC_TOOL!$C$15=1,BASIC_TOOL!$C$15=5),"","(I)")</f>
        <v>Hside</v>
      </c>
      <c r="L26" s="822" t="s">
        <v>555</v>
      </c>
      <c r="M26" s="823" t="s">
        <v>1302</v>
      </c>
      <c r="N26" s="823" t="s">
        <v>464</v>
      </c>
      <c r="O26" s="823"/>
      <c r="P26" s="823" t="s">
        <v>2507</v>
      </c>
      <c r="Q26" s="823"/>
      <c r="R26" s="823" t="s">
        <v>485</v>
      </c>
      <c r="S26" s="823"/>
      <c r="T26" s="823" t="s">
        <v>485</v>
      </c>
      <c r="U26" s="823"/>
      <c r="V26" s="823" t="s">
        <v>485</v>
      </c>
      <c r="W26" s="823"/>
      <c r="X26" s="1170">
        <f>(IF(BASIC_TOOL!D15=0,0,(W_C+L1_C+L2_C+L3_C+L4_C)*2)-X27)</f>
        <v>0</v>
      </c>
      <c r="Y26" s="823">
        <f t="shared" si="4"/>
        <v>0</v>
      </c>
      <c r="Z26" s="1171">
        <v>22</v>
      </c>
      <c r="AA26" s="616">
        <v>3.2</v>
      </c>
      <c r="AB26" s="615">
        <f t="shared" si="0"/>
        <v>0</v>
      </c>
    </row>
    <row r="27" spans="1:28" s="143" customFormat="1" ht="17.25" customHeight="1">
      <c r="A27" s="655" t="str">
        <f t="array" ref="A27">IF( ISERROR(INDEX(Panel2!$H$6:$H$115,SMALL(IF(Panel2!$J$6:$J$115&lt;&gt;0,ROW(Panel2!$J$6:$J$115)-5),ROW(A23)))),"",INDEX(Panel2!$H$6:$H$115,SMALL(IF(Panel2!$J$6:$J$115&lt;&gt;0,ROW(Panel2!$J$6:$J$115)-5),ROW(A23))))</f>
        <v/>
      </c>
      <c r="B27" s="655" t="str">
        <f t="array" ref="B27">IF(ISERROR(INDEX(Panel2!$I$6:$I$115,SMALL(IF(Panel2!$J$6:$J$115&lt;&gt;0,ROW(Panel2!$J$6:$J$115)-5),ROW(B23)))),"",INDEX(Panel2!$I$6:$I$115,SMALL(IF(Panel2!$J$6:$J$115&lt;&gt;0,ROW(Panel2!$J$6:$J$115)-5),ROW(B23))))</f>
        <v/>
      </c>
      <c r="C27" s="655" t="str">
        <f t="array" ref="C27">IF( ISERROR(INDEX(Panel2!$J$6:$J$115,SMALL(IF(Panel2!$J$6:$J$115&lt;&gt;0,ROW(Panel2!$J$6:$J$115)-5),ROW(C23)))),"",  INDEX(Panel2!$J$6:$J$115,SMALL(IF(Panel2!$J$6:$J$115&lt;&gt;0,ROW(Panel2!$J$6:$J$115)-5),ROW(C23))))</f>
        <v/>
      </c>
      <c r="D27" s="142"/>
      <c r="E27" s="1590"/>
      <c r="F27" s="1590"/>
      <c r="G27" s="607" t="s">
        <v>505</v>
      </c>
      <c r="H27" s="606" t="str">
        <f t="shared" si="5"/>
        <v>Hside_Par</v>
      </c>
      <c r="I27" s="606" t="str">
        <f>M27&amp;Y27&amp;IF(OR(BASIC_TOOL!$C$15=1,BASIC_TOOL!$C$15=5),,N27)</f>
        <v>SH0</v>
      </c>
      <c r="J27" s="607">
        <f t="shared" si="6"/>
        <v>0</v>
      </c>
      <c r="K27" s="606" t="str">
        <f>L27&amp;IF(OR( BASIC_TOOL!$C$15=1,BASIC_TOOL!$C$15=5),"","(I)")</f>
        <v>Hside_Par</v>
      </c>
      <c r="L27" s="606" t="s">
        <v>1247</v>
      </c>
      <c r="M27" s="607" t="s">
        <v>1302</v>
      </c>
      <c r="N27" s="607" t="s">
        <v>464</v>
      </c>
      <c r="O27" s="607"/>
      <c r="P27" s="607" t="s">
        <v>1714</v>
      </c>
      <c r="Q27" s="607"/>
      <c r="R27" s="607" t="s">
        <v>1714</v>
      </c>
      <c r="S27" s="607"/>
      <c r="T27" s="607" t="s">
        <v>1714</v>
      </c>
      <c r="U27" s="607"/>
      <c r="V27" s="607" t="s">
        <v>1714</v>
      </c>
      <c r="W27" s="607"/>
      <c r="X27" s="603">
        <f>N_PA*BASIC_TOOL!D15*2</f>
        <v>0</v>
      </c>
      <c r="Y27" s="607">
        <f t="shared" si="4"/>
        <v>0</v>
      </c>
      <c r="Z27" s="600">
        <v>23</v>
      </c>
      <c r="AA27" s="616">
        <v>3.2</v>
      </c>
      <c r="AB27" s="615">
        <f t="shared" si="0"/>
        <v>0</v>
      </c>
    </row>
    <row r="28" spans="1:28" s="143" customFormat="1" ht="17.25" customHeight="1">
      <c r="A28" s="655" t="str">
        <f t="array" ref="A28">IF( ISERROR(INDEX(Panel2!$H$6:$H$115,SMALL(IF(Panel2!$J$6:$J$115&lt;&gt;0,ROW(Panel2!$J$6:$J$115)-5),ROW(A24)))),"",INDEX(Panel2!$H$6:$H$115,SMALL(IF(Panel2!$J$6:$J$115&lt;&gt;0,ROW(Panel2!$J$6:$J$115)-5),ROW(A24))))</f>
        <v/>
      </c>
      <c r="B28" s="655" t="str">
        <f t="array" ref="B28">IF(ISERROR(INDEX(Panel2!$I$6:$I$115,SMALL(IF(Panel2!$J$6:$J$115&lt;&gt;0,ROW(Panel2!$J$6:$J$115)-5),ROW(B24)))),"",INDEX(Panel2!$I$6:$I$115,SMALL(IF(Panel2!$J$6:$J$115&lt;&gt;0,ROW(Panel2!$J$6:$J$115)-5),ROW(B24))))</f>
        <v/>
      </c>
      <c r="C28" s="655" t="str">
        <f t="array" ref="C28">IF( ISERROR(INDEX(Panel2!$J$6:$J$115,SMALL(IF(Panel2!$J$6:$J$115&lt;&gt;0,ROW(Panel2!$J$6:$J$115)-5),ROW(C24)))),"",  INDEX(Panel2!$J$6:$J$115,SMALL(IF(Panel2!$J$6:$J$115&lt;&gt;0,ROW(Panel2!$J$6:$J$115)-5),ROW(C24))))</f>
        <v/>
      </c>
      <c r="D28" s="142"/>
      <c r="E28" s="1590"/>
      <c r="F28" s="1589" t="s">
        <v>504</v>
      </c>
      <c r="G28" s="607" t="s">
        <v>505</v>
      </c>
      <c r="H28" s="606" t="str">
        <f t="shared" si="5"/>
        <v>Hside</v>
      </c>
      <c r="I28" s="606" t="str">
        <f>M28&amp;Y28&amp;IF(OR(BASIC_TOOL!$C$15=1,BASIC_TOOL!$C$15=5),,N28)</f>
        <v>SH0</v>
      </c>
      <c r="J28" s="607">
        <f t="shared" si="6"/>
        <v>0</v>
      </c>
      <c r="K28" s="606" t="str">
        <f>L28&amp;IF(OR( BASIC_TOOL!$C$15=1,BASIC_TOOL!$C$15=5),"","(I)")</f>
        <v>Hside</v>
      </c>
      <c r="L28" s="606" t="s">
        <v>555</v>
      </c>
      <c r="M28" s="607" t="s">
        <v>1302</v>
      </c>
      <c r="N28" s="607" t="s">
        <v>464</v>
      </c>
      <c r="O28" s="607"/>
      <c r="P28" s="607" t="s">
        <v>511</v>
      </c>
      <c r="Q28" s="607"/>
      <c r="R28" s="607" t="s">
        <v>479</v>
      </c>
      <c r="S28" s="607"/>
      <c r="T28" s="607" t="s">
        <v>479</v>
      </c>
      <c r="U28" s="607"/>
      <c r="V28" s="607" t="s">
        <v>479</v>
      </c>
      <c r="W28" s="607"/>
      <c r="X28" s="603">
        <f>(W_F+L1_F+L2_F+L3_F+L4_F)*2</f>
        <v>0</v>
      </c>
      <c r="Y28" s="607">
        <f t="shared" si="4"/>
        <v>0</v>
      </c>
      <c r="Z28" s="600">
        <v>24</v>
      </c>
      <c r="AA28" s="616">
        <v>3.2</v>
      </c>
      <c r="AB28" s="615">
        <f t="shared" si="0"/>
        <v>0</v>
      </c>
    </row>
    <row r="29" spans="1:28" s="143" customFormat="1" ht="17.25" customHeight="1">
      <c r="A29" s="655" t="str">
        <f t="array" ref="A29">IF( ISERROR(INDEX(Panel2!$H$6:$H$115,SMALL(IF(Panel2!$J$6:$J$115&lt;&gt;0,ROW(Panel2!$J$6:$J$115)-5),ROW(A25)))),"",INDEX(Panel2!$H$6:$H$115,SMALL(IF(Panel2!$J$6:$J$115&lt;&gt;0,ROW(Panel2!$J$6:$J$115)-5),ROW(A25))))</f>
        <v/>
      </c>
      <c r="B29" s="655" t="str">
        <f t="array" ref="B29">IF(ISERROR(INDEX(Panel2!$I$6:$I$115,SMALL(IF(Panel2!$J$6:$J$115&lt;&gt;0,ROW(Panel2!$J$6:$J$115)-5),ROW(B25)))),"",INDEX(Panel2!$I$6:$I$115,SMALL(IF(Panel2!$J$6:$J$115&lt;&gt;0,ROW(Panel2!$J$6:$J$115)-5),ROW(B25))))</f>
        <v/>
      </c>
      <c r="C29" s="655" t="str">
        <f t="array" ref="C29">IF( ISERROR(INDEX(Panel2!$J$6:$J$115,SMALL(IF(Panel2!$J$6:$J$115&lt;&gt;0,ROW(Panel2!$J$6:$J$115)-5),ROW(C25)))),"",  INDEX(Panel2!$J$6:$J$115,SMALL(IF(Panel2!$J$6:$J$115&lt;&gt;0,ROW(Panel2!$J$6:$J$115)-5),ROW(C25))))</f>
        <v/>
      </c>
      <c r="D29" s="142"/>
      <c r="E29" s="1590"/>
      <c r="F29" s="1589"/>
      <c r="G29" s="607" t="s">
        <v>506</v>
      </c>
      <c r="H29" s="606" t="str">
        <f t="shared" si="5"/>
        <v>Qside</v>
      </c>
      <c r="I29" s="606" t="str">
        <f>M29&amp;Y29&amp;IF(OR(BASIC_TOOL!$C$15=1,BASIC_TOOL!$C$15=5),,N29)</f>
        <v>SQ0</v>
      </c>
      <c r="J29" s="607">
        <f t="shared" si="6"/>
        <v>0</v>
      </c>
      <c r="K29" s="606" t="str">
        <f>L29&amp;IF(OR( BASIC_TOOL!$C$15=1,BASIC_TOOL!$C$15=5),"","(I)")</f>
        <v>Qside</v>
      </c>
      <c r="L29" s="606" t="s">
        <v>556</v>
      </c>
      <c r="M29" s="607" t="s">
        <v>1303</v>
      </c>
      <c r="N29" s="607" t="s">
        <v>464</v>
      </c>
      <c r="O29" s="607"/>
      <c r="P29" s="607" t="s">
        <v>513</v>
      </c>
      <c r="Q29" s="607"/>
      <c r="R29" s="607" t="s">
        <v>513</v>
      </c>
      <c r="S29" s="607"/>
      <c r="T29" s="607" t="s">
        <v>513</v>
      </c>
      <c r="U29" s="607"/>
      <c r="V29" s="607" t="s">
        <v>513</v>
      </c>
      <c r="W29" s="607"/>
      <c r="X29" s="609">
        <f>(W_F+L1_F+L2_F+L3_F+L4_F)*2</f>
        <v>0</v>
      </c>
      <c r="Y29" s="607">
        <f t="shared" si="4"/>
        <v>0</v>
      </c>
      <c r="Z29" s="600">
        <v>25</v>
      </c>
      <c r="AA29" s="616">
        <v>2.1</v>
      </c>
      <c r="AB29" s="615">
        <f t="shared" si="0"/>
        <v>0</v>
      </c>
    </row>
    <row r="30" spans="1:28" s="143" customFormat="1" ht="17.25" customHeight="1">
      <c r="A30" s="655" t="str">
        <f t="array" ref="A30">IF( ISERROR(INDEX(Panel2!$H$6:$H$115,SMALL(IF(Panel2!$J$6:$J$115&lt;&gt;0,ROW(Panel2!$J$6:$J$115)-5),ROW(A26)))),"",INDEX(Panel2!$H$6:$H$115,SMALL(IF(Panel2!$J$6:$J$115&lt;&gt;0,ROW(Panel2!$J$6:$J$115)-5),ROW(A26))))</f>
        <v/>
      </c>
      <c r="B30" s="655" t="str">
        <f t="array" ref="B30">IF(ISERROR(INDEX(Panel2!$I$6:$I$115,SMALL(IF(Panel2!$J$6:$J$115&lt;&gt;0,ROW(Panel2!$J$6:$J$115)-5),ROW(B26)))),"",INDEX(Panel2!$I$6:$I$115,SMALL(IF(Panel2!$J$6:$J$115&lt;&gt;0,ROW(Panel2!$J$6:$J$115)-5),ROW(B26))))</f>
        <v/>
      </c>
      <c r="C30" s="655" t="str">
        <f t="array" ref="C30">IF( ISERROR(INDEX(Panel2!$J$6:$J$115,SMALL(IF(Panel2!$J$6:$J$115&lt;&gt;0,ROW(Panel2!$J$6:$J$115)-5),ROW(C26)))),"",  INDEX(Panel2!$J$6:$J$115,SMALL(IF(Panel2!$J$6:$J$115&lt;&gt;0,ROW(Panel2!$J$6:$J$115)-5),ROW(C26))))</f>
        <v/>
      </c>
      <c r="D30" s="142"/>
      <c r="E30" s="1590" t="s">
        <v>528</v>
      </c>
      <c r="F30" s="1589" t="s">
        <v>416</v>
      </c>
      <c r="G30" s="607" t="s">
        <v>417</v>
      </c>
      <c r="H30" s="606" t="str">
        <f t="shared" si="5"/>
        <v>Side20</v>
      </c>
      <c r="I30" s="606" t="str">
        <f>M30&amp;Y30&amp;IF(OR(BASIC_TOOL!$C$15=1,BASIC_TOOL!$C$15=5),,N30)</f>
        <v>SL20T</v>
      </c>
      <c r="J30" s="607">
        <f t="shared" si="6"/>
        <v>30</v>
      </c>
      <c r="K30" s="606" t="str">
        <f>L30&amp;IF(OR( BASIC_TOOL!$C$15=1,BASIC_TOOL!$C$15=5),"","(I)")</f>
        <v>Side20</v>
      </c>
      <c r="L30" s="606" t="s">
        <v>1268</v>
      </c>
      <c r="M30" s="607" t="s">
        <v>503</v>
      </c>
      <c r="N30" s="607" t="s">
        <v>464</v>
      </c>
      <c r="O30" s="607"/>
      <c r="P30" s="607"/>
      <c r="Q30" s="607" t="s">
        <v>482</v>
      </c>
      <c r="R30" s="607"/>
      <c r="S30" s="607" t="s">
        <v>483</v>
      </c>
      <c r="T30" s="607"/>
      <c r="U30" s="607" t="s">
        <v>483</v>
      </c>
      <c r="V30" s="607"/>
      <c r="W30" s="607" t="s">
        <v>483</v>
      </c>
      <c r="X30" s="609">
        <f>IF(BASIC_TOOL!D15=1,0,(W_C+L1_C+L2_C+L3_C+L4_C)*2-X31-X32)</f>
        <v>30</v>
      </c>
      <c r="Y30" s="607" t="str">
        <f t="shared" si="4"/>
        <v>20T</v>
      </c>
      <c r="Z30" s="600">
        <v>26</v>
      </c>
      <c r="AA30" s="616">
        <f>2+2+1+1.2</f>
        <v>6.2</v>
      </c>
      <c r="AB30" s="615">
        <f t="shared" si="0"/>
        <v>186</v>
      </c>
    </row>
    <row r="31" spans="1:28" s="143" customFormat="1" ht="17.25" customHeight="1">
      <c r="A31" s="655" t="str">
        <f t="array" ref="A31">IF( ISERROR(INDEX(Panel2!$H$6:$H$115,SMALL(IF(Panel2!$J$6:$J$115&lt;&gt;0,ROW(Panel2!$J$6:$J$115)-5),ROW(A27)))),"",INDEX(Panel2!$H$6:$H$115,SMALL(IF(Panel2!$J$6:$J$115&lt;&gt;0,ROW(Panel2!$J$6:$J$115)-5),ROW(A27))))</f>
        <v/>
      </c>
      <c r="B31" s="655" t="str">
        <f t="array" ref="B31">IF(ISERROR(INDEX(Panel2!$I$6:$I$115,SMALL(IF(Panel2!$J$6:$J$115&lt;&gt;0,ROW(Panel2!$J$6:$J$115)-5),ROW(B27)))),"",INDEX(Panel2!$I$6:$I$115,SMALL(IF(Panel2!$J$6:$J$115&lt;&gt;0,ROW(Panel2!$J$6:$J$115)-5),ROW(B27))))</f>
        <v/>
      </c>
      <c r="C31" s="655" t="str">
        <f t="array" ref="C31">IF( ISERROR(INDEX(Panel2!$J$6:$J$115,SMALL(IF(Panel2!$J$6:$J$115&lt;&gt;0,ROW(Panel2!$J$6:$J$115)-5),ROW(C27)))),"",  INDEX(Panel2!$J$6:$J$115,SMALL(IF(Panel2!$J$6:$J$115&lt;&gt;0,ROW(Panel2!$J$6:$J$115)-5),ROW(C27))))</f>
        <v/>
      </c>
      <c r="D31" s="142"/>
      <c r="E31" s="1590"/>
      <c r="F31" s="1589"/>
      <c r="G31" s="607" t="s">
        <v>417</v>
      </c>
      <c r="H31" s="606" t="str">
        <f t="shared" si="5"/>
        <v>Side20_ParLT</v>
      </c>
      <c r="I31" s="606" t="str">
        <f>M31&amp;Y31&amp;IF(OR(BASIC_TOOL!$C$15=1,BASIC_TOOL!$C$15=5),,N31)</f>
        <v>SL20TL</v>
      </c>
      <c r="J31" s="607">
        <f t="shared" si="6"/>
        <v>0</v>
      </c>
      <c r="K31" s="606" t="str">
        <f>L31&amp;IF(OR( BASIC_TOOL!$C$15=1,BASIC_TOOL!$C$15=5),"","(I)")</f>
        <v>Side20_ParLT</v>
      </c>
      <c r="L31" s="606" t="s">
        <v>1269</v>
      </c>
      <c r="M31" s="607" t="s">
        <v>503</v>
      </c>
      <c r="N31" s="607" t="s">
        <v>464</v>
      </c>
      <c r="O31" s="607"/>
      <c r="P31" s="607"/>
      <c r="Q31" s="607" t="s">
        <v>474</v>
      </c>
      <c r="R31" s="607"/>
      <c r="S31" s="607" t="s">
        <v>476</v>
      </c>
      <c r="T31" s="607"/>
      <c r="U31" s="607" t="s">
        <v>476</v>
      </c>
      <c r="V31" s="607"/>
      <c r="W31" s="607" t="s">
        <v>476</v>
      </c>
      <c r="X31" s="603">
        <f>IF(BASIC_TOOL!D15=1,0,N_PA)</f>
        <v>0</v>
      </c>
      <c r="Y31" s="607" t="str">
        <f t="shared" si="4"/>
        <v>20TL</v>
      </c>
      <c r="Z31" s="600">
        <v>27</v>
      </c>
      <c r="AA31" s="616">
        <f>2+2+1+1.2</f>
        <v>6.2</v>
      </c>
      <c r="AB31" s="615">
        <f t="shared" si="0"/>
        <v>0</v>
      </c>
    </row>
    <row r="32" spans="1:28" s="143" customFormat="1" ht="17.25" customHeight="1">
      <c r="A32" s="655" t="str">
        <f t="array" ref="A32">IF( ISERROR(INDEX(Panel2!$H$6:$H$115,SMALL(IF(Panel2!$J$6:$J$115&lt;&gt;0,ROW(Panel2!$J$6:$J$115)-5),ROW(A28)))),"",INDEX(Panel2!$H$6:$H$115,SMALL(IF(Panel2!$J$6:$J$115&lt;&gt;0,ROW(Panel2!$J$6:$J$115)-5),ROW(A28))))</f>
        <v/>
      </c>
      <c r="B32" s="655" t="str">
        <f t="array" ref="B32">IF(ISERROR(INDEX(Panel2!$I$6:$I$115,SMALL(IF(Panel2!$J$6:$J$115&lt;&gt;0,ROW(Panel2!$J$6:$J$115)-5),ROW(B28)))),"",INDEX(Panel2!$I$6:$I$115,SMALL(IF(Panel2!$J$6:$J$115&lt;&gt;0,ROW(Panel2!$J$6:$J$115)-5),ROW(B28))))</f>
        <v/>
      </c>
      <c r="C32" s="655" t="str">
        <f t="array" ref="C32">IF( ISERROR(INDEX(Panel2!$J$6:$J$115,SMALL(IF(Panel2!$J$6:$J$115&lt;&gt;0,ROW(Panel2!$J$6:$J$115)-5),ROW(C28)))),"",  INDEX(Panel2!$J$6:$J$115,SMALL(IF(Panel2!$J$6:$J$115&lt;&gt;0,ROW(Panel2!$J$6:$J$115)-5),ROW(C28))))</f>
        <v/>
      </c>
      <c r="D32" s="142"/>
      <c r="E32" s="1590"/>
      <c r="F32" s="1589"/>
      <c r="G32" s="607" t="s">
        <v>417</v>
      </c>
      <c r="H32" s="606" t="str">
        <f t="shared" si="5"/>
        <v>Side20_ParRT</v>
      </c>
      <c r="I32" s="606" t="str">
        <f>M32&amp;Y32&amp;IF(OR(BASIC_TOOL!$C$15=1,BASIC_TOOL!$C$15=5),,N32)</f>
        <v>SL20TR</v>
      </c>
      <c r="J32" s="607">
        <f t="shared" si="6"/>
        <v>0</v>
      </c>
      <c r="K32" s="606" t="str">
        <f>L32&amp;IF(OR( BASIC_TOOL!$C$15=1,BASIC_TOOL!$C$15=5),"","(I)")</f>
        <v>Side20_ParRT</v>
      </c>
      <c r="L32" s="606" t="s">
        <v>1270</v>
      </c>
      <c r="M32" s="607" t="s">
        <v>503</v>
      </c>
      <c r="N32" s="607" t="s">
        <v>464</v>
      </c>
      <c r="O32" s="607"/>
      <c r="P32" s="607"/>
      <c r="Q32" s="607" t="s">
        <v>475</v>
      </c>
      <c r="R32" s="607"/>
      <c r="S32" s="607" t="s">
        <v>477</v>
      </c>
      <c r="T32" s="607"/>
      <c r="U32" s="607" t="s">
        <v>477</v>
      </c>
      <c r="V32" s="607"/>
      <c r="W32" s="607" t="s">
        <v>477</v>
      </c>
      <c r="X32" s="603">
        <f>IF(BASIC_TOOL!D15=1,0,N_PA)</f>
        <v>0</v>
      </c>
      <c r="Y32" s="607" t="str">
        <f t="shared" si="4"/>
        <v>20TR</v>
      </c>
      <c r="Z32" s="600">
        <v>28</v>
      </c>
      <c r="AA32" s="616">
        <f>2+2+1+1.2</f>
        <v>6.2</v>
      </c>
      <c r="AB32" s="615">
        <f t="shared" si="0"/>
        <v>0</v>
      </c>
    </row>
    <row r="33" spans="1:28" s="143" customFormat="1" ht="17.25" customHeight="1">
      <c r="A33" s="655" t="str">
        <f t="array" ref="A33">IF( ISERROR(INDEX(Panel2!$H$6:$H$115,SMALL(IF(Panel2!$J$6:$J$115&lt;&gt;0,ROW(Panel2!$J$6:$J$115)-5),ROW(A29)))),"",INDEX(Panel2!$H$6:$H$115,SMALL(IF(Panel2!$J$6:$J$115&lt;&gt;0,ROW(Panel2!$J$6:$J$115)-5),ROW(A29))))</f>
        <v/>
      </c>
      <c r="B33" s="655" t="str">
        <f t="array" ref="B33">IF(ISERROR(INDEX(Panel2!$I$6:$I$115,SMALL(IF(Panel2!$J$6:$J$115&lt;&gt;0,ROW(Panel2!$J$6:$J$115)-5),ROW(B29)))),"",INDEX(Panel2!$I$6:$I$115,SMALL(IF(Panel2!$J$6:$J$115&lt;&gt;0,ROW(Panel2!$J$6:$J$115)-5),ROW(B29))))</f>
        <v/>
      </c>
      <c r="C33" s="655" t="str">
        <f t="array" ref="C33">IF( ISERROR(INDEX(Panel2!$J$6:$J$115,SMALL(IF(Panel2!$J$6:$J$115&lt;&gt;0,ROW(Panel2!$J$6:$J$115)-5),ROW(C29)))),"",  INDEX(Panel2!$J$6:$J$115,SMALL(IF(Panel2!$J$6:$J$115&lt;&gt;0,ROW(Panel2!$J$6:$J$115)-5),ROW(C29))))</f>
        <v/>
      </c>
      <c r="D33" s="142"/>
      <c r="E33" s="1590"/>
      <c r="F33" s="1590" t="s">
        <v>517</v>
      </c>
      <c r="G33" s="823" t="s">
        <v>512</v>
      </c>
      <c r="H33" s="822" t="str">
        <f t="shared" si="5"/>
        <v>Side</v>
      </c>
      <c r="I33" s="822" t="str">
        <f>M33&amp;Y33&amp;IF(OR(BASIC_TOOL!$C$15=1,BASIC_TOOL!$C$15=5),,N33)</f>
        <v>SF20M</v>
      </c>
      <c r="J33" s="823">
        <f t="shared" si="6"/>
        <v>0</v>
      </c>
      <c r="K33" s="822" t="str">
        <f>L33&amp;IF(OR( BASIC_TOOL!$C$15=1,BASIC_TOOL!$C$15=5),"","(I)")</f>
        <v>Side</v>
      </c>
      <c r="L33" s="822" t="s">
        <v>554</v>
      </c>
      <c r="M33" s="823" t="s">
        <v>1301</v>
      </c>
      <c r="N33" s="823" t="s">
        <v>464</v>
      </c>
      <c r="O33" s="823"/>
      <c r="P33" s="823"/>
      <c r="Q33" s="823" t="s">
        <v>509</v>
      </c>
      <c r="R33" s="823"/>
      <c r="S33" s="823" t="s">
        <v>487</v>
      </c>
      <c r="T33" s="823"/>
      <c r="U33" s="823" t="s">
        <v>487</v>
      </c>
      <c r="V33" s="823"/>
      <c r="W33" s="823" t="s">
        <v>487</v>
      </c>
      <c r="X33" s="1172">
        <f>IF(BASIC_TOOL!D15=0,0,(W_C+L1_C+L2_C+L3_C+L4_C)*2-X34-X35+IF(H_O=2,-X52,0))</f>
        <v>0</v>
      </c>
      <c r="Y33" s="823" t="str">
        <f t="shared" si="4"/>
        <v>20M</v>
      </c>
      <c r="Z33" s="1171">
        <v>29</v>
      </c>
      <c r="AA33" s="616">
        <v>4.2</v>
      </c>
      <c r="AB33" s="615">
        <f t="shared" si="0"/>
        <v>0</v>
      </c>
    </row>
    <row r="34" spans="1:28" s="143" customFormat="1" ht="17.25" customHeight="1">
      <c r="A34" s="655" t="str">
        <f t="array" ref="A34">IF( ISERROR(INDEX(Panel2!$H$6:$H$115,SMALL(IF(Panel2!$J$6:$J$115&lt;&gt;0,ROW(Panel2!$J$6:$J$115)-5),ROW(A30)))),"",INDEX(Panel2!$H$6:$H$115,SMALL(IF(Panel2!$J$6:$J$115&lt;&gt;0,ROW(Panel2!$J$6:$J$115)-5),ROW(A30))))</f>
        <v/>
      </c>
      <c r="B34" s="655" t="str">
        <f t="array" ref="B34">IF(ISERROR(INDEX(Panel2!$I$6:$I$115,SMALL(IF(Panel2!$J$6:$J$115&lt;&gt;0,ROW(Panel2!$J$6:$J$115)-5),ROW(B30)))),"",INDEX(Panel2!$I$6:$I$115,SMALL(IF(Panel2!$J$6:$J$115&lt;&gt;0,ROW(Panel2!$J$6:$J$115)-5),ROW(B30))))</f>
        <v/>
      </c>
      <c r="C34" s="655" t="str">
        <f t="array" ref="C34">IF( ISERROR(INDEX(Panel2!$J$6:$J$115,SMALL(IF(Panel2!$J$6:$J$115&lt;&gt;0,ROW(Panel2!$J$6:$J$115)-5),ROW(C30)))),"",  INDEX(Panel2!$J$6:$J$115,SMALL(IF(Panel2!$J$6:$J$115&lt;&gt;0,ROW(Panel2!$J$6:$J$115)-5),ROW(C30))))</f>
        <v/>
      </c>
      <c r="D34" s="142"/>
      <c r="E34" s="1590"/>
      <c r="F34" s="1590"/>
      <c r="G34" s="823" t="s">
        <v>512</v>
      </c>
      <c r="H34" s="822" t="str">
        <f t="shared" si="5"/>
        <v>Side_ParLT</v>
      </c>
      <c r="I34" s="822" t="str">
        <f>M34&amp;Y34&amp;IF(OR(BASIC_TOOL!$C$15=1,BASIC_TOOL!$C$15=5),,N34)</f>
        <v>SF20ML</v>
      </c>
      <c r="J34" s="823">
        <f t="shared" si="6"/>
        <v>0</v>
      </c>
      <c r="K34" s="822" t="str">
        <f>L34&amp;IF(OR( BASIC_TOOL!$C$15=1,BASIC_TOOL!$C$15=5),"","(I)")</f>
        <v>Side_ParLT</v>
      </c>
      <c r="L34" s="822" t="s">
        <v>1263</v>
      </c>
      <c r="M34" s="823" t="s">
        <v>1301</v>
      </c>
      <c r="N34" s="823" t="s">
        <v>464</v>
      </c>
      <c r="O34" s="823"/>
      <c r="P34" s="823"/>
      <c r="Q34" s="823" t="s">
        <v>2508</v>
      </c>
      <c r="R34" s="823"/>
      <c r="S34" s="823" t="s">
        <v>1545</v>
      </c>
      <c r="T34" s="823"/>
      <c r="U34" s="823" t="s">
        <v>1545</v>
      </c>
      <c r="V34" s="823"/>
      <c r="W34" s="823" t="s">
        <v>1545</v>
      </c>
      <c r="X34" s="1170">
        <f>IF(BASIC_TOOL!D15=0,0,N_PA)</f>
        <v>0</v>
      </c>
      <c r="Y34" s="823" t="str">
        <f t="shared" si="4"/>
        <v>20ML</v>
      </c>
      <c r="Z34" s="1171">
        <v>30</v>
      </c>
      <c r="AA34" s="616">
        <v>4.2</v>
      </c>
      <c r="AB34" s="615">
        <f t="shared" si="0"/>
        <v>0</v>
      </c>
    </row>
    <row r="35" spans="1:28" s="143" customFormat="1" ht="17.25" customHeight="1">
      <c r="A35" s="655" t="str">
        <f t="array" ref="A35">IF( ISERROR(INDEX(Panel2!$H$6:$H$115,SMALL(IF(Panel2!$J$6:$J$115&lt;&gt;0,ROW(Panel2!$J$6:$J$115)-5),ROW(A31)))),"",INDEX(Panel2!$H$6:$H$115,SMALL(IF(Panel2!$J$6:$J$115&lt;&gt;0,ROW(Panel2!$J$6:$J$115)-5),ROW(A31))))</f>
        <v/>
      </c>
      <c r="B35" s="655" t="str">
        <f t="array" ref="B35">IF(ISERROR(INDEX(Panel2!$I$6:$I$115,SMALL(IF(Panel2!$J$6:$J$115&lt;&gt;0,ROW(Panel2!$J$6:$J$115)-5),ROW(B31)))),"",INDEX(Panel2!$I$6:$I$115,SMALL(IF(Panel2!$J$6:$J$115&lt;&gt;0,ROW(Panel2!$J$6:$J$115)-5),ROW(B31))))</f>
        <v/>
      </c>
      <c r="C35" s="655" t="str">
        <f t="array" ref="C35">IF( ISERROR(INDEX(Panel2!$J$6:$J$115,SMALL(IF(Panel2!$J$6:$J$115&lt;&gt;0,ROW(Panel2!$J$6:$J$115)-5),ROW(C31)))),"",  INDEX(Panel2!$J$6:$J$115,SMALL(IF(Panel2!$J$6:$J$115&lt;&gt;0,ROW(Panel2!$J$6:$J$115)-5),ROW(C31))))</f>
        <v/>
      </c>
      <c r="D35" s="142"/>
      <c r="E35" s="1590"/>
      <c r="F35" s="1590"/>
      <c r="G35" s="823" t="s">
        <v>512</v>
      </c>
      <c r="H35" s="822" t="str">
        <f t="shared" si="5"/>
        <v>Side_ParRT</v>
      </c>
      <c r="I35" s="822" t="str">
        <f>M35&amp;Y35&amp;IF(OR(BASIC_TOOL!$C$15=1,BASIC_TOOL!$C$15=5),,N35)</f>
        <v>SF20MR</v>
      </c>
      <c r="J35" s="823">
        <f t="shared" si="6"/>
        <v>0</v>
      </c>
      <c r="K35" s="822" t="str">
        <f>L35&amp;IF(OR( BASIC_TOOL!$C$15=1,BASIC_TOOL!$C$15=5),"","(I)")</f>
        <v>Side_ParRT</v>
      </c>
      <c r="L35" s="822" t="s">
        <v>1264</v>
      </c>
      <c r="M35" s="823" t="s">
        <v>1301</v>
      </c>
      <c r="N35" s="823" t="s">
        <v>464</v>
      </c>
      <c r="O35" s="823"/>
      <c r="P35" s="823"/>
      <c r="Q35" s="823" t="s">
        <v>2509</v>
      </c>
      <c r="R35" s="823"/>
      <c r="S35" s="823" t="s">
        <v>1546</v>
      </c>
      <c r="T35" s="823"/>
      <c r="U35" s="823" t="s">
        <v>1546</v>
      </c>
      <c r="V35" s="823"/>
      <c r="W35" s="823" t="s">
        <v>1546</v>
      </c>
      <c r="X35" s="1170">
        <f>IF(BASIC_TOOL!D15=0,0,N_PA)</f>
        <v>0</v>
      </c>
      <c r="Y35" s="823" t="str">
        <f t="shared" si="4"/>
        <v>20MR</v>
      </c>
      <c r="Z35" s="1171">
        <v>31</v>
      </c>
      <c r="AA35" s="616">
        <v>4.2</v>
      </c>
      <c r="AB35" s="615">
        <f t="shared" si="0"/>
        <v>0</v>
      </c>
    </row>
    <row r="36" spans="1:28" s="143" customFormat="1" ht="17.25" customHeight="1">
      <c r="A36" s="655" t="str">
        <f t="array" ref="A36">IF( ISERROR(INDEX(Panel2!$H$6:$H$115,SMALL(IF(Panel2!$J$6:$J$115&lt;&gt;0,ROW(Panel2!$J$6:$J$115)-5),ROW(A32)))),"",INDEX(Panel2!$H$6:$H$115,SMALL(IF(Panel2!$J$6:$J$115&lt;&gt;0,ROW(Panel2!$J$6:$J$115)-5),ROW(A32))))</f>
        <v/>
      </c>
      <c r="B36" s="655" t="str">
        <f t="array" ref="B36">IF(ISERROR(INDEX(Panel2!$I$6:$I$115,SMALL(IF(Panel2!$J$6:$J$115&lt;&gt;0,ROW(Panel2!$J$6:$J$115)-5),ROW(B32)))),"",INDEX(Panel2!$I$6:$I$115,SMALL(IF(Panel2!$J$6:$J$115&lt;&gt;0,ROW(Panel2!$J$6:$J$115)-5),ROW(B32))))</f>
        <v/>
      </c>
      <c r="C36" s="655" t="str">
        <f t="array" ref="C36">IF( ISERROR(INDEX(Panel2!$J$6:$J$115,SMALL(IF(Panel2!$J$6:$J$115&lt;&gt;0,ROW(Panel2!$J$6:$J$115)-5),ROW(C32)))),"",  INDEX(Panel2!$J$6:$J$115,SMALL(IF(Panel2!$J$6:$J$115&lt;&gt;0,ROW(Panel2!$J$6:$J$115)-5),ROW(C32))))</f>
        <v/>
      </c>
      <c r="D36" s="142"/>
      <c r="E36" s="1590"/>
      <c r="F36" s="1590"/>
      <c r="G36" s="823" t="s">
        <v>512</v>
      </c>
      <c r="H36" s="822" t="str">
        <f t="shared" si="5"/>
        <v>Side</v>
      </c>
      <c r="I36" s="822" t="str">
        <f>M36&amp;Y36&amp;IF(OR(BASIC_TOOL!$C$15=1,BASIC_TOOL!$C$15=5),,N36)</f>
        <v>SF10T</v>
      </c>
      <c r="J36" s="823">
        <f t="shared" si="6"/>
        <v>0</v>
      </c>
      <c r="K36" s="822" t="str">
        <f>L36&amp;IF(OR( BASIC_TOOL!$C$15=1,BASIC_TOOL!$C$15=5),"","(I)")</f>
        <v>Side</v>
      </c>
      <c r="L36" s="822" t="s">
        <v>554</v>
      </c>
      <c r="M36" s="823" t="s">
        <v>1301</v>
      </c>
      <c r="N36" s="823" t="s">
        <v>464</v>
      </c>
      <c r="O36" s="823"/>
      <c r="P36" s="823"/>
      <c r="Q36" s="823" t="s">
        <v>513</v>
      </c>
      <c r="R36" s="823"/>
      <c r="S36" s="823" t="s">
        <v>513</v>
      </c>
      <c r="T36" s="823"/>
      <c r="U36" s="823" t="s">
        <v>513</v>
      </c>
      <c r="V36" s="823"/>
      <c r="W36" s="823" t="s">
        <v>513</v>
      </c>
      <c r="X36" s="1172">
        <f>IF(BASIC_TOOL!D15=0,0,(W_C+L1_C+L2_C+L3_C+L4_C)*2-X37-X38)</f>
        <v>0</v>
      </c>
      <c r="Y36" s="823" t="str">
        <f t="shared" si="4"/>
        <v>10T</v>
      </c>
      <c r="Z36" s="1171">
        <v>32</v>
      </c>
      <c r="AA36" s="616">
        <v>4.2</v>
      </c>
      <c r="AB36" s="615">
        <f t="shared" si="0"/>
        <v>0</v>
      </c>
    </row>
    <row r="37" spans="1:28" s="143" customFormat="1" ht="17.25" customHeight="1">
      <c r="A37" s="655" t="str">
        <f t="array" ref="A37">IF( ISERROR(INDEX(Panel2!$H$6:$H$115,SMALL(IF(Panel2!$J$6:$J$115&lt;&gt;0,ROW(Panel2!$J$6:$J$115)-5),ROW(A33)))),"",INDEX(Panel2!$H$6:$H$115,SMALL(IF(Panel2!$J$6:$J$115&lt;&gt;0,ROW(Panel2!$J$6:$J$115)-5),ROW(A33))))</f>
        <v/>
      </c>
      <c r="B37" s="655" t="str">
        <f t="array" ref="B37">IF(ISERROR(INDEX(Panel2!$I$6:$I$115,SMALL(IF(Panel2!$J$6:$J$115&lt;&gt;0,ROW(Panel2!$J$6:$J$115)-5),ROW(B33)))),"",INDEX(Panel2!$I$6:$I$115,SMALL(IF(Panel2!$J$6:$J$115&lt;&gt;0,ROW(Panel2!$J$6:$J$115)-5),ROW(B33))))</f>
        <v/>
      </c>
      <c r="C37" s="655" t="str">
        <f t="array" ref="C37">IF( ISERROR(INDEX(Panel2!$J$6:$J$115,SMALL(IF(Panel2!$J$6:$J$115&lt;&gt;0,ROW(Panel2!$J$6:$J$115)-5),ROW(C33)))),"",  INDEX(Panel2!$J$6:$J$115,SMALL(IF(Panel2!$J$6:$J$115&lt;&gt;0,ROW(Panel2!$J$6:$J$115)-5),ROW(C33))))</f>
        <v/>
      </c>
      <c r="D37" s="142"/>
      <c r="E37" s="1590"/>
      <c r="F37" s="1590"/>
      <c r="G37" s="823" t="s">
        <v>512</v>
      </c>
      <c r="H37" s="822" t="str">
        <f t="shared" si="5"/>
        <v>Side_ParLT</v>
      </c>
      <c r="I37" s="822" t="str">
        <f>M37&amp;Y37&amp;IF(OR(BASIC_TOOL!$C$15=1,BASIC_TOOL!$C$15=5),,N37)</f>
        <v>SF10TL</v>
      </c>
      <c r="J37" s="823">
        <f t="shared" si="6"/>
        <v>0</v>
      </c>
      <c r="K37" s="822" t="str">
        <f>L37&amp;IF(OR( BASIC_TOOL!$C$15=1,BASIC_TOOL!$C$15=5),"","(I)")</f>
        <v>Side_ParLT</v>
      </c>
      <c r="L37" s="822" t="s">
        <v>1263</v>
      </c>
      <c r="M37" s="823" t="s">
        <v>1301</v>
      </c>
      <c r="N37" s="823" t="s">
        <v>464</v>
      </c>
      <c r="O37" s="823"/>
      <c r="P37" s="823"/>
      <c r="Q37" s="823" t="s">
        <v>514</v>
      </c>
      <c r="R37" s="823"/>
      <c r="S37" s="823" t="s">
        <v>514</v>
      </c>
      <c r="T37" s="823"/>
      <c r="U37" s="823" t="s">
        <v>514</v>
      </c>
      <c r="V37" s="823"/>
      <c r="W37" s="823" t="s">
        <v>514</v>
      </c>
      <c r="X37" s="1170">
        <f>IF(BASIC_TOOL!D15=0,0,N_PA)</f>
        <v>0</v>
      </c>
      <c r="Y37" s="823" t="str">
        <f t="shared" si="4"/>
        <v>10TL</v>
      </c>
      <c r="Z37" s="1171">
        <v>33</v>
      </c>
      <c r="AA37" s="616">
        <v>4.2</v>
      </c>
      <c r="AB37" s="615">
        <f t="shared" si="0"/>
        <v>0</v>
      </c>
    </row>
    <row r="38" spans="1:28" s="143" customFormat="1" ht="17.25" customHeight="1">
      <c r="A38" s="655" t="str">
        <f t="array" ref="A38">IF( ISERROR(INDEX(Panel2!$H$6:$H$115,SMALL(IF(Panel2!$J$6:$J$115&lt;&gt;0,ROW(Panel2!$J$6:$J$115)-5),ROW(A34)))),"",INDEX(Panel2!$H$6:$H$115,SMALL(IF(Panel2!$J$6:$J$115&lt;&gt;0,ROW(Panel2!$J$6:$J$115)-5),ROW(A34))))</f>
        <v/>
      </c>
      <c r="B38" s="655" t="str">
        <f t="array" ref="B38">IF(ISERROR(INDEX(Panel2!$I$6:$I$115,SMALL(IF(Panel2!$J$6:$J$115&lt;&gt;0,ROW(Panel2!$J$6:$J$115)-5),ROW(B34)))),"",INDEX(Panel2!$I$6:$I$115,SMALL(IF(Panel2!$J$6:$J$115&lt;&gt;0,ROW(Panel2!$J$6:$J$115)-5),ROW(B34))))</f>
        <v/>
      </c>
      <c r="C38" s="655" t="str">
        <f t="array" ref="C38">IF( ISERROR(INDEX(Panel2!$J$6:$J$115,SMALL(IF(Panel2!$J$6:$J$115&lt;&gt;0,ROW(Panel2!$J$6:$J$115)-5),ROW(C34)))),"",  INDEX(Panel2!$J$6:$J$115,SMALL(IF(Panel2!$J$6:$J$115&lt;&gt;0,ROW(Panel2!$J$6:$J$115)-5),ROW(C34))))</f>
        <v/>
      </c>
      <c r="D38" s="142"/>
      <c r="E38" s="1590"/>
      <c r="F38" s="1590"/>
      <c r="G38" s="823" t="s">
        <v>512</v>
      </c>
      <c r="H38" s="822" t="str">
        <f t="shared" si="5"/>
        <v>Side_ParRT</v>
      </c>
      <c r="I38" s="822" t="str">
        <f>M38&amp;Y38&amp;IF(OR(BASIC_TOOL!$C$15=1,BASIC_TOOL!$C$15=5),,N38)</f>
        <v>SF10TR</v>
      </c>
      <c r="J38" s="823">
        <f t="shared" si="6"/>
        <v>0</v>
      </c>
      <c r="K38" s="822" t="str">
        <f>L38&amp;IF(OR( BASIC_TOOL!$C$15=1,BASIC_TOOL!$C$15=5),"","(I)")</f>
        <v>Side_ParRT</v>
      </c>
      <c r="L38" s="822" t="s">
        <v>1264</v>
      </c>
      <c r="M38" s="823" t="s">
        <v>1301</v>
      </c>
      <c r="N38" s="823" t="s">
        <v>464</v>
      </c>
      <c r="O38" s="823"/>
      <c r="P38" s="823"/>
      <c r="Q38" s="823" t="s">
        <v>515</v>
      </c>
      <c r="R38" s="823"/>
      <c r="S38" s="823" t="s">
        <v>515</v>
      </c>
      <c r="T38" s="823"/>
      <c r="U38" s="823" t="s">
        <v>515</v>
      </c>
      <c r="V38" s="823"/>
      <c r="W38" s="823" t="s">
        <v>515</v>
      </c>
      <c r="X38" s="1170">
        <f>IF(BASIC_TOOL!D15=0,0,N_PA)</f>
        <v>0</v>
      </c>
      <c r="Y38" s="823" t="str">
        <f t="shared" si="4"/>
        <v>10TR</v>
      </c>
      <c r="Z38" s="1171">
        <v>34</v>
      </c>
      <c r="AA38" s="616">
        <v>4.2</v>
      </c>
      <c r="AB38" s="615">
        <f t="shared" si="0"/>
        <v>0</v>
      </c>
    </row>
    <row r="39" spans="1:28" s="143" customFormat="1" ht="17.25" customHeight="1">
      <c r="A39" s="655" t="str">
        <f t="array" ref="A39">IF( ISERROR(INDEX(Panel2!$H$6:$H$115,SMALL(IF(Panel2!$J$6:$J$115&lt;&gt;0,ROW(Panel2!$J$6:$J$115)-5),ROW(A35)))),"",INDEX(Panel2!$H$6:$H$115,SMALL(IF(Panel2!$J$6:$J$115&lt;&gt;0,ROW(Panel2!$J$6:$J$115)-5),ROW(A35))))</f>
        <v/>
      </c>
      <c r="B39" s="655" t="str">
        <f t="array" ref="B39">IF(ISERROR(INDEX(Panel2!$I$6:$I$115,SMALL(IF(Panel2!$J$6:$J$115&lt;&gt;0,ROW(Panel2!$J$6:$J$115)-5),ROW(B35)))),"",INDEX(Panel2!$I$6:$I$115,SMALL(IF(Panel2!$J$6:$J$115&lt;&gt;0,ROW(Panel2!$J$6:$J$115)-5),ROW(B35))))</f>
        <v/>
      </c>
      <c r="C39" s="655" t="str">
        <f t="array" ref="C39">IF( ISERROR(INDEX(Panel2!$J$6:$J$115,SMALL(IF(Panel2!$J$6:$J$115&lt;&gt;0,ROW(Panel2!$J$6:$J$115)-5),ROW(C35)))),"",  INDEX(Panel2!$J$6:$J$115,SMALL(IF(Panel2!$J$6:$J$115&lt;&gt;0,ROW(Panel2!$J$6:$J$115)-5),ROW(C35))))</f>
        <v/>
      </c>
      <c r="D39" s="142"/>
      <c r="E39" s="1590"/>
      <c r="F39" s="1589" t="s">
        <v>508</v>
      </c>
      <c r="G39" s="607" t="s">
        <v>505</v>
      </c>
      <c r="H39" s="606" t="str">
        <f t="shared" si="5"/>
        <v>HSide</v>
      </c>
      <c r="I39" s="606" t="str">
        <f>M39&amp;Y39&amp;IF(OR(BASIC_TOOL!$C$15=1,BASIC_TOOL!$C$15=5),,N39)</f>
        <v>SH10T</v>
      </c>
      <c r="J39" s="607">
        <f t="shared" si="6"/>
        <v>0</v>
      </c>
      <c r="K39" s="606" t="str">
        <f>L39&amp;IF(OR( BASIC_TOOL!$C$15=1,BASIC_TOOL!$C$15=5),"","(I)")</f>
        <v>HSide</v>
      </c>
      <c r="L39" s="606" t="s">
        <v>557</v>
      </c>
      <c r="M39" s="607" t="s">
        <v>1302</v>
      </c>
      <c r="N39" s="607" t="s">
        <v>464</v>
      </c>
      <c r="O39" s="607"/>
      <c r="P39" s="607"/>
      <c r="Q39" s="607" t="s">
        <v>513</v>
      </c>
      <c r="R39" s="607"/>
      <c r="S39" s="607" t="s">
        <v>513</v>
      </c>
      <c r="T39" s="607"/>
      <c r="U39" s="607" t="s">
        <v>513</v>
      </c>
      <c r="V39" s="607"/>
      <c r="W39" s="607" t="s">
        <v>513</v>
      </c>
      <c r="X39" s="603">
        <f>(W_F+L1_F+L2_F+L3_F+L4_F)*2</f>
        <v>0</v>
      </c>
      <c r="Y39" s="607" t="str">
        <f t="shared" si="4"/>
        <v>10T</v>
      </c>
      <c r="Z39" s="600">
        <v>35</v>
      </c>
      <c r="AA39" s="616">
        <v>3.1</v>
      </c>
      <c r="AB39" s="615">
        <f t="shared" si="0"/>
        <v>0</v>
      </c>
    </row>
    <row r="40" spans="1:28" s="143" customFormat="1" ht="17.25" customHeight="1">
      <c r="A40" s="655" t="str">
        <f t="array" ref="A40">IF( ISERROR(INDEX(Panel2!$H$6:$H$115,SMALL(IF(Panel2!$J$6:$J$115&lt;&gt;0,ROW(Panel2!$J$6:$J$115)-5),ROW(A36)))),"",INDEX(Panel2!$H$6:$H$115,SMALL(IF(Panel2!$J$6:$J$115&lt;&gt;0,ROW(Panel2!$J$6:$J$115)-5),ROW(A36))))</f>
        <v/>
      </c>
      <c r="B40" s="655" t="str">
        <f t="array" ref="B40">IF(ISERROR(INDEX(Panel2!$I$6:$I$115,SMALL(IF(Panel2!$J$6:$J$115&lt;&gt;0,ROW(Panel2!$J$6:$J$115)-5),ROW(B36)))),"",INDEX(Panel2!$I$6:$I$115,SMALL(IF(Panel2!$J$6:$J$115&lt;&gt;0,ROW(Panel2!$J$6:$J$115)-5),ROW(B36))))</f>
        <v/>
      </c>
      <c r="C40" s="655" t="str">
        <f t="array" ref="C40">IF( ISERROR(INDEX(Panel2!$J$6:$J$115,SMALL(IF(Panel2!$J$6:$J$115&lt;&gt;0,ROW(Panel2!$J$6:$J$115)-5),ROW(C36)))),"",  INDEX(Panel2!$J$6:$J$115,SMALL(IF(Panel2!$J$6:$J$115&lt;&gt;0,ROW(Panel2!$J$6:$J$115)-5),ROW(C36))))</f>
        <v/>
      </c>
      <c r="D40" s="142"/>
      <c r="E40" s="1590"/>
      <c r="F40" s="1589"/>
      <c r="G40" s="607" t="s">
        <v>505</v>
      </c>
      <c r="H40" s="606" t="str">
        <f t="shared" si="5"/>
        <v>HSide</v>
      </c>
      <c r="I40" s="606" t="str">
        <f>M40&amp;Y40&amp;IF(OR(BASIC_TOOL!$C$15=1,BASIC_TOOL!$C$15=5),,N40)</f>
        <v>SH20M</v>
      </c>
      <c r="J40" s="607">
        <f t="shared" si="6"/>
        <v>0</v>
      </c>
      <c r="K40" s="606" t="str">
        <f>L40&amp;IF(OR( BASIC_TOOL!$C$15=1,BASIC_TOOL!$C$15=5),"","(I)")</f>
        <v>HSide</v>
      </c>
      <c r="L40" s="606" t="s">
        <v>557</v>
      </c>
      <c r="M40" s="607" t="s">
        <v>1302</v>
      </c>
      <c r="N40" s="607" t="s">
        <v>464</v>
      </c>
      <c r="O40" s="607"/>
      <c r="P40" s="607"/>
      <c r="Q40" s="607" t="s">
        <v>509</v>
      </c>
      <c r="R40" s="607"/>
      <c r="S40" s="607" t="s">
        <v>487</v>
      </c>
      <c r="T40" s="607"/>
      <c r="U40" s="607" t="s">
        <v>487</v>
      </c>
      <c r="V40" s="607"/>
      <c r="W40" s="607" t="s">
        <v>487</v>
      </c>
      <c r="X40" s="609">
        <f>(W_F+L1_F+L2_F+L3_F+L4_F)*2</f>
        <v>0</v>
      </c>
      <c r="Y40" s="607" t="str">
        <f t="shared" si="4"/>
        <v>20M</v>
      </c>
      <c r="Z40" s="600">
        <v>36</v>
      </c>
      <c r="AA40" s="616">
        <v>3.1</v>
      </c>
      <c r="AB40" s="615">
        <f t="shared" si="0"/>
        <v>0</v>
      </c>
    </row>
    <row r="41" spans="1:28" s="143" customFormat="1" ht="17.25" customHeight="1">
      <c r="A41" s="655" t="str">
        <f t="array" ref="A41">IF( ISERROR(INDEX(Panel2!$H$6:$H$115,SMALL(IF(Panel2!$J$6:$J$115&lt;&gt;0,ROW(Panel2!$J$6:$J$115)-5),ROW(A37)))),"",INDEX(Panel2!$H$6:$H$115,SMALL(IF(Panel2!$J$6:$J$115&lt;&gt;0,ROW(Panel2!$J$6:$J$115)-5),ROW(A37))))</f>
        <v/>
      </c>
      <c r="B41" s="655" t="str">
        <f t="array" ref="B41">IF(ISERROR(INDEX(Panel2!$I$6:$I$115,SMALL(IF(Panel2!$J$6:$J$115&lt;&gt;0,ROW(Panel2!$J$6:$J$115)-5),ROW(B37)))),"",INDEX(Panel2!$I$6:$I$115,SMALL(IF(Panel2!$J$6:$J$115&lt;&gt;0,ROW(Panel2!$J$6:$J$115)-5),ROW(B37))))</f>
        <v/>
      </c>
      <c r="C41" s="655" t="str">
        <f t="array" ref="C41">IF( ISERROR(INDEX(Panel2!$J$6:$J$115,SMALL(IF(Panel2!$J$6:$J$115&lt;&gt;0,ROW(Panel2!$J$6:$J$115)-5),ROW(C37)))),"",  INDEX(Panel2!$J$6:$J$115,SMALL(IF(Panel2!$J$6:$J$115&lt;&gt;0,ROW(Panel2!$J$6:$J$115)-5),ROW(C37))))</f>
        <v/>
      </c>
      <c r="D41" s="142"/>
      <c r="E41" s="1590" t="s">
        <v>543</v>
      </c>
      <c r="F41" s="1590" t="s">
        <v>525</v>
      </c>
      <c r="G41" s="607" t="s">
        <v>419</v>
      </c>
      <c r="H41" s="606" t="str">
        <f t="shared" si="5"/>
        <v>Side</v>
      </c>
      <c r="I41" s="606" t="str">
        <f>M41&amp;Y41&amp;IF(OR(BASIC_TOOL!$C$15=1,BASIC_TOOL!$C$15=5),,N41)</f>
        <v>SF0</v>
      </c>
      <c r="J41" s="607">
        <f t="shared" si="6"/>
        <v>0</v>
      </c>
      <c r="K41" s="606" t="str">
        <f>L41&amp;IF(OR( BASIC_TOOL!$C$15=1,BASIC_TOOL!$C$15=5),"","(I)")</f>
        <v>Side</v>
      </c>
      <c r="L41" s="606" t="s">
        <v>554</v>
      </c>
      <c r="M41" s="607" t="s">
        <v>1301</v>
      </c>
      <c r="N41" s="607" t="s">
        <v>464</v>
      </c>
      <c r="O41" s="607"/>
      <c r="P41" s="607"/>
      <c r="Q41" s="607"/>
      <c r="R41" s="607"/>
      <c r="S41" s="607"/>
      <c r="T41" s="607"/>
      <c r="U41" s="607"/>
      <c r="V41" s="607" t="s">
        <v>488</v>
      </c>
      <c r="W41" s="607" t="s">
        <v>489</v>
      </c>
      <c r="X41" s="603">
        <f>(W_C+L1_C+L2_C+L3_C+L4_C)*2-X42-X43</f>
        <v>30</v>
      </c>
      <c r="Y41" s="607">
        <f t="shared" si="4"/>
        <v>0</v>
      </c>
      <c r="Z41" s="600">
        <v>37</v>
      </c>
      <c r="AA41" s="616">
        <v>4.0999999999999996</v>
      </c>
      <c r="AB41" s="615">
        <f t="shared" si="0"/>
        <v>0</v>
      </c>
    </row>
    <row r="42" spans="1:28" s="143" customFormat="1" ht="17.25" customHeight="1">
      <c r="A42" s="655" t="str">
        <f t="array" ref="A42">IF( ISERROR(INDEX(Panel2!$H$6:$H$115,SMALL(IF(Panel2!$J$6:$J$115&lt;&gt;0,ROW(Panel2!$J$6:$J$115)-5),ROW(A38)))),"",INDEX(Panel2!$H$6:$H$115,SMALL(IF(Panel2!$J$6:$J$115&lt;&gt;0,ROW(Panel2!$J$6:$J$115)-5),ROW(A38))))</f>
        <v/>
      </c>
      <c r="B42" s="655" t="str">
        <f t="array" ref="B42">IF(ISERROR(INDEX(Panel2!$I$6:$I$115,SMALL(IF(Panel2!$J$6:$J$115&lt;&gt;0,ROW(Panel2!$J$6:$J$115)-5),ROW(B38)))),"",INDEX(Panel2!$I$6:$I$115,SMALL(IF(Panel2!$J$6:$J$115&lt;&gt;0,ROW(Panel2!$J$6:$J$115)-5),ROW(B38))))</f>
        <v/>
      </c>
      <c r="C42" s="655" t="str">
        <f t="array" ref="C42">IF( ISERROR(INDEX(Panel2!$J$6:$J$115,SMALL(IF(Panel2!$J$6:$J$115&lt;&gt;0,ROW(Panel2!$J$6:$J$115)-5),ROW(C38)))),"",  INDEX(Panel2!$J$6:$J$115,SMALL(IF(Panel2!$J$6:$J$115&lt;&gt;0,ROW(Panel2!$J$6:$J$115)-5),ROW(C38))))</f>
        <v/>
      </c>
      <c r="D42" s="142"/>
      <c r="E42" s="1590"/>
      <c r="F42" s="1590"/>
      <c r="G42" s="607" t="s">
        <v>419</v>
      </c>
      <c r="H42" s="606" t="str">
        <f t="shared" si="5"/>
        <v>Side_ParLT</v>
      </c>
      <c r="I42" s="606" t="str">
        <f>M42&amp;Y42&amp;IF(OR(BASIC_TOOL!$C$15=1,BASIC_TOOL!$C$15=5),,N42)</f>
        <v>SF0</v>
      </c>
      <c r="J42" s="607">
        <f t="shared" si="6"/>
        <v>0</v>
      </c>
      <c r="K42" s="606" t="str">
        <f>L42&amp;IF(OR( BASIC_TOOL!$C$15=1,BASIC_TOOL!$C$15=5),"","(I)")</f>
        <v>Side_ParLT</v>
      </c>
      <c r="L42" s="606" t="s">
        <v>1263</v>
      </c>
      <c r="M42" s="607" t="s">
        <v>1301</v>
      </c>
      <c r="N42" s="607" t="s">
        <v>464</v>
      </c>
      <c r="O42" s="607"/>
      <c r="P42" s="607"/>
      <c r="Q42" s="607"/>
      <c r="R42" s="607"/>
      <c r="S42" s="607"/>
      <c r="T42" s="607"/>
      <c r="U42" s="607"/>
      <c r="V42" s="607" t="s">
        <v>520</v>
      </c>
      <c r="W42" s="607" t="s">
        <v>521</v>
      </c>
      <c r="X42" s="603">
        <f>N_PA</f>
        <v>0</v>
      </c>
      <c r="Y42" s="607">
        <f t="shared" si="4"/>
        <v>0</v>
      </c>
      <c r="Z42" s="600">
        <v>38</v>
      </c>
      <c r="AA42" s="616">
        <v>4.0999999999999996</v>
      </c>
      <c r="AB42" s="615">
        <f t="shared" si="0"/>
        <v>0</v>
      </c>
    </row>
    <row r="43" spans="1:28" s="143" customFormat="1" ht="17.25" customHeight="1">
      <c r="A43" s="655" t="str">
        <f t="array" ref="A43">IF( ISERROR(INDEX(Panel2!$H$6:$H$115,SMALL(IF(Panel2!$J$6:$J$115&lt;&gt;0,ROW(Panel2!$J$6:$J$115)-5),ROW(A39)))),"",INDEX(Panel2!$H$6:$H$115,SMALL(IF(Panel2!$J$6:$J$115&lt;&gt;0,ROW(Panel2!$J$6:$J$115)-5),ROW(A39))))</f>
        <v/>
      </c>
      <c r="B43" s="655" t="str">
        <f t="array" ref="B43">IF(ISERROR(INDEX(Panel2!$I$6:$I$115,SMALL(IF(Panel2!$J$6:$J$115&lt;&gt;0,ROW(Panel2!$J$6:$J$115)-5),ROW(B39)))),"",INDEX(Panel2!$I$6:$I$115,SMALL(IF(Panel2!$J$6:$J$115&lt;&gt;0,ROW(Panel2!$J$6:$J$115)-5),ROW(B39))))</f>
        <v/>
      </c>
      <c r="C43" s="655" t="str">
        <f t="array" ref="C43">IF( ISERROR(INDEX(Panel2!$J$6:$J$115,SMALL(IF(Panel2!$J$6:$J$115&lt;&gt;0,ROW(Panel2!$J$6:$J$115)-5),ROW(C39)))),"",  INDEX(Panel2!$J$6:$J$115,SMALL(IF(Panel2!$J$6:$J$115&lt;&gt;0,ROW(Panel2!$J$6:$J$115)-5),ROW(C39))))</f>
        <v/>
      </c>
      <c r="D43" s="142"/>
      <c r="E43" s="1590"/>
      <c r="F43" s="1590"/>
      <c r="G43" s="607" t="s">
        <v>419</v>
      </c>
      <c r="H43" s="606" t="str">
        <f t="shared" si="5"/>
        <v>Side_ParRT</v>
      </c>
      <c r="I43" s="606" t="str">
        <f>M43&amp;Y43&amp;IF(OR(BASIC_TOOL!$C$15=1,BASIC_TOOL!$C$15=5),,N43)</f>
        <v>SF0</v>
      </c>
      <c r="J43" s="607">
        <f t="shared" si="6"/>
        <v>0</v>
      </c>
      <c r="K43" s="606" t="str">
        <f>L43&amp;IF(OR( BASIC_TOOL!$C$15=1,BASIC_TOOL!$C$15=5),"","(I)")</f>
        <v>Side_ParRT</v>
      </c>
      <c r="L43" s="606" t="s">
        <v>1264</v>
      </c>
      <c r="M43" s="607" t="s">
        <v>1301</v>
      </c>
      <c r="N43" s="607" t="s">
        <v>464</v>
      </c>
      <c r="O43" s="607"/>
      <c r="P43" s="607"/>
      <c r="Q43" s="607"/>
      <c r="R43" s="607"/>
      <c r="S43" s="607"/>
      <c r="T43" s="607"/>
      <c r="U43" s="607"/>
      <c r="V43" s="607" t="s">
        <v>518</v>
      </c>
      <c r="W43" s="607" t="s">
        <v>519</v>
      </c>
      <c r="X43" s="603">
        <f>N_PA</f>
        <v>0</v>
      </c>
      <c r="Y43" s="607">
        <f t="shared" si="4"/>
        <v>0</v>
      </c>
      <c r="Z43" s="600">
        <v>39</v>
      </c>
      <c r="AA43" s="616">
        <v>4.0999999999999996</v>
      </c>
      <c r="AB43" s="615">
        <f t="shared" si="0"/>
        <v>0</v>
      </c>
    </row>
    <row r="44" spans="1:28" s="143" customFormat="1" ht="17.25" customHeight="1">
      <c r="A44" s="655" t="str">
        <f t="array" ref="A44">IF( ISERROR(INDEX(Panel2!$H$6:$H$115,SMALL(IF(Panel2!$J$6:$J$115&lt;&gt;0,ROW(Panel2!$J$6:$J$115)-5),ROW(A40)))),"",INDEX(Panel2!$H$6:$H$115,SMALL(IF(Panel2!$J$6:$J$115&lt;&gt;0,ROW(Panel2!$J$6:$J$115)-5),ROW(A40))))</f>
        <v/>
      </c>
      <c r="B44" s="655" t="str">
        <f t="array" ref="B44">IF(ISERROR(INDEX(Panel2!$I$6:$I$115,SMALL(IF(Panel2!$J$6:$J$115&lt;&gt;0,ROW(Panel2!$J$6:$J$115)-5),ROW(B40)))),"",INDEX(Panel2!$I$6:$I$115,SMALL(IF(Panel2!$J$6:$J$115&lt;&gt;0,ROW(Panel2!$J$6:$J$115)-5),ROW(B40))))</f>
        <v/>
      </c>
      <c r="C44" s="655" t="str">
        <f t="array" ref="C44">IF( ISERROR(INDEX(Panel2!$J$6:$J$115,SMALL(IF(Panel2!$J$6:$J$115&lt;&gt;0,ROW(Panel2!$J$6:$J$115)-5),ROW(C40)))),"",  INDEX(Panel2!$J$6:$J$115,SMALL(IF(Panel2!$J$6:$J$115&lt;&gt;0,ROW(Panel2!$J$6:$J$115)-5),ROW(C40))))</f>
        <v/>
      </c>
      <c r="D44" s="142"/>
      <c r="E44" s="1590"/>
      <c r="F44" s="610" t="s">
        <v>542</v>
      </c>
      <c r="G44" s="607" t="s">
        <v>505</v>
      </c>
      <c r="H44" s="606" t="str">
        <f t="shared" si="5"/>
        <v>HSide</v>
      </c>
      <c r="I44" s="606" t="str">
        <f>M44&amp;Y44&amp;IF(OR(BASIC_TOOL!$C$15=1,BASIC_TOOL!$C$15=5),,N44)</f>
        <v>SH0</v>
      </c>
      <c r="J44" s="607">
        <f t="shared" si="6"/>
        <v>0</v>
      </c>
      <c r="K44" s="606" t="str">
        <f>L44&amp;IF(OR( BASIC_TOOL!$C$15=1,BASIC_TOOL!$C$15=5),"","(I)")</f>
        <v>HSide</v>
      </c>
      <c r="L44" s="606" t="s">
        <v>557</v>
      </c>
      <c r="M44" s="607" t="s">
        <v>1302</v>
      </c>
      <c r="N44" s="607" t="s">
        <v>464</v>
      </c>
      <c r="O44" s="607"/>
      <c r="P44" s="607"/>
      <c r="Q44" s="607"/>
      <c r="R44" s="607"/>
      <c r="S44" s="607"/>
      <c r="T44" s="607"/>
      <c r="U44" s="607"/>
      <c r="V44" s="607" t="s">
        <v>488</v>
      </c>
      <c r="W44" s="607" t="s">
        <v>489</v>
      </c>
      <c r="X44" s="609">
        <f>(W_F+L1_F+L2_F+L3_F+L4_F)*2</f>
        <v>0</v>
      </c>
      <c r="Y44" s="607">
        <f t="shared" si="4"/>
        <v>0</v>
      </c>
      <c r="Z44" s="600">
        <v>40</v>
      </c>
      <c r="AA44" s="616">
        <v>4.0999999999999996</v>
      </c>
      <c r="AB44" s="615">
        <f t="shared" si="0"/>
        <v>0</v>
      </c>
    </row>
    <row r="45" spans="1:28" s="143" customFormat="1" ht="17.25" customHeight="1">
      <c r="A45" s="655" t="str">
        <f t="array" ref="A45">IF( ISERROR(INDEX(Panel2!$H$6:$H$115,SMALL(IF(Panel2!$J$6:$J$115&lt;&gt;0,ROW(Panel2!$J$6:$J$115)-5),ROW(A41)))),"",INDEX(Panel2!$H$6:$H$115,SMALL(IF(Panel2!$J$6:$J$115&lt;&gt;0,ROW(Panel2!$J$6:$J$115)-5),ROW(A41))))</f>
        <v/>
      </c>
      <c r="B45" s="655" t="str">
        <f t="array" ref="B45">IF(ISERROR(INDEX(Panel2!$I$6:$I$115,SMALL(IF(Panel2!$J$6:$J$115&lt;&gt;0,ROW(Panel2!$J$6:$J$115)-5),ROW(B41)))),"",INDEX(Panel2!$I$6:$I$115,SMALL(IF(Panel2!$J$6:$J$115&lt;&gt;0,ROW(Panel2!$J$6:$J$115)-5),ROW(B41))))</f>
        <v/>
      </c>
      <c r="C45" s="655" t="str">
        <f t="array" ref="C45">IF( ISERROR(INDEX(Panel2!$J$6:$J$115,SMALL(IF(Panel2!$J$6:$J$115&lt;&gt;0,ROW(Panel2!$J$6:$J$115)-5),ROW(C41)))),"",  INDEX(Panel2!$J$6:$J$115,SMALL(IF(Panel2!$J$6:$J$115&lt;&gt;0,ROW(Panel2!$J$6:$J$115)-5),ROW(C41))))</f>
        <v/>
      </c>
      <c r="D45" s="142"/>
      <c r="E45" s="1590" t="s">
        <v>544</v>
      </c>
      <c r="F45" s="1590" t="s">
        <v>524</v>
      </c>
      <c r="G45" s="607" t="s">
        <v>420</v>
      </c>
      <c r="H45" s="606" t="str">
        <f t="shared" si="5"/>
        <v>Side</v>
      </c>
      <c r="I45" s="606" t="str">
        <f>M45&amp;Y45&amp;IF(OR(BASIC_TOOL!$C$15=1,BASIC_TOOL!$C$15=5),,N45)</f>
        <v>SF0</v>
      </c>
      <c r="J45" s="607">
        <f t="shared" si="6"/>
        <v>0</v>
      </c>
      <c r="K45" s="606" t="str">
        <f>L45&amp;IF(OR( BASIC_TOOL!$C$15=1,BASIC_TOOL!$C$15=5),"","(I)")</f>
        <v>Side</v>
      </c>
      <c r="L45" s="606" t="s">
        <v>554</v>
      </c>
      <c r="M45" s="607" t="s">
        <v>1301</v>
      </c>
      <c r="N45" s="607" t="s">
        <v>464</v>
      </c>
      <c r="O45" s="607"/>
      <c r="P45" s="607"/>
      <c r="Q45" s="607"/>
      <c r="R45" s="607"/>
      <c r="S45" s="607"/>
      <c r="T45" s="607" t="s">
        <v>488</v>
      </c>
      <c r="U45" s="607" t="s">
        <v>489</v>
      </c>
      <c r="V45" s="607" t="s">
        <v>490</v>
      </c>
      <c r="W45" s="607" t="s">
        <v>491</v>
      </c>
      <c r="X45" s="603">
        <f>(W_C+L1_C+L2_C+L3_C+L4_C)*2-X46-X47</f>
        <v>30</v>
      </c>
      <c r="Y45" s="607">
        <f t="shared" si="4"/>
        <v>0</v>
      </c>
      <c r="Z45" s="600">
        <v>41</v>
      </c>
      <c r="AA45" s="616">
        <v>4.0999999999999996</v>
      </c>
      <c r="AB45" s="615">
        <f t="shared" si="0"/>
        <v>0</v>
      </c>
    </row>
    <row r="46" spans="1:28" s="143" customFormat="1" ht="17.25" customHeight="1">
      <c r="A46" s="655" t="str">
        <f t="array" ref="A46">IF( ISERROR(INDEX(Panel2!$H$6:$H$115,SMALL(IF(Panel2!$J$6:$J$115&lt;&gt;0,ROW(Panel2!$J$6:$J$115)-5),ROW(A42)))),"",INDEX(Panel2!$H$6:$H$115,SMALL(IF(Panel2!$J$6:$J$115&lt;&gt;0,ROW(Panel2!$J$6:$J$115)-5),ROW(A42))))</f>
        <v/>
      </c>
      <c r="B46" s="655" t="str">
        <f t="array" ref="B46">IF(ISERROR(INDEX(Panel2!$I$6:$I$115,SMALL(IF(Panel2!$J$6:$J$115&lt;&gt;0,ROW(Panel2!$J$6:$J$115)-5),ROW(B42)))),"",INDEX(Panel2!$I$6:$I$115,SMALL(IF(Panel2!$J$6:$J$115&lt;&gt;0,ROW(Panel2!$J$6:$J$115)-5),ROW(B42))))</f>
        <v/>
      </c>
      <c r="C46" s="655" t="str">
        <f t="array" ref="C46">IF( ISERROR(INDEX(Panel2!$J$6:$J$115,SMALL(IF(Panel2!$J$6:$J$115&lt;&gt;0,ROW(Panel2!$J$6:$J$115)-5),ROW(C42)))),"",  INDEX(Panel2!$J$6:$J$115,SMALL(IF(Panel2!$J$6:$J$115&lt;&gt;0,ROW(Panel2!$J$6:$J$115)-5),ROW(C42))))</f>
        <v/>
      </c>
      <c r="D46" s="142"/>
      <c r="E46" s="1590"/>
      <c r="F46" s="1590"/>
      <c r="G46" s="607" t="s">
        <v>420</v>
      </c>
      <c r="H46" s="606" t="str">
        <f t="shared" si="5"/>
        <v>Side_ParLT</v>
      </c>
      <c r="I46" s="606" t="str">
        <f>M46&amp;Y46&amp;IF(OR(BASIC_TOOL!$C$15=1,BASIC_TOOL!$C$15=5),,N46)</f>
        <v>SF0</v>
      </c>
      <c r="J46" s="607">
        <f t="shared" si="6"/>
        <v>0</v>
      </c>
      <c r="K46" s="606" t="str">
        <f>L46&amp;IF(OR( BASIC_TOOL!$C$15=1,BASIC_TOOL!$C$15=5),"","(I)")</f>
        <v>Side_ParLT</v>
      </c>
      <c r="L46" s="606" t="s">
        <v>1263</v>
      </c>
      <c r="M46" s="607" t="s">
        <v>1301</v>
      </c>
      <c r="N46" s="607" t="s">
        <v>464</v>
      </c>
      <c r="O46" s="607"/>
      <c r="P46" s="607"/>
      <c r="Q46" s="607"/>
      <c r="R46" s="607"/>
      <c r="S46" s="607"/>
      <c r="T46" s="607" t="s">
        <v>520</v>
      </c>
      <c r="U46" s="607" t="s">
        <v>521</v>
      </c>
      <c r="V46" s="607" t="s">
        <v>1309</v>
      </c>
      <c r="W46" s="607" t="s">
        <v>1311</v>
      </c>
      <c r="X46" s="603">
        <f>N_PA</f>
        <v>0</v>
      </c>
      <c r="Y46" s="607">
        <f t="shared" si="4"/>
        <v>0</v>
      </c>
      <c r="Z46" s="600">
        <v>42</v>
      </c>
      <c r="AA46" s="616">
        <v>4.0999999999999996</v>
      </c>
      <c r="AB46" s="615">
        <f t="shared" si="0"/>
        <v>0</v>
      </c>
    </row>
    <row r="47" spans="1:28" s="143" customFormat="1" ht="17.25" customHeight="1">
      <c r="A47" s="655" t="str">
        <f t="array" ref="A47">IF( ISERROR(INDEX(Panel2!$H$6:$H$115,SMALL(IF(Panel2!$J$6:$J$115&lt;&gt;0,ROW(Panel2!$J$6:$J$115)-5),ROW(A43)))),"",INDEX(Panel2!$H$6:$H$115,SMALL(IF(Panel2!$J$6:$J$115&lt;&gt;0,ROW(Panel2!$J$6:$J$115)-5),ROW(A43))))</f>
        <v/>
      </c>
      <c r="B47" s="655" t="str">
        <f t="array" ref="B47">IF(ISERROR(INDEX(Panel2!$I$6:$I$115,SMALL(IF(Panel2!$J$6:$J$115&lt;&gt;0,ROW(Panel2!$J$6:$J$115)-5),ROW(B43)))),"",INDEX(Panel2!$I$6:$I$115,SMALL(IF(Panel2!$J$6:$J$115&lt;&gt;0,ROW(Panel2!$J$6:$J$115)-5),ROW(B43))))</f>
        <v/>
      </c>
      <c r="C47" s="655" t="str">
        <f t="array" ref="C47">IF( ISERROR(INDEX(Panel2!$J$6:$J$115,SMALL(IF(Panel2!$J$6:$J$115&lt;&gt;0,ROW(Panel2!$J$6:$J$115)-5),ROW(C43)))),"",  INDEX(Panel2!$J$6:$J$115,SMALL(IF(Panel2!$J$6:$J$115&lt;&gt;0,ROW(Panel2!$J$6:$J$115)-5),ROW(C43))))</f>
        <v/>
      </c>
      <c r="D47" s="142"/>
      <c r="E47" s="1590"/>
      <c r="F47" s="1590"/>
      <c r="G47" s="607" t="s">
        <v>420</v>
      </c>
      <c r="H47" s="606" t="str">
        <f t="shared" si="5"/>
        <v>Side_ParRT</v>
      </c>
      <c r="I47" s="606" t="str">
        <f>M47&amp;Y47&amp;IF(OR(BASIC_TOOL!$C$15=1,BASIC_TOOL!$C$15=5),,N47)</f>
        <v>SF0</v>
      </c>
      <c r="J47" s="607">
        <f t="shared" si="6"/>
        <v>0</v>
      </c>
      <c r="K47" s="606" t="str">
        <f>L47&amp;IF(OR( BASIC_TOOL!$C$15=1,BASIC_TOOL!$C$15=5),"","(I)")</f>
        <v>Side_ParRT</v>
      </c>
      <c r="L47" s="606" t="s">
        <v>1264</v>
      </c>
      <c r="M47" s="607" t="s">
        <v>1301</v>
      </c>
      <c r="N47" s="607" t="s">
        <v>464</v>
      </c>
      <c r="O47" s="607"/>
      <c r="P47" s="607"/>
      <c r="Q47" s="607"/>
      <c r="R47" s="607"/>
      <c r="S47" s="607"/>
      <c r="T47" s="607" t="s">
        <v>518</v>
      </c>
      <c r="U47" s="607" t="s">
        <v>519</v>
      </c>
      <c r="V47" s="607" t="s">
        <v>1310</v>
      </c>
      <c r="W47" s="607" t="s">
        <v>1312</v>
      </c>
      <c r="X47" s="603">
        <f>N_PA</f>
        <v>0</v>
      </c>
      <c r="Y47" s="607">
        <f t="shared" si="4"/>
        <v>0</v>
      </c>
      <c r="Z47" s="600">
        <v>43</v>
      </c>
      <c r="AA47" s="616">
        <v>4.0999999999999996</v>
      </c>
      <c r="AB47" s="615">
        <f t="shared" si="0"/>
        <v>0</v>
      </c>
    </row>
    <row r="48" spans="1:28" s="143" customFormat="1" ht="17.25" customHeight="1">
      <c r="A48" s="655" t="str">
        <f t="array" ref="A48">IF( ISERROR(INDEX(Panel2!$H$6:$H$115,SMALL(IF(Panel2!$J$6:$J$115&lt;&gt;0,ROW(Panel2!$J$6:$J$115)-5),ROW(A44)))),"",INDEX(Panel2!$H$6:$H$115,SMALL(IF(Panel2!$J$6:$J$115&lt;&gt;0,ROW(Panel2!$J$6:$J$115)-5),ROW(A44))))</f>
        <v/>
      </c>
      <c r="B48" s="655" t="str">
        <f t="array" ref="B48">IF(ISERROR(INDEX(Panel2!$I$6:$I$115,SMALL(IF(Panel2!$J$6:$J$115&lt;&gt;0,ROW(Panel2!$J$6:$J$115)-5),ROW(B44)))),"",INDEX(Panel2!$I$6:$I$115,SMALL(IF(Panel2!$J$6:$J$115&lt;&gt;0,ROW(Panel2!$J$6:$J$115)-5),ROW(B44))))</f>
        <v/>
      </c>
      <c r="C48" s="655" t="str">
        <f t="array" ref="C48">IF( ISERROR(INDEX(Panel2!$J$6:$J$115,SMALL(IF(Panel2!$J$6:$J$115&lt;&gt;0,ROW(Panel2!$J$6:$J$115)-5),ROW(C44)))),"",  INDEX(Panel2!$J$6:$J$115,SMALL(IF(Panel2!$J$6:$J$115&lt;&gt;0,ROW(Panel2!$J$6:$J$115)-5),ROW(C44))))</f>
        <v/>
      </c>
      <c r="D48" s="142"/>
      <c r="E48" s="1590"/>
      <c r="F48" s="610" t="s">
        <v>545</v>
      </c>
      <c r="G48" s="607" t="s">
        <v>505</v>
      </c>
      <c r="H48" s="606" t="str">
        <f t="shared" si="5"/>
        <v>HSide</v>
      </c>
      <c r="I48" s="606" t="str">
        <f>M48&amp;Y48&amp;IF(OR(BASIC_TOOL!$C$15=1,BASIC_TOOL!$C$15=5),,N48)</f>
        <v>SH0</v>
      </c>
      <c r="J48" s="607">
        <f t="shared" si="6"/>
        <v>0</v>
      </c>
      <c r="K48" s="606" t="str">
        <f>L48&amp;IF(OR( BASIC_TOOL!$C$15=1,BASIC_TOOL!$C$15=5),"","(I)")</f>
        <v>HSide</v>
      </c>
      <c r="L48" s="606" t="s">
        <v>557</v>
      </c>
      <c r="M48" s="607" t="s">
        <v>1302</v>
      </c>
      <c r="N48" s="607" t="s">
        <v>464</v>
      </c>
      <c r="O48" s="607"/>
      <c r="P48" s="607"/>
      <c r="Q48" s="607"/>
      <c r="R48" s="607"/>
      <c r="S48" s="607"/>
      <c r="T48" s="607" t="s">
        <v>488</v>
      </c>
      <c r="U48" s="607" t="s">
        <v>489</v>
      </c>
      <c r="V48" s="607" t="s">
        <v>490</v>
      </c>
      <c r="W48" s="607" t="s">
        <v>491</v>
      </c>
      <c r="X48" s="609">
        <f>(W_F+L1_F+L2_F+L3_F+L4_F)*2</f>
        <v>0</v>
      </c>
      <c r="Y48" s="607">
        <f t="shared" si="4"/>
        <v>0</v>
      </c>
      <c r="Z48" s="600">
        <v>44</v>
      </c>
      <c r="AA48" s="616">
        <v>3.1</v>
      </c>
      <c r="AB48" s="615">
        <f t="shared" si="0"/>
        <v>0</v>
      </c>
    </row>
    <row r="49" spans="1:28" s="143" customFormat="1" ht="17.25" customHeight="1">
      <c r="A49" s="655" t="str">
        <f t="array" ref="A49">IF( ISERROR(INDEX(Panel2!$H$6:$H$115,SMALL(IF(Panel2!$J$6:$J$115&lt;&gt;0,ROW(Panel2!$J$6:$J$115)-5),ROW(A45)))),"",INDEX(Panel2!$H$6:$H$115,SMALL(IF(Panel2!$J$6:$J$115&lt;&gt;0,ROW(Panel2!$J$6:$J$115)-5),ROW(A45))))</f>
        <v/>
      </c>
      <c r="B49" s="655" t="str">
        <f t="array" ref="B49">IF(ISERROR(INDEX(Panel2!$I$6:$I$115,SMALL(IF(Panel2!$J$6:$J$115&lt;&gt;0,ROW(Panel2!$J$6:$J$115)-5),ROW(B45)))),"",INDEX(Panel2!$I$6:$I$115,SMALL(IF(Panel2!$J$6:$J$115&lt;&gt;0,ROW(Panel2!$J$6:$J$115)-5),ROW(B45))))</f>
        <v/>
      </c>
      <c r="C49" s="655" t="str">
        <f t="array" ref="C49">IF( ISERROR(INDEX(Panel2!$J$6:$J$115,SMALL(IF(Panel2!$J$6:$J$115&lt;&gt;0,ROW(Panel2!$J$6:$J$115)-5),ROW(C45)))),"",  INDEX(Panel2!$J$6:$J$115,SMALL(IF(Panel2!$J$6:$J$115&lt;&gt;0,ROW(Panel2!$J$6:$J$115)-5),ROW(C45))))</f>
        <v/>
      </c>
      <c r="D49" s="142"/>
      <c r="E49" s="1590" t="s">
        <v>529</v>
      </c>
      <c r="F49" s="1590" t="s">
        <v>526</v>
      </c>
      <c r="G49" s="607" t="s">
        <v>420</v>
      </c>
      <c r="H49" s="606" t="str">
        <f t="shared" si="5"/>
        <v>Side</v>
      </c>
      <c r="I49" s="606" t="str">
        <f>M49&amp;Y49&amp;IF(OR(BASIC_TOOL!$C$15=1,BASIC_TOOL!$C$15=5),,N49)</f>
        <v>SF30L</v>
      </c>
      <c r="J49" s="607">
        <f t="shared" si="6"/>
        <v>30</v>
      </c>
      <c r="K49" s="606" t="str">
        <f>L49&amp;IF(OR( BASIC_TOOL!$C$15=1,BASIC_TOOL!$C$15=5),"","(I)")</f>
        <v>Side</v>
      </c>
      <c r="L49" s="606" t="s">
        <v>554</v>
      </c>
      <c r="M49" s="607" t="s">
        <v>1301</v>
      </c>
      <c r="N49" s="607" t="s">
        <v>464</v>
      </c>
      <c r="O49" s="607" t="s">
        <v>522</v>
      </c>
      <c r="P49" s="607"/>
      <c r="Q49" s="607"/>
      <c r="R49" s="607" t="s">
        <v>447</v>
      </c>
      <c r="S49" s="607" t="s">
        <v>448</v>
      </c>
      <c r="T49" s="607" t="s">
        <v>449</v>
      </c>
      <c r="U49" s="607" t="s">
        <v>450</v>
      </c>
      <c r="V49" s="607" t="s">
        <v>451</v>
      </c>
      <c r="W49" s="607" t="s">
        <v>452</v>
      </c>
      <c r="X49" s="603">
        <f>(W_C+L1_C+L2_C+L3_C+L4_C)*2-X50-X51-X52-X53</f>
        <v>30</v>
      </c>
      <c r="Y49" s="607" t="str">
        <f t="shared" si="4"/>
        <v>30L</v>
      </c>
      <c r="Z49" s="600">
        <v>45</v>
      </c>
      <c r="AA49" s="616">
        <v>4.2</v>
      </c>
      <c r="AB49" s="615">
        <f t="shared" si="0"/>
        <v>126</v>
      </c>
    </row>
    <row r="50" spans="1:28" s="143" customFormat="1" ht="17.25" customHeight="1">
      <c r="A50" s="656" t="str">
        <f t="array" ref="A50">IF( ISERROR(INDEX(Panel2!$H$6:$H$115,SMALL(IF(Panel2!$J$6:$J$115&lt;&gt;0,ROW(Panel2!$J$6:$J$115)-5),ROW(A46)))),"",INDEX(Panel2!$H$6:$H$115,SMALL(IF(Panel2!$J$6:$J$115&lt;&gt;0,ROW(Panel2!$J$6:$J$115)-5),ROW(A46))))</f>
        <v/>
      </c>
      <c r="B50" s="656" t="str">
        <f t="array" ref="B50">IF(ISERROR(INDEX(Panel2!$I$6:$I$115,SMALL(IF(Panel2!$J$6:$J$115&lt;&gt;0,ROW(Panel2!$J$6:$J$115)-5),ROW(B46)))),"",INDEX(Panel2!$I$6:$I$115,SMALL(IF(Panel2!$J$6:$J$115&lt;&gt;0,ROW(Panel2!$J$6:$J$115)-5),ROW(B46))))</f>
        <v/>
      </c>
      <c r="C50" s="657" t="str">
        <f t="array" ref="C50">IF( ISERROR(INDEX(Panel2!$J$6:$J$115,SMALL(IF(Panel2!$J$6:$J$115&lt;&gt;0,ROW(Panel2!$J$6:$J$115)-5),ROW(C46)))),"",  INDEX(Panel2!$J$6:$J$115,SMALL(IF(Panel2!$J$6:$J$115&lt;&gt;0,ROW(Panel2!$J$6:$J$115)-5),ROW(C46))))</f>
        <v/>
      </c>
      <c r="D50" s="142"/>
      <c r="E50" s="1590"/>
      <c r="F50" s="1590"/>
      <c r="G50" s="607" t="s">
        <v>420</v>
      </c>
      <c r="H50" s="606" t="str">
        <f t="shared" si="5"/>
        <v>Side_ParLT</v>
      </c>
      <c r="I50" s="606" t="str">
        <f>M50&amp;Y50&amp;IF(OR(BASIC_TOOL!$C$15=1,BASIC_TOOL!$C$15=5),,N50)</f>
        <v>SF30LL</v>
      </c>
      <c r="J50" s="607">
        <f t="shared" si="6"/>
        <v>0</v>
      </c>
      <c r="K50" s="606" t="str">
        <f>L50&amp;IF(OR( BASIC_TOOL!$C$15=1,BASIC_TOOL!$C$15=5),"","(I)")</f>
        <v>Side_ParLT</v>
      </c>
      <c r="L50" s="606" t="s">
        <v>1263</v>
      </c>
      <c r="M50" s="607" t="s">
        <v>1301</v>
      </c>
      <c r="N50" s="607" t="s">
        <v>464</v>
      </c>
      <c r="O50" s="607" t="s">
        <v>546</v>
      </c>
      <c r="P50" s="607"/>
      <c r="Q50" s="607"/>
      <c r="R50" s="607" t="s">
        <v>530</v>
      </c>
      <c r="S50" s="607" t="s">
        <v>532</v>
      </c>
      <c r="T50" s="607" t="s">
        <v>534</v>
      </c>
      <c r="U50" s="607" t="s">
        <v>536</v>
      </c>
      <c r="V50" s="607" t="s">
        <v>538</v>
      </c>
      <c r="W50" s="607" t="s">
        <v>540</v>
      </c>
      <c r="X50" s="603">
        <f>N_PA</f>
        <v>0</v>
      </c>
      <c r="Y50" s="607" t="str">
        <f t="shared" si="4"/>
        <v>30LL</v>
      </c>
      <c r="Z50" s="600">
        <v>46</v>
      </c>
      <c r="AA50" s="616">
        <v>4.2</v>
      </c>
      <c r="AB50" s="615">
        <f t="shared" si="0"/>
        <v>0</v>
      </c>
    </row>
    <row r="51" spans="1:28" s="143" customFormat="1" ht="16.899999999999999" customHeight="1">
      <c r="A51" s="656" t="str">
        <f t="array" ref="A51">IF( ISERROR(INDEX(Panel2!$H$6:$H$115,SMALL(IF(Panel2!$J$6:$J$115&lt;&gt;0,ROW(Panel2!$J$6:$J$115)-5),ROW(A47)))),"",INDEX(Panel2!$H$6:$H$115,SMALL(IF(Panel2!$J$6:$J$115&lt;&gt;0,ROW(Panel2!$J$6:$J$115)-5),ROW(A47))))</f>
        <v/>
      </c>
      <c r="B51" s="656" t="str">
        <f t="array" ref="B51">IF(ISERROR(INDEX(Panel2!$I$6:$I$115,SMALL(IF(Panel2!$J$6:$J$115&lt;&gt;0,ROW(Panel2!$J$6:$J$115)-5),ROW(B47)))),"",INDEX(Panel2!$I$6:$I$115,SMALL(IF(Panel2!$J$6:$J$115&lt;&gt;0,ROW(Panel2!$J$6:$J$115)-5),ROW(B47))))</f>
        <v/>
      </c>
      <c r="C51" s="657" t="str">
        <f t="array" ref="C51">IF( ISERROR(INDEX(Panel2!$J$6:$J$115,SMALL(IF(Panel2!$J$6:$J$115&lt;&gt;0,ROW(Panel2!$J$6:$J$115)-5),ROW(C47)))),"",  INDEX(Panel2!$J$6:$J$115,SMALL(IF(Panel2!$J$6:$J$115&lt;&gt;0,ROW(Panel2!$J$6:$J$115)-5),ROW(C47))))</f>
        <v/>
      </c>
      <c r="D51" s="142"/>
      <c r="E51" s="1590"/>
      <c r="F51" s="1590"/>
      <c r="G51" s="607" t="s">
        <v>420</v>
      </c>
      <c r="H51" s="606" t="str">
        <f t="shared" si="5"/>
        <v>Side_ParRT</v>
      </c>
      <c r="I51" s="606" t="str">
        <f>M51&amp;Y51&amp;IF(OR(BASIC_TOOL!$C$15=1,BASIC_TOOL!$C$15=5),,N51)</f>
        <v>SF30LR</v>
      </c>
      <c r="J51" s="607">
        <f t="shared" si="6"/>
        <v>0</v>
      </c>
      <c r="K51" s="606" t="str">
        <f>L51&amp;IF(OR( BASIC_TOOL!$C$15=1,BASIC_TOOL!$C$15=5),"","(I)")</f>
        <v>Side_ParRT</v>
      </c>
      <c r="L51" s="606" t="s">
        <v>1264</v>
      </c>
      <c r="M51" s="607" t="s">
        <v>1301</v>
      </c>
      <c r="N51" s="607" t="s">
        <v>464</v>
      </c>
      <c r="O51" s="607" t="s">
        <v>547</v>
      </c>
      <c r="P51" s="607"/>
      <c r="Q51" s="607"/>
      <c r="R51" s="607" t="s">
        <v>531</v>
      </c>
      <c r="S51" s="607" t="s">
        <v>533</v>
      </c>
      <c r="T51" s="607" t="s">
        <v>535</v>
      </c>
      <c r="U51" s="607" t="s">
        <v>537</v>
      </c>
      <c r="V51" s="607" t="s">
        <v>539</v>
      </c>
      <c r="W51" s="607" t="s">
        <v>541</v>
      </c>
      <c r="X51" s="603">
        <f>N_PA</f>
        <v>0</v>
      </c>
      <c r="Y51" s="607" t="str">
        <f t="shared" si="4"/>
        <v>30LR</v>
      </c>
      <c r="Z51" s="600">
        <v>47</v>
      </c>
      <c r="AA51" s="616">
        <v>4.2</v>
      </c>
      <c r="AB51" s="615">
        <f t="shared" si="0"/>
        <v>0</v>
      </c>
    </row>
    <row r="52" spans="1:28" s="143" customFormat="1" ht="17.25" customHeight="1">
      <c r="A52" s="656" t="str">
        <f t="array" ref="A52">IF( ISERROR(INDEX(Panel2!$H$6:$H$115,SMALL(IF(Panel2!$J$6:$J$115&lt;&gt;0,ROW(Panel2!$J$6:$J$115)-5),ROW(A48)))),"",INDEX(Panel2!$H$6:$H$115,SMALL(IF(Panel2!$J$6:$J$115&lt;&gt;0,ROW(Panel2!$J$6:$J$115)-5),ROW(A48))))</f>
        <v/>
      </c>
      <c r="B52" s="656" t="str">
        <f t="array" ref="B52">IF(ISERROR(INDEX(Panel2!$I$6:$I$115,SMALL(IF(Panel2!$J$6:$J$115&lt;&gt;0,ROW(Panel2!$J$6:$J$115)-5),ROW(B48)))),"",INDEX(Panel2!$I$6:$I$115,SMALL(IF(Panel2!$J$6:$J$115&lt;&gt;0,ROW(Panel2!$J$6:$J$115)-5),ROW(B48))))</f>
        <v/>
      </c>
      <c r="C52" s="657" t="str">
        <f t="array" ref="C52">IF( ISERROR(INDEX(Panel2!$J$6:$J$115,SMALL(IF(Panel2!$J$6:$J$115&lt;&gt;0,ROW(Panel2!$J$6:$J$115)-5),ROW(C48)))),"",  INDEX(Panel2!$J$6:$J$115,SMALL(IF(Panel2!$J$6:$J$115&lt;&gt;0,ROW(Panel2!$J$6:$J$115)-5),ROW(C48))))</f>
        <v/>
      </c>
      <c r="D52" s="142"/>
      <c r="E52" s="1590"/>
      <c r="F52" s="1590" t="s">
        <v>1525</v>
      </c>
      <c r="G52" s="607" t="s">
        <v>1521</v>
      </c>
      <c r="H52" s="606" t="str">
        <f t="shared" si="5"/>
        <v>Side NOZ</v>
      </c>
      <c r="I52" s="606" t="str">
        <f>M52&amp;Y52&amp;IF(OR(BASIC_TOOL!$C$15=1,BASIC_TOOL!$C$15=5),,N52)</f>
        <v>SN30L</v>
      </c>
      <c r="J52" s="607">
        <f t="shared" si="6"/>
        <v>0</v>
      </c>
      <c r="K52" s="606" t="str">
        <f>L52&amp;IF(OR( BASIC_TOOL!$C$15=1,BASIC_TOOL!$C$15=5),"","(I)")</f>
        <v>Side NOZ</v>
      </c>
      <c r="L52" s="606" t="s">
        <v>1523</v>
      </c>
      <c r="M52" s="607" t="s">
        <v>1307</v>
      </c>
      <c r="N52" s="607" t="s">
        <v>464</v>
      </c>
      <c r="O52" s="607" t="s">
        <v>522</v>
      </c>
      <c r="P52" s="607"/>
      <c r="Q52" s="607"/>
      <c r="R52" s="607" t="s">
        <v>447</v>
      </c>
      <c r="S52" s="607" t="s">
        <v>448</v>
      </c>
      <c r="T52" s="607" t="s">
        <v>449</v>
      </c>
      <c r="U52" s="607" t="s">
        <v>450</v>
      </c>
      <c r="V52" s="607" t="s">
        <v>451</v>
      </c>
      <c r="W52" s="607" t="s">
        <v>452</v>
      </c>
      <c r="X52" s="603">
        <f>IF(H_O&gt;2,BASIC_TOOL!B18,0)</f>
        <v>0</v>
      </c>
      <c r="Y52" s="607" t="str">
        <f t="shared" si="4"/>
        <v>30L</v>
      </c>
      <c r="Z52" s="600">
        <v>48</v>
      </c>
      <c r="AA52" s="616">
        <v>3.1</v>
      </c>
      <c r="AB52" s="615">
        <f t="shared" si="0"/>
        <v>0</v>
      </c>
    </row>
    <row r="53" spans="1:28" s="143" customFormat="1" ht="17.25" customHeight="1">
      <c r="A53" s="656" t="str">
        <f t="array" ref="A53">IF( ISERROR(INDEX(Panel2!$H$6:$H$115,SMALL(IF(Panel2!$J$6:$J$115&lt;&gt;0,ROW(Panel2!$J$6:$J$115)-5),ROW(A49)))),"",INDEX(Panel2!$H$6:$H$115,SMALL(IF(Panel2!$J$6:$J$115&lt;&gt;0,ROW(Panel2!$J$6:$J$115)-5),ROW(A49))))</f>
        <v/>
      </c>
      <c r="B53" s="656" t="str">
        <f t="array" ref="B53">IF(ISERROR(INDEX(Panel2!$I$6:$I$115,SMALL(IF(Panel2!$J$6:$J$115&lt;&gt;0,ROW(Panel2!$J$6:$J$115)-5),ROW(B49)))),"",INDEX(Panel2!$I$6:$I$115,SMALL(IF(Panel2!$J$6:$J$115&lt;&gt;0,ROW(Panel2!$J$6:$J$115)-5),ROW(B49))))</f>
        <v/>
      </c>
      <c r="C53" s="657" t="str">
        <f t="array" ref="C53">IF( ISERROR(INDEX(Panel2!$J$6:$J$115,SMALL(IF(Panel2!$J$6:$J$115&lt;&gt;0,ROW(Panel2!$J$6:$J$115)-5),ROW(C49)))),"",  INDEX(Panel2!$J$6:$J$115,SMALL(IF(Panel2!$J$6:$J$115&lt;&gt;0,ROW(Panel2!$J$6:$J$115)-5),ROW(C49))))</f>
        <v/>
      </c>
      <c r="D53" s="142"/>
      <c r="E53" s="1590"/>
      <c r="F53" s="1590"/>
      <c r="G53" s="607" t="s">
        <v>1524</v>
      </c>
      <c r="H53" s="606" t="str">
        <f t="shared" si="5"/>
        <v>Side NOZ_PAR</v>
      </c>
      <c r="I53" s="606" t="str">
        <f>M53&amp;Y53&amp;IF(OR(BASIC_TOOL!$C$15=1,BASIC_TOOL!$C$15=5),,N53)</f>
        <v>SN30LR</v>
      </c>
      <c r="J53" s="607">
        <f t="shared" si="6"/>
        <v>0</v>
      </c>
      <c r="K53" s="606" t="str">
        <f>L53&amp;IF(OR( BASIC_TOOL!$C$15=1,BASIC_TOOL!$C$15=5),"","(I)")</f>
        <v>Side NOZ_PAR</v>
      </c>
      <c r="L53" s="606" t="s">
        <v>1522</v>
      </c>
      <c r="M53" s="607" t="s">
        <v>1307</v>
      </c>
      <c r="N53" s="607" t="s">
        <v>464</v>
      </c>
      <c r="O53" s="607" t="s">
        <v>522</v>
      </c>
      <c r="P53" s="607"/>
      <c r="Q53" s="607"/>
      <c r="R53" s="607" t="s">
        <v>531</v>
      </c>
      <c r="S53" s="607" t="s">
        <v>533</v>
      </c>
      <c r="T53" s="607" t="s">
        <v>535</v>
      </c>
      <c r="U53" s="607" t="s">
        <v>537</v>
      </c>
      <c r="V53" s="607" t="s">
        <v>539</v>
      </c>
      <c r="W53" s="607" t="s">
        <v>541</v>
      </c>
      <c r="X53" s="603">
        <f>IF(H_O&gt;2,BASIC_TOOL!C18*N_PA,0)</f>
        <v>0</v>
      </c>
      <c r="Y53" s="607" t="str">
        <f t="shared" si="4"/>
        <v>30LR</v>
      </c>
      <c r="Z53" s="600">
        <v>49</v>
      </c>
      <c r="AA53" s="616"/>
      <c r="AB53" s="615">
        <f t="shared" si="0"/>
        <v>0</v>
      </c>
    </row>
    <row r="54" spans="1:28" s="143" customFormat="1" ht="17.25" customHeight="1">
      <c r="A54" s="656" t="str">
        <f t="array" ref="A54">IF( ISERROR(INDEX(Panel2!$H$6:$H$115,SMALL(IF(Panel2!$J$6:$J$115&lt;&gt;0,ROW(Panel2!$J$6:$J$115)-5),ROW(A50)))),"",INDEX(Panel2!$H$6:$H$115,SMALL(IF(Panel2!$J$6:$J$115&lt;&gt;0,ROW(Panel2!$J$6:$J$115)-5),ROW(A50))))</f>
        <v/>
      </c>
      <c r="B54" s="656" t="str">
        <f t="array" ref="B54">IF(ISERROR(INDEX(Panel2!$I$6:$I$115,SMALL(IF(Panel2!$J$6:$J$115&lt;&gt;0,ROW(Panel2!$J$6:$J$115)-5),ROW(B50)))),"",INDEX(Panel2!$I$6:$I$115,SMALL(IF(Panel2!$J$6:$J$115&lt;&gt;0,ROW(Panel2!$J$6:$J$115)-5),ROW(B50))))</f>
        <v/>
      </c>
      <c r="C54" s="657" t="str">
        <f t="array" ref="C54">IF( ISERROR(INDEX(Panel2!$J$6:$J$115,SMALL(IF(Panel2!$J$6:$J$115&lt;&gt;0,ROW(Panel2!$J$6:$J$115)-5),ROW(C50)))),"",  INDEX(Panel2!$J$6:$J$115,SMALL(IF(Panel2!$J$6:$J$115&lt;&gt;0,ROW(Panel2!$J$6:$J$115)-5),ROW(C50))))</f>
        <v/>
      </c>
      <c r="D54" s="142"/>
      <c r="E54" s="1590"/>
      <c r="F54" s="610" t="s">
        <v>545</v>
      </c>
      <c r="G54" s="607" t="s">
        <v>505</v>
      </c>
      <c r="H54" s="606" t="str">
        <f t="shared" si="5"/>
        <v>HSide</v>
      </c>
      <c r="I54" s="606" t="str">
        <f>M54&amp;Y54&amp;IF(OR(BASIC_TOOL!$C$15=1,BASIC_TOOL!$C$15=5),,N54)</f>
        <v>SH30L</v>
      </c>
      <c r="J54" s="607">
        <f t="shared" si="6"/>
        <v>0</v>
      </c>
      <c r="K54" s="606" t="str">
        <f>L54&amp;IF(OR( BASIC_TOOL!$C$15=1,BASIC_TOOL!$C$15=5),"","(I)")</f>
        <v>HSide</v>
      </c>
      <c r="L54" s="606" t="s">
        <v>557</v>
      </c>
      <c r="M54" s="607" t="s">
        <v>1302</v>
      </c>
      <c r="N54" s="607" t="s">
        <v>464</v>
      </c>
      <c r="O54" s="607" t="s">
        <v>522</v>
      </c>
      <c r="P54" s="607"/>
      <c r="Q54" s="607"/>
      <c r="R54" s="607" t="s">
        <v>447</v>
      </c>
      <c r="S54" s="607" t="s">
        <v>448</v>
      </c>
      <c r="T54" s="607" t="s">
        <v>449</v>
      </c>
      <c r="U54" s="607" t="s">
        <v>450</v>
      </c>
      <c r="V54" s="607" t="s">
        <v>451</v>
      </c>
      <c r="W54" s="607" t="s">
        <v>452</v>
      </c>
      <c r="X54" s="609">
        <f>(W_F+L1_F+L2_F+L3_F+L4_F)*2</f>
        <v>0</v>
      </c>
      <c r="Y54" s="607" t="str">
        <f t="shared" si="4"/>
        <v>30L</v>
      </c>
      <c r="Z54" s="600">
        <v>50</v>
      </c>
      <c r="AA54" s="616">
        <f>4</f>
        <v>4</v>
      </c>
      <c r="AB54" s="615">
        <f t="shared" si="0"/>
        <v>0</v>
      </c>
    </row>
    <row r="55" spans="1:28" s="143" customFormat="1" ht="17.25" customHeight="1">
      <c r="A55" s="656" t="str">
        <f t="array" ref="A55">IF( ISERROR(INDEX(Panel2!$H$6:$H$115,SMALL(IF(Panel2!$J$6:$J$115&lt;&gt;0,ROW(Panel2!$J$6:$J$115)-5),ROW(A51)))),"",INDEX(Panel2!$H$6:$H$115,SMALL(IF(Panel2!$J$6:$J$115&lt;&gt;0,ROW(Panel2!$J$6:$J$115)-5),ROW(A51))))</f>
        <v/>
      </c>
      <c r="B55" s="656" t="str">
        <f t="array" ref="B55">IF(ISERROR(INDEX(Panel2!$I$6:$I$115,SMALL(IF(Panel2!$J$6:$J$115&lt;&gt;0,ROW(Panel2!$J$6:$J$115)-5),ROW(B51)))),"",INDEX(Panel2!$I$6:$I$115,SMALL(IF(Panel2!$J$6:$J$115&lt;&gt;0,ROW(Panel2!$J$6:$J$115)-5),ROW(B51))))</f>
        <v/>
      </c>
      <c r="C55" s="657" t="str">
        <f t="array" ref="C55">IF( ISERROR(INDEX(Panel2!$J$6:$J$115,SMALL(IF(Panel2!$J$6:$J$115&lt;&gt;0,ROW(Panel2!$J$6:$J$115)-5),ROW(C51)))),"",  INDEX(Panel2!$J$6:$J$115,SMALL(IF(Panel2!$J$6:$J$115&lt;&gt;0,ROW(Panel2!$J$6:$J$115)-5),ROW(C51))))</f>
        <v/>
      </c>
      <c r="D55" s="142"/>
      <c r="E55" s="610"/>
      <c r="F55" s="827"/>
      <c r="G55" s="827"/>
      <c r="H55" s="606"/>
      <c r="I55" s="606"/>
      <c r="J55" s="607"/>
      <c r="K55" s="606"/>
      <c r="L55" s="606"/>
      <c r="M55" s="607"/>
      <c r="N55" s="607"/>
      <c r="O55" s="607"/>
      <c r="P55" s="607"/>
      <c r="Q55" s="607"/>
      <c r="R55" s="607"/>
      <c r="S55" s="607"/>
      <c r="T55" s="607"/>
      <c r="U55" s="607"/>
      <c r="V55" s="607"/>
      <c r="W55" s="607"/>
      <c r="X55" s="603"/>
      <c r="Y55" s="607"/>
      <c r="Z55" s="600">
        <v>51</v>
      </c>
      <c r="AA55" s="616"/>
      <c r="AB55" s="615">
        <f t="shared" si="0"/>
        <v>0</v>
      </c>
    </row>
    <row r="56" spans="1:28" s="143" customFormat="1" ht="17.25" customHeight="1">
      <c r="A56" s="656" t="str">
        <f t="array" ref="A56">IF( ISERROR(INDEX(Panel2!$H$6:$H$115,SMALL(IF(Panel2!$J$6:$J$115&lt;&gt;0,ROW(Panel2!$J$6:$J$115)-5),ROW(A52)))),"",INDEX(Panel2!$H$6:$H$115,SMALL(IF(Panel2!$J$6:$J$115&lt;&gt;0,ROW(Panel2!$J$6:$J$115)-5),ROW(A52))))</f>
        <v/>
      </c>
      <c r="B56" s="656" t="str">
        <f t="array" ref="B56">IF(ISERROR(INDEX(Panel2!$I$6:$I$115,SMALL(IF(Panel2!$J$6:$J$115&lt;&gt;0,ROW(Panel2!$J$6:$J$115)-5),ROW(B52)))),"",INDEX(Panel2!$I$6:$I$115,SMALL(IF(Panel2!$J$6:$J$115&lt;&gt;0,ROW(Panel2!$J$6:$J$115)-5),ROW(B52))))</f>
        <v/>
      </c>
      <c r="C56" s="657" t="str">
        <f t="array" ref="C56">IF( ISERROR(INDEX(Panel2!$J$6:$J$115,SMALL(IF(Panel2!$J$6:$J$115&lt;&gt;0,ROW(Panel2!$J$6:$J$115)-5),ROW(C52)))),"",  INDEX(Panel2!$J$6:$J$115,SMALL(IF(Panel2!$J$6:$J$115&lt;&gt;0,ROW(Panel2!$J$6:$J$115)-5),ROW(C52))))</f>
        <v/>
      </c>
      <c r="D56" s="142"/>
      <c r="E56" s="610" t="s">
        <v>421</v>
      </c>
      <c r="F56" s="827" t="s">
        <v>413</v>
      </c>
      <c r="G56" s="827" t="s">
        <v>414</v>
      </c>
      <c r="H56" s="606" t="str">
        <f>K56</f>
        <v>0PAR</v>
      </c>
      <c r="I56" s="606" t="str">
        <f>M56&amp;Y56&amp;IF(OR(BASIC_TOOL!$C$15=1,BASIC_TOOL!$C$15=5),,N56)</f>
        <v>PL0</v>
      </c>
      <c r="J56" s="607">
        <f>IF(OR(X56=0,Y56=0),0,X56)</f>
        <v>0</v>
      </c>
      <c r="K56" s="606" t="str">
        <f>L56&amp;IF(OR( BASIC_TOOL!$C$15=1,BASIC_TOOL!$C$15=5),"","")</f>
        <v>0PAR</v>
      </c>
      <c r="L56" s="606" t="str">
        <f>Y56&amp;"PAR"</f>
        <v>0PAR</v>
      </c>
      <c r="M56" s="607" t="s">
        <v>1304</v>
      </c>
      <c r="N56" s="607"/>
      <c r="O56" s="607"/>
      <c r="P56" s="608" t="s">
        <v>1317</v>
      </c>
      <c r="Q56" s="607"/>
      <c r="R56" s="607" t="s">
        <v>1318</v>
      </c>
      <c r="S56" s="607"/>
      <c r="T56" s="607" t="s">
        <v>1318</v>
      </c>
      <c r="U56" s="607"/>
      <c r="V56" s="607" t="s">
        <v>1318</v>
      </c>
      <c r="W56" s="607"/>
      <c r="X56" s="603">
        <f>IF(BASIC_TOOL!$E$15=1,0,(W_C)*N_PA)</f>
        <v>0</v>
      </c>
      <c r="Y56" s="607">
        <f t="shared" ref="Y56:Y115" si="7">HLOOKUP(H_O,$O$5:$W$115,Z56,FALSE)</f>
        <v>0</v>
      </c>
      <c r="Z56" s="600">
        <v>52</v>
      </c>
      <c r="AA56" s="616">
        <v>4.0999999999999996</v>
      </c>
      <c r="AB56" s="615">
        <f t="shared" si="0"/>
        <v>0</v>
      </c>
    </row>
    <row r="57" spans="1:28" s="143" customFormat="1" ht="17.25" customHeight="1">
      <c r="A57" s="656" t="str">
        <f t="array" ref="A57">IF( ISERROR(INDEX(Panel2!$H$6:$H$115,SMALL(IF(Panel2!$J$6:$J$115&lt;&gt;0,ROW(Panel2!$J$6:$J$115)-5),ROW(A53)))),"",INDEX(Panel2!$H$6:$H$115,SMALL(IF(Panel2!$J$6:$J$115&lt;&gt;0,ROW(Panel2!$J$6:$J$115)-5),ROW(A53))))</f>
        <v/>
      </c>
      <c r="B57" s="656" t="str">
        <f t="array" ref="B57">IF(ISERROR(INDEX(Panel2!$I$6:$I$115,SMALL(IF(Panel2!$J$6:$J$115&lt;&gt;0,ROW(Panel2!$J$6:$J$115)-5),ROW(B53)))),"",INDEX(Panel2!$I$6:$I$115,SMALL(IF(Panel2!$J$6:$J$115&lt;&gt;0,ROW(Panel2!$J$6:$J$115)-5),ROW(B53))))</f>
        <v/>
      </c>
      <c r="C57" s="657" t="str">
        <f t="array" ref="C57">IF( ISERROR(INDEX(Panel2!$J$6:$J$115,SMALL(IF(Panel2!$J$6:$J$115&lt;&gt;0,ROW(Panel2!$J$6:$J$115)-5),ROW(C53)))),"",  INDEX(Panel2!$J$6:$J$115,SMALL(IF(Panel2!$J$6:$J$115&lt;&gt;0,ROW(Panel2!$J$6:$J$115)-5),ROW(C53))))</f>
        <v/>
      </c>
      <c r="D57" s="142"/>
      <c r="E57" s="610"/>
      <c r="F57" s="827"/>
      <c r="G57" s="827"/>
      <c r="H57" s="606" t="str">
        <f>K57</f>
        <v>HPAR_VERT</v>
      </c>
      <c r="I57" s="606" t="str">
        <f>M57&amp;Y57&amp;IF(OR(BASIC_TOOL!$C$15=1,BASIC_TOOL!$C$15=5),,N57)</f>
        <v>SH0</v>
      </c>
      <c r="J57" s="607">
        <f>IF(OR(X57=0,Y57=0),0,X57)</f>
        <v>0</v>
      </c>
      <c r="K57" s="606" t="str">
        <f>L57&amp;IF(OR( BASIC_TOOL!$C$15=1,BASIC_TOOL!$C$15=5),"","")</f>
        <v>HPAR_VERT</v>
      </c>
      <c r="L57" s="606" t="s">
        <v>560</v>
      </c>
      <c r="M57" s="607" t="s">
        <v>1302</v>
      </c>
      <c r="N57" s="607"/>
      <c r="O57" s="607"/>
      <c r="P57" s="607" t="s">
        <v>479</v>
      </c>
      <c r="Q57" s="607"/>
      <c r="R57" s="607" t="s">
        <v>479</v>
      </c>
      <c r="S57" s="607"/>
      <c r="T57" s="607" t="s">
        <v>479</v>
      </c>
      <c r="U57" s="607"/>
      <c r="V57" s="607" t="s">
        <v>479</v>
      </c>
      <c r="W57" s="607"/>
      <c r="X57" s="603">
        <f>IF(BASIC_TOOL!$E$15=1,0,(W_F)*N_PA)</f>
        <v>0</v>
      </c>
      <c r="Y57" s="607">
        <f t="shared" si="7"/>
        <v>0</v>
      </c>
      <c r="Z57" s="600">
        <v>53</v>
      </c>
      <c r="AA57" s="616">
        <v>2.1</v>
      </c>
      <c r="AB57" s="615">
        <f t="shared" si="0"/>
        <v>0</v>
      </c>
    </row>
    <row r="58" spans="1:28" s="143" customFormat="1" ht="28.9" customHeight="1">
      <c r="A58" s="656" t="str">
        <f t="array" ref="A58">IF( ISERROR(INDEX(Panel2!$H$6:$H$115,SMALL(IF(Panel2!$J$6:$J$115&lt;&gt;0,ROW(Panel2!$J$6:$J$115)-5),ROW(A54)))),"",INDEX(Panel2!$H$6:$H$115,SMALL(IF(Panel2!$J$6:$J$115&lt;&gt;0,ROW(Panel2!$J$6:$J$115)-5),ROW(A54))))</f>
        <v/>
      </c>
      <c r="B58" s="656" t="str">
        <f t="array" ref="B58">IF(ISERROR(INDEX(Panel2!$I$6:$I$115,SMALL(IF(Panel2!$J$6:$J$115&lt;&gt;0,ROW(Panel2!$J$6:$J$115)-5),ROW(B54)))),"",INDEX(Panel2!$I$6:$I$115,SMALL(IF(Panel2!$J$6:$J$115&lt;&gt;0,ROW(Panel2!$J$6:$J$115)-5),ROW(B54))))</f>
        <v/>
      </c>
      <c r="C58" s="657" t="str">
        <f t="array" ref="C58">IF( ISERROR(INDEX(Panel2!$J$6:$J$115,SMALL(IF(Panel2!$J$6:$J$115&lt;&gt;0,ROW(Panel2!$J$6:$J$115)-5),ROW(C54)))),"",  INDEX(Panel2!$J$6:$J$115,SMALL(IF(Panel2!$J$6:$J$115&lt;&gt;0,ROW(Panel2!$J$6:$J$115)-5),ROW(C54))))</f>
        <v/>
      </c>
      <c r="D58" s="142"/>
      <c r="E58" s="610"/>
      <c r="F58" s="827"/>
      <c r="G58" s="827"/>
      <c r="H58" s="606" t="str">
        <f>K58</f>
        <v>QPAR</v>
      </c>
      <c r="I58" s="606" t="str">
        <f>M58&amp;Y58&amp;IF(OR(BASIC_TOOL!$C$15=1,BASIC_TOOL!$C$15=5),,N58)</f>
        <v>PQ0</v>
      </c>
      <c r="J58" s="607">
        <f>IF(OR(X58=0,Y58=0),0,X58)</f>
        <v>0</v>
      </c>
      <c r="K58" s="606" t="str">
        <f>L58&amp;IF(OR( BASIC_TOOL!$C$15=1,BASIC_TOOL!$C$15=5),"","")</f>
        <v>QPAR</v>
      </c>
      <c r="L58" s="606" t="s">
        <v>561</v>
      </c>
      <c r="M58" s="607" t="s">
        <v>1313</v>
      </c>
      <c r="N58" s="607"/>
      <c r="O58" s="607"/>
      <c r="P58" s="608" t="s">
        <v>1319</v>
      </c>
      <c r="Q58" s="607"/>
      <c r="R58" s="608" t="s">
        <v>1319</v>
      </c>
      <c r="S58" s="607"/>
      <c r="T58" s="608" t="s">
        <v>1319</v>
      </c>
      <c r="U58" s="607"/>
      <c r="V58" s="608" t="s">
        <v>1319</v>
      </c>
      <c r="W58" s="607"/>
      <c r="X58" s="603">
        <f>IF(BASIC_TOOL!$E$15=1,0,W_F*OR(H_F)*N_PA)</f>
        <v>0</v>
      </c>
      <c r="Y58" s="607">
        <f t="shared" si="7"/>
        <v>0</v>
      </c>
      <c r="Z58" s="600">
        <v>54</v>
      </c>
      <c r="AA58" s="616">
        <v>3.1</v>
      </c>
      <c r="AB58" s="615">
        <f t="shared" si="0"/>
        <v>0</v>
      </c>
    </row>
    <row r="59" spans="1:28" s="143" customFormat="1" ht="17.25" customHeight="1">
      <c r="A59" s="656" t="str">
        <f t="array" ref="A59">IF( ISERROR(INDEX(Panel2!$H$6:$H$115,SMALL(IF(Panel2!$J$6:$J$115&lt;&gt;0,ROW(Panel2!$J$6:$J$115)-5),ROW(A55)))),"",INDEX(Panel2!$H$6:$H$115,SMALL(IF(Panel2!$J$6:$J$115&lt;&gt;0,ROW(Panel2!$J$6:$J$115)-5),ROW(A55))))</f>
        <v/>
      </c>
      <c r="B59" s="656" t="str">
        <f t="array" ref="B59">IF(ISERROR(INDEX(Panel2!$I$6:$I$115,SMALL(IF(Panel2!$J$6:$J$115&lt;&gt;0,ROW(Panel2!$J$6:$J$115)-5),ROW(B55)))),"",INDEX(Panel2!$I$6:$I$115,SMALL(IF(Panel2!$J$6:$J$115&lt;&gt;0,ROW(Panel2!$J$6:$J$115)-5),ROW(B55))))</f>
        <v/>
      </c>
      <c r="C59" s="657" t="str">
        <f t="array" ref="C59">IF( ISERROR(INDEX(Panel2!$J$6:$J$115,SMALL(IF(Panel2!$J$6:$J$115&lt;&gt;0,ROW(Panel2!$J$6:$J$115)-5),ROW(C55)))),"",  INDEX(Panel2!$J$6:$J$115,SMALL(IF(Panel2!$J$6:$J$115&lt;&gt;0,ROW(Panel2!$J$6:$J$115)-5),ROW(C55))))</f>
        <v/>
      </c>
      <c r="D59" s="142"/>
      <c r="E59" s="610"/>
      <c r="F59" s="827"/>
      <c r="G59" s="607"/>
      <c r="H59" s="606"/>
      <c r="I59" s="606"/>
      <c r="J59" s="607"/>
      <c r="K59" s="606"/>
      <c r="L59" s="606"/>
      <c r="M59" s="607"/>
      <c r="N59" s="607"/>
      <c r="O59" s="607"/>
      <c r="P59" s="608"/>
      <c r="Q59" s="607"/>
      <c r="R59" s="607"/>
      <c r="S59" s="607"/>
      <c r="T59" s="607"/>
      <c r="U59" s="607"/>
      <c r="V59" s="607"/>
      <c r="W59" s="607"/>
      <c r="X59" s="603"/>
      <c r="Y59" s="607">
        <f t="shared" si="7"/>
        <v>0</v>
      </c>
      <c r="Z59" s="600">
        <v>55</v>
      </c>
      <c r="AA59" s="616">
        <f>0.5*3</f>
        <v>1.5</v>
      </c>
      <c r="AB59" s="615">
        <f t="shared" si="0"/>
        <v>0</v>
      </c>
    </row>
    <row r="60" spans="1:28" s="143" customFormat="1" ht="17.25" customHeight="1">
      <c r="A60" s="658" t="str">
        <f t="array" ref="A60">IF( ISERROR(INDEX(Panel2!$H$6:$H$115,SMALL(IF(Panel2!$J$6:$J$115&lt;&gt;0,ROW(Panel2!$J$6:$J$115)-5),ROW(A56)))),"",INDEX(Panel2!$H$6:$H$115,SMALL(IF(Panel2!$J$6:$J$115&lt;&gt;0,ROW(Panel2!$J$6:$J$115)-5),ROW(A56))))</f>
        <v/>
      </c>
      <c r="B60" s="658" t="str">
        <f t="array" ref="B60">IF(ISERROR(INDEX(Panel2!$I$6:$I$115,SMALL(IF(Panel2!$J$6:$J$115&lt;&gt;0,ROW(Panel2!$J$6:$J$115)-5),ROW(B56)))),"",INDEX(Panel2!$I$6:$I$115,SMALL(IF(Panel2!$J$6:$J$115&lt;&gt;0,ROW(Panel2!$J$6:$J$115)-5),ROW(B56))))</f>
        <v/>
      </c>
      <c r="C60" s="659" t="str">
        <f t="array" ref="C60">IF( ISERROR(INDEX(Panel2!$J$6:$J$115,SMALL(IF(Panel2!$J$6:$J$115&lt;&gt;0,ROW(Panel2!$J$6:$J$115)-5),ROW(C56)))),"",  INDEX(Panel2!$J$6:$J$115,SMALL(IF(Panel2!$J$6:$J$115&lt;&gt;0,ROW(Panel2!$J$6:$J$115)-5),ROW(C56))))</f>
        <v/>
      </c>
      <c r="D60" s="423"/>
      <c r="E60" s="610"/>
      <c r="F60" s="827"/>
      <c r="G60" s="827" t="s">
        <v>415</v>
      </c>
      <c r="H60" s="606" t="str">
        <f t="shared" ref="H60:H80" si="8">K60</f>
        <v>PAR</v>
      </c>
      <c r="I60" s="606" t="str">
        <f>M60&amp;Y60&amp;IF(OR(BASIC_TOOL!$C$15=1,BASIC_TOOL!$C$15=5),,N60)</f>
        <v>PL0</v>
      </c>
      <c r="J60" s="607">
        <f t="shared" ref="J60:J80" si="9">IF(OR(X60=0,Y60=0),0,X60)</f>
        <v>0</v>
      </c>
      <c r="K60" s="606" t="str">
        <f>L60&amp;IF(OR( BASIC_TOOL!$C$15=1,BASIC_TOOL!$C$15=5),"","")</f>
        <v>PAR</v>
      </c>
      <c r="L60" s="606" t="s">
        <v>558</v>
      </c>
      <c r="M60" s="607" t="s">
        <v>1304</v>
      </c>
      <c r="N60" s="607"/>
      <c r="O60" s="607"/>
      <c r="P60" s="608" t="s">
        <v>1317</v>
      </c>
      <c r="Q60" s="607"/>
      <c r="R60" s="607"/>
      <c r="S60" s="607"/>
      <c r="T60" s="607"/>
      <c r="U60" s="607"/>
      <c r="V60" s="607"/>
      <c r="W60" s="607"/>
      <c r="X60" s="603">
        <f>IF(BASIC_TOOL!$E$15=0,0,(W_C)*N_PA)</f>
        <v>0</v>
      </c>
      <c r="Y60" s="607">
        <f t="shared" si="7"/>
        <v>0</v>
      </c>
      <c r="Z60" s="600">
        <v>56</v>
      </c>
      <c r="AA60" s="616">
        <v>5.0999999999999996</v>
      </c>
      <c r="AB60" s="615">
        <f t="shared" si="0"/>
        <v>0</v>
      </c>
    </row>
    <row r="61" spans="1:28" s="143" customFormat="1" ht="17.25" customHeight="1">
      <c r="A61" s="658" t="str">
        <f t="array" ref="A61">IF( ISERROR(INDEX(Panel2!$H$6:$H$115,SMALL(IF(Panel2!$J$6:$J$115&lt;&gt;0,ROW(Panel2!$J$6:$J$115)-5),ROW(A57)))),"",INDEX(Panel2!$H$6:$H$115,SMALL(IF(Panel2!$J$6:$J$115&lt;&gt;0,ROW(Panel2!$J$6:$J$115)-5),ROW(A57))))</f>
        <v/>
      </c>
      <c r="B61" s="658" t="str">
        <f t="array" ref="B61">IF(ISERROR(INDEX(Panel2!$I$6:$I$115,SMALL(IF(Panel2!$J$6:$J$115&lt;&gt;0,ROW(Panel2!$J$6:$J$115)-5),ROW(B57)))),"",INDEX(Panel2!$I$6:$I$115,SMALL(IF(Panel2!$J$6:$J$115&lt;&gt;0,ROW(Panel2!$J$6:$J$115)-5),ROW(B57))))</f>
        <v/>
      </c>
      <c r="C61" s="659" t="str">
        <f t="array" ref="C61">IF( ISERROR(INDEX(Panel2!$J$6:$J$115,SMALL(IF(Panel2!$J$6:$J$115&lt;&gt;0,ROW(Panel2!$J$6:$J$115)-5),ROW(C57)))),"",  INDEX(Panel2!$J$6:$J$115,SMALL(IF(Panel2!$J$6:$J$115&lt;&gt;0,ROW(Panel2!$J$6:$J$115)-5),ROW(C57))))</f>
        <v/>
      </c>
      <c r="D61" s="423"/>
      <c r="E61" s="610"/>
      <c r="F61" s="827"/>
      <c r="G61" s="827"/>
      <c r="H61" s="606" t="str">
        <f t="shared" si="8"/>
        <v>PAR</v>
      </c>
      <c r="I61" s="606" t="str">
        <f>M61&amp;Y61&amp;IF(OR(BASIC_TOOL!$C$15=1,BASIC_TOOL!$C$15=5),,N61)</f>
        <v>PF0</v>
      </c>
      <c r="J61" s="607">
        <f t="shared" si="9"/>
        <v>0</v>
      </c>
      <c r="K61" s="606" t="str">
        <f>L61&amp;IF(OR( BASIC_TOOL!$C$15=1,BASIC_TOOL!$C$15=5),"","")</f>
        <v>PAR</v>
      </c>
      <c r="L61" s="606" t="s">
        <v>558</v>
      </c>
      <c r="M61" s="607" t="s">
        <v>1306</v>
      </c>
      <c r="N61" s="607"/>
      <c r="O61" s="607"/>
      <c r="P61" s="608"/>
      <c r="Q61" s="607"/>
      <c r="R61" s="607" t="s">
        <v>485</v>
      </c>
      <c r="S61" s="607"/>
      <c r="T61" s="607" t="s">
        <v>485</v>
      </c>
      <c r="U61" s="607"/>
      <c r="V61" s="607" t="s">
        <v>485</v>
      </c>
      <c r="W61" s="607"/>
      <c r="X61" s="603">
        <f>IF(BASIC_TOOL!$E$15=0,0,(W_C)*N_PA)</f>
        <v>0</v>
      </c>
      <c r="Y61" s="607">
        <f t="shared" si="7"/>
        <v>0</v>
      </c>
      <c r="Z61" s="600">
        <v>57</v>
      </c>
      <c r="AA61" s="616"/>
      <c r="AB61" s="615">
        <f t="shared" si="0"/>
        <v>0</v>
      </c>
    </row>
    <row r="62" spans="1:28" s="143" customFormat="1" ht="17.25" customHeight="1">
      <c r="A62" s="658" t="str">
        <f t="array" ref="A62">IF( ISERROR(INDEX(Panel2!$H$6:$H$115,SMALL(IF(Panel2!$J$6:$J$115&lt;&gt;0,ROW(Panel2!$J$6:$J$115)-5),ROW(A58)))),"",INDEX(Panel2!$H$6:$H$115,SMALL(IF(Panel2!$J$6:$J$115&lt;&gt;0,ROW(Panel2!$J$6:$J$115)-5),ROW(A58))))</f>
        <v/>
      </c>
      <c r="B62" s="658" t="str">
        <f t="array" ref="B62">IF(ISERROR(INDEX(Panel2!$I$6:$I$115,SMALL(IF(Panel2!$J$6:$J$115&lt;&gt;0,ROW(Panel2!$J$6:$J$115)-5),ROW(B58)))),"",INDEX(Panel2!$I$6:$I$115,SMALL(IF(Panel2!$J$6:$J$115&lt;&gt;0,ROW(Panel2!$J$6:$J$115)-5),ROW(B58))))</f>
        <v/>
      </c>
      <c r="C62" s="659" t="str">
        <f t="array" ref="C62">IF( ISERROR(INDEX(Panel2!$J$6:$J$115,SMALL(IF(Panel2!$J$6:$J$115&lt;&gt;0,ROW(Panel2!$J$6:$J$115)-5),ROW(C58)))),"",  INDEX(Panel2!$J$6:$J$115,SMALL(IF(Panel2!$J$6:$J$115&lt;&gt;0,ROW(Panel2!$J$6:$J$115)-5),ROW(C58))))</f>
        <v/>
      </c>
      <c r="D62" s="423"/>
      <c r="E62" s="610"/>
      <c r="F62" s="827"/>
      <c r="G62" s="827"/>
      <c r="H62" s="822" t="str">
        <f t="shared" si="8"/>
        <v>HPAR_HOR</v>
      </c>
      <c r="I62" s="822" t="str">
        <f>M62&amp;Y62&amp;IF(OR(BASIC_TOOL!$C$15=1,BASIC_TOOL!$C$15=5),,N62)</f>
        <v>SH0</v>
      </c>
      <c r="J62" s="823">
        <f t="shared" si="9"/>
        <v>0</v>
      </c>
      <c r="K62" s="822" t="str">
        <f>L62&amp;IF(OR( BASIC_TOOL!$C$15=1,BASIC_TOOL!$C$15=5),"","")</f>
        <v>HPAR_HOR</v>
      </c>
      <c r="L62" s="822" t="s">
        <v>559</v>
      </c>
      <c r="M62" s="823" t="s">
        <v>1302</v>
      </c>
      <c r="N62" s="823"/>
      <c r="O62" s="607"/>
      <c r="P62" s="607"/>
      <c r="Q62" s="607"/>
      <c r="R62" s="607" t="s">
        <v>479</v>
      </c>
      <c r="S62" s="607"/>
      <c r="T62" s="607" t="s">
        <v>479</v>
      </c>
      <c r="U62" s="607"/>
      <c r="V62" s="607" t="s">
        <v>479</v>
      </c>
      <c r="W62" s="607"/>
      <c r="X62" s="603">
        <f>IF(BASIC_TOOL!$E$15=0,0,(W_C)*N_PA)</f>
        <v>0</v>
      </c>
      <c r="Y62" s="607">
        <f t="shared" si="7"/>
        <v>0</v>
      </c>
      <c r="Z62" s="600">
        <v>58</v>
      </c>
      <c r="AA62" s="616">
        <v>3.1</v>
      </c>
      <c r="AB62" s="615">
        <f t="shared" si="0"/>
        <v>0</v>
      </c>
    </row>
    <row r="63" spans="1:28" s="143" customFormat="1" ht="17.25" customHeight="1">
      <c r="A63" s="658" t="str">
        <f t="array" ref="A63">IF( ISERROR(INDEX(Panel2!$H$6:$H$115,SMALL(IF(Panel2!$J$6:$J$115&lt;&gt;0,ROW(Panel2!$J$6:$J$115)-5),ROW(A59)))),"",INDEX(Panel2!$H$6:$H$115,SMALL(IF(Panel2!$J$6:$J$115&lt;&gt;0,ROW(Panel2!$J$6:$J$115)-5),ROW(A59))))</f>
        <v/>
      </c>
      <c r="B63" s="658" t="str">
        <f t="array" ref="B63">IF(ISERROR(INDEX(Panel2!$I$6:$I$115,SMALL(IF(Panel2!$J$6:$J$115&lt;&gt;0,ROW(Panel2!$J$6:$J$115)-5),ROW(B59)))),"",INDEX(Panel2!$I$6:$I$115,SMALL(IF(Panel2!$J$6:$J$115&lt;&gt;0,ROW(Panel2!$J$6:$J$115)-5),ROW(B59))))</f>
        <v/>
      </c>
      <c r="C63" s="659" t="str">
        <f t="array" ref="C63">IF( ISERROR(INDEX(Panel2!$J$6:$J$115,SMALL(IF(Panel2!$J$6:$J$115&lt;&gt;0,ROW(Panel2!$J$6:$J$115)-5),ROW(C59)))),"",  INDEX(Panel2!$J$6:$J$115,SMALL(IF(Panel2!$J$6:$J$115&lt;&gt;0,ROW(Panel2!$J$6:$J$115)-5),ROW(C59))))</f>
        <v/>
      </c>
      <c r="D63" s="423"/>
      <c r="E63" s="610"/>
      <c r="F63" s="827"/>
      <c r="G63" s="607" t="s">
        <v>565</v>
      </c>
      <c r="H63" s="606" t="str">
        <f t="shared" si="8"/>
        <v>HPAR_VERT</v>
      </c>
      <c r="I63" s="606" t="str">
        <f>M63&amp;Y63&amp;IF(OR(BASIC_TOOL!$C$15=1,BASIC_TOOL!$C$15=5),,N63)</f>
        <v>PH0</v>
      </c>
      <c r="J63" s="607">
        <f t="shared" si="9"/>
        <v>0</v>
      </c>
      <c r="K63" s="606" t="str">
        <f>L63&amp;IF(OR( BASIC_TOOL!$C$15=1,BASIC_TOOL!$C$15=5),"","")</f>
        <v>HPAR_VERT</v>
      </c>
      <c r="L63" s="606" t="s">
        <v>560</v>
      </c>
      <c r="M63" s="607" t="s">
        <v>1305</v>
      </c>
      <c r="N63" s="607"/>
      <c r="O63" s="607"/>
      <c r="P63" s="607" t="s">
        <v>479</v>
      </c>
      <c r="Q63" s="607"/>
      <c r="R63" s="607" t="s">
        <v>513</v>
      </c>
      <c r="S63" s="607"/>
      <c r="T63" s="607" t="s">
        <v>513</v>
      </c>
      <c r="U63" s="607"/>
      <c r="V63" s="607" t="s">
        <v>513</v>
      </c>
      <c r="W63" s="607"/>
      <c r="X63" s="603">
        <f>IF(BASIC_TOOL!$E$15=0,0,(W_F)*N_PA)</f>
        <v>0</v>
      </c>
      <c r="Y63" s="607">
        <f t="shared" si="7"/>
        <v>0</v>
      </c>
      <c r="Z63" s="600">
        <v>59</v>
      </c>
      <c r="AA63" s="616">
        <v>4.0999999999999996</v>
      </c>
      <c r="AB63" s="615">
        <f t="shared" si="0"/>
        <v>0</v>
      </c>
    </row>
    <row r="64" spans="1:28" s="143" customFormat="1" ht="17.25" customHeight="1">
      <c r="A64" s="658" t="str">
        <f t="array" ref="A64">IF( ISERROR(INDEX(Panel2!$H$6:$H$115,SMALL(IF(Panel2!$J$6:$J$115&lt;&gt;0,ROW(Panel2!$J$6:$J$115)-5),ROW(A60)))),"",INDEX(Panel2!$H$6:$H$115,SMALL(IF(Panel2!$J$6:$J$115&lt;&gt;0,ROW(Panel2!$J$6:$J$115)-5),ROW(A60))))</f>
        <v/>
      </c>
      <c r="B64" s="658" t="str">
        <f t="array" ref="B64">IF(ISERROR(INDEX(Panel2!$I$6:$I$115,SMALL(IF(Panel2!$J$6:$J$115&lt;&gt;0,ROW(Panel2!$J$6:$J$115)-5),ROW(B60)))),"",INDEX(Panel2!$I$6:$I$115,SMALL(IF(Panel2!$J$6:$J$115&lt;&gt;0,ROW(Panel2!$J$6:$J$115)-5),ROW(B60))))</f>
        <v/>
      </c>
      <c r="C64" s="659" t="str">
        <f t="array" ref="C64">IF( ISERROR(INDEX(Panel2!$J$6:$J$115,SMALL(IF(Panel2!$J$6:$J$115&lt;&gt;0,ROW(Panel2!$J$6:$J$115)-5),ROW(C60)))),"",  INDEX(Panel2!$J$6:$J$115,SMALL(IF(Panel2!$J$6:$J$115&lt;&gt;0,ROW(Panel2!$J$6:$J$115)-5),ROW(C60))))</f>
        <v/>
      </c>
      <c r="D64" s="423"/>
      <c r="E64" s="610"/>
      <c r="F64" s="827"/>
      <c r="G64" s="607"/>
      <c r="H64" s="606" t="str">
        <f t="shared" si="8"/>
        <v>QPAR</v>
      </c>
      <c r="I64" s="606" t="str">
        <f>M64&amp;Y64&amp;IF(OR(BASIC_TOOL!$C$15=1,BASIC_TOOL!$C$15=5),,N64)</f>
        <v>PQ0</v>
      </c>
      <c r="J64" s="607">
        <f t="shared" si="9"/>
        <v>0</v>
      </c>
      <c r="K64" s="606" t="str">
        <f>L64&amp;IF(OR( BASIC_TOOL!$C$15=1,BASIC_TOOL!$C$15=5),"","")</f>
        <v>QPAR</v>
      </c>
      <c r="L64" s="606" t="s">
        <v>561</v>
      </c>
      <c r="M64" s="607" t="s">
        <v>1313</v>
      </c>
      <c r="N64" s="607"/>
      <c r="O64" s="607"/>
      <c r="P64" s="608" t="s">
        <v>1319</v>
      </c>
      <c r="Q64" s="607"/>
      <c r="R64" s="607"/>
      <c r="S64" s="607"/>
      <c r="T64" s="607"/>
      <c r="U64" s="607"/>
      <c r="V64" s="607"/>
      <c r="W64" s="607"/>
      <c r="X64" s="603">
        <f>IF(BASIC_TOOL!$E$15=0,0,W_F*OR(H_F)*N_PA)</f>
        <v>0</v>
      </c>
      <c r="Y64" s="607">
        <f t="shared" si="7"/>
        <v>0</v>
      </c>
      <c r="Z64" s="600">
        <v>60</v>
      </c>
      <c r="AA64" s="616">
        <v>4.0999999999999996</v>
      </c>
      <c r="AB64" s="615">
        <f t="shared" si="0"/>
        <v>0</v>
      </c>
    </row>
    <row r="65" spans="1:28" s="143" customFormat="1" ht="17.25" customHeight="1">
      <c r="A65" s="658" t="str">
        <f t="array" ref="A65">IF( ISERROR(INDEX(Panel2!$H$6:$H$115,SMALL(IF(Panel2!$J$6:$J$115&lt;&gt;0,ROW(Panel2!$J$6:$J$115)-5),ROW(A61)))),"",INDEX(Panel2!$H$6:$H$115,SMALL(IF(Panel2!$J$6:$J$115&lt;&gt;0,ROW(Panel2!$J$6:$J$115)-5),ROW(A61))))</f>
        <v/>
      </c>
      <c r="B65" s="658" t="str">
        <f t="array" ref="B65">IF(ISERROR(INDEX(Panel2!$I$6:$I$115,SMALL(IF(Panel2!$J$6:$J$115&lt;&gt;0,ROW(Panel2!$J$6:$J$115)-5),ROW(B61)))),"",INDEX(Panel2!$I$6:$I$115,SMALL(IF(Panel2!$J$6:$J$115&lt;&gt;0,ROW(Panel2!$J$6:$J$115)-5),ROW(B61))))</f>
        <v/>
      </c>
      <c r="C65" s="659" t="str">
        <f t="array" ref="C65">IF( ISERROR(INDEX(Panel2!$J$6:$J$115,SMALL(IF(Panel2!$J$6:$J$115&lt;&gt;0,ROW(Panel2!$J$6:$J$115)-5),ROW(C61)))),"",  INDEX(Panel2!$J$6:$J$115,SMALL(IF(Panel2!$J$6:$J$115&lt;&gt;0,ROW(Panel2!$J$6:$J$115)-5),ROW(C61))))</f>
        <v/>
      </c>
      <c r="D65" s="423"/>
      <c r="E65" s="610"/>
      <c r="F65" s="827"/>
      <c r="G65" s="827"/>
      <c r="H65" s="606" t="str">
        <f t="shared" si="8"/>
        <v>QPAR</v>
      </c>
      <c r="I65" s="606" t="str">
        <f>M65&amp;Y65&amp;IF(OR(BASIC_TOOL!$C$15=1,BASIC_TOOL!$C$15=5),,N65)</f>
        <v>SQ0</v>
      </c>
      <c r="J65" s="607">
        <f t="shared" si="9"/>
        <v>0</v>
      </c>
      <c r="K65" s="606" t="str">
        <f>L65&amp;IF(OR( BASIC_TOOL!$C$15=1,BASIC_TOOL!$C$15=5),"","")</f>
        <v>QPAR</v>
      </c>
      <c r="L65" s="606" t="s">
        <v>561</v>
      </c>
      <c r="M65" s="607" t="s">
        <v>1303</v>
      </c>
      <c r="N65" s="607"/>
      <c r="O65" s="607"/>
      <c r="P65" s="608"/>
      <c r="Q65" s="607"/>
      <c r="R65" s="607" t="s">
        <v>479</v>
      </c>
      <c r="S65" s="607"/>
      <c r="T65" s="607" t="s">
        <v>479</v>
      </c>
      <c r="U65" s="607"/>
      <c r="V65" s="607" t="s">
        <v>479</v>
      </c>
      <c r="W65" s="607"/>
      <c r="X65" s="603">
        <f>IF(BASIC_TOOL!$E$15=0,0,W_F*OR(H_F)*N_PA)</f>
        <v>0</v>
      </c>
      <c r="Y65" s="607">
        <f t="shared" si="7"/>
        <v>0</v>
      </c>
      <c r="Z65" s="600">
        <v>61</v>
      </c>
      <c r="AA65" s="616">
        <v>3.1</v>
      </c>
      <c r="AB65" s="615">
        <f t="shared" si="0"/>
        <v>0</v>
      </c>
    </row>
    <row r="66" spans="1:28" s="143" customFormat="1" ht="15.75">
      <c r="A66" s="658" t="str">
        <f t="array" ref="A66">IF( ISERROR(INDEX(Panel2!$H$6:$H$115,SMALL(IF(Panel2!$J$6:$J$115&lt;&gt;0,ROW(Panel2!$J$6:$J$115)-5),ROW(A62)))),"",INDEX(Panel2!$H$6:$H$115,SMALL(IF(Panel2!$J$6:$J$115&lt;&gt;0,ROW(Panel2!$J$6:$J$115)-5),ROW(A62))))</f>
        <v/>
      </c>
      <c r="B66" s="658" t="str">
        <f t="array" ref="B66">IF(ISERROR(INDEX(Panel2!$I$6:$I$115,SMALL(IF(Panel2!$J$6:$J$115&lt;&gt;0,ROW(Panel2!$J$6:$J$115)-5),ROW(B62)))),"",INDEX(Panel2!$I$6:$I$115,SMALL(IF(Panel2!$J$6:$J$115&lt;&gt;0,ROW(Panel2!$J$6:$J$115)-5),ROW(B62))))</f>
        <v/>
      </c>
      <c r="C66" s="659" t="str">
        <f t="array" ref="C66">IF( ISERROR(INDEX(Panel2!$J$6:$J$115,SMALL(IF(Panel2!$J$6:$J$115&lt;&gt;0,ROW(Panel2!$J$6:$J$115)-5),ROW(C62)))),"",  INDEX(Panel2!$J$6:$J$115,SMALL(IF(Panel2!$J$6:$J$115&lt;&gt;0,ROW(Panel2!$J$6:$J$115)-5),ROW(C62))))</f>
        <v/>
      </c>
      <c r="D66" s="423"/>
      <c r="E66" s="610"/>
      <c r="F66" s="827" t="s">
        <v>416</v>
      </c>
      <c r="G66" s="827" t="s">
        <v>417</v>
      </c>
      <c r="H66" s="606" t="str">
        <f t="shared" si="8"/>
        <v>PAR20TCB</v>
      </c>
      <c r="I66" s="606" t="str">
        <f>M66&amp;Y66&amp;IF(OR(BASIC_TOOL!$C$15=1,BASIC_TOOL!$C$15=5),,N66)</f>
        <v>PL20TCB</v>
      </c>
      <c r="J66" s="607">
        <f t="shared" si="9"/>
        <v>0</v>
      </c>
      <c r="K66" s="606" t="str">
        <f>L66&amp;IF(OR( BASIC_TOOL!$C$15=1,BASIC_TOOL!$C$15=5),"","")</f>
        <v>PAR20TCB</v>
      </c>
      <c r="L66" s="606" t="str">
        <f>"PAR"&amp;Y66</f>
        <v>PAR20TCB</v>
      </c>
      <c r="M66" s="607" t="s">
        <v>1304</v>
      </c>
      <c r="N66" s="607"/>
      <c r="O66" s="607"/>
      <c r="P66" s="607"/>
      <c r="Q66" s="608" t="s">
        <v>1316</v>
      </c>
      <c r="R66" s="607"/>
      <c r="S66" s="607" t="s">
        <v>1320</v>
      </c>
      <c r="T66" s="607"/>
      <c r="U66" s="607" t="s">
        <v>1320</v>
      </c>
      <c r="V66" s="607"/>
      <c r="W66" s="607" t="s">
        <v>1320</v>
      </c>
      <c r="X66" s="603">
        <f>IF(BASIC_TOOL!$E$15=1,0,(W_C)*N_PA)</f>
        <v>0</v>
      </c>
      <c r="Y66" s="607" t="str">
        <f t="shared" si="7"/>
        <v>20TCB</v>
      </c>
      <c r="Z66" s="600">
        <v>62</v>
      </c>
      <c r="AA66" s="616">
        <v>3.1</v>
      </c>
      <c r="AB66" s="615">
        <f t="shared" si="0"/>
        <v>0</v>
      </c>
    </row>
    <row r="67" spans="1:28" s="143" customFormat="1" ht="14.1" customHeight="1">
      <c r="A67" s="658" t="str">
        <f t="array" ref="A67">IF( ISERROR(INDEX(Panel2!$H$6:$H$115,SMALL(IF(Panel2!$J$6:$J$115&lt;&gt;0,ROW(Panel2!$J$6:$J$115)-5),ROW(A63)))),"",INDEX(Panel2!$H$6:$H$115,SMALL(IF(Panel2!$J$6:$J$115&lt;&gt;0,ROW(Panel2!$J$6:$J$115)-5),ROW(A63))))</f>
        <v/>
      </c>
      <c r="B67" s="658" t="str">
        <f t="array" ref="B67">IF(ISERROR(INDEX(Panel2!$I$6:$I$115,SMALL(IF(Panel2!$J$6:$J$115&lt;&gt;0,ROW(Panel2!$J$6:$J$115)-5),ROW(B63)))),"",INDEX(Panel2!$I$6:$I$115,SMALL(IF(Panel2!$J$6:$J$115&lt;&gt;0,ROW(Panel2!$J$6:$J$115)-5),ROW(B63))))</f>
        <v/>
      </c>
      <c r="C67" s="659" t="str">
        <f t="array" ref="C67">IF( ISERROR(INDEX(Panel2!$J$6:$J$115,SMALL(IF(Panel2!$J$6:$J$115&lt;&gt;0,ROW(Panel2!$J$6:$J$115)-5),ROW(C63)))),"",  INDEX(Panel2!$J$6:$J$115,SMALL(IF(Panel2!$J$6:$J$115&lt;&gt;0,ROW(Panel2!$J$6:$J$115)-5),ROW(C63))))</f>
        <v/>
      </c>
      <c r="D67" s="423"/>
      <c r="E67" s="610"/>
      <c r="F67" s="827"/>
      <c r="G67" s="827"/>
      <c r="H67" s="822" t="str">
        <f t="shared" si="8"/>
        <v>HPAR_VERT</v>
      </c>
      <c r="I67" s="822" t="str">
        <f>M67&amp;Y67&amp;IF(OR(BASIC_TOOL!$C$15=1,BASIC_TOOL!$C$15=5),,N67)</f>
        <v>PH10TCB</v>
      </c>
      <c r="J67" s="823">
        <f t="shared" si="9"/>
        <v>0</v>
      </c>
      <c r="K67" s="822" t="str">
        <f>L67&amp;IF(OR( BASIC_TOOL!$C$15=1,BASIC_TOOL!$C$15=5),"","")</f>
        <v>HPAR_VERT</v>
      </c>
      <c r="L67" s="822" t="s">
        <v>560</v>
      </c>
      <c r="M67" s="823" t="s">
        <v>1305</v>
      </c>
      <c r="N67" s="607"/>
      <c r="O67" s="607"/>
      <c r="P67" s="607"/>
      <c r="Q67" s="607" t="s">
        <v>1315</v>
      </c>
      <c r="R67" s="607"/>
      <c r="S67" s="607" t="s">
        <v>1321</v>
      </c>
      <c r="T67" s="607"/>
      <c r="U67" s="607" t="s">
        <v>1321</v>
      </c>
      <c r="V67" s="607"/>
      <c r="W67" s="607" t="s">
        <v>1321</v>
      </c>
      <c r="X67" s="603">
        <f>IF(BASIC_TOOL!$E$15=1,0,(W_F)*N_PA)</f>
        <v>0</v>
      </c>
      <c r="Y67" s="607" t="str">
        <f t="shared" si="7"/>
        <v>10TCB</v>
      </c>
      <c r="Z67" s="600">
        <v>63</v>
      </c>
      <c r="AA67" s="616">
        <v>4.0999999999999996</v>
      </c>
      <c r="AB67" s="615">
        <f t="shared" si="0"/>
        <v>0</v>
      </c>
    </row>
    <row r="68" spans="1:28" s="143" customFormat="1" ht="15.75">
      <c r="A68" s="658" t="str">
        <f t="array" ref="A68">IF( ISERROR(INDEX(Panel2!$H$6:$H$115,SMALL(IF(Panel2!$J$6:$J$115&lt;&gt;0,ROW(Panel2!$J$6:$J$115)-5),ROW(A64)))),"",INDEX(Panel2!$H$6:$H$115,SMALL(IF(Panel2!$J$6:$J$115&lt;&gt;0,ROW(Panel2!$J$6:$J$115)-5),ROW(A64))))</f>
        <v/>
      </c>
      <c r="B68" s="658" t="str">
        <f t="array" ref="B68">IF(ISERROR(INDEX(Panel2!$I$6:$I$115,SMALL(IF(Panel2!$J$6:$J$115&lt;&gt;0,ROW(Panel2!$J$6:$J$115)-5),ROW(B64)))),"",INDEX(Panel2!$I$6:$I$115,SMALL(IF(Panel2!$J$6:$J$115&lt;&gt;0,ROW(Panel2!$J$6:$J$115)-5),ROW(B64))))</f>
        <v/>
      </c>
      <c r="C68" s="659" t="str">
        <f t="array" ref="C68">IF( ISERROR(INDEX(Panel2!$J$6:$J$115,SMALL(IF(Panel2!$J$6:$J$115&lt;&gt;0,ROW(Panel2!$J$6:$J$115)-5),ROW(C64)))),"",  INDEX(Panel2!$J$6:$J$115,SMALL(IF(Panel2!$J$6:$J$115&lt;&gt;0,ROW(Panel2!$J$6:$J$115)-5),ROW(C64))))</f>
        <v/>
      </c>
      <c r="D68" s="423"/>
      <c r="E68" s="610"/>
      <c r="F68" s="827"/>
      <c r="G68" s="827"/>
      <c r="H68" s="822" t="str">
        <f t="shared" si="8"/>
        <v>HPAR_VERT</v>
      </c>
      <c r="I68" s="822" t="str">
        <f>M68&amp;Y68&amp;IF(OR(BASIC_TOOL!$C$15=1,BASIC_TOOL!$C$15=5),,N68)</f>
        <v>SH20M</v>
      </c>
      <c r="J68" s="823">
        <f t="shared" si="9"/>
        <v>0</v>
      </c>
      <c r="K68" s="822" t="str">
        <f>L68&amp;IF(OR( BASIC_TOOL!$C$15=1,BASIC_TOOL!$C$15=5),"","")</f>
        <v>HPAR_VERT</v>
      </c>
      <c r="L68" s="822" t="s">
        <v>560</v>
      </c>
      <c r="M68" s="823" t="s">
        <v>1302</v>
      </c>
      <c r="N68" s="607"/>
      <c r="O68" s="607"/>
      <c r="P68" s="607"/>
      <c r="Q68" s="607" t="s">
        <v>487</v>
      </c>
      <c r="R68" s="607"/>
      <c r="S68" s="607" t="s">
        <v>487</v>
      </c>
      <c r="T68" s="607"/>
      <c r="U68" s="607" t="s">
        <v>487</v>
      </c>
      <c r="V68" s="607"/>
      <c r="W68" s="607" t="s">
        <v>487</v>
      </c>
      <c r="X68" s="603">
        <f>IF(BASIC_TOOL!$E$15=1,0,W_F*N_PA)</f>
        <v>0</v>
      </c>
      <c r="Y68" s="607" t="str">
        <f t="shared" si="7"/>
        <v>20M</v>
      </c>
      <c r="Z68" s="600">
        <v>64</v>
      </c>
      <c r="AA68" s="616">
        <v>3.1</v>
      </c>
      <c r="AB68" s="615">
        <f t="shared" si="0"/>
        <v>0</v>
      </c>
    </row>
    <row r="69" spans="1:28" s="143" customFormat="1" ht="15.75">
      <c r="A69" s="658" t="str">
        <f t="array" ref="A69">IF( ISERROR(INDEX(Panel2!$H$6:$H$115,SMALL(IF(Panel2!$J$6:$J$115&lt;&gt;0,ROW(Panel2!$J$6:$J$115)-5),ROW(A65)))),"",INDEX(Panel2!$H$6:$H$115,SMALL(IF(Panel2!$J$6:$J$115&lt;&gt;0,ROW(Panel2!$J$6:$J$115)-5),ROW(A65))))</f>
        <v/>
      </c>
      <c r="B69" s="658" t="str">
        <f t="array" ref="B69">IF(ISERROR(INDEX(Panel2!$I$6:$I$115,SMALL(IF(Panel2!$J$6:$J$115&lt;&gt;0,ROW(Panel2!$J$6:$J$115)-5),ROW(B65)))),"",INDEX(Panel2!$I$6:$I$115,SMALL(IF(Panel2!$J$6:$J$115&lt;&gt;0,ROW(Panel2!$J$6:$J$115)-5),ROW(B65))))</f>
        <v/>
      </c>
      <c r="C69" s="659" t="str">
        <f t="array" ref="C69">IF( ISERROR(INDEX(Panel2!$J$6:$J$115,SMALL(IF(Panel2!$J$6:$J$115&lt;&gt;0,ROW(Panel2!$J$6:$J$115)-5),ROW(C65)))),"",  INDEX(Panel2!$J$6:$J$115,SMALL(IF(Panel2!$J$6:$J$115&lt;&gt;0,ROW(Panel2!$J$6:$J$115)-5),ROW(C65))))</f>
        <v/>
      </c>
      <c r="D69" s="423"/>
      <c r="E69" s="610"/>
      <c r="F69" s="827"/>
      <c r="G69" s="607" t="s">
        <v>415</v>
      </c>
      <c r="H69" s="606" t="str">
        <f t="shared" si="8"/>
        <v>PAR</v>
      </c>
      <c r="I69" s="606" t="str">
        <f>M69&amp;Y69&amp;IF(OR(BASIC_TOOL!$C$15=1,BASIC_TOOL!$C$15=5),,N69)</f>
        <v>PF10M</v>
      </c>
      <c r="J69" s="607">
        <f t="shared" si="9"/>
        <v>0</v>
      </c>
      <c r="K69" s="606" t="str">
        <f>L69&amp;IF(OR( BASIC_TOOL!$C$15=1,BASIC_TOOL!$C$15=5),"","")</f>
        <v>PAR</v>
      </c>
      <c r="L69" s="606" t="s">
        <v>558</v>
      </c>
      <c r="M69" s="607" t="s">
        <v>1306</v>
      </c>
      <c r="N69" s="607"/>
      <c r="O69" s="607"/>
      <c r="P69" s="607"/>
      <c r="Q69" s="607" t="s">
        <v>485</v>
      </c>
      <c r="R69" s="607"/>
      <c r="S69" s="607" t="s">
        <v>485</v>
      </c>
      <c r="T69" s="607"/>
      <c r="U69" s="607" t="s">
        <v>485</v>
      </c>
      <c r="V69" s="607"/>
      <c r="W69" s="607" t="s">
        <v>485</v>
      </c>
      <c r="X69" s="603">
        <f>IF(BASIC_TOOL!$E$15=0,0,(W_C)*N_PA)</f>
        <v>0</v>
      </c>
      <c r="Y69" s="607" t="str">
        <f t="shared" si="7"/>
        <v>10M</v>
      </c>
      <c r="Z69" s="600">
        <v>65</v>
      </c>
      <c r="AA69" s="616">
        <v>4.0999999999999996</v>
      </c>
      <c r="AB69" s="615">
        <f t="shared" si="0"/>
        <v>0</v>
      </c>
    </row>
    <row r="70" spans="1:28" s="143" customFormat="1" ht="17.25" customHeight="1">
      <c r="A70" s="658" t="str">
        <f t="array" ref="A70">IF( ISERROR(INDEX(Panel2!$H$6:$H$115,SMALL(IF(Panel2!$J$6:$J$115&lt;&gt;0,ROW(Panel2!$J$6:$J$115)-5),ROW(A66)))),"",INDEX(Panel2!$H$6:$H$115,SMALL(IF(Panel2!$J$6:$J$115&lt;&gt;0,ROW(Panel2!$J$6:$J$115)-5),ROW(A66))))</f>
        <v/>
      </c>
      <c r="B70" s="658" t="str">
        <f t="array" ref="B70">IF(ISERROR(INDEX(Panel2!$I$6:$I$115,SMALL(IF(Panel2!$J$6:$J$115&lt;&gt;0,ROW(Panel2!$J$6:$J$115)-5),ROW(B66)))),"",INDEX(Panel2!$I$6:$I$115,SMALL(IF(Panel2!$J$6:$J$115&lt;&gt;0,ROW(Panel2!$J$6:$J$115)-5),ROW(B66))))</f>
        <v/>
      </c>
      <c r="C70" s="659" t="str">
        <f t="array" ref="C70">IF( ISERROR(INDEX(Panel2!$J$6:$J$115,SMALL(IF(Panel2!$J$6:$J$115&lt;&gt;0,ROW(Panel2!$J$6:$J$115)-5),ROW(C66)))),"",  INDEX(Panel2!$J$6:$J$115,SMALL(IF(Panel2!$J$6:$J$115&lt;&gt;0,ROW(Panel2!$J$6:$J$115)-5),ROW(C66))))</f>
        <v/>
      </c>
      <c r="D70" s="423"/>
      <c r="E70" s="610"/>
      <c r="F70" s="827"/>
      <c r="G70" s="607"/>
      <c r="H70" s="606" t="str">
        <f t="shared" si="8"/>
        <v>PAR</v>
      </c>
      <c r="I70" s="606" t="str">
        <f>M70&amp;Y70&amp;IF(OR(BASIC_TOOL!$C$15=1,BASIC_TOOL!$C$15=5),,N70)</f>
        <v>PF0</v>
      </c>
      <c r="J70" s="607">
        <f t="shared" si="9"/>
        <v>0</v>
      </c>
      <c r="K70" s="606" t="str">
        <f>L70&amp;IF(OR( BASIC_TOOL!$C$15=1,BASIC_TOOL!$C$15=5),"","")</f>
        <v>PAR</v>
      </c>
      <c r="L70" s="606" t="s">
        <v>558</v>
      </c>
      <c r="M70" s="607" t="s">
        <v>1306</v>
      </c>
      <c r="N70" s="607"/>
      <c r="O70" s="607"/>
      <c r="P70" s="607"/>
      <c r="Q70" s="607" t="s">
        <v>487</v>
      </c>
      <c r="R70" s="607"/>
      <c r="S70" s="607"/>
      <c r="T70" s="607"/>
      <c r="U70" s="607"/>
      <c r="V70" s="607"/>
      <c r="W70" s="607"/>
      <c r="X70" s="603">
        <f>IF(BASIC_TOOL!$E$15=0,0,(W_C)*N_PA)</f>
        <v>0</v>
      </c>
      <c r="Y70" s="607">
        <f t="shared" si="7"/>
        <v>0</v>
      </c>
      <c r="Z70" s="600">
        <v>66</v>
      </c>
      <c r="AA70" s="616">
        <v>3.1</v>
      </c>
      <c r="AB70" s="615">
        <f t="shared" ref="AB70:AB80" si="10">AA70*J70</f>
        <v>0</v>
      </c>
    </row>
    <row r="71" spans="1:28" s="143" customFormat="1" ht="17.25" customHeight="1">
      <c r="A71" s="658" t="str">
        <f t="array" ref="A71">IF( ISERROR(INDEX(Panel2!$H$6:$H$115,SMALL(IF(Panel2!$J$6:$J$115&lt;&gt;0,ROW(Panel2!$J$6:$J$115)-5),ROW(A67)))),"",INDEX(Panel2!$H$6:$H$115,SMALL(IF(Panel2!$J$6:$J$115&lt;&gt;0,ROW(Panel2!$J$6:$J$115)-5),ROW(A67))))</f>
        <v/>
      </c>
      <c r="B71" s="658" t="str">
        <f t="array" ref="B71">IF(ISERROR(INDEX(Panel2!$I$6:$I$115,SMALL(IF(Panel2!$J$6:$J$115&lt;&gt;0,ROW(Panel2!$J$6:$J$115)-5),ROW(B67)))),"",INDEX(Panel2!$I$6:$I$115,SMALL(IF(Panel2!$J$6:$J$115&lt;&gt;0,ROW(Panel2!$J$6:$J$115)-5),ROW(B67))))</f>
        <v/>
      </c>
      <c r="C71" s="659" t="str">
        <f t="array" ref="C71">IF( ISERROR(INDEX(Panel2!$J$6:$J$115,SMALL(IF(Panel2!$J$6:$J$115&lt;&gt;0,ROW(Panel2!$J$6:$J$115)-5),ROW(C67)))),"",  INDEX(Panel2!$J$6:$J$115,SMALL(IF(Panel2!$J$6:$J$115&lt;&gt;0,ROW(Panel2!$J$6:$J$115)-5),ROW(C67))))</f>
        <v/>
      </c>
      <c r="D71" s="423"/>
      <c r="E71" s="610"/>
      <c r="F71" s="827"/>
      <c r="G71" s="607"/>
      <c r="H71" s="606" t="str">
        <f t="shared" si="8"/>
        <v>PAR</v>
      </c>
      <c r="I71" s="606" t="str">
        <f>M71&amp;Y71&amp;IF(OR(BASIC_TOOL!$C$15=1,BASIC_TOOL!$C$15=5),,N71)</f>
        <v>SN20M</v>
      </c>
      <c r="J71" s="607">
        <f t="shared" si="9"/>
        <v>0</v>
      </c>
      <c r="K71" s="606" t="str">
        <f>L71&amp;IF(OR( BASIC_TOOL!$C$15=1,BASIC_TOOL!$C$15=5),"","")</f>
        <v>PAR</v>
      </c>
      <c r="L71" s="606" t="s">
        <v>558</v>
      </c>
      <c r="M71" s="607" t="s">
        <v>1307</v>
      </c>
      <c r="N71" s="607"/>
      <c r="O71" s="607"/>
      <c r="P71" s="607"/>
      <c r="Q71" s="607"/>
      <c r="R71" s="607"/>
      <c r="S71" s="607" t="s">
        <v>487</v>
      </c>
      <c r="T71" s="607"/>
      <c r="U71" s="607" t="s">
        <v>487</v>
      </c>
      <c r="V71" s="607"/>
      <c r="W71" s="607" t="s">
        <v>487</v>
      </c>
      <c r="X71" s="603">
        <f>IF(BASIC_TOOL!$E$15=0,0,(W_C)*N_PA)</f>
        <v>0</v>
      </c>
      <c r="Y71" s="607" t="str">
        <f t="shared" si="7"/>
        <v>20M</v>
      </c>
      <c r="Z71" s="600">
        <v>67</v>
      </c>
      <c r="AA71" s="616">
        <v>4.0999999999999996</v>
      </c>
      <c r="AB71" s="615">
        <f t="shared" si="10"/>
        <v>0</v>
      </c>
    </row>
    <row r="72" spans="1:28" s="143" customFormat="1" ht="17.25" customHeight="1">
      <c r="A72" s="658" t="str">
        <f t="array" ref="A72">IF( ISERROR(INDEX(Panel2!$H$6:$H$115,SMALL(IF(Panel2!$J$6:$J$115&lt;&gt;0,ROW(Panel2!$J$6:$J$115)-5),ROW(A68)))),"",INDEX(Panel2!$H$6:$H$115,SMALL(IF(Panel2!$J$6:$J$115&lt;&gt;0,ROW(Panel2!$J$6:$J$115)-5),ROW(A68))))</f>
        <v/>
      </c>
      <c r="B72" s="658" t="str">
        <f t="array" ref="B72">IF(ISERROR(INDEX(Panel2!$I$6:$I$115,SMALL(IF(Panel2!$J$6:$J$115&lt;&gt;0,ROW(Panel2!$J$6:$J$115)-5),ROW(B68)))),"",INDEX(Panel2!$I$6:$I$115,SMALL(IF(Panel2!$J$6:$J$115&lt;&gt;0,ROW(Panel2!$J$6:$J$115)-5),ROW(B68))))</f>
        <v/>
      </c>
      <c r="C72" s="659" t="str">
        <f t="array" ref="C72">IF( ISERROR(INDEX(Panel2!$J$6:$J$115,SMALL(IF(Panel2!$J$6:$J$115&lt;&gt;0,ROW(Panel2!$J$6:$J$115)-5),ROW(C68)))),"",  INDEX(Panel2!$J$6:$J$115,SMALL(IF(Panel2!$J$6:$J$115&lt;&gt;0,ROW(Panel2!$J$6:$J$115)-5),ROW(C68))))</f>
        <v/>
      </c>
      <c r="D72" s="423"/>
      <c r="E72" s="610"/>
      <c r="F72" s="827"/>
      <c r="G72" s="607" t="s">
        <v>565</v>
      </c>
      <c r="H72" s="822" t="str">
        <f t="shared" si="8"/>
        <v>HPAR_VERT</v>
      </c>
      <c r="I72" s="822" t="str">
        <f>M72&amp;Y72&amp;IF(OR(BASIC_TOOL!$C$15=1,BASIC_TOOL!$C$15=5),,N72)</f>
        <v>PH10M</v>
      </c>
      <c r="J72" s="823">
        <f t="shared" si="9"/>
        <v>0</v>
      </c>
      <c r="K72" s="822" t="str">
        <f>L72&amp;IF(OR( BASIC_TOOL!$C$15=1,BASIC_TOOL!$C$15=5),"","")</f>
        <v>HPAR_VERT</v>
      </c>
      <c r="L72" s="822" t="s">
        <v>560</v>
      </c>
      <c r="M72" s="823" t="s">
        <v>1305</v>
      </c>
      <c r="N72" s="607"/>
      <c r="O72" s="607"/>
      <c r="P72" s="607"/>
      <c r="Q72" s="607" t="s">
        <v>485</v>
      </c>
      <c r="R72" s="607"/>
      <c r="S72" s="607" t="s">
        <v>485</v>
      </c>
      <c r="T72" s="607"/>
      <c r="U72" s="607" t="s">
        <v>485</v>
      </c>
      <c r="V72" s="607"/>
      <c r="W72" s="607" t="s">
        <v>485</v>
      </c>
      <c r="X72" s="603">
        <f>IF(BASIC_TOOL!$E$15=0,0,(W_F)*N_PA)</f>
        <v>0</v>
      </c>
      <c r="Y72" s="607" t="str">
        <f t="shared" si="7"/>
        <v>10M</v>
      </c>
      <c r="Z72" s="600">
        <v>68</v>
      </c>
      <c r="AA72" s="616">
        <v>3.1</v>
      </c>
      <c r="AB72" s="615">
        <f t="shared" si="10"/>
        <v>0</v>
      </c>
    </row>
    <row r="73" spans="1:28" s="143" customFormat="1" ht="17.25" customHeight="1">
      <c r="A73" s="658" t="str">
        <f t="array" ref="A73">IF( ISERROR(INDEX(Panel2!$H$6:$H$115,SMALL(IF(Panel2!$J$6:$J$115&lt;&gt;0,ROW(Panel2!$J$6:$J$115)-5),ROW(A69)))),"",INDEX(Panel2!$H$6:$H$115,SMALL(IF(Panel2!$J$6:$J$115&lt;&gt;0,ROW(Panel2!$J$6:$J$115)-5),ROW(A69))))</f>
        <v/>
      </c>
      <c r="B73" s="658" t="str">
        <f t="array" ref="B73">IF(ISERROR(INDEX(Panel2!$I$6:$I$115,SMALL(IF(Panel2!$J$6:$J$115&lt;&gt;0,ROW(Panel2!$J$6:$J$115)-5),ROW(B69)))),"",INDEX(Panel2!$I$6:$I$115,SMALL(IF(Panel2!$J$6:$J$115&lt;&gt;0,ROW(Panel2!$J$6:$J$115)-5),ROW(B69))))</f>
        <v/>
      </c>
      <c r="C73" s="659" t="str">
        <f t="array" ref="C73">IF( ISERROR(INDEX(Panel2!$J$6:$J$115,SMALL(IF(Panel2!$J$6:$J$115&lt;&gt;0,ROW(Panel2!$J$6:$J$115)-5),ROW(C69)))),"",  INDEX(Panel2!$J$6:$J$115,SMALL(IF(Panel2!$J$6:$J$115&lt;&gt;0,ROW(Panel2!$J$6:$J$115)-5),ROW(C69))))</f>
        <v/>
      </c>
      <c r="D73" s="423"/>
      <c r="E73" s="610"/>
      <c r="F73" s="827"/>
      <c r="G73" s="607"/>
      <c r="H73" s="822" t="str">
        <f t="shared" si="8"/>
        <v>HPAR_VERT</v>
      </c>
      <c r="I73" s="822" t="str">
        <f>M73&amp;Y73&amp;IF(OR(BASIC_TOOL!$C$15=1,BASIC_TOOL!$C$15=5),,N73)</f>
        <v>PH0</v>
      </c>
      <c r="J73" s="823">
        <f t="shared" si="9"/>
        <v>0</v>
      </c>
      <c r="K73" s="822" t="str">
        <f>L73&amp;IF(OR( BASIC_TOOL!$C$15=1,BASIC_TOOL!$C$15=5),"","")</f>
        <v>HPAR_VERT</v>
      </c>
      <c r="L73" s="822" t="s">
        <v>560</v>
      </c>
      <c r="M73" s="823" t="s">
        <v>1305</v>
      </c>
      <c r="N73" s="607"/>
      <c r="O73" s="607"/>
      <c r="P73" s="607"/>
      <c r="Q73" s="607" t="s">
        <v>487</v>
      </c>
      <c r="R73" s="607"/>
      <c r="S73" s="607"/>
      <c r="T73" s="607"/>
      <c r="U73" s="607"/>
      <c r="V73" s="607"/>
      <c r="W73" s="607"/>
      <c r="X73" s="603">
        <f>IF(BASIC_TOOL!$E$15=0,0,W_F*N_PA)</f>
        <v>0</v>
      </c>
      <c r="Y73" s="607">
        <f t="shared" si="7"/>
        <v>0</v>
      </c>
      <c r="Z73" s="600">
        <v>69</v>
      </c>
      <c r="AA73" s="388">
        <v>3.1</v>
      </c>
      <c r="AB73" s="615">
        <f t="shared" si="10"/>
        <v>0</v>
      </c>
    </row>
    <row r="74" spans="1:28" s="143" customFormat="1" ht="17.25" customHeight="1">
      <c r="A74" s="414" t="str">
        <f t="array" ref="A74">IF( ISERROR(INDEX(Panel2!$H$6:$H$115,SMALL(IF(Panel2!$J$6:$J$115&lt;&gt;0,ROW(Panel2!$J$6:$J$115)-5),ROW(A70)))),"",INDEX(Panel2!$H$6:$H$115,SMALL(IF(Panel2!$J$6:$J$115&lt;&gt;0,ROW(Panel2!$J$6:$J$115)-5),ROW(A70))))</f>
        <v/>
      </c>
      <c r="B74" s="414" t="str">
        <f t="array" ref="B74">IF(ISERROR(INDEX(Panel2!$I$6:$I$115,SMALL(IF(Panel2!$J$6:$J$115&lt;&gt;0,ROW(Panel2!$J$6:$J$115)-5),ROW(B70)))),"",INDEX(Panel2!$I$6:$I$115,SMALL(IF(Panel2!$J$6:$J$115&lt;&gt;0,ROW(Panel2!$J$6:$J$115)-5),ROW(B70))))</f>
        <v/>
      </c>
      <c r="C74" s="415" t="str">
        <f t="array" ref="C74">IF( ISERROR(INDEX(Panel2!$J$6:$J$115,SMALL(IF(Panel2!$J$6:$J$115&lt;&gt;0,ROW(Panel2!$J$6:$J$115)-5),ROW(C70)))),"",  INDEX(Panel2!$J$6:$J$115,SMALL(IF(Panel2!$J$6:$J$115&lt;&gt;0,ROW(Panel2!$J$6:$J$115)-5),ROW(C70))))</f>
        <v/>
      </c>
      <c r="D74" s="423"/>
      <c r="E74" s="604"/>
      <c r="F74" s="827"/>
      <c r="G74" s="607"/>
      <c r="H74" s="822" t="str">
        <f t="shared" si="8"/>
        <v>HPAR_VERT</v>
      </c>
      <c r="I74" s="822" t="str">
        <f>M74&amp;Y74&amp;IF(OR(BASIC_TOOL!$C$15=1,BASIC_TOOL!$C$15=5),,N74)</f>
        <v>SH20M</v>
      </c>
      <c r="J74" s="823">
        <f t="shared" si="9"/>
        <v>0</v>
      </c>
      <c r="K74" s="822" t="str">
        <f>L74&amp;IF(OR( BASIC_TOOL!$C$15=1,BASIC_TOOL!$C$15=5),"","")</f>
        <v>HPAR_VERT</v>
      </c>
      <c r="L74" s="822" t="s">
        <v>560</v>
      </c>
      <c r="M74" s="823" t="s">
        <v>1302</v>
      </c>
      <c r="N74" s="607"/>
      <c r="O74" s="607"/>
      <c r="P74" s="607"/>
      <c r="Q74" s="607"/>
      <c r="R74" s="607"/>
      <c r="S74" s="607" t="s">
        <v>487</v>
      </c>
      <c r="T74" s="607"/>
      <c r="U74" s="607" t="s">
        <v>487</v>
      </c>
      <c r="V74" s="607"/>
      <c r="W74" s="607" t="s">
        <v>487</v>
      </c>
      <c r="X74" s="603">
        <f>IF(BASIC_TOOL!$E$15=0,0,W_F*N_PA)</f>
        <v>0</v>
      </c>
      <c r="Y74" s="607" t="str">
        <f t="shared" si="7"/>
        <v>20M</v>
      </c>
      <c r="Z74" s="600">
        <v>70</v>
      </c>
      <c r="AA74" s="388">
        <v>3.1</v>
      </c>
      <c r="AB74" s="615">
        <f t="shared" si="10"/>
        <v>0</v>
      </c>
    </row>
    <row r="75" spans="1:28" s="143" customFormat="1" ht="17.25" customHeight="1">
      <c r="A75" s="414" t="str">
        <f t="array" ref="A75">IF( ISERROR(INDEX(Panel2!$H$6:$H$115,SMALL(IF(Panel2!$J$6:$J$115&lt;&gt;0,ROW(Panel2!$J$6:$J$115)-5),ROW(A71)))),"",INDEX(Panel2!$H$6:$H$115,SMALL(IF(Panel2!$J$6:$J$115&lt;&gt;0,ROW(Panel2!$J$6:$J$115)-5),ROW(A71))))</f>
        <v/>
      </c>
      <c r="B75" s="414" t="str">
        <f t="array" ref="B75">IF(ISERROR(INDEX(Panel2!$I$6:$I$115,SMALL(IF(Panel2!$J$6:$J$115&lt;&gt;0,ROW(Panel2!$J$6:$J$115)-5),ROW(B71)))),"",INDEX(Panel2!$I$6:$I$115,SMALL(IF(Panel2!$J$6:$J$115&lt;&gt;0,ROW(Panel2!$J$6:$J$115)-5),ROW(B71))))</f>
        <v/>
      </c>
      <c r="C75" s="415" t="str">
        <f t="array" ref="C75">IF( ISERROR(INDEX(Panel2!$J$6:$J$115,SMALL(IF(Panel2!$J$6:$J$115&lt;&gt;0,ROW(Panel2!$J$6:$J$115)-5),ROW(C71)))),"",  INDEX(Panel2!$J$6:$J$115,SMALL(IF(Panel2!$J$6:$J$115&lt;&gt;0,ROW(Panel2!$J$6:$J$115)-5),ROW(C71))))</f>
        <v/>
      </c>
      <c r="D75" s="423"/>
      <c r="E75" s="604" t="s">
        <v>564</v>
      </c>
      <c r="F75" s="607" t="s">
        <v>418</v>
      </c>
      <c r="G75" s="607" t="s">
        <v>419</v>
      </c>
      <c r="H75" s="606" t="str">
        <f t="shared" si="8"/>
        <v>PAR</v>
      </c>
      <c r="I75" s="606" t="str">
        <f>M75&amp;Y75&amp;IF(OR(BASIC_TOOL!$C$15=1,BASIC_TOOL!$C$15=5),,N75)</f>
        <v>SN0</v>
      </c>
      <c r="J75" s="607">
        <f t="shared" si="9"/>
        <v>0</v>
      </c>
      <c r="K75" s="606" t="str">
        <f>L75&amp;IF(OR( BASIC_TOOL!$C$15=1,BASIC_TOOL!$C$15=5),"","")</f>
        <v>PAR</v>
      </c>
      <c r="L75" s="606" t="s">
        <v>558</v>
      </c>
      <c r="M75" s="607" t="s">
        <v>1307</v>
      </c>
      <c r="N75" s="607"/>
      <c r="O75" s="607"/>
      <c r="P75" s="607"/>
      <c r="Q75" s="607"/>
      <c r="R75" s="607"/>
      <c r="S75" s="607"/>
      <c r="T75" s="607"/>
      <c r="U75" s="607"/>
      <c r="V75" s="607" t="s">
        <v>488</v>
      </c>
      <c r="W75" s="607" t="s">
        <v>489</v>
      </c>
      <c r="X75" s="603">
        <f>(W_C)*N_PA</f>
        <v>0</v>
      </c>
      <c r="Y75" s="607">
        <f t="shared" si="7"/>
        <v>0</v>
      </c>
      <c r="Z75" s="600">
        <v>71</v>
      </c>
      <c r="AA75" s="388">
        <v>4.0999999999999996</v>
      </c>
      <c r="AB75" s="615">
        <f t="shared" si="10"/>
        <v>0</v>
      </c>
    </row>
    <row r="76" spans="1:28" s="143" customFormat="1" ht="17.25" customHeight="1">
      <c r="A76" s="414" t="str">
        <f t="array" ref="A76">IF( ISERROR(INDEX(Panel2!$H$6:$H$115,SMALL(IF(Panel2!$J$6:$J$115&lt;&gt;0,ROW(Panel2!$J$6:$J$115)-5),ROW(A72)))),"",INDEX(Panel2!$H$6:$H$115,SMALL(IF(Panel2!$J$6:$J$115&lt;&gt;0,ROW(Panel2!$J$6:$J$115)-5),ROW(A72))))</f>
        <v/>
      </c>
      <c r="B76" s="414" t="str">
        <f t="array" ref="B76">IF(ISERROR(INDEX(Panel2!$I$6:$I$115,SMALL(IF(Panel2!$J$6:$J$115&lt;&gt;0,ROW(Panel2!$J$6:$J$115)-5),ROW(B72)))),"",INDEX(Panel2!$I$6:$I$115,SMALL(IF(Panel2!$J$6:$J$115&lt;&gt;0,ROW(Panel2!$J$6:$J$115)-5),ROW(B72))))</f>
        <v/>
      </c>
      <c r="C76" s="415" t="str">
        <f t="array" ref="C76">IF( ISERROR(INDEX(Panel2!$J$6:$J$115,SMALL(IF(Panel2!$J$6:$J$115&lt;&gt;0,ROW(Panel2!$J$6:$J$115)-5),ROW(C72)))),"",  INDEX(Panel2!$J$6:$J$115,SMALL(IF(Panel2!$J$6:$J$115&lt;&gt;0,ROW(Panel2!$J$6:$J$115)-5),ROW(C72))))</f>
        <v/>
      </c>
      <c r="D76" s="423"/>
      <c r="E76" s="604"/>
      <c r="F76" s="607"/>
      <c r="G76" s="607"/>
      <c r="H76" s="606" t="str">
        <f t="shared" si="8"/>
        <v>HPAR_VERT</v>
      </c>
      <c r="I76" s="606" t="str">
        <f>M76&amp;Y76&amp;IF(OR(BASIC_TOOL!$C$15=1,BASIC_TOOL!$C$15=5),,N76)</f>
        <v>SH0</v>
      </c>
      <c r="J76" s="607">
        <f t="shared" si="9"/>
        <v>0</v>
      </c>
      <c r="K76" s="606" t="str">
        <f>L76&amp;IF(OR( BASIC_TOOL!$C$15=1,BASIC_TOOL!$C$15=5),"","")</f>
        <v>HPAR_VERT</v>
      </c>
      <c r="L76" s="606" t="s">
        <v>560</v>
      </c>
      <c r="M76" s="607" t="s">
        <v>1302</v>
      </c>
      <c r="N76" s="607"/>
      <c r="O76" s="607"/>
      <c r="P76" s="607"/>
      <c r="Q76" s="607"/>
      <c r="R76" s="607"/>
      <c r="S76" s="607"/>
      <c r="T76" s="607"/>
      <c r="U76" s="607"/>
      <c r="V76" s="607" t="s">
        <v>488</v>
      </c>
      <c r="W76" s="607" t="s">
        <v>489</v>
      </c>
      <c r="X76" s="603">
        <f>(W_F)*N_PA</f>
        <v>0</v>
      </c>
      <c r="Y76" s="607">
        <f t="shared" si="7"/>
        <v>0</v>
      </c>
      <c r="Z76" s="600">
        <v>72</v>
      </c>
      <c r="AA76" s="388">
        <v>2.1</v>
      </c>
      <c r="AB76" s="615">
        <f t="shared" si="10"/>
        <v>0</v>
      </c>
    </row>
    <row r="77" spans="1:28" s="143" customFormat="1" ht="17.25" customHeight="1">
      <c r="A77" s="414" t="str">
        <f t="array" ref="A77">IF( ISERROR(INDEX(Panel2!$H$6:$H$115,SMALL(IF(Panel2!$J$6:$J$115&lt;&gt;0,ROW(Panel2!$J$6:$J$115)-5),ROW(A73)))),"",INDEX(Panel2!$H$6:$H$115,SMALL(IF(Panel2!$J$6:$J$115&lt;&gt;0,ROW(Panel2!$J$6:$J$115)-5),ROW(A73))))</f>
        <v/>
      </c>
      <c r="B77" s="414" t="str">
        <f t="array" ref="B77">IF(ISERROR(INDEX(Panel2!$I$6:$I$115,SMALL(IF(Panel2!$J$6:$J$115&lt;&gt;0,ROW(Panel2!$J$6:$J$115)-5),ROW(B73)))),"",INDEX(Panel2!$I$6:$I$115,SMALL(IF(Panel2!$J$6:$J$115&lt;&gt;0,ROW(Panel2!$J$6:$J$115)-5),ROW(B73))))</f>
        <v/>
      </c>
      <c r="C77" s="415" t="str">
        <f t="array" ref="C77">IF( ISERROR(INDEX(Panel2!$J$6:$J$115,SMALL(IF(Panel2!$J$6:$J$115&lt;&gt;0,ROW(Panel2!$J$6:$J$115)-5),ROW(C73)))),"",  INDEX(Panel2!$J$6:$J$115,SMALL(IF(Panel2!$J$6:$J$115&lt;&gt;0,ROW(Panel2!$J$6:$J$115)-5),ROW(C73))))</f>
        <v/>
      </c>
      <c r="D77" s="423"/>
      <c r="E77" s="604"/>
      <c r="F77" s="607" t="s">
        <v>418</v>
      </c>
      <c r="G77" s="607" t="s">
        <v>562</v>
      </c>
      <c r="H77" s="606" t="str">
        <f t="shared" si="8"/>
        <v>PAR</v>
      </c>
      <c r="I77" s="606" t="str">
        <f>M77&amp;Y77&amp;IF(OR(BASIC_TOOL!$C$15=1,BASIC_TOOL!$C$15=5),,N77)</f>
        <v>SN0</v>
      </c>
      <c r="J77" s="607">
        <f t="shared" si="9"/>
        <v>0</v>
      </c>
      <c r="K77" s="606" t="str">
        <f>L77&amp;IF(OR( BASIC_TOOL!$C$15=1,BASIC_TOOL!$C$15=5),"","")</f>
        <v>PAR</v>
      </c>
      <c r="L77" s="606" t="s">
        <v>558</v>
      </c>
      <c r="M77" s="607" t="s">
        <v>1307</v>
      </c>
      <c r="N77" s="607"/>
      <c r="O77" s="607"/>
      <c r="P77" s="607"/>
      <c r="Q77" s="607"/>
      <c r="R77" s="607"/>
      <c r="S77" s="607"/>
      <c r="T77" s="607" t="s">
        <v>488</v>
      </c>
      <c r="U77" s="607" t="s">
        <v>489</v>
      </c>
      <c r="V77" s="607" t="s">
        <v>490</v>
      </c>
      <c r="W77" s="607" t="s">
        <v>491</v>
      </c>
      <c r="X77" s="603">
        <f>(W_C)*N_PA</f>
        <v>0</v>
      </c>
      <c r="Y77" s="607">
        <f t="shared" si="7"/>
        <v>0</v>
      </c>
      <c r="Z77" s="600">
        <v>73</v>
      </c>
      <c r="AA77" s="388">
        <v>4.0999999999999996</v>
      </c>
      <c r="AB77" s="615">
        <f t="shared" si="10"/>
        <v>0</v>
      </c>
    </row>
    <row r="78" spans="1:28" s="143" customFormat="1" ht="17.25" customHeight="1">
      <c r="A78" s="414" t="str">
        <f t="array" ref="A78">IF( ISERROR(INDEX(Panel2!$H$6:$H$115,SMALL(IF(Panel2!$J$6:$J$115&lt;&gt;0,ROW(Panel2!$J$6:$J$115)-5),ROW(A74)))),"",INDEX(Panel2!$H$6:$H$115,SMALL(IF(Panel2!$J$6:$J$115&lt;&gt;0,ROW(Panel2!$J$6:$J$115)-5),ROW(A74))))</f>
        <v/>
      </c>
      <c r="B78" s="414" t="str">
        <f t="array" ref="B78">IF(ISERROR(INDEX(Panel2!$I$6:$I$115,SMALL(IF(Panel2!$J$6:$J$115&lt;&gt;0,ROW(Panel2!$J$6:$J$115)-5),ROW(B74)))),"",INDEX(Panel2!$I$6:$I$115,SMALL(IF(Panel2!$J$6:$J$115&lt;&gt;0,ROW(Panel2!$J$6:$J$115)-5),ROW(B74))))</f>
        <v/>
      </c>
      <c r="C78" s="415" t="str">
        <f t="array" ref="C78">IF( ISERROR(INDEX(Panel2!$J$6:$J$115,SMALL(IF(Panel2!$J$6:$J$115&lt;&gt;0,ROW(Panel2!$J$6:$J$115)-5),ROW(C74)))),"",  INDEX(Panel2!$J$6:$J$115,SMALL(IF(Panel2!$J$6:$J$115&lt;&gt;0,ROW(Panel2!$J$6:$J$115)-5),ROW(C74))))</f>
        <v/>
      </c>
      <c r="D78" s="423"/>
      <c r="E78" s="604"/>
      <c r="F78" s="607"/>
      <c r="G78" s="607"/>
      <c r="H78" s="606" t="str">
        <f t="shared" si="8"/>
        <v>HPAR_VERT</v>
      </c>
      <c r="I78" s="606" t="str">
        <f>M78&amp;Y78&amp;IF(OR(BASIC_TOOL!$C$15=1,BASIC_TOOL!$C$15=5),,N78)</f>
        <v>SH0</v>
      </c>
      <c r="J78" s="607">
        <f t="shared" si="9"/>
        <v>0</v>
      </c>
      <c r="K78" s="606" t="str">
        <f>L78&amp;IF(OR( BASIC_TOOL!$C$15=1,BASIC_TOOL!$C$15=5),"","")</f>
        <v>HPAR_VERT</v>
      </c>
      <c r="L78" s="606" t="s">
        <v>560</v>
      </c>
      <c r="M78" s="607" t="s">
        <v>1302</v>
      </c>
      <c r="N78" s="607"/>
      <c r="O78" s="607"/>
      <c r="P78" s="607"/>
      <c r="Q78" s="607"/>
      <c r="R78" s="607"/>
      <c r="S78" s="607"/>
      <c r="T78" s="607" t="s">
        <v>488</v>
      </c>
      <c r="U78" s="607" t="s">
        <v>489</v>
      </c>
      <c r="V78" s="607" t="s">
        <v>490</v>
      </c>
      <c r="W78" s="607" t="s">
        <v>491</v>
      </c>
      <c r="X78" s="603">
        <f>(W_F)*N_PA</f>
        <v>0</v>
      </c>
      <c r="Y78" s="607">
        <f t="shared" si="7"/>
        <v>0</v>
      </c>
      <c r="Z78" s="600">
        <v>74</v>
      </c>
      <c r="AA78" s="388">
        <v>2.1</v>
      </c>
      <c r="AB78" s="615">
        <f t="shared" si="10"/>
        <v>0</v>
      </c>
    </row>
    <row r="79" spans="1:28" s="143" customFormat="1" ht="17.25" customHeight="1">
      <c r="A79" s="414" t="str">
        <f t="array" ref="A79">IF( ISERROR(INDEX(Panel2!$H$6:$H$115,SMALL(IF(Panel2!$J$6:$J$115&lt;&gt;0,ROW(Panel2!$J$6:$J$115)-5),ROW(A75)))),"",INDEX(Panel2!$H$6:$H$115,SMALL(IF(Panel2!$J$6:$J$115&lt;&gt;0,ROW(Panel2!$J$6:$J$115)-5),ROW(A75))))</f>
        <v/>
      </c>
      <c r="B79" s="414" t="str">
        <f t="array" ref="B79">IF(ISERROR(INDEX(Panel2!$I$6:$I$115,SMALL(IF(Panel2!$J$6:$J$115&lt;&gt;0,ROW(Panel2!$J$6:$J$115)-5),ROW(B75)))),"",INDEX(Panel2!$I$6:$I$115,SMALL(IF(Panel2!$J$6:$J$115&lt;&gt;0,ROW(Panel2!$J$6:$J$115)-5),ROW(B75))))</f>
        <v/>
      </c>
      <c r="C79" s="415" t="str">
        <f t="array" ref="C79">IF( ISERROR(INDEX(Panel2!$J$6:$J$115,SMALL(IF(Panel2!$J$6:$J$115&lt;&gt;0,ROW(Panel2!$J$6:$J$115)-5),ROW(C75)))),"",  INDEX(Panel2!$J$6:$J$115,SMALL(IF(Panel2!$J$6:$J$115&lt;&gt;0,ROW(Panel2!$J$6:$J$115)-5),ROW(C75))))</f>
        <v/>
      </c>
      <c r="D79" s="423"/>
      <c r="E79" s="604"/>
      <c r="F79" s="607" t="s">
        <v>418</v>
      </c>
      <c r="G79" s="607" t="s">
        <v>563</v>
      </c>
      <c r="H79" s="606" t="str">
        <f t="shared" si="8"/>
        <v>PAR</v>
      </c>
      <c r="I79" s="606" t="str">
        <f>M79&amp;Y79&amp;IF(OR(BASIC_TOOL!$C$15=1,BASIC_TOOL!$C$15=5),,N79)</f>
        <v>PF30M</v>
      </c>
      <c r="J79" s="607">
        <f t="shared" si="9"/>
        <v>0</v>
      </c>
      <c r="K79" s="606" t="str">
        <f>L79&amp;IF(OR( BASIC_TOOL!$C$15=1,BASIC_TOOL!$C$15=5),"","")</f>
        <v>PAR</v>
      </c>
      <c r="L79" s="606" t="s">
        <v>558</v>
      </c>
      <c r="M79" s="607" t="s">
        <v>1306</v>
      </c>
      <c r="N79" s="607"/>
      <c r="O79" s="607" t="s">
        <v>1315</v>
      </c>
      <c r="P79" s="607"/>
      <c r="Q79" s="607"/>
      <c r="R79" s="607" t="s">
        <v>488</v>
      </c>
      <c r="S79" s="607" t="s">
        <v>489</v>
      </c>
      <c r="T79" s="607" t="s">
        <v>490</v>
      </c>
      <c r="U79" s="607" t="s">
        <v>491</v>
      </c>
      <c r="V79" s="607" t="s">
        <v>492</v>
      </c>
      <c r="W79" s="607" t="s">
        <v>493</v>
      </c>
      <c r="X79" s="603">
        <f>(W_C)*N_PA</f>
        <v>0</v>
      </c>
      <c r="Y79" s="413" t="str">
        <f t="shared" si="7"/>
        <v>30M</v>
      </c>
      <c r="Z79" s="600">
        <v>75</v>
      </c>
      <c r="AA79" s="388">
        <v>4.0999999999999996</v>
      </c>
      <c r="AB79" s="615">
        <f t="shared" si="10"/>
        <v>0</v>
      </c>
    </row>
    <row r="80" spans="1:28" s="143" customFormat="1" ht="17.25" customHeight="1">
      <c r="A80" s="414" t="str">
        <f t="array" ref="A80">IF( ISERROR(INDEX(Panel2!$H$6:$H$115,SMALL(IF(Panel2!$J$6:$J$115&lt;&gt;0,ROW(Panel2!$J$6:$J$115)-5),ROW(A76)))),"",INDEX(Panel2!$H$6:$H$115,SMALL(IF(Panel2!$J$6:$J$115&lt;&gt;0,ROW(Panel2!$J$6:$J$115)-5),ROW(A76))))</f>
        <v/>
      </c>
      <c r="B80" s="414" t="str">
        <f t="array" ref="B80">IF(ISERROR(INDEX(Panel2!$I$6:$I$115,SMALL(IF(Panel2!$J$6:$J$115&lt;&gt;0,ROW(Panel2!$J$6:$J$115)-5),ROW(B76)))),"",INDEX(Panel2!$I$6:$I$115,SMALL(IF(Panel2!$J$6:$J$115&lt;&gt;0,ROW(Panel2!$J$6:$J$115)-5),ROW(B76))))</f>
        <v/>
      </c>
      <c r="C80" s="415" t="str">
        <f t="array" ref="C80">IF( ISERROR(INDEX(Panel2!$J$6:$J$115,SMALL(IF(Panel2!$J$6:$J$115&lt;&gt;0,ROW(Panel2!$J$6:$J$115)-5),ROW(C76)))),"",  INDEX(Panel2!$J$6:$J$115,SMALL(IF(Panel2!$J$6:$J$115&lt;&gt;0,ROW(Panel2!$J$6:$J$115)-5),ROW(C76))))</f>
        <v/>
      </c>
      <c r="D80" s="423"/>
      <c r="E80" s="604"/>
      <c r="F80" s="607"/>
      <c r="G80" s="607"/>
      <c r="H80" s="606" t="str">
        <f t="shared" si="8"/>
        <v>HPAR_VERT</v>
      </c>
      <c r="I80" s="606" t="str">
        <f>M80&amp;Y80&amp;IF(OR(BASIC_TOOL!$C$15=1,BASIC_TOOL!$C$15=5),,N80)</f>
        <v>PH40M</v>
      </c>
      <c r="J80" s="607">
        <f t="shared" si="9"/>
        <v>0</v>
      </c>
      <c r="K80" s="606" t="str">
        <f>L80&amp;IF(OR( BASIC_TOOL!$C$15=1,BASIC_TOOL!$C$15=5),"","-"&amp;N80)</f>
        <v>HPAR_VERT</v>
      </c>
      <c r="L80" s="606" t="s">
        <v>560</v>
      </c>
      <c r="M80" s="607" t="s">
        <v>1305</v>
      </c>
      <c r="N80" s="607"/>
      <c r="O80" s="607" t="s">
        <v>1315</v>
      </c>
      <c r="P80" s="607"/>
      <c r="Q80" s="607"/>
      <c r="R80" s="607" t="s">
        <v>488</v>
      </c>
      <c r="S80" s="607" t="s">
        <v>491</v>
      </c>
      <c r="T80" s="607" t="s">
        <v>491</v>
      </c>
      <c r="U80" s="607" t="s">
        <v>491</v>
      </c>
      <c r="V80" s="607" t="s">
        <v>493</v>
      </c>
      <c r="W80" s="607" t="s">
        <v>493</v>
      </c>
      <c r="X80" s="603">
        <f>(W_F)*N_PA</f>
        <v>0</v>
      </c>
      <c r="Y80" s="413" t="str">
        <f t="shared" si="7"/>
        <v>40M</v>
      </c>
      <c r="Z80" s="600">
        <v>76</v>
      </c>
      <c r="AA80" s="388">
        <v>2.1</v>
      </c>
      <c r="AB80" s="615">
        <f t="shared" si="10"/>
        <v>0</v>
      </c>
    </row>
    <row r="81" spans="1:26" s="143" customFormat="1" ht="17.25" customHeight="1" thickBot="1">
      <c r="A81" s="414" t="str">
        <f t="array" ref="A81">IF( ISERROR(INDEX(Panel2!$H$6:$H$115,SMALL(IF(Panel2!$J$6:$J$115&lt;&gt;0,ROW(Panel2!$J$6:$J$115)-5),ROW(A77)))),"",INDEX(Panel2!$H$6:$H$115,SMALL(IF(Panel2!$J$6:$J$115&lt;&gt;0,ROW(Panel2!$J$6:$J$115)-5),ROW(A77))))</f>
        <v/>
      </c>
      <c r="B81" s="414" t="str">
        <f t="array" ref="B81">IF(ISERROR(INDEX(Panel2!$I$6:$I$115,SMALL(IF(Panel2!$J$6:$J$115&lt;&gt;0,ROW(Panel2!$J$6:$J$115)-5),ROW(B77)))),"",INDEX(Panel2!$I$6:$I$115,SMALL(IF(Panel2!$J$6:$J$115&lt;&gt;0,ROW(Panel2!$J$6:$J$115)-5),ROW(B77))))</f>
        <v/>
      </c>
      <c r="C81" s="415" t="str">
        <f t="array" ref="C81">IF( ISERROR(INDEX(Panel2!$J$6:$J$115,SMALL(IF(Panel2!$J$6:$J$115&lt;&gt;0,ROW(Panel2!$J$6:$J$115)-5),ROW(C77)))),"",  INDEX(Panel2!$J$6:$J$115,SMALL(IF(Panel2!$J$6:$J$115&lt;&gt;0,ROW(Panel2!$J$6:$J$115)-5),ROW(C77))))</f>
        <v/>
      </c>
      <c r="D81" s="423"/>
      <c r="E81" s="873"/>
      <c r="F81" s="874"/>
      <c r="G81" s="874"/>
      <c r="H81" s="875"/>
      <c r="I81" s="875"/>
      <c r="J81" s="876"/>
      <c r="K81" s="877"/>
      <c r="L81" s="877"/>
      <c r="M81" s="878"/>
      <c r="N81" s="878"/>
      <c r="O81" s="878"/>
      <c r="P81" s="878"/>
      <c r="Q81" s="878"/>
      <c r="R81" s="878"/>
      <c r="S81" s="878"/>
      <c r="T81" s="878"/>
      <c r="U81" s="878"/>
      <c r="V81" s="878"/>
      <c r="W81" s="878"/>
      <c r="X81" s="879"/>
      <c r="Y81" s="868">
        <f t="shared" si="7"/>
        <v>0</v>
      </c>
      <c r="Z81" s="869">
        <v>77</v>
      </c>
    </row>
    <row r="82" spans="1:26" s="143" customFormat="1" ht="17.25" customHeight="1">
      <c r="A82" s="414" t="str">
        <f t="array" ref="A82">IF( ISERROR(INDEX(Panel2!$H$6:$H$115,SMALL(IF(Panel2!$J$6:$J$115&lt;&gt;0,ROW(Panel2!$J$6:$J$115)-5),ROW(A78)))),"",INDEX(Panel2!$H$6:$H$115,SMALL(IF(Panel2!$J$6:$J$115&lt;&gt;0,ROW(Panel2!$J$6:$J$115)-5),ROW(A78))))</f>
        <v/>
      </c>
      <c r="B82" s="414" t="str">
        <f t="array" ref="B82">IF(ISERROR(INDEX(Panel2!$I$6:$I$115,SMALL(IF(Panel2!$J$6:$J$115&lt;&gt;0,ROW(Panel2!$J$6:$J$115)-5),ROW(B78)))),"",INDEX(Panel2!$I$6:$I$115,SMALL(IF(Panel2!$J$6:$J$115&lt;&gt;0,ROW(Panel2!$J$6:$J$115)-5),ROW(B78))))</f>
        <v/>
      </c>
      <c r="C82" s="415" t="str">
        <f t="array" ref="C82">IF( ISERROR(INDEX(Panel2!$J$6:$J$115,SMALL(IF(Panel2!$J$6:$J$115&lt;&gt;0,ROW(Panel2!$J$6:$J$115)-5),ROW(C78)))),"",  INDEX(Panel2!$J$6:$J$115,SMALL(IF(Panel2!$J$6:$J$115&lt;&gt;0,ROW(Panel2!$J$6:$J$115)-5),ROW(C78))))</f>
        <v/>
      </c>
      <c r="D82" s="423"/>
      <c r="E82" s="425"/>
      <c r="F82" s="430"/>
      <c r="G82" s="428"/>
      <c r="H82" s="427"/>
      <c r="I82" s="427"/>
      <c r="J82" s="428"/>
      <c r="K82" s="429"/>
      <c r="L82" s="429"/>
      <c r="M82" s="431"/>
      <c r="N82" s="431"/>
      <c r="O82" s="431"/>
      <c r="P82" s="431"/>
      <c r="Q82" s="431"/>
      <c r="R82" s="431"/>
      <c r="S82" s="431"/>
      <c r="T82" s="431"/>
      <c r="U82" s="431"/>
      <c r="V82" s="431"/>
      <c r="W82" s="431"/>
      <c r="X82" s="432"/>
      <c r="Y82" s="433">
        <f t="shared" si="7"/>
        <v>0</v>
      </c>
      <c r="Z82" s="611">
        <v>78</v>
      </c>
    </row>
    <row r="83" spans="1:26" s="143" customFormat="1" ht="17.25" customHeight="1" thickBot="1">
      <c r="A83" s="414" t="str">
        <f t="array" ref="A83">IF( ISERROR(INDEX(Panel2!$H$6:$H$115,SMALL(IF(Panel2!$J$6:$J$115&lt;&gt;0,ROW(Panel2!$J$6:$J$115)-5),ROW(A79)))),"",INDEX(Panel2!$H$6:$H$115,SMALL(IF(Panel2!$J$6:$J$115&lt;&gt;0,ROW(Panel2!$J$6:$J$115)-5),ROW(A79))))</f>
        <v/>
      </c>
      <c r="B83" s="414" t="str">
        <f t="array" ref="B83">IF(ISERROR(INDEX(Panel2!$I$6:$I$115,SMALL(IF(Panel2!$J$6:$J$115&lt;&gt;0,ROW(Panel2!$J$6:$J$115)-5),ROW(B79)))),"",INDEX(Panel2!$I$6:$I$115,SMALL(IF(Panel2!$J$6:$J$115&lt;&gt;0,ROW(Panel2!$J$6:$J$115)-5),ROW(B79))))</f>
        <v/>
      </c>
      <c r="C83" s="415" t="str">
        <f t="array" ref="C83">IF( ISERROR(INDEX(Panel2!$J$6:$J$115,SMALL(IF(Panel2!$J$6:$J$115&lt;&gt;0,ROW(Panel2!$J$6:$J$115)-5),ROW(C79)))),"",  INDEX(Panel2!$J$6:$J$115,SMALL(IF(Panel2!$J$6:$J$115&lt;&gt;0,ROW(Panel2!$J$6:$J$115)-5),ROW(C79))))</f>
        <v/>
      </c>
      <c r="D83" s="423"/>
      <c r="E83" s="425"/>
      <c r="F83" s="430"/>
      <c r="G83" s="428"/>
      <c r="H83" s="427"/>
      <c r="I83" s="427"/>
      <c r="J83" s="428"/>
      <c r="K83" s="429"/>
      <c r="L83" s="429"/>
      <c r="M83" s="431"/>
      <c r="N83" s="431"/>
      <c r="O83" s="431"/>
      <c r="P83" s="431"/>
      <c r="Q83" s="431"/>
      <c r="R83" s="431"/>
      <c r="S83" s="431"/>
      <c r="T83" s="431"/>
      <c r="U83" s="431"/>
      <c r="V83" s="431"/>
      <c r="W83" s="431"/>
      <c r="X83" s="432"/>
      <c r="Y83" s="433">
        <f t="shared" si="7"/>
        <v>0</v>
      </c>
      <c r="Z83" s="612">
        <v>79</v>
      </c>
    </row>
    <row r="84" spans="1:26" s="143" customFormat="1" ht="17.25" customHeight="1">
      <c r="A84" s="414" t="str">
        <f t="array" ref="A84">IF( ISERROR(INDEX(Panel2!$H$6:$H$115,SMALL(IF(Panel2!$J$6:$J$115&lt;&gt;0,ROW(Panel2!$J$6:$J$115)-5),ROW(A80)))),"",INDEX(Panel2!$H$6:$H$115,SMALL(IF(Panel2!$J$6:$J$115&lt;&gt;0,ROW(Panel2!$J$6:$J$115)-5),ROW(A80))))</f>
        <v/>
      </c>
      <c r="B84" s="414" t="str">
        <f t="array" ref="B84">IF(ISERROR(INDEX(Panel2!$I$6:$I$115,SMALL(IF(Panel2!$J$6:$J$115&lt;&gt;0,ROW(Panel2!$J$6:$J$115)-5),ROW(B80)))),"",INDEX(Panel2!$I$6:$I$115,SMALL(IF(Panel2!$J$6:$J$115&lt;&gt;0,ROW(Panel2!$J$6:$J$115)-5),ROW(B80))))</f>
        <v/>
      </c>
      <c r="C84" s="415" t="str">
        <f t="array" ref="C84">IF( ISERROR(INDEX(Panel2!$J$6:$J$115,SMALL(IF(Panel2!$J$6:$J$115&lt;&gt;0,ROW(Panel2!$J$6:$J$115)-5),ROW(C80)))),"",  INDEX(Panel2!$J$6:$J$115,SMALL(IF(Panel2!$J$6:$J$115&lt;&gt;0,ROW(Panel2!$J$6:$J$115)-5),ROW(C80))))</f>
        <v/>
      </c>
      <c r="D84" s="423"/>
      <c r="E84" s="425"/>
      <c r="F84" s="430"/>
      <c r="G84" s="428"/>
      <c r="H84" s="427"/>
      <c r="I84" s="427"/>
      <c r="J84" s="428"/>
      <c r="K84" s="429"/>
      <c r="L84" s="429"/>
      <c r="M84" s="431"/>
      <c r="N84" s="431"/>
      <c r="O84" s="431"/>
      <c r="P84" s="431"/>
      <c r="Q84" s="431"/>
      <c r="R84" s="431"/>
      <c r="S84" s="431"/>
      <c r="T84" s="431"/>
      <c r="U84" s="431"/>
      <c r="V84" s="431"/>
      <c r="W84" s="431"/>
      <c r="X84" s="432"/>
      <c r="Y84" s="433">
        <f t="shared" si="7"/>
        <v>0</v>
      </c>
      <c r="Z84" s="611">
        <v>80</v>
      </c>
    </row>
    <row r="85" spans="1:26" s="143" customFormat="1" ht="17.25" customHeight="1" thickBot="1">
      <c r="A85" s="414" t="str">
        <f t="array" ref="A85">IF( ISERROR(INDEX(Panel2!$H$6:$H$115,SMALL(IF(Panel2!$J$6:$J$115&lt;&gt;0,ROW(Panel2!$J$6:$J$115)-5),ROW(A81)))),"",INDEX(Panel2!$H$6:$H$115,SMALL(IF(Panel2!$J$6:$J$115&lt;&gt;0,ROW(Panel2!$J$6:$J$115)-5),ROW(A81))))</f>
        <v/>
      </c>
      <c r="B85" s="414" t="str">
        <f t="array" ref="B85">IF(ISERROR(INDEX(Panel2!$I$6:$I$115,SMALL(IF(Panel2!$J$6:$J$115&lt;&gt;0,ROW(Panel2!$J$6:$J$115)-5),ROW(B81)))),"",INDEX(Panel2!$I$6:$I$115,SMALL(IF(Panel2!$J$6:$J$115&lt;&gt;0,ROW(Panel2!$J$6:$J$115)-5),ROW(B81))))</f>
        <v/>
      </c>
      <c r="C85" s="415" t="str">
        <f t="array" ref="C85">IF( ISERROR(INDEX(Panel2!$J$6:$J$115,SMALL(IF(Panel2!$J$6:$J$115&lt;&gt;0,ROW(Panel2!$J$6:$J$115)-5),ROW(C81)))),"",  INDEX(Panel2!$J$6:$J$115,SMALL(IF(Panel2!$J$6:$J$115&lt;&gt;0,ROW(Panel2!$J$6:$J$115)-5),ROW(C81))))</f>
        <v/>
      </c>
      <c r="D85" s="423"/>
      <c r="E85" s="425"/>
      <c r="F85" s="430"/>
      <c r="G85" s="428"/>
      <c r="H85" s="427"/>
      <c r="I85" s="427"/>
      <c r="J85" s="428"/>
      <c r="K85" s="429"/>
      <c r="L85" s="429"/>
      <c r="M85" s="431"/>
      <c r="N85" s="431"/>
      <c r="O85" s="431"/>
      <c r="P85" s="431"/>
      <c r="Q85" s="431"/>
      <c r="R85" s="431"/>
      <c r="S85" s="431"/>
      <c r="T85" s="431"/>
      <c r="U85" s="431"/>
      <c r="V85" s="431"/>
      <c r="W85" s="431"/>
      <c r="X85" s="432"/>
      <c r="Y85" s="433">
        <f t="shared" si="7"/>
        <v>0</v>
      </c>
      <c r="Z85" s="612">
        <v>81</v>
      </c>
    </row>
    <row r="86" spans="1:26" s="143" customFormat="1" ht="17.25" customHeight="1">
      <c r="A86" s="414" t="str">
        <f t="array" ref="A86">IF( ISERROR(INDEX(Panel2!$H$6:$H$115,SMALL(IF(Panel2!$J$6:$J$115&lt;&gt;0,ROW(Panel2!$J$6:$J$115)-5),ROW(A82)))),"",INDEX(Panel2!$H$6:$H$115,SMALL(IF(Panel2!$J$6:$J$115&lt;&gt;0,ROW(Panel2!$J$6:$J$115)-5),ROW(A82))))</f>
        <v/>
      </c>
      <c r="B86" s="414" t="str">
        <f t="array" ref="B86">IF(ISERROR(INDEX(Panel2!$I$6:$I$115,SMALL(IF(Panel2!$J$6:$J$115&lt;&gt;0,ROW(Panel2!$J$6:$J$115)-5),ROW(B82)))),"",INDEX(Panel2!$I$6:$I$115,SMALL(IF(Panel2!$J$6:$J$115&lt;&gt;0,ROW(Panel2!$J$6:$J$115)-5),ROW(B82))))</f>
        <v/>
      </c>
      <c r="C86" s="415" t="str">
        <f t="array" ref="C86">IF( ISERROR(INDEX(Panel2!$J$6:$J$115,SMALL(IF(Panel2!$J$6:$J$115&lt;&gt;0,ROW(Panel2!$J$6:$J$115)-5),ROW(C82)))),"",  INDEX(Panel2!$J$6:$J$115,SMALL(IF(Panel2!$J$6:$J$115&lt;&gt;0,ROW(Panel2!$J$6:$J$115)-5),ROW(C82))))</f>
        <v/>
      </c>
      <c r="D86" s="423"/>
      <c r="E86" s="425"/>
      <c r="F86" s="388"/>
      <c r="G86" s="388"/>
      <c r="H86" s="416"/>
      <c r="I86" s="416"/>
      <c r="J86" s="413"/>
      <c r="K86" s="417"/>
      <c r="L86" s="417"/>
      <c r="M86" s="418"/>
      <c r="N86" s="418"/>
      <c r="O86" s="418"/>
      <c r="P86" s="418"/>
      <c r="Q86" s="418"/>
      <c r="R86" s="418"/>
      <c r="S86" s="418"/>
      <c r="T86" s="418"/>
      <c r="U86" s="418"/>
      <c r="V86" s="418"/>
      <c r="W86" s="418"/>
      <c r="X86" s="419"/>
      <c r="Y86" s="433">
        <f t="shared" si="7"/>
        <v>0</v>
      </c>
      <c r="Z86" s="611">
        <v>82</v>
      </c>
    </row>
    <row r="87" spans="1:26" s="143" customFormat="1" ht="17.25" customHeight="1" thickBot="1">
      <c r="A87" s="414" t="str">
        <f t="array" ref="A87">IF( ISERROR(INDEX(Panel2!$H$6:$H$115,SMALL(IF(Panel2!$J$6:$J$115&lt;&gt;0,ROW(Panel2!$J$6:$J$115)-5),ROW(A83)))),"",INDEX(Panel2!$H$6:$H$115,SMALL(IF(Panel2!$J$6:$J$115&lt;&gt;0,ROW(Panel2!$J$6:$J$115)-5),ROW(A83))))</f>
        <v/>
      </c>
      <c r="B87" s="414" t="str">
        <f t="array" ref="B87">IF(ISERROR(INDEX(Panel2!$I$6:$I$115,SMALL(IF(Panel2!$J$6:$J$115&lt;&gt;0,ROW(Panel2!$J$6:$J$115)-5),ROW(B83)))),"",INDEX(Panel2!$I$6:$I$115,SMALL(IF(Panel2!$J$6:$J$115&lt;&gt;0,ROW(Panel2!$J$6:$J$115)-5),ROW(B83))))</f>
        <v/>
      </c>
      <c r="C87" s="415" t="str">
        <f t="array" ref="C87">IF( ISERROR(INDEX(Panel2!$J$6:$J$115,SMALL(IF(Panel2!$J$6:$J$115&lt;&gt;0,ROW(Panel2!$J$6:$J$115)-5),ROW(C83)))),"",  INDEX(Panel2!$J$6:$J$115,SMALL(IF(Panel2!$J$6:$J$115&lt;&gt;0,ROW(Panel2!$J$6:$J$115)-5),ROW(C83))))</f>
        <v/>
      </c>
      <c r="D87" s="423"/>
      <c r="E87" s="425"/>
      <c r="F87" s="388"/>
      <c r="G87" s="388"/>
      <c r="H87" s="416"/>
      <c r="I87" s="416"/>
      <c r="J87" s="413"/>
      <c r="K87" s="417"/>
      <c r="L87" s="417"/>
      <c r="M87" s="418"/>
      <c r="N87" s="418"/>
      <c r="O87" s="418"/>
      <c r="P87" s="418"/>
      <c r="Q87" s="418"/>
      <c r="R87" s="418"/>
      <c r="S87" s="418"/>
      <c r="T87" s="418"/>
      <c r="U87" s="418"/>
      <c r="V87" s="418"/>
      <c r="W87" s="418"/>
      <c r="X87" s="419"/>
      <c r="Y87" s="433">
        <f t="shared" si="7"/>
        <v>0</v>
      </c>
      <c r="Z87" s="612">
        <v>83</v>
      </c>
    </row>
    <row r="88" spans="1:26" s="143" customFormat="1" ht="17.25" customHeight="1">
      <c r="A88" s="414" t="str">
        <f t="array" ref="A88">IF( ISERROR(INDEX(Panel2!$H$6:$H$115,SMALL(IF(Panel2!$J$6:$J$115&lt;&gt;0,ROW(Panel2!$J$6:$J$115)-5),ROW(A84)))),"",INDEX(Panel2!$H$6:$H$115,SMALL(IF(Panel2!$J$6:$J$115&lt;&gt;0,ROW(Panel2!$J$6:$J$115)-5),ROW(A84))))</f>
        <v/>
      </c>
      <c r="B88" s="414" t="str">
        <f t="array" ref="B88">IF(ISERROR(INDEX(Panel2!$I$6:$I$115,SMALL(IF(Panel2!$J$6:$J$115&lt;&gt;0,ROW(Panel2!$J$6:$J$115)-5),ROW(B84)))),"",INDEX(Panel2!$I$6:$I$115,SMALL(IF(Panel2!$J$6:$J$115&lt;&gt;0,ROW(Panel2!$J$6:$J$115)-5),ROW(B84))))</f>
        <v/>
      </c>
      <c r="C88" s="415" t="str">
        <f t="array" ref="C88">IF( ISERROR(INDEX(Panel2!$J$6:$J$115,SMALL(IF(Panel2!$J$6:$J$115&lt;&gt;0,ROW(Panel2!$J$6:$J$115)-5),ROW(C84)))),"",  INDEX(Panel2!$J$6:$J$115,SMALL(IF(Panel2!$J$6:$J$115&lt;&gt;0,ROW(Panel2!$J$6:$J$115)-5),ROW(C84))))</f>
        <v/>
      </c>
      <c r="D88" s="423"/>
      <c r="E88" s="425"/>
      <c r="F88" s="388"/>
      <c r="G88" s="388"/>
      <c r="H88" s="416"/>
      <c r="I88" s="416"/>
      <c r="J88" s="413"/>
      <c r="K88" s="417"/>
      <c r="L88" s="417"/>
      <c r="M88" s="418"/>
      <c r="N88" s="418"/>
      <c r="O88" s="418"/>
      <c r="P88" s="418"/>
      <c r="Q88" s="418"/>
      <c r="R88" s="418"/>
      <c r="S88" s="418"/>
      <c r="T88" s="418"/>
      <c r="U88" s="418"/>
      <c r="V88" s="418"/>
      <c r="W88" s="418"/>
      <c r="X88" s="419"/>
      <c r="Y88" s="433">
        <f t="shared" si="7"/>
        <v>0</v>
      </c>
      <c r="Z88" s="611">
        <v>84</v>
      </c>
    </row>
    <row r="89" spans="1:26" s="143" customFormat="1" ht="17.25" customHeight="1" thickBot="1">
      <c r="A89" s="414" t="str">
        <f t="array" ref="A89">IF( ISERROR(INDEX(Panel2!$H$6:$H$115,SMALL(IF(Panel2!$J$6:$J$115&lt;&gt;0,ROW(Panel2!$J$6:$J$115)-5),ROW(A85)))),"",INDEX(Panel2!$H$6:$H$115,SMALL(IF(Panel2!$J$6:$J$115&lt;&gt;0,ROW(Panel2!$J$6:$J$115)-5),ROW(A85))))</f>
        <v/>
      </c>
      <c r="B89" s="414" t="str">
        <f t="array" ref="B89">IF(ISERROR(INDEX(Panel2!$I$6:$I$115,SMALL(IF(Panel2!$J$6:$J$115&lt;&gt;0,ROW(Panel2!$J$6:$J$115)-5),ROW(B85)))),"",INDEX(Panel2!$I$6:$I$115,SMALL(IF(Panel2!$J$6:$J$115&lt;&gt;0,ROW(Panel2!$J$6:$J$115)-5),ROW(B85))))</f>
        <v/>
      </c>
      <c r="C89" s="415" t="str">
        <f t="array" ref="C89">IF( ISERROR(INDEX(Panel2!$J$6:$J$115,SMALL(IF(Panel2!$J$6:$J$115&lt;&gt;0,ROW(Panel2!$J$6:$J$115)-5),ROW(C85)))),"",  INDEX(Panel2!$J$6:$J$115,SMALL(IF(Panel2!$J$6:$J$115&lt;&gt;0,ROW(Panel2!$J$6:$J$115)-5),ROW(C85))))</f>
        <v/>
      </c>
      <c r="D89" s="423"/>
      <c r="E89" s="425"/>
      <c r="F89" s="388"/>
      <c r="G89" s="388"/>
      <c r="H89" s="416"/>
      <c r="I89" s="416"/>
      <c r="J89" s="413"/>
      <c r="K89" s="417"/>
      <c r="L89" s="417"/>
      <c r="M89" s="418"/>
      <c r="N89" s="418"/>
      <c r="O89" s="418"/>
      <c r="P89" s="418"/>
      <c r="Q89" s="418"/>
      <c r="R89" s="418"/>
      <c r="S89" s="418"/>
      <c r="T89" s="418"/>
      <c r="U89" s="418"/>
      <c r="V89" s="418"/>
      <c r="W89" s="418"/>
      <c r="X89" s="419"/>
      <c r="Y89" s="433">
        <f t="shared" si="7"/>
        <v>0</v>
      </c>
      <c r="Z89" s="612">
        <v>85</v>
      </c>
    </row>
    <row r="90" spans="1:26" s="143" customFormat="1" ht="17.25" customHeight="1">
      <c r="A90" s="414" t="str">
        <f t="array" ref="A90">IF( ISERROR(INDEX(Panel2!$H$6:$H$115,SMALL(IF(Panel2!$J$6:$J$115&lt;&gt;0,ROW(Panel2!$J$6:$J$115)-5),ROW(A86)))),"",INDEX(Panel2!$H$6:$H$115,SMALL(IF(Panel2!$J$6:$J$115&lt;&gt;0,ROW(Panel2!$J$6:$J$115)-5),ROW(A86))))</f>
        <v/>
      </c>
      <c r="B90" s="414" t="str">
        <f t="array" ref="B90">IF(ISERROR(INDEX(Panel2!$I$6:$I$115,SMALL(IF(Panel2!$J$6:$J$115&lt;&gt;0,ROW(Panel2!$J$6:$J$115)-5),ROW(B86)))),"",INDEX(Panel2!$I$6:$I$115,SMALL(IF(Panel2!$J$6:$J$115&lt;&gt;0,ROW(Panel2!$J$6:$J$115)-5),ROW(B86))))</f>
        <v/>
      </c>
      <c r="C90" s="415" t="str">
        <f t="array" ref="C90">IF( ISERROR(INDEX(Panel2!$J$6:$J$115,SMALL(IF(Panel2!$J$6:$J$115&lt;&gt;0,ROW(Panel2!$J$6:$J$115)-5),ROW(C86)))),"",  INDEX(Panel2!$J$6:$J$115,SMALL(IF(Panel2!$J$6:$J$115&lt;&gt;0,ROW(Panel2!$J$6:$J$115)-5),ROW(C86))))</f>
        <v/>
      </c>
      <c r="D90" s="423"/>
      <c r="E90" s="425"/>
      <c r="F90" s="388"/>
      <c r="G90" s="388"/>
      <c r="H90" s="416"/>
      <c r="I90" s="416"/>
      <c r="J90" s="413"/>
      <c r="K90" s="417"/>
      <c r="L90" s="417"/>
      <c r="M90" s="418"/>
      <c r="N90" s="418"/>
      <c r="O90" s="418"/>
      <c r="P90" s="418"/>
      <c r="Q90" s="418"/>
      <c r="R90" s="418"/>
      <c r="S90" s="418"/>
      <c r="T90" s="418"/>
      <c r="U90" s="418"/>
      <c r="V90" s="418"/>
      <c r="W90" s="418"/>
      <c r="X90" s="419"/>
      <c r="Y90" s="433">
        <f t="shared" si="7"/>
        <v>0</v>
      </c>
      <c r="Z90" s="611">
        <v>86</v>
      </c>
    </row>
    <row r="91" spans="1:26" s="143" customFormat="1" ht="17.25" customHeight="1" thickBot="1">
      <c r="A91" s="414" t="str">
        <f t="array" ref="A91">IF( ISERROR(INDEX(Panel2!$H$6:$H$115,SMALL(IF(Panel2!$J$6:$J$115&lt;&gt;0,ROW(Panel2!$J$6:$J$115)-5),ROW(A87)))),"",INDEX(Panel2!$H$6:$H$115,SMALL(IF(Panel2!$J$6:$J$115&lt;&gt;0,ROW(Panel2!$J$6:$J$115)-5),ROW(A87))))</f>
        <v/>
      </c>
      <c r="B91" s="414" t="str">
        <f t="array" ref="B91">IF(ISERROR(INDEX(Panel2!$I$6:$I$115,SMALL(IF(Panel2!$J$6:$J$115&lt;&gt;0,ROW(Panel2!$J$6:$J$115)-5),ROW(B87)))),"",INDEX(Panel2!$I$6:$I$115,SMALL(IF(Panel2!$J$6:$J$115&lt;&gt;0,ROW(Panel2!$J$6:$J$115)-5),ROW(B87))))</f>
        <v/>
      </c>
      <c r="C91" s="415" t="str">
        <f t="array" ref="C91">IF( ISERROR(INDEX(Panel2!$J$6:$J$115,SMALL(IF(Panel2!$J$6:$J$115&lt;&gt;0,ROW(Panel2!$J$6:$J$115)-5),ROW(C87)))),"",  INDEX(Panel2!$J$6:$J$115,SMALL(IF(Panel2!$J$6:$J$115&lt;&gt;0,ROW(Panel2!$J$6:$J$115)-5),ROW(C87))))</f>
        <v/>
      </c>
      <c r="D91" s="423"/>
      <c r="E91" s="425"/>
      <c r="F91" s="388"/>
      <c r="G91" s="388"/>
      <c r="H91" s="416"/>
      <c r="I91" s="416"/>
      <c r="J91" s="413"/>
      <c r="K91" s="417"/>
      <c r="L91" s="417"/>
      <c r="M91" s="418"/>
      <c r="N91" s="418"/>
      <c r="O91" s="418"/>
      <c r="P91" s="418"/>
      <c r="Q91" s="418"/>
      <c r="R91" s="418"/>
      <c r="S91" s="418"/>
      <c r="T91" s="418"/>
      <c r="U91" s="418"/>
      <c r="V91" s="418"/>
      <c r="W91" s="418"/>
      <c r="X91" s="419"/>
      <c r="Y91" s="433">
        <f t="shared" si="7"/>
        <v>0</v>
      </c>
      <c r="Z91" s="612">
        <v>87</v>
      </c>
    </row>
    <row r="92" spans="1:26" s="143" customFormat="1" ht="17.25" customHeight="1">
      <c r="A92" s="414" t="str">
        <f t="array" ref="A92">IF( ISERROR(INDEX(Panel2!$H$6:$H$115,SMALL(IF(Panel2!$J$6:$J$115&lt;&gt;0,ROW(Panel2!$J$6:$J$115)-5),ROW(A88)))),"",INDEX(Panel2!$H$6:$H$115,SMALL(IF(Panel2!$J$6:$J$115&lt;&gt;0,ROW(Panel2!$J$6:$J$115)-5),ROW(A88))))</f>
        <v/>
      </c>
      <c r="B92" s="414" t="str">
        <f t="array" ref="B92">IF(ISERROR(INDEX(Panel2!$I$6:$I$115,SMALL(IF(Panel2!$J$6:$J$115&lt;&gt;0,ROW(Panel2!$J$6:$J$115)-5),ROW(B88)))),"",INDEX(Panel2!$I$6:$I$115,SMALL(IF(Panel2!$J$6:$J$115&lt;&gt;0,ROW(Panel2!$J$6:$J$115)-5),ROW(B88))))</f>
        <v/>
      </c>
      <c r="C92" s="415" t="str">
        <f t="array" ref="C92">IF( ISERROR(INDEX(Panel2!$J$6:$J$115,SMALL(IF(Panel2!$J$6:$J$115&lt;&gt;0,ROW(Panel2!$J$6:$J$115)-5),ROW(C88)))),"",  INDEX(Panel2!$J$6:$J$115,SMALL(IF(Panel2!$J$6:$J$115&lt;&gt;0,ROW(Panel2!$J$6:$J$115)-5),ROW(C88))))</f>
        <v/>
      </c>
      <c r="D92" s="423"/>
      <c r="E92" s="425"/>
      <c r="F92" s="388"/>
      <c r="G92" s="413"/>
      <c r="H92" s="416"/>
      <c r="I92" s="416"/>
      <c r="J92" s="413"/>
      <c r="K92" s="417"/>
      <c r="L92" s="417"/>
      <c r="M92" s="418"/>
      <c r="N92" s="418"/>
      <c r="O92" s="418"/>
      <c r="P92" s="418"/>
      <c r="Q92" s="418"/>
      <c r="R92" s="418"/>
      <c r="S92" s="418"/>
      <c r="T92" s="418"/>
      <c r="U92" s="418"/>
      <c r="V92" s="418"/>
      <c r="W92" s="418"/>
      <c r="X92" s="419"/>
      <c r="Y92" s="433">
        <f t="shared" si="7"/>
        <v>0</v>
      </c>
      <c r="Z92" s="611">
        <v>88</v>
      </c>
    </row>
    <row r="93" spans="1:26" s="143" customFormat="1" ht="17.25" customHeight="1" thickBot="1">
      <c r="A93" s="414" t="str">
        <f t="array" ref="A93">IF( ISERROR(INDEX(Panel2!$H$6:$H$115,SMALL(IF(Panel2!$J$6:$J$115&lt;&gt;0,ROW(Panel2!$J$6:$J$115)-5),ROW(A89)))),"",INDEX(Panel2!$H$6:$H$115,SMALL(IF(Panel2!$J$6:$J$115&lt;&gt;0,ROW(Panel2!$J$6:$J$115)-5),ROW(A89))))</f>
        <v/>
      </c>
      <c r="B93" s="414" t="str">
        <f t="array" ref="B93">IF(ISERROR(INDEX(Panel2!$I$6:$I$115,SMALL(IF(Panel2!$J$6:$J$115&lt;&gt;0,ROW(Panel2!$J$6:$J$115)-5),ROW(B89)))),"",INDEX(Panel2!$I$6:$I$115,SMALL(IF(Panel2!$J$6:$J$115&lt;&gt;0,ROW(Panel2!$J$6:$J$115)-5),ROW(B89))))</f>
        <v/>
      </c>
      <c r="C93" s="415" t="str">
        <f t="array" ref="C93">IF( ISERROR(INDEX(Panel2!$J$6:$J$115,SMALL(IF(Panel2!$J$6:$J$115&lt;&gt;0,ROW(Panel2!$J$6:$J$115)-5),ROW(C89)))),"",  INDEX(Panel2!$J$6:$J$115,SMALL(IF(Panel2!$J$6:$J$115&lt;&gt;0,ROW(Panel2!$J$6:$J$115)-5),ROW(C89))))</f>
        <v/>
      </c>
      <c r="D93" s="423"/>
      <c r="E93" s="425"/>
      <c r="F93" s="388"/>
      <c r="G93" s="413"/>
      <c r="H93" s="416"/>
      <c r="I93" s="416"/>
      <c r="J93" s="413"/>
      <c r="K93" s="417"/>
      <c r="L93" s="417"/>
      <c r="M93" s="418"/>
      <c r="N93" s="418"/>
      <c r="O93" s="418"/>
      <c r="P93" s="418"/>
      <c r="Q93" s="418"/>
      <c r="R93" s="418"/>
      <c r="S93" s="418"/>
      <c r="T93" s="418"/>
      <c r="U93" s="418"/>
      <c r="V93" s="418"/>
      <c r="W93" s="418"/>
      <c r="X93" s="419"/>
      <c r="Y93" s="433">
        <f t="shared" si="7"/>
        <v>0</v>
      </c>
      <c r="Z93" s="612">
        <v>89</v>
      </c>
    </row>
    <row r="94" spans="1:26" s="143" customFormat="1" ht="17.25" customHeight="1">
      <c r="A94" s="141" t="str">
        <f t="array" ref="A94">IF( ISERROR(INDEX(Panel2!$H$6:$H$115,SMALL(IF(Panel2!$J$6:$J$115&lt;&gt;0,ROW(Panel2!$J$6:$J$115)-5),ROW(A90)))),"",INDEX(Panel2!$H$6:$H$115,SMALL(IF(Panel2!$J$6:$J$115&lt;&gt;0,ROW(Panel2!$J$6:$J$115)-5),ROW(A90))))</f>
        <v/>
      </c>
      <c r="B94" s="141" t="str">
        <f t="array" ref="B94">IF(ISERROR(INDEX(Panel2!$I$6:$I$115,SMALL(IF(Panel2!$J$6:$J$115&lt;&gt;0,ROW(Panel2!$J$6:$J$115)-5),ROW(B90)))),"",INDEX(Panel2!$I$6:$I$115,SMALL(IF(Panel2!$J$6:$J$115&lt;&gt;0,ROW(Panel2!$J$6:$J$115)-5),ROW(B90))))</f>
        <v/>
      </c>
      <c r="C94" s="415" t="str">
        <f t="array" ref="C94">IF( ISERROR(INDEX(Panel2!$J$6:$J$115,SMALL(IF(Panel2!$J$6:$J$115&lt;&gt;0,ROW(Panel2!$J$6:$J$115)-5),ROW(C90)))),"",  INDEX(Panel2!$J$6:$J$115,SMALL(IF(Panel2!$J$6:$J$115&lt;&gt;0,ROW(Panel2!$J$6:$J$115)-5),ROW(C90))))</f>
        <v/>
      </c>
      <c r="D94" s="423"/>
      <c r="E94" s="422"/>
      <c r="F94" s="388"/>
      <c r="G94" s="413"/>
      <c r="H94" s="416"/>
      <c r="I94" s="416"/>
      <c r="J94" s="413"/>
      <c r="K94" s="417"/>
      <c r="L94" s="417"/>
      <c r="M94" s="418"/>
      <c r="N94" s="418"/>
      <c r="O94" s="418"/>
      <c r="P94" s="418"/>
      <c r="Q94" s="418"/>
      <c r="R94" s="418"/>
      <c r="S94" s="418"/>
      <c r="T94" s="418"/>
      <c r="U94" s="418"/>
      <c r="V94" s="418"/>
      <c r="W94" s="418"/>
      <c r="X94" s="419"/>
      <c r="Y94" s="426">
        <f t="shared" si="7"/>
        <v>0</v>
      </c>
      <c r="Z94" s="611">
        <v>90</v>
      </c>
    </row>
    <row r="95" spans="1:26" s="143" customFormat="1" ht="17.25" customHeight="1" thickBot="1">
      <c r="A95" s="141" t="str">
        <f t="array" ref="A95">IF( ISERROR(INDEX(Panel2!$H$6:$H$115,SMALL(IF(Panel2!$J$6:$J$115&lt;&gt;0,ROW(Panel2!$J$6:$J$115)-5),ROW(A91)))),"",INDEX(Panel2!$H$6:$H$115,SMALL(IF(Panel2!$J$6:$J$115&lt;&gt;0,ROW(Panel2!$J$6:$J$115)-5),ROW(A91))))</f>
        <v/>
      </c>
      <c r="B95" s="141" t="str">
        <f t="array" ref="B95">IF(ISERROR(INDEX(Panel2!$I$6:$I$115,SMALL(IF(Panel2!$J$6:$J$115&lt;&gt;0,ROW(Panel2!$J$6:$J$115)-5),ROW(B91)))),"",INDEX(Panel2!$I$6:$I$115,SMALL(IF(Panel2!$J$6:$J$115&lt;&gt;0,ROW(Panel2!$J$6:$J$115)-5),ROW(B91))))</f>
        <v/>
      </c>
      <c r="C95" s="415" t="str">
        <f t="array" ref="C95">IF( ISERROR(INDEX(Panel2!$J$6:$J$115,SMALL(IF(Panel2!$J$6:$J$115&lt;&gt;0,ROW(Panel2!$J$6:$J$115)-5),ROW(C91)))),"",  INDEX(Panel2!$J$6:$J$115,SMALL(IF(Panel2!$J$6:$J$115&lt;&gt;0,ROW(Panel2!$J$6:$J$115)-5),ROW(C91))))</f>
        <v/>
      </c>
      <c r="D95" s="423"/>
      <c r="E95" s="422"/>
      <c r="F95" s="388"/>
      <c r="G95" s="413"/>
      <c r="H95" s="416"/>
      <c r="I95" s="416"/>
      <c r="J95" s="388"/>
      <c r="K95" s="388"/>
      <c r="L95" s="388"/>
      <c r="M95" s="413"/>
      <c r="N95" s="388"/>
      <c r="O95" s="413"/>
      <c r="P95" s="413"/>
      <c r="Q95" s="413"/>
      <c r="R95" s="413"/>
      <c r="S95" s="413"/>
      <c r="T95" s="413"/>
      <c r="U95" s="413"/>
      <c r="V95" s="413"/>
      <c r="W95" s="413"/>
      <c r="X95" s="388"/>
      <c r="Y95" s="426">
        <f t="shared" si="7"/>
        <v>0</v>
      </c>
      <c r="Z95" s="612">
        <v>91</v>
      </c>
    </row>
    <row r="96" spans="1:26" s="143" customFormat="1" ht="17.25" customHeight="1">
      <c r="A96" s="141" t="str">
        <f t="array" ref="A96">IF( ISERROR(INDEX(Panel2!$H$6:$H$115,SMALL(IF(Panel2!$J$6:$J$115&lt;&gt;0,ROW(Panel2!$J$6:$J$115)-5),ROW(A92)))),"",INDEX(Panel2!$H$6:$H$115,SMALL(IF(Panel2!$J$6:$J$115&lt;&gt;0,ROW(Panel2!$J$6:$J$115)-5),ROW(A92))))</f>
        <v/>
      </c>
      <c r="B96" s="141" t="str">
        <f t="array" ref="B96">IF(ISERROR(INDEX(Panel2!$I$6:$I$115,SMALL(IF(Panel2!$J$6:$J$115&lt;&gt;0,ROW(Panel2!$J$6:$J$115)-5),ROW(B92)))),"",INDEX(Panel2!$I$6:$I$115,SMALL(IF(Panel2!$J$6:$J$115&lt;&gt;0,ROW(Panel2!$J$6:$J$115)-5),ROW(B92))))</f>
        <v/>
      </c>
      <c r="C96" s="415" t="str">
        <f t="array" ref="C96">IF( ISERROR(INDEX(Panel2!$J$6:$J$115,SMALL(IF(Panel2!$J$6:$J$115&lt;&gt;0,ROW(Panel2!$J$6:$J$115)-5),ROW(C92)))),"",  INDEX(Panel2!$J$6:$J$115,SMALL(IF(Panel2!$J$6:$J$115&lt;&gt;0,ROW(Panel2!$J$6:$J$115)-5),ROW(C92))))</f>
        <v/>
      </c>
      <c r="D96" s="423"/>
      <c r="E96" s="422"/>
      <c r="F96" s="388"/>
      <c r="G96" s="413"/>
      <c r="H96" s="427"/>
      <c r="I96" s="427"/>
      <c r="J96" s="428"/>
      <c r="K96" s="429"/>
      <c r="L96" s="429"/>
      <c r="M96" s="431"/>
      <c r="N96" s="418"/>
      <c r="O96" s="418"/>
      <c r="P96" s="418"/>
      <c r="Q96" s="418"/>
      <c r="R96" s="418"/>
      <c r="S96" s="418"/>
      <c r="T96" s="418"/>
      <c r="U96" s="418"/>
      <c r="V96" s="418"/>
      <c r="W96" s="418"/>
      <c r="X96" s="419"/>
      <c r="Y96" s="426">
        <f t="shared" si="7"/>
        <v>0</v>
      </c>
      <c r="Z96" s="611">
        <v>92</v>
      </c>
    </row>
    <row r="97" spans="1:26" s="143" customFormat="1" ht="17.25" customHeight="1" thickBot="1">
      <c r="A97" s="141" t="str">
        <f t="array" ref="A97">IF( ISERROR(INDEX(Panel2!$H$6:$H$115,SMALL(IF(Panel2!$J$6:$J$115&lt;&gt;0,ROW(Panel2!$J$6:$J$115)-5),ROW(A93)))),"",INDEX(Panel2!$H$6:$H$115,SMALL(IF(Panel2!$J$6:$J$115&lt;&gt;0,ROW(Panel2!$J$6:$J$115)-5),ROW(A93))))</f>
        <v/>
      </c>
      <c r="B97" s="141" t="str">
        <f t="array" ref="B97">IF(ISERROR(INDEX(Panel2!$I$6:$I$115,SMALL(IF(Panel2!$J$6:$J$115&lt;&gt;0,ROW(Panel2!$J$6:$J$115)-5),ROW(B93)))),"",INDEX(Panel2!$I$6:$I$115,SMALL(IF(Panel2!$J$6:$J$115&lt;&gt;0,ROW(Panel2!$J$6:$J$115)-5),ROW(B93))))</f>
        <v/>
      </c>
      <c r="C97" s="415" t="str">
        <f t="array" ref="C97">IF( ISERROR(INDEX(Panel2!$J$6:$J$115,SMALL(IF(Panel2!$J$6:$J$115&lt;&gt;0,ROW(Panel2!$J$6:$J$115)-5),ROW(C93)))),"",  INDEX(Panel2!$J$6:$J$115,SMALL(IF(Panel2!$J$6:$J$115&lt;&gt;0,ROW(Panel2!$J$6:$J$115)-5),ROW(C93))))</f>
        <v/>
      </c>
      <c r="D97" s="423"/>
      <c r="E97" s="422"/>
      <c r="F97" s="388"/>
      <c r="G97" s="413"/>
      <c r="H97" s="416"/>
      <c r="I97" s="416"/>
      <c r="J97" s="413"/>
      <c r="K97" s="417"/>
      <c r="L97" s="417"/>
      <c r="M97" s="418"/>
      <c r="N97" s="418"/>
      <c r="O97" s="418"/>
      <c r="P97" s="418"/>
      <c r="Q97" s="418"/>
      <c r="R97" s="418"/>
      <c r="S97" s="418"/>
      <c r="T97" s="418"/>
      <c r="U97" s="418"/>
      <c r="V97" s="418"/>
      <c r="W97" s="418"/>
      <c r="X97" s="419"/>
      <c r="Y97" s="426">
        <f t="shared" si="7"/>
        <v>0</v>
      </c>
      <c r="Z97" s="612">
        <v>93</v>
      </c>
    </row>
    <row r="98" spans="1:26" ht="17.25" customHeight="1">
      <c r="A98" s="141" t="str">
        <f t="array" ref="A98">IF( ISERROR(INDEX(Panel2!$H$6:$H$115,SMALL(IF(Panel2!$J$6:$J$115&lt;&gt;0,ROW(Panel2!$J$6:$J$115)-5),ROW(A94)))),"",INDEX(Panel2!$H$6:$H$115,SMALL(IF(Panel2!$J$6:$J$115&lt;&gt;0,ROW(Panel2!$J$6:$J$115)-5),ROW(A94))))</f>
        <v/>
      </c>
      <c r="B98" s="141" t="str">
        <f t="array" ref="B98">IF(ISERROR(INDEX(Panel2!$I$6:$I$115,SMALL(IF(Panel2!$J$6:$J$115&lt;&gt;0,ROW(Panel2!$J$6:$J$115)-5),ROW(B94)))),"",INDEX(Panel2!$I$6:$I$115,SMALL(IF(Panel2!$J$6:$J$115&lt;&gt;0,ROW(Panel2!$J$6:$J$115)-5),ROW(B94))))</f>
        <v/>
      </c>
      <c r="C98" s="415" t="str">
        <f t="array" ref="C98">IF( ISERROR(INDEX(Panel2!$J$6:$J$115,SMALL(IF(Panel2!$J$6:$J$115&lt;&gt;0,ROW(Panel2!$J$6:$J$115)-5),ROW(C94)))),"",  INDEX(Panel2!$J$6:$J$115,SMALL(IF(Panel2!$J$6:$J$115&lt;&gt;0,ROW(Panel2!$J$6:$J$115)-5),ROW(C94))))</f>
        <v/>
      </c>
      <c r="D98" s="423"/>
      <c r="E98" s="422"/>
      <c r="F98" s="397"/>
      <c r="G98" s="424"/>
      <c r="H98" s="416"/>
      <c r="I98" s="416"/>
      <c r="J98" s="413"/>
      <c r="K98" s="417"/>
      <c r="L98" s="417"/>
      <c r="M98" s="418"/>
      <c r="N98" s="418"/>
      <c r="O98" s="418"/>
      <c r="P98" s="418"/>
      <c r="Q98" s="418"/>
      <c r="R98" s="418"/>
      <c r="S98" s="418"/>
      <c r="T98" s="418"/>
      <c r="U98" s="418"/>
      <c r="V98" s="418"/>
      <c r="W98" s="418"/>
      <c r="X98" s="419"/>
      <c r="Y98" s="426">
        <f t="shared" si="7"/>
        <v>0</v>
      </c>
      <c r="Z98" s="611">
        <v>94</v>
      </c>
    </row>
    <row r="99" spans="1:26" ht="17.25" customHeight="1" thickBot="1">
      <c r="A99" s="141" t="str">
        <f t="array" ref="A99">IF( ISERROR(INDEX(Panel2!$H$6:$H$115,SMALL(IF(Panel2!$J$6:$J$115&lt;&gt;0,ROW(Panel2!$J$6:$J$115)-5),ROW(A95)))),"",INDEX(Panel2!$H$6:$H$115,SMALL(IF(Panel2!$J$6:$J$115&lt;&gt;0,ROW(Panel2!$J$6:$J$115)-5),ROW(A95))))</f>
        <v/>
      </c>
      <c r="B99" s="141" t="str">
        <f t="array" ref="B99">IF(ISERROR(INDEX(Panel2!$I$6:$I$115,SMALL(IF(Panel2!$J$6:$J$115&lt;&gt;0,ROW(Panel2!$J$6:$J$115)-5),ROW(B95)))),"",INDEX(Panel2!$I$6:$I$115,SMALL(IF(Panel2!$J$6:$J$115&lt;&gt;0,ROW(Panel2!$J$6:$J$115)-5),ROW(B95))))</f>
        <v/>
      </c>
      <c r="C99" s="415" t="str">
        <f t="array" ref="C99">IF( ISERROR(INDEX(Panel2!$J$6:$J$115,SMALL(IF(Panel2!$J$6:$J$115&lt;&gt;0,ROW(Panel2!$J$6:$J$115)-5),ROW(C95)))),"",  INDEX(Panel2!$J$6:$J$115,SMALL(IF(Panel2!$J$6:$J$115&lt;&gt;0,ROW(Panel2!$J$6:$J$115)-5),ROW(C95))))</f>
        <v/>
      </c>
      <c r="D99" s="423"/>
      <c r="E99" s="422"/>
      <c r="F99" s="397"/>
      <c r="G99" s="424"/>
      <c r="H99" s="416"/>
      <c r="I99" s="416"/>
      <c r="J99" s="413"/>
      <c r="K99" s="417"/>
      <c r="L99" s="417"/>
      <c r="M99" s="418"/>
      <c r="N99" s="418"/>
      <c r="O99" s="418"/>
      <c r="P99" s="418"/>
      <c r="Q99" s="418"/>
      <c r="R99" s="418"/>
      <c r="S99" s="418"/>
      <c r="T99" s="418"/>
      <c r="U99" s="418"/>
      <c r="V99" s="418"/>
      <c r="W99" s="418"/>
      <c r="X99" s="419"/>
      <c r="Y99" s="426">
        <f t="shared" si="7"/>
        <v>0</v>
      </c>
      <c r="Z99" s="612">
        <v>95</v>
      </c>
    </row>
    <row r="100" spans="1:26" ht="17.25" customHeight="1">
      <c r="A100" s="141" t="str">
        <f t="array" ref="A100">IF( ISERROR(INDEX(Panel2!$H$6:$H$115,SMALL(IF(Panel2!$J$6:$J$115&lt;&gt;0,ROW(Panel2!$J$6:$J$115)-5),ROW(A96)))),"",INDEX(Panel2!$H$6:$H$115,SMALL(IF(Panel2!$J$6:$J$115&lt;&gt;0,ROW(Panel2!$J$6:$J$115)-5),ROW(A96))))</f>
        <v/>
      </c>
      <c r="B100" s="141" t="str">
        <f t="array" ref="B100">IF(ISERROR(INDEX(Panel2!$I$6:$I$115,SMALL(IF(Panel2!$J$6:$J$115&lt;&gt;0,ROW(Panel2!$J$6:$J$115)-5),ROW(B96)))),"",INDEX(Panel2!$I$6:$I$115,SMALL(IF(Panel2!$J$6:$J$115&lt;&gt;0,ROW(Panel2!$J$6:$J$115)-5),ROW(B96))))</f>
        <v/>
      </c>
      <c r="C100" s="415" t="str">
        <f t="array" ref="C100">IF( ISERROR(INDEX(Panel2!$J$6:$J$115,SMALL(IF(Panel2!$J$6:$J$115&lt;&gt;0,ROW(Panel2!$J$6:$J$115)-5),ROW(C96)))),"",  INDEX(Panel2!$J$6:$J$115,SMALL(IF(Panel2!$J$6:$J$115&lt;&gt;0,ROW(Panel2!$J$6:$J$115)-5),ROW(C96))))</f>
        <v/>
      </c>
      <c r="D100" s="423"/>
      <c r="E100" s="422"/>
      <c r="F100" s="397"/>
      <c r="G100" s="424"/>
      <c r="H100" s="416"/>
      <c r="I100" s="416"/>
      <c r="J100" s="413"/>
      <c r="K100" s="417"/>
      <c r="L100" s="417"/>
      <c r="M100" s="418"/>
      <c r="N100" s="418"/>
      <c r="O100" s="418"/>
      <c r="P100" s="418"/>
      <c r="Q100" s="418"/>
      <c r="R100" s="418"/>
      <c r="S100" s="418"/>
      <c r="T100" s="418"/>
      <c r="U100" s="418"/>
      <c r="V100" s="418"/>
      <c r="W100" s="418"/>
      <c r="X100" s="419"/>
      <c r="Y100" s="426">
        <f t="shared" si="7"/>
        <v>0</v>
      </c>
      <c r="Z100" s="611">
        <v>96</v>
      </c>
    </row>
    <row r="101" spans="1:26" ht="17.25" customHeight="1" thickBot="1">
      <c r="A101" s="141" t="str">
        <f t="array" ref="A101">IF( ISERROR(INDEX(Panel2!$H$6:$H$115,SMALL(IF(Panel2!$J$6:$J$115&lt;&gt;0,ROW(Panel2!$J$6:$J$115)-5),ROW(A97)))),"",INDEX(Panel2!$H$6:$H$115,SMALL(IF(Panel2!$J$6:$J$115&lt;&gt;0,ROW(Panel2!$J$6:$J$115)-5),ROW(A97))))</f>
        <v/>
      </c>
      <c r="B101" s="141" t="str">
        <f t="array" ref="B101">IF(ISERROR(INDEX(Panel2!$I$6:$I$115,SMALL(IF(Panel2!$J$6:$J$115&lt;&gt;0,ROW(Panel2!$J$6:$J$115)-5),ROW(B97)))),"",INDEX(Panel2!$I$6:$I$115,SMALL(IF(Panel2!$J$6:$J$115&lt;&gt;0,ROW(Panel2!$J$6:$J$115)-5),ROW(B97))))</f>
        <v/>
      </c>
      <c r="C101" s="415" t="str">
        <f t="array" ref="C101">IF( ISERROR(INDEX(Panel2!$J$6:$J$115,SMALL(IF(Panel2!$J$6:$J$115&lt;&gt;0,ROW(Panel2!$J$6:$J$115)-5),ROW(C97)))),"",  INDEX(Panel2!$J$6:$J$115,SMALL(IF(Panel2!$J$6:$J$115&lt;&gt;0,ROW(Panel2!$J$6:$J$115)-5),ROW(C97))))</f>
        <v/>
      </c>
      <c r="D101" s="423"/>
      <c r="E101" s="422"/>
      <c r="F101" s="397"/>
      <c r="G101" s="424"/>
      <c r="H101" s="416"/>
      <c r="I101" s="416"/>
      <c r="J101" s="413"/>
      <c r="K101" s="417"/>
      <c r="L101" s="417"/>
      <c r="M101" s="418"/>
      <c r="N101" s="418"/>
      <c r="O101" s="418"/>
      <c r="P101" s="418"/>
      <c r="Q101" s="418"/>
      <c r="R101" s="418"/>
      <c r="S101" s="418"/>
      <c r="T101" s="418"/>
      <c r="U101" s="418"/>
      <c r="V101" s="418"/>
      <c r="W101" s="418"/>
      <c r="X101" s="419"/>
      <c r="Y101" s="426">
        <f t="shared" si="7"/>
        <v>0</v>
      </c>
      <c r="Z101" s="612">
        <v>97</v>
      </c>
    </row>
    <row r="102" spans="1:26" s="143" customFormat="1" ht="17.25" customHeight="1">
      <c r="A102" s="141" t="str">
        <f t="array" ref="A102">IF( ISERROR(INDEX(Panel2!$H$6:$H$115,SMALL(IF(Panel2!$J$6:$J$115&lt;&gt;0,ROW(Panel2!$J$6:$J$115)-5),ROW(A98)))),"",INDEX(Panel2!$H$6:$H$115,SMALL(IF(Panel2!$J$6:$J$115&lt;&gt;0,ROW(Panel2!$J$6:$J$115)-5),ROW(A98))))</f>
        <v/>
      </c>
      <c r="B102" s="141" t="str">
        <f t="array" ref="B102">IF(ISERROR(INDEX(Panel2!$I$6:$I$115,SMALL(IF(Panel2!$J$6:$J$115&lt;&gt;0,ROW(Panel2!$J$6:$J$115)-5),ROW(B98)))),"",INDEX(Panel2!$I$6:$I$115,SMALL(IF(Panel2!$J$6:$J$115&lt;&gt;0,ROW(Panel2!$J$6:$J$115)-5),ROW(B98))))</f>
        <v/>
      </c>
      <c r="C102" s="415" t="str">
        <f t="array" ref="C102">IF( ISERROR(INDEX(Panel2!$J$6:$J$115,SMALL(IF(Panel2!$J$6:$J$115&lt;&gt;0,ROW(Panel2!$J$6:$J$115)-5),ROW(C98)))),"",  INDEX(Panel2!$J$6:$J$115,SMALL(IF(Panel2!$J$6:$J$115&lt;&gt;0,ROW(Panel2!$J$6:$J$115)-5),ROW(C98))))</f>
        <v/>
      </c>
      <c r="D102" s="423"/>
      <c r="E102" s="422"/>
      <c r="F102" s="388"/>
      <c r="G102" s="413"/>
      <c r="H102" s="416"/>
      <c r="I102" s="416"/>
      <c r="J102" s="413"/>
      <c r="K102" s="417"/>
      <c r="L102" s="417"/>
      <c r="M102" s="418"/>
      <c r="N102" s="418"/>
      <c r="O102" s="418"/>
      <c r="P102" s="418"/>
      <c r="Q102" s="418"/>
      <c r="R102" s="418"/>
      <c r="S102" s="418"/>
      <c r="T102" s="418"/>
      <c r="U102" s="418"/>
      <c r="V102" s="418"/>
      <c r="W102" s="418"/>
      <c r="X102" s="419"/>
      <c r="Y102" s="426">
        <f t="shared" si="7"/>
        <v>0</v>
      </c>
      <c r="Z102" s="611">
        <v>98</v>
      </c>
    </row>
    <row r="103" spans="1:26" s="143" customFormat="1" ht="17.25" customHeight="1" thickBot="1">
      <c r="A103" s="141" t="str">
        <f t="array" ref="A103">IF( ISERROR(INDEX(Panel2!$H$6:$H$115,SMALL(IF(Panel2!$J$6:$J$115&lt;&gt;0,ROW(Panel2!$J$6:$J$115)-5),ROW(A99)))),"",INDEX(Panel2!$H$6:$H$115,SMALL(IF(Panel2!$J$6:$J$115&lt;&gt;0,ROW(Panel2!$J$6:$J$115)-5),ROW(A99))))</f>
        <v/>
      </c>
      <c r="B103" s="141" t="str">
        <f t="array" ref="B103">IF(ISERROR(INDEX(Panel2!$I$6:$I$115,SMALL(IF(Panel2!$J$6:$J$115&lt;&gt;0,ROW(Panel2!$J$6:$J$115)-5),ROW(B99)))),"",INDEX(Panel2!$I$6:$I$115,SMALL(IF(Panel2!$J$6:$J$115&lt;&gt;0,ROW(Panel2!$J$6:$J$115)-5),ROW(B99))))</f>
        <v/>
      </c>
      <c r="C103" s="415" t="str">
        <f t="array" ref="C103">IF( ISERROR(INDEX(Panel2!$J$6:$J$115,SMALL(IF(Panel2!$J$6:$J$115&lt;&gt;0,ROW(Panel2!$J$6:$J$115)-5),ROW(C99)))),"",  INDEX(Panel2!$J$6:$J$115,SMALL(IF(Panel2!$J$6:$J$115&lt;&gt;0,ROW(Panel2!$J$6:$J$115)-5),ROW(C99))))</f>
        <v/>
      </c>
      <c r="D103" s="423"/>
      <c r="E103" s="422"/>
      <c r="F103" s="388"/>
      <c r="G103" s="413"/>
      <c r="H103" s="416"/>
      <c r="I103" s="416"/>
      <c r="J103" s="413"/>
      <c r="K103" s="417"/>
      <c r="L103" s="417"/>
      <c r="M103" s="418"/>
      <c r="N103" s="418"/>
      <c r="O103" s="418"/>
      <c r="P103" s="418"/>
      <c r="Q103" s="418"/>
      <c r="R103" s="418"/>
      <c r="S103" s="418"/>
      <c r="T103" s="418"/>
      <c r="U103" s="418"/>
      <c r="V103" s="418"/>
      <c r="W103" s="418"/>
      <c r="X103" s="419"/>
      <c r="Y103" s="426">
        <f t="shared" si="7"/>
        <v>0</v>
      </c>
      <c r="Z103" s="612">
        <v>99</v>
      </c>
    </row>
    <row r="104" spans="1:26" ht="17.25" customHeight="1">
      <c r="A104" s="141" t="str">
        <f t="array" ref="A104">IF( ISERROR(INDEX(Panel2!$H$6:$H$115,SMALL(IF(Panel2!$J$6:$J$115&lt;&gt;0,ROW(Panel2!$J$6:$J$115)-5),ROW(A100)))),"",INDEX(Panel2!$H$6:$H$115,SMALL(IF(Panel2!$J$6:$J$115&lt;&gt;0,ROW(Panel2!$J$6:$J$115)-5),ROW(A100))))</f>
        <v/>
      </c>
      <c r="B104" s="141" t="str">
        <f t="array" ref="B104">IF(ISERROR(INDEX(Panel2!$I$6:$I$115,SMALL(IF(Panel2!$J$6:$J$115&lt;&gt;0,ROW(Panel2!$J$6:$J$115)-5),ROW(B100)))),"",INDEX(Panel2!$I$6:$I$115,SMALL(IF(Panel2!$J$6:$J$115&lt;&gt;0,ROW(Panel2!$J$6:$J$115)-5),ROW(B100))))</f>
        <v/>
      </c>
      <c r="C104" s="415" t="str">
        <f t="array" ref="C104">IF( ISERROR(INDEX(Panel2!$J$6:$J$115,SMALL(IF(Panel2!$J$6:$J$115&lt;&gt;0,ROW(Panel2!$J$6:$J$115)-5),ROW(C100)))),"",  INDEX(Panel2!$J$6:$J$115,SMALL(IF(Panel2!$J$6:$J$115&lt;&gt;0,ROW(Panel2!$J$6:$J$115)-5),ROW(C100))))</f>
        <v/>
      </c>
      <c r="D104" s="423"/>
      <c r="E104" s="422"/>
      <c r="F104" s="397"/>
      <c r="G104" s="424"/>
      <c r="H104" s="416"/>
      <c r="I104" s="416"/>
      <c r="J104" s="413"/>
      <c r="K104" s="417"/>
      <c r="L104" s="417"/>
      <c r="M104" s="418"/>
      <c r="N104" s="418"/>
      <c r="O104" s="418"/>
      <c r="P104" s="418"/>
      <c r="Q104" s="418"/>
      <c r="R104" s="418"/>
      <c r="S104" s="418"/>
      <c r="T104" s="418"/>
      <c r="U104" s="418"/>
      <c r="V104" s="418"/>
      <c r="W104" s="418"/>
      <c r="X104" s="419"/>
      <c r="Y104" s="426">
        <f t="shared" si="7"/>
        <v>0</v>
      </c>
      <c r="Z104" s="611">
        <v>100</v>
      </c>
    </row>
    <row r="105" spans="1:26" ht="17.25" customHeight="1" thickBot="1">
      <c r="A105" s="141" t="str">
        <f t="array" ref="A105">IF( ISERROR(INDEX(Panel2!$H$6:$H$115,SMALL(IF(Panel2!$J$6:$J$115&lt;&gt;0,ROW(Panel2!$J$6:$J$115)-5),ROW(A101)))),"",INDEX(Panel2!$H$6:$H$115,SMALL(IF(Panel2!$J$6:$J$115&lt;&gt;0,ROW(Panel2!$J$6:$J$115)-5),ROW(A101))))</f>
        <v/>
      </c>
      <c r="B105" s="141" t="str">
        <f t="array" ref="B105">IF(ISERROR(INDEX(Panel2!$I$6:$I$115,SMALL(IF(Panel2!$J$6:$J$115&lt;&gt;0,ROW(Panel2!$J$6:$J$115)-5),ROW(B101)))),"",INDEX(Panel2!$I$6:$I$115,SMALL(IF(Panel2!$J$6:$J$115&lt;&gt;0,ROW(Panel2!$J$6:$J$115)-5),ROW(B101))))</f>
        <v/>
      </c>
      <c r="C105" s="415" t="str">
        <f t="array" ref="C105">IF( ISERROR(INDEX(Panel2!$J$6:$J$115,SMALL(IF(Panel2!$J$6:$J$115&lt;&gt;0,ROW(Panel2!$J$6:$J$115)-5),ROW(C101)))),"",  INDEX(Panel2!$J$6:$J$115,SMALL(IF(Panel2!$J$6:$J$115&lt;&gt;0,ROW(Panel2!$J$6:$J$115)-5),ROW(C101))))</f>
        <v/>
      </c>
      <c r="D105" s="423"/>
      <c r="E105" s="422"/>
      <c r="F105" s="397"/>
      <c r="G105" s="424"/>
      <c r="H105" s="416"/>
      <c r="I105" s="416"/>
      <c r="J105" s="413"/>
      <c r="K105" s="417"/>
      <c r="L105" s="417"/>
      <c r="M105" s="418"/>
      <c r="N105" s="418"/>
      <c r="O105" s="418"/>
      <c r="P105" s="418"/>
      <c r="Q105" s="418"/>
      <c r="R105" s="418"/>
      <c r="S105" s="418"/>
      <c r="T105" s="418"/>
      <c r="U105" s="418"/>
      <c r="V105" s="418"/>
      <c r="W105" s="418"/>
      <c r="X105" s="419"/>
      <c r="Y105" s="426">
        <f t="shared" si="7"/>
        <v>0</v>
      </c>
      <c r="Z105" s="612">
        <v>101</v>
      </c>
    </row>
    <row r="106" spans="1:26" ht="17.25" customHeight="1">
      <c r="A106" s="141" t="str">
        <f t="array" ref="A106">IF( ISERROR(INDEX(Panel2!$H$6:$H$115,SMALL(IF(Panel2!$J$6:$J$115&lt;&gt;0,ROW(Panel2!$J$6:$J$115)-5),ROW(A102)))),"",INDEX(Panel2!$H$6:$H$115,SMALL(IF(Panel2!$J$6:$J$115&lt;&gt;0,ROW(Panel2!$J$6:$J$115)-5),ROW(A102))))</f>
        <v/>
      </c>
      <c r="B106" s="141" t="str">
        <f t="array" ref="B106">IF(ISERROR(INDEX(Panel2!$I$6:$I$115,SMALL(IF(Panel2!$J$6:$J$115&lt;&gt;0,ROW(Panel2!$J$6:$J$115)-5),ROW(B102)))),"",INDEX(Panel2!$I$6:$I$115,SMALL(IF(Panel2!$J$6:$J$115&lt;&gt;0,ROW(Panel2!$J$6:$J$115)-5),ROW(B102))))</f>
        <v/>
      </c>
      <c r="C106" s="415" t="str">
        <f t="array" ref="C106">IF( ISERROR(INDEX(Panel2!$J$6:$J$115,SMALL(IF(Panel2!$J$6:$J$115&lt;&gt;0,ROW(Panel2!$J$6:$J$115)-5),ROW(C102)))),"",  INDEX(Panel2!$J$6:$J$115,SMALL(IF(Panel2!$J$6:$J$115&lt;&gt;0,ROW(Panel2!$J$6:$J$115)-5),ROW(C102))))</f>
        <v/>
      </c>
      <c r="D106" s="423"/>
      <c r="E106" s="422"/>
      <c r="F106" s="397"/>
      <c r="G106" s="424"/>
      <c r="H106" s="416"/>
      <c r="I106" s="416"/>
      <c r="J106" s="413"/>
      <c r="K106" s="417"/>
      <c r="L106" s="417"/>
      <c r="M106" s="418"/>
      <c r="N106" s="418"/>
      <c r="O106" s="418"/>
      <c r="P106" s="418"/>
      <c r="Q106" s="418"/>
      <c r="R106" s="418"/>
      <c r="S106" s="418"/>
      <c r="T106" s="418"/>
      <c r="U106" s="418"/>
      <c r="V106" s="418"/>
      <c r="W106" s="418"/>
      <c r="X106" s="419"/>
      <c r="Y106" s="426">
        <f t="shared" si="7"/>
        <v>0</v>
      </c>
      <c r="Z106" s="611">
        <v>102</v>
      </c>
    </row>
    <row r="107" spans="1:26" ht="17.25" customHeight="1" thickBot="1">
      <c r="A107" s="141" t="str">
        <f t="array" ref="A107">IF( ISERROR(INDEX(Panel2!$H$6:$H$115,SMALL(IF(Panel2!$J$6:$J$115&lt;&gt;0,ROW(Panel2!$J$6:$J$115)-5),ROW(A103)))),"",INDEX(Panel2!$H$6:$H$115,SMALL(IF(Panel2!$J$6:$J$115&lt;&gt;0,ROW(Panel2!$J$6:$J$115)-5),ROW(A103))))</f>
        <v/>
      </c>
      <c r="B107" s="141" t="str">
        <f t="array" ref="B107">IF(ISERROR(INDEX(Panel2!$I$6:$I$115,SMALL(IF(Panel2!$J$6:$J$115&lt;&gt;0,ROW(Panel2!$J$6:$J$115)-5),ROW(B103)))),"",INDEX(Panel2!$I$6:$I$115,SMALL(IF(Panel2!$J$6:$J$115&lt;&gt;0,ROW(Panel2!$J$6:$J$115)-5),ROW(B103))))</f>
        <v/>
      </c>
      <c r="C107" s="415" t="str">
        <f t="array" ref="C107">IF( ISERROR(INDEX(Panel2!$J$6:$J$115,SMALL(IF(Panel2!$J$6:$J$115&lt;&gt;0,ROW(Panel2!$J$6:$J$115)-5),ROW(C103)))),"",  INDEX(Panel2!$J$6:$J$115,SMALL(IF(Panel2!$J$6:$J$115&lt;&gt;0,ROW(Panel2!$J$6:$J$115)-5),ROW(C103))))</f>
        <v/>
      </c>
      <c r="D107" s="423"/>
      <c r="E107" s="422"/>
      <c r="F107" s="397"/>
      <c r="G107" s="424"/>
      <c r="H107" s="416"/>
      <c r="I107" s="416"/>
      <c r="J107" s="413"/>
      <c r="K107" s="417"/>
      <c r="L107" s="417"/>
      <c r="M107" s="418"/>
      <c r="N107" s="418"/>
      <c r="O107" s="418"/>
      <c r="P107" s="418"/>
      <c r="Q107" s="418"/>
      <c r="R107" s="418"/>
      <c r="S107" s="418"/>
      <c r="T107" s="418"/>
      <c r="U107" s="418"/>
      <c r="V107" s="418"/>
      <c r="W107" s="418"/>
      <c r="X107" s="419"/>
      <c r="Y107" s="426">
        <f t="shared" si="7"/>
        <v>0</v>
      </c>
      <c r="Z107" s="612">
        <v>103</v>
      </c>
    </row>
    <row r="108" spans="1:26" ht="17.25" customHeight="1">
      <c r="A108" s="141" t="str">
        <f t="array" ref="A108">IF( ISERROR(INDEX(Panel2!$H$6:$H$115,SMALL(IF(Panel2!$J$6:$J$115&lt;&gt;0,ROW(Panel2!$J$6:$J$115)-5),ROW(A104)))),"",INDEX(Panel2!$H$6:$H$115,SMALL(IF(Panel2!$J$6:$J$115&lt;&gt;0,ROW(Panel2!$J$6:$J$115)-5),ROW(A104))))</f>
        <v/>
      </c>
      <c r="B108" s="141" t="str">
        <f t="array" ref="B108">IF(ISERROR(INDEX(Panel2!$I$6:$I$115,SMALL(IF(Panel2!$J$6:$J$115&lt;&gt;0,ROW(Panel2!$J$6:$J$115)-5),ROW(B104)))),"",INDEX(Panel2!$I$6:$I$115,SMALL(IF(Panel2!$J$6:$J$115&lt;&gt;0,ROW(Panel2!$J$6:$J$115)-5),ROW(B104))))</f>
        <v/>
      </c>
      <c r="C108" s="415" t="str">
        <f t="array" ref="C108">IF( ISERROR(INDEX(Panel2!$J$6:$J$115,SMALL(IF(Panel2!$J$6:$J$115&lt;&gt;0,ROW(Panel2!$J$6:$J$115)-5),ROW(C104)))),"",  INDEX(Panel2!$J$6:$J$115,SMALL(IF(Panel2!$J$6:$J$115&lt;&gt;0,ROW(Panel2!$J$6:$J$115)-5),ROW(C104))))</f>
        <v/>
      </c>
      <c r="D108" s="423"/>
      <c r="E108" s="422"/>
      <c r="F108" s="397"/>
      <c r="G108" s="424"/>
      <c r="H108" s="416"/>
      <c r="I108" s="416"/>
      <c r="J108" s="413"/>
      <c r="K108" s="417"/>
      <c r="L108" s="417"/>
      <c r="M108" s="418"/>
      <c r="N108" s="418"/>
      <c r="O108" s="418"/>
      <c r="P108" s="418"/>
      <c r="Q108" s="418"/>
      <c r="R108" s="418"/>
      <c r="S108" s="418"/>
      <c r="T108" s="418"/>
      <c r="U108" s="418"/>
      <c r="V108" s="418"/>
      <c r="W108" s="418"/>
      <c r="X108" s="419"/>
      <c r="Y108" s="426">
        <f t="shared" si="7"/>
        <v>0</v>
      </c>
      <c r="Z108" s="611">
        <v>104</v>
      </c>
    </row>
    <row r="109" spans="1:26" ht="17.25" customHeight="1" thickBot="1">
      <c r="A109" s="141" t="str">
        <f t="array" ref="A109">IF( ISERROR(INDEX(Panel2!$H$6:$H$115,SMALL(IF(Panel2!$J$6:$J$115&lt;&gt;0,ROW(Panel2!$J$6:$J$115)-5),ROW(A105)))),"",INDEX(Panel2!$H$6:$H$115,SMALL(IF(Panel2!$J$6:$J$115&lt;&gt;0,ROW(Panel2!$J$6:$J$115)-5),ROW(A105))))</f>
        <v/>
      </c>
      <c r="B109" s="141" t="str">
        <f t="array" ref="B109">IF(ISERROR(INDEX(Panel2!$I$6:$I$115,SMALL(IF(Panel2!$J$6:$J$115&lt;&gt;0,ROW(Panel2!$J$6:$J$115)-5),ROW(B105)))),"",INDEX(Panel2!$I$6:$I$115,SMALL(IF(Panel2!$J$6:$J$115&lt;&gt;0,ROW(Panel2!$J$6:$J$115)-5),ROW(B105))))</f>
        <v/>
      </c>
      <c r="C109" s="415" t="str">
        <f t="array" ref="C109">IF( ISERROR(INDEX(Panel2!$J$6:$J$115,SMALL(IF(Panel2!$J$6:$J$115&lt;&gt;0,ROW(Panel2!$J$6:$J$115)-5),ROW(C105)))),"",  INDEX(Panel2!$J$6:$J$115,SMALL(IF(Panel2!$J$6:$J$115&lt;&gt;0,ROW(Panel2!$J$6:$J$115)-5),ROW(C105))))</f>
        <v/>
      </c>
      <c r="D109" s="423"/>
      <c r="E109" s="422"/>
      <c r="F109" s="397"/>
      <c r="G109" s="424"/>
      <c r="H109" s="416"/>
      <c r="I109" s="416"/>
      <c r="J109" s="413"/>
      <c r="K109" s="417"/>
      <c r="L109" s="417"/>
      <c r="M109" s="418"/>
      <c r="N109" s="418"/>
      <c r="O109" s="418"/>
      <c r="P109" s="418"/>
      <c r="Q109" s="418"/>
      <c r="R109" s="418"/>
      <c r="S109" s="418"/>
      <c r="T109" s="418"/>
      <c r="U109" s="418"/>
      <c r="V109" s="418"/>
      <c r="W109" s="418"/>
      <c r="X109" s="419"/>
      <c r="Y109" s="413">
        <f t="shared" si="7"/>
        <v>0</v>
      </c>
      <c r="Z109" s="612">
        <v>105</v>
      </c>
    </row>
    <row r="110" spans="1:26" ht="17.25" customHeight="1">
      <c r="A110" s="141" t="str">
        <f t="array" ref="A110">IF( ISERROR(INDEX(Panel2!$H$6:$H$115,SMALL(IF(Panel2!$J$6:$J$115&lt;&gt;0,ROW(Panel2!$J$6:$J$115)-5),ROW(A106)))),"",INDEX(Panel2!$H$6:$H$115,SMALL(IF(Panel2!$J$6:$J$115&lt;&gt;0,ROW(Panel2!$J$6:$J$115)-5),ROW(A106))))</f>
        <v/>
      </c>
      <c r="B110" s="141" t="str">
        <f t="array" ref="B110">IF(ISERROR(INDEX(Panel2!$I$6:$I$115,SMALL(IF(Panel2!$J$6:$J$115&lt;&gt;0,ROW(Panel2!$J$6:$J$115)-5),ROW(B106)))),"",INDEX(Panel2!$I$6:$I$115,SMALL(IF(Panel2!$J$6:$J$115&lt;&gt;0,ROW(Panel2!$J$6:$J$115)-5),ROW(B106))))</f>
        <v/>
      </c>
      <c r="C110" s="415" t="str">
        <f t="array" ref="C110">IF( ISERROR(INDEX(Panel2!$J$6:$J$115,SMALL(IF(Panel2!$J$6:$J$115&lt;&gt;0,ROW(Panel2!$J$6:$J$115)-5),ROW(C106)))),"",  INDEX(Panel2!$J$6:$J$115,SMALL(IF(Panel2!$J$6:$J$115&lt;&gt;0,ROW(Panel2!$J$6:$J$115)-5),ROW(C106))))</f>
        <v/>
      </c>
      <c r="D110" s="423"/>
      <c r="E110" s="422"/>
      <c r="F110" s="397"/>
      <c r="G110" s="424"/>
      <c r="H110" s="416"/>
      <c r="I110" s="416"/>
      <c r="J110" s="413"/>
      <c r="K110" s="417"/>
      <c r="L110" s="417"/>
      <c r="M110" s="418"/>
      <c r="N110" s="418"/>
      <c r="O110" s="418"/>
      <c r="P110" s="418"/>
      <c r="Q110" s="418"/>
      <c r="R110" s="418"/>
      <c r="S110" s="418"/>
      <c r="T110" s="418"/>
      <c r="U110" s="418"/>
      <c r="V110" s="418"/>
      <c r="W110" s="418"/>
      <c r="X110" s="419"/>
      <c r="Y110" s="413">
        <f t="shared" si="7"/>
        <v>0</v>
      </c>
      <c r="Z110" s="611">
        <v>106</v>
      </c>
    </row>
    <row r="111" spans="1:26" ht="17.25" customHeight="1" thickBot="1">
      <c r="A111" s="141" t="str">
        <f t="array" ref="A111">IF( ISERROR(INDEX(Panel2!$H$6:$H$115,SMALL(IF(Panel2!$J$6:$J$115&lt;&gt;0,ROW(Panel2!$J$6:$J$115)-5),ROW(A107)))),"",INDEX(Panel2!$H$6:$H$115,SMALL(IF(Panel2!$J$6:$J$115&lt;&gt;0,ROW(Panel2!$J$6:$J$115)-5),ROW(A107))))</f>
        <v/>
      </c>
      <c r="B111" s="141" t="str">
        <f t="array" ref="B111">IF(ISERROR(INDEX(Panel2!$I$6:$I$115,SMALL(IF(Panel2!$J$6:$J$115&lt;&gt;0,ROW(Panel2!$J$6:$J$115)-5),ROW(B107)))),"",INDEX(Panel2!$I$6:$I$115,SMALL(IF(Panel2!$J$6:$J$115&lt;&gt;0,ROW(Panel2!$J$6:$J$115)-5),ROW(B107))))</f>
        <v/>
      </c>
      <c r="C111" s="415" t="str">
        <f t="array" ref="C111">IF( ISERROR(INDEX(Panel2!$J$6:$J$115,SMALL(IF(Panel2!$J$6:$J$115&lt;&gt;0,ROW(Panel2!$J$6:$J$115)-5),ROW(C107)))),"",  INDEX(Panel2!$J$6:$J$115,SMALL(IF(Panel2!$J$6:$J$115&lt;&gt;0,ROW(Panel2!$J$6:$J$115)-5),ROW(C107))))</f>
        <v/>
      </c>
      <c r="D111" s="423"/>
      <c r="E111" s="422"/>
      <c r="F111" s="397"/>
      <c r="G111" s="424"/>
      <c r="H111" s="416"/>
      <c r="I111" s="416"/>
      <c r="J111" s="413"/>
      <c r="K111" s="417"/>
      <c r="L111" s="417"/>
      <c r="M111" s="418"/>
      <c r="N111" s="418"/>
      <c r="O111" s="418"/>
      <c r="P111" s="418"/>
      <c r="Q111" s="418"/>
      <c r="R111" s="418"/>
      <c r="S111" s="418"/>
      <c r="T111" s="418"/>
      <c r="U111" s="418"/>
      <c r="V111" s="418"/>
      <c r="W111" s="418"/>
      <c r="X111" s="419"/>
      <c r="Y111" s="413">
        <f t="shared" si="7"/>
        <v>0</v>
      </c>
      <c r="Z111" s="612">
        <v>107</v>
      </c>
    </row>
    <row r="112" spans="1:26" ht="17.25" customHeight="1">
      <c r="A112" s="141" t="str">
        <f t="array" ref="A112">IF( ISERROR(INDEX(Panel2!$H$6:$H$115,SMALL(IF(Panel2!$J$6:$J$115&lt;&gt;0,ROW(Panel2!$J$6:$J$115)-5),ROW(A108)))),"",INDEX(Panel2!$H$6:$H$115,SMALL(IF(Panel2!$J$6:$J$115&lt;&gt;0,ROW(Panel2!$J$6:$J$115)-5),ROW(A108))))</f>
        <v/>
      </c>
      <c r="B112" s="141" t="str">
        <f t="array" ref="B112">IF(ISERROR(INDEX(Panel2!$I$6:$I$115,SMALL(IF(Panel2!$J$6:$J$115&lt;&gt;0,ROW(Panel2!$J$6:$J$115)-5),ROW(B108)))),"",INDEX(Panel2!$I$6:$I$115,SMALL(IF(Panel2!$J$6:$J$115&lt;&gt;0,ROW(Panel2!$J$6:$J$115)-5),ROW(B108))))</f>
        <v/>
      </c>
      <c r="C112" s="415" t="str">
        <f t="array" ref="C112">IF( ISERROR(INDEX(Panel2!$J$6:$J$115,SMALL(IF(Panel2!$J$6:$J$115&lt;&gt;0,ROW(Panel2!$J$6:$J$115)-5),ROW(C108)))),"",  INDEX(Panel2!$J$6:$J$115,SMALL(IF(Panel2!$J$6:$J$115&lt;&gt;0,ROW(Panel2!$J$6:$J$115)-5),ROW(C108))))</f>
        <v/>
      </c>
      <c r="D112" s="423"/>
      <c r="E112" s="422"/>
      <c r="F112" s="397"/>
      <c r="G112" s="424"/>
      <c r="H112" s="416"/>
      <c r="I112" s="416"/>
      <c r="J112" s="413"/>
      <c r="K112" s="417"/>
      <c r="L112" s="417"/>
      <c r="M112" s="418"/>
      <c r="N112" s="418"/>
      <c r="O112" s="418"/>
      <c r="P112" s="418"/>
      <c r="Q112" s="418"/>
      <c r="R112" s="418"/>
      <c r="S112" s="418"/>
      <c r="T112" s="418"/>
      <c r="U112" s="418"/>
      <c r="V112" s="418"/>
      <c r="W112" s="418"/>
      <c r="X112" s="419"/>
      <c r="Y112" s="413">
        <f t="shared" si="7"/>
        <v>0</v>
      </c>
      <c r="Z112" s="611">
        <v>108</v>
      </c>
    </row>
    <row r="113" spans="1:26" ht="17.25" customHeight="1" thickBot="1">
      <c r="A113" s="141" t="str">
        <f t="array" ref="A113">IF( ISERROR(INDEX(Panel2!$H$6:$H$115,SMALL(IF(Panel2!$J$6:$J$115&lt;&gt;0,ROW(Panel2!$J$6:$J$115)-5),ROW(A109)))),"",INDEX(Panel2!$H$6:$H$115,SMALL(IF(Panel2!$J$6:$J$115&lt;&gt;0,ROW(Panel2!$J$6:$J$115)-5),ROW(A109))))</f>
        <v/>
      </c>
      <c r="B113" s="141" t="str">
        <f t="array" ref="B113">IF(ISERROR(INDEX(Panel2!$I$6:$I$115,SMALL(IF(Panel2!$J$6:$J$115&lt;&gt;0,ROW(Panel2!$J$6:$J$115)-5),ROW(B109)))),"",INDEX(Panel2!$I$6:$I$115,SMALL(IF(Panel2!$J$6:$J$115&lt;&gt;0,ROW(Panel2!$J$6:$J$115)-5),ROW(B109))))</f>
        <v/>
      </c>
      <c r="C113" s="415" t="str">
        <f t="array" ref="C113">IF( ISERROR(INDEX(Panel2!$J$6:$J$115,SMALL(IF(Panel2!$J$6:$J$115&lt;&gt;0,ROW(Panel2!$J$6:$J$115)-5),ROW(C109)))),"",  INDEX(Panel2!$J$6:$J$115,SMALL(IF(Panel2!$J$6:$J$115&lt;&gt;0,ROW(Panel2!$J$6:$J$115)-5),ROW(C109))))</f>
        <v/>
      </c>
      <c r="D113" s="423"/>
      <c r="E113" s="422"/>
      <c r="F113" s="397"/>
      <c r="G113" s="424"/>
      <c r="H113" s="416"/>
      <c r="I113" s="416"/>
      <c r="J113" s="413"/>
      <c r="K113" s="417"/>
      <c r="L113" s="417"/>
      <c r="M113" s="418"/>
      <c r="N113" s="418"/>
      <c r="O113" s="418"/>
      <c r="P113" s="418"/>
      <c r="Q113" s="418"/>
      <c r="R113" s="418"/>
      <c r="S113" s="418"/>
      <c r="T113" s="418"/>
      <c r="U113" s="418"/>
      <c r="V113" s="418"/>
      <c r="W113" s="418"/>
      <c r="X113" s="419"/>
      <c r="Y113" s="413">
        <f t="shared" si="7"/>
        <v>0</v>
      </c>
      <c r="Z113" s="612">
        <v>109</v>
      </c>
    </row>
    <row r="114" spans="1:26" ht="17.25" customHeight="1">
      <c r="A114" s="141" t="str">
        <f t="array" ref="A114">IF( ISERROR(INDEX(Panel2!$H$6:$H$115,SMALL(IF(Panel2!$J$6:$J$115&lt;&gt;0,ROW(Panel2!$J$6:$J$115)-5),ROW(A110)))),"",INDEX(Panel2!$H$6:$H$115,SMALL(IF(Panel2!$J$6:$J$115&lt;&gt;0,ROW(Panel2!$J$6:$J$115)-5),ROW(A110))))</f>
        <v/>
      </c>
      <c r="B114" s="141" t="str">
        <f t="array" ref="B114">IF(ISERROR(INDEX(Panel2!$I$6:$I$115,SMALL(IF(Panel2!$J$6:$J$115&lt;&gt;0,ROW(Panel2!$J$6:$J$115)-5),ROW(B110)))),"",INDEX(Panel2!$I$6:$I$115,SMALL(IF(Panel2!$J$6:$J$115&lt;&gt;0,ROW(Panel2!$J$6:$J$115)-5),ROW(B110))))</f>
        <v/>
      </c>
      <c r="C114" s="415" t="str">
        <f t="array" ref="C114">IF( ISERROR(INDEX(Panel2!$J$6:$J$115,SMALL(IF(Panel2!$J$6:$J$115&lt;&gt;0,ROW(Panel2!$J$6:$J$115)-5),ROW(C110)))),"",  INDEX(Panel2!$J$6:$J$115,SMALL(IF(Panel2!$J$6:$J$115&lt;&gt;0,ROW(Panel2!$J$6:$J$115)-5),ROW(C110))))</f>
        <v/>
      </c>
      <c r="D114" s="423"/>
      <c r="E114" s="422"/>
      <c r="F114" s="397"/>
      <c r="G114" s="424"/>
      <c r="H114" s="416"/>
      <c r="I114" s="416"/>
      <c r="J114" s="413"/>
      <c r="K114" s="417"/>
      <c r="L114" s="417"/>
      <c r="M114" s="418"/>
      <c r="N114" s="418"/>
      <c r="O114" s="418"/>
      <c r="P114" s="418"/>
      <c r="Q114" s="418"/>
      <c r="R114" s="418"/>
      <c r="S114" s="418"/>
      <c r="T114" s="418"/>
      <c r="U114" s="418"/>
      <c r="V114" s="418"/>
      <c r="W114" s="418"/>
      <c r="X114" s="419"/>
      <c r="Y114" s="413">
        <f t="shared" si="7"/>
        <v>0</v>
      </c>
      <c r="Z114" s="611">
        <v>110</v>
      </c>
    </row>
    <row r="115" spans="1:26" ht="17.25" customHeight="1" thickBot="1">
      <c r="A115" s="141" t="str">
        <f t="array" ref="A115">IF( ISERROR(INDEX(Panel2!$H$6:$H$115,SMALL(IF(Panel2!$J$6:$J$115&lt;&gt;0,ROW(Panel2!$J$6:$J$115)-5),ROW(A111)))),"",INDEX(Panel2!$H$6:$H$115,SMALL(IF(Panel2!$J$6:$J$115&lt;&gt;0,ROW(Panel2!$J$6:$J$115)-5),ROW(A111))))</f>
        <v/>
      </c>
      <c r="B115" s="141" t="str">
        <f t="array" ref="B115">IF(ISERROR(INDEX(Panel2!$I$6:$I$115,SMALL(IF(Panel2!$J$6:$J$115&lt;&gt;0,ROW(Panel2!$J$6:$J$115)-5),ROW(B111)))),"",INDEX(Panel2!$I$6:$I$115,SMALL(IF(Panel2!$J$6:$J$115&lt;&gt;0,ROW(Panel2!$J$6:$J$115)-5),ROW(B111))))</f>
        <v/>
      </c>
      <c r="C115" s="415" t="str">
        <f t="array" ref="C115">IF( ISERROR(INDEX(Panel2!$J$6:$J$115,SMALL(IF(Panel2!$J$6:$J$115&lt;&gt;0,ROW(Panel2!$J$6:$J$115)-5),ROW(C111)))),"",  INDEX(Panel2!$J$6:$J$115,SMALL(IF(Panel2!$J$6:$J$115&lt;&gt;0,ROW(Panel2!$J$6:$J$115)-5),ROW(C111))))</f>
        <v/>
      </c>
      <c r="D115" s="423"/>
      <c r="E115" s="422"/>
      <c r="F115" s="397"/>
      <c r="G115" s="424"/>
      <c r="H115" s="416"/>
      <c r="I115" s="416"/>
      <c r="J115" s="413"/>
      <c r="K115" s="417"/>
      <c r="L115" s="417"/>
      <c r="M115" s="418"/>
      <c r="N115" s="418"/>
      <c r="O115" s="418"/>
      <c r="P115" s="418"/>
      <c r="Q115" s="418"/>
      <c r="R115" s="418"/>
      <c r="S115" s="418"/>
      <c r="T115" s="418"/>
      <c r="U115" s="418"/>
      <c r="V115" s="418"/>
      <c r="W115" s="418"/>
      <c r="X115" s="419"/>
      <c r="Y115" s="413">
        <f t="shared" si="7"/>
        <v>0</v>
      </c>
      <c r="Z115" s="612">
        <v>111</v>
      </c>
    </row>
    <row r="116" spans="1:26" ht="17.25" customHeight="1">
      <c r="A116" s="141" t="str">
        <f t="array" ref="A116">IF( ISERROR(INDEX(Panel2!$H$6:$H$115,SMALL(IF(Panel2!$J$6:$J$115&lt;&gt;0,ROW(Panel2!$J$6:$J$115)-5),ROW(A112)))),"",INDEX(Panel2!$H$6:$H$115,SMALL(IF(Panel2!$J$6:$J$115&lt;&gt;0,ROW(Panel2!$J$6:$J$115)-5),ROW(A112))))</f>
        <v/>
      </c>
      <c r="B116" s="141" t="str">
        <f t="array" ref="B116">IF(ISERROR(INDEX(Panel2!$I$6:$I$115,SMALL(IF(Panel2!$J$6:$J$115&lt;&gt;0,ROW(Panel2!$J$6:$J$115)-5),ROW(B112)))),"",INDEX(Panel2!$I$6:$I$115,SMALL(IF(Panel2!$J$6:$J$115&lt;&gt;0,ROW(Panel2!$J$6:$J$115)-5),ROW(B112))))</f>
        <v/>
      </c>
      <c r="C116" s="415" t="str">
        <f t="array" ref="C116">IF( ISERROR(INDEX(Panel2!$J$6:$J$115,SMALL(IF(Panel2!$J$6:$J$115&lt;&gt;0,ROW(Panel2!$J$6:$J$115)-5),ROW(C112)))),"",  INDEX(Panel2!$J$6:$J$115,SMALL(IF(Panel2!$J$6:$J$115&lt;&gt;0,ROW(Panel2!$J$6:$J$115)-5),ROW(C112))))</f>
        <v/>
      </c>
      <c r="D116" s="423"/>
      <c r="E116" s="142"/>
      <c r="H116" s="174"/>
      <c r="I116" s="174"/>
      <c r="J116" s="133"/>
      <c r="K116" s="133"/>
      <c r="L116" s="133"/>
      <c r="M116" s="139"/>
      <c r="N116" s="133"/>
      <c r="Y116" s="133"/>
      <c r="Z116" s="611">
        <v>112</v>
      </c>
    </row>
    <row r="117" spans="1:26" ht="17.25" customHeight="1">
      <c r="A117" s="141" t="str">
        <f t="array" ref="A117">IF( ISERROR(INDEX(Panel2!$H$6:$H$115,SMALL(IF(Panel2!$J$6:$J$115&lt;&gt;0,ROW(Panel2!$J$6:$J$115)-5),ROW(A113)))),"",INDEX(Panel2!$H$6:$H$115,SMALL(IF(Panel2!$J$6:$J$115&lt;&gt;0,ROW(Panel2!$J$6:$J$115)-5),ROW(A113))))</f>
        <v/>
      </c>
      <c r="B117" s="141" t="str">
        <f t="array" ref="B117">IF(ISERROR(INDEX(Panel2!$I$6:$I$115,SMALL(IF(Panel2!$J$6:$J$115&lt;&gt;0,ROW(Panel2!$J$6:$J$115)-5),ROW(B113)))),"",INDEX(Panel2!$I$6:$I$115,SMALL(IF(Panel2!$J$6:$J$115&lt;&gt;0,ROW(Panel2!$J$6:$J$115)-5),ROW(B113))))</f>
        <v/>
      </c>
      <c r="C117" s="415" t="str">
        <f t="array" ref="C117">IF( ISERROR(INDEX(Panel2!$J$6:$J$115,SMALL(IF(Panel2!$J$6:$J$115&lt;&gt;0,ROW(Panel2!$J$6:$J$115)-5),ROW(C113)))),"",  INDEX(Panel2!$J$6:$J$115,SMALL(IF(Panel2!$J$6:$J$115&lt;&gt;0,ROW(Panel2!$J$6:$J$115)-5),ROW(C113))))</f>
        <v/>
      </c>
      <c r="D117" s="423"/>
      <c r="E117" s="142"/>
      <c r="H117" s="174"/>
      <c r="I117" s="174"/>
      <c r="J117" s="133"/>
      <c r="K117" s="133"/>
      <c r="L117" s="133"/>
      <c r="M117" s="139"/>
      <c r="N117" s="133"/>
      <c r="Y117" s="133"/>
      <c r="Z117" s="612">
        <v>113</v>
      </c>
    </row>
    <row r="118" spans="1:26">
      <c r="H118" s="174"/>
      <c r="I118" s="174"/>
      <c r="J118" s="133"/>
      <c r="K118" s="133"/>
      <c r="L118" s="133"/>
      <c r="M118" s="139"/>
      <c r="N118" s="133"/>
      <c r="Y118" s="133"/>
      <c r="Z118" s="397"/>
    </row>
    <row r="119" spans="1:26">
      <c r="H119" s="174"/>
      <c r="I119" s="174"/>
      <c r="J119" s="133"/>
      <c r="K119" s="133"/>
      <c r="L119" s="133"/>
      <c r="M119" s="139"/>
      <c r="N119" s="133"/>
      <c r="Y119" s="133"/>
    </row>
    <row r="120" spans="1:26" ht="16.5">
      <c r="I120" s="223" t="s">
        <v>191</v>
      </c>
      <c r="J120" s="144"/>
    </row>
    <row r="121" spans="1:26" ht="16.5">
      <c r="I121" s="223" t="s">
        <v>395</v>
      </c>
      <c r="J121" s="144"/>
    </row>
    <row r="122" spans="1:26">
      <c r="I122" s="224"/>
      <c r="J122" s="145"/>
    </row>
  </sheetData>
  <mergeCells count="25">
    <mergeCell ref="E45:E48"/>
    <mergeCell ref="F45:F47"/>
    <mergeCell ref="E49:E54"/>
    <mergeCell ref="F49:F51"/>
    <mergeCell ref="F52:F53"/>
    <mergeCell ref="E30:E40"/>
    <mergeCell ref="F30:F32"/>
    <mergeCell ref="F33:F38"/>
    <mergeCell ref="F39:F40"/>
    <mergeCell ref="E41:E44"/>
    <mergeCell ref="F41:F43"/>
    <mergeCell ref="E6:E9"/>
    <mergeCell ref="G7:G9"/>
    <mergeCell ref="E12:E17"/>
    <mergeCell ref="E20:E29"/>
    <mergeCell ref="F20:F22"/>
    <mergeCell ref="F23:F27"/>
    <mergeCell ref="G23:G25"/>
    <mergeCell ref="F28:F29"/>
    <mergeCell ref="AA4:AB4"/>
    <mergeCell ref="H1:Z2"/>
    <mergeCell ref="A3:B3"/>
    <mergeCell ref="I4:I5"/>
    <mergeCell ref="J4:J5"/>
    <mergeCell ref="O4:W4"/>
  </mergeCells>
  <phoneticPr fontId="13" type="noConversion"/>
  <pageMargins left="0.70866141732283472" right="0.70866141732283472" top="0.74803149606299213" bottom="0.74803149606299213" header="0.31496062992125984" footer="0.31496062992125984"/>
  <pageSetup paperSize="9" scale="33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00F47-327F-4329-9A8E-275F8869B839}">
  <sheetPr codeName="Sheet19">
    <pageSetUpPr fitToPage="1"/>
  </sheetPr>
  <dimension ref="A1:AC122"/>
  <sheetViews>
    <sheetView view="pageBreakPreview" zoomScale="50" zoomScaleNormal="80" zoomScaleSheetLayoutView="50" workbookViewId="0">
      <selection activeCell="AB6" sqref="AB6:AB80"/>
    </sheetView>
  </sheetViews>
  <sheetFormatPr defaultColWidth="8.875" defaultRowHeight="14.25"/>
  <cols>
    <col min="1" max="1" width="14.75" style="133" customWidth="1"/>
    <col min="2" max="2" width="9.75" style="133" customWidth="1"/>
    <col min="3" max="3" width="5.125" style="133" bestFit="1" customWidth="1"/>
    <col min="4" max="4" width="4.375" style="133" customWidth="1"/>
    <col min="5" max="5" width="14.875" style="133" customWidth="1"/>
    <col min="6" max="6" width="20.125" style="133" customWidth="1"/>
    <col min="7" max="7" width="23.125" style="139" customWidth="1"/>
    <col min="8" max="8" width="13.375" style="146" bestFit="1" customWidth="1"/>
    <col min="9" max="9" width="10" style="146" customWidth="1"/>
    <col min="10" max="10" width="5.125" style="139" customWidth="1"/>
    <col min="11" max="11" width="15.75" style="174" bestFit="1" customWidth="1"/>
    <col min="12" max="12" width="18.875" style="146" bestFit="1" customWidth="1"/>
    <col min="13" max="13" width="6.125" style="138" bestFit="1" customWidth="1"/>
    <col min="14" max="14" width="11.75" style="138" bestFit="1" customWidth="1"/>
    <col min="15" max="23" width="7.75" style="138" customWidth="1"/>
    <col min="24" max="24" width="8.875" style="133" bestFit="1" customWidth="1"/>
    <col min="25" max="25" width="10.375" style="139" bestFit="1" customWidth="1"/>
    <col min="26" max="26" width="8.875" style="133" customWidth="1"/>
    <col min="27" max="27" width="8.875" style="133"/>
    <col min="28" max="28" width="12.125" style="133" bestFit="1" customWidth="1"/>
    <col min="29" max="16384" width="8.875" style="133"/>
  </cols>
  <sheetData>
    <row r="1" spans="1:29" ht="18">
      <c r="A1" s="176" t="str">
        <f>"▣ Size : "&amp;W_O&amp;" x ("&amp;L1_O&amp;"+"&amp;L2_O&amp;"+"&amp;L3_O&amp;"+"&amp;L4_O&amp;") x"&amp;H_O&amp;"mH ="&amp;BASIC_TOOL!H11&amp;" [TON]/ 1[SET]"&amp;"         "</f>
        <v xml:space="preserve">▣ Size : 10 x (5+0+0+0) x3mH =150 [TON]/ 1[SET]         </v>
      </c>
      <c r="H1" s="1586" t="s">
        <v>412</v>
      </c>
      <c r="I1" s="1586"/>
      <c r="J1" s="1586"/>
      <c r="K1" s="1586"/>
      <c r="L1" s="1586"/>
      <c r="M1" s="1586"/>
      <c r="N1" s="1586"/>
      <c r="O1" s="1586"/>
      <c r="P1" s="1586"/>
      <c r="Q1" s="1586"/>
      <c r="R1" s="1586"/>
      <c r="S1" s="1586"/>
      <c r="T1" s="1586"/>
      <c r="U1" s="1586"/>
      <c r="V1" s="1586"/>
      <c r="W1" s="1586"/>
      <c r="X1" s="1586"/>
      <c r="Y1" s="1586"/>
      <c r="Z1" s="1586"/>
    </row>
    <row r="2" spans="1:29" ht="13.5" customHeight="1">
      <c r="H2" s="1586"/>
      <c r="I2" s="1586"/>
      <c r="J2" s="1586"/>
      <c r="K2" s="1586"/>
      <c r="L2" s="1586"/>
      <c r="M2" s="1586"/>
      <c r="N2" s="1586"/>
      <c r="O2" s="1586"/>
      <c r="P2" s="1586"/>
      <c r="Q2" s="1586"/>
      <c r="R2" s="1586"/>
      <c r="S2" s="1586"/>
      <c r="T2" s="1586"/>
      <c r="U2" s="1586"/>
      <c r="V2" s="1586"/>
      <c r="W2" s="1586"/>
      <c r="X2" s="1586"/>
      <c r="Y2" s="1586"/>
      <c r="Z2" s="1586"/>
    </row>
    <row r="3" spans="1:29" ht="19.5" customHeight="1">
      <c r="A3" s="1587" t="s">
        <v>183</v>
      </c>
      <c r="B3" s="1588"/>
      <c r="C3" s="655">
        <f>SUM(C5:C97)</f>
        <v>160</v>
      </c>
      <c r="D3" s="139"/>
      <c r="E3" s="139"/>
      <c r="X3" s="140"/>
      <c r="Y3" s="138"/>
    </row>
    <row r="4" spans="1:29" s="142" customFormat="1" ht="15.75">
      <c r="A4" s="655" t="s">
        <v>176</v>
      </c>
      <c r="B4" s="655" t="s">
        <v>177</v>
      </c>
      <c r="C4" s="655" t="s">
        <v>168</v>
      </c>
      <c r="E4" s="600"/>
      <c r="F4" s="600"/>
      <c r="G4" s="601"/>
      <c r="H4" s="602"/>
      <c r="I4" s="1589" t="s">
        <v>0</v>
      </c>
      <c r="J4" s="1589" t="s">
        <v>239</v>
      </c>
      <c r="K4" s="600"/>
      <c r="L4" s="600"/>
      <c r="M4" s="601"/>
      <c r="N4" s="600"/>
      <c r="O4" s="1589" t="s">
        <v>2</v>
      </c>
      <c r="P4" s="1589"/>
      <c r="Q4" s="1589"/>
      <c r="R4" s="1589"/>
      <c r="S4" s="1589"/>
      <c r="T4" s="1589"/>
      <c r="U4" s="1589"/>
      <c r="V4" s="1589"/>
      <c r="W4" s="1589"/>
      <c r="X4" s="603" t="s">
        <v>1</v>
      </c>
      <c r="Y4" s="604" t="s">
        <v>457</v>
      </c>
      <c r="Z4" s="604" t="s">
        <v>411</v>
      </c>
      <c r="AA4" s="1585" t="s">
        <v>1255</v>
      </c>
      <c r="AB4" s="1585"/>
      <c r="AC4" s="142" t="s">
        <v>478</v>
      </c>
    </row>
    <row r="5" spans="1:29" s="142" customFormat="1" ht="18" customHeight="1">
      <c r="A5" s="655" t="str">
        <f t="array" ref="A5">IF( ISERROR(INDEX(Panel!$H$6:$H$115,SMALL(IF(Panel!$J$6:$J$115&lt;&gt;0,ROW(Panel!$J$6:$J$115)-5),ROW(A1)))),"",INDEX(Panel!$H$6:$H$115,SMALL(IF(Panel!$J$6:$J$115&lt;&gt;0,ROW(Panel!$J$6:$J$115)-5),ROW(A1))))</f>
        <v>Manhole</v>
      </c>
      <c r="B5" s="655" t="str">
        <f t="array" ref="B5">IF(ISERROR(INDEX(Panel!$I$6:$I$115,SMALL(IF(Panel!$J$6:$J$115&lt;&gt;0,ROW(Panel!$J$6:$J$115)-5),ROW(B1)))),"",INDEX(Panel!$I$6:$I$115,SMALL(IF(Panel!$J$6:$J$115&lt;&gt;0,ROW(Panel!$J$6:$J$115)-5),ROW(B1))))</f>
        <v>MF00M</v>
      </c>
      <c r="C5" s="944">
        <f t="array" ref="C5">IF( ISERROR(INDEX(Panel!$J$6:$J$115,SMALL(IF(Panel!$J$6:$J$115&lt;&gt;0,ROW(Panel!$J$6:$J$115)-5),ROW(C1)))),"",  INDEX(Panel!$J$6:$J$115,SMALL(IF(Panel!$J$6:$J$115&lt;&gt;0,ROW(Panel!$J$6:$J$115)-5),ROW(C1))))</f>
        <v>1</v>
      </c>
      <c r="E5" s="600"/>
      <c r="F5" s="600"/>
      <c r="G5" s="601"/>
      <c r="H5" s="870"/>
      <c r="I5" s="1589"/>
      <c r="J5" s="1589"/>
      <c r="K5" s="607" t="s">
        <v>346</v>
      </c>
      <c r="L5" s="607" t="s">
        <v>3</v>
      </c>
      <c r="M5" s="607" t="s">
        <v>463</v>
      </c>
      <c r="N5" s="607" t="s">
        <v>1289</v>
      </c>
      <c r="O5" s="871">
        <v>1</v>
      </c>
      <c r="P5" s="871">
        <v>1.5</v>
      </c>
      <c r="Q5" s="871">
        <v>2</v>
      </c>
      <c r="R5" s="871">
        <v>2.5</v>
      </c>
      <c r="S5" s="871">
        <v>3</v>
      </c>
      <c r="T5" s="871">
        <v>3.5</v>
      </c>
      <c r="U5" s="871">
        <v>4</v>
      </c>
      <c r="V5" s="871">
        <v>4.5</v>
      </c>
      <c r="W5" s="871">
        <v>5</v>
      </c>
      <c r="X5" s="603"/>
      <c r="Y5" s="872">
        <f>BASIC_TOOL!F11</f>
        <v>3</v>
      </c>
      <c r="Z5" s="600"/>
      <c r="AA5" s="613"/>
      <c r="AB5" s="614">
        <f>SUM(AB6:AB72)</f>
        <v>622</v>
      </c>
      <c r="AC5" s="142" t="s">
        <v>523</v>
      </c>
    </row>
    <row r="6" spans="1:29" s="143" customFormat="1" ht="17.25" customHeight="1">
      <c r="A6" s="655" t="str">
        <f t="array" ref="A6">IF( ISERROR(INDEX(Panel!$H$6:$H$115,SMALL(IF(Panel!$J$6:$J$115&lt;&gt;0,ROW(Panel!$J$6:$J$115)-5),ROW(A2)))),"",INDEX(Panel!$H$6:$H$115,SMALL(IF(Panel!$J$6:$J$115&lt;&gt;0,ROW(Panel!$J$6:$J$115)-5),ROW(A2))))</f>
        <v>Roof</v>
      </c>
      <c r="B6" s="655" t="str">
        <f t="array" ref="B6">IF(ISERROR(INDEX(Panel!$I$6:$I$115,SMALL(IF(Panel!$J$6:$J$115&lt;&gt;0,ROW(Panel!$J$6:$J$115)-5),ROW(B2)))),"",INDEX(Panel!$I$6:$I$115,SMALL(IF(Panel!$J$6:$J$115&lt;&gt;0,ROW(Panel!$J$6:$J$115)-5),ROW(B2))))</f>
        <v>RF00M</v>
      </c>
      <c r="C6" s="944">
        <f t="array" ref="C6">IF( ISERROR(INDEX(Panel!$J$6:$J$115,SMALL(IF(Panel!$J$6:$J$115&lt;&gt;0,ROW(Panel!$J$6:$J$115)-5),ROW(C2)))),"",  INDEX(Panel!$J$6:$J$115,SMALL(IF(Panel!$J$6:$J$115&lt;&gt;0,ROW(Panel!$J$6:$J$115)-5),ROW(C2))))</f>
        <v>49</v>
      </c>
      <c r="D6" s="142"/>
      <c r="E6" s="1590" t="s">
        <v>4</v>
      </c>
      <c r="F6" s="605" t="s">
        <v>440</v>
      </c>
      <c r="G6" s="607" t="s">
        <v>460</v>
      </c>
      <c r="H6" s="606" t="str">
        <f>K6</f>
        <v>Manhole</v>
      </c>
      <c r="I6" s="606" t="str">
        <f>M6&amp;Y6&amp;IF(OR(BASIC_TOOL!$C$15=1,BASIC_TOOL!$C$15=5),,N6)</f>
        <v>MF00M</v>
      </c>
      <c r="J6" s="607">
        <f>IF(OR(X6=0,Y6=0),0,X6)</f>
        <v>1</v>
      </c>
      <c r="K6" s="606" t="str">
        <f>L6&amp;IF(OR( BASIC_TOOL!$C$15=1,BASIC_TOOL!$C$15=5),"","(I)")</f>
        <v>Manhole</v>
      </c>
      <c r="L6" s="606" t="s">
        <v>460</v>
      </c>
      <c r="M6" s="607" t="s">
        <v>1293</v>
      </c>
      <c r="N6" s="607" t="s">
        <v>464</v>
      </c>
      <c r="O6" s="608" t="s">
        <v>484</v>
      </c>
      <c r="P6" s="608" t="s">
        <v>484</v>
      </c>
      <c r="Q6" s="608" t="s">
        <v>484</v>
      </c>
      <c r="R6" s="608" t="s">
        <v>484</v>
      </c>
      <c r="S6" s="608" t="s">
        <v>484</v>
      </c>
      <c r="T6" s="608" t="s">
        <v>484</v>
      </c>
      <c r="U6" s="608" t="s">
        <v>484</v>
      </c>
      <c r="V6" s="608" t="s">
        <v>484</v>
      </c>
      <c r="W6" s="608" t="s">
        <v>484</v>
      </c>
      <c r="X6" s="603">
        <f>1+N_PA</f>
        <v>1</v>
      </c>
      <c r="Y6" s="607" t="str">
        <f>HLOOKUP(H_O,$O$5:$W$115,Z6,FALSE)</f>
        <v>00M</v>
      </c>
      <c r="Z6" s="600">
        <v>2</v>
      </c>
      <c r="AA6" s="613">
        <v>2.1</v>
      </c>
      <c r="AB6" s="615">
        <f>AA6*J6</f>
        <v>2.1</v>
      </c>
    </row>
    <row r="7" spans="1:29" s="143" customFormat="1" ht="17.25" customHeight="1">
      <c r="A7" s="655" t="str">
        <f t="array" ref="A7">IF( ISERROR(INDEX(Panel!$H$6:$H$115,SMALL(IF(Panel!$J$6:$J$115&lt;&gt;0,ROW(Panel!$J$6:$J$115)-5),ROW(A3)))),"",INDEX(Panel!$H$6:$H$115,SMALL(IF(Panel!$J$6:$J$115&lt;&gt;0,ROW(Panel!$J$6:$J$115)-5),ROW(A3))))</f>
        <v>Base</v>
      </c>
      <c r="B7" s="655" t="str">
        <f t="array" ref="B7">IF(ISERROR(INDEX(Panel!$I$6:$I$115,SMALL(IF(Panel!$J$6:$J$115&lt;&gt;0,ROW(Panel!$J$6:$J$115)-5),ROW(B3)))),"",INDEX(Panel!$I$6:$I$115,SMALL(IF(Panel!$J$6:$J$115&lt;&gt;0,ROW(Panel!$J$6:$J$115)-5),ROW(B3))))</f>
        <v>BF30M</v>
      </c>
      <c r="C7" s="944">
        <f t="array" ref="C7">IF( ISERROR(INDEX(Panel!$J$6:$J$115,SMALL(IF(Panel!$J$6:$J$115&lt;&gt;0,ROW(Panel!$J$6:$J$115)-5),ROW(C3)))),"",  INDEX(Panel!$J$6:$J$115,SMALL(IF(Panel!$J$6:$J$115&lt;&gt;0,ROW(Panel!$J$6:$J$115)-5),ROW(C3))))</f>
        <v>49</v>
      </c>
      <c r="D7" s="142"/>
      <c r="E7" s="1590"/>
      <c r="F7" s="605" t="s">
        <v>441</v>
      </c>
      <c r="G7" s="1589" t="s">
        <v>459</v>
      </c>
      <c r="H7" s="606" t="str">
        <f>K7</f>
        <v>Roof</v>
      </c>
      <c r="I7" s="606" t="str">
        <f>M7&amp;Y7&amp;IF(OR(BASIC_TOOL!$C$15=1,BASIC_TOOL!$C$15=5),,N7)</f>
        <v>RF00M</v>
      </c>
      <c r="J7" s="607">
        <f>IF(OR(X7=0,Y7=0),0,X7)</f>
        <v>49</v>
      </c>
      <c r="K7" s="606" t="str">
        <f>L7&amp;IF(OR( BASIC_TOOL!$C$15=1,BASIC_TOOL!$C$15=5),"","(I)")</f>
        <v>Roof</v>
      </c>
      <c r="L7" s="606" t="s">
        <v>455</v>
      </c>
      <c r="M7" s="607" t="s">
        <v>1294</v>
      </c>
      <c r="N7" s="607" t="s">
        <v>464</v>
      </c>
      <c r="O7" s="608" t="s">
        <v>484</v>
      </c>
      <c r="P7" s="608" t="s">
        <v>484</v>
      </c>
      <c r="Q7" s="608" t="s">
        <v>484</v>
      </c>
      <c r="R7" s="608" t="s">
        <v>484</v>
      </c>
      <c r="S7" s="608" t="s">
        <v>484</v>
      </c>
      <c r="T7" s="608" t="s">
        <v>484</v>
      </c>
      <c r="U7" s="608" t="s">
        <v>484</v>
      </c>
      <c r="V7" s="608" t="s">
        <v>484</v>
      </c>
      <c r="W7" s="608" t="s">
        <v>484</v>
      </c>
      <c r="X7" s="603">
        <f>IF(W_C*(L1_C+L2_C+L3_C+L4_C)-X6-X10-X11&lt;0,0,W_C*(L1_C+L2_C+L3_C+L4_C)-X6-X10-X11)</f>
        <v>49</v>
      </c>
      <c r="Y7" s="607" t="str">
        <f>HLOOKUP(H_O,$O$5:$W$115,Z7,FALSE)</f>
        <v>00M</v>
      </c>
      <c r="Z7" s="600">
        <v>3</v>
      </c>
      <c r="AA7" s="616">
        <v>2.1</v>
      </c>
      <c r="AB7" s="615">
        <f t="shared" ref="AB7:AB70" si="0">AA7*J7</f>
        <v>102.9</v>
      </c>
    </row>
    <row r="8" spans="1:29" s="143" customFormat="1" ht="17.25" customHeight="1">
      <c r="A8" s="655" t="str">
        <f t="array" ref="A8">IF( ISERROR(INDEX(Panel!$H$6:$H$115,SMALL(IF(Panel!$J$6:$J$115&lt;&gt;0,ROW(Panel!$J$6:$J$115)-5),ROW(A4)))),"",INDEX(Panel!$H$6:$H$115,SMALL(IF(Panel!$J$6:$J$115&lt;&gt;0,ROW(Panel!$J$6:$J$115)-5),ROW(A4))))</f>
        <v>Drain</v>
      </c>
      <c r="B8" s="655" t="str">
        <f t="array" ref="B8">IF(ISERROR(INDEX(Panel!$I$6:$I$115,SMALL(IF(Panel!$J$6:$J$115&lt;&gt;0,ROW(Panel!$J$6:$J$115)-5),ROW(B4)))),"",INDEX(Panel!$I$6:$I$115,SMALL(IF(Panel!$J$6:$J$115&lt;&gt;0,ROW(Panel!$J$6:$J$115)-5),ROW(B4))))</f>
        <v>DN30M</v>
      </c>
      <c r="C8" s="655">
        <f t="array" ref="C8">IF( ISERROR(INDEX(Panel!$J$6:$J$115,SMALL(IF(Panel!$J$6:$J$115&lt;&gt;0,ROW(Panel!$J$6:$J$115)-5),ROW(C4)))),"",  INDEX(Panel!$J$6:$J$115,SMALL(IF(Panel!$J$6:$J$115&lt;&gt;0,ROW(Panel!$J$6:$J$115)-5),ROW(C4))))</f>
        <v>1</v>
      </c>
      <c r="D8" s="142"/>
      <c r="E8" s="1590"/>
      <c r="F8" s="605" t="s">
        <v>442</v>
      </c>
      <c r="G8" s="1589"/>
      <c r="H8" s="606" t="str">
        <f>K8</f>
        <v>HRoof</v>
      </c>
      <c r="I8" s="606" t="str">
        <f>M8&amp;Y8&amp;IF(OR(BASIC_TOOL!$C$15=1,BASIC_TOOL!$C$15=5),,N8)</f>
        <v>RH00M</v>
      </c>
      <c r="J8" s="607">
        <f>IF(OR(X8=0,Y8=0),0,X8)</f>
        <v>0</v>
      </c>
      <c r="K8" s="606" t="str">
        <f>L8&amp;IF(OR( BASIC_TOOL!$C$15=1,BASIC_TOOL!$C$15=5),"","(I)")</f>
        <v>HRoof</v>
      </c>
      <c r="L8" s="606" t="s">
        <v>548</v>
      </c>
      <c r="M8" s="607" t="s">
        <v>1295</v>
      </c>
      <c r="N8" s="607" t="s">
        <v>464</v>
      </c>
      <c r="O8" s="608" t="s">
        <v>484</v>
      </c>
      <c r="P8" s="608" t="s">
        <v>484</v>
      </c>
      <c r="Q8" s="608" t="s">
        <v>484</v>
      </c>
      <c r="R8" s="608" t="s">
        <v>484</v>
      </c>
      <c r="S8" s="608" t="s">
        <v>484</v>
      </c>
      <c r="T8" s="608" t="s">
        <v>484</v>
      </c>
      <c r="U8" s="608" t="s">
        <v>484</v>
      </c>
      <c r="V8" s="608" t="s">
        <v>484</v>
      </c>
      <c r="W8" s="608" t="s">
        <v>484</v>
      </c>
      <c r="X8" s="603">
        <f>W_C*(L1_F+L2_F+L3_F+L4_F)+W_F*(L1_C+L2_C+L3_C+L4_C)</f>
        <v>0</v>
      </c>
      <c r="Y8" s="607" t="str">
        <f>HLOOKUP(H_O,$O$5:$W$115,Z8,FALSE)</f>
        <v>00M</v>
      </c>
      <c r="Z8" s="600">
        <v>4</v>
      </c>
      <c r="AA8" s="616">
        <v>1.6</v>
      </c>
      <c r="AB8" s="615">
        <f t="shared" si="0"/>
        <v>0</v>
      </c>
    </row>
    <row r="9" spans="1:29" s="143" customFormat="1" ht="17.25" customHeight="1">
      <c r="A9" s="655" t="str">
        <f t="array" ref="A9">IF( ISERROR(INDEX(Panel!$H$6:$H$115,SMALL(IF(Panel!$J$6:$J$115&lt;&gt;0,ROW(Panel!$J$6:$J$115)-5),ROW(A5)))),"",INDEX(Panel!$H$6:$H$115,SMALL(IF(Panel!$J$6:$J$115&lt;&gt;0,ROW(Panel!$J$6:$J$115)-5),ROW(A5))))</f>
        <v>Side20</v>
      </c>
      <c r="B9" s="655" t="str">
        <f t="array" ref="B9">IF(ISERROR(INDEX(Panel!$I$6:$I$115,SMALL(IF(Panel!$J$6:$J$115&lt;&gt;0,ROW(Panel!$J$6:$J$115)-5),ROW(B5)))),"",INDEX(Panel!$I$6:$I$115,SMALL(IF(Panel!$J$6:$J$115&lt;&gt;0,ROW(Panel!$J$6:$J$115)-5),ROW(B5))))</f>
        <v>SL20T</v>
      </c>
      <c r="C9" s="655">
        <f t="array" ref="C9">IF( ISERROR(INDEX(Panel!$J$6:$J$115,SMALL(IF(Panel!$J$6:$J$115&lt;&gt;0,ROW(Panel!$J$6:$J$115)-5),ROW(C5)))),"",  INDEX(Panel!$J$6:$J$115,SMALL(IF(Panel!$J$6:$J$115&lt;&gt;0,ROW(Panel!$J$6:$J$115)-5),ROW(C5))))</f>
        <v>30</v>
      </c>
      <c r="D9" s="142"/>
      <c r="E9" s="1590"/>
      <c r="F9" s="605" t="s">
        <v>443</v>
      </c>
      <c r="G9" s="1589"/>
      <c r="H9" s="606" t="str">
        <f>K9</f>
        <v>QRooF</v>
      </c>
      <c r="I9" s="606" t="str">
        <f>M9&amp;Y9&amp;IF(OR(BASIC_TOOL!$C$15=1,BASIC_TOOL!$C$15=5),,N9)</f>
        <v>RQ00M</v>
      </c>
      <c r="J9" s="607">
        <f>IF(OR(X9=0,Y9=0),0,X9)</f>
        <v>0</v>
      </c>
      <c r="K9" s="606" t="str">
        <f>L9&amp;IF(OR( BASIC_TOOL!$C$15=1,BASIC_TOOL!$C$15=5),"","(I)")</f>
        <v>QRooF</v>
      </c>
      <c r="L9" s="606" t="s">
        <v>549</v>
      </c>
      <c r="M9" s="607" t="s">
        <v>1296</v>
      </c>
      <c r="N9" s="607" t="s">
        <v>464</v>
      </c>
      <c r="O9" s="608" t="s">
        <v>484</v>
      </c>
      <c r="P9" s="608" t="s">
        <v>484</v>
      </c>
      <c r="Q9" s="608" t="s">
        <v>484</v>
      </c>
      <c r="R9" s="608" t="s">
        <v>484</v>
      </c>
      <c r="S9" s="608" t="s">
        <v>484</v>
      </c>
      <c r="T9" s="608" t="s">
        <v>484</v>
      </c>
      <c r="U9" s="608" t="s">
        <v>484</v>
      </c>
      <c r="V9" s="608" t="s">
        <v>484</v>
      </c>
      <c r="W9" s="608" t="s">
        <v>484</v>
      </c>
      <c r="X9" s="603">
        <f>IF(AND(W_F=1,OR(L1_F,L2_F,L3_F,L4_F)),L1_F+L2_F+L3_F+L4_F,0)</f>
        <v>0</v>
      </c>
      <c r="Y9" s="607" t="str">
        <f>HLOOKUP(H_O,$O$5:$W$115,Z9,FALSE)</f>
        <v>00M</v>
      </c>
      <c r="Z9" s="600">
        <v>5</v>
      </c>
      <c r="AA9" s="616">
        <v>1.1000000000000001</v>
      </c>
      <c r="AB9" s="615">
        <f t="shared" si="0"/>
        <v>0</v>
      </c>
    </row>
    <row r="10" spans="1:29" s="143" customFormat="1" ht="17.25" customHeight="1">
      <c r="A10" s="655" t="str">
        <f t="array" ref="A10">IF( ISERROR(INDEX(Panel!$H$6:$H$115,SMALL(IF(Panel!$J$6:$J$115&lt;&gt;0,ROW(Panel!$J$6:$J$115)-5),ROW(A6)))),"",INDEX(Panel!$H$6:$H$115,SMALL(IF(Panel!$J$6:$J$115&lt;&gt;0,ROW(Panel!$J$6:$J$115)-5),ROW(A6))))</f>
        <v>Side</v>
      </c>
      <c r="B10" s="655" t="str">
        <f t="array" ref="B10">IF(ISERROR(INDEX(Panel!$I$6:$I$115,SMALL(IF(Panel!$J$6:$J$115&lt;&gt;0,ROW(Panel!$J$6:$J$115)-5),ROW(B6)))),"",INDEX(Panel!$I$6:$I$115,SMALL(IF(Panel!$J$6:$J$115&lt;&gt;0,ROW(Panel!$J$6:$J$115)-5),ROW(B6))))</f>
        <v>SF30L</v>
      </c>
      <c r="C10" s="655">
        <f t="array" ref="C10">IF( ISERROR(INDEX(Panel!$J$6:$J$115,SMALL(IF(Panel!$J$6:$J$115&lt;&gt;0,ROW(Panel!$J$6:$J$115)-5),ROW(C6)))),"",  INDEX(Panel!$J$6:$J$115,SMALL(IF(Panel!$J$6:$J$115&lt;&gt;0,ROW(Panel!$J$6:$J$115)-5),ROW(C6))))</f>
        <v>30</v>
      </c>
      <c r="D10" s="142"/>
      <c r="E10" s="610"/>
      <c r="F10" s="605"/>
      <c r="G10" s="607"/>
      <c r="H10" s="606"/>
      <c r="I10" s="606"/>
      <c r="J10" s="607"/>
      <c r="K10" s="606"/>
      <c r="L10" s="606"/>
      <c r="M10" s="607"/>
      <c r="N10" s="607"/>
      <c r="O10" s="608"/>
      <c r="P10" s="608"/>
      <c r="Q10" s="608"/>
      <c r="R10" s="608"/>
      <c r="S10" s="608"/>
      <c r="T10" s="608"/>
      <c r="U10" s="608"/>
      <c r="V10" s="608"/>
      <c r="W10" s="608"/>
      <c r="X10" s="603"/>
      <c r="Y10" s="607"/>
      <c r="Z10" s="600">
        <v>6</v>
      </c>
      <c r="AA10" s="616">
        <v>0</v>
      </c>
      <c r="AB10" s="615">
        <f t="shared" si="0"/>
        <v>0</v>
      </c>
    </row>
    <row r="11" spans="1:29" s="143" customFormat="1" ht="17.25" customHeight="1">
      <c r="A11" s="655" t="str">
        <f t="array" ref="A11">IF( ISERROR(INDEX(Panel!$H$6:$H$115,SMALL(IF(Panel!$J$6:$J$115&lt;&gt;0,ROW(Panel!$J$6:$J$115)-5),ROW(A7)))),"",INDEX(Panel!$H$6:$H$115,SMALL(IF(Panel!$J$6:$J$115&lt;&gt;0,ROW(Panel!$J$6:$J$115)-5),ROW(A7))))</f>
        <v/>
      </c>
      <c r="B11" s="655" t="str">
        <f t="array" ref="B11">IF(ISERROR(INDEX(Panel!$I$6:$I$115,SMALL(IF(Panel!$J$6:$J$115&lt;&gt;0,ROW(Panel!$J$6:$J$115)-5),ROW(B7)))),"",INDEX(Panel!$I$6:$I$115,SMALL(IF(Panel!$J$6:$J$115&lt;&gt;0,ROW(Panel!$J$6:$J$115)-5),ROW(B7))))</f>
        <v/>
      </c>
      <c r="C11" s="655" t="str">
        <f t="array" ref="C11">IF( ISERROR(INDEX(Panel!$J$6:$J$115,SMALL(IF(Panel!$J$6:$J$115&lt;&gt;0,ROW(Panel!$J$6:$J$115)-5),ROW(C7)))),"",  INDEX(Panel!$J$6:$J$115,SMALL(IF(Panel!$J$6:$J$115&lt;&gt;0,ROW(Panel!$J$6:$J$115)-5),ROW(C7))))</f>
        <v/>
      </c>
      <c r="D11" s="142"/>
      <c r="E11" s="610"/>
      <c r="F11" s="605"/>
      <c r="G11" s="607"/>
      <c r="H11" s="606"/>
      <c r="I11" s="606"/>
      <c r="J11" s="607"/>
      <c r="K11" s="606"/>
      <c r="L11" s="606"/>
      <c r="M11" s="607"/>
      <c r="N11" s="607"/>
      <c r="O11" s="608"/>
      <c r="P11" s="608"/>
      <c r="Q11" s="608"/>
      <c r="R11" s="608"/>
      <c r="S11" s="608"/>
      <c r="T11" s="608"/>
      <c r="U11" s="608"/>
      <c r="V11" s="608"/>
      <c r="W11" s="608"/>
      <c r="X11" s="603"/>
      <c r="Y11" s="607"/>
      <c r="Z11" s="600">
        <v>7</v>
      </c>
      <c r="AA11" s="616">
        <v>0</v>
      </c>
      <c r="AB11" s="615">
        <f t="shared" si="0"/>
        <v>0</v>
      </c>
    </row>
    <row r="12" spans="1:29" s="143" customFormat="1" ht="17.25" customHeight="1">
      <c r="A12" s="655" t="str">
        <f t="array" ref="A12">IF( ISERROR(INDEX(Panel!$H$6:$H$115,SMALL(IF(Panel!$J$6:$J$115&lt;&gt;0,ROW(Panel!$J$6:$J$115)-5),ROW(A8)))),"",INDEX(Panel!$H$6:$H$115,SMALL(IF(Panel!$J$6:$J$115&lt;&gt;0,ROW(Panel!$J$6:$J$115)-5),ROW(A8))))</f>
        <v/>
      </c>
      <c r="B12" s="655" t="str">
        <f t="array" ref="B12">IF(ISERROR(INDEX(Panel!$I$6:$I$115,SMALL(IF(Panel!$J$6:$J$115&lt;&gt;0,ROW(Panel!$J$6:$J$115)-5),ROW(B8)))),"",INDEX(Panel!$I$6:$I$115,SMALL(IF(Panel!$J$6:$J$115&lt;&gt;0,ROW(Panel!$J$6:$J$115)-5),ROW(B8))))</f>
        <v/>
      </c>
      <c r="C12" s="655" t="str">
        <f t="array" ref="C12">IF( ISERROR(INDEX(Panel!$J$6:$J$115,SMALL(IF(Panel!$J$6:$J$115&lt;&gt;0,ROW(Panel!$J$6:$J$115)-5),ROW(C8)))),"",  INDEX(Panel!$J$6:$J$115,SMALL(IF(Panel!$J$6:$J$115&lt;&gt;0,ROW(Panel!$J$6:$J$115)-5),ROW(C8))))</f>
        <v/>
      </c>
      <c r="D12" s="142"/>
      <c r="E12" s="1590" t="s">
        <v>467</v>
      </c>
      <c r="F12" s="605" t="s">
        <v>466</v>
      </c>
      <c r="G12" s="607" t="s">
        <v>461</v>
      </c>
      <c r="H12" s="606" t="str">
        <f t="shared" ref="H12:H15" si="1">K12</f>
        <v>Base</v>
      </c>
      <c r="I12" s="606" t="str">
        <f>M12&amp;Y12&amp;IF(OR(BASIC_TOOL!$C$15=1,BASIC_TOOL!$C$15=5),,N12)</f>
        <v>BF30M</v>
      </c>
      <c r="J12" s="607">
        <f t="shared" ref="J12:J15" si="2">IF(OR(X12=0,Y12=0),0,X12)</f>
        <v>49</v>
      </c>
      <c r="K12" s="606" t="str">
        <f>L12&amp;IF(OR( BASIC_TOOL!$C$15=1,BASIC_TOOL!$C$15=5),"","(I)")</f>
        <v>Base</v>
      </c>
      <c r="L12" s="606" t="s">
        <v>550</v>
      </c>
      <c r="M12" s="607" t="s">
        <v>1297</v>
      </c>
      <c r="N12" s="607" t="s">
        <v>464</v>
      </c>
      <c r="O12" s="608" t="s">
        <v>485</v>
      </c>
      <c r="P12" s="608" t="s">
        <v>486</v>
      </c>
      <c r="Q12" s="608" t="s">
        <v>487</v>
      </c>
      <c r="R12" s="608" t="s">
        <v>488</v>
      </c>
      <c r="S12" s="608" t="s">
        <v>489</v>
      </c>
      <c r="T12" s="608" t="s">
        <v>490</v>
      </c>
      <c r="U12" s="608" t="s">
        <v>491</v>
      </c>
      <c r="V12" s="608" t="s">
        <v>492</v>
      </c>
      <c r="W12" s="608" t="s">
        <v>493</v>
      </c>
      <c r="X12" s="603">
        <f>IF(W_C*(L1_C+L2_C+L3_C+L4_C)-X13-X17&lt;0,0,W_C*(L1_C+L2_C+L3_C+L4_C)-X13-X17)</f>
        <v>49</v>
      </c>
      <c r="Y12" s="607" t="str">
        <f t="shared" ref="Y12:Y54" si="3">HLOOKUP(H_O,$O$5:$W$115,Z12,FALSE)</f>
        <v>30M</v>
      </c>
      <c r="Z12" s="600">
        <v>8</v>
      </c>
      <c r="AA12" s="616">
        <v>4.0999999999999996</v>
      </c>
      <c r="AB12" s="615">
        <f t="shared" si="0"/>
        <v>200.89999999999998</v>
      </c>
    </row>
    <row r="13" spans="1:29" s="143" customFormat="1" ht="17.25" customHeight="1">
      <c r="A13" s="655" t="str">
        <f t="array" ref="A13">IF( ISERROR(INDEX(Panel!$H$6:$H$115,SMALL(IF(Panel!$J$6:$J$115&lt;&gt;0,ROW(Panel!$J$6:$J$115)-5),ROW(A9)))),"",INDEX(Panel!$H$6:$H$115,SMALL(IF(Panel!$J$6:$J$115&lt;&gt;0,ROW(Panel!$J$6:$J$115)-5),ROW(A9))))</f>
        <v/>
      </c>
      <c r="B13" s="655" t="str">
        <f t="array" ref="B13">IF(ISERROR(INDEX(Panel!$I$6:$I$115,SMALL(IF(Panel!$J$6:$J$115&lt;&gt;0,ROW(Panel!$J$6:$J$115)-5),ROW(B9)))),"",INDEX(Panel!$I$6:$I$115,SMALL(IF(Panel!$J$6:$J$115&lt;&gt;0,ROW(Panel!$J$6:$J$115)-5),ROW(B9))))</f>
        <v/>
      </c>
      <c r="C13" s="655" t="str">
        <f t="array" ref="C13">IF( ISERROR(INDEX(Panel!$J$6:$J$115,SMALL(IF(Panel!$J$6:$J$115&lt;&gt;0,ROW(Panel!$J$6:$J$115)-5),ROW(C9)))),"",  INDEX(Panel!$J$6:$J$115,SMALL(IF(Panel!$J$6:$J$115&lt;&gt;0,ROW(Panel!$J$6:$J$115)-5),ROW(C9))))</f>
        <v/>
      </c>
      <c r="D13" s="142"/>
      <c r="E13" s="1590"/>
      <c r="F13" s="605" t="s">
        <v>465</v>
      </c>
      <c r="G13" s="604" t="s">
        <v>458</v>
      </c>
      <c r="H13" s="606" t="str">
        <f t="shared" si="1"/>
        <v>Base_Par</v>
      </c>
      <c r="I13" s="606" t="str">
        <f>M13&amp;Y13&amp;IF(OR(BASIC_TOOL!$C$15=1,BASIC_TOOL!$C$15=5),,N13)</f>
        <v>BF30P</v>
      </c>
      <c r="J13" s="607">
        <f t="shared" si="2"/>
        <v>0</v>
      </c>
      <c r="K13" s="606" t="str">
        <f>L13&amp;IF(OR( BASIC_TOOL!$C$15=1,BASIC_TOOL!$C$15=5),"","(I)")</f>
        <v>Base_Par</v>
      </c>
      <c r="L13" s="606" t="s">
        <v>1262</v>
      </c>
      <c r="M13" s="607" t="s">
        <v>1297</v>
      </c>
      <c r="N13" s="607" t="s">
        <v>464</v>
      </c>
      <c r="O13" s="608" t="s">
        <v>494</v>
      </c>
      <c r="P13" s="608" t="s">
        <v>495</v>
      </c>
      <c r="Q13" s="608" t="s">
        <v>496</v>
      </c>
      <c r="R13" s="608" t="s">
        <v>497</v>
      </c>
      <c r="S13" s="608" t="s">
        <v>498</v>
      </c>
      <c r="T13" s="608" t="s">
        <v>499</v>
      </c>
      <c r="U13" s="608" t="s">
        <v>500</v>
      </c>
      <c r="V13" s="608" t="s">
        <v>501</v>
      </c>
      <c r="W13" s="608" t="s">
        <v>502</v>
      </c>
      <c r="X13" s="603">
        <f>(W_C)*N_PA</f>
        <v>0</v>
      </c>
      <c r="Y13" s="607" t="str">
        <f t="shared" si="3"/>
        <v>30P</v>
      </c>
      <c r="Z13" s="600">
        <v>9</v>
      </c>
      <c r="AA13" s="616">
        <v>4.0999999999999996</v>
      </c>
      <c r="AB13" s="615">
        <f t="shared" si="0"/>
        <v>0</v>
      </c>
    </row>
    <row r="14" spans="1:29" s="143" customFormat="1" ht="17.25" customHeight="1">
      <c r="A14" s="655" t="str">
        <f t="array" ref="A14">IF( ISERROR(INDEX(Panel!$H$6:$H$115,SMALL(IF(Panel!$J$6:$J$115&lt;&gt;0,ROW(Panel!$J$6:$J$115)-5),ROW(A10)))),"",INDEX(Panel!$H$6:$H$115,SMALL(IF(Panel!$J$6:$J$115&lt;&gt;0,ROW(Panel!$J$6:$J$115)-5),ROW(A10))))</f>
        <v/>
      </c>
      <c r="B14" s="655" t="str">
        <f t="array" ref="B14">IF(ISERROR(INDEX(Panel!$I$6:$I$115,SMALL(IF(Panel!$J$6:$J$115&lt;&gt;0,ROW(Panel!$J$6:$J$115)-5),ROW(B10)))),"",INDEX(Panel!$I$6:$I$115,SMALL(IF(Panel!$J$6:$J$115&lt;&gt;0,ROW(Panel!$J$6:$J$115)-5),ROW(B10))))</f>
        <v/>
      </c>
      <c r="C14" s="655" t="str">
        <f t="array" ref="C14">IF( ISERROR(INDEX(Panel!$J$6:$J$115,SMALL(IF(Panel!$J$6:$J$115&lt;&gt;0,ROW(Panel!$J$6:$J$115)-5),ROW(C10)))),"",  INDEX(Panel!$J$6:$J$115,SMALL(IF(Panel!$J$6:$J$115&lt;&gt;0,ROW(Panel!$J$6:$J$115)-5),ROW(C10))))</f>
        <v/>
      </c>
      <c r="D14" s="142"/>
      <c r="E14" s="1590"/>
      <c r="F14" s="605" t="s">
        <v>444</v>
      </c>
      <c r="G14" s="607" t="s">
        <v>461</v>
      </c>
      <c r="H14" s="606" t="str">
        <f t="shared" si="1"/>
        <v>HBase</v>
      </c>
      <c r="I14" s="606" t="str">
        <f>M14&amp;Y14&amp;IF(OR(BASIC_TOOL!$C$15=1,BASIC_TOOL!$C$15=5),,N14)</f>
        <v>BH30M</v>
      </c>
      <c r="J14" s="607">
        <f t="shared" si="2"/>
        <v>0</v>
      </c>
      <c r="K14" s="606" t="str">
        <f>L14&amp;IF(OR( BASIC_TOOL!$C$15=1,BASIC_TOOL!$C$15=5),"","(I)")</f>
        <v>HBase</v>
      </c>
      <c r="L14" s="606" t="s">
        <v>551</v>
      </c>
      <c r="M14" s="607" t="s">
        <v>1298</v>
      </c>
      <c r="N14" s="607" t="s">
        <v>464</v>
      </c>
      <c r="O14" s="608" t="s">
        <v>485</v>
      </c>
      <c r="P14" s="608" t="s">
        <v>486</v>
      </c>
      <c r="Q14" s="608" t="s">
        <v>487</v>
      </c>
      <c r="R14" s="608" t="s">
        <v>488</v>
      </c>
      <c r="S14" s="608" t="s">
        <v>489</v>
      </c>
      <c r="T14" s="608" t="s">
        <v>490</v>
      </c>
      <c r="U14" s="608" t="s">
        <v>491</v>
      </c>
      <c r="V14" s="608" t="s">
        <v>492</v>
      </c>
      <c r="W14" s="608" t="s">
        <v>493</v>
      </c>
      <c r="X14" s="603">
        <f>W_C*(L1_F+L2_F+L3_F+L4_F)+W_F*(L1_C+L2_C+L3_C+L4_C)-X15</f>
        <v>0</v>
      </c>
      <c r="Y14" s="607" t="str">
        <f t="shared" si="3"/>
        <v>30M</v>
      </c>
      <c r="Z14" s="600">
        <v>10</v>
      </c>
      <c r="AA14" s="616">
        <v>3.1</v>
      </c>
      <c r="AB14" s="615">
        <f t="shared" si="0"/>
        <v>0</v>
      </c>
    </row>
    <row r="15" spans="1:29" s="143" customFormat="1" ht="17.25" customHeight="1">
      <c r="A15" s="655" t="str">
        <f t="array" ref="A15">IF( ISERROR(INDEX(Panel!$H$6:$H$115,SMALL(IF(Panel!$J$6:$J$115&lt;&gt;0,ROW(Panel!$J$6:$J$115)-5),ROW(A11)))),"",INDEX(Panel!$H$6:$H$115,SMALL(IF(Panel!$J$6:$J$115&lt;&gt;0,ROW(Panel!$J$6:$J$115)-5),ROW(A11))))</f>
        <v/>
      </c>
      <c r="B15" s="655" t="str">
        <f t="array" ref="B15">IF(ISERROR(INDEX(Panel!$I$6:$I$115,SMALL(IF(Panel!$J$6:$J$115&lt;&gt;0,ROW(Panel!$J$6:$J$115)-5),ROW(B11)))),"",INDEX(Panel!$I$6:$I$115,SMALL(IF(Panel!$J$6:$J$115&lt;&gt;0,ROW(Panel!$J$6:$J$115)-5),ROW(B11))))</f>
        <v/>
      </c>
      <c r="C15" s="655" t="str">
        <f t="array" ref="C15">IF( ISERROR(INDEX(Panel!$J$6:$J$115,SMALL(IF(Panel!$J$6:$J$115&lt;&gt;0,ROW(Panel!$J$6:$J$115)-5),ROW(C11)))),"",  INDEX(Panel!$J$6:$J$115,SMALL(IF(Panel!$J$6:$J$115&lt;&gt;0,ROW(Panel!$J$6:$J$115)-5),ROW(C11))))</f>
        <v/>
      </c>
      <c r="D15" s="142"/>
      <c r="E15" s="1590"/>
      <c r="F15" s="605" t="s">
        <v>444</v>
      </c>
      <c r="G15" s="607" t="s">
        <v>461</v>
      </c>
      <c r="H15" s="606" t="str">
        <f t="shared" si="1"/>
        <v>HBase_Hor</v>
      </c>
      <c r="I15" s="606" t="str">
        <f>M15&amp;Y15&amp;IF(OR(BASIC_TOOL!$C$15=1,BASIC_TOOL!$C$15=5),,N15)</f>
        <v>BH30PH</v>
      </c>
      <c r="J15" s="607">
        <f t="shared" si="2"/>
        <v>0</v>
      </c>
      <c r="K15" s="606" t="str">
        <f>L15&amp;IF(OR( BASIC_TOOL!$C$15=1,BASIC_TOOL!$C$15=5),"","(I)")</f>
        <v>HBase_Hor</v>
      </c>
      <c r="L15" s="606" t="s">
        <v>552</v>
      </c>
      <c r="M15" s="607" t="s">
        <v>1298</v>
      </c>
      <c r="N15" s="607" t="s">
        <v>464</v>
      </c>
      <c r="O15" s="608" t="s">
        <v>1567</v>
      </c>
      <c r="P15" s="608" t="s">
        <v>1568</v>
      </c>
      <c r="Q15" s="608" t="s">
        <v>1569</v>
      </c>
      <c r="R15" s="608" t="s">
        <v>1570</v>
      </c>
      <c r="S15" s="608" t="s">
        <v>1571</v>
      </c>
      <c r="T15" s="608" t="s">
        <v>1572</v>
      </c>
      <c r="U15" s="608" t="s">
        <v>1573</v>
      </c>
      <c r="V15" s="608" t="s">
        <v>1574</v>
      </c>
      <c r="W15" s="608" t="s">
        <v>1575</v>
      </c>
      <c r="X15" s="603">
        <f>IF(W_F=1,N_PA,0)</f>
        <v>0</v>
      </c>
      <c r="Y15" s="607" t="str">
        <f t="shared" si="3"/>
        <v>30PH</v>
      </c>
      <c r="Z15" s="600">
        <v>11</v>
      </c>
      <c r="AA15" s="616">
        <v>3.1</v>
      </c>
      <c r="AB15" s="615">
        <f t="shared" si="0"/>
        <v>0</v>
      </c>
    </row>
    <row r="16" spans="1:29" s="143" customFormat="1" ht="17.25" customHeight="1">
      <c r="A16" s="655" t="str">
        <f t="array" ref="A16">IF( ISERROR(INDEX(Panel!$H$6:$H$115,SMALL(IF(Panel!$J$6:$J$115&lt;&gt;0,ROW(Panel!$J$6:$J$115)-5),ROW(A12)))),"",INDEX(Panel!$H$6:$H$115,SMALL(IF(Panel!$J$6:$J$115&lt;&gt;0,ROW(Panel!$J$6:$J$115)-5),ROW(A12))))</f>
        <v/>
      </c>
      <c r="B16" s="655" t="str">
        <f t="array" ref="B16">IF(ISERROR(INDEX(Panel!$I$6:$I$115,SMALL(IF(Panel!$J$6:$J$115&lt;&gt;0,ROW(Panel!$J$6:$J$115)-5),ROW(B12)))),"",INDEX(Panel!$I$6:$I$115,SMALL(IF(Panel!$J$6:$J$115&lt;&gt;0,ROW(Panel!$J$6:$J$115)-5),ROW(B12))))</f>
        <v/>
      </c>
      <c r="C16" s="655" t="str">
        <f t="array" ref="C16">IF( ISERROR(INDEX(Panel!$J$6:$J$115,SMALL(IF(Panel!$J$6:$J$115&lt;&gt;0,ROW(Panel!$J$6:$J$115)-5),ROW(C12)))),"",  INDEX(Panel!$J$6:$J$115,SMALL(IF(Panel!$J$6:$J$115&lt;&gt;0,ROW(Panel!$J$6:$J$115)-5),ROW(C12))))</f>
        <v/>
      </c>
      <c r="D16" s="142"/>
      <c r="E16" s="1590"/>
      <c r="F16" s="605" t="s">
        <v>445</v>
      </c>
      <c r="G16" s="607" t="s">
        <v>461</v>
      </c>
      <c r="H16" s="606" t="str">
        <f>K16</f>
        <v>QBase</v>
      </c>
      <c r="I16" s="606" t="str">
        <f>M16&amp;Y16&amp;IF(OR(BASIC_TOOL!$C$15=1,BASIC_TOOL!$C$15=5),,N16)</f>
        <v>BQ30M</v>
      </c>
      <c r="J16" s="607">
        <f>IF(OR(X16=0,Y16=0),0,X16)</f>
        <v>0</v>
      </c>
      <c r="K16" s="606" t="str">
        <f>L16&amp;IF(OR( BASIC_TOOL!$C$15=1,BASIC_TOOL!$C$15=5),"","(I)")</f>
        <v>QBase</v>
      </c>
      <c r="L16" s="606" t="s">
        <v>553</v>
      </c>
      <c r="M16" s="607" t="s">
        <v>1299</v>
      </c>
      <c r="N16" s="607" t="s">
        <v>464</v>
      </c>
      <c r="O16" s="608" t="s">
        <v>485</v>
      </c>
      <c r="P16" s="608" t="s">
        <v>479</v>
      </c>
      <c r="Q16" s="608" t="s">
        <v>487</v>
      </c>
      <c r="R16" s="608" t="s">
        <v>488</v>
      </c>
      <c r="S16" s="608" t="s">
        <v>489</v>
      </c>
      <c r="T16" s="608" t="s">
        <v>490</v>
      </c>
      <c r="U16" s="608" t="s">
        <v>491</v>
      </c>
      <c r="V16" s="608" t="s">
        <v>492</v>
      </c>
      <c r="W16" s="608" t="s">
        <v>493</v>
      </c>
      <c r="X16" s="603">
        <f>IF(AND(W_F=1,OR(L1_F,L2_F,L3_F,L4_F)),L1_F+L2_F+L3_F+L4_F,0)</f>
        <v>0</v>
      </c>
      <c r="Y16" s="607" t="str">
        <f>HLOOKUP(H_O,$O$5:$W$115,Z16,FALSE)</f>
        <v>30M</v>
      </c>
      <c r="Z16" s="600">
        <v>12</v>
      </c>
      <c r="AA16" s="616">
        <v>2.1</v>
      </c>
      <c r="AB16" s="615">
        <f t="shared" si="0"/>
        <v>0</v>
      </c>
    </row>
    <row r="17" spans="1:28" s="143" customFormat="1" ht="17.25" customHeight="1">
      <c r="A17" s="655" t="str">
        <f t="array" ref="A17">IF( ISERROR(INDEX(Panel!$H$6:$H$115,SMALL(IF(Panel!$J$6:$J$115&lt;&gt;0,ROW(Panel!$J$6:$J$115)-5),ROW(A13)))),"",INDEX(Panel!$H$6:$H$115,SMALL(IF(Panel!$J$6:$J$115&lt;&gt;0,ROW(Panel!$J$6:$J$115)-5),ROW(A13))))</f>
        <v/>
      </c>
      <c r="B17" s="655" t="str">
        <f t="array" ref="B17">IF(ISERROR(INDEX(Panel!$I$6:$I$115,SMALL(IF(Panel!$J$6:$J$115&lt;&gt;0,ROW(Panel!$J$6:$J$115)-5),ROW(B13)))),"",INDEX(Panel!$I$6:$I$115,SMALL(IF(Panel!$J$6:$J$115&lt;&gt;0,ROW(Panel!$J$6:$J$115)-5),ROW(B13))))</f>
        <v/>
      </c>
      <c r="C17" s="655" t="str">
        <f t="array" ref="C17">IF( ISERROR(INDEX(Panel!$J$6:$J$115,SMALL(IF(Panel!$J$6:$J$115&lt;&gt;0,ROW(Panel!$J$6:$J$115)-5),ROW(C13)))),"",  INDEX(Panel!$J$6:$J$115,SMALL(IF(Panel!$J$6:$J$115&lt;&gt;0,ROW(Panel!$J$6:$J$115)-5),ROW(C13))))</f>
        <v/>
      </c>
      <c r="D17" s="142"/>
      <c r="E17" s="1590"/>
      <c r="F17" s="605" t="s">
        <v>446</v>
      </c>
      <c r="G17" s="607" t="s">
        <v>462</v>
      </c>
      <c r="H17" s="606" t="str">
        <f>K17</f>
        <v>Drain</v>
      </c>
      <c r="I17" s="606" t="str">
        <f>M17&amp;Y17&amp;IF(OR(BASIC_TOOL!$C$15=1,BASIC_TOOL!$C$15=5),,N17)</f>
        <v>DN30M</v>
      </c>
      <c r="J17" s="607">
        <f>IF(OR(X17=0,Y17=0),0,X17)</f>
        <v>1</v>
      </c>
      <c r="K17" s="606" t="str">
        <f>L17&amp;IF(OR( BASIC_TOOL!$C$15=1,BASIC_TOOL!$C$15=5),"","(I)")</f>
        <v>Drain</v>
      </c>
      <c r="L17" s="606" t="s">
        <v>456</v>
      </c>
      <c r="M17" s="607" t="s">
        <v>1300</v>
      </c>
      <c r="N17" s="607" t="s">
        <v>464</v>
      </c>
      <c r="O17" s="608" t="s">
        <v>485</v>
      </c>
      <c r="P17" s="608" t="s">
        <v>479</v>
      </c>
      <c r="Q17" s="608" t="s">
        <v>487</v>
      </c>
      <c r="R17" s="608" t="s">
        <v>488</v>
      </c>
      <c r="S17" s="608" t="s">
        <v>489</v>
      </c>
      <c r="T17" s="608" t="s">
        <v>490</v>
      </c>
      <c r="U17" s="608" t="s">
        <v>491</v>
      </c>
      <c r="V17" s="608" t="s">
        <v>492</v>
      </c>
      <c r="W17" s="608" t="s">
        <v>493</v>
      </c>
      <c r="X17" s="603">
        <f>(1+N_PA)-X19</f>
        <v>1</v>
      </c>
      <c r="Y17" s="607" t="str">
        <f>HLOOKUP(H_O,$O$5:$W$115,Z17,FALSE)</f>
        <v>30M</v>
      </c>
      <c r="Z17" s="600">
        <v>13</v>
      </c>
      <c r="AA17" s="616">
        <v>4.0999999999999996</v>
      </c>
      <c r="AB17" s="615">
        <f t="shared" si="0"/>
        <v>4.0999999999999996</v>
      </c>
    </row>
    <row r="18" spans="1:28" s="143" customFormat="1" ht="17.25" customHeight="1">
      <c r="A18" s="655" t="str">
        <f t="array" ref="A18">IF( ISERROR(INDEX(Panel!$H$6:$H$115,SMALL(IF(Panel!$J$6:$J$115&lt;&gt;0,ROW(Panel!$J$6:$J$115)-5),ROW(A14)))),"",INDEX(Panel!$H$6:$H$115,SMALL(IF(Panel!$J$6:$J$115&lt;&gt;0,ROW(Panel!$J$6:$J$115)-5),ROW(A14))))</f>
        <v/>
      </c>
      <c r="B18" s="655" t="str">
        <f t="array" ref="B18">IF(ISERROR(INDEX(Panel!$I$6:$I$115,SMALL(IF(Panel!$J$6:$J$115&lt;&gt;0,ROW(Panel!$J$6:$J$115)-5),ROW(B14)))),"",INDEX(Panel!$I$6:$I$115,SMALL(IF(Panel!$J$6:$J$115&lt;&gt;0,ROW(Panel!$J$6:$J$115)-5),ROW(B14))))</f>
        <v/>
      </c>
      <c r="C18" s="655" t="str">
        <f t="array" ref="C18">IF( ISERROR(INDEX(Panel!$J$6:$J$115,SMALL(IF(Panel!$J$6:$J$115&lt;&gt;0,ROW(Panel!$J$6:$J$115)-5),ROW(C14)))),"",  INDEX(Panel!$J$6:$J$115,SMALL(IF(Panel!$J$6:$J$115&lt;&gt;0,ROW(Panel!$J$6:$J$115)-5),ROW(C14))))</f>
        <v/>
      </c>
      <c r="D18" s="142"/>
      <c r="E18" s="610"/>
      <c r="F18" s="605"/>
      <c r="G18" s="607"/>
      <c r="H18" s="606"/>
      <c r="I18" s="606"/>
      <c r="J18" s="607"/>
      <c r="K18" s="606"/>
      <c r="L18" s="606"/>
      <c r="M18" s="607"/>
      <c r="N18" s="607"/>
      <c r="O18" s="608"/>
      <c r="P18" s="608"/>
      <c r="Q18" s="608"/>
      <c r="R18" s="608"/>
      <c r="S18" s="608"/>
      <c r="T18" s="608"/>
      <c r="U18" s="608"/>
      <c r="V18" s="608"/>
      <c r="W18" s="608"/>
      <c r="X18" s="603"/>
      <c r="Y18" s="607"/>
      <c r="Z18" s="600">
        <v>14</v>
      </c>
      <c r="AA18" s="616"/>
      <c r="AB18" s="615">
        <f t="shared" si="0"/>
        <v>0</v>
      </c>
    </row>
    <row r="19" spans="1:28" s="143" customFormat="1" ht="17.25" customHeight="1">
      <c r="A19" s="655" t="str">
        <f t="array" ref="A19">IF( ISERROR(INDEX(Panel!$H$6:$H$115,SMALL(IF(Panel!$J$6:$J$115&lt;&gt;0,ROW(Panel!$J$6:$J$115)-5),ROW(A15)))),"",INDEX(Panel!$H$6:$H$115,SMALL(IF(Panel!$J$6:$J$115&lt;&gt;0,ROW(Panel!$J$6:$J$115)-5),ROW(A15))))</f>
        <v/>
      </c>
      <c r="B19" s="655" t="str">
        <f t="array" ref="B19">IF(ISERROR(INDEX(Panel!$I$6:$I$115,SMALL(IF(Panel!$J$6:$J$115&lt;&gt;0,ROW(Panel!$J$6:$J$115)-5),ROW(B15)))),"",INDEX(Panel!$I$6:$I$115,SMALL(IF(Panel!$J$6:$J$115&lt;&gt;0,ROW(Panel!$J$6:$J$115)-5),ROW(B15))))</f>
        <v/>
      </c>
      <c r="C19" s="655" t="str">
        <f t="array" ref="C19">IF( ISERROR(INDEX(Panel!$J$6:$J$115,SMALL(IF(Panel!$J$6:$J$115&lt;&gt;0,ROW(Panel!$J$6:$J$115)-5),ROW(C15)))),"",  INDEX(Panel!$J$6:$J$115,SMALL(IF(Panel!$J$6:$J$115&lt;&gt;0,ROW(Panel!$J$6:$J$115)-5),ROW(C15))))</f>
        <v/>
      </c>
      <c r="D19" s="142"/>
      <c r="E19" s="610"/>
      <c r="F19" s="605"/>
      <c r="G19" s="607"/>
      <c r="H19" s="606"/>
      <c r="I19" s="606"/>
      <c r="J19" s="607"/>
      <c r="K19" s="606"/>
      <c r="L19" s="606"/>
      <c r="M19" s="607"/>
      <c r="N19" s="607"/>
      <c r="O19" s="608"/>
      <c r="P19" s="608"/>
      <c r="Q19" s="608"/>
      <c r="R19" s="608"/>
      <c r="S19" s="608"/>
      <c r="T19" s="608"/>
      <c r="U19" s="608"/>
      <c r="V19" s="608"/>
      <c r="W19" s="608"/>
      <c r="X19" s="603"/>
      <c r="Y19" s="607">
        <f t="shared" si="3"/>
        <v>0</v>
      </c>
      <c r="Z19" s="600">
        <v>15</v>
      </c>
      <c r="AA19" s="616"/>
      <c r="AB19" s="615">
        <f t="shared" si="0"/>
        <v>0</v>
      </c>
    </row>
    <row r="20" spans="1:28" s="143" customFormat="1" ht="17.25" customHeight="1">
      <c r="A20" s="655" t="str">
        <f t="array" ref="A20">IF( ISERROR(INDEX(Panel!$H$6:$H$115,SMALL(IF(Panel!$J$6:$J$115&lt;&gt;0,ROW(Panel!$J$6:$J$115)-5),ROW(A16)))),"",INDEX(Panel!$H$6:$H$115,SMALL(IF(Panel!$J$6:$J$115&lt;&gt;0,ROW(Panel!$J$6:$J$115)-5),ROW(A16))))</f>
        <v/>
      </c>
      <c r="B20" s="655" t="str">
        <f t="array" ref="B20">IF(ISERROR(INDEX(Panel!$I$6:$I$115,SMALL(IF(Panel!$J$6:$J$115&lt;&gt;0,ROW(Panel!$J$6:$J$115)-5),ROW(B16)))),"",INDEX(Panel!$I$6:$I$115,SMALL(IF(Panel!$J$6:$J$115&lt;&gt;0,ROW(Panel!$J$6:$J$115)-5),ROW(B16))))</f>
        <v/>
      </c>
      <c r="C20" s="655" t="str">
        <f t="array" ref="C20">IF( ISERROR(INDEX(Panel!$J$6:$J$115,SMALL(IF(Panel!$J$6:$J$115&lt;&gt;0,ROW(Panel!$J$6:$J$115)-5),ROW(C16)))),"",  INDEX(Panel!$J$6:$J$115,SMALL(IF(Panel!$J$6:$J$115&lt;&gt;0,ROW(Panel!$J$6:$J$115)-5),ROW(C16))))</f>
        <v/>
      </c>
      <c r="D20" s="142"/>
      <c r="E20" s="1590" t="s">
        <v>527</v>
      </c>
      <c r="F20" s="1589" t="s">
        <v>413</v>
      </c>
      <c r="G20" s="607" t="s">
        <v>414</v>
      </c>
      <c r="H20" s="606" t="str">
        <f t="shared" ref="H20:H32" si="4">K20</f>
        <v>Side15</v>
      </c>
      <c r="I20" s="606" t="str">
        <f>M20&amp;Y20&amp;IF(OR(BASIC_TOOL!$C$15=1,BASIC_TOOL!$C$15=5),,N20)</f>
        <v>SL0</v>
      </c>
      <c r="J20" s="607">
        <f t="shared" ref="J20:J51" si="5">IF(OR(X20=0,Y20=0),0,X20)</f>
        <v>0</v>
      </c>
      <c r="K20" s="606" t="str">
        <f>L20&amp;IF(OR( BASIC_TOOL!$C$15=1,BASIC_TOOL!$C$15=5),"","(I)")</f>
        <v>Side15</v>
      </c>
      <c r="L20" s="606" t="s">
        <v>1265</v>
      </c>
      <c r="M20" s="607" t="s">
        <v>503</v>
      </c>
      <c r="N20" s="607" t="s">
        <v>464</v>
      </c>
      <c r="O20" s="607"/>
      <c r="P20" s="607" t="s">
        <v>468</v>
      </c>
      <c r="Q20" s="607"/>
      <c r="R20" s="607" t="s">
        <v>471</v>
      </c>
      <c r="S20" s="607"/>
      <c r="T20" s="607" t="s">
        <v>471</v>
      </c>
      <c r="U20" s="607"/>
      <c r="V20" s="607" t="s">
        <v>471</v>
      </c>
      <c r="W20" s="607"/>
      <c r="X20" s="603">
        <f>IF(BASIC_TOOL!D15=1,0,((W_C+L1_C+L2_C+L3_C+L4_C)*2)-X22-X21)</f>
        <v>30</v>
      </c>
      <c r="Y20" s="607">
        <f t="shared" si="3"/>
        <v>0</v>
      </c>
      <c r="Z20" s="600">
        <v>16</v>
      </c>
      <c r="AA20" s="616">
        <v>5.2</v>
      </c>
      <c r="AB20" s="615">
        <f t="shared" si="0"/>
        <v>0</v>
      </c>
    </row>
    <row r="21" spans="1:28" s="143" customFormat="1" ht="17.25" customHeight="1">
      <c r="A21" s="655" t="str">
        <f t="array" ref="A21">IF( ISERROR(INDEX(Panel!$H$6:$H$115,SMALL(IF(Panel!$J$6:$J$115&lt;&gt;0,ROW(Panel!$J$6:$J$115)-5),ROW(A17)))),"",INDEX(Panel!$H$6:$H$115,SMALL(IF(Panel!$J$6:$J$115&lt;&gt;0,ROW(Panel!$J$6:$J$115)-5),ROW(A17))))</f>
        <v/>
      </c>
      <c r="B21" s="655" t="str">
        <f t="array" ref="B21">IF(ISERROR(INDEX(Panel!$I$6:$I$115,SMALL(IF(Panel!$J$6:$J$115&lt;&gt;0,ROW(Panel!$J$6:$J$115)-5),ROW(B17)))),"",INDEX(Panel!$I$6:$I$115,SMALL(IF(Panel!$J$6:$J$115&lt;&gt;0,ROW(Panel!$J$6:$J$115)-5),ROW(B17))))</f>
        <v/>
      </c>
      <c r="C21" s="655" t="str">
        <f t="array" ref="C21">IF( ISERROR(INDEX(Panel!$J$6:$J$115,SMALL(IF(Panel!$J$6:$J$115&lt;&gt;0,ROW(Panel!$J$6:$J$115)-5),ROW(C17)))),"",  INDEX(Panel!$J$6:$J$115,SMALL(IF(Panel!$J$6:$J$115&lt;&gt;0,ROW(Panel!$J$6:$J$115)-5),ROW(C17))))</f>
        <v/>
      </c>
      <c r="D21" s="142"/>
      <c r="E21" s="1590"/>
      <c r="F21" s="1589"/>
      <c r="G21" s="607" t="s">
        <v>414</v>
      </c>
      <c r="H21" s="606" t="str">
        <f t="shared" si="4"/>
        <v>Side15_ParLT</v>
      </c>
      <c r="I21" s="606" t="str">
        <f>M21&amp;Y21&amp;IF(OR(BASIC_TOOL!$C$15=1,BASIC_TOOL!$C$15=5),,N21)</f>
        <v>SL0</v>
      </c>
      <c r="J21" s="607">
        <f t="shared" si="5"/>
        <v>0</v>
      </c>
      <c r="K21" s="606" t="str">
        <f>L21&amp;IF(OR( BASIC_TOOL!$C$15=1,BASIC_TOOL!$C$15=5),"","(I)")</f>
        <v>Side15_ParLT</v>
      </c>
      <c r="L21" s="606" t="s">
        <v>1266</v>
      </c>
      <c r="M21" s="607" t="s">
        <v>503</v>
      </c>
      <c r="N21" s="607" t="s">
        <v>464</v>
      </c>
      <c r="O21" s="607"/>
      <c r="P21" s="607" t="s">
        <v>469</v>
      </c>
      <c r="Q21" s="607"/>
      <c r="R21" s="607" t="s">
        <v>472</v>
      </c>
      <c r="S21" s="607"/>
      <c r="T21" s="607" t="s">
        <v>472</v>
      </c>
      <c r="U21" s="607"/>
      <c r="V21" s="607" t="s">
        <v>472</v>
      </c>
      <c r="W21" s="607"/>
      <c r="X21" s="603">
        <f>IF(BASIC_TOOL!D15=1,0,N_PA)</f>
        <v>0</v>
      </c>
      <c r="Y21" s="607">
        <f t="shared" si="3"/>
        <v>0</v>
      </c>
      <c r="Z21" s="600">
        <v>17</v>
      </c>
      <c r="AA21" s="616">
        <v>5.2</v>
      </c>
      <c r="AB21" s="615">
        <f t="shared" si="0"/>
        <v>0</v>
      </c>
    </row>
    <row r="22" spans="1:28" s="143" customFormat="1" ht="17.25" customHeight="1">
      <c r="A22" s="655" t="str">
        <f t="array" ref="A22">IF( ISERROR(INDEX(Panel!$H$6:$H$115,SMALL(IF(Panel!$J$6:$J$115&lt;&gt;0,ROW(Panel!$J$6:$J$115)-5),ROW(A18)))),"",INDEX(Panel!$H$6:$H$115,SMALL(IF(Panel!$J$6:$J$115&lt;&gt;0,ROW(Panel!$J$6:$J$115)-5),ROW(A18))))</f>
        <v/>
      </c>
      <c r="B22" s="655" t="str">
        <f t="array" ref="B22">IF(ISERROR(INDEX(Panel!$I$6:$I$115,SMALL(IF(Panel!$J$6:$J$115&lt;&gt;0,ROW(Panel!$J$6:$J$115)-5),ROW(B18)))),"",INDEX(Panel!$I$6:$I$115,SMALL(IF(Panel!$J$6:$J$115&lt;&gt;0,ROW(Panel!$J$6:$J$115)-5),ROW(B18))))</f>
        <v/>
      </c>
      <c r="C22" s="655" t="str">
        <f t="array" ref="C22">IF( ISERROR(INDEX(Panel!$J$6:$J$115,SMALL(IF(Panel!$J$6:$J$115&lt;&gt;0,ROW(Panel!$J$6:$J$115)-5),ROW(C18)))),"",  INDEX(Panel!$J$6:$J$115,SMALL(IF(Panel!$J$6:$J$115&lt;&gt;0,ROW(Panel!$J$6:$J$115)-5),ROW(C18))))</f>
        <v/>
      </c>
      <c r="D22" s="142"/>
      <c r="E22" s="1590"/>
      <c r="F22" s="1589"/>
      <c r="G22" s="607" t="s">
        <v>414</v>
      </c>
      <c r="H22" s="606" t="str">
        <f t="shared" si="4"/>
        <v>Side15_ParRT</v>
      </c>
      <c r="I22" s="606" t="str">
        <f>M22&amp;Y22&amp;IF(OR(BASIC_TOOL!$C$15=1,BASIC_TOOL!$C$15=5),,N22)</f>
        <v>SL0</v>
      </c>
      <c r="J22" s="607">
        <f t="shared" si="5"/>
        <v>0</v>
      </c>
      <c r="K22" s="606" t="str">
        <f>L22&amp;IF(OR( BASIC_TOOL!$C$15=1,BASIC_TOOL!$C$15=5),"","(I)")</f>
        <v>Side15_ParRT</v>
      </c>
      <c r="L22" s="606" t="s">
        <v>1267</v>
      </c>
      <c r="M22" s="607" t="s">
        <v>503</v>
      </c>
      <c r="N22" s="607" t="s">
        <v>464</v>
      </c>
      <c r="O22" s="607"/>
      <c r="P22" s="607" t="s">
        <v>470</v>
      </c>
      <c r="Q22" s="607"/>
      <c r="R22" s="607" t="s">
        <v>473</v>
      </c>
      <c r="S22" s="607"/>
      <c r="T22" s="607" t="s">
        <v>473</v>
      </c>
      <c r="U22" s="607"/>
      <c r="V22" s="607" t="s">
        <v>473</v>
      </c>
      <c r="W22" s="607"/>
      <c r="X22" s="603">
        <f>IF(BASIC_TOOL!D15=1,0,N_PA)</f>
        <v>0</v>
      </c>
      <c r="Y22" s="607">
        <f t="shared" si="3"/>
        <v>0</v>
      </c>
      <c r="Z22" s="600">
        <v>18</v>
      </c>
      <c r="AA22" s="616">
        <v>5.2</v>
      </c>
      <c r="AB22" s="615">
        <f t="shared" si="0"/>
        <v>0</v>
      </c>
    </row>
    <row r="23" spans="1:28" s="143" customFormat="1" ht="17.25" customHeight="1">
      <c r="A23" s="655" t="str">
        <f t="array" ref="A23">IF( ISERROR(INDEX(Panel!$H$6:$H$115,SMALL(IF(Panel!$J$6:$J$115&lt;&gt;0,ROW(Panel!$J$6:$J$115)-5),ROW(A19)))),"",INDEX(Panel!$H$6:$H$115,SMALL(IF(Panel!$J$6:$J$115&lt;&gt;0,ROW(Panel!$J$6:$J$115)-5),ROW(A19))))</f>
        <v/>
      </c>
      <c r="B23" s="655" t="str">
        <f t="array" ref="B23">IF(ISERROR(INDEX(Panel!$I$6:$I$115,SMALL(IF(Panel!$J$6:$J$115&lt;&gt;0,ROW(Panel!$J$6:$J$115)-5),ROW(B19)))),"",INDEX(Panel!$I$6:$I$115,SMALL(IF(Panel!$J$6:$J$115&lt;&gt;0,ROW(Panel!$J$6:$J$115)-5),ROW(B19))))</f>
        <v/>
      </c>
      <c r="C23" s="655" t="str">
        <f t="array" ref="C23">IF( ISERROR(INDEX(Panel!$J$6:$J$115,SMALL(IF(Panel!$J$6:$J$115&lt;&gt;0,ROW(Panel!$J$6:$J$115)-5),ROW(C19)))),"",  INDEX(Panel!$J$6:$J$115,SMALL(IF(Panel!$J$6:$J$115&lt;&gt;0,ROW(Panel!$J$6:$J$115)-5),ROW(C19))))</f>
        <v/>
      </c>
      <c r="D23" s="142"/>
      <c r="E23" s="1590"/>
      <c r="F23" s="1590" t="s">
        <v>516</v>
      </c>
      <c r="G23" s="1589" t="s">
        <v>415</v>
      </c>
      <c r="H23" s="606" t="str">
        <f t="shared" si="4"/>
        <v>Side</v>
      </c>
      <c r="I23" s="606" t="str">
        <f>M23&amp;Y23&amp;IF(OR(BASIC_TOOL!$C$15=1,BASIC_TOOL!$C$15=5),,N23)</f>
        <v>SF0</v>
      </c>
      <c r="J23" s="607">
        <f t="shared" si="5"/>
        <v>0</v>
      </c>
      <c r="K23" s="606" t="str">
        <f>L23&amp;IF(OR( BASIC_TOOL!$C$15=1,BASIC_TOOL!$C$15=5),"","(I)")</f>
        <v>Side</v>
      </c>
      <c r="L23" s="606" t="s">
        <v>554</v>
      </c>
      <c r="M23" s="607" t="s">
        <v>1301</v>
      </c>
      <c r="N23" s="607" t="s">
        <v>464</v>
      </c>
      <c r="O23" s="607"/>
      <c r="P23" s="607" t="s">
        <v>479</v>
      </c>
      <c r="Q23" s="607"/>
      <c r="R23" s="607" t="s">
        <v>479</v>
      </c>
      <c r="S23" s="607"/>
      <c r="T23" s="607" t="s">
        <v>479</v>
      </c>
      <c r="U23" s="607"/>
      <c r="V23" s="607" t="s">
        <v>479</v>
      </c>
      <c r="W23" s="607"/>
      <c r="X23" s="603">
        <f>(IF(BASIC_TOOL!D15=0,0,(W_C+L1_C+L2_C+L3_C+L4_C)*2)-X24-X25)</f>
        <v>0</v>
      </c>
      <c r="Y23" s="607">
        <f t="shared" si="3"/>
        <v>0</v>
      </c>
      <c r="Z23" s="600">
        <v>19</v>
      </c>
      <c r="AA23" s="616">
        <v>4.2</v>
      </c>
      <c r="AB23" s="615">
        <f t="shared" si="0"/>
        <v>0</v>
      </c>
    </row>
    <row r="24" spans="1:28" s="143" customFormat="1" ht="17.25" customHeight="1">
      <c r="A24" s="655" t="str">
        <f t="array" ref="A24">IF( ISERROR(INDEX(Panel!$H$6:$H$115,SMALL(IF(Panel!$J$6:$J$115&lt;&gt;0,ROW(Panel!$J$6:$J$115)-5),ROW(A20)))),"",INDEX(Panel!$H$6:$H$115,SMALL(IF(Panel!$J$6:$J$115&lt;&gt;0,ROW(Panel!$J$6:$J$115)-5),ROW(A20))))</f>
        <v/>
      </c>
      <c r="B24" s="655" t="str">
        <f t="array" ref="B24">IF(ISERROR(INDEX(Panel!$I$6:$I$115,SMALL(IF(Panel!$J$6:$J$115&lt;&gt;0,ROW(Panel!$J$6:$J$115)-5),ROW(B20)))),"",INDEX(Panel!$I$6:$I$115,SMALL(IF(Panel!$J$6:$J$115&lt;&gt;0,ROW(Panel!$J$6:$J$115)-5),ROW(B20))))</f>
        <v/>
      </c>
      <c r="C24" s="655" t="str">
        <f t="array" ref="C24">IF( ISERROR(INDEX(Panel!$J$6:$J$115,SMALL(IF(Panel!$J$6:$J$115&lt;&gt;0,ROW(Panel!$J$6:$J$115)-5),ROW(C20)))),"",  INDEX(Panel!$J$6:$J$115,SMALL(IF(Panel!$J$6:$J$115&lt;&gt;0,ROW(Panel!$J$6:$J$115)-5),ROW(C20))))</f>
        <v/>
      </c>
      <c r="D24" s="142"/>
      <c r="E24" s="1590"/>
      <c r="F24" s="1590"/>
      <c r="G24" s="1589"/>
      <c r="H24" s="606" t="str">
        <f t="shared" si="4"/>
        <v>Side_ParLT</v>
      </c>
      <c r="I24" s="606" t="str">
        <f>M24&amp;Y24&amp;IF(OR(BASIC_TOOL!$C$15=1,BASIC_TOOL!$C$15=5),,N24)</f>
        <v>SF0</v>
      </c>
      <c r="J24" s="607">
        <f t="shared" si="5"/>
        <v>0</v>
      </c>
      <c r="K24" s="606" t="str">
        <f>L24&amp;IF(OR( BASIC_TOOL!$C$15=1,BASIC_TOOL!$C$15=5),"","(I)")</f>
        <v>Side_ParLT</v>
      </c>
      <c r="L24" s="606" t="s">
        <v>1263</v>
      </c>
      <c r="M24" s="607" t="s">
        <v>1301</v>
      </c>
      <c r="N24" s="607" t="s">
        <v>464</v>
      </c>
      <c r="O24" s="607"/>
      <c r="P24" s="607" t="s">
        <v>480</v>
      </c>
      <c r="Q24" s="607"/>
      <c r="R24" s="607" t="s">
        <v>480</v>
      </c>
      <c r="S24" s="607"/>
      <c r="T24" s="607" t="s">
        <v>480</v>
      </c>
      <c r="U24" s="607"/>
      <c r="V24" s="607" t="s">
        <v>480</v>
      </c>
      <c r="W24" s="607"/>
      <c r="X24" s="603">
        <f>N_PA*BASIC_TOOL!D15</f>
        <v>0</v>
      </c>
      <c r="Y24" s="607">
        <f t="shared" si="3"/>
        <v>0</v>
      </c>
      <c r="Z24" s="600">
        <v>20</v>
      </c>
      <c r="AA24" s="616">
        <v>4.2</v>
      </c>
      <c r="AB24" s="615">
        <f t="shared" si="0"/>
        <v>0</v>
      </c>
    </row>
    <row r="25" spans="1:28" s="143" customFormat="1" ht="17.25" customHeight="1">
      <c r="A25" s="655" t="str">
        <f t="array" ref="A25">IF( ISERROR(INDEX(Panel!$H$6:$H$115,SMALL(IF(Panel!$J$6:$J$115&lt;&gt;0,ROW(Panel!$J$6:$J$115)-5),ROW(A21)))),"",INDEX(Panel!$H$6:$H$115,SMALL(IF(Panel!$J$6:$J$115&lt;&gt;0,ROW(Panel!$J$6:$J$115)-5),ROW(A21))))</f>
        <v/>
      </c>
      <c r="B25" s="655" t="str">
        <f t="array" ref="B25">IF(ISERROR(INDEX(Panel!$I$6:$I$115,SMALL(IF(Panel!$J$6:$J$115&lt;&gt;0,ROW(Panel!$J$6:$J$115)-5),ROW(B21)))),"",INDEX(Panel!$I$6:$I$115,SMALL(IF(Panel!$J$6:$J$115&lt;&gt;0,ROW(Panel!$J$6:$J$115)-5),ROW(B21))))</f>
        <v/>
      </c>
      <c r="C25" s="655" t="str">
        <f t="array" ref="C25">IF( ISERROR(INDEX(Panel!$J$6:$J$115,SMALL(IF(Panel!$J$6:$J$115&lt;&gt;0,ROW(Panel!$J$6:$J$115)-5),ROW(C21)))),"",  INDEX(Panel!$J$6:$J$115,SMALL(IF(Panel!$J$6:$J$115&lt;&gt;0,ROW(Panel!$J$6:$J$115)-5),ROW(C21))))</f>
        <v/>
      </c>
      <c r="D25" s="142"/>
      <c r="E25" s="1590"/>
      <c r="F25" s="1590"/>
      <c r="G25" s="1589"/>
      <c r="H25" s="606" t="str">
        <f t="shared" si="4"/>
        <v>Side_ParRT</v>
      </c>
      <c r="I25" s="606" t="str">
        <f>M25&amp;Y25&amp;IF(OR(BASIC_TOOL!$C$15=1,BASIC_TOOL!$C$15=5),,N25)</f>
        <v>SF0</v>
      </c>
      <c r="J25" s="607">
        <f t="shared" si="5"/>
        <v>0</v>
      </c>
      <c r="K25" s="606" t="str">
        <f>L25&amp;IF(OR( BASIC_TOOL!$C$15=1,BASIC_TOOL!$C$15=5),"","(I)")</f>
        <v>Side_ParRT</v>
      </c>
      <c r="L25" s="606" t="s">
        <v>1264</v>
      </c>
      <c r="M25" s="607" t="s">
        <v>1301</v>
      </c>
      <c r="N25" s="607" t="s">
        <v>464</v>
      </c>
      <c r="O25" s="607"/>
      <c r="P25" s="607" t="s">
        <v>481</v>
      </c>
      <c r="Q25" s="607"/>
      <c r="R25" s="607" t="s">
        <v>481</v>
      </c>
      <c r="S25" s="607"/>
      <c r="T25" s="607" t="s">
        <v>481</v>
      </c>
      <c r="U25" s="607"/>
      <c r="V25" s="607" t="s">
        <v>481</v>
      </c>
      <c r="W25" s="607"/>
      <c r="X25" s="603">
        <f>N_PA*BASIC_TOOL!D15</f>
        <v>0</v>
      </c>
      <c r="Y25" s="607">
        <f t="shared" si="3"/>
        <v>0</v>
      </c>
      <c r="Z25" s="600">
        <v>21</v>
      </c>
      <c r="AA25" s="616">
        <v>4.2</v>
      </c>
      <c r="AB25" s="615">
        <f t="shared" si="0"/>
        <v>0</v>
      </c>
    </row>
    <row r="26" spans="1:28" s="143" customFormat="1" ht="17.25" customHeight="1">
      <c r="A26" s="655" t="str">
        <f t="array" ref="A26">IF( ISERROR(INDEX(Panel!$H$6:$H$115,SMALL(IF(Panel!$J$6:$J$115&lt;&gt;0,ROW(Panel!$J$6:$J$115)-5),ROW(A22)))),"",INDEX(Panel!$H$6:$H$115,SMALL(IF(Panel!$J$6:$J$115&lt;&gt;0,ROW(Panel!$J$6:$J$115)-5),ROW(A22))))</f>
        <v/>
      </c>
      <c r="B26" s="655" t="str">
        <f t="array" ref="B26">IF(ISERROR(INDEX(Panel!$I$6:$I$115,SMALL(IF(Panel!$J$6:$J$115&lt;&gt;0,ROW(Panel!$J$6:$J$115)-5),ROW(B22)))),"",INDEX(Panel!$I$6:$I$115,SMALL(IF(Panel!$J$6:$J$115&lt;&gt;0,ROW(Panel!$J$6:$J$115)-5),ROW(B22))))</f>
        <v/>
      </c>
      <c r="C26" s="655" t="str">
        <f t="array" ref="C26">IF( ISERROR(INDEX(Panel!$J$6:$J$115,SMALL(IF(Panel!$J$6:$J$115&lt;&gt;0,ROW(Panel!$J$6:$J$115)-5),ROW(C22)))),"",  INDEX(Panel!$J$6:$J$115,SMALL(IF(Panel!$J$6:$J$115&lt;&gt;0,ROW(Panel!$J$6:$J$115)-5),ROW(C22))))</f>
        <v/>
      </c>
      <c r="D26" s="142"/>
      <c r="E26" s="1590"/>
      <c r="F26" s="1590"/>
      <c r="G26" s="607" t="s">
        <v>505</v>
      </c>
      <c r="H26" s="606" t="str">
        <f t="shared" si="4"/>
        <v>Hside</v>
      </c>
      <c r="I26" s="606" t="str">
        <f>M26&amp;Y26&amp;IF(OR(BASIC_TOOL!$C$15=1,BASIC_TOOL!$C$15=5),,N26)</f>
        <v>SH0</v>
      </c>
      <c r="J26" s="607">
        <f t="shared" si="5"/>
        <v>0</v>
      </c>
      <c r="K26" s="606" t="str">
        <f>L26&amp;IF(OR( BASIC_TOOL!$C$15=1,BASIC_TOOL!$C$15=5),"","(I)")</f>
        <v>Hside</v>
      </c>
      <c r="L26" s="606" t="s">
        <v>555</v>
      </c>
      <c r="M26" s="607" t="s">
        <v>1302</v>
      </c>
      <c r="N26" s="607" t="s">
        <v>464</v>
      </c>
      <c r="O26" s="607"/>
      <c r="P26" s="607" t="s">
        <v>1713</v>
      </c>
      <c r="Q26" s="607"/>
      <c r="R26" s="607" t="s">
        <v>1713</v>
      </c>
      <c r="S26" s="607"/>
      <c r="T26" s="607" t="s">
        <v>1713</v>
      </c>
      <c r="U26" s="607"/>
      <c r="V26" s="607" t="s">
        <v>1713</v>
      </c>
      <c r="W26" s="607"/>
      <c r="X26" s="603">
        <f>(IF(BASIC_TOOL!D15=0,0,(W_C+L1_C+L2_C+L3_C+L4_C)*2)-X27)</f>
        <v>0</v>
      </c>
      <c r="Y26" s="607">
        <f t="shared" si="3"/>
        <v>0</v>
      </c>
      <c r="Z26" s="600">
        <v>22</v>
      </c>
      <c r="AA26" s="616">
        <v>3.2</v>
      </c>
      <c r="AB26" s="615">
        <f t="shared" si="0"/>
        <v>0</v>
      </c>
    </row>
    <row r="27" spans="1:28" s="143" customFormat="1" ht="17.25" customHeight="1">
      <c r="A27" s="655" t="str">
        <f t="array" ref="A27">IF( ISERROR(INDEX(Panel!$H$6:$H$115,SMALL(IF(Panel!$J$6:$J$115&lt;&gt;0,ROW(Panel!$J$6:$J$115)-5),ROW(A23)))),"",INDEX(Panel!$H$6:$H$115,SMALL(IF(Panel!$J$6:$J$115&lt;&gt;0,ROW(Panel!$J$6:$J$115)-5),ROW(A23))))</f>
        <v/>
      </c>
      <c r="B27" s="655" t="str">
        <f t="array" ref="B27">IF(ISERROR(INDEX(Panel!$I$6:$I$115,SMALL(IF(Panel!$J$6:$J$115&lt;&gt;0,ROW(Panel!$J$6:$J$115)-5),ROW(B23)))),"",INDEX(Panel!$I$6:$I$115,SMALL(IF(Panel!$J$6:$J$115&lt;&gt;0,ROW(Panel!$J$6:$J$115)-5),ROW(B23))))</f>
        <v/>
      </c>
      <c r="C27" s="655" t="str">
        <f t="array" ref="C27">IF( ISERROR(INDEX(Panel!$J$6:$J$115,SMALL(IF(Panel!$J$6:$J$115&lt;&gt;0,ROW(Panel!$J$6:$J$115)-5),ROW(C23)))),"",  INDEX(Panel!$J$6:$J$115,SMALL(IF(Panel!$J$6:$J$115&lt;&gt;0,ROW(Panel!$J$6:$J$115)-5),ROW(C23))))</f>
        <v/>
      </c>
      <c r="D27" s="142"/>
      <c r="E27" s="1590"/>
      <c r="F27" s="1590"/>
      <c r="G27" s="607" t="s">
        <v>505</v>
      </c>
      <c r="H27" s="606" t="str">
        <f t="shared" si="4"/>
        <v>Hside_Par</v>
      </c>
      <c r="I27" s="606" t="str">
        <f>M27&amp;Y27&amp;IF(OR(BASIC_TOOL!$C$15=1,BASIC_TOOL!$C$15=5),,N27)</f>
        <v>SH0</v>
      </c>
      <c r="J27" s="607">
        <f t="shared" si="5"/>
        <v>0</v>
      </c>
      <c r="K27" s="606" t="str">
        <f>L27&amp;IF(OR( BASIC_TOOL!$C$15=1,BASIC_TOOL!$C$15=5),"","(I)")</f>
        <v>Hside_Par</v>
      </c>
      <c r="L27" s="606" t="s">
        <v>1247</v>
      </c>
      <c r="M27" s="607" t="s">
        <v>1302</v>
      </c>
      <c r="N27" s="607" t="s">
        <v>464</v>
      </c>
      <c r="O27" s="607"/>
      <c r="P27" s="607" t="s">
        <v>1714</v>
      </c>
      <c r="Q27" s="607"/>
      <c r="R27" s="607" t="s">
        <v>1714</v>
      </c>
      <c r="S27" s="607"/>
      <c r="T27" s="607" t="s">
        <v>1714</v>
      </c>
      <c r="U27" s="607"/>
      <c r="V27" s="607" t="s">
        <v>1714</v>
      </c>
      <c r="W27" s="607"/>
      <c r="X27" s="603">
        <f>N_PA*BASIC_TOOL!D15*2</f>
        <v>0</v>
      </c>
      <c r="Y27" s="607">
        <f t="shared" si="3"/>
        <v>0</v>
      </c>
      <c r="Z27" s="600">
        <v>23</v>
      </c>
      <c r="AA27" s="616">
        <v>3.2</v>
      </c>
      <c r="AB27" s="615">
        <f t="shared" si="0"/>
        <v>0</v>
      </c>
    </row>
    <row r="28" spans="1:28" s="143" customFormat="1" ht="17.25" customHeight="1">
      <c r="A28" s="655" t="str">
        <f t="array" ref="A28">IF( ISERROR(INDEX(Panel!$H$6:$H$115,SMALL(IF(Panel!$J$6:$J$115&lt;&gt;0,ROW(Panel!$J$6:$J$115)-5),ROW(A24)))),"",INDEX(Panel!$H$6:$H$115,SMALL(IF(Panel!$J$6:$J$115&lt;&gt;0,ROW(Panel!$J$6:$J$115)-5),ROW(A24))))</f>
        <v/>
      </c>
      <c r="B28" s="655" t="str">
        <f t="array" ref="B28">IF(ISERROR(INDEX(Panel!$I$6:$I$115,SMALL(IF(Panel!$J$6:$J$115&lt;&gt;0,ROW(Panel!$J$6:$J$115)-5),ROW(B24)))),"",INDEX(Panel!$I$6:$I$115,SMALL(IF(Panel!$J$6:$J$115&lt;&gt;0,ROW(Panel!$J$6:$J$115)-5),ROW(B24))))</f>
        <v/>
      </c>
      <c r="C28" s="655" t="str">
        <f t="array" ref="C28">IF( ISERROR(INDEX(Panel!$J$6:$J$115,SMALL(IF(Panel!$J$6:$J$115&lt;&gt;0,ROW(Panel!$J$6:$J$115)-5),ROW(C24)))),"",  INDEX(Panel!$J$6:$J$115,SMALL(IF(Panel!$J$6:$J$115&lt;&gt;0,ROW(Panel!$J$6:$J$115)-5),ROW(C24))))</f>
        <v/>
      </c>
      <c r="D28" s="142"/>
      <c r="E28" s="1590"/>
      <c r="F28" s="1589" t="s">
        <v>504</v>
      </c>
      <c r="G28" s="607" t="s">
        <v>505</v>
      </c>
      <c r="H28" s="606" t="str">
        <f t="shared" si="4"/>
        <v>Hside</v>
      </c>
      <c r="I28" s="606" t="str">
        <f>M28&amp;Y28&amp;IF(OR(BASIC_TOOL!$C$15=1,BASIC_TOOL!$C$15=5),,N28)</f>
        <v>SH0</v>
      </c>
      <c r="J28" s="607">
        <f t="shared" si="5"/>
        <v>0</v>
      </c>
      <c r="K28" s="606" t="str">
        <f>L28&amp;IF(OR( BASIC_TOOL!$C$15=1,BASIC_TOOL!$C$15=5),"","(I)")</f>
        <v>Hside</v>
      </c>
      <c r="L28" s="606" t="s">
        <v>555</v>
      </c>
      <c r="M28" s="607" t="s">
        <v>1302</v>
      </c>
      <c r="N28" s="607" t="s">
        <v>464</v>
      </c>
      <c r="O28" s="607"/>
      <c r="P28" s="607" t="s">
        <v>511</v>
      </c>
      <c r="Q28" s="607"/>
      <c r="R28" s="607" t="s">
        <v>479</v>
      </c>
      <c r="S28" s="607"/>
      <c r="T28" s="607" t="s">
        <v>479</v>
      </c>
      <c r="U28" s="607"/>
      <c r="V28" s="607" t="s">
        <v>479</v>
      </c>
      <c r="W28" s="607"/>
      <c r="X28" s="603">
        <f>(W_F+L1_F+L2_F+L3_F+L4_F)*2</f>
        <v>0</v>
      </c>
      <c r="Y28" s="607">
        <f t="shared" si="3"/>
        <v>0</v>
      </c>
      <c r="Z28" s="600">
        <v>24</v>
      </c>
      <c r="AA28" s="616">
        <v>3.2</v>
      </c>
      <c r="AB28" s="615">
        <f t="shared" si="0"/>
        <v>0</v>
      </c>
    </row>
    <row r="29" spans="1:28" s="143" customFormat="1" ht="17.25" customHeight="1">
      <c r="A29" s="655" t="str">
        <f t="array" ref="A29">IF( ISERROR(INDEX(Panel!$H$6:$H$115,SMALL(IF(Panel!$J$6:$J$115&lt;&gt;0,ROW(Panel!$J$6:$J$115)-5),ROW(A25)))),"",INDEX(Panel!$H$6:$H$115,SMALL(IF(Panel!$J$6:$J$115&lt;&gt;0,ROW(Panel!$J$6:$J$115)-5),ROW(A25))))</f>
        <v/>
      </c>
      <c r="B29" s="655" t="str">
        <f t="array" ref="B29">IF(ISERROR(INDEX(Panel!$I$6:$I$115,SMALL(IF(Panel!$J$6:$J$115&lt;&gt;0,ROW(Panel!$J$6:$J$115)-5),ROW(B25)))),"",INDEX(Panel!$I$6:$I$115,SMALL(IF(Panel!$J$6:$J$115&lt;&gt;0,ROW(Panel!$J$6:$J$115)-5),ROW(B25))))</f>
        <v/>
      </c>
      <c r="C29" s="655" t="str">
        <f t="array" ref="C29">IF( ISERROR(INDEX(Panel!$J$6:$J$115,SMALL(IF(Panel!$J$6:$J$115&lt;&gt;0,ROW(Panel!$J$6:$J$115)-5),ROW(C25)))),"",  INDEX(Panel!$J$6:$J$115,SMALL(IF(Panel!$J$6:$J$115&lt;&gt;0,ROW(Panel!$J$6:$J$115)-5),ROW(C25))))</f>
        <v/>
      </c>
      <c r="D29" s="142"/>
      <c r="E29" s="1590"/>
      <c r="F29" s="1589"/>
      <c r="G29" s="607" t="s">
        <v>506</v>
      </c>
      <c r="H29" s="606" t="str">
        <f t="shared" si="4"/>
        <v>Qside</v>
      </c>
      <c r="I29" s="606" t="str">
        <f>M29&amp;Y29&amp;IF(OR(BASIC_TOOL!$C$15=1,BASIC_TOOL!$C$15=5),,N29)</f>
        <v>SQ0</v>
      </c>
      <c r="J29" s="607">
        <f t="shared" si="5"/>
        <v>0</v>
      </c>
      <c r="K29" s="606" t="str">
        <f>L29&amp;IF(OR( BASIC_TOOL!$C$15=1,BASIC_TOOL!$C$15=5),"","(I)")</f>
        <v>Qside</v>
      </c>
      <c r="L29" s="606" t="s">
        <v>556</v>
      </c>
      <c r="M29" s="607" t="s">
        <v>1303</v>
      </c>
      <c r="N29" s="607" t="s">
        <v>464</v>
      </c>
      <c r="O29" s="607"/>
      <c r="P29" s="607" t="s">
        <v>507</v>
      </c>
      <c r="Q29" s="607"/>
      <c r="R29" s="607" t="s">
        <v>507</v>
      </c>
      <c r="S29" s="607"/>
      <c r="T29" s="607" t="s">
        <v>507</v>
      </c>
      <c r="U29" s="607"/>
      <c r="V29" s="607" t="s">
        <v>507</v>
      </c>
      <c r="W29" s="607"/>
      <c r="X29" s="609">
        <f>(W_F+L1_F+L2_F+L3_F+L4_F)*2</f>
        <v>0</v>
      </c>
      <c r="Y29" s="607">
        <f t="shared" si="3"/>
        <v>0</v>
      </c>
      <c r="Z29" s="600">
        <v>25</v>
      </c>
      <c r="AA29" s="616">
        <v>2.1</v>
      </c>
      <c r="AB29" s="615">
        <f t="shared" si="0"/>
        <v>0</v>
      </c>
    </row>
    <row r="30" spans="1:28" s="143" customFormat="1" ht="17.25" customHeight="1">
      <c r="A30" s="655" t="str">
        <f t="array" ref="A30">IF( ISERROR(INDEX(Panel!$H$6:$H$115,SMALL(IF(Panel!$J$6:$J$115&lt;&gt;0,ROW(Panel!$J$6:$J$115)-5),ROW(A26)))),"",INDEX(Panel!$H$6:$H$115,SMALL(IF(Panel!$J$6:$J$115&lt;&gt;0,ROW(Panel!$J$6:$J$115)-5),ROW(A26))))</f>
        <v/>
      </c>
      <c r="B30" s="655" t="str">
        <f t="array" ref="B30">IF(ISERROR(INDEX(Panel!$I$6:$I$115,SMALL(IF(Panel!$J$6:$J$115&lt;&gt;0,ROW(Panel!$J$6:$J$115)-5),ROW(B26)))),"",INDEX(Panel!$I$6:$I$115,SMALL(IF(Panel!$J$6:$J$115&lt;&gt;0,ROW(Panel!$J$6:$J$115)-5),ROW(B26))))</f>
        <v/>
      </c>
      <c r="C30" s="655" t="str">
        <f t="array" ref="C30">IF( ISERROR(INDEX(Panel!$J$6:$J$115,SMALL(IF(Panel!$J$6:$J$115&lt;&gt;0,ROW(Panel!$J$6:$J$115)-5),ROW(C26)))),"",  INDEX(Panel!$J$6:$J$115,SMALL(IF(Panel!$J$6:$J$115&lt;&gt;0,ROW(Panel!$J$6:$J$115)-5),ROW(C26))))</f>
        <v/>
      </c>
      <c r="D30" s="142"/>
      <c r="E30" s="1590" t="s">
        <v>528</v>
      </c>
      <c r="F30" s="1589" t="s">
        <v>416</v>
      </c>
      <c r="G30" s="607" t="s">
        <v>417</v>
      </c>
      <c r="H30" s="606" t="str">
        <f t="shared" si="4"/>
        <v>Side20</v>
      </c>
      <c r="I30" s="606" t="str">
        <f>M30&amp;Y30&amp;IF(OR(BASIC_TOOL!$C$15=1,BASIC_TOOL!$C$15=5),,N30)</f>
        <v>SL20T</v>
      </c>
      <c r="J30" s="607">
        <f t="shared" si="5"/>
        <v>30</v>
      </c>
      <c r="K30" s="606" t="str">
        <f>L30&amp;IF(OR( BASIC_TOOL!$C$15=1,BASIC_TOOL!$C$15=5),"","(I)")</f>
        <v>Side20</v>
      </c>
      <c r="L30" s="606" t="s">
        <v>1268</v>
      </c>
      <c r="M30" s="607" t="s">
        <v>503</v>
      </c>
      <c r="N30" s="607" t="s">
        <v>464</v>
      </c>
      <c r="O30" s="607"/>
      <c r="P30" s="607"/>
      <c r="Q30" s="607" t="s">
        <v>482</v>
      </c>
      <c r="R30" s="607"/>
      <c r="S30" s="607" t="s">
        <v>483</v>
      </c>
      <c r="T30" s="607"/>
      <c r="U30" s="607" t="s">
        <v>483</v>
      </c>
      <c r="V30" s="607"/>
      <c r="W30" s="607" t="s">
        <v>483</v>
      </c>
      <c r="X30" s="609">
        <f>IF(BASIC_TOOL!D15=1,0,(W_C+L1_C+L2_C+L3_C+L4_C)*2-X31-X32)</f>
        <v>30</v>
      </c>
      <c r="Y30" s="607" t="str">
        <f t="shared" si="3"/>
        <v>20T</v>
      </c>
      <c r="Z30" s="600">
        <v>26</v>
      </c>
      <c r="AA30" s="616">
        <f>2+2+1+1.2</f>
        <v>6.2</v>
      </c>
      <c r="AB30" s="615">
        <f t="shared" si="0"/>
        <v>186</v>
      </c>
    </row>
    <row r="31" spans="1:28" s="143" customFormat="1" ht="17.25" customHeight="1">
      <c r="A31" s="655" t="str">
        <f t="array" ref="A31">IF( ISERROR(INDEX(Panel!$H$6:$H$115,SMALL(IF(Panel!$J$6:$J$115&lt;&gt;0,ROW(Panel!$J$6:$J$115)-5),ROW(A27)))),"",INDEX(Panel!$H$6:$H$115,SMALL(IF(Panel!$J$6:$J$115&lt;&gt;0,ROW(Panel!$J$6:$J$115)-5),ROW(A27))))</f>
        <v/>
      </c>
      <c r="B31" s="655" t="str">
        <f t="array" ref="B31">IF(ISERROR(INDEX(Panel!$I$6:$I$115,SMALL(IF(Panel!$J$6:$J$115&lt;&gt;0,ROW(Panel!$J$6:$J$115)-5),ROW(B27)))),"",INDEX(Panel!$I$6:$I$115,SMALL(IF(Panel!$J$6:$J$115&lt;&gt;0,ROW(Panel!$J$6:$J$115)-5),ROW(B27))))</f>
        <v/>
      </c>
      <c r="C31" s="655" t="str">
        <f t="array" ref="C31">IF( ISERROR(INDEX(Panel!$J$6:$J$115,SMALL(IF(Panel!$J$6:$J$115&lt;&gt;0,ROW(Panel!$J$6:$J$115)-5),ROW(C27)))),"",  INDEX(Panel!$J$6:$J$115,SMALL(IF(Panel!$J$6:$J$115&lt;&gt;0,ROW(Panel!$J$6:$J$115)-5),ROW(C27))))</f>
        <v/>
      </c>
      <c r="D31" s="142"/>
      <c r="E31" s="1590"/>
      <c r="F31" s="1589"/>
      <c r="G31" s="607" t="s">
        <v>417</v>
      </c>
      <c r="H31" s="606" t="str">
        <f t="shared" si="4"/>
        <v>Side20_ParLT</v>
      </c>
      <c r="I31" s="606" t="str">
        <f>M31&amp;Y31&amp;IF(OR(BASIC_TOOL!$C$15=1,BASIC_TOOL!$C$15=5),,N31)</f>
        <v>SL20TL</v>
      </c>
      <c r="J31" s="607">
        <f t="shared" si="5"/>
        <v>0</v>
      </c>
      <c r="K31" s="606" t="str">
        <f>L31&amp;IF(OR( BASIC_TOOL!$C$15=1,BASIC_TOOL!$C$15=5),"","(I)")</f>
        <v>Side20_ParLT</v>
      </c>
      <c r="L31" s="606" t="s">
        <v>1269</v>
      </c>
      <c r="M31" s="607" t="s">
        <v>503</v>
      </c>
      <c r="N31" s="607" t="s">
        <v>464</v>
      </c>
      <c r="O31" s="607"/>
      <c r="P31" s="607"/>
      <c r="Q31" s="607" t="s">
        <v>474</v>
      </c>
      <c r="R31" s="607"/>
      <c r="S31" s="607" t="s">
        <v>476</v>
      </c>
      <c r="T31" s="607"/>
      <c r="U31" s="607" t="s">
        <v>476</v>
      </c>
      <c r="V31" s="607"/>
      <c r="W31" s="607" t="s">
        <v>476</v>
      </c>
      <c r="X31" s="603">
        <f>IF(BASIC_TOOL!D15=1,0,N_PA)</f>
        <v>0</v>
      </c>
      <c r="Y31" s="607" t="str">
        <f t="shared" si="3"/>
        <v>20TL</v>
      </c>
      <c r="Z31" s="600">
        <v>27</v>
      </c>
      <c r="AA31" s="616">
        <f>2+2+1+1.2</f>
        <v>6.2</v>
      </c>
      <c r="AB31" s="615">
        <f t="shared" si="0"/>
        <v>0</v>
      </c>
    </row>
    <row r="32" spans="1:28" s="143" customFormat="1" ht="17.25" customHeight="1">
      <c r="A32" s="655" t="str">
        <f t="array" ref="A32">IF( ISERROR(INDEX(Panel!$H$6:$H$115,SMALL(IF(Panel!$J$6:$J$115&lt;&gt;0,ROW(Panel!$J$6:$J$115)-5),ROW(A28)))),"",INDEX(Panel!$H$6:$H$115,SMALL(IF(Panel!$J$6:$J$115&lt;&gt;0,ROW(Panel!$J$6:$J$115)-5),ROW(A28))))</f>
        <v/>
      </c>
      <c r="B32" s="655" t="str">
        <f t="array" ref="B32">IF(ISERROR(INDEX(Panel!$I$6:$I$115,SMALL(IF(Panel!$J$6:$J$115&lt;&gt;0,ROW(Panel!$J$6:$J$115)-5),ROW(B28)))),"",INDEX(Panel!$I$6:$I$115,SMALL(IF(Panel!$J$6:$J$115&lt;&gt;0,ROW(Panel!$J$6:$J$115)-5),ROW(B28))))</f>
        <v/>
      </c>
      <c r="C32" s="655" t="str">
        <f t="array" ref="C32">IF( ISERROR(INDEX(Panel!$J$6:$J$115,SMALL(IF(Panel!$J$6:$J$115&lt;&gt;0,ROW(Panel!$J$6:$J$115)-5),ROW(C28)))),"",  INDEX(Panel!$J$6:$J$115,SMALL(IF(Panel!$J$6:$J$115&lt;&gt;0,ROW(Panel!$J$6:$J$115)-5),ROW(C28))))</f>
        <v/>
      </c>
      <c r="D32" s="142"/>
      <c r="E32" s="1590"/>
      <c r="F32" s="1589"/>
      <c r="G32" s="607" t="s">
        <v>417</v>
      </c>
      <c r="H32" s="606" t="str">
        <f t="shared" si="4"/>
        <v>Side20_ParRT</v>
      </c>
      <c r="I32" s="606" t="str">
        <f>M32&amp;Y32&amp;IF(OR(BASIC_TOOL!$C$15=1,BASIC_TOOL!$C$15=5),,N32)</f>
        <v>SL20TR</v>
      </c>
      <c r="J32" s="607">
        <f t="shared" si="5"/>
        <v>0</v>
      </c>
      <c r="K32" s="606" t="str">
        <f>L32&amp;IF(OR( BASIC_TOOL!$C$15=1,BASIC_TOOL!$C$15=5),"","(I)")</f>
        <v>Side20_ParRT</v>
      </c>
      <c r="L32" s="606" t="s">
        <v>1270</v>
      </c>
      <c r="M32" s="607" t="s">
        <v>503</v>
      </c>
      <c r="N32" s="607" t="s">
        <v>464</v>
      </c>
      <c r="O32" s="607"/>
      <c r="P32" s="607"/>
      <c r="Q32" s="607" t="s">
        <v>475</v>
      </c>
      <c r="R32" s="607"/>
      <c r="S32" s="607" t="s">
        <v>477</v>
      </c>
      <c r="T32" s="607"/>
      <c r="U32" s="607" t="s">
        <v>477</v>
      </c>
      <c r="V32" s="607"/>
      <c r="W32" s="607" t="s">
        <v>477</v>
      </c>
      <c r="X32" s="603">
        <f>IF(BASIC_TOOL!D15=1,0,N_PA)</f>
        <v>0</v>
      </c>
      <c r="Y32" s="607" t="str">
        <f t="shared" si="3"/>
        <v>20TR</v>
      </c>
      <c r="Z32" s="600">
        <v>28</v>
      </c>
      <c r="AA32" s="616">
        <f>2+2+1+1.2</f>
        <v>6.2</v>
      </c>
      <c r="AB32" s="615">
        <f t="shared" si="0"/>
        <v>0</v>
      </c>
    </row>
    <row r="33" spans="1:28" s="143" customFormat="1" ht="17.25" customHeight="1">
      <c r="A33" s="655" t="str">
        <f t="array" ref="A33">IF( ISERROR(INDEX(Panel!$H$6:$H$115,SMALL(IF(Panel!$J$6:$J$115&lt;&gt;0,ROW(Panel!$J$6:$J$115)-5),ROW(A29)))),"",INDEX(Panel!$H$6:$H$115,SMALL(IF(Panel!$J$6:$J$115&lt;&gt;0,ROW(Panel!$J$6:$J$115)-5),ROW(A29))))</f>
        <v/>
      </c>
      <c r="B33" s="655" t="str">
        <f t="array" ref="B33">IF(ISERROR(INDEX(Panel!$I$6:$I$115,SMALL(IF(Panel!$J$6:$J$115&lt;&gt;0,ROW(Panel!$J$6:$J$115)-5),ROW(B29)))),"",INDEX(Panel!$I$6:$I$115,SMALL(IF(Panel!$J$6:$J$115&lt;&gt;0,ROW(Panel!$J$6:$J$115)-5),ROW(B29))))</f>
        <v/>
      </c>
      <c r="C33" s="655" t="str">
        <f t="array" ref="C33">IF( ISERROR(INDEX(Panel!$J$6:$J$115,SMALL(IF(Panel!$J$6:$J$115&lt;&gt;0,ROW(Panel!$J$6:$J$115)-5),ROW(C29)))),"",  INDEX(Panel!$J$6:$J$115,SMALL(IF(Panel!$J$6:$J$115&lt;&gt;0,ROW(Panel!$J$6:$J$115)-5),ROW(C29))))</f>
        <v/>
      </c>
      <c r="D33" s="142"/>
      <c r="E33" s="1590"/>
      <c r="F33" s="1590" t="s">
        <v>517</v>
      </c>
      <c r="G33" s="607" t="s">
        <v>512</v>
      </c>
      <c r="H33" s="606" t="str">
        <f t="shared" ref="H33:H43" si="6">K33</f>
        <v>Side</v>
      </c>
      <c r="I33" s="606" t="str">
        <f>M33&amp;Y33&amp;IF(OR(BASIC_TOOL!$C$15=1,BASIC_TOOL!$C$15=5),,N33)</f>
        <v>SF20M</v>
      </c>
      <c r="J33" s="607">
        <f t="shared" si="5"/>
        <v>0</v>
      </c>
      <c r="K33" s="606" t="str">
        <f>L33&amp;IF(OR( BASIC_TOOL!$C$15=1,BASIC_TOOL!$C$15=5),"","(I)")</f>
        <v>Side</v>
      </c>
      <c r="L33" s="606" t="s">
        <v>554</v>
      </c>
      <c r="M33" s="607" t="s">
        <v>1301</v>
      </c>
      <c r="N33" s="607" t="s">
        <v>464</v>
      </c>
      <c r="O33" s="607"/>
      <c r="P33" s="607"/>
      <c r="Q33" s="607"/>
      <c r="R33" s="607"/>
      <c r="S33" s="607" t="s">
        <v>487</v>
      </c>
      <c r="T33" s="607"/>
      <c r="U33" s="607" t="s">
        <v>487</v>
      </c>
      <c r="V33" s="607"/>
      <c r="W33" s="607" t="s">
        <v>487</v>
      </c>
      <c r="X33" s="609">
        <f>IF(BASIC_TOOL!D15=0,0,(W_C+L1_C+L2_C+L3_C+L4_C)*2-X34-X35+IF(H_O=2,-X52,0))</f>
        <v>0</v>
      </c>
      <c r="Y33" s="607" t="str">
        <f t="shared" si="3"/>
        <v>20M</v>
      </c>
      <c r="Z33" s="600">
        <v>29</v>
      </c>
      <c r="AA33" s="616">
        <v>4.2</v>
      </c>
      <c r="AB33" s="615">
        <f t="shared" si="0"/>
        <v>0</v>
      </c>
    </row>
    <row r="34" spans="1:28" s="143" customFormat="1" ht="17.25" customHeight="1">
      <c r="A34" s="655" t="str">
        <f t="array" ref="A34">IF( ISERROR(INDEX(Panel!$H$6:$H$115,SMALL(IF(Panel!$J$6:$J$115&lt;&gt;0,ROW(Panel!$J$6:$J$115)-5),ROW(A30)))),"",INDEX(Panel!$H$6:$H$115,SMALL(IF(Panel!$J$6:$J$115&lt;&gt;0,ROW(Panel!$J$6:$J$115)-5),ROW(A30))))</f>
        <v/>
      </c>
      <c r="B34" s="655" t="str">
        <f t="array" ref="B34">IF(ISERROR(INDEX(Panel!$I$6:$I$115,SMALL(IF(Panel!$J$6:$J$115&lt;&gt;0,ROW(Panel!$J$6:$J$115)-5),ROW(B30)))),"",INDEX(Panel!$I$6:$I$115,SMALL(IF(Panel!$J$6:$J$115&lt;&gt;0,ROW(Panel!$J$6:$J$115)-5),ROW(B30))))</f>
        <v/>
      </c>
      <c r="C34" s="655" t="str">
        <f t="array" ref="C34">IF( ISERROR(INDEX(Panel!$J$6:$J$115,SMALL(IF(Panel!$J$6:$J$115&lt;&gt;0,ROW(Panel!$J$6:$J$115)-5),ROW(C30)))),"",  INDEX(Panel!$J$6:$J$115,SMALL(IF(Panel!$J$6:$J$115&lt;&gt;0,ROW(Panel!$J$6:$J$115)-5),ROW(C30))))</f>
        <v/>
      </c>
      <c r="D34" s="142"/>
      <c r="E34" s="1590"/>
      <c r="F34" s="1590"/>
      <c r="G34" s="607" t="s">
        <v>512</v>
      </c>
      <c r="H34" s="606" t="str">
        <f t="shared" si="6"/>
        <v>Side_ParLT</v>
      </c>
      <c r="I34" s="606" t="str">
        <f>M34&amp;Y34&amp;IF(OR(BASIC_TOOL!$C$15=1,BASIC_TOOL!$C$15=5),,N34)</f>
        <v>SF20ML</v>
      </c>
      <c r="J34" s="607">
        <f t="shared" si="5"/>
        <v>0</v>
      </c>
      <c r="K34" s="606" t="str">
        <f>L34&amp;IF(OR( BASIC_TOOL!$C$15=1,BASIC_TOOL!$C$15=5),"","(I)")</f>
        <v>Side_ParLT</v>
      </c>
      <c r="L34" s="606" t="s">
        <v>1263</v>
      </c>
      <c r="M34" s="607" t="s">
        <v>1301</v>
      </c>
      <c r="N34" s="607" t="s">
        <v>464</v>
      </c>
      <c r="O34" s="607"/>
      <c r="P34" s="607"/>
      <c r="Q34" s="607"/>
      <c r="R34" s="607"/>
      <c r="S34" s="607" t="s">
        <v>1545</v>
      </c>
      <c r="T34" s="607"/>
      <c r="U34" s="607" t="s">
        <v>1545</v>
      </c>
      <c r="V34" s="607"/>
      <c r="W34" s="607" t="s">
        <v>1545</v>
      </c>
      <c r="X34" s="603">
        <f>IF(BASIC_TOOL!D15=0,0,N_PA)</f>
        <v>0</v>
      </c>
      <c r="Y34" s="607" t="str">
        <f t="shared" si="3"/>
        <v>20ML</v>
      </c>
      <c r="Z34" s="600">
        <v>30</v>
      </c>
      <c r="AA34" s="616">
        <v>4.2</v>
      </c>
      <c r="AB34" s="615">
        <f t="shared" si="0"/>
        <v>0</v>
      </c>
    </row>
    <row r="35" spans="1:28" s="143" customFormat="1" ht="17.25" customHeight="1">
      <c r="A35" s="655" t="str">
        <f t="array" ref="A35">IF( ISERROR(INDEX(Panel!$H$6:$H$115,SMALL(IF(Panel!$J$6:$J$115&lt;&gt;0,ROW(Panel!$J$6:$J$115)-5),ROW(A31)))),"",INDEX(Panel!$H$6:$H$115,SMALL(IF(Panel!$J$6:$J$115&lt;&gt;0,ROW(Panel!$J$6:$J$115)-5),ROW(A31))))</f>
        <v/>
      </c>
      <c r="B35" s="655" t="str">
        <f t="array" ref="B35">IF(ISERROR(INDEX(Panel!$I$6:$I$115,SMALL(IF(Panel!$J$6:$J$115&lt;&gt;0,ROW(Panel!$J$6:$J$115)-5),ROW(B31)))),"",INDEX(Panel!$I$6:$I$115,SMALL(IF(Panel!$J$6:$J$115&lt;&gt;0,ROW(Panel!$J$6:$J$115)-5),ROW(B31))))</f>
        <v/>
      </c>
      <c r="C35" s="655" t="str">
        <f t="array" ref="C35">IF( ISERROR(INDEX(Panel!$J$6:$J$115,SMALL(IF(Panel!$J$6:$J$115&lt;&gt;0,ROW(Panel!$J$6:$J$115)-5),ROW(C31)))),"",  INDEX(Panel!$J$6:$J$115,SMALL(IF(Panel!$J$6:$J$115&lt;&gt;0,ROW(Panel!$J$6:$J$115)-5),ROW(C31))))</f>
        <v/>
      </c>
      <c r="D35" s="142"/>
      <c r="E35" s="1590"/>
      <c r="F35" s="1590"/>
      <c r="G35" s="607" t="s">
        <v>512</v>
      </c>
      <c r="H35" s="606" t="str">
        <f t="shared" si="6"/>
        <v>Side_ParRT</v>
      </c>
      <c r="I35" s="606" t="str">
        <f>M35&amp;Y35&amp;IF(OR(BASIC_TOOL!$C$15=1,BASIC_TOOL!$C$15=5),,N35)</f>
        <v>SF20MR</v>
      </c>
      <c r="J35" s="607">
        <f t="shared" si="5"/>
        <v>0</v>
      </c>
      <c r="K35" s="606" t="str">
        <f>L35&amp;IF(OR( BASIC_TOOL!$C$15=1,BASIC_TOOL!$C$15=5),"","(I)")</f>
        <v>Side_ParRT</v>
      </c>
      <c r="L35" s="606" t="s">
        <v>1264</v>
      </c>
      <c r="M35" s="607" t="s">
        <v>1301</v>
      </c>
      <c r="N35" s="607" t="s">
        <v>464</v>
      </c>
      <c r="O35" s="607"/>
      <c r="P35" s="607"/>
      <c r="Q35" s="607"/>
      <c r="R35" s="607"/>
      <c r="S35" s="607" t="s">
        <v>1546</v>
      </c>
      <c r="T35" s="607"/>
      <c r="U35" s="607" t="s">
        <v>1546</v>
      </c>
      <c r="V35" s="607"/>
      <c r="W35" s="607" t="s">
        <v>1546</v>
      </c>
      <c r="X35" s="603">
        <f>IF(BASIC_TOOL!D15=0,0,N_PA)</f>
        <v>0</v>
      </c>
      <c r="Y35" s="607" t="str">
        <f t="shared" si="3"/>
        <v>20MR</v>
      </c>
      <c r="Z35" s="600">
        <v>31</v>
      </c>
      <c r="AA35" s="616">
        <v>4.2</v>
      </c>
      <c r="AB35" s="615">
        <f t="shared" si="0"/>
        <v>0</v>
      </c>
    </row>
    <row r="36" spans="1:28" s="143" customFormat="1" ht="17.25" customHeight="1">
      <c r="A36" s="655" t="str">
        <f t="array" ref="A36">IF( ISERROR(INDEX(Panel!$H$6:$H$115,SMALL(IF(Panel!$J$6:$J$115&lt;&gt;0,ROW(Panel!$J$6:$J$115)-5),ROW(A32)))),"",INDEX(Panel!$H$6:$H$115,SMALL(IF(Panel!$J$6:$J$115&lt;&gt;0,ROW(Panel!$J$6:$J$115)-5),ROW(A32))))</f>
        <v/>
      </c>
      <c r="B36" s="655" t="str">
        <f t="array" ref="B36">IF(ISERROR(INDEX(Panel!$I$6:$I$115,SMALL(IF(Panel!$J$6:$J$115&lt;&gt;0,ROW(Panel!$J$6:$J$115)-5),ROW(B32)))),"",INDEX(Panel!$I$6:$I$115,SMALL(IF(Panel!$J$6:$J$115&lt;&gt;0,ROW(Panel!$J$6:$J$115)-5),ROW(B32))))</f>
        <v/>
      </c>
      <c r="C36" s="655" t="str">
        <f t="array" ref="C36">IF( ISERROR(INDEX(Panel!$J$6:$J$115,SMALL(IF(Panel!$J$6:$J$115&lt;&gt;0,ROW(Panel!$J$6:$J$115)-5),ROW(C32)))),"",  INDEX(Panel!$J$6:$J$115,SMALL(IF(Panel!$J$6:$J$115&lt;&gt;0,ROW(Panel!$J$6:$J$115)-5),ROW(C32))))</f>
        <v/>
      </c>
      <c r="D36" s="142"/>
      <c r="E36" s="1590"/>
      <c r="F36" s="1590"/>
      <c r="G36" s="607" t="s">
        <v>512</v>
      </c>
      <c r="H36" s="606" t="str">
        <f t="shared" si="6"/>
        <v>Side</v>
      </c>
      <c r="I36" s="606" t="str">
        <f>M36&amp;Y36&amp;IF(OR(BASIC_TOOL!$C$15=1,BASIC_TOOL!$C$15=5),,N36)</f>
        <v>SF10T</v>
      </c>
      <c r="J36" s="607">
        <f t="shared" si="5"/>
        <v>0</v>
      </c>
      <c r="K36" s="606" t="str">
        <f>L36&amp;IF(OR( BASIC_TOOL!$C$15=1,BASIC_TOOL!$C$15=5),"","(I)")</f>
        <v>Side</v>
      </c>
      <c r="L36" s="606" t="s">
        <v>554</v>
      </c>
      <c r="M36" s="607" t="s">
        <v>1301</v>
      </c>
      <c r="N36" s="607" t="s">
        <v>464</v>
      </c>
      <c r="O36" s="607"/>
      <c r="P36" s="607"/>
      <c r="Q36" s="607"/>
      <c r="R36" s="607"/>
      <c r="S36" s="607" t="s">
        <v>513</v>
      </c>
      <c r="T36" s="607"/>
      <c r="U36" s="607" t="s">
        <v>513</v>
      </c>
      <c r="V36" s="607"/>
      <c r="W36" s="607" t="s">
        <v>513</v>
      </c>
      <c r="X36" s="609">
        <f>IF(BASIC_TOOL!D15=0,0,(W_C+L1_C+L2_C+L3_C+L4_C)*2-X37-X38)</f>
        <v>0</v>
      </c>
      <c r="Y36" s="607" t="str">
        <f t="shared" si="3"/>
        <v>10T</v>
      </c>
      <c r="Z36" s="600">
        <v>32</v>
      </c>
      <c r="AA36" s="616">
        <v>4.2</v>
      </c>
      <c r="AB36" s="615">
        <f t="shared" si="0"/>
        <v>0</v>
      </c>
    </row>
    <row r="37" spans="1:28" s="143" customFormat="1" ht="17.25" customHeight="1">
      <c r="A37" s="655" t="str">
        <f t="array" ref="A37">IF( ISERROR(INDEX(Panel!$H$6:$H$115,SMALL(IF(Panel!$J$6:$J$115&lt;&gt;0,ROW(Panel!$J$6:$J$115)-5),ROW(A33)))),"",INDEX(Panel!$H$6:$H$115,SMALL(IF(Panel!$J$6:$J$115&lt;&gt;0,ROW(Panel!$J$6:$J$115)-5),ROW(A33))))</f>
        <v/>
      </c>
      <c r="B37" s="655" t="str">
        <f t="array" ref="B37">IF(ISERROR(INDEX(Panel!$I$6:$I$115,SMALL(IF(Panel!$J$6:$J$115&lt;&gt;0,ROW(Panel!$J$6:$J$115)-5),ROW(B33)))),"",INDEX(Panel!$I$6:$I$115,SMALL(IF(Panel!$J$6:$J$115&lt;&gt;0,ROW(Panel!$J$6:$J$115)-5),ROW(B33))))</f>
        <v/>
      </c>
      <c r="C37" s="655" t="str">
        <f t="array" ref="C37">IF( ISERROR(INDEX(Panel!$J$6:$J$115,SMALL(IF(Panel!$J$6:$J$115&lt;&gt;0,ROW(Panel!$J$6:$J$115)-5),ROW(C33)))),"",  INDEX(Panel!$J$6:$J$115,SMALL(IF(Panel!$J$6:$J$115&lt;&gt;0,ROW(Panel!$J$6:$J$115)-5),ROW(C33))))</f>
        <v/>
      </c>
      <c r="D37" s="142"/>
      <c r="E37" s="1590"/>
      <c r="F37" s="1590"/>
      <c r="G37" s="607" t="s">
        <v>512</v>
      </c>
      <c r="H37" s="606" t="str">
        <f t="shared" si="6"/>
        <v>Side_ParLT</v>
      </c>
      <c r="I37" s="606" t="str">
        <f>M37&amp;Y37&amp;IF(OR(BASIC_TOOL!$C$15=1,BASIC_TOOL!$C$15=5),,N37)</f>
        <v>SF10TL</v>
      </c>
      <c r="J37" s="607">
        <f t="shared" si="5"/>
        <v>0</v>
      </c>
      <c r="K37" s="606" t="str">
        <f>L37&amp;IF(OR( BASIC_TOOL!$C$15=1,BASIC_TOOL!$C$15=5),"","(I)")</f>
        <v>Side_ParLT</v>
      </c>
      <c r="L37" s="606" t="s">
        <v>1263</v>
      </c>
      <c r="M37" s="607" t="s">
        <v>1301</v>
      </c>
      <c r="N37" s="607" t="s">
        <v>464</v>
      </c>
      <c r="O37" s="607"/>
      <c r="P37" s="607"/>
      <c r="Q37" s="607"/>
      <c r="R37" s="607"/>
      <c r="S37" s="607" t="s">
        <v>514</v>
      </c>
      <c r="T37" s="607"/>
      <c r="U37" s="607" t="s">
        <v>514</v>
      </c>
      <c r="V37" s="607"/>
      <c r="W37" s="607" t="s">
        <v>514</v>
      </c>
      <c r="X37" s="603">
        <f>IF(BASIC_TOOL!D15=0,0,N_PA)</f>
        <v>0</v>
      </c>
      <c r="Y37" s="607" t="str">
        <f t="shared" si="3"/>
        <v>10TL</v>
      </c>
      <c r="Z37" s="600">
        <v>33</v>
      </c>
      <c r="AA37" s="616">
        <v>4.2</v>
      </c>
      <c r="AB37" s="615">
        <f t="shared" si="0"/>
        <v>0</v>
      </c>
    </row>
    <row r="38" spans="1:28" s="143" customFormat="1" ht="17.25" customHeight="1">
      <c r="A38" s="655" t="str">
        <f t="array" ref="A38">IF( ISERROR(INDEX(Panel!$H$6:$H$115,SMALL(IF(Panel!$J$6:$J$115&lt;&gt;0,ROW(Panel!$J$6:$J$115)-5),ROW(A34)))),"",INDEX(Panel!$H$6:$H$115,SMALL(IF(Panel!$J$6:$J$115&lt;&gt;0,ROW(Panel!$J$6:$J$115)-5),ROW(A34))))</f>
        <v/>
      </c>
      <c r="B38" s="655" t="str">
        <f t="array" ref="B38">IF(ISERROR(INDEX(Panel!$I$6:$I$115,SMALL(IF(Panel!$J$6:$J$115&lt;&gt;0,ROW(Panel!$J$6:$J$115)-5),ROW(B34)))),"",INDEX(Panel!$I$6:$I$115,SMALL(IF(Panel!$J$6:$J$115&lt;&gt;0,ROW(Panel!$J$6:$J$115)-5),ROW(B34))))</f>
        <v/>
      </c>
      <c r="C38" s="655" t="str">
        <f t="array" ref="C38">IF( ISERROR(INDEX(Panel!$J$6:$J$115,SMALL(IF(Panel!$J$6:$J$115&lt;&gt;0,ROW(Panel!$J$6:$J$115)-5),ROW(C34)))),"",  INDEX(Panel!$J$6:$J$115,SMALL(IF(Panel!$J$6:$J$115&lt;&gt;0,ROW(Panel!$J$6:$J$115)-5),ROW(C34))))</f>
        <v/>
      </c>
      <c r="D38" s="142"/>
      <c r="E38" s="1590"/>
      <c r="F38" s="1590"/>
      <c r="G38" s="607" t="s">
        <v>512</v>
      </c>
      <c r="H38" s="606" t="str">
        <f t="shared" si="6"/>
        <v>Side_ParRT</v>
      </c>
      <c r="I38" s="606" t="str">
        <f>M38&amp;Y38&amp;IF(OR(BASIC_TOOL!$C$15=1,BASIC_TOOL!$C$15=5),,N38)</f>
        <v>SF10TR</v>
      </c>
      <c r="J38" s="607">
        <f t="shared" si="5"/>
        <v>0</v>
      </c>
      <c r="K38" s="606" t="str">
        <f>L38&amp;IF(OR( BASIC_TOOL!$C$15=1,BASIC_TOOL!$C$15=5),"","(I)")</f>
        <v>Side_ParRT</v>
      </c>
      <c r="L38" s="606" t="s">
        <v>1264</v>
      </c>
      <c r="M38" s="607" t="s">
        <v>1301</v>
      </c>
      <c r="N38" s="607" t="s">
        <v>464</v>
      </c>
      <c r="O38" s="607"/>
      <c r="P38" s="607"/>
      <c r="Q38" s="607"/>
      <c r="R38" s="607"/>
      <c r="S38" s="607" t="s">
        <v>515</v>
      </c>
      <c r="T38" s="607"/>
      <c r="U38" s="607" t="s">
        <v>515</v>
      </c>
      <c r="V38" s="607"/>
      <c r="W38" s="607" t="s">
        <v>515</v>
      </c>
      <c r="X38" s="603">
        <f>IF(BASIC_TOOL!D15=0,0,N_PA)</f>
        <v>0</v>
      </c>
      <c r="Y38" s="607" t="str">
        <f t="shared" si="3"/>
        <v>10TR</v>
      </c>
      <c r="Z38" s="600">
        <v>34</v>
      </c>
      <c r="AA38" s="616">
        <v>4.2</v>
      </c>
      <c r="AB38" s="615">
        <f t="shared" si="0"/>
        <v>0</v>
      </c>
    </row>
    <row r="39" spans="1:28" s="143" customFormat="1" ht="17.25" customHeight="1">
      <c r="A39" s="655" t="str">
        <f t="array" ref="A39">IF( ISERROR(INDEX(Panel!$H$6:$H$115,SMALL(IF(Panel!$J$6:$J$115&lt;&gt;0,ROW(Panel!$J$6:$J$115)-5),ROW(A35)))),"",INDEX(Panel!$H$6:$H$115,SMALL(IF(Panel!$J$6:$J$115&lt;&gt;0,ROW(Panel!$J$6:$J$115)-5),ROW(A35))))</f>
        <v/>
      </c>
      <c r="B39" s="655" t="str">
        <f t="array" ref="B39">IF(ISERROR(INDEX(Panel!$I$6:$I$115,SMALL(IF(Panel!$J$6:$J$115&lt;&gt;0,ROW(Panel!$J$6:$J$115)-5),ROW(B35)))),"",INDEX(Panel!$I$6:$I$115,SMALL(IF(Panel!$J$6:$J$115&lt;&gt;0,ROW(Panel!$J$6:$J$115)-5),ROW(B35))))</f>
        <v/>
      </c>
      <c r="C39" s="655" t="str">
        <f t="array" ref="C39">IF( ISERROR(INDEX(Panel!$J$6:$J$115,SMALL(IF(Panel!$J$6:$J$115&lt;&gt;0,ROW(Panel!$J$6:$J$115)-5),ROW(C35)))),"",  INDEX(Panel!$J$6:$J$115,SMALL(IF(Panel!$J$6:$J$115&lt;&gt;0,ROW(Panel!$J$6:$J$115)-5),ROW(C35))))</f>
        <v/>
      </c>
      <c r="D39" s="142"/>
      <c r="E39" s="1590"/>
      <c r="F39" s="1589" t="s">
        <v>508</v>
      </c>
      <c r="G39" s="607" t="s">
        <v>505</v>
      </c>
      <c r="H39" s="606" t="str">
        <f t="shared" si="6"/>
        <v>HSide</v>
      </c>
      <c r="I39" s="606" t="str">
        <f>M39&amp;Y39&amp;IF(OR(BASIC_TOOL!$C$15=1,BASIC_TOOL!$C$15=5),,N39)</f>
        <v>SH10T</v>
      </c>
      <c r="J39" s="607">
        <f t="shared" si="5"/>
        <v>0</v>
      </c>
      <c r="K39" s="606" t="str">
        <f>L39&amp;IF(OR( BASIC_TOOL!$C$15=1,BASIC_TOOL!$C$15=5),"","(I)")</f>
        <v>HSide</v>
      </c>
      <c r="L39" s="606" t="s">
        <v>557</v>
      </c>
      <c r="M39" s="607" t="s">
        <v>1302</v>
      </c>
      <c r="N39" s="607" t="s">
        <v>464</v>
      </c>
      <c r="O39" s="607"/>
      <c r="P39" s="607"/>
      <c r="Q39" s="607" t="s">
        <v>513</v>
      </c>
      <c r="R39" s="607"/>
      <c r="S39" s="607" t="s">
        <v>513</v>
      </c>
      <c r="T39" s="607"/>
      <c r="U39" s="607" t="s">
        <v>513</v>
      </c>
      <c r="V39" s="607"/>
      <c r="W39" s="607" t="s">
        <v>513</v>
      </c>
      <c r="X39" s="603">
        <f>(W_F+L1_F+L2_F+L3_F+L4_F)*2</f>
        <v>0</v>
      </c>
      <c r="Y39" s="607" t="str">
        <f t="shared" si="3"/>
        <v>10T</v>
      </c>
      <c r="Z39" s="600">
        <v>35</v>
      </c>
      <c r="AA39" s="616">
        <v>3.1</v>
      </c>
      <c r="AB39" s="615">
        <f t="shared" si="0"/>
        <v>0</v>
      </c>
    </row>
    <row r="40" spans="1:28" s="143" customFormat="1" ht="17.25" customHeight="1">
      <c r="A40" s="655" t="str">
        <f t="array" ref="A40">IF( ISERROR(INDEX(Panel!$H$6:$H$115,SMALL(IF(Panel!$J$6:$J$115&lt;&gt;0,ROW(Panel!$J$6:$J$115)-5),ROW(A36)))),"",INDEX(Panel!$H$6:$H$115,SMALL(IF(Panel!$J$6:$J$115&lt;&gt;0,ROW(Panel!$J$6:$J$115)-5),ROW(A36))))</f>
        <v/>
      </c>
      <c r="B40" s="655" t="str">
        <f t="array" ref="B40">IF(ISERROR(INDEX(Panel!$I$6:$I$115,SMALL(IF(Panel!$J$6:$J$115&lt;&gt;0,ROW(Panel!$J$6:$J$115)-5),ROW(B36)))),"",INDEX(Panel!$I$6:$I$115,SMALL(IF(Panel!$J$6:$J$115&lt;&gt;0,ROW(Panel!$J$6:$J$115)-5),ROW(B36))))</f>
        <v/>
      </c>
      <c r="C40" s="655" t="str">
        <f t="array" ref="C40">IF( ISERROR(INDEX(Panel!$J$6:$J$115,SMALL(IF(Panel!$J$6:$J$115&lt;&gt;0,ROW(Panel!$J$6:$J$115)-5),ROW(C36)))),"",  INDEX(Panel!$J$6:$J$115,SMALL(IF(Panel!$J$6:$J$115&lt;&gt;0,ROW(Panel!$J$6:$J$115)-5),ROW(C36))))</f>
        <v/>
      </c>
      <c r="D40" s="142"/>
      <c r="E40" s="1590"/>
      <c r="F40" s="1589"/>
      <c r="G40" s="607" t="s">
        <v>505</v>
      </c>
      <c r="H40" s="606" t="str">
        <f t="shared" si="6"/>
        <v>HSide</v>
      </c>
      <c r="I40" s="606" t="str">
        <f>M40&amp;Y40&amp;IF(OR(BASIC_TOOL!$C$15=1,BASIC_TOOL!$C$15=5),,N40)</f>
        <v>SH20M</v>
      </c>
      <c r="J40" s="607">
        <f t="shared" si="5"/>
        <v>0</v>
      </c>
      <c r="K40" s="606" t="str">
        <f>L40&amp;IF(OR( BASIC_TOOL!$C$15=1,BASIC_TOOL!$C$15=5),"","(I)")</f>
        <v>HSide</v>
      </c>
      <c r="L40" s="606" t="s">
        <v>557</v>
      </c>
      <c r="M40" s="607" t="s">
        <v>1302</v>
      </c>
      <c r="N40" s="607" t="s">
        <v>464</v>
      </c>
      <c r="O40" s="607"/>
      <c r="P40" s="607"/>
      <c r="Q40" s="607" t="s">
        <v>509</v>
      </c>
      <c r="R40" s="607"/>
      <c r="S40" s="607" t="s">
        <v>510</v>
      </c>
      <c r="T40" s="607"/>
      <c r="U40" s="607" t="s">
        <v>510</v>
      </c>
      <c r="V40" s="607"/>
      <c r="W40" s="607" t="s">
        <v>510</v>
      </c>
      <c r="X40" s="609">
        <f>(W_F+L1_F+L2_F+L3_F+L4_F)*2</f>
        <v>0</v>
      </c>
      <c r="Y40" s="607" t="str">
        <f t="shared" si="3"/>
        <v>20M</v>
      </c>
      <c r="Z40" s="600">
        <v>36</v>
      </c>
      <c r="AA40" s="616">
        <v>3.1</v>
      </c>
      <c r="AB40" s="615">
        <f t="shared" si="0"/>
        <v>0</v>
      </c>
    </row>
    <row r="41" spans="1:28" s="143" customFormat="1" ht="17.25" customHeight="1">
      <c r="A41" s="655" t="str">
        <f t="array" ref="A41">IF( ISERROR(INDEX(Panel!$H$6:$H$115,SMALL(IF(Panel!$J$6:$J$115&lt;&gt;0,ROW(Panel!$J$6:$J$115)-5),ROW(A37)))),"",INDEX(Panel!$H$6:$H$115,SMALL(IF(Panel!$J$6:$J$115&lt;&gt;0,ROW(Panel!$J$6:$J$115)-5),ROW(A37))))</f>
        <v/>
      </c>
      <c r="B41" s="655" t="str">
        <f t="array" ref="B41">IF(ISERROR(INDEX(Panel!$I$6:$I$115,SMALL(IF(Panel!$J$6:$J$115&lt;&gt;0,ROW(Panel!$J$6:$J$115)-5),ROW(B37)))),"",INDEX(Panel!$I$6:$I$115,SMALL(IF(Panel!$J$6:$J$115&lt;&gt;0,ROW(Panel!$J$6:$J$115)-5),ROW(B37))))</f>
        <v/>
      </c>
      <c r="C41" s="655" t="str">
        <f t="array" ref="C41">IF( ISERROR(INDEX(Panel!$J$6:$J$115,SMALL(IF(Panel!$J$6:$J$115&lt;&gt;0,ROW(Panel!$J$6:$J$115)-5),ROW(C37)))),"",  INDEX(Panel!$J$6:$J$115,SMALL(IF(Panel!$J$6:$J$115&lt;&gt;0,ROW(Panel!$J$6:$J$115)-5),ROW(C37))))</f>
        <v/>
      </c>
      <c r="D41" s="142"/>
      <c r="E41" s="1590" t="s">
        <v>543</v>
      </c>
      <c r="F41" s="1590" t="s">
        <v>525</v>
      </c>
      <c r="G41" s="607" t="s">
        <v>419</v>
      </c>
      <c r="H41" s="606" t="str">
        <f t="shared" si="6"/>
        <v>Side</v>
      </c>
      <c r="I41" s="606" t="str">
        <f>M41&amp;Y41&amp;IF(OR(BASIC_TOOL!$C$15=1,BASIC_TOOL!$C$15=5),,N41)</f>
        <v>SF0</v>
      </c>
      <c r="J41" s="607">
        <f t="shared" si="5"/>
        <v>0</v>
      </c>
      <c r="K41" s="606" t="str">
        <f>L41&amp;IF(OR( BASIC_TOOL!$C$15=1,BASIC_TOOL!$C$15=5),"","(I)")</f>
        <v>Side</v>
      </c>
      <c r="L41" s="606" t="s">
        <v>554</v>
      </c>
      <c r="M41" s="607" t="s">
        <v>1301</v>
      </c>
      <c r="N41" s="607" t="s">
        <v>464</v>
      </c>
      <c r="O41" s="607"/>
      <c r="P41" s="607"/>
      <c r="Q41" s="607"/>
      <c r="R41" s="607"/>
      <c r="S41" s="607"/>
      <c r="T41" s="607"/>
      <c r="U41" s="607"/>
      <c r="V41" s="607" t="s">
        <v>488</v>
      </c>
      <c r="W41" s="607" t="s">
        <v>489</v>
      </c>
      <c r="X41" s="603">
        <f>(W_C+L1_C+L2_C+L3_C+L4_C)*2-X42-X43</f>
        <v>30</v>
      </c>
      <c r="Y41" s="607">
        <f t="shared" si="3"/>
        <v>0</v>
      </c>
      <c r="Z41" s="600">
        <v>37</v>
      </c>
      <c r="AA41" s="616">
        <v>4.0999999999999996</v>
      </c>
      <c r="AB41" s="615">
        <f t="shared" si="0"/>
        <v>0</v>
      </c>
    </row>
    <row r="42" spans="1:28" s="143" customFormat="1" ht="17.25" customHeight="1">
      <c r="A42" s="655" t="str">
        <f t="array" ref="A42">IF( ISERROR(INDEX(Panel!$H$6:$H$115,SMALL(IF(Panel!$J$6:$J$115&lt;&gt;0,ROW(Panel!$J$6:$J$115)-5),ROW(A38)))),"",INDEX(Panel!$H$6:$H$115,SMALL(IF(Panel!$J$6:$J$115&lt;&gt;0,ROW(Panel!$J$6:$J$115)-5),ROW(A38))))</f>
        <v/>
      </c>
      <c r="B42" s="655" t="str">
        <f t="array" ref="B42">IF(ISERROR(INDEX(Panel!$I$6:$I$115,SMALL(IF(Panel!$J$6:$J$115&lt;&gt;0,ROW(Panel!$J$6:$J$115)-5),ROW(B38)))),"",INDEX(Panel!$I$6:$I$115,SMALL(IF(Panel!$J$6:$J$115&lt;&gt;0,ROW(Panel!$J$6:$J$115)-5),ROW(B38))))</f>
        <v/>
      </c>
      <c r="C42" s="655" t="str">
        <f t="array" ref="C42">IF( ISERROR(INDEX(Panel!$J$6:$J$115,SMALL(IF(Panel!$J$6:$J$115&lt;&gt;0,ROW(Panel!$J$6:$J$115)-5),ROW(C38)))),"",  INDEX(Panel!$J$6:$J$115,SMALL(IF(Panel!$J$6:$J$115&lt;&gt;0,ROW(Panel!$J$6:$J$115)-5),ROW(C38))))</f>
        <v/>
      </c>
      <c r="D42" s="142"/>
      <c r="E42" s="1590"/>
      <c r="F42" s="1590"/>
      <c r="G42" s="607" t="s">
        <v>419</v>
      </c>
      <c r="H42" s="606" t="str">
        <f t="shared" si="6"/>
        <v>Side_ParLT</v>
      </c>
      <c r="I42" s="606" t="str">
        <f>M42&amp;Y42&amp;IF(OR(BASIC_TOOL!$C$15=1,BASIC_TOOL!$C$15=5),,N42)</f>
        <v>SF0</v>
      </c>
      <c r="J42" s="607">
        <f t="shared" si="5"/>
        <v>0</v>
      </c>
      <c r="K42" s="606" t="str">
        <f>L42&amp;IF(OR( BASIC_TOOL!$C$15=1,BASIC_TOOL!$C$15=5),"","(I)")</f>
        <v>Side_ParLT</v>
      </c>
      <c r="L42" s="606" t="s">
        <v>1263</v>
      </c>
      <c r="M42" s="607" t="s">
        <v>1301</v>
      </c>
      <c r="N42" s="607" t="s">
        <v>464</v>
      </c>
      <c r="O42" s="607"/>
      <c r="P42" s="607"/>
      <c r="Q42" s="607"/>
      <c r="R42" s="607"/>
      <c r="S42" s="607"/>
      <c r="T42" s="607"/>
      <c r="U42" s="607"/>
      <c r="V42" s="607" t="s">
        <v>520</v>
      </c>
      <c r="W42" s="607" t="s">
        <v>521</v>
      </c>
      <c r="X42" s="603">
        <f>N_PA</f>
        <v>0</v>
      </c>
      <c r="Y42" s="607">
        <f t="shared" si="3"/>
        <v>0</v>
      </c>
      <c r="Z42" s="600">
        <v>38</v>
      </c>
      <c r="AA42" s="616">
        <v>4.0999999999999996</v>
      </c>
      <c r="AB42" s="615">
        <f t="shared" si="0"/>
        <v>0</v>
      </c>
    </row>
    <row r="43" spans="1:28" s="143" customFormat="1" ht="17.25" customHeight="1">
      <c r="A43" s="655" t="str">
        <f t="array" ref="A43">IF( ISERROR(INDEX(Panel!$H$6:$H$115,SMALL(IF(Panel!$J$6:$J$115&lt;&gt;0,ROW(Panel!$J$6:$J$115)-5),ROW(A39)))),"",INDEX(Panel!$H$6:$H$115,SMALL(IF(Panel!$J$6:$J$115&lt;&gt;0,ROW(Panel!$J$6:$J$115)-5),ROW(A39))))</f>
        <v/>
      </c>
      <c r="B43" s="655" t="str">
        <f t="array" ref="B43">IF(ISERROR(INDEX(Panel!$I$6:$I$115,SMALL(IF(Panel!$J$6:$J$115&lt;&gt;0,ROW(Panel!$J$6:$J$115)-5),ROW(B39)))),"",INDEX(Panel!$I$6:$I$115,SMALL(IF(Panel!$J$6:$J$115&lt;&gt;0,ROW(Panel!$J$6:$J$115)-5),ROW(B39))))</f>
        <v/>
      </c>
      <c r="C43" s="655" t="str">
        <f t="array" ref="C43">IF( ISERROR(INDEX(Panel!$J$6:$J$115,SMALL(IF(Panel!$J$6:$J$115&lt;&gt;0,ROW(Panel!$J$6:$J$115)-5),ROW(C39)))),"",  INDEX(Panel!$J$6:$J$115,SMALL(IF(Panel!$J$6:$J$115&lt;&gt;0,ROW(Panel!$J$6:$J$115)-5),ROW(C39))))</f>
        <v/>
      </c>
      <c r="D43" s="142"/>
      <c r="E43" s="1590"/>
      <c r="F43" s="1590"/>
      <c r="G43" s="607" t="s">
        <v>419</v>
      </c>
      <c r="H43" s="606" t="str">
        <f t="shared" si="6"/>
        <v>Side_ParRT</v>
      </c>
      <c r="I43" s="606" t="str">
        <f>M43&amp;Y43&amp;IF(OR(BASIC_TOOL!$C$15=1,BASIC_TOOL!$C$15=5),,N43)</f>
        <v>SF0</v>
      </c>
      <c r="J43" s="607">
        <f t="shared" si="5"/>
        <v>0</v>
      </c>
      <c r="K43" s="606" t="str">
        <f>L43&amp;IF(OR( BASIC_TOOL!$C$15=1,BASIC_TOOL!$C$15=5),"","(I)")</f>
        <v>Side_ParRT</v>
      </c>
      <c r="L43" s="606" t="s">
        <v>1264</v>
      </c>
      <c r="M43" s="607" t="s">
        <v>1301</v>
      </c>
      <c r="N43" s="607" t="s">
        <v>464</v>
      </c>
      <c r="O43" s="607"/>
      <c r="P43" s="607"/>
      <c r="Q43" s="607"/>
      <c r="R43" s="607"/>
      <c r="S43" s="607"/>
      <c r="T43" s="607"/>
      <c r="U43" s="607"/>
      <c r="V43" s="607" t="s">
        <v>518</v>
      </c>
      <c r="W43" s="607" t="s">
        <v>519</v>
      </c>
      <c r="X43" s="603">
        <f>N_PA</f>
        <v>0</v>
      </c>
      <c r="Y43" s="607">
        <f t="shared" si="3"/>
        <v>0</v>
      </c>
      <c r="Z43" s="600">
        <v>39</v>
      </c>
      <c r="AA43" s="616">
        <v>4.0999999999999996</v>
      </c>
      <c r="AB43" s="615">
        <f t="shared" si="0"/>
        <v>0</v>
      </c>
    </row>
    <row r="44" spans="1:28" s="143" customFormat="1" ht="17.25" customHeight="1">
      <c r="A44" s="655" t="str">
        <f t="array" ref="A44">IF( ISERROR(INDEX(Panel!$H$6:$H$115,SMALL(IF(Panel!$J$6:$J$115&lt;&gt;0,ROW(Panel!$J$6:$J$115)-5),ROW(A40)))),"",INDEX(Panel!$H$6:$H$115,SMALL(IF(Panel!$J$6:$J$115&lt;&gt;0,ROW(Panel!$J$6:$J$115)-5),ROW(A40))))</f>
        <v/>
      </c>
      <c r="B44" s="655" t="str">
        <f t="array" ref="B44">IF(ISERROR(INDEX(Panel!$I$6:$I$115,SMALL(IF(Panel!$J$6:$J$115&lt;&gt;0,ROW(Panel!$J$6:$J$115)-5),ROW(B40)))),"",INDEX(Panel!$I$6:$I$115,SMALL(IF(Panel!$J$6:$J$115&lt;&gt;0,ROW(Panel!$J$6:$J$115)-5),ROW(B40))))</f>
        <v/>
      </c>
      <c r="C44" s="655" t="str">
        <f t="array" ref="C44">IF( ISERROR(INDEX(Panel!$J$6:$J$115,SMALL(IF(Panel!$J$6:$J$115&lt;&gt;0,ROW(Panel!$J$6:$J$115)-5),ROW(C40)))),"",  INDEX(Panel!$J$6:$J$115,SMALL(IF(Panel!$J$6:$J$115&lt;&gt;0,ROW(Panel!$J$6:$J$115)-5),ROW(C40))))</f>
        <v/>
      </c>
      <c r="D44" s="142"/>
      <c r="E44" s="1590"/>
      <c r="F44" s="610" t="s">
        <v>542</v>
      </c>
      <c r="G44" s="607" t="s">
        <v>505</v>
      </c>
      <c r="H44" s="606" t="str">
        <f t="shared" ref="H44:H51" si="7">K44</f>
        <v>HSide</v>
      </c>
      <c r="I44" s="606" t="str">
        <f>M44&amp;Y44&amp;IF(OR(BASIC_TOOL!$C$15=1,BASIC_TOOL!$C$15=5),,N44)</f>
        <v>SH0</v>
      </c>
      <c r="J44" s="607">
        <f t="shared" si="5"/>
        <v>0</v>
      </c>
      <c r="K44" s="606" t="str">
        <f>L44&amp;IF(OR( BASIC_TOOL!$C$15=1,BASIC_TOOL!$C$15=5),"","(I)")</f>
        <v>HSide</v>
      </c>
      <c r="L44" s="606" t="s">
        <v>557</v>
      </c>
      <c r="M44" s="607" t="s">
        <v>1302</v>
      </c>
      <c r="N44" s="607" t="s">
        <v>464</v>
      </c>
      <c r="O44" s="607"/>
      <c r="P44" s="607"/>
      <c r="Q44" s="607"/>
      <c r="R44" s="607"/>
      <c r="S44" s="607"/>
      <c r="T44" s="607"/>
      <c r="U44" s="607"/>
      <c r="V44" s="607" t="s">
        <v>488</v>
      </c>
      <c r="W44" s="607" t="s">
        <v>489</v>
      </c>
      <c r="X44" s="609">
        <f>(W_F+L1_F+L2_F+L3_F+L4_F)*2</f>
        <v>0</v>
      </c>
      <c r="Y44" s="607">
        <f t="shared" si="3"/>
        <v>0</v>
      </c>
      <c r="Z44" s="600">
        <v>40</v>
      </c>
      <c r="AA44" s="616">
        <v>4.0999999999999996</v>
      </c>
      <c r="AB44" s="615">
        <f t="shared" si="0"/>
        <v>0</v>
      </c>
    </row>
    <row r="45" spans="1:28" s="143" customFormat="1" ht="17.25" customHeight="1">
      <c r="A45" s="655" t="str">
        <f t="array" ref="A45">IF( ISERROR(INDEX(Panel!$H$6:$H$115,SMALL(IF(Panel!$J$6:$J$115&lt;&gt;0,ROW(Panel!$J$6:$J$115)-5),ROW(A41)))),"",INDEX(Panel!$H$6:$H$115,SMALL(IF(Panel!$J$6:$J$115&lt;&gt;0,ROW(Panel!$J$6:$J$115)-5),ROW(A41))))</f>
        <v/>
      </c>
      <c r="B45" s="655" t="str">
        <f t="array" ref="B45">IF(ISERROR(INDEX(Panel!$I$6:$I$115,SMALL(IF(Panel!$J$6:$J$115&lt;&gt;0,ROW(Panel!$J$6:$J$115)-5),ROW(B41)))),"",INDEX(Panel!$I$6:$I$115,SMALL(IF(Panel!$J$6:$J$115&lt;&gt;0,ROW(Panel!$J$6:$J$115)-5),ROW(B41))))</f>
        <v/>
      </c>
      <c r="C45" s="655" t="str">
        <f t="array" ref="C45">IF( ISERROR(INDEX(Panel!$J$6:$J$115,SMALL(IF(Panel!$J$6:$J$115&lt;&gt;0,ROW(Panel!$J$6:$J$115)-5),ROW(C41)))),"",  INDEX(Panel!$J$6:$J$115,SMALL(IF(Panel!$J$6:$J$115&lt;&gt;0,ROW(Panel!$J$6:$J$115)-5),ROW(C41))))</f>
        <v/>
      </c>
      <c r="D45" s="142"/>
      <c r="E45" s="1590" t="s">
        <v>544</v>
      </c>
      <c r="F45" s="1590" t="s">
        <v>524</v>
      </c>
      <c r="G45" s="607" t="s">
        <v>420</v>
      </c>
      <c r="H45" s="606" t="str">
        <f t="shared" si="7"/>
        <v>Side</v>
      </c>
      <c r="I45" s="606" t="str">
        <f>M45&amp;Y45&amp;IF(OR(BASIC_TOOL!$C$15=1,BASIC_TOOL!$C$15=5),,N45)</f>
        <v>SF0</v>
      </c>
      <c r="J45" s="607">
        <f t="shared" si="5"/>
        <v>0</v>
      </c>
      <c r="K45" s="606" t="str">
        <f>L45&amp;IF(OR( BASIC_TOOL!$C$15=1,BASIC_TOOL!$C$15=5),"","(I)")</f>
        <v>Side</v>
      </c>
      <c r="L45" s="606" t="s">
        <v>554</v>
      </c>
      <c r="M45" s="607" t="s">
        <v>1301</v>
      </c>
      <c r="N45" s="607" t="s">
        <v>464</v>
      </c>
      <c r="O45" s="607"/>
      <c r="P45" s="607"/>
      <c r="Q45" s="607"/>
      <c r="R45" s="607"/>
      <c r="S45" s="607"/>
      <c r="T45" s="607" t="s">
        <v>488</v>
      </c>
      <c r="U45" s="607" t="s">
        <v>489</v>
      </c>
      <c r="V45" s="607" t="s">
        <v>490</v>
      </c>
      <c r="W45" s="607" t="s">
        <v>491</v>
      </c>
      <c r="X45" s="603">
        <f>(W_C+L1_C+L2_C+L3_C+L4_C)*2-X46-X47</f>
        <v>30</v>
      </c>
      <c r="Y45" s="607">
        <f t="shared" si="3"/>
        <v>0</v>
      </c>
      <c r="Z45" s="600">
        <v>41</v>
      </c>
      <c r="AA45" s="616">
        <v>4.0999999999999996</v>
      </c>
      <c r="AB45" s="615">
        <f t="shared" si="0"/>
        <v>0</v>
      </c>
    </row>
    <row r="46" spans="1:28" s="143" customFormat="1" ht="17.25" customHeight="1">
      <c r="A46" s="655" t="str">
        <f t="array" ref="A46">IF( ISERROR(INDEX(Panel!$H$6:$H$115,SMALL(IF(Panel!$J$6:$J$115&lt;&gt;0,ROW(Panel!$J$6:$J$115)-5),ROW(A42)))),"",INDEX(Panel!$H$6:$H$115,SMALL(IF(Panel!$J$6:$J$115&lt;&gt;0,ROW(Panel!$J$6:$J$115)-5),ROW(A42))))</f>
        <v/>
      </c>
      <c r="B46" s="655" t="str">
        <f t="array" ref="B46">IF(ISERROR(INDEX(Panel!$I$6:$I$115,SMALL(IF(Panel!$J$6:$J$115&lt;&gt;0,ROW(Panel!$J$6:$J$115)-5),ROW(B42)))),"",INDEX(Panel!$I$6:$I$115,SMALL(IF(Panel!$J$6:$J$115&lt;&gt;0,ROW(Panel!$J$6:$J$115)-5),ROW(B42))))</f>
        <v/>
      </c>
      <c r="C46" s="655" t="str">
        <f t="array" ref="C46">IF( ISERROR(INDEX(Panel!$J$6:$J$115,SMALL(IF(Panel!$J$6:$J$115&lt;&gt;0,ROW(Panel!$J$6:$J$115)-5),ROW(C42)))),"",  INDEX(Panel!$J$6:$J$115,SMALL(IF(Panel!$J$6:$J$115&lt;&gt;0,ROW(Panel!$J$6:$J$115)-5),ROW(C42))))</f>
        <v/>
      </c>
      <c r="D46" s="142"/>
      <c r="E46" s="1590"/>
      <c r="F46" s="1590"/>
      <c r="G46" s="607" t="s">
        <v>420</v>
      </c>
      <c r="H46" s="606" t="str">
        <f t="shared" si="7"/>
        <v>Side_ParLT</v>
      </c>
      <c r="I46" s="606" t="str">
        <f>M46&amp;Y46&amp;IF(OR(BASIC_TOOL!$C$15=1,BASIC_TOOL!$C$15=5),,N46)</f>
        <v>SF0</v>
      </c>
      <c r="J46" s="607">
        <f t="shared" si="5"/>
        <v>0</v>
      </c>
      <c r="K46" s="606" t="str">
        <f>L46&amp;IF(OR( BASIC_TOOL!$C$15=1,BASIC_TOOL!$C$15=5),"","(I)")</f>
        <v>Side_ParLT</v>
      </c>
      <c r="L46" s="606" t="s">
        <v>1263</v>
      </c>
      <c r="M46" s="607" t="s">
        <v>1301</v>
      </c>
      <c r="N46" s="607" t="s">
        <v>464</v>
      </c>
      <c r="O46" s="607"/>
      <c r="P46" s="607"/>
      <c r="Q46" s="607"/>
      <c r="R46" s="607"/>
      <c r="S46" s="607"/>
      <c r="T46" s="607" t="s">
        <v>520</v>
      </c>
      <c r="U46" s="607" t="s">
        <v>521</v>
      </c>
      <c r="V46" s="607" t="s">
        <v>1309</v>
      </c>
      <c r="W46" s="607" t="s">
        <v>1311</v>
      </c>
      <c r="X46" s="603">
        <f>N_PA</f>
        <v>0</v>
      </c>
      <c r="Y46" s="607">
        <f t="shared" si="3"/>
        <v>0</v>
      </c>
      <c r="Z46" s="600">
        <v>42</v>
      </c>
      <c r="AA46" s="616">
        <v>4.0999999999999996</v>
      </c>
      <c r="AB46" s="615">
        <f t="shared" si="0"/>
        <v>0</v>
      </c>
    </row>
    <row r="47" spans="1:28" s="143" customFormat="1" ht="17.25" customHeight="1">
      <c r="A47" s="655" t="str">
        <f t="array" ref="A47">IF( ISERROR(INDEX(Panel!$H$6:$H$115,SMALL(IF(Panel!$J$6:$J$115&lt;&gt;0,ROW(Panel!$J$6:$J$115)-5),ROW(A43)))),"",INDEX(Panel!$H$6:$H$115,SMALL(IF(Panel!$J$6:$J$115&lt;&gt;0,ROW(Panel!$J$6:$J$115)-5),ROW(A43))))</f>
        <v/>
      </c>
      <c r="B47" s="655" t="str">
        <f t="array" ref="B47">IF(ISERROR(INDEX(Panel!$I$6:$I$115,SMALL(IF(Panel!$J$6:$J$115&lt;&gt;0,ROW(Panel!$J$6:$J$115)-5),ROW(B43)))),"",INDEX(Panel!$I$6:$I$115,SMALL(IF(Panel!$J$6:$J$115&lt;&gt;0,ROW(Panel!$J$6:$J$115)-5),ROW(B43))))</f>
        <v/>
      </c>
      <c r="C47" s="655" t="str">
        <f t="array" ref="C47">IF( ISERROR(INDEX(Panel!$J$6:$J$115,SMALL(IF(Panel!$J$6:$J$115&lt;&gt;0,ROW(Panel!$J$6:$J$115)-5),ROW(C43)))),"",  INDEX(Panel!$J$6:$J$115,SMALL(IF(Panel!$J$6:$J$115&lt;&gt;0,ROW(Panel!$J$6:$J$115)-5),ROW(C43))))</f>
        <v/>
      </c>
      <c r="D47" s="142"/>
      <c r="E47" s="1590"/>
      <c r="F47" s="1590"/>
      <c r="G47" s="607" t="s">
        <v>420</v>
      </c>
      <c r="H47" s="606" t="str">
        <f t="shared" si="7"/>
        <v>Side_ParRT</v>
      </c>
      <c r="I47" s="606" t="str">
        <f>M47&amp;Y47&amp;IF(OR(BASIC_TOOL!$C$15=1,BASIC_TOOL!$C$15=5),,N47)</f>
        <v>SF0</v>
      </c>
      <c r="J47" s="607">
        <f t="shared" si="5"/>
        <v>0</v>
      </c>
      <c r="K47" s="606" t="str">
        <f>L47&amp;IF(OR( BASIC_TOOL!$C$15=1,BASIC_TOOL!$C$15=5),"","(I)")</f>
        <v>Side_ParRT</v>
      </c>
      <c r="L47" s="606" t="s">
        <v>1264</v>
      </c>
      <c r="M47" s="607" t="s">
        <v>1301</v>
      </c>
      <c r="N47" s="607" t="s">
        <v>464</v>
      </c>
      <c r="O47" s="607"/>
      <c r="P47" s="607"/>
      <c r="Q47" s="607"/>
      <c r="R47" s="607"/>
      <c r="S47" s="607"/>
      <c r="T47" s="607" t="s">
        <v>518</v>
      </c>
      <c r="U47" s="607" t="s">
        <v>519</v>
      </c>
      <c r="V47" s="607" t="s">
        <v>1310</v>
      </c>
      <c r="W47" s="607" t="s">
        <v>1312</v>
      </c>
      <c r="X47" s="603">
        <f>N_PA</f>
        <v>0</v>
      </c>
      <c r="Y47" s="607">
        <f t="shared" si="3"/>
        <v>0</v>
      </c>
      <c r="Z47" s="600">
        <v>43</v>
      </c>
      <c r="AA47" s="616">
        <v>4.0999999999999996</v>
      </c>
      <c r="AB47" s="615">
        <f t="shared" si="0"/>
        <v>0</v>
      </c>
    </row>
    <row r="48" spans="1:28" s="143" customFormat="1" ht="17.25" customHeight="1">
      <c r="A48" s="655" t="str">
        <f t="array" ref="A48">IF( ISERROR(INDEX(Panel!$H$6:$H$115,SMALL(IF(Panel!$J$6:$J$115&lt;&gt;0,ROW(Panel!$J$6:$J$115)-5),ROW(A44)))),"",INDEX(Panel!$H$6:$H$115,SMALL(IF(Panel!$J$6:$J$115&lt;&gt;0,ROW(Panel!$J$6:$J$115)-5),ROW(A44))))</f>
        <v/>
      </c>
      <c r="B48" s="655" t="str">
        <f t="array" ref="B48">IF(ISERROR(INDEX(Panel!$I$6:$I$115,SMALL(IF(Panel!$J$6:$J$115&lt;&gt;0,ROW(Panel!$J$6:$J$115)-5),ROW(B44)))),"",INDEX(Panel!$I$6:$I$115,SMALL(IF(Panel!$J$6:$J$115&lt;&gt;0,ROW(Panel!$J$6:$J$115)-5),ROW(B44))))</f>
        <v/>
      </c>
      <c r="C48" s="655" t="str">
        <f t="array" ref="C48">IF( ISERROR(INDEX(Panel!$J$6:$J$115,SMALL(IF(Panel!$J$6:$J$115&lt;&gt;0,ROW(Panel!$J$6:$J$115)-5),ROW(C44)))),"",  INDEX(Panel!$J$6:$J$115,SMALL(IF(Panel!$J$6:$J$115&lt;&gt;0,ROW(Panel!$J$6:$J$115)-5),ROW(C44))))</f>
        <v/>
      </c>
      <c r="D48" s="142"/>
      <c r="E48" s="1590"/>
      <c r="F48" s="610" t="s">
        <v>545</v>
      </c>
      <c r="G48" s="607" t="s">
        <v>505</v>
      </c>
      <c r="H48" s="606" t="str">
        <f t="shared" si="7"/>
        <v>HSide</v>
      </c>
      <c r="I48" s="606" t="str">
        <f>M48&amp;Y48&amp;IF(OR(BASIC_TOOL!$C$15=1,BASIC_TOOL!$C$15=5),,N48)</f>
        <v>SH0</v>
      </c>
      <c r="J48" s="607">
        <f t="shared" si="5"/>
        <v>0</v>
      </c>
      <c r="K48" s="606" t="str">
        <f>L48&amp;IF(OR( BASIC_TOOL!$C$15=1,BASIC_TOOL!$C$15=5),"","(I)")</f>
        <v>HSide</v>
      </c>
      <c r="L48" s="606" t="s">
        <v>557</v>
      </c>
      <c r="M48" s="607" t="s">
        <v>1302</v>
      </c>
      <c r="N48" s="607" t="s">
        <v>464</v>
      </c>
      <c r="O48" s="607"/>
      <c r="P48" s="607"/>
      <c r="Q48" s="607"/>
      <c r="R48" s="607"/>
      <c r="S48" s="607"/>
      <c r="T48" s="607" t="s">
        <v>488</v>
      </c>
      <c r="U48" s="607" t="s">
        <v>489</v>
      </c>
      <c r="V48" s="607" t="s">
        <v>490</v>
      </c>
      <c r="W48" s="607" t="s">
        <v>491</v>
      </c>
      <c r="X48" s="609">
        <f>(W_F+L1_F+L2_F+L3_F+L4_F)*2</f>
        <v>0</v>
      </c>
      <c r="Y48" s="607">
        <f t="shared" si="3"/>
        <v>0</v>
      </c>
      <c r="Z48" s="600">
        <v>44</v>
      </c>
      <c r="AA48" s="616">
        <v>3.1</v>
      </c>
      <c r="AB48" s="615">
        <f t="shared" si="0"/>
        <v>0</v>
      </c>
    </row>
    <row r="49" spans="1:28" s="143" customFormat="1" ht="17.25" customHeight="1">
      <c r="A49" s="655" t="str">
        <f t="array" ref="A49">IF( ISERROR(INDEX(Panel!$H$6:$H$115,SMALL(IF(Panel!$J$6:$J$115&lt;&gt;0,ROW(Panel!$J$6:$J$115)-5),ROW(A45)))),"",INDEX(Panel!$H$6:$H$115,SMALL(IF(Panel!$J$6:$J$115&lt;&gt;0,ROW(Panel!$J$6:$J$115)-5),ROW(A45))))</f>
        <v/>
      </c>
      <c r="B49" s="655" t="str">
        <f t="array" ref="B49">IF(ISERROR(INDEX(Panel!$I$6:$I$115,SMALL(IF(Panel!$J$6:$J$115&lt;&gt;0,ROW(Panel!$J$6:$J$115)-5),ROW(B45)))),"",INDEX(Panel!$I$6:$I$115,SMALL(IF(Panel!$J$6:$J$115&lt;&gt;0,ROW(Panel!$J$6:$J$115)-5),ROW(B45))))</f>
        <v/>
      </c>
      <c r="C49" s="655" t="str">
        <f t="array" ref="C49">IF( ISERROR(INDEX(Panel!$J$6:$J$115,SMALL(IF(Panel!$J$6:$J$115&lt;&gt;0,ROW(Panel!$J$6:$J$115)-5),ROW(C45)))),"",  INDEX(Panel!$J$6:$J$115,SMALL(IF(Panel!$J$6:$J$115&lt;&gt;0,ROW(Panel!$J$6:$J$115)-5),ROW(C45))))</f>
        <v/>
      </c>
      <c r="D49" s="142"/>
      <c r="E49" s="1590" t="s">
        <v>529</v>
      </c>
      <c r="F49" s="1590" t="s">
        <v>526</v>
      </c>
      <c r="G49" s="607" t="s">
        <v>420</v>
      </c>
      <c r="H49" s="606" t="str">
        <f t="shared" si="7"/>
        <v>Side</v>
      </c>
      <c r="I49" s="606" t="str">
        <f>M49&amp;Y49&amp;IF(OR(BASIC_TOOL!$C$15=1,BASIC_TOOL!$C$15=5),,N49)</f>
        <v>SF30L</v>
      </c>
      <c r="J49" s="607">
        <f t="shared" si="5"/>
        <v>30</v>
      </c>
      <c r="K49" s="606" t="str">
        <f>L49&amp;IF(OR( BASIC_TOOL!$C$15=1,BASIC_TOOL!$C$15=5),"","(I)")</f>
        <v>Side</v>
      </c>
      <c r="L49" s="606" t="s">
        <v>554</v>
      </c>
      <c r="M49" s="607" t="s">
        <v>1301</v>
      </c>
      <c r="N49" s="607" t="s">
        <v>464</v>
      </c>
      <c r="O49" s="607" t="s">
        <v>522</v>
      </c>
      <c r="P49" s="607"/>
      <c r="Q49" s="607"/>
      <c r="R49" s="607" t="s">
        <v>447</v>
      </c>
      <c r="S49" s="607" t="s">
        <v>448</v>
      </c>
      <c r="T49" s="607" t="s">
        <v>449</v>
      </c>
      <c r="U49" s="607" t="s">
        <v>450</v>
      </c>
      <c r="V49" s="607" t="s">
        <v>451</v>
      </c>
      <c r="W49" s="607" t="s">
        <v>452</v>
      </c>
      <c r="X49" s="603">
        <f>(W_C+L1_C+L2_C+L3_C+L4_C)*2-X50-X51-X52-X53</f>
        <v>30</v>
      </c>
      <c r="Y49" s="607" t="str">
        <f t="shared" si="3"/>
        <v>30L</v>
      </c>
      <c r="Z49" s="600">
        <v>45</v>
      </c>
      <c r="AA49" s="616">
        <v>4.2</v>
      </c>
      <c r="AB49" s="615">
        <f t="shared" si="0"/>
        <v>126</v>
      </c>
    </row>
    <row r="50" spans="1:28" s="143" customFormat="1" ht="17.25" customHeight="1">
      <c r="A50" s="656" t="str">
        <f t="array" ref="A50">IF( ISERROR(INDEX(Panel!$H$6:$H$115,SMALL(IF(Panel!$J$6:$J$115&lt;&gt;0,ROW(Panel!$J$6:$J$115)-5),ROW(A46)))),"",INDEX(Panel!$H$6:$H$115,SMALL(IF(Panel!$J$6:$J$115&lt;&gt;0,ROW(Panel!$J$6:$J$115)-5),ROW(A46))))</f>
        <v/>
      </c>
      <c r="B50" s="656" t="str">
        <f t="array" ref="B50">IF(ISERROR(INDEX(Panel!$I$6:$I$115,SMALL(IF(Panel!$J$6:$J$115&lt;&gt;0,ROW(Panel!$J$6:$J$115)-5),ROW(B46)))),"",INDEX(Panel!$I$6:$I$115,SMALL(IF(Panel!$J$6:$J$115&lt;&gt;0,ROW(Panel!$J$6:$J$115)-5),ROW(B46))))</f>
        <v/>
      </c>
      <c r="C50" s="657" t="str">
        <f t="array" ref="C50">IF( ISERROR(INDEX(Panel!$J$6:$J$115,SMALL(IF(Panel!$J$6:$J$115&lt;&gt;0,ROW(Panel!$J$6:$J$115)-5),ROW(C46)))),"",  INDEX(Panel!$J$6:$J$115,SMALL(IF(Panel!$J$6:$J$115&lt;&gt;0,ROW(Panel!$J$6:$J$115)-5),ROW(C46))))</f>
        <v/>
      </c>
      <c r="D50" s="142"/>
      <c r="E50" s="1590"/>
      <c r="F50" s="1590"/>
      <c r="G50" s="607" t="s">
        <v>420</v>
      </c>
      <c r="H50" s="606" t="str">
        <f t="shared" si="7"/>
        <v>Side_ParLT</v>
      </c>
      <c r="I50" s="606" t="str">
        <f>M50&amp;Y50&amp;IF(OR(BASIC_TOOL!$C$15=1,BASIC_TOOL!$C$15=5),,N50)</f>
        <v>SF30LL</v>
      </c>
      <c r="J50" s="607">
        <f t="shared" si="5"/>
        <v>0</v>
      </c>
      <c r="K50" s="606" t="str">
        <f>L50&amp;IF(OR( BASIC_TOOL!$C$15=1,BASIC_TOOL!$C$15=5),"","(I)")</f>
        <v>Side_ParLT</v>
      </c>
      <c r="L50" s="606" t="s">
        <v>1263</v>
      </c>
      <c r="M50" s="607" t="s">
        <v>1301</v>
      </c>
      <c r="N50" s="607" t="s">
        <v>464</v>
      </c>
      <c r="O50" s="607" t="s">
        <v>546</v>
      </c>
      <c r="P50" s="607"/>
      <c r="Q50" s="607"/>
      <c r="R50" s="607" t="s">
        <v>530</v>
      </c>
      <c r="S50" s="607" t="s">
        <v>532</v>
      </c>
      <c r="T50" s="607" t="s">
        <v>534</v>
      </c>
      <c r="U50" s="607" t="s">
        <v>536</v>
      </c>
      <c r="V50" s="607" t="s">
        <v>538</v>
      </c>
      <c r="W50" s="607" t="s">
        <v>540</v>
      </c>
      <c r="X50" s="603">
        <f>N_PA</f>
        <v>0</v>
      </c>
      <c r="Y50" s="607" t="str">
        <f t="shared" si="3"/>
        <v>30LL</v>
      </c>
      <c r="Z50" s="600">
        <v>46</v>
      </c>
      <c r="AA50" s="616">
        <v>4.2</v>
      </c>
      <c r="AB50" s="615">
        <f t="shared" si="0"/>
        <v>0</v>
      </c>
    </row>
    <row r="51" spans="1:28" s="143" customFormat="1" ht="16.899999999999999" customHeight="1">
      <c r="A51" s="656" t="str">
        <f t="array" ref="A51">IF( ISERROR(INDEX(Panel!$H$6:$H$115,SMALL(IF(Panel!$J$6:$J$115&lt;&gt;0,ROW(Panel!$J$6:$J$115)-5),ROW(A47)))),"",INDEX(Panel!$H$6:$H$115,SMALL(IF(Panel!$J$6:$J$115&lt;&gt;0,ROW(Panel!$J$6:$J$115)-5),ROW(A47))))</f>
        <v/>
      </c>
      <c r="B51" s="656" t="str">
        <f t="array" ref="B51">IF(ISERROR(INDEX(Panel!$I$6:$I$115,SMALL(IF(Panel!$J$6:$J$115&lt;&gt;0,ROW(Panel!$J$6:$J$115)-5),ROW(B47)))),"",INDEX(Panel!$I$6:$I$115,SMALL(IF(Panel!$J$6:$J$115&lt;&gt;0,ROW(Panel!$J$6:$J$115)-5),ROW(B47))))</f>
        <v/>
      </c>
      <c r="C51" s="657" t="str">
        <f t="array" ref="C51">IF( ISERROR(INDEX(Panel!$J$6:$J$115,SMALL(IF(Panel!$J$6:$J$115&lt;&gt;0,ROW(Panel!$J$6:$J$115)-5),ROW(C47)))),"",  INDEX(Panel!$J$6:$J$115,SMALL(IF(Panel!$J$6:$J$115&lt;&gt;0,ROW(Panel!$J$6:$J$115)-5),ROW(C47))))</f>
        <v/>
      </c>
      <c r="D51" s="142"/>
      <c r="E51" s="1590"/>
      <c r="F51" s="1590"/>
      <c r="G51" s="607" t="s">
        <v>420</v>
      </c>
      <c r="H51" s="606" t="str">
        <f t="shared" si="7"/>
        <v>Side_ParRT</v>
      </c>
      <c r="I51" s="606" t="str">
        <f>M51&amp;Y51&amp;IF(OR(BASIC_TOOL!$C$15=1,BASIC_TOOL!$C$15=5),,N51)</f>
        <v>SF30LR</v>
      </c>
      <c r="J51" s="607">
        <f t="shared" si="5"/>
        <v>0</v>
      </c>
      <c r="K51" s="606" t="str">
        <f>L51&amp;IF(OR( BASIC_TOOL!$C$15=1,BASIC_TOOL!$C$15=5),"","(I)")</f>
        <v>Side_ParRT</v>
      </c>
      <c r="L51" s="606" t="s">
        <v>1264</v>
      </c>
      <c r="M51" s="607" t="s">
        <v>1301</v>
      </c>
      <c r="N51" s="607" t="s">
        <v>464</v>
      </c>
      <c r="O51" s="607" t="s">
        <v>547</v>
      </c>
      <c r="P51" s="607"/>
      <c r="Q51" s="607"/>
      <c r="R51" s="607" t="s">
        <v>531</v>
      </c>
      <c r="S51" s="607" t="s">
        <v>533</v>
      </c>
      <c r="T51" s="607" t="s">
        <v>535</v>
      </c>
      <c r="U51" s="607" t="s">
        <v>537</v>
      </c>
      <c r="V51" s="607" t="s">
        <v>539</v>
      </c>
      <c r="W51" s="607" t="s">
        <v>541</v>
      </c>
      <c r="X51" s="603">
        <f>N_PA</f>
        <v>0</v>
      </c>
      <c r="Y51" s="607" t="str">
        <f t="shared" si="3"/>
        <v>30LR</v>
      </c>
      <c r="Z51" s="600">
        <v>47</v>
      </c>
      <c r="AA51" s="616">
        <v>4.2</v>
      </c>
      <c r="AB51" s="615">
        <f t="shared" si="0"/>
        <v>0</v>
      </c>
    </row>
    <row r="52" spans="1:28" s="143" customFormat="1" ht="17.25" customHeight="1">
      <c r="A52" s="656" t="str">
        <f t="array" ref="A52">IF( ISERROR(INDEX(Panel!$H$6:$H$115,SMALL(IF(Panel!$J$6:$J$115&lt;&gt;0,ROW(Panel!$J$6:$J$115)-5),ROW(A48)))),"",INDEX(Panel!$H$6:$H$115,SMALL(IF(Panel!$J$6:$J$115&lt;&gt;0,ROW(Panel!$J$6:$J$115)-5),ROW(A48))))</f>
        <v/>
      </c>
      <c r="B52" s="656" t="str">
        <f t="array" ref="B52">IF(ISERROR(INDEX(Panel!$I$6:$I$115,SMALL(IF(Panel!$J$6:$J$115&lt;&gt;0,ROW(Panel!$J$6:$J$115)-5),ROW(B48)))),"",INDEX(Panel!$I$6:$I$115,SMALL(IF(Panel!$J$6:$J$115&lt;&gt;0,ROW(Panel!$J$6:$J$115)-5),ROW(B48))))</f>
        <v/>
      </c>
      <c r="C52" s="657" t="str">
        <f t="array" ref="C52">IF( ISERROR(INDEX(Panel!$J$6:$J$115,SMALL(IF(Panel!$J$6:$J$115&lt;&gt;0,ROW(Panel!$J$6:$J$115)-5),ROW(C48)))),"",  INDEX(Panel!$J$6:$J$115,SMALL(IF(Panel!$J$6:$J$115&lt;&gt;0,ROW(Panel!$J$6:$J$115)-5),ROW(C48))))</f>
        <v/>
      </c>
      <c r="D52" s="142"/>
      <c r="E52" s="1590"/>
      <c r="F52" s="1590" t="s">
        <v>1525</v>
      </c>
      <c r="G52" s="607" t="s">
        <v>1521</v>
      </c>
      <c r="H52" s="606" t="str">
        <f t="shared" ref="H52" si="8">K52</f>
        <v>Side NOZ</v>
      </c>
      <c r="I52" s="606" t="str">
        <f>M52&amp;Y52&amp;IF(OR(BASIC_TOOL!$C$15=1,BASIC_TOOL!$C$15=5),,N52)</f>
        <v>SN30L</v>
      </c>
      <c r="J52" s="607">
        <f t="shared" ref="J52" si="9">IF(OR(X52=0,Y52=0),0,X52)</f>
        <v>0</v>
      </c>
      <c r="K52" s="606" t="str">
        <f>L52&amp;IF(OR( BASIC_TOOL!$C$15=1,BASIC_TOOL!$C$15=5),"","(I)")</f>
        <v>Side NOZ</v>
      </c>
      <c r="L52" s="606" t="s">
        <v>1523</v>
      </c>
      <c r="M52" s="607" t="s">
        <v>1307</v>
      </c>
      <c r="N52" s="607" t="s">
        <v>464</v>
      </c>
      <c r="O52" s="607" t="s">
        <v>522</v>
      </c>
      <c r="P52" s="607"/>
      <c r="Q52" s="607"/>
      <c r="R52" s="607" t="s">
        <v>447</v>
      </c>
      <c r="S52" s="607" t="s">
        <v>448</v>
      </c>
      <c r="T52" s="607" t="s">
        <v>449</v>
      </c>
      <c r="U52" s="607" t="s">
        <v>450</v>
      </c>
      <c r="V52" s="607" t="s">
        <v>451</v>
      </c>
      <c r="W52" s="607" t="s">
        <v>452</v>
      </c>
      <c r="X52" s="603">
        <f>IF(H_O&gt;2,BASIC_TOOL!B18,0)</f>
        <v>0</v>
      </c>
      <c r="Y52" s="607" t="str">
        <f t="shared" si="3"/>
        <v>30L</v>
      </c>
      <c r="Z52" s="600">
        <v>48</v>
      </c>
      <c r="AA52" s="616">
        <v>3.1</v>
      </c>
      <c r="AB52" s="615">
        <f t="shared" si="0"/>
        <v>0</v>
      </c>
    </row>
    <row r="53" spans="1:28" s="143" customFormat="1" ht="17.25" customHeight="1">
      <c r="A53" s="656" t="str">
        <f t="array" ref="A53">IF( ISERROR(INDEX(Panel!$H$6:$H$115,SMALL(IF(Panel!$J$6:$J$115&lt;&gt;0,ROW(Panel!$J$6:$J$115)-5),ROW(A49)))),"",INDEX(Panel!$H$6:$H$115,SMALL(IF(Panel!$J$6:$J$115&lt;&gt;0,ROW(Panel!$J$6:$J$115)-5),ROW(A49))))</f>
        <v/>
      </c>
      <c r="B53" s="656" t="str">
        <f t="array" ref="B53">IF(ISERROR(INDEX(Panel!$I$6:$I$115,SMALL(IF(Panel!$J$6:$J$115&lt;&gt;0,ROW(Panel!$J$6:$J$115)-5),ROW(B49)))),"",INDEX(Panel!$I$6:$I$115,SMALL(IF(Panel!$J$6:$J$115&lt;&gt;0,ROW(Panel!$J$6:$J$115)-5),ROW(B49))))</f>
        <v/>
      </c>
      <c r="C53" s="657" t="str">
        <f t="array" ref="C53">IF( ISERROR(INDEX(Panel!$J$6:$J$115,SMALL(IF(Panel!$J$6:$J$115&lt;&gt;0,ROW(Panel!$J$6:$J$115)-5),ROW(C49)))),"",  INDEX(Panel!$J$6:$J$115,SMALL(IF(Panel!$J$6:$J$115&lt;&gt;0,ROW(Panel!$J$6:$J$115)-5),ROW(C49))))</f>
        <v/>
      </c>
      <c r="D53" s="142"/>
      <c r="E53" s="1590"/>
      <c r="F53" s="1590"/>
      <c r="G53" s="607" t="s">
        <v>1524</v>
      </c>
      <c r="H53" s="606" t="str">
        <f t="shared" ref="H53" si="10">K53</f>
        <v>Side NOZ_PAR</v>
      </c>
      <c r="I53" s="606" t="str">
        <f>M53&amp;Y53&amp;IF(OR(BASIC_TOOL!$C$15=1,BASIC_TOOL!$C$15=5),,N53)</f>
        <v>SN30LR</v>
      </c>
      <c r="J53" s="607">
        <f t="shared" ref="J53" si="11">IF(OR(X53=0,Y53=0),0,X53)</f>
        <v>0</v>
      </c>
      <c r="K53" s="606" t="str">
        <f>L53&amp;IF(OR( BASIC_TOOL!$C$15=1,BASIC_TOOL!$C$15=5),"","(I)")</f>
        <v>Side NOZ_PAR</v>
      </c>
      <c r="L53" s="606" t="s">
        <v>1522</v>
      </c>
      <c r="M53" s="607" t="s">
        <v>1307</v>
      </c>
      <c r="N53" s="607" t="s">
        <v>464</v>
      </c>
      <c r="O53" s="607" t="s">
        <v>522</v>
      </c>
      <c r="P53" s="607"/>
      <c r="Q53" s="607"/>
      <c r="R53" s="607" t="s">
        <v>531</v>
      </c>
      <c r="S53" s="607" t="s">
        <v>533</v>
      </c>
      <c r="T53" s="607" t="s">
        <v>535</v>
      </c>
      <c r="U53" s="607" t="s">
        <v>537</v>
      </c>
      <c r="V53" s="607" t="s">
        <v>539</v>
      </c>
      <c r="W53" s="607" t="s">
        <v>541</v>
      </c>
      <c r="X53" s="603">
        <f>IF(H_O&gt;2,BASIC_TOOL!C18*N_PA,0)</f>
        <v>0</v>
      </c>
      <c r="Y53" s="607" t="str">
        <f t="shared" si="3"/>
        <v>30LR</v>
      </c>
      <c r="Z53" s="600">
        <v>49</v>
      </c>
      <c r="AA53" s="616"/>
      <c r="AB53" s="615">
        <f t="shared" si="0"/>
        <v>0</v>
      </c>
    </row>
    <row r="54" spans="1:28" s="143" customFormat="1" ht="17.25" customHeight="1">
      <c r="A54" s="656" t="str">
        <f t="array" ref="A54">IF( ISERROR(INDEX(Panel!$H$6:$H$115,SMALL(IF(Panel!$J$6:$J$115&lt;&gt;0,ROW(Panel!$J$6:$J$115)-5),ROW(A50)))),"",INDEX(Panel!$H$6:$H$115,SMALL(IF(Panel!$J$6:$J$115&lt;&gt;0,ROW(Panel!$J$6:$J$115)-5),ROW(A50))))</f>
        <v/>
      </c>
      <c r="B54" s="656" t="str">
        <f t="array" ref="B54">IF(ISERROR(INDEX(Panel!$I$6:$I$115,SMALL(IF(Panel!$J$6:$J$115&lt;&gt;0,ROW(Panel!$J$6:$J$115)-5),ROW(B50)))),"",INDEX(Panel!$I$6:$I$115,SMALL(IF(Panel!$J$6:$J$115&lt;&gt;0,ROW(Panel!$J$6:$J$115)-5),ROW(B50))))</f>
        <v/>
      </c>
      <c r="C54" s="657" t="str">
        <f t="array" ref="C54">IF( ISERROR(INDEX(Panel!$J$6:$J$115,SMALL(IF(Panel!$J$6:$J$115&lt;&gt;0,ROW(Panel!$J$6:$J$115)-5),ROW(C50)))),"",  INDEX(Panel!$J$6:$J$115,SMALL(IF(Panel!$J$6:$J$115&lt;&gt;0,ROW(Panel!$J$6:$J$115)-5),ROW(C50))))</f>
        <v/>
      </c>
      <c r="D54" s="142"/>
      <c r="E54" s="1590"/>
      <c r="F54" s="610" t="s">
        <v>545</v>
      </c>
      <c r="G54" s="607" t="s">
        <v>505</v>
      </c>
      <c r="H54" s="606" t="str">
        <f t="shared" ref="H54" si="12">K54</f>
        <v>HSide</v>
      </c>
      <c r="I54" s="606" t="str">
        <f>M54&amp;Y54&amp;IF(OR(BASIC_TOOL!$C$15=1,BASIC_TOOL!$C$15=5),,N54)</f>
        <v>SH30L</v>
      </c>
      <c r="J54" s="607">
        <f t="shared" ref="J54" si="13">IF(OR(X54=0,Y54=0),0,X54)</f>
        <v>0</v>
      </c>
      <c r="K54" s="606" t="str">
        <f>L54&amp;IF(OR( BASIC_TOOL!$C$15=1,BASIC_TOOL!$C$15=5),"","(I)")</f>
        <v>HSide</v>
      </c>
      <c r="L54" s="606" t="s">
        <v>557</v>
      </c>
      <c r="M54" s="607" t="s">
        <v>1302</v>
      </c>
      <c r="N54" s="607" t="s">
        <v>464</v>
      </c>
      <c r="O54" s="607" t="s">
        <v>522</v>
      </c>
      <c r="P54" s="607"/>
      <c r="Q54" s="607"/>
      <c r="R54" s="607" t="s">
        <v>447</v>
      </c>
      <c r="S54" s="607" t="s">
        <v>448</v>
      </c>
      <c r="T54" s="607" t="s">
        <v>449</v>
      </c>
      <c r="U54" s="607" t="s">
        <v>450</v>
      </c>
      <c r="V54" s="607" t="s">
        <v>451</v>
      </c>
      <c r="W54" s="607" t="s">
        <v>452</v>
      </c>
      <c r="X54" s="609">
        <f>(W_F+L1_F+L2_F+L3_F+L4_F)*2</f>
        <v>0</v>
      </c>
      <c r="Y54" s="607" t="str">
        <f t="shared" si="3"/>
        <v>30L</v>
      </c>
      <c r="Z54" s="600">
        <v>50</v>
      </c>
      <c r="AA54" s="616">
        <f>4</f>
        <v>4</v>
      </c>
      <c r="AB54" s="615">
        <f t="shared" si="0"/>
        <v>0</v>
      </c>
    </row>
    <row r="55" spans="1:28" s="143" customFormat="1" ht="17.25" customHeight="1">
      <c r="A55" s="656" t="str">
        <f t="array" ref="A55">IF( ISERROR(INDEX(Panel!$H$6:$H$115,SMALL(IF(Panel!$J$6:$J$115&lt;&gt;0,ROW(Panel!$J$6:$J$115)-5),ROW(A51)))),"",INDEX(Panel!$H$6:$H$115,SMALL(IF(Panel!$J$6:$J$115&lt;&gt;0,ROW(Panel!$J$6:$J$115)-5),ROW(A51))))</f>
        <v/>
      </c>
      <c r="B55" s="656" t="str">
        <f t="array" ref="B55">IF(ISERROR(INDEX(Panel!$I$6:$I$115,SMALL(IF(Panel!$J$6:$J$115&lt;&gt;0,ROW(Panel!$J$6:$J$115)-5),ROW(B51)))),"",INDEX(Panel!$I$6:$I$115,SMALL(IF(Panel!$J$6:$J$115&lt;&gt;0,ROW(Panel!$J$6:$J$115)-5),ROW(B51))))</f>
        <v/>
      </c>
      <c r="C55" s="657" t="str">
        <f t="array" ref="C55">IF( ISERROR(INDEX(Panel!$J$6:$J$115,SMALL(IF(Panel!$J$6:$J$115&lt;&gt;0,ROW(Panel!$J$6:$J$115)-5),ROW(C51)))),"",  INDEX(Panel!$J$6:$J$115,SMALL(IF(Panel!$J$6:$J$115&lt;&gt;0,ROW(Panel!$J$6:$J$115)-5),ROW(C51))))</f>
        <v/>
      </c>
      <c r="D55" s="142"/>
      <c r="E55" s="610"/>
      <c r="F55" s="827"/>
      <c r="G55" s="827"/>
      <c r="H55" s="606"/>
      <c r="I55" s="606"/>
      <c r="J55" s="607"/>
      <c r="K55" s="606"/>
      <c r="L55" s="606"/>
      <c r="M55" s="607"/>
      <c r="N55" s="607"/>
      <c r="O55" s="607"/>
      <c r="P55" s="607"/>
      <c r="Q55" s="607"/>
      <c r="R55" s="607"/>
      <c r="S55" s="607"/>
      <c r="T55" s="607"/>
      <c r="U55" s="607"/>
      <c r="V55" s="607"/>
      <c r="W55" s="607"/>
      <c r="X55" s="603"/>
      <c r="Y55" s="607"/>
      <c r="Z55" s="600">
        <v>51</v>
      </c>
      <c r="AA55" s="616"/>
      <c r="AB55" s="615">
        <f t="shared" si="0"/>
        <v>0</v>
      </c>
    </row>
    <row r="56" spans="1:28" s="143" customFormat="1" ht="17.25" customHeight="1">
      <c r="A56" s="656" t="str">
        <f t="array" ref="A56">IF( ISERROR(INDEX(Panel!$H$6:$H$115,SMALL(IF(Panel!$J$6:$J$115&lt;&gt;0,ROW(Panel!$J$6:$J$115)-5),ROW(A52)))),"",INDEX(Panel!$H$6:$H$115,SMALL(IF(Panel!$J$6:$J$115&lt;&gt;0,ROW(Panel!$J$6:$J$115)-5),ROW(A52))))</f>
        <v/>
      </c>
      <c r="B56" s="656" t="str">
        <f t="array" ref="B56">IF(ISERROR(INDEX(Panel!$I$6:$I$115,SMALL(IF(Panel!$J$6:$J$115&lt;&gt;0,ROW(Panel!$J$6:$J$115)-5),ROW(B52)))),"",INDEX(Panel!$I$6:$I$115,SMALL(IF(Panel!$J$6:$J$115&lt;&gt;0,ROW(Panel!$J$6:$J$115)-5),ROW(B52))))</f>
        <v/>
      </c>
      <c r="C56" s="657" t="str">
        <f t="array" ref="C56">IF( ISERROR(INDEX(Panel!$J$6:$J$115,SMALL(IF(Panel!$J$6:$J$115&lt;&gt;0,ROW(Panel!$J$6:$J$115)-5),ROW(C52)))),"",  INDEX(Panel!$J$6:$J$115,SMALL(IF(Panel!$J$6:$J$115&lt;&gt;0,ROW(Panel!$J$6:$J$115)-5),ROW(C52))))</f>
        <v/>
      </c>
      <c r="D56" s="142"/>
      <c r="E56" s="610" t="s">
        <v>421</v>
      </c>
      <c r="F56" s="827" t="s">
        <v>413</v>
      </c>
      <c r="G56" s="827" t="s">
        <v>414</v>
      </c>
      <c r="H56" s="606" t="str">
        <f>K56</f>
        <v>0PAR</v>
      </c>
      <c r="I56" s="606" t="str">
        <f>M56&amp;Y56&amp;IF(OR(BASIC_TOOL!$C$15=1,BASIC_TOOL!$C$15=5),,N56)</f>
        <v>PL0</v>
      </c>
      <c r="J56" s="607">
        <f>IF(OR(X56=0,Y56=0),0,X56)</f>
        <v>0</v>
      </c>
      <c r="K56" s="606" t="str">
        <f>L56&amp;IF(OR( BASIC_TOOL!$C$15=1,BASIC_TOOL!$C$15=5),"","")</f>
        <v>0PAR</v>
      </c>
      <c r="L56" s="606" t="str">
        <f>Y56&amp;"PAR"</f>
        <v>0PAR</v>
      </c>
      <c r="M56" s="607" t="s">
        <v>1304</v>
      </c>
      <c r="N56" s="607"/>
      <c r="O56" s="607"/>
      <c r="P56" s="608" t="s">
        <v>1317</v>
      </c>
      <c r="Q56" s="607"/>
      <c r="R56" s="607" t="s">
        <v>1318</v>
      </c>
      <c r="S56" s="607"/>
      <c r="T56" s="607" t="s">
        <v>1318</v>
      </c>
      <c r="U56" s="607"/>
      <c r="V56" s="607" t="s">
        <v>1318</v>
      </c>
      <c r="W56" s="607"/>
      <c r="X56" s="603">
        <f>IF(BASIC_TOOL!$E$15=1,0,(W_C)*N_PA)</f>
        <v>0</v>
      </c>
      <c r="Y56" s="607">
        <f t="shared" ref="Y56:Y87" si="14">HLOOKUP(H_O,$O$5:$W$115,Z56,FALSE)</f>
        <v>0</v>
      </c>
      <c r="Z56" s="600">
        <v>52</v>
      </c>
      <c r="AA56" s="616">
        <v>4.0999999999999996</v>
      </c>
      <c r="AB56" s="615">
        <f t="shared" si="0"/>
        <v>0</v>
      </c>
    </row>
    <row r="57" spans="1:28" s="143" customFormat="1" ht="17.25" customHeight="1">
      <c r="A57" s="656" t="str">
        <f t="array" ref="A57">IF( ISERROR(INDEX(Panel!$H$6:$H$115,SMALL(IF(Panel!$J$6:$J$115&lt;&gt;0,ROW(Panel!$J$6:$J$115)-5),ROW(A53)))),"",INDEX(Panel!$H$6:$H$115,SMALL(IF(Panel!$J$6:$J$115&lt;&gt;0,ROW(Panel!$J$6:$J$115)-5),ROW(A53))))</f>
        <v/>
      </c>
      <c r="B57" s="656" t="str">
        <f t="array" ref="B57">IF(ISERROR(INDEX(Panel!$I$6:$I$115,SMALL(IF(Panel!$J$6:$J$115&lt;&gt;0,ROW(Panel!$J$6:$J$115)-5),ROW(B53)))),"",INDEX(Panel!$I$6:$I$115,SMALL(IF(Panel!$J$6:$J$115&lt;&gt;0,ROW(Panel!$J$6:$J$115)-5),ROW(B53))))</f>
        <v/>
      </c>
      <c r="C57" s="657" t="str">
        <f t="array" ref="C57">IF( ISERROR(INDEX(Panel!$J$6:$J$115,SMALL(IF(Panel!$J$6:$J$115&lt;&gt;0,ROW(Panel!$J$6:$J$115)-5),ROW(C53)))),"",  INDEX(Panel!$J$6:$J$115,SMALL(IF(Panel!$J$6:$J$115&lt;&gt;0,ROW(Panel!$J$6:$J$115)-5),ROW(C53))))</f>
        <v/>
      </c>
      <c r="D57" s="142"/>
      <c r="E57" s="610"/>
      <c r="F57" s="827"/>
      <c r="G57" s="827"/>
      <c r="H57" s="606" t="str">
        <f>K57</f>
        <v>HPAR_VERT</v>
      </c>
      <c r="I57" s="606" t="str">
        <f>M57&amp;Y57&amp;IF(OR(BASIC_TOOL!$C$15=1,BASIC_TOOL!$C$15=5),,N57)</f>
        <v>SH0</v>
      </c>
      <c r="J57" s="607">
        <f>IF(OR(X57=0,Y57=0),0,X57)</f>
        <v>0</v>
      </c>
      <c r="K57" s="606" t="str">
        <f>L57&amp;IF(OR( BASIC_TOOL!$C$15=1,BASIC_TOOL!$C$15=5),"","")</f>
        <v>HPAR_VERT</v>
      </c>
      <c r="L57" s="606" t="s">
        <v>560</v>
      </c>
      <c r="M57" s="607" t="s">
        <v>1302</v>
      </c>
      <c r="N57" s="607"/>
      <c r="O57" s="607"/>
      <c r="P57" s="607" t="s">
        <v>479</v>
      </c>
      <c r="Q57" s="607"/>
      <c r="R57" s="607" t="s">
        <v>479</v>
      </c>
      <c r="S57" s="607"/>
      <c r="T57" s="607" t="s">
        <v>479</v>
      </c>
      <c r="U57" s="607"/>
      <c r="V57" s="607" t="s">
        <v>479</v>
      </c>
      <c r="W57" s="607"/>
      <c r="X57" s="603">
        <f>IF(BASIC_TOOL!$E$15=1,0,(W_F)*N_PA)</f>
        <v>0</v>
      </c>
      <c r="Y57" s="607">
        <f t="shared" si="14"/>
        <v>0</v>
      </c>
      <c r="Z57" s="600">
        <v>53</v>
      </c>
      <c r="AA57" s="616">
        <v>2.1</v>
      </c>
      <c r="AB57" s="615">
        <f t="shared" si="0"/>
        <v>0</v>
      </c>
    </row>
    <row r="58" spans="1:28" s="143" customFormat="1" ht="28.9" customHeight="1">
      <c r="A58" s="656" t="str">
        <f t="array" ref="A58">IF( ISERROR(INDEX(Panel!$H$6:$H$115,SMALL(IF(Panel!$J$6:$J$115&lt;&gt;0,ROW(Panel!$J$6:$J$115)-5),ROW(A54)))),"",INDEX(Panel!$H$6:$H$115,SMALL(IF(Panel!$J$6:$J$115&lt;&gt;0,ROW(Panel!$J$6:$J$115)-5),ROW(A54))))</f>
        <v/>
      </c>
      <c r="B58" s="656" t="str">
        <f t="array" ref="B58">IF(ISERROR(INDEX(Panel!$I$6:$I$115,SMALL(IF(Panel!$J$6:$J$115&lt;&gt;0,ROW(Panel!$J$6:$J$115)-5),ROW(B54)))),"",INDEX(Panel!$I$6:$I$115,SMALL(IF(Panel!$J$6:$J$115&lt;&gt;0,ROW(Panel!$J$6:$J$115)-5),ROW(B54))))</f>
        <v/>
      </c>
      <c r="C58" s="657" t="str">
        <f t="array" ref="C58">IF( ISERROR(INDEX(Panel!$J$6:$J$115,SMALL(IF(Panel!$J$6:$J$115&lt;&gt;0,ROW(Panel!$J$6:$J$115)-5),ROW(C54)))),"",  INDEX(Panel!$J$6:$J$115,SMALL(IF(Panel!$J$6:$J$115&lt;&gt;0,ROW(Panel!$J$6:$J$115)-5),ROW(C54))))</f>
        <v/>
      </c>
      <c r="D58" s="142"/>
      <c r="E58" s="610"/>
      <c r="F58" s="827"/>
      <c r="G58" s="827"/>
      <c r="H58" s="606" t="str">
        <f>K58</f>
        <v>QPAR</v>
      </c>
      <c r="I58" s="606" t="str">
        <f>M58&amp;Y58&amp;IF(OR(BASIC_TOOL!$C$15=1,BASIC_TOOL!$C$15=5),,N58)</f>
        <v>PQ0</v>
      </c>
      <c r="J58" s="607">
        <f>IF(OR(X58=0,Y58=0),0,X58)</f>
        <v>0</v>
      </c>
      <c r="K58" s="606" t="str">
        <f>L58&amp;IF(OR( BASIC_TOOL!$C$15=1,BASIC_TOOL!$C$15=5),"","")</f>
        <v>QPAR</v>
      </c>
      <c r="L58" s="606" t="s">
        <v>561</v>
      </c>
      <c r="M58" s="607" t="s">
        <v>1313</v>
      </c>
      <c r="N58" s="607"/>
      <c r="O58" s="607"/>
      <c r="P58" s="608" t="s">
        <v>1319</v>
      </c>
      <c r="Q58" s="607"/>
      <c r="R58" s="608" t="s">
        <v>1319</v>
      </c>
      <c r="S58" s="607"/>
      <c r="T58" s="608" t="s">
        <v>1319</v>
      </c>
      <c r="U58" s="607"/>
      <c r="V58" s="608" t="s">
        <v>1319</v>
      </c>
      <c r="W58" s="607"/>
      <c r="X58" s="603">
        <f>IF(BASIC_TOOL!$E$15=1,0,W_F*OR(H_F)*N_PA)</f>
        <v>0</v>
      </c>
      <c r="Y58" s="607">
        <f t="shared" si="14"/>
        <v>0</v>
      </c>
      <c r="Z58" s="600">
        <v>54</v>
      </c>
      <c r="AA58" s="616">
        <v>3.1</v>
      </c>
      <c r="AB58" s="615">
        <f t="shared" si="0"/>
        <v>0</v>
      </c>
    </row>
    <row r="59" spans="1:28" s="143" customFormat="1" ht="17.25" customHeight="1">
      <c r="A59" s="656" t="str">
        <f t="array" ref="A59">IF( ISERROR(INDEX(Panel!$H$6:$H$115,SMALL(IF(Panel!$J$6:$J$115&lt;&gt;0,ROW(Panel!$J$6:$J$115)-5),ROW(A55)))),"",INDEX(Panel!$H$6:$H$115,SMALL(IF(Panel!$J$6:$J$115&lt;&gt;0,ROW(Panel!$J$6:$J$115)-5),ROW(A55))))</f>
        <v/>
      </c>
      <c r="B59" s="656" t="str">
        <f t="array" ref="B59">IF(ISERROR(INDEX(Panel!$I$6:$I$115,SMALL(IF(Panel!$J$6:$J$115&lt;&gt;0,ROW(Panel!$J$6:$J$115)-5),ROW(B55)))),"",INDEX(Panel!$I$6:$I$115,SMALL(IF(Panel!$J$6:$J$115&lt;&gt;0,ROW(Panel!$J$6:$J$115)-5),ROW(B55))))</f>
        <v/>
      </c>
      <c r="C59" s="657" t="str">
        <f t="array" ref="C59">IF( ISERROR(INDEX(Panel!$J$6:$J$115,SMALL(IF(Panel!$J$6:$J$115&lt;&gt;0,ROW(Panel!$J$6:$J$115)-5),ROW(C55)))),"",  INDEX(Panel!$J$6:$J$115,SMALL(IF(Panel!$J$6:$J$115&lt;&gt;0,ROW(Panel!$J$6:$J$115)-5),ROW(C55))))</f>
        <v/>
      </c>
      <c r="D59" s="142"/>
      <c r="E59" s="610"/>
      <c r="F59" s="827"/>
      <c r="G59" s="607"/>
      <c r="H59" s="606"/>
      <c r="I59" s="606"/>
      <c r="J59" s="607"/>
      <c r="K59" s="606"/>
      <c r="L59" s="606"/>
      <c r="M59" s="607"/>
      <c r="N59" s="607"/>
      <c r="O59" s="607"/>
      <c r="P59" s="608"/>
      <c r="Q59" s="607"/>
      <c r="R59" s="607"/>
      <c r="S59" s="607"/>
      <c r="T59" s="607"/>
      <c r="U59" s="607"/>
      <c r="V59" s="607"/>
      <c r="W59" s="607"/>
      <c r="X59" s="603"/>
      <c r="Y59" s="607">
        <f t="shared" si="14"/>
        <v>0</v>
      </c>
      <c r="Z59" s="600">
        <v>55</v>
      </c>
      <c r="AA59" s="616">
        <f>0.5*3</f>
        <v>1.5</v>
      </c>
      <c r="AB59" s="615">
        <f t="shared" si="0"/>
        <v>0</v>
      </c>
    </row>
    <row r="60" spans="1:28" s="143" customFormat="1" ht="17.25" customHeight="1">
      <c r="A60" s="658" t="str">
        <f t="array" ref="A60">IF( ISERROR(INDEX(Panel!$H$6:$H$115,SMALL(IF(Panel!$J$6:$J$115&lt;&gt;0,ROW(Panel!$J$6:$J$115)-5),ROW(A56)))),"",INDEX(Panel!$H$6:$H$115,SMALL(IF(Panel!$J$6:$J$115&lt;&gt;0,ROW(Panel!$J$6:$J$115)-5),ROW(A56))))</f>
        <v/>
      </c>
      <c r="B60" s="658" t="str">
        <f t="array" ref="B60">IF(ISERROR(INDEX(Panel!$I$6:$I$115,SMALL(IF(Panel!$J$6:$J$115&lt;&gt;0,ROW(Panel!$J$6:$J$115)-5),ROW(B56)))),"",INDEX(Panel!$I$6:$I$115,SMALL(IF(Panel!$J$6:$J$115&lt;&gt;0,ROW(Panel!$J$6:$J$115)-5),ROW(B56))))</f>
        <v/>
      </c>
      <c r="C60" s="659" t="str">
        <f t="array" ref="C60">IF( ISERROR(INDEX(Panel!$J$6:$J$115,SMALL(IF(Panel!$J$6:$J$115&lt;&gt;0,ROW(Panel!$J$6:$J$115)-5),ROW(C56)))),"",  INDEX(Panel!$J$6:$J$115,SMALL(IF(Panel!$J$6:$J$115&lt;&gt;0,ROW(Panel!$J$6:$J$115)-5),ROW(C56))))</f>
        <v/>
      </c>
      <c r="D60" s="423"/>
      <c r="E60" s="610"/>
      <c r="F60" s="827"/>
      <c r="G60" s="827" t="s">
        <v>415</v>
      </c>
      <c r="H60" s="606" t="str">
        <f t="shared" ref="H60:H80" si="15">K60</f>
        <v>PAR</v>
      </c>
      <c r="I60" s="606" t="str">
        <f>M60&amp;Y60&amp;IF(OR(BASIC_TOOL!$C$15=1,BASIC_TOOL!$C$15=5),,N60)</f>
        <v>PL0</v>
      </c>
      <c r="J60" s="607">
        <f t="shared" ref="J60:J80" si="16">IF(OR(X60=0,Y60=0),0,X60)</f>
        <v>0</v>
      </c>
      <c r="K60" s="606" t="str">
        <f>L60&amp;IF(OR( BASIC_TOOL!$C$15=1,BASIC_TOOL!$C$15=5),"","")</f>
        <v>PAR</v>
      </c>
      <c r="L60" s="606" t="s">
        <v>558</v>
      </c>
      <c r="M60" s="607" t="s">
        <v>1304</v>
      </c>
      <c r="N60" s="607"/>
      <c r="O60" s="607"/>
      <c r="P60" s="608" t="s">
        <v>1317</v>
      </c>
      <c r="Q60" s="607"/>
      <c r="R60" s="607"/>
      <c r="S60" s="607"/>
      <c r="T60" s="607"/>
      <c r="U60" s="607"/>
      <c r="V60" s="607"/>
      <c r="W60" s="607"/>
      <c r="X60" s="603">
        <f>IF(BASIC_TOOL!$E$15=0,0,(W_C)*N_PA)</f>
        <v>0</v>
      </c>
      <c r="Y60" s="607">
        <f t="shared" si="14"/>
        <v>0</v>
      </c>
      <c r="Z60" s="600">
        <v>56</v>
      </c>
      <c r="AA60" s="616">
        <v>5.0999999999999996</v>
      </c>
      <c r="AB60" s="615">
        <f t="shared" si="0"/>
        <v>0</v>
      </c>
    </row>
    <row r="61" spans="1:28" s="143" customFormat="1" ht="17.25" customHeight="1">
      <c r="A61" s="658" t="str">
        <f t="array" ref="A61">IF( ISERROR(INDEX(Panel!$H$6:$H$115,SMALL(IF(Panel!$J$6:$J$115&lt;&gt;0,ROW(Panel!$J$6:$J$115)-5),ROW(A57)))),"",INDEX(Panel!$H$6:$H$115,SMALL(IF(Panel!$J$6:$J$115&lt;&gt;0,ROW(Panel!$J$6:$J$115)-5),ROW(A57))))</f>
        <v/>
      </c>
      <c r="B61" s="658" t="str">
        <f t="array" ref="B61">IF(ISERROR(INDEX(Panel!$I$6:$I$115,SMALL(IF(Panel!$J$6:$J$115&lt;&gt;0,ROW(Panel!$J$6:$J$115)-5),ROW(B57)))),"",INDEX(Panel!$I$6:$I$115,SMALL(IF(Panel!$J$6:$J$115&lt;&gt;0,ROW(Panel!$J$6:$J$115)-5),ROW(B57))))</f>
        <v/>
      </c>
      <c r="C61" s="659" t="str">
        <f t="array" ref="C61">IF( ISERROR(INDEX(Panel!$J$6:$J$115,SMALL(IF(Panel!$J$6:$J$115&lt;&gt;0,ROW(Panel!$J$6:$J$115)-5),ROW(C57)))),"",  INDEX(Panel!$J$6:$J$115,SMALL(IF(Panel!$J$6:$J$115&lt;&gt;0,ROW(Panel!$J$6:$J$115)-5),ROW(C57))))</f>
        <v/>
      </c>
      <c r="D61" s="423"/>
      <c r="E61" s="610"/>
      <c r="F61" s="827"/>
      <c r="G61" s="827"/>
      <c r="H61" s="606" t="str">
        <f t="shared" si="15"/>
        <v>PAR</v>
      </c>
      <c r="I61" s="606" t="str">
        <f>M61&amp;Y61&amp;IF(OR(BASIC_TOOL!$C$15=1,BASIC_TOOL!$C$15=5),,N61)</f>
        <v>PF0</v>
      </c>
      <c r="J61" s="607">
        <f t="shared" si="16"/>
        <v>0</v>
      </c>
      <c r="K61" s="606" t="str">
        <f>L61&amp;IF(OR( BASIC_TOOL!$C$15=1,BASIC_TOOL!$C$15=5),"","")</f>
        <v>PAR</v>
      </c>
      <c r="L61" s="606" t="s">
        <v>558</v>
      </c>
      <c r="M61" s="607" t="s">
        <v>1306</v>
      </c>
      <c r="N61" s="607"/>
      <c r="O61" s="607"/>
      <c r="P61" s="608"/>
      <c r="Q61" s="607"/>
      <c r="R61" s="607" t="s">
        <v>513</v>
      </c>
      <c r="S61" s="607"/>
      <c r="T61" s="607" t="s">
        <v>513</v>
      </c>
      <c r="U61" s="607"/>
      <c r="V61" s="607" t="s">
        <v>513</v>
      </c>
      <c r="W61" s="607"/>
      <c r="X61" s="603">
        <f>IF(BASIC_TOOL!$E$15=0,0,(W_C)*N_PA)</f>
        <v>0</v>
      </c>
      <c r="Y61" s="607">
        <f t="shared" si="14"/>
        <v>0</v>
      </c>
      <c r="Z61" s="600">
        <v>57</v>
      </c>
      <c r="AA61" s="616"/>
      <c r="AB61" s="615">
        <f t="shared" si="0"/>
        <v>0</v>
      </c>
    </row>
    <row r="62" spans="1:28" s="143" customFormat="1" ht="17.25" customHeight="1">
      <c r="A62" s="658" t="str">
        <f t="array" ref="A62">IF( ISERROR(INDEX(Panel!$H$6:$H$115,SMALL(IF(Panel!$J$6:$J$115&lt;&gt;0,ROW(Panel!$J$6:$J$115)-5),ROW(A58)))),"",INDEX(Panel!$H$6:$H$115,SMALL(IF(Panel!$J$6:$J$115&lt;&gt;0,ROW(Panel!$J$6:$J$115)-5),ROW(A58))))</f>
        <v/>
      </c>
      <c r="B62" s="658" t="str">
        <f t="array" ref="B62">IF(ISERROR(INDEX(Panel!$I$6:$I$115,SMALL(IF(Panel!$J$6:$J$115&lt;&gt;0,ROW(Panel!$J$6:$J$115)-5),ROW(B58)))),"",INDEX(Panel!$I$6:$I$115,SMALL(IF(Panel!$J$6:$J$115&lt;&gt;0,ROW(Panel!$J$6:$J$115)-5),ROW(B58))))</f>
        <v/>
      </c>
      <c r="C62" s="659" t="str">
        <f t="array" ref="C62">IF( ISERROR(INDEX(Panel!$J$6:$J$115,SMALL(IF(Panel!$J$6:$J$115&lt;&gt;0,ROW(Panel!$J$6:$J$115)-5),ROW(C58)))),"",  INDEX(Panel!$J$6:$J$115,SMALL(IF(Panel!$J$6:$J$115&lt;&gt;0,ROW(Panel!$J$6:$J$115)-5),ROW(C58))))</f>
        <v/>
      </c>
      <c r="D62" s="423"/>
      <c r="E62" s="610"/>
      <c r="F62" s="827"/>
      <c r="G62" s="827"/>
      <c r="H62" s="822" t="str">
        <f t="shared" si="15"/>
        <v>HPAR_HOR</v>
      </c>
      <c r="I62" s="822" t="str">
        <f>M62&amp;Y62&amp;IF(OR(BASIC_TOOL!$C$15=1,BASIC_TOOL!$C$15=5),,N62)</f>
        <v>SH0</v>
      </c>
      <c r="J62" s="823">
        <f t="shared" si="16"/>
        <v>0</v>
      </c>
      <c r="K62" s="822" t="str">
        <f>L62&amp;IF(OR( BASIC_TOOL!$C$15=1,BASIC_TOOL!$C$15=5),"","")</f>
        <v>HPAR_HOR</v>
      </c>
      <c r="L62" s="822" t="s">
        <v>559</v>
      </c>
      <c r="M62" s="823" t="s">
        <v>1302</v>
      </c>
      <c r="N62" s="823"/>
      <c r="O62" s="607"/>
      <c r="P62" s="607"/>
      <c r="Q62" s="607"/>
      <c r="R62" s="607" t="s">
        <v>479</v>
      </c>
      <c r="S62" s="607"/>
      <c r="T62" s="607" t="s">
        <v>479</v>
      </c>
      <c r="U62" s="607"/>
      <c r="V62" s="607" t="s">
        <v>479</v>
      </c>
      <c r="W62" s="607"/>
      <c r="X62" s="603">
        <f>IF(BASIC_TOOL!$E$15=0,0,(W_C)*N_PA)</f>
        <v>0</v>
      </c>
      <c r="Y62" s="607">
        <f t="shared" si="14"/>
        <v>0</v>
      </c>
      <c r="Z62" s="600">
        <v>58</v>
      </c>
      <c r="AA62" s="616">
        <v>3.1</v>
      </c>
      <c r="AB62" s="615">
        <f t="shared" si="0"/>
        <v>0</v>
      </c>
    </row>
    <row r="63" spans="1:28" s="143" customFormat="1" ht="17.25" customHeight="1">
      <c r="A63" s="658" t="str">
        <f t="array" ref="A63">IF( ISERROR(INDEX(Panel!$H$6:$H$115,SMALL(IF(Panel!$J$6:$J$115&lt;&gt;0,ROW(Panel!$J$6:$J$115)-5),ROW(A59)))),"",INDEX(Panel!$H$6:$H$115,SMALL(IF(Panel!$J$6:$J$115&lt;&gt;0,ROW(Panel!$J$6:$J$115)-5),ROW(A59))))</f>
        <v/>
      </c>
      <c r="B63" s="658" t="str">
        <f t="array" ref="B63">IF(ISERROR(INDEX(Panel!$I$6:$I$115,SMALL(IF(Panel!$J$6:$J$115&lt;&gt;0,ROW(Panel!$J$6:$J$115)-5),ROW(B59)))),"",INDEX(Panel!$I$6:$I$115,SMALL(IF(Panel!$J$6:$J$115&lt;&gt;0,ROW(Panel!$J$6:$J$115)-5),ROW(B59))))</f>
        <v/>
      </c>
      <c r="C63" s="659" t="str">
        <f t="array" ref="C63">IF( ISERROR(INDEX(Panel!$J$6:$J$115,SMALL(IF(Panel!$J$6:$J$115&lt;&gt;0,ROW(Panel!$J$6:$J$115)-5),ROW(C59)))),"",  INDEX(Panel!$J$6:$J$115,SMALL(IF(Panel!$J$6:$J$115&lt;&gt;0,ROW(Panel!$J$6:$J$115)-5),ROW(C59))))</f>
        <v/>
      </c>
      <c r="D63" s="423"/>
      <c r="E63" s="610"/>
      <c r="F63" s="827"/>
      <c r="G63" s="607" t="s">
        <v>565</v>
      </c>
      <c r="H63" s="606" t="str">
        <f t="shared" si="15"/>
        <v>HPAR_VERT</v>
      </c>
      <c r="I63" s="606" t="str">
        <f>M63&amp;Y63&amp;IF(OR(BASIC_TOOL!$C$15=1,BASIC_TOOL!$C$15=5),,N63)</f>
        <v>PH0</v>
      </c>
      <c r="J63" s="607">
        <f t="shared" si="16"/>
        <v>0</v>
      </c>
      <c r="K63" s="606" t="str">
        <f>L63&amp;IF(OR( BASIC_TOOL!$C$15=1,BASIC_TOOL!$C$15=5),"","")</f>
        <v>HPAR_VERT</v>
      </c>
      <c r="L63" s="606" t="s">
        <v>560</v>
      </c>
      <c r="M63" s="607" t="s">
        <v>1305</v>
      </c>
      <c r="N63" s="607"/>
      <c r="O63" s="607"/>
      <c r="P63" s="607" t="s">
        <v>479</v>
      </c>
      <c r="Q63" s="607"/>
      <c r="R63" s="607" t="s">
        <v>513</v>
      </c>
      <c r="S63" s="607"/>
      <c r="T63" s="607" t="s">
        <v>513</v>
      </c>
      <c r="U63" s="607"/>
      <c r="V63" s="607" t="s">
        <v>513</v>
      </c>
      <c r="W63" s="607"/>
      <c r="X63" s="603">
        <f>IF(BASIC_TOOL!$E$15=0,0,(W_F)*N_PA)</f>
        <v>0</v>
      </c>
      <c r="Y63" s="607">
        <f t="shared" si="14"/>
        <v>0</v>
      </c>
      <c r="Z63" s="600">
        <v>59</v>
      </c>
      <c r="AA63" s="616">
        <v>4.0999999999999996</v>
      </c>
      <c r="AB63" s="615">
        <f t="shared" si="0"/>
        <v>0</v>
      </c>
    </row>
    <row r="64" spans="1:28" s="143" customFormat="1" ht="17.25" customHeight="1">
      <c r="A64" s="658" t="str">
        <f t="array" ref="A64">IF( ISERROR(INDEX(Panel!$H$6:$H$115,SMALL(IF(Panel!$J$6:$J$115&lt;&gt;0,ROW(Panel!$J$6:$J$115)-5),ROW(A60)))),"",INDEX(Panel!$H$6:$H$115,SMALL(IF(Panel!$J$6:$J$115&lt;&gt;0,ROW(Panel!$J$6:$J$115)-5),ROW(A60))))</f>
        <v/>
      </c>
      <c r="B64" s="658" t="str">
        <f t="array" ref="B64">IF(ISERROR(INDEX(Panel!$I$6:$I$115,SMALL(IF(Panel!$J$6:$J$115&lt;&gt;0,ROW(Panel!$J$6:$J$115)-5),ROW(B60)))),"",INDEX(Panel!$I$6:$I$115,SMALL(IF(Panel!$J$6:$J$115&lt;&gt;0,ROW(Panel!$J$6:$J$115)-5),ROW(B60))))</f>
        <v/>
      </c>
      <c r="C64" s="659" t="str">
        <f t="array" ref="C64">IF( ISERROR(INDEX(Panel!$J$6:$J$115,SMALL(IF(Panel!$J$6:$J$115&lt;&gt;0,ROW(Panel!$J$6:$J$115)-5),ROW(C60)))),"",  INDEX(Panel!$J$6:$J$115,SMALL(IF(Panel!$J$6:$J$115&lt;&gt;0,ROW(Panel!$J$6:$J$115)-5),ROW(C60))))</f>
        <v/>
      </c>
      <c r="D64" s="423"/>
      <c r="E64" s="610"/>
      <c r="F64" s="827"/>
      <c r="G64" s="607"/>
      <c r="H64" s="606" t="str">
        <f t="shared" si="15"/>
        <v>QPAR</v>
      </c>
      <c r="I64" s="606" t="str">
        <f>M64&amp;Y64&amp;IF(OR(BASIC_TOOL!$C$15=1,BASIC_TOOL!$C$15=5),,N64)</f>
        <v>PQ0</v>
      </c>
      <c r="J64" s="607">
        <f t="shared" si="16"/>
        <v>0</v>
      </c>
      <c r="K64" s="606" t="str">
        <f>L64&amp;IF(OR( BASIC_TOOL!$C$15=1,BASIC_TOOL!$C$15=5),"","")</f>
        <v>QPAR</v>
      </c>
      <c r="L64" s="606" t="s">
        <v>561</v>
      </c>
      <c r="M64" s="607" t="s">
        <v>1313</v>
      </c>
      <c r="N64" s="607"/>
      <c r="O64" s="607"/>
      <c r="P64" s="608" t="s">
        <v>1319</v>
      </c>
      <c r="Q64" s="607"/>
      <c r="R64" s="607"/>
      <c r="S64" s="607"/>
      <c r="T64" s="607"/>
      <c r="U64" s="607"/>
      <c r="V64" s="607"/>
      <c r="W64" s="607"/>
      <c r="X64" s="603">
        <f>IF(BASIC_TOOL!$E$15=0,0,W_F*OR(H_F)*N_PA)</f>
        <v>0</v>
      </c>
      <c r="Y64" s="607">
        <f t="shared" si="14"/>
        <v>0</v>
      </c>
      <c r="Z64" s="600">
        <v>60</v>
      </c>
      <c r="AA64" s="616">
        <v>4.0999999999999996</v>
      </c>
      <c r="AB64" s="615">
        <f t="shared" si="0"/>
        <v>0</v>
      </c>
    </row>
    <row r="65" spans="1:28" s="143" customFormat="1" ht="17.25" customHeight="1">
      <c r="A65" s="658" t="str">
        <f t="array" ref="A65">IF( ISERROR(INDEX(Panel!$H$6:$H$115,SMALL(IF(Panel!$J$6:$J$115&lt;&gt;0,ROW(Panel!$J$6:$J$115)-5),ROW(A61)))),"",INDEX(Panel!$H$6:$H$115,SMALL(IF(Panel!$J$6:$J$115&lt;&gt;0,ROW(Panel!$J$6:$J$115)-5),ROW(A61))))</f>
        <v/>
      </c>
      <c r="B65" s="658" t="str">
        <f t="array" ref="B65">IF(ISERROR(INDEX(Panel!$I$6:$I$115,SMALL(IF(Panel!$J$6:$J$115&lt;&gt;0,ROW(Panel!$J$6:$J$115)-5),ROW(B61)))),"",INDEX(Panel!$I$6:$I$115,SMALL(IF(Panel!$J$6:$J$115&lt;&gt;0,ROW(Panel!$J$6:$J$115)-5),ROW(B61))))</f>
        <v/>
      </c>
      <c r="C65" s="659" t="str">
        <f t="array" ref="C65">IF( ISERROR(INDEX(Panel!$J$6:$J$115,SMALL(IF(Panel!$J$6:$J$115&lt;&gt;0,ROW(Panel!$J$6:$J$115)-5),ROW(C61)))),"",  INDEX(Panel!$J$6:$J$115,SMALL(IF(Panel!$J$6:$J$115&lt;&gt;0,ROW(Panel!$J$6:$J$115)-5),ROW(C61))))</f>
        <v/>
      </c>
      <c r="D65" s="423"/>
      <c r="E65" s="610"/>
      <c r="F65" s="827"/>
      <c r="G65" s="827"/>
      <c r="H65" s="606" t="str">
        <f t="shared" si="15"/>
        <v>QPAR</v>
      </c>
      <c r="I65" s="606" t="str">
        <f>M65&amp;Y65&amp;IF(OR(BASIC_TOOL!$C$15=1,BASIC_TOOL!$C$15=5),,N65)</f>
        <v>SQ0</v>
      </c>
      <c r="J65" s="607">
        <f t="shared" si="16"/>
        <v>0</v>
      </c>
      <c r="K65" s="606" t="str">
        <f>L65&amp;IF(OR( BASIC_TOOL!$C$15=1,BASIC_TOOL!$C$15=5),"","")</f>
        <v>QPAR</v>
      </c>
      <c r="L65" s="606" t="s">
        <v>561</v>
      </c>
      <c r="M65" s="607" t="s">
        <v>1303</v>
      </c>
      <c r="N65" s="607"/>
      <c r="O65" s="607"/>
      <c r="P65" s="608"/>
      <c r="Q65" s="607"/>
      <c r="R65" s="607" t="s">
        <v>479</v>
      </c>
      <c r="S65" s="607"/>
      <c r="T65" s="607" t="s">
        <v>479</v>
      </c>
      <c r="U65" s="607"/>
      <c r="V65" s="607" t="s">
        <v>479</v>
      </c>
      <c r="W65" s="607"/>
      <c r="X65" s="603">
        <f>IF(BASIC_TOOL!$E$15=0,0,W_F*OR(H_F)*N_PA)</f>
        <v>0</v>
      </c>
      <c r="Y65" s="607">
        <f t="shared" si="14"/>
        <v>0</v>
      </c>
      <c r="Z65" s="600">
        <v>61</v>
      </c>
      <c r="AA65" s="616">
        <v>3.1</v>
      </c>
      <c r="AB65" s="615">
        <f t="shared" si="0"/>
        <v>0</v>
      </c>
    </row>
    <row r="66" spans="1:28" s="143" customFormat="1" ht="15.75">
      <c r="A66" s="658" t="str">
        <f t="array" ref="A66">IF( ISERROR(INDEX(Panel!$H$6:$H$115,SMALL(IF(Panel!$J$6:$J$115&lt;&gt;0,ROW(Panel!$J$6:$J$115)-5),ROW(A62)))),"",INDEX(Panel!$H$6:$H$115,SMALL(IF(Panel!$J$6:$J$115&lt;&gt;0,ROW(Panel!$J$6:$J$115)-5),ROW(A62))))</f>
        <v/>
      </c>
      <c r="B66" s="658" t="str">
        <f t="array" ref="B66">IF(ISERROR(INDEX(Panel!$I$6:$I$115,SMALL(IF(Panel!$J$6:$J$115&lt;&gt;0,ROW(Panel!$J$6:$J$115)-5),ROW(B62)))),"",INDEX(Panel!$I$6:$I$115,SMALL(IF(Panel!$J$6:$J$115&lt;&gt;0,ROW(Panel!$J$6:$J$115)-5),ROW(B62))))</f>
        <v/>
      </c>
      <c r="C66" s="659" t="str">
        <f t="array" ref="C66">IF( ISERROR(INDEX(Panel!$J$6:$J$115,SMALL(IF(Panel!$J$6:$J$115&lt;&gt;0,ROW(Panel!$J$6:$J$115)-5),ROW(C62)))),"",  INDEX(Panel!$J$6:$J$115,SMALL(IF(Panel!$J$6:$J$115&lt;&gt;0,ROW(Panel!$J$6:$J$115)-5),ROW(C62))))</f>
        <v/>
      </c>
      <c r="D66" s="423"/>
      <c r="E66" s="610"/>
      <c r="F66" s="827" t="s">
        <v>416</v>
      </c>
      <c r="G66" s="827" t="s">
        <v>417</v>
      </c>
      <c r="H66" s="606" t="str">
        <f t="shared" si="15"/>
        <v>PAR20TCB</v>
      </c>
      <c r="I66" s="606" t="str">
        <f>M66&amp;Y66&amp;IF(OR(BASIC_TOOL!$C$15=1,BASIC_TOOL!$C$15=5),,N66)</f>
        <v>PL20TCB</v>
      </c>
      <c r="J66" s="607">
        <f t="shared" si="16"/>
        <v>0</v>
      </c>
      <c r="K66" s="606" t="str">
        <f>L66&amp;IF(OR( BASIC_TOOL!$C$15=1,BASIC_TOOL!$C$15=5),"","")</f>
        <v>PAR20TCB</v>
      </c>
      <c r="L66" s="606" t="str">
        <f>"PAR"&amp;Y66</f>
        <v>PAR20TCB</v>
      </c>
      <c r="M66" s="607" t="s">
        <v>1304</v>
      </c>
      <c r="N66" s="607"/>
      <c r="O66" s="607"/>
      <c r="P66" s="607"/>
      <c r="Q66" s="608" t="s">
        <v>1316</v>
      </c>
      <c r="R66" s="607"/>
      <c r="S66" s="607" t="s">
        <v>1320</v>
      </c>
      <c r="T66" s="607"/>
      <c r="U66" s="607" t="s">
        <v>1320</v>
      </c>
      <c r="V66" s="607"/>
      <c r="W66" s="607" t="s">
        <v>1320</v>
      </c>
      <c r="X66" s="603">
        <f>IF(BASIC_TOOL!$E$15=1,0,(W_C)*N_PA)</f>
        <v>0</v>
      </c>
      <c r="Y66" s="607" t="str">
        <f t="shared" si="14"/>
        <v>20TCB</v>
      </c>
      <c r="Z66" s="600">
        <v>62</v>
      </c>
      <c r="AA66" s="616">
        <v>3.1</v>
      </c>
      <c r="AB66" s="615">
        <f t="shared" si="0"/>
        <v>0</v>
      </c>
    </row>
    <row r="67" spans="1:28" s="143" customFormat="1" ht="14.1" customHeight="1">
      <c r="A67" s="658" t="str">
        <f t="array" ref="A67">IF( ISERROR(INDEX(Panel!$H$6:$H$115,SMALL(IF(Panel!$J$6:$J$115&lt;&gt;0,ROW(Panel!$J$6:$J$115)-5),ROW(A63)))),"",INDEX(Panel!$H$6:$H$115,SMALL(IF(Panel!$J$6:$J$115&lt;&gt;0,ROW(Panel!$J$6:$J$115)-5),ROW(A63))))</f>
        <v/>
      </c>
      <c r="B67" s="658" t="str">
        <f t="array" ref="B67">IF(ISERROR(INDEX(Panel!$I$6:$I$115,SMALL(IF(Panel!$J$6:$J$115&lt;&gt;0,ROW(Panel!$J$6:$J$115)-5),ROW(B63)))),"",INDEX(Panel!$I$6:$I$115,SMALL(IF(Panel!$J$6:$J$115&lt;&gt;0,ROW(Panel!$J$6:$J$115)-5),ROW(B63))))</f>
        <v/>
      </c>
      <c r="C67" s="659" t="str">
        <f t="array" ref="C67">IF( ISERROR(INDEX(Panel!$J$6:$J$115,SMALL(IF(Panel!$J$6:$J$115&lt;&gt;0,ROW(Panel!$J$6:$J$115)-5),ROW(C63)))),"",  INDEX(Panel!$J$6:$J$115,SMALL(IF(Panel!$J$6:$J$115&lt;&gt;0,ROW(Panel!$J$6:$J$115)-5),ROW(C63))))</f>
        <v/>
      </c>
      <c r="D67" s="423"/>
      <c r="E67" s="610"/>
      <c r="F67" s="827"/>
      <c r="G67" s="827"/>
      <c r="H67" s="822" t="str">
        <f t="shared" si="15"/>
        <v>HPAR_VERT</v>
      </c>
      <c r="I67" s="822" t="str">
        <f>M67&amp;Y67&amp;IF(OR(BASIC_TOOL!$C$15=1,BASIC_TOOL!$C$15=5),,N67)</f>
        <v>PH10TCB</v>
      </c>
      <c r="J67" s="823">
        <f t="shared" si="16"/>
        <v>0</v>
      </c>
      <c r="K67" s="822" t="str">
        <f>L67&amp;IF(OR( BASIC_TOOL!$C$15=1,BASIC_TOOL!$C$15=5),"","")</f>
        <v>HPAR_VERT</v>
      </c>
      <c r="L67" s="822" t="s">
        <v>560</v>
      </c>
      <c r="M67" s="823" t="s">
        <v>1305</v>
      </c>
      <c r="N67" s="607"/>
      <c r="O67" s="607"/>
      <c r="P67" s="607"/>
      <c r="Q67" s="607" t="s">
        <v>1315</v>
      </c>
      <c r="R67" s="607"/>
      <c r="S67" s="607" t="s">
        <v>1321</v>
      </c>
      <c r="T67" s="607"/>
      <c r="U67" s="607" t="s">
        <v>1321</v>
      </c>
      <c r="V67" s="607"/>
      <c r="W67" s="607" t="s">
        <v>1321</v>
      </c>
      <c r="X67" s="603">
        <f>IF(BASIC_TOOL!$E$15=1,0,(W_F)*N_PA)</f>
        <v>0</v>
      </c>
      <c r="Y67" s="607" t="str">
        <f t="shared" si="14"/>
        <v>10TCB</v>
      </c>
      <c r="Z67" s="600">
        <v>63</v>
      </c>
      <c r="AA67" s="616">
        <v>4.0999999999999996</v>
      </c>
      <c r="AB67" s="615">
        <f t="shared" si="0"/>
        <v>0</v>
      </c>
    </row>
    <row r="68" spans="1:28" s="143" customFormat="1" ht="15.75">
      <c r="A68" s="658" t="str">
        <f t="array" ref="A68">IF( ISERROR(INDEX(Panel!$H$6:$H$115,SMALL(IF(Panel!$J$6:$J$115&lt;&gt;0,ROW(Panel!$J$6:$J$115)-5),ROW(A64)))),"",INDEX(Panel!$H$6:$H$115,SMALL(IF(Panel!$J$6:$J$115&lt;&gt;0,ROW(Panel!$J$6:$J$115)-5),ROW(A64))))</f>
        <v/>
      </c>
      <c r="B68" s="658" t="str">
        <f t="array" ref="B68">IF(ISERROR(INDEX(Panel!$I$6:$I$115,SMALL(IF(Panel!$J$6:$J$115&lt;&gt;0,ROW(Panel!$J$6:$J$115)-5),ROW(B64)))),"",INDEX(Panel!$I$6:$I$115,SMALL(IF(Panel!$J$6:$J$115&lt;&gt;0,ROW(Panel!$J$6:$J$115)-5),ROW(B64))))</f>
        <v/>
      </c>
      <c r="C68" s="659" t="str">
        <f t="array" ref="C68">IF( ISERROR(INDEX(Panel!$J$6:$J$115,SMALL(IF(Panel!$J$6:$J$115&lt;&gt;0,ROW(Panel!$J$6:$J$115)-5),ROW(C64)))),"",  INDEX(Panel!$J$6:$J$115,SMALL(IF(Panel!$J$6:$J$115&lt;&gt;0,ROW(Panel!$J$6:$J$115)-5),ROW(C64))))</f>
        <v/>
      </c>
      <c r="D68" s="423"/>
      <c r="E68" s="610"/>
      <c r="F68" s="827"/>
      <c r="G68" s="827"/>
      <c r="H68" s="822" t="str">
        <f t="shared" si="15"/>
        <v>HPAR_VERT</v>
      </c>
      <c r="I68" s="822" t="str">
        <f>M68&amp;Y68&amp;IF(OR(BASIC_TOOL!$C$15=1,BASIC_TOOL!$C$15=5),,N68)</f>
        <v>SH20M</v>
      </c>
      <c r="J68" s="823">
        <f t="shared" si="16"/>
        <v>0</v>
      </c>
      <c r="K68" s="822" t="str">
        <f>L68&amp;IF(OR( BASIC_TOOL!$C$15=1,BASIC_TOOL!$C$15=5),"","")</f>
        <v>HPAR_VERT</v>
      </c>
      <c r="L68" s="822" t="s">
        <v>560</v>
      </c>
      <c r="M68" s="823" t="s">
        <v>1302</v>
      </c>
      <c r="N68" s="607"/>
      <c r="O68" s="607"/>
      <c r="P68" s="607"/>
      <c r="Q68" s="607" t="s">
        <v>487</v>
      </c>
      <c r="R68" s="607"/>
      <c r="S68" s="607" t="s">
        <v>487</v>
      </c>
      <c r="T68" s="607"/>
      <c r="U68" s="607" t="s">
        <v>487</v>
      </c>
      <c r="V68" s="607"/>
      <c r="W68" s="607" t="s">
        <v>487</v>
      </c>
      <c r="X68" s="603">
        <f>IF(BASIC_TOOL!$E$15=1,0,W_F*N_PA)</f>
        <v>0</v>
      </c>
      <c r="Y68" s="607" t="str">
        <f t="shared" si="14"/>
        <v>20M</v>
      </c>
      <c r="Z68" s="600">
        <v>64</v>
      </c>
      <c r="AA68" s="616">
        <v>3.1</v>
      </c>
      <c r="AB68" s="615">
        <f t="shared" si="0"/>
        <v>0</v>
      </c>
    </row>
    <row r="69" spans="1:28" s="143" customFormat="1" ht="15.75">
      <c r="A69" s="658" t="str">
        <f t="array" ref="A69">IF( ISERROR(INDEX(Panel!$H$6:$H$115,SMALL(IF(Panel!$J$6:$J$115&lt;&gt;0,ROW(Panel!$J$6:$J$115)-5),ROW(A65)))),"",INDEX(Panel!$H$6:$H$115,SMALL(IF(Panel!$J$6:$J$115&lt;&gt;0,ROW(Panel!$J$6:$J$115)-5),ROW(A65))))</f>
        <v/>
      </c>
      <c r="B69" s="658" t="str">
        <f t="array" ref="B69">IF(ISERROR(INDEX(Panel!$I$6:$I$115,SMALL(IF(Panel!$J$6:$J$115&lt;&gt;0,ROW(Panel!$J$6:$J$115)-5),ROW(B65)))),"",INDEX(Panel!$I$6:$I$115,SMALL(IF(Panel!$J$6:$J$115&lt;&gt;0,ROW(Panel!$J$6:$J$115)-5),ROW(B65))))</f>
        <v/>
      </c>
      <c r="C69" s="659" t="str">
        <f t="array" ref="C69">IF( ISERROR(INDEX(Panel!$J$6:$J$115,SMALL(IF(Panel!$J$6:$J$115&lt;&gt;0,ROW(Panel!$J$6:$J$115)-5),ROW(C65)))),"",  INDEX(Panel!$J$6:$J$115,SMALL(IF(Panel!$J$6:$J$115&lt;&gt;0,ROW(Panel!$J$6:$J$115)-5),ROW(C65))))</f>
        <v/>
      </c>
      <c r="D69" s="423"/>
      <c r="E69" s="610"/>
      <c r="F69" s="827"/>
      <c r="G69" s="607" t="s">
        <v>415</v>
      </c>
      <c r="H69" s="606" t="str">
        <f t="shared" si="15"/>
        <v>PAR</v>
      </c>
      <c r="I69" s="606" t="str">
        <f>M69&amp;Y69&amp;IF(OR(BASIC_TOOL!$C$15=1,BASIC_TOOL!$C$15=5),,N69)</f>
        <v>PF10T</v>
      </c>
      <c r="J69" s="607">
        <f t="shared" si="16"/>
        <v>0</v>
      </c>
      <c r="K69" s="606" t="str">
        <f>L69&amp;IF(OR( BASIC_TOOL!$C$15=1,BASIC_TOOL!$C$15=5),"","")</f>
        <v>PAR</v>
      </c>
      <c r="L69" s="606" t="s">
        <v>558</v>
      </c>
      <c r="M69" s="607" t="s">
        <v>1306</v>
      </c>
      <c r="N69" s="607"/>
      <c r="O69" s="607"/>
      <c r="P69" s="607"/>
      <c r="Q69" s="607" t="s">
        <v>513</v>
      </c>
      <c r="R69" s="607"/>
      <c r="S69" s="607" t="s">
        <v>513</v>
      </c>
      <c r="T69" s="607"/>
      <c r="U69" s="607" t="s">
        <v>513</v>
      </c>
      <c r="V69" s="607"/>
      <c r="W69" s="607" t="s">
        <v>513</v>
      </c>
      <c r="X69" s="603">
        <f>IF(BASIC_TOOL!$E$15=0,0,(W_C)*N_PA)</f>
        <v>0</v>
      </c>
      <c r="Y69" s="607" t="str">
        <f t="shared" si="14"/>
        <v>10T</v>
      </c>
      <c r="Z69" s="600">
        <v>65</v>
      </c>
      <c r="AA69" s="616">
        <v>4.0999999999999996</v>
      </c>
      <c r="AB69" s="615">
        <f t="shared" si="0"/>
        <v>0</v>
      </c>
    </row>
    <row r="70" spans="1:28" s="143" customFormat="1" ht="17.25" customHeight="1">
      <c r="A70" s="658" t="str">
        <f t="array" ref="A70">IF( ISERROR(INDEX(Panel!$H$6:$H$115,SMALL(IF(Panel!$J$6:$J$115&lt;&gt;0,ROW(Panel!$J$6:$J$115)-5),ROW(A66)))),"",INDEX(Panel!$H$6:$H$115,SMALL(IF(Panel!$J$6:$J$115&lt;&gt;0,ROW(Panel!$J$6:$J$115)-5),ROW(A66))))</f>
        <v/>
      </c>
      <c r="B70" s="658" t="str">
        <f t="array" ref="B70">IF(ISERROR(INDEX(Panel!$I$6:$I$115,SMALL(IF(Panel!$J$6:$J$115&lt;&gt;0,ROW(Panel!$J$6:$J$115)-5),ROW(B66)))),"",INDEX(Panel!$I$6:$I$115,SMALL(IF(Panel!$J$6:$J$115&lt;&gt;0,ROW(Panel!$J$6:$J$115)-5),ROW(B66))))</f>
        <v/>
      </c>
      <c r="C70" s="659" t="str">
        <f t="array" ref="C70">IF( ISERROR(INDEX(Panel!$J$6:$J$115,SMALL(IF(Panel!$J$6:$J$115&lt;&gt;0,ROW(Panel!$J$6:$J$115)-5),ROW(C66)))),"",  INDEX(Panel!$J$6:$J$115,SMALL(IF(Panel!$J$6:$J$115&lt;&gt;0,ROW(Panel!$J$6:$J$115)-5),ROW(C66))))</f>
        <v/>
      </c>
      <c r="D70" s="423"/>
      <c r="E70" s="610"/>
      <c r="F70" s="827"/>
      <c r="G70" s="607"/>
      <c r="H70" s="606" t="str">
        <f t="shared" si="15"/>
        <v>PAR</v>
      </c>
      <c r="I70" s="606" t="str">
        <f>M70&amp;Y70&amp;IF(OR(BASIC_TOOL!$C$15=1,BASIC_TOOL!$C$15=5),,N70)</f>
        <v>PF0</v>
      </c>
      <c r="J70" s="607">
        <f t="shared" si="16"/>
        <v>0</v>
      </c>
      <c r="K70" s="606" t="str">
        <f>L70&amp;IF(OR( BASIC_TOOL!$C$15=1,BASIC_TOOL!$C$15=5),"","")</f>
        <v>PAR</v>
      </c>
      <c r="L70" s="606" t="s">
        <v>558</v>
      </c>
      <c r="M70" s="607" t="s">
        <v>1306</v>
      </c>
      <c r="N70" s="607"/>
      <c r="O70" s="607"/>
      <c r="P70" s="607"/>
      <c r="Q70" s="607" t="s">
        <v>487</v>
      </c>
      <c r="R70" s="607"/>
      <c r="S70" s="607"/>
      <c r="T70" s="607"/>
      <c r="U70" s="607"/>
      <c r="V70" s="607"/>
      <c r="W70" s="607"/>
      <c r="X70" s="603">
        <f>IF(BASIC_TOOL!$E$15=0,0,(W_C)*N_PA)</f>
        <v>0</v>
      </c>
      <c r="Y70" s="607">
        <f t="shared" si="14"/>
        <v>0</v>
      </c>
      <c r="Z70" s="600">
        <v>66</v>
      </c>
      <c r="AA70" s="616">
        <v>3.1</v>
      </c>
      <c r="AB70" s="615">
        <f t="shared" si="0"/>
        <v>0</v>
      </c>
    </row>
    <row r="71" spans="1:28" s="143" customFormat="1" ht="17.25" customHeight="1">
      <c r="A71" s="658" t="str">
        <f t="array" ref="A71">IF( ISERROR(INDEX(Panel!$H$6:$H$115,SMALL(IF(Panel!$J$6:$J$115&lt;&gt;0,ROW(Panel!$J$6:$J$115)-5),ROW(A67)))),"",INDEX(Panel!$H$6:$H$115,SMALL(IF(Panel!$J$6:$J$115&lt;&gt;0,ROW(Panel!$J$6:$J$115)-5),ROW(A67))))</f>
        <v/>
      </c>
      <c r="B71" s="658" t="str">
        <f t="array" ref="B71">IF(ISERROR(INDEX(Panel!$I$6:$I$115,SMALL(IF(Panel!$J$6:$J$115&lt;&gt;0,ROW(Panel!$J$6:$J$115)-5),ROW(B67)))),"",INDEX(Panel!$I$6:$I$115,SMALL(IF(Panel!$J$6:$J$115&lt;&gt;0,ROW(Panel!$J$6:$J$115)-5),ROW(B67))))</f>
        <v/>
      </c>
      <c r="C71" s="659" t="str">
        <f t="array" ref="C71">IF( ISERROR(INDEX(Panel!$J$6:$J$115,SMALL(IF(Panel!$J$6:$J$115&lt;&gt;0,ROW(Panel!$J$6:$J$115)-5),ROW(C67)))),"",  INDEX(Panel!$J$6:$J$115,SMALL(IF(Panel!$J$6:$J$115&lt;&gt;0,ROW(Panel!$J$6:$J$115)-5),ROW(C67))))</f>
        <v/>
      </c>
      <c r="D71" s="423"/>
      <c r="E71" s="610"/>
      <c r="F71" s="827"/>
      <c r="G71" s="607"/>
      <c r="H71" s="606" t="str">
        <f t="shared" si="15"/>
        <v>PAR</v>
      </c>
      <c r="I71" s="606" t="str">
        <f>M71&amp;Y71&amp;IF(OR(BASIC_TOOL!$C$15=1,BASIC_TOOL!$C$15=5),,N71)</f>
        <v>SN20M</v>
      </c>
      <c r="J71" s="607">
        <f t="shared" si="16"/>
        <v>0</v>
      </c>
      <c r="K71" s="606" t="str">
        <f>L71&amp;IF(OR( BASIC_TOOL!$C$15=1,BASIC_TOOL!$C$15=5),"","")</f>
        <v>PAR</v>
      </c>
      <c r="L71" s="606" t="s">
        <v>558</v>
      </c>
      <c r="M71" s="607" t="s">
        <v>1307</v>
      </c>
      <c r="N71" s="607"/>
      <c r="O71" s="607"/>
      <c r="P71" s="607"/>
      <c r="Q71" s="607"/>
      <c r="R71" s="607"/>
      <c r="S71" s="607" t="s">
        <v>487</v>
      </c>
      <c r="T71" s="607"/>
      <c r="U71" s="607" t="s">
        <v>487</v>
      </c>
      <c r="V71" s="607"/>
      <c r="W71" s="607" t="s">
        <v>487</v>
      </c>
      <c r="X71" s="603">
        <f>IF(BASIC_TOOL!$E$15=0,0,(W_C)*N_PA)</f>
        <v>0</v>
      </c>
      <c r="Y71" s="607" t="str">
        <f t="shared" si="14"/>
        <v>20M</v>
      </c>
      <c r="Z71" s="600">
        <v>67</v>
      </c>
      <c r="AA71" s="616">
        <v>4.0999999999999996</v>
      </c>
      <c r="AB71" s="615">
        <f t="shared" ref="AB71:AB80" si="17">AA71*J71</f>
        <v>0</v>
      </c>
    </row>
    <row r="72" spans="1:28" s="143" customFormat="1" ht="17.25" customHeight="1">
      <c r="A72" s="658" t="str">
        <f t="array" ref="A72">IF( ISERROR(INDEX(Panel!$H$6:$H$115,SMALL(IF(Panel!$J$6:$J$115&lt;&gt;0,ROW(Panel!$J$6:$J$115)-5),ROW(A68)))),"",INDEX(Panel!$H$6:$H$115,SMALL(IF(Panel!$J$6:$J$115&lt;&gt;0,ROW(Panel!$J$6:$J$115)-5),ROW(A68))))</f>
        <v/>
      </c>
      <c r="B72" s="658" t="str">
        <f t="array" ref="B72">IF(ISERROR(INDEX(Panel!$I$6:$I$115,SMALL(IF(Panel!$J$6:$J$115&lt;&gt;0,ROW(Panel!$J$6:$J$115)-5),ROW(B68)))),"",INDEX(Panel!$I$6:$I$115,SMALL(IF(Panel!$J$6:$J$115&lt;&gt;0,ROW(Panel!$J$6:$J$115)-5),ROW(B68))))</f>
        <v/>
      </c>
      <c r="C72" s="659" t="str">
        <f t="array" ref="C72">IF( ISERROR(INDEX(Panel!$J$6:$J$115,SMALL(IF(Panel!$J$6:$J$115&lt;&gt;0,ROW(Panel!$J$6:$J$115)-5),ROW(C68)))),"",  INDEX(Panel!$J$6:$J$115,SMALL(IF(Panel!$J$6:$J$115&lt;&gt;0,ROW(Panel!$J$6:$J$115)-5),ROW(C68))))</f>
        <v/>
      </c>
      <c r="D72" s="423"/>
      <c r="E72" s="610"/>
      <c r="F72" s="827"/>
      <c r="G72" s="607" t="s">
        <v>565</v>
      </c>
      <c r="H72" s="822" t="str">
        <f t="shared" si="15"/>
        <v>HPAR_VERT</v>
      </c>
      <c r="I72" s="822" t="str">
        <f>M72&amp;Y72&amp;IF(OR(BASIC_TOOL!$C$15=1,BASIC_TOOL!$C$15=5),,N72)</f>
        <v>PH10T</v>
      </c>
      <c r="J72" s="823">
        <f t="shared" si="16"/>
        <v>0</v>
      </c>
      <c r="K72" s="822" t="str">
        <f>L72&amp;IF(OR( BASIC_TOOL!$C$15=1,BASIC_TOOL!$C$15=5),"","")</f>
        <v>HPAR_VERT</v>
      </c>
      <c r="L72" s="822" t="s">
        <v>560</v>
      </c>
      <c r="M72" s="823" t="s">
        <v>1305</v>
      </c>
      <c r="N72" s="607"/>
      <c r="O72" s="607"/>
      <c r="P72" s="607"/>
      <c r="Q72" s="607" t="s">
        <v>513</v>
      </c>
      <c r="R72" s="607"/>
      <c r="S72" s="607" t="s">
        <v>513</v>
      </c>
      <c r="T72" s="607"/>
      <c r="U72" s="607" t="s">
        <v>513</v>
      </c>
      <c r="V72" s="607"/>
      <c r="W72" s="607" t="s">
        <v>513</v>
      </c>
      <c r="X72" s="603">
        <f>IF(BASIC_TOOL!$E$15=0,0,(W_F)*N_PA)</f>
        <v>0</v>
      </c>
      <c r="Y72" s="607" t="str">
        <f t="shared" si="14"/>
        <v>10T</v>
      </c>
      <c r="Z72" s="600">
        <v>68</v>
      </c>
      <c r="AA72" s="616">
        <v>3.1</v>
      </c>
      <c r="AB72" s="615">
        <f t="shared" si="17"/>
        <v>0</v>
      </c>
    </row>
    <row r="73" spans="1:28" s="143" customFormat="1" ht="17.25" customHeight="1">
      <c r="A73" s="658" t="str">
        <f t="array" ref="A73">IF( ISERROR(INDEX(Panel!$H$6:$H$115,SMALL(IF(Panel!$J$6:$J$115&lt;&gt;0,ROW(Panel!$J$6:$J$115)-5),ROW(A69)))),"",INDEX(Panel!$H$6:$H$115,SMALL(IF(Panel!$J$6:$J$115&lt;&gt;0,ROW(Panel!$J$6:$J$115)-5),ROW(A69))))</f>
        <v/>
      </c>
      <c r="B73" s="658" t="str">
        <f t="array" ref="B73">IF(ISERROR(INDEX(Panel!$I$6:$I$115,SMALL(IF(Panel!$J$6:$J$115&lt;&gt;0,ROW(Panel!$J$6:$J$115)-5),ROW(B69)))),"",INDEX(Panel!$I$6:$I$115,SMALL(IF(Panel!$J$6:$J$115&lt;&gt;0,ROW(Panel!$J$6:$J$115)-5),ROW(B69))))</f>
        <v/>
      </c>
      <c r="C73" s="659" t="str">
        <f t="array" ref="C73">IF( ISERROR(INDEX(Panel!$J$6:$J$115,SMALL(IF(Panel!$J$6:$J$115&lt;&gt;0,ROW(Panel!$J$6:$J$115)-5),ROW(C69)))),"",  INDEX(Panel!$J$6:$J$115,SMALL(IF(Panel!$J$6:$J$115&lt;&gt;0,ROW(Panel!$J$6:$J$115)-5),ROW(C69))))</f>
        <v/>
      </c>
      <c r="D73" s="423"/>
      <c r="E73" s="610"/>
      <c r="F73" s="827"/>
      <c r="G73" s="607"/>
      <c r="H73" s="822" t="str">
        <f t="shared" si="15"/>
        <v>HPAR_VERT</v>
      </c>
      <c r="I73" s="822" t="str">
        <f>M73&amp;Y73&amp;IF(OR(BASIC_TOOL!$C$15=1,BASIC_TOOL!$C$15=5),,N73)</f>
        <v>PH0</v>
      </c>
      <c r="J73" s="823">
        <f t="shared" si="16"/>
        <v>0</v>
      </c>
      <c r="K73" s="822" t="str">
        <f>L73&amp;IF(OR( BASIC_TOOL!$C$15=1,BASIC_TOOL!$C$15=5),"","")</f>
        <v>HPAR_VERT</v>
      </c>
      <c r="L73" s="822" t="s">
        <v>560</v>
      </c>
      <c r="M73" s="823" t="s">
        <v>1305</v>
      </c>
      <c r="N73" s="607"/>
      <c r="O73" s="607"/>
      <c r="P73" s="607"/>
      <c r="Q73" s="607" t="s">
        <v>487</v>
      </c>
      <c r="R73" s="607"/>
      <c r="S73" s="607"/>
      <c r="T73" s="607"/>
      <c r="U73" s="607"/>
      <c r="V73" s="607"/>
      <c r="W73" s="607"/>
      <c r="X73" s="603">
        <f>IF(BASIC_TOOL!$E$15=0,0,W_F*N_PA)</f>
        <v>0</v>
      </c>
      <c r="Y73" s="607">
        <f t="shared" si="14"/>
        <v>0</v>
      </c>
      <c r="Z73" s="600">
        <v>69</v>
      </c>
      <c r="AA73" s="388">
        <v>3.1</v>
      </c>
      <c r="AB73" s="615">
        <f t="shared" si="17"/>
        <v>0</v>
      </c>
    </row>
    <row r="74" spans="1:28" s="143" customFormat="1" ht="17.25" customHeight="1">
      <c r="A74" s="414" t="str">
        <f t="array" ref="A74">IF( ISERROR(INDEX(Panel!$H$6:$H$115,SMALL(IF(Panel!$J$6:$J$115&lt;&gt;0,ROW(Panel!$J$6:$J$115)-5),ROW(A70)))),"",INDEX(Panel!$H$6:$H$115,SMALL(IF(Panel!$J$6:$J$115&lt;&gt;0,ROW(Panel!$J$6:$J$115)-5),ROW(A70))))</f>
        <v/>
      </c>
      <c r="B74" s="414" t="str">
        <f t="array" ref="B74">IF(ISERROR(INDEX(Panel!$I$6:$I$115,SMALL(IF(Panel!$J$6:$J$115&lt;&gt;0,ROW(Panel!$J$6:$J$115)-5),ROW(B70)))),"",INDEX(Panel!$I$6:$I$115,SMALL(IF(Panel!$J$6:$J$115&lt;&gt;0,ROW(Panel!$J$6:$J$115)-5),ROW(B70))))</f>
        <v/>
      </c>
      <c r="C74" s="415" t="str">
        <f t="array" ref="C74">IF( ISERROR(INDEX(Panel!$J$6:$J$115,SMALL(IF(Panel!$J$6:$J$115&lt;&gt;0,ROW(Panel!$J$6:$J$115)-5),ROW(C70)))),"",  INDEX(Panel!$J$6:$J$115,SMALL(IF(Panel!$J$6:$J$115&lt;&gt;0,ROW(Panel!$J$6:$J$115)-5),ROW(C70))))</f>
        <v/>
      </c>
      <c r="D74" s="423"/>
      <c r="E74" s="604"/>
      <c r="F74" s="827"/>
      <c r="G74" s="607"/>
      <c r="H74" s="822" t="str">
        <f t="shared" si="15"/>
        <v>HPAR_VERT</v>
      </c>
      <c r="I74" s="822" t="str">
        <f>M74&amp;Y74&amp;IF(OR(BASIC_TOOL!$C$15=1,BASIC_TOOL!$C$15=5),,N74)</f>
        <v>SH20M</v>
      </c>
      <c r="J74" s="823">
        <f t="shared" si="16"/>
        <v>0</v>
      </c>
      <c r="K74" s="822" t="str">
        <f>L74&amp;IF(OR( BASIC_TOOL!$C$15=1,BASIC_TOOL!$C$15=5),"","")</f>
        <v>HPAR_VERT</v>
      </c>
      <c r="L74" s="822" t="s">
        <v>560</v>
      </c>
      <c r="M74" s="823" t="s">
        <v>1302</v>
      </c>
      <c r="N74" s="607"/>
      <c r="O74" s="607"/>
      <c r="P74" s="607"/>
      <c r="Q74" s="607"/>
      <c r="R74" s="607"/>
      <c r="S74" s="607" t="s">
        <v>487</v>
      </c>
      <c r="T74" s="607"/>
      <c r="U74" s="607" t="s">
        <v>487</v>
      </c>
      <c r="V74" s="607"/>
      <c r="W74" s="607" t="s">
        <v>487</v>
      </c>
      <c r="X74" s="603">
        <f>IF(BASIC_TOOL!$E$15=0,0,W_F*N_PA)</f>
        <v>0</v>
      </c>
      <c r="Y74" s="607" t="str">
        <f t="shared" si="14"/>
        <v>20M</v>
      </c>
      <c r="Z74" s="600">
        <v>70</v>
      </c>
      <c r="AA74" s="388">
        <v>3.1</v>
      </c>
      <c r="AB74" s="615">
        <f t="shared" si="17"/>
        <v>0</v>
      </c>
    </row>
    <row r="75" spans="1:28" s="143" customFormat="1" ht="17.25" customHeight="1">
      <c r="A75" s="414" t="str">
        <f t="array" ref="A75">IF( ISERROR(INDEX(Panel!$H$6:$H$115,SMALL(IF(Panel!$J$6:$J$115&lt;&gt;0,ROW(Panel!$J$6:$J$115)-5),ROW(A71)))),"",INDEX(Panel!$H$6:$H$115,SMALL(IF(Panel!$J$6:$J$115&lt;&gt;0,ROW(Panel!$J$6:$J$115)-5),ROW(A71))))</f>
        <v/>
      </c>
      <c r="B75" s="414" t="str">
        <f t="array" ref="B75">IF(ISERROR(INDEX(Panel!$I$6:$I$115,SMALL(IF(Panel!$J$6:$J$115&lt;&gt;0,ROW(Panel!$J$6:$J$115)-5),ROW(B71)))),"",INDEX(Panel!$I$6:$I$115,SMALL(IF(Panel!$J$6:$J$115&lt;&gt;0,ROW(Panel!$J$6:$J$115)-5),ROW(B71))))</f>
        <v/>
      </c>
      <c r="C75" s="415" t="str">
        <f t="array" ref="C75">IF( ISERROR(INDEX(Panel!$J$6:$J$115,SMALL(IF(Panel!$J$6:$J$115&lt;&gt;0,ROW(Panel!$J$6:$J$115)-5),ROW(C71)))),"",  INDEX(Panel!$J$6:$J$115,SMALL(IF(Panel!$J$6:$J$115&lt;&gt;0,ROW(Panel!$J$6:$J$115)-5),ROW(C71))))</f>
        <v/>
      </c>
      <c r="D75" s="423"/>
      <c r="E75" s="604" t="s">
        <v>564</v>
      </c>
      <c r="F75" s="607" t="s">
        <v>418</v>
      </c>
      <c r="G75" s="607" t="s">
        <v>419</v>
      </c>
      <c r="H75" s="606" t="str">
        <f t="shared" si="15"/>
        <v>PAR</v>
      </c>
      <c r="I75" s="606" t="str">
        <f>M75&amp;Y75&amp;IF(OR(BASIC_TOOL!$C$15=1,BASIC_TOOL!$C$15=5),,N75)</f>
        <v>SN0</v>
      </c>
      <c r="J75" s="607">
        <f t="shared" si="16"/>
        <v>0</v>
      </c>
      <c r="K75" s="606" t="str">
        <f>L75&amp;IF(OR( BASIC_TOOL!$C$15=1,BASIC_TOOL!$C$15=5),"","")</f>
        <v>PAR</v>
      </c>
      <c r="L75" s="606" t="s">
        <v>558</v>
      </c>
      <c r="M75" s="607" t="s">
        <v>1307</v>
      </c>
      <c r="N75" s="607"/>
      <c r="O75" s="607"/>
      <c r="P75" s="607"/>
      <c r="Q75" s="607"/>
      <c r="R75" s="607"/>
      <c r="S75" s="607"/>
      <c r="T75" s="607"/>
      <c r="U75" s="607"/>
      <c r="V75" s="607" t="s">
        <v>488</v>
      </c>
      <c r="W75" s="607" t="s">
        <v>489</v>
      </c>
      <c r="X75" s="603">
        <f>(W_C)*N_PA</f>
        <v>0</v>
      </c>
      <c r="Y75" s="607">
        <f t="shared" si="14"/>
        <v>0</v>
      </c>
      <c r="Z75" s="600">
        <v>71</v>
      </c>
      <c r="AA75" s="388">
        <v>4.0999999999999996</v>
      </c>
      <c r="AB75" s="615">
        <f t="shared" si="17"/>
        <v>0</v>
      </c>
    </row>
    <row r="76" spans="1:28" s="143" customFormat="1" ht="17.25" customHeight="1">
      <c r="A76" s="414" t="str">
        <f t="array" ref="A76">IF( ISERROR(INDEX(Panel!$H$6:$H$115,SMALL(IF(Panel!$J$6:$J$115&lt;&gt;0,ROW(Panel!$J$6:$J$115)-5),ROW(A72)))),"",INDEX(Panel!$H$6:$H$115,SMALL(IF(Panel!$J$6:$J$115&lt;&gt;0,ROW(Panel!$J$6:$J$115)-5),ROW(A72))))</f>
        <v/>
      </c>
      <c r="B76" s="414" t="str">
        <f t="array" ref="B76">IF(ISERROR(INDEX(Panel!$I$6:$I$115,SMALL(IF(Panel!$J$6:$J$115&lt;&gt;0,ROW(Panel!$J$6:$J$115)-5),ROW(B72)))),"",INDEX(Panel!$I$6:$I$115,SMALL(IF(Panel!$J$6:$J$115&lt;&gt;0,ROW(Panel!$J$6:$J$115)-5),ROW(B72))))</f>
        <v/>
      </c>
      <c r="C76" s="415" t="str">
        <f t="array" ref="C76">IF( ISERROR(INDEX(Panel!$J$6:$J$115,SMALL(IF(Panel!$J$6:$J$115&lt;&gt;0,ROW(Panel!$J$6:$J$115)-5),ROW(C72)))),"",  INDEX(Panel!$J$6:$J$115,SMALL(IF(Panel!$J$6:$J$115&lt;&gt;0,ROW(Panel!$J$6:$J$115)-5),ROW(C72))))</f>
        <v/>
      </c>
      <c r="D76" s="423"/>
      <c r="E76" s="604"/>
      <c r="F76" s="607"/>
      <c r="G76" s="607"/>
      <c r="H76" s="606" t="str">
        <f t="shared" si="15"/>
        <v>HPAR_VERT</v>
      </c>
      <c r="I76" s="606" t="str">
        <f>M76&amp;Y76&amp;IF(OR(BASIC_TOOL!$C$15=1,BASIC_TOOL!$C$15=5),,N76)</f>
        <v>SH0</v>
      </c>
      <c r="J76" s="607">
        <f t="shared" si="16"/>
        <v>0</v>
      </c>
      <c r="K76" s="606" t="str">
        <f>L76&amp;IF(OR( BASIC_TOOL!$C$15=1,BASIC_TOOL!$C$15=5),"","")</f>
        <v>HPAR_VERT</v>
      </c>
      <c r="L76" s="606" t="s">
        <v>560</v>
      </c>
      <c r="M76" s="607" t="s">
        <v>1302</v>
      </c>
      <c r="N76" s="607"/>
      <c r="O76" s="607"/>
      <c r="P76" s="607"/>
      <c r="Q76" s="607"/>
      <c r="R76" s="607"/>
      <c r="S76" s="607"/>
      <c r="T76" s="607"/>
      <c r="U76" s="607"/>
      <c r="V76" s="607" t="s">
        <v>488</v>
      </c>
      <c r="W76" s="607" t="s">
        <v>489</v>
      </c>
      <c r="X76" s="603">
        <f>(W_F)*N_PA</f>
        <v>0</v>
      </c>
      <c r="Y76" s="607">
        <f t="shared" si="14"/>
        <v>0</v>
      </c>
      <c r="Z76" s="600">
        <v>72</v>
      </c>
      <c r="AA76" s="388">
        <v>2.1</v>
      </c>
      <c r="AB76" s="615">
        <f t="shared" si="17"/>
        <v>0</v>
      </c>
    </row>
    <row r="77" spans="1:28" s="143" customFormat="1" ht="17.25" customHeight="1">
      <c r="A77" s="414" t="str">
        <f t="array" ref="A77">IF( ISERROR(INDEX(Panel!$H$6:$H$115,SMALL(IF(Panel!$J$6:$J$115&lt;&gt;0,ROW(Panel!$J$6:$J$115)-5),ROW(A73)))),"",INDEX(Panel!$H$6:$H$115,SMALL(IF(Panel!$J$6:$J$115&lt;&gt;0,ROW(Panel!$J$6:$J$115)-5),ROW(A73))))</f>
        <v/>
      </c>
      <c r="B77" s="414" t="str">
        <f t="array" ref="B77">IF(ISERROR(INDEX(Panel!$I$6:$I$115,SMALL(IF(Panel!$J$6:$J$115&lt;&gt;0,ROW(Panel!$J$6:$J$115)-5),ROW(B73)))),"",INDEX(Panel!$I$6:$I$115,SMALL(IF(Panel!$J$6:$J$115&lt;&gt;0,ROW(Panel!$J$6:$J$115)-5),ROW(B73))))</f>
        <v/>
      </c>
      <c r="C77" s="415" t="str">
        <f t="array" ref="C77">IF( ISERROR(INDEX(Panel!$J$6:$J$115,SMALL(IF(Panel!$J$6:$J$115&lt;&gt;0,ROW(Panel!$J$6:$J$115)-5),ROW(C73)))),"",  INDEX(Panel!$J$6:$J$115,SMALL(IF(Panel!$J$6:$J$115&lt;&gt;0,ROW(Panel!$J$6:$J$115)-5),ROW(C73))))</f>
        <v/>
      </c>
      <c r="D77" s="423"/>
      <c r="E77" s="604"/>
      <c r="F77" s="607" t="s">
        <v>418</v>
      </c>
      <c r="G77" s="607" t="s">
        <v>562</v>
      </c>
      <c r="H77" s="606" t="str">
        <f t="shared" si="15"/>
        <v>PAR</v>
      </c>
      <c r="I77" s="606" t="str">
        <f>M77&amp;Y77&amp;IF(OR(BASIC_TOOL!$C$15=1,BASIC_TOOL!$C$15=5),,N77)</f>
        <v>SN0</v>
      </c>
      <c r="J77" s="607">
        <f t="shared" si="16"/>
        <v>0</v>
      </c>
      <c r="K77" s="606" t="str">
        <f>L77&amp;IF(OR( BASIC_TOOL!$C$15=1,BASIC_TOOL!$C$15=5),"","")</f>
        <v>PAR</v>
      </c>
      <c r="L77" s="606" t="s">
        <v>558</v>
      </c>
      <c r="M77" s="607" t="s">
        <v>1307</v>
      </c>
      <c r="N77" s="607"/>
      <c r="O77" s="607"/>
      <c r="P77" s="607"/>
      <c r="Q77" s="607"/>
      <c r="R77" s="607"/>
      <c r="S77" s="607"/>
      <c r="T77" s="607" t="s">
        <v>488</v>
      </c>
      <c r="U77" s="607" t="s">
        <v>489</v>
      </c>
      <c r="V77" s="607" t="s">
        <v>490</v>
      </c>
      <c r="W77" s="607" t="s">
        <v>491</v>
      </c>
      <c r="X77" s="603">
        <f>(W_C)*N_PA</f>
        <v>0</v>
      </c>
      <c r="Y77" s="607">
        <f t="shared" si="14"/>
        <v>0</v>
      </c>
      <c r="Z77" s="600">
        <v>73</v>
      </c>
      <c r="AA77" s="388">
        <v>4.0999999999999996</v>
      </c>
      <c r="AB77" s="615">
        <f t="shared" si="17"/>
        <v>0</v>
      </c>
    </row>
    <row r="78" spans="1:28" s="143" customFormat="1" ht="17.25" customHeight="1">
      <c r="A78" s="414" t="str">
        <f t="array" ref="A78">IF( ISERROR(INDEX(Panel!$H$6:$H$115,SMALL(IF(Panel!$J$6:$J$115&lt;&gt;0,ROW(Panel!$J$6:$J$115)-5),ROW(A74)))),"",INDEX(Panel!$H$6:$H$115,SMALL(IF(Panel!$J$6:$J$115&lt;&gt;0,ROW(Panel!$J$6:$J$115)-5),ROW(A74))))</f>
        <v/>
      </c>
      <c r="B78" s="414" t="str">
        <f t="array" ref="B78">IF(ISERROR(INDEX(Panel!$I$6:$I$115,SMALL(IF(Panel!$J$6:$J$115&lt;&gt;0,ROW(Panel!$J$6:$J$115)-5),ROW(B74)))),"",INDEX(Panel!$I$6:$I$115,SMALL(IF(Panel!$J$6:$J$115&lt;&gt;0,ROW(Panel!$J$6:$J$115)-5),ROW(B74))))</f>
        <v/>
      </c>
      <c r="C78" s="415" t="str">
        <f t="array" ref="C78">IF( ISERROR(INDEX(Panel!$J$6:$J$115,SMALL(IF(Panel!$J$6:$J$115&lt;&gt;0,ROW(Panel!$J$6:$J$115)-5),ROW(C74)))),"",  INDEX(Panel!$J$6:$J$115,SMALL(IF(Panel!$J$6:$J$115&lt;&gt;0,ROW(Panel!$J$6:$J$115)-5),ROW(C74))))</f>
        <v/>
      </c>
      <c r="D78" s="423"/>
      <c r="E78" s="604"/>
      <c r="F78" s="607"/>
      <c r="G78" s="607"/>
      <c r="H78" s="606" t="str">
        <f t="shared" si="15"/>
        <v>HPAR_VERT</v>
      </c>
      <c r="I78" s="606" t="str">
        <f>M78&amp;Y78&amp;IF(OR(BASIC_TOOL!$C$15=1,BASIC_TOOL!$C$15=5),,N78)</f>
        <v>SH0</v>
      </c>
      <c r="J78" s="607">
        <f t="shared" si="16"/>
        <v>0</v>
      </c>
      <c r="K78" s="606" t="str">
        <f>L78&amp;IF(OR( BASIC_TOOL!$C$15=1,BASIC_TOOL!$C$15=5),"","")</f>
        <v>HPAR_VERT</v>
      </c>
      <c r="L78" s="606" t="s">
        <v>560</v>
      </c>
      <c r="M78" s="607" t="s">
        <v>1302</v>
      </c>
      <c r="N78" s="607"/>
      <c r="O78" s="607"/>
      <c r="P78" s="607"/>
      <c r="Q78" s="607"/>
      <c r="R78" s="607"/>
      <c r="S78" s="607"/>
      <c r="T78" s="607" t="s">
        <v>488</v>
      </c>
      <c r="U78" s="607" t="s">
        <v>489</v>
      </c>
      <c r="V78" s="607" t="s">
        <v>490</v>
      </c>
      <c r="W78" s="607" t="s">
        <v>491</v>
      </c>
      <c r="X78" s="603">
        <f>(W_F)*N_PA</f>
        <v>0</v>
      </c>
      <c r="Y78" s="607">
        <f t="shared" si="14"/>
        <v>0</v>
      </c>
      <c r="Z78" s="600">
        <v>74</v>
      </c>
      <c r="AA78" s="388">
        <v>2.1</v>
      </c>
      <c r="AB78" s="615">
        <f t="shared" si="17"/>
        <v>0</v>
      </c>
    </row>
    <row r="79" spans="1:28" s="143" customFormat="1" ht="17.25" customHeight="1">
      <c r="A79" s="414" t="str">
        <f t="array" ref="A79">IF( ISERROR(INDEX(Panel!$H$6:$H$115,SMALL(IF(Panel!$J$6:$J$115&lt;&gt;0,ROW(Panel!$J$6:$J$115)-5),ROW(A75)))),"",INDEX(Panel!$H$6:$H$115,SMALL(IF(Panel!$J$6:$J$115&lt;&gt;0,ROW(Panel!$J$6:$J$115)-5),ROW(A75))))</f>
        <v/>
      </c>
      <c r="B79" s="414" t="str">
        <f t="array" ref="B79">IF(ISERROR(INDEX(Panel!$I$6:$I$115,SMALL(IF(Panel!$J$6:$J$115&lt;&gt;0,ROW(Panel!$J$6:$J$115)-5),ROW(B75)))),"",INDEX(Panel!$I$6:$I$115,SMALL(IF(Panel!$J$6:$J$115&lt;&gt;0,ROW(Panel!$J$6:$J$115)-5),ROW(B75))))</f>
        <v/>
      </c>
      <c r="C79" s="415" t="str">
        <f t="array" ref="C79">IF( ISERROR(INDEX(Panel!$J$6:$J$115,SMALL(IF(Panel!$J$6:$J$115&lt;&gt;0,ROW(Panel!$J$6:$J$115)-5),ROW(C75)))),"",  INDEX(Panel!$J$6:$J$115,SMALL(IF(Panel!$J$6:$J$115&lt;&gt;0,ROW(Panel!$J$6:$J$115)-5),ROW(C75))))</f>
        <v/>
      </c>
      <c r="D79" s="423"/>
      <c r="E79" s="604"/>
      <c r="F79" s="607" t="s">
        <v>418</v>
      </c>
      <c r="G79" s="607" t="s">
        <v>563</v>
      </c>
      <c r="H79" s="606" t="str">
        <f t="shared" si="15"/>
        <v>PAR</v>
      </c>
      <c r="I79" s="606" t="str">
        <f>M79&amp;Y79&amp;IF(OR(BASIC_TOOL!$C$15=1,BASIC_TOOL!$C$15=5),,N79)</f>
        <v>PF30M</v>
      </c>
      <c r="J79" s="607">
        <f t="shared" si="16"/>
        <v>0</v>
      </c>
      <c r="K79" s="606" t="str">
        <f>L79&amp;IF(OR( BASIC_TOOL!$C$15=1,BASIC_TOOL!$C$15=5),"","")</f>
        <v>PAR</v>
      </c>
      <c r="L79" s="606" t="s">
        <v>558</v>
      </c>
      <c r="M79" s="607" t="s">
        <v>1306</v>
      </c>
      <c r="N79" s="607"/>
      <c r="O79" s="607" t="s">
        <v>1315</v>
      </c>
      <c r="P79" s="607"/>
      <c r="Q79" s="607"/>
      <c r="R79" s="607" t="s">
        <v>488</v>
      </c>
      <c r="S79" s="607" t="s">
        <v>489</v>
      </c>
      <c r="T79" s="607" t="s">
        <v>490</v>
      </c>
      <c r="U79" s="607" t="s">
        <v>491</v>
      </c>
      <c r="V79" s="607" t="s">
        <v>492</v>
      </c>
      <c r="W79" s="607" t="s">
        <v>493</v>
      </c>
      <c r="X79" s="603">
        <f>(W_C)*N_PA</f>
        <v>0</v>
      </c>
      <c r="Y79" s="413" t="str">
        <f t="shared" si="14"/>
        <v>30M</v>
      </c>
      <c r="Z79" s="600">
        <v>75</v>
      </c>
      <c r="AA79" s="388">
        <v>4.0999999999999996</v>
      </c>
      <c r="AB79" s="615">
        <f t="shared" si="17"/>
        <v>0</v>
      </c>
    </row>
    <row r="80" spans="1:28" s="143" customFormat="1" ht="17.25" customHeight="1">
      <c r="A80" s="414" t="str">
        <f t="array" ref="A80">IF( ISERROR(INDEX(Panel!$H$6:$H$115,SMALL(IF(Panel!$J$6:$J$115&lt;&gt;0,ROW(Panel!$J$6:$J$115)-5),ROW(A76)))),"",INDEX(Panel!$H$6:$H$115,SMALL(IF(Panel!$J$6:$J$115&lt;&gt;0,ROW(Panel!$J$6:$J$115)-5),ROW(A76))))</f>
        <v/>
      </c>
      <c r="B80" s="414" t="str">
        <f t="array" ref="B80">IF(ISERROR(INDEX(Panel!$I$6:$I$115,SMALL(IF(Panel!$J$6:$J$115&lt;&gt;0,ROW(Panel!$J$6:$J$115)-5),ROW(B76)))),"",INDEX(Panel!$I$6:$I$115,SMALL(IF(Panel!$J$6:$J$115&lt;&gt;0,ROW(Panel!$J$6:$J$115)-5),ROW(B76))))</f>
        <v/>
      </c>
      <c r="C80" s="415" t="str">
        <f t="array" ref="C80">IF( ISERROR(INDEX(Panel!$J$6:$J$115,SMALL(IF(Panel!$J$6:$J$115&lt;&gt;0,ROW(Panel!$J$6:$J$115)-5),ROW(C76)))),"",  INDEX(Panel!$J$6:$J$115,SMALL(IF(Panel!$J$6:$J$115&lt;&gt;0,ROW(Panel!$J$6:$J$115)-5),ROW(C76))))</f>
        <v/>
      </c>
      <c r="D80" s="423"/>
      <c r="E80" s="604"/>
      <c r="F80" s="607"/>
      <c r="G80" s="607"/>
      <c r="H80" s="606" t="str">
        <f t="shared" si="15"/>
        <v>HPAR_VERT</v>
      </c>
      <c r="I80" s="606" t="str">
        <f>M80&amp;Y80&amp;IF(OR(BASIC_TOOL!$C$15=1,BASIC_TOOL!$C$15=5),,N80)</f>
        <v>PH30M</v>
      </c>
      <c r="J80" s="607">
        <f t="shared" si="16"/>
        <v>0</v>
      </c>
      <c r="K80" s="606" t="str">
        <f>L80&amp;IF(OR( BASIC_TOOL!$C$15=1,BASIC_TOOL!$C$15=5),"","-"&amp;N80)</f>
        <v>HPAR_VERT</v>
      </c>
      <c r="L80" s="606" t="s">
        <v>560</v>
      </c>
      <c r="M80" s="607" t="s">
        <v>1305</v>
      </c>
      <c r="N80" s="607"/>
      <c r="O80" s="607" t="s">
        <v>1315</v>
      </c>
      <c r="P80" s="607"/>
      <c r="Q80" s="607"/>
      <c r="R80" s="607" t="s">
        <v>488</v>
      </c>
      <c r="S80" s="607" t="s">
        <v>489</v>
      </c>
      <c r="T80" s="607" t="s">
        <v>490</v>
      </c>
      <c r="U80" s="607" t="s">
        <v>491</v>
      </c>
      <c r="V80" s="607" t="s">
        <v>492</v>
      </c>
      <c r="W80" s="607" t="s">
        <v>493</v>
      </c>
      <c r="X80" s="603">
        <f>(W_F)*N_PA</f>
        <v>0</v>
      </c>
      <c r="Y80" s="413" t="str">
        <f t="shared" si="14"/>
        <v>30M</v>
      </c>
      <c r="Z80" s="600">
        <v>76</v>
      </c>
      <c r="AA80" s="388">
        <v>2.1</v>
      </c>
      <c r="AB80" s="615">
        <f t="shared" si="17"/>
        <v>0</v>
      </c>
    </row>
    <row r="81" spans="1:26" s="143" customFormat="1" ht="17.25" customHeight="1" thickBot="1">
      <c r="A81" s="414" t="str">
        <f t="array" ref="A81">IF( ISERROR(INDEX(Panel!$H$6:$H$115,SMALL(IF(Panel!$J$6:$J$115&lt;&gt;0,ROW(Panel!$J$6:$J$115)-5),ROW(A77)))),"",INDEX(Panel!$H$6:$H$115,SMALL(IF(Panel!$J$6:$J$115&lt;&gt;0,ROW(Panel!$J$6:$J$115)-5),ROW(A77))))</f>
        <v/>
      </c>
      <c r="B81" s="414" t="str">
        <f t="array" ref="B81">IF(ISERROR(INDEX(Panel!$I$6:$I$115,SMALL(IF(Panel!$J$6:$J$115&lt;&gt;0,ROW(Panel!$J$6:$J$115)-5),ROW(B77)))),"",INDEX(Panel!$I$6:$I$115,SMALL(IF(Panel!$J$6:$J$115&lt;&gt;0,ROW(Panel!$J$6:$J$115)-5),ROW(B77))))</f>
        <v/>
      </c>
      <c r="C81" s="415" t="str">
        <f t="array" ref="C81">IF( ISERROR(INDEX(Panel!$J$6:$J$115,SMALL(IF(Panel!$J$6:$J$115&lt;&gt;0,ROW(Panel!$J$6:$J$115)-5),ROW(C77)))),"",  INDEX(Panel!$J$6:$J$115,SMALL(IF(Panel!$J$6:$J$115&lt;&gt;0,ROW(Panel!$J$6:$J$115)-5),ROW(C77))))</f>
        <v/>
      </c>
      <c r="D81" s="423"/>
      <c r="E81" s="873"/>
      <c r="F81" s="874"/>
      <c r="G81" s="874"/>
      <c r="H81" s="875"/>
      <c r="I81" s="875"/>
      <c r="J81" s="876"/>
      <c r="K81" s="877"/>
      <c r="L81" s="877"/>
      <c r="M81" s="878"/>
      <c r="N81" s="878"/>
      <c r="O81" s="878"/>
      <c r="P81" s="878"/>
      <c r="Q81" s="878"/>
      <c r="R81" s="878"/>
      <c r="S81" s="878"/>
      <c r="T81" s="878"/>
      <c r="U81" s="878"/>
      <c r="V81" s="878"/>
      <c r="W81" s="878"/>
      <c r="X81" s="879"/>
      <c r="Y81" s="868">
        <f t="shared" si="14"/>
        <v>0</v>
      </c>
      <c r="Z81" s="869">
        <v>77</v>
      </c>
    </row>
    <row r="82" spans="1:26" s="143" customFormat="1" ht="17.25" customHeight="1">
      <c r="A82" s="414" t="str">
        <f t="array" ref="A82">IF( ISERROR(INDEX(Panel!$H$6:$H$115,SMALL(IF(Panel!$J$6:$J$115&lt;&gt;0,ROW(Panel!$J$6:$J$115)-5),ROW(A78)))),"",INDEX(Panel!$H$6:$H$115,SMALL(IF(Panel!$J$6:$J$115&lt;&gt;0,ROW(Panel!$J$6:$J$115)-5),ROW(A78))))</f>
        <v/>
      </c>
      <c r="B82" s="414" t="str">
        <f t="array" ref="B82">IF(ISERROR(INDEX(Panel!$I$6:$I$115,SMALL(IF(Panel!$J$6:$J$115&lt;&gt;0,ROW(Panel!$J$6:$J$115)-5),ROW(B78)))),"",INDEX(Panel!$I$6:$I$115,SMALL(IF(Panel!$J$6:$J$115&lt;&gt;0,ROW(Panel!$J$6:$J$115)-5),ROW(B78))))</f>
        <v/>
      </c>
      <c r="C82" s="415" t="str">
        <f t="array" ref="C82">IF( ISERROR(INDEX(Panel!$J$6:$J$115,SMALL(IF(Panel!$J$6:$J$115&lt;&gt;0,ROW(Panel!$J$6:$J$115)-5),ROW(C78)))),"",  INDEX(Panel!$J$6:$J$115,SMALL(IF(Panel!$J$6:$J$115&lt;&gt;0,ROW(Panel!$J$6:$J$115)-5),ROW(C78))))</f>
        <v/>
      </c>
      <c r="D82" s="423"/>
      <c r="E82" s="425"/>
      <c r="F82" s="430"/>
      <c r="G82" s="428"/>
      <c r="H82" s="427"/>
      <c r="I82" s="427"/>
      <c r="J82" s="428"/>
      <c r="K82" s="429"/>
      <c r="L82" s="429"/>
      <c r="M82" s="431"/>
      <c r="N82" s="431"/>
      <c r="O82" s="431"/>
      <c r="P82" s="431"/>
      <c r="Q82" s="431"/>
      <c r="R82" s="431"/>
      <c r="S82" s="431"/>
      <c r="T82" s="431"/>
      <c r="U82" s="431"/>
      <c r="V82" s="431"/>
      <c r="W82" s="431"/>
      <c r="X82" s="432"/>
      <c r="Y82" s="433">
        <f t="shared" si="14"/>
        <v>0</v>
      </c>
      <c r="Z82" s="611">
        <v>78</v>
      </c>
    </row>
    <row r="83" spans="1:26" s="143" customFormat="1" ht="17.25" customHeight="1" thickBot="1">
      <c r="A83" s="414" t="str">
        <f t="array" ref="A83">IF( ISERROR(INDEX(Panel!$H$6:$H$115,SMALL(IF(Panel!$J$6:$J$115&lt;&gt;0,ROW(Panel!$J$6:$J$115)-5),ROW(A79)))),"",INDEX(Panel!$H$6:$H$115,SMALL(IF(Panel!$J$6:$J$115&lt;&gt;0,ROW(Panel!$J$6:$J$115)-5),ROW(A79))))</f>
        <v/>
      </c>
      <c r="B83" s="414" t="str">
        <f t="array" ref="B83">IF(ISERROR(INDEX(Panel!$I$6:$I$115,SMALL(IF(Panel!$J$6:$J$115&lt;&gt;0,ROW(Panel!$J$6:$J$115)-5),ROW(B79)))),"",INDEX(Panel!$I$6:$I$115,SMALL(IF(Panel!$J$6:$J$115&lt;&gt;0,ROW(Panel!$J$6:$J$115)-5),ROW(B79))))</f>
        <v/>
      </c>
      <c r="C83" s="415" t="str">
        <f t="array" ref="C83">IF( ISERROR(INDEX(Panel!$J$6:$J$115,SMALL(IF(Panel!$J$6:$J$115&lt;&gt;0,ROW(Panel!$J$6:$J$115)-5),ROW(C79)))),"",  INDEX(Panel!$J$6:$J$115,SMALL(IF(Panel!$J$6:$J$115&lt;&gt;0,ROW(Panel!$J$6:$J$115)-5),ROW(C79))))</f>
        <v/>
      </c>
      <c r="D83" s="423"/>
      <c r="E83" s="425"/>
      <c r="F83" s="430"/>
      <c r="G83" s="428"/>
      <c r="H83" s="427"/>
      <c r="I83" s="427"/>
      <c r="J83" s="428"/>
      <c r="K83" s="429"/>
      <c r="L83" s="429"/>
      <c r="M83" s="431"/>
      <c r="N83" s="431"/>
      <c r="O83" s="431"/>
      <c r="P83" s="431"/>
      <c r="Q83" s="431"/>
      <c r="R83" s="431"/>
      <c r="S83" s="431"/>
      <c r="T83" s="431"/>
      <c r="U83" s="431"/>
      <c r="V83" s="431"/>
      <c r="W83" s="431"/>
      <c r="X83" s="432"/>
      <c r="Y83" s="433">
        <f t="shared" si="14"/>
        <v>0</v>
      </c>
      <c r="Z83" s="612">
        <v>79</v>
      </c>
    </row>
    <row r="84" spans="1:26" s="143" customFormat="1" ht="17.25" customHeight="1">
      <c r="A84" s="414" t="str">
        <f t="array" ref="A84">IF( ISERROR(INDEX(Panel!$H$6:$H$115,SMALL(IF(Panel!$J$6:$J$115&lt;&gt;0,ROW(Panel!$J$6:$J$115)-5),ROW(A80)))),"",INDEX(Panel!$H$6:$H$115,SMALL(IF(Panel!$J$6:$J$115&lt;&gt;0,ROW(Panel!$J$6:$J$115)-5),ROW(A80))))</f>
        <v/>
      </c>
      <c r="B84" s="414" t="str">
        <f t="array" ref="B84">IF(ISERROR(INDEX(Panel!$I$6:$I$115,SMALL(IF(Panel!$J$6:$J$115&lt;&gt;0,ROW(Panel!$J$6:$J$115)-5),ROW(B80)))),"",INDEX(Panel!$I$6:$I$115,SMALL(IF(Panel!$J$6:$J$115&lt;&gt;0,ROW(Panel!$J$6:$J$115)-5),ROW(B80))))</f>
        <v/>
      </c>
      <c r="C84" s="415" t="str">
        <f t="array" ref="C84">IF( ISERROR(INDEX(Panel!$J$6:$J$115,SMALL(IF(Panel!$J$6:$J$115&lt;&gt;0,ROW(Panel!$J$6:$J$115)-5),ROW(C80)))),"",  INDEX(Panel!$J$6:$J$115,SMALL(IF(Panel!$J$6:$J$115&lt;&gt;0,ROW(Panel!$J$6:$J$115)-5),ROW(C80))))</f>
        <v/>
      </c>
      <c r="D84" s="423"/>
      <c r="E84" s="425"/>
      <c r="F84" s="430"/>
      <c r="G84" s="428"/>
      <c r="H84" s="427"/>
      <c r="I84" s="427"/>
      <c r="J84" s="428"/>
      <c r="K84" s="429"/>
      <c r="L84" s="429"/>
      <c r="M84" s="431"/>
      <c r="N84" s="431"/>
      <c r="O84" s="431"/>
      <c r="P84" s="431"/>
      <c r="Q84" s="431"/>
      <c r="R84" s="431"/>
      <c r="S84" s="431"/>
      <c r="T84" s="431"/>
      <c r="U84" s="431"/>
      <c r="V84" s="431"/>
      <c r="W84" s="431"/>
      <c r="X84" s="432"/>
      <c r="Y84" s="433">
        <f t="shared" si="14"/>
        <v>0</v>
      </c>
      <c r="Z84" s="611">
        <v>80</v>
      </c>
    </row>
    <row r="85" spans="1:26" s="143" customFormat="1" ht="17.25" customHeight="1" thickBot="1">
      <c r="A85" s="414" t="str">
        <f t="array" ref="A85">IF( ISERROR(INDEX(Panel!$H$6:$H$115,SMALL(IF(Panel!$J$6:$J$115&lt;&gt;0,ROW(Panel!$J$6:$J$115)-5),ROW(A81)))),"",INDEX(Panel!$H$6:$H$115,SMALL(IF(Panel!$J$6:$J$115&lt;&gt;0,ROW(Panel!$J$6:$J$115)-5),ROW(A81))))</f>
        <v/>
      </c>
      <c r="B85" s="414" t="str">
        <f t="array" ref="B85">IF(ISERROR(INDEX(Panel!$I$6:$I$115,SMALL(IF(Panel!$J$6:$J$115&lt;&gt;0,ROW(Panel!$J$6:$J$115)-5),ROW(B81)))),"",INDEX(Panel!$I$6:$I$115,SMALL(IF(Panel!$J$6:$J$115&lt;&gt;0,ROW(Panel!$J$6:$J$115)-5),ROW(B81))))</f>
        <v/>
      </c>
      <c r="C85" s="415" t="str">
        <f t="array" ref="C85">IF( ISERROR(INDEX(Panel!$J$6:$J$115,SMALL(IF(Panel!$J$6:$J$115&lt;&gt;0,ROW(Panel!$J$6:$J$115)-5),ROW(C81)))),"",  INDEX(Panel!$J$6:$J$115,SMALL(IF(Panel!$J$6:$J$115&lt;&gt;0,ROW(Panel!$J$6:$J$115)-5),ROW(C81))))</f>
        <v/>
      </c>
      <c r="D85" s="423"/>
      <c r="E85" s="425"/>
      <c r="F85" s="430"/>
      <c r="G85" s="428"/>
      <c r="H85" s="427"/>
      <c r="I85" s="427"/>
      <c r="J85" s="428"/>
      <c r="K85" s="429"/>
      <c r="L85" s="429"/>
      <c r="M85" s="431"/>
      <c r="N85" s="431"/>
      <c r="O85" s="431"/>
      <c r="P85" s="431"/>
      <c r="Q85" s="431"/>
      <c r="R85" s="431"/>
      <c r="S85" s="431"/>
      <c r="T85" s="431"/>
      <c r="U85" s="431"/>
      <c r="V85" s="431"/>
      <c r="W85" s="431"/>
      <c r="X85" s="432"/>
      <c r="Y85" s="433">
        <f t="shared" si="14"/>
        <v>0</v>
      </c>
      <c r="Z85" s="612">
        <v>81</v>
      </c>
    </row>
    <row r="86" spans="1:26" s="143" customFormat="1" ht="17.25" customHeight="1">
      <c r="A86" s="414" t="str">
        <f t="array" ref="A86">IF( ISERROR(INDEX(Panel!$H$6:$H$115,SMALL(IF(Panel!$J$6:$J$115&lt;&gt;0,ROW(Panel!$J$6:$J$115)-5),ROW(A82)))),"",INDEX(Panel!$H$6:$H$115,SMALL(IF(Panel!$J$6:$J$115&lt;&gt;0,ROW(Panel!$J$6:$J$115)-5),ROW(A82))))</f>
        <v/>
      </c>
      <c r="B86" s="414" t="str">
        <f t="array" ref="B86">IF(ISERROR(INDEX(Panel!$I$6:$I$115,SMALL(IF(Panel!$J$6:$J$115&lt;&gt;0,ROW(Panel!$J$6:$J$115)-5),ROW(B82)))),"",INDEX(Panel!$I$6:$I$115,SMALL(IF(Panel!$J$6:$J$115&lt;&gt;0,ROW(Panel!$J$6:$J$115)-5),ROW(B82))))</f>
        <v/>
      </c>
      <c r="C86" s="415" t="str">
        <f t="array" ref="C86">IF( ISERROR(INDEX(Panel!$J$6:$J$115,SMALL(IF(Panel!$J$6:$J$115&lt;&gt;0,ROW(Panel!$J$6:$J$115)-5),ROW(C82)))),"",  INDEX(Panel!$J$6:$J$115,SMALL(IF(Panel!$J$6:$J$115&lt;&gt;0,ROW(Panel!$J$6:$J$115)-5),ROW(C82))))</f>
        <v/>
      </c>
      <c r="D86" s="423"/>
      <c r="E86" s="425"/>
      <c r="F86" s="388"/>
      <c r="G86" s="388"/>
      <c r="H86" s="416"/>
      <c r="I86" s="416"/>
      <c r="J86" s="413"/>
      <c r="K86" s="417"/>
      <c r="L86" s="417"/>
      <c r="M86" s="418"/>
      <c r="N86" s="418"/>
      <c r="O86" s="418"/>
      <c r="P86" s="418"/>
      <c r="Q86" s="418"/>
      <c r="R86" s="418"/>
      <c r="S86" s="418"/>
      <c r="T86" s="418"/>
      <c r="U86" s="418"/>
      <c r="V86" s="418"/>
      <c r="W86" s="418"/>
      <c r="X86" s="419"/>
      <c r="Y86" s="433">
        <f t="shared" si="14"/>
        <v>0</v>
      </c>
      <c r="Z86" s="611">
        <v>82</v>
      </c>
    </row>
    <row r="87" spans="1:26" s="143" customFormat="1" ht="17.25" customHeight="1" thickBot="1">
      <c r="A87" s="414" t="str">
        <f t="array" ref="A87">IF( ISERROR(INDEX(Panel!$H$6:$H$115,SMALL(IF(Panel!$J$6:$J$115&lt;&gt;0,ROW(Panel!$J$6:$J$115)-5),ROW(A83)))),"",INDEX(Panel!$H$6:$H$115,SMALL(IF(Panel!$J$6:$J$115&lt;&gt;0,ROW(Panel!$J$6:$J$115)-5),ROW(A83))))</f>
        <v/>
      </c>
      <c r="B87" s="414" t="str">
        <f t="array" ref="B87">IF(ISERROR(INDEX(Panel!$I$6:$I$115,SMALL(IF(Panel!$J$6:$J$115&lt;&gt;0,ROW(Panel!$J$6:$J$115)-5),ROW(B83)))),"",INDEX(Panel!$I$6:$I$115,SMALL(IF(Panel!$J$6:$J$115&lt;&gt;0,ROW(Panel!$J$6:$J$115)-5),ROW(B83))))</f>
        <v/>
      </c>
      <c r="C87" s="415" t="str">
        <f t="array" ref="C87">IF( ISERROR(INDEX(Panel!$J$6:$J$115,SMALL(IF(Panel!$J$6:$J$115&lt;&gt;0,ROW(Panel!$J$6:$J$115)-5),ROW(C83)))),"",  INDEX(Panel!$J$6:$J$115,SMALL(IF(Panel!$J$6:$J$115&lt;&gt;0,ROW(Panel!$J$6:$J$115)-5),ROW(C83))))</f>
        <v/>
      </c>
      <c r="D87" s="423"/>
      <c r="E87" s="425"/>
      <c r="F87" s="388"/>
      <c r="G87" s="388"/>
      <c r="H87" s="416"/>
      <c r="I87" s="416"/>
      <c r="J87" s="413"/>
      <c r="K87" s="417"/>
      <c r="L87" s="417"/>
      <c r="M87" s="418"/>
      <c r="N87" s="418"/>
      <c r="O87" s="418"/>
      <c r="P87" s="418"/>
      <c r="Q87" s="418"/>
      <c r="R87" s="418"/>
      <c r="S87" s="418"/>
      <c r="T87" s="418"/>
      <c r="U87" s="418"/>
      <c r="V87" s="418"/>
      <c r="W87" s="418"/>
      <c r="X87" s="419"/>
      <c r="Y87" s="433">
        <f t="shared" si="14"/>
        <v>0</v>
      </c>
      <c r="Z87" s="612">
        <v>83</v>
      </c>
    </row>
    <row r="88" spans="1:26" s="143" customFormat="1" ht="17.25" customHeight="1">
      <c r="A88" s="414" t="str">
        <f t="array" ref="A88">IF( ISERROR(INDEX(Panel!$H$6:$H$115,SMALL(IF(Panel!$J$6:$J$115&lt;&gt;0,ROW(Panel!$J$6:$J$115)-5),ROW(A84)))),"",INDEX(Panel!$H$6:$H$115,SMALL(IF(Panel!$J$6:$J$115&lt;&gt;0,ROW(Panel!$J$6:$J$115)-5),ROW(A84))))</f>
        <v/>
      </c>
      <c r="B88" s="414" t="str">
        <f t="array" ref="B88">IF(ISERROR(INDEX(Panel!$I$6:$I$115,SMALL(IF(Panel!$J$6:$J$115&lt;&gt;0,ROW(Panel!$J$6:$J$115)-5),ROW(B84)))),"",INDEX(Panel!$I$6:$I$115,SMALL(IF(Panel!$J$6:$J$115&lt;&gt;0,ROW(Panel!$J$6:$J$115)-5),ROW(B84))))</f>
        <v/>
      </c>
      <c r="C88" s="415" t="str">
        <f t="array" ref="C88">IF( ISERROR(INDEX(Panel!$J$6:$J$115,SMALL(IF(Panel!$J$6:$J$115&lt;&gt;0,ROW(Panel!$J$6:$J$115)-5),ROW(C84)))),"",  INDEX(Panel!$J$6:$J$115,SMALL(IF(Panel!$J$6:$J$115&lt;&gt;0,ROW(Panel!$J$6:$J$115)-5),ROW(C84))))</f>
        <v/>
      </c>
      <c r="D88" s="423"/>
      <c r="E88" s="425"/>
      <c r="F88" s="388"/>
      <c r="G88" s="388"/>
      <c r="H88" s="416"/>
      <c r="I88" s="416"/>
      <c r="J88" s="413"/>
      <c r="K88" s="417"/>
      <c r="L88" s="417"/>
      <c r="M88" s="418"/>
      <c r="N88" s="418"/>
      <c r="O88" s="418"/>
      <c r="P88" s="418"/>
      <c r="Q88" s="418"/>
      <c r="R88" s="418"/>
      <c r="S88" s="418"/>
      <c r="T88" s="418"/>
      <c r="U88" s="418"/>
      <c r="V88" s="418"/>
      <c r="W88" s="418"/>
      <c r="X88" s="419"/>
      <c r="Y88" s="433">
        <f t="shared" ref="Y88:Y115" si="18">HLOOKUP(H_O,$O$5:$W$115,Z88,FALSE)</f>
        <v>0</v>
      </c>
      <c r="Z88" s="611">
        <v>84</v>
      </c>
    </row>
    <row r="89" spans="1:26" s="143" customFormat="1" ht="17.25" customHeight="1" thickBot="1">
      <c r="A89" s="414" t="str">
        <f t="array" ref="A89">IF( ISERROR(INDEX(Panel!$H$6:$H$115,SMALL(IF(Panel!$J$6:$J$115&lt;&gt;0,ROW(Panel!$J$6:$J$115)-5),ROW(A85)))),"",INDEX(Panel!$H$6:$H$115,SMALL(IF(Panel!$J$6:$J$115&lt;&gt;0,ROW(Panel!$J$6:$J$115)-5),ROW(A85))))</f>
        <v/>
      </c>
      <c r="B89" s="414" t="str">
        <f t="array" ref="B89">IF(ISERROR(INDEX(Panel!$I$6:$I$115,SMALL(IF(Panel!$J$6:$J$115&lt;&gt;0,ROW(Panel!$J$6:$J$115)-5),ROW(B85)))),"",INDEX(Panel!$I$6:$I$115,SMALL(IF(Panel!$J$6:$J$115&lt;&gt;0,ROW(Panel!$J$6:$J$115)-5),ROW(B85))))</f>
        <v/>
      </c>
      <c r="C89" s="415" t="str">
        <f t="array" ref="C89">IF( ISERROR(INDEX(Panel!$J$6:$J$115,SMALL(IF(Panel!$J$6:$J$115&lt;&gt;0,ROW(Panel!$J$6:$J$115)-5),ROW(C85)))),"",  INDEX(Panel!$J$6:$J$115,SMALL(IF(Panel!$J$6:$J$115&lt;&gt;0,ROW(Panel!$J$6:$J$115)-5),ROW(C85))))</f>
        <v/>
      </c>
      <c r="D89" s="423"/>
      <c r="E89" s="425"/>
      <c r="F89" s="388"/>
      <c r="G89" s="388"/>
      <c r="H89" s="416"/>
      <c r="I89" s="416"/>
      <c r="J89" s="413"/>
      <c r="K89" s="417"/>
      <c r="L89" s="417"/>
      <c r="M89" s="418"/>
      <c r="N89" s="418"/>
      <c r="O89" s="418"/>
      <c r="P89" s="418"/>
      <c r="Q89" s="418"/>
      <c r="R89" s="418"/>
      <c r="S89" s="418"/>
      <c r="T89" s="418"/>
      <c r="U89" s="418"/>
      <c r="V89" s="418"/>
      <c r="W89" s="418"/>
      <c r="X89" s="419"/>
      <c r="Y89" s="433">
        <f t="shared" si="18"/>
        <v>0</v>
      </c>
      <c r="Z89" s="612">
        <v>85</v>
      </c>
    </row>
    <row r="90" spans="1:26" s="143" customFormat="1" ht="17.25" customHeight="1">
      <c r="A90" s="414" t="str">
        <f t="array" ref="A90">IF( ISERROR(INDEX(Panel!$H$6:$H$115,SMALL(IF(Panel!$J$6:$J$115&lt;&gt;0,ROW(Panel!$J$6:$J$115)-5),ROW(A86)))),"",INDEX(Panel!$H$6:$H$115,SMALL(IF(Panel!$J$6:$J$115&lt;&gt;0,ROW(Panel!$J$6:$J$115)-5),ROW(A86))))</f>
        <v/>
      </c>
      <c r="B90" s="414" t="str">
        <f t="array" ref="B90">IF(ISERROR(INDEX(Panel!$I$6:$I$115,SMALL(IF(Panel!$J$6:$J$115&lt;&gt;0,ROW(Panel!$J$6:$J$115)-5),ROW(B86)))),"",INDEX(Panel!$I$6:$I$115,SMALL(IF(Panel!$J$6:$J$115&lt;&gt;0,ROW(Panel!$J$6:$J$115)-5),ROW(B86))))</f>
        <v/>
      </c>
      <c r="C90" s="415" t="str">
        <f t="array" ref="C90">IF( ISERROR(INDEX(Panel!$J$6:$J$115,SMALL(IF(Panel!$J$6:$J$115&lt;&gt;0,ROW(Panel!$J$6:$J$115)-5),ROW(C86)))),"",  INDEX(Panel!$J$6:$J$115,SMALL(IF(Panel!$J$6:$J$115&lt;&gt;0,ROW(Panel!$J$6:$J$115)-5),ROW(C86))))</f>
        <v/>
      </c>
      <c r="D90" s="423"/>
      <c r="E90" s="425"/>
      <c r="F90" s="388"/>
      <c r="G90" s="388"/>
      <c r="H90" s="416"/>
      <c r="I90" s="416"/>
      <c r="J90" s="413"/>
      <c r="K90" s="417"/>
      <c r="L90" s="417"/>
      <c r="M90" s="418"/>
      <c r="N90" s="418"/>
      <c r="O90" s="418"/>
      <c r="P90" s="418"/>
      <c r="Q90" s="418"/>
      <c r="R90" s="418"/>
      <c r="S90" s="418"/>
      <c r="T90" s="418"/>
      <c r="U90" s="418"/>
      <c r="V90" s="418"/>
      <c r="W90" s="418"/>
      <c r="X90" s="419"/>
      <c r="Y90" s="433">
        <f t="shared" si="18"/>
        <v>0</v>
      </c>
      <c r="Z90" s="611">
        <v>86</v>
      </c>
    </row>
    <row r="91" spans="1:26" s="143" customFormat="1" ht="17.25" customHeight="1" thickBot="1">
      <c r="A91" s="414" t="str">
        <f t="array" ref="A91">IF( ISERROR(INDEX(Panel!$H$6:$H$115,SMALL(IF(Panel!$J$6:$J$115&lt;&gt;0,ROW(Panel!$J$6:$J$115)-5),ROW(A87)))),"",INDEX(Panel!$H$6:$H$115,SMALL(IF(Panel!$J$6:$J$115&lt;&gt;0,ROW(Panel!$J$6:$J$115)-5),ROW(A87))))</f>
        <v/>
      </c>
      <c r="B91" s="414" t="str">
        <f t="array" ref="B91">IF(ISERROR(INDEX(Panel!$I$6:$I$115,SMALL(IF(Panel!$J$6:$J$115&lt;&gt;0,ROW(Panel!$J$6:$J$115)-5),ROW(B87)))),"",INDEX(Panel!$I$6:$I$115,SMALL(IF(Panel!$J$6:$J$115&lt;&gt;0,ROW(Panel!$J$6:$J$115)-5),ROW(B87))))</f>
        <v/>
      </c>
      <c r="C91" s="415" t="str">
        <f t="array" ref="C91">IF( ISERROR(INDEX(Panel!$J$6:$J$115,SMALL(IF(Panel!$J$6:$J$115&lt;&gt;0,ROW(Panel!$J$6:$J$115)-5),ROW(C87)))),"",  INDEX(Panel!$J$6:$J$115,SMALL(IF(Panel!$J$6:$J$115&lt;&gt;0,ROW(Panel!$J$6:$J$115)-5),ROW(C87))))</f>
        <v/>
      </c>
      <c r="D91" s="423"/>
      <c r="E91" s="425"/>
      <c r="F91" s="388"/>
      <c r="G91" s="388"/>
      <c r="H91" s="416"/>
      <c r="I91" s="416"/>
      <c r="J91" s="413"/>
      <c r="K91" s="417"/>
      <c r="L91" s="417"/>
      <c r="M91" s="418"/>
      <c r="N91" s="418"/>
      <c r="O91" s="418"/>
      <c r="P91" s="418"/>
      <c r="Q91" s="418"/>
      <c r="R91" s="418"/>
      <c r="S91" s="418"/>
      <c r="T91" s="418"/>
      <c r="U91" s="418"/>
      <c r="V91" s="418"/>
      <c r="W91" s="418"/>
      <c r="X91" s="419"/>
      <c r="Y91" s="433">
        <f t="shared" si="18"/>
        <v>0</v>
      </c>
      <c r="Z91" s="612">
        <v>87</v>
      </c>
    </row>
    <row r="92" spans="1:26" s="143" customFormat="1" ht="17.25" customHeight="1">
      <c r="A92" s="414" t="str">
        <f t="array" ref="A92">IF( ISERROR(INDEX(Panel!$H$6:$H$115,SMALL(IF(Panel!$J$6:$J$115&lt;&gt;0,ROW(Panel!$J$6:$J$115)-5),ROW(A88)))),"",INDEX(Panel!$H$6:$H$115,SMALL(IF(Panel!$J$6:$J$115&lt;&gt;0,ROW(Panel!$J$6:$J$115)-5),ROW(A88))))</f>
        <v/>
      </c>
      <c r="B92" s="414" t="str">
        <f t="array" ref="B92">IF(ISERROR(INDEX(Panel!$I$6:$I$115,SMALL(IF(Panel!$J$6:$J$115&lt;&gt;0,ROW(Panel!$J$6:$J$115)-5),ROW(B88)))),"",INDEX(Panel!$I$6:$I$115,SMALL(IF(Panel!$J$6:$J$115&lt;&gt;0,ROW(Panel!$J$6:$J$115)-5),ROW(B88))))</f>
        <v/>
      </c>
      <c r="C92" s="415" t="str">
        <f t="array" ref="C92">IF( ISERROR(INDEX(Panel!$J$6:$J$115,SMALL(IF(Panel!$J$6:$J$115&lt;&gt;0,ROW(Panel!$J$6:$J$115)-5),ROW(C88)))),"",  INDEX(Panel!$J$6:$J$115,SMALL(IF(Panel!$J$6:$J$115&lt;&gt;0,ROW(Panel!$J$6:$J$115)-5),ROW(C88))))</f>
        <v/>
      </c>
      <c r="D92" s="423"/>
      <c r="E92" s="425"/>
      <c r="F92" s="388"/>
      <c r="G92" s="413"/>
      <c r="H92" s="416"/>
      <c r="I92" s="416"/>
      <c r="J92" s="413"/>
      <c r="K92" s="417"/>
      <c r="L92" s="417"/>
      <c r="M92" s="418"/>
      <c r="N92" s="418"/>
      <c r="O92" s="418"/>
      <c r="P92" s="418"/>
      <c r="Q92" s="418"/>
      <c r="R92" s="418"/>
      <c r="S92" s="418"/>
      <c r="T92" s="418"/>
      <c r="U92" s="418"/>
      <c r="V92" s="418"/>
      <c r="W92" s="418"/>
      <c r="X92" s="419"/>
      <c r="Y92" s="433">
        <f t="shared" si="18"/>
        <v>0</v>
      </c>
      <c r="Z92" s="611">
        <v>88</v>
      </c>
    </row>
    <row r="93" spans="1:26" s="143" customFormat="1" ht="17.25" customHeight="1" thickBot="1">
      <c r="A93" s="414" t="str">
        <f t="array" ref="A93">IF( ISERROR(INDEX(Panel!$H$6:$H$115,SMALL(IF(Panel!$J$6:$J$115&lt;&gt;0,ROW(Panel!$J$6:$J$115)-5),ROW(A89)))),"",INDEX(Panel!$H$6:$H$115,SMALL(IF(Panel!$J$6:$J$115&lt;&gt;0,ROW(Panel!$J$6:$J$115)-5),ROW(A89))))</f>
        <v/>
      </c>
      <c r="B93" s="414" t="str">
        <f t="array" ref="B93">IF(ISERROR(INDEX(Panel!$I$6:$I$115,SMALL(IF(Panel!$J$6:$J$115&lt;&gt;0,ROW(Panel!$J$6:$J$115)-5),ROW(B89)))),"",INDEX(Panel!$I$6:$I$115,SMALL(IF(Panel!$J$6:$J$115&lt;&gt;0,ROW(Panel!$J$6:$J$115)-5),ROW(B89))))</f>
        <v/>
      </c>
      <c r="C93" s="415" t="str">
        <f t="array" ref="C93">IF( ISERROR(INDEX(Panel!$J$6:$J$115,SMALL(IF(Panel!$J$6:$J$115&lt;&gt;0,ROW(Panel!$J$6:$J$115)-5),ROW(C89)))),"",  INDEX(Panel!$J$6:$J$115,SMALL(IF(Panel!$J$6:$J$115&lt;&gt;0,ROW(Panel!$J$6:$J$115)-5),ROW(C89))))</f>
        <v/>
      </c>
      <c r="D93" s="423"/>
      <c r="E93" s="425"/>
      <c r="F93" s="388"/>
      <c r="G93" s="413"/>
      <c r="H93" s="416"/>
      <c r="I93" s="416"/>
      <c r="J93" s="413"/>
      <c r="K93" s="417"/>
      <c r="L93" s="417"/>
      <c r="M93" s="418"/>
      <c r="N93" s="418"/>
      <c r="O93" s="418"/>
      <c r="P93" s="418"/>
      <c r="Q93" s="418"/>
      <c r="R93" s="418"/>
      <c r="S93" s="418"/>
      <c r="T93" s="418"/>
      <c r="U93" s="418"/>
      <c r="V93" s="418"/>
      <c r="W93" s="418"/>
      <c r="X93" s="419"/>
      <c r="Y93" s="433">
        <f t="shared" si="18"/>
        <v>0</v>
      </c>
      <c r="Z93" s="612">
        <v>89</v>
      </c>
    </row>
    <row r="94" spans="1:26" s="143" customFormat="1" ht="17.25" customHeight="1">
      <c r="A94" s="141" t="str">
        <f t="array" ref="A94">IF( ISERROR(INDEX(Panel!$H$6:$H$115,SMALL(IF(Panel!$J$6:$J$115&lt;&gt;0,ROW(Panel!$J$6:$J$115)-5),ROW(A90)))),"",INDEX(Panel!$H$6:$H$115,SMALL(IF(Panel!$J$6:$J$115&lt;&gt;0,ROW(Panel!$J$6:$J$115)-5),ROW(A90))))</f>
        <v/>
      </c>
      <c r="B94" s="141" t="str">
        <f t="array" ref="B94">IF(ISERROR(INDEX(Panel!$I$6:$I$115,SMALL(IF(Panel!$J$6:$J$115&lt;&gt;0,ROW(Panel!$J$6:$J$115)-5),ROW(B90)))),"",INDEX(Panel!$I$6:$I$115,SMALL(IF(Panel!$J$6:$J$115&lt;&gt;0,ROW(Panel!$J$6:$J$115)-5),ROW(B90))))</f>
        <v/>
      </c>
      <c r="C94" s="415" t="str">
        <f t="array" ref="C94">IF( ISERROR(INDEX(Panel!$J$6:$J$115,SMALL(IF(Panel!$J$6:$J$115&lt;&gt;0,ROW(Panel!$J$6:$J$115)-5),ROW(C90)))),"",  INDEX(Panel!$J$6:$J$115,SMALL(IF(Panel!$J$6:$J$115&lt;&gt;0,ROW(Panel!$J$6:$J$115)-5),ROW(C90))))</f>
        <v/>
      </c>
      <c r="D94" s="423"/>
      <c r="E94" s="422"/>
      <c r="F94" s="388"/>
      <c r="G94" s="413"/>
      <c r="H94" s="416"/>
      <c r="I94" s="416"/>
      <c r="J94" s="413"/>
      <c r="K94" s="417"/>
      <c r="L94" s="417"/>
      <c r="M94" s="418"/>
      <c r="N94" s="418"/>
      <c r="O94" s="418"/>
      <c r="P94" s="418"/>
      <c r="Q94" s="418"/>
      <c r="R94" s="418"/>
      <c r="S94" s="418"/>
      <c r="T94" s="418"/>
      <c r="U94" s="418"/>
      <c r="V94" s="418"/>
      <c r="W94" s="418"/>
      <c r="X94" s="419"/>
      <c r="Y94" s="426">
        <f t="shared" si="18"/>
        <v>0</v>
      </c>
      <c r="Z94" s="611">
        <v>90</v>
      </c>
    </row>
    <row r="95" spans="1:26" s="143" customFormat="1" ht="17.25" customHeight="1" thickBot="1">
      <c r="A95" s="141" t="str">
        <f t="array" ref="A95">IF( ISERROR(INDEX(Panel!$H$6:$H$115,SMALL(IF(Panel!$J$6:$J$115&lt;&gt;0,ROW(Panel!$J$6:$J$115)-5),ROW(A91)))),"",INDEX(Panel!$H$6:$H$115,SMALL(IF(Panel!$J$6:$J$115&lt;&gt;0,ROW(Panel!$J$6:$J$115)-5),ROW(A91))))</f>
        <v/>
      </c>
      <c r="B95" s="141" t="str">
        <f t="array" ref="B95">IF(ISERROR(INDEX(Panel!$I$6:$I$115,SMALL(IF(Panel!$J$6:$J$115&lt;&gt;0,ROW(Panel!$J$6:$J$115)-5),ROW(B91)))),"",INDEX(Panel!$I$6:$I$115,SMALL(IF(Panel!$J$6:$J$115&lt;&gt;0,ROW(Panel!$J$6:$J$115)-5),ROW(B91))))</f>
        <v/>
      </c>
      <c r="C95" s="415" t="str">
        <f t="array" ref="C95">IF( ISERROR(INDEX(Panel!$J$6:$J$115,SMALL(IF(Panel!$J$6:$J$115&lt;&gt;0,ROW(Panel!$J$6:$J$115)-5),ROW(C91)))),"",  INDEX(Panel!$J$6:$J$115,SMALL(IF(Panel!$J$6:$J$115&lt;&gt;0,ROW(Panel!$J$6:$J$115)-5),ROW(C91))))</f>
        <v/>
      </c>
      <c r="D95" s="423"/>
      <c r="E95" s="422"/>
      <c r="F95" s="388"/>
      <c r="G95" s="413"/>
      <c r="H95" s="416"/>
      <c r="I95" s="416"/>
      <c r="J95" s="388"/>
      <c r="K95" s="388"/>
      <c r="L95" s="388"/>
      <c r="M95" s="413"/>
      <c r="N95" s="388"/>
      <c r="O95" s="413"/>
      <c r="P95" s="413"/>
      <c r="Q95" s="413"/>
      <c r="R95" s="413"/>
      <c r="S95" s="413"/>
      <c r="T95" s="413"/>
      <c r="U95" s="413"/>
      <c r="V95" s="413"/>
      <c r="W95" s="413"/>
      <c r="X95" s="388"/>
      <c r="Y95" s="426">
        <f t="shared" si="18"/>
        <v>0</v>
      </c>
      <c r="Z95" s="612">
        <v>91</v>
      </c>
    </row>
    <row r="96" spans="1:26" s="143" customFormat="1" ht="17.25" customHeight="1">
      <c r="A96" s="141" t="str">
        <f t="array" ref="A96">IF( ISERROR(INDEX(Panel!$H$6:$H$115,SMALL(IF(Panel!$J$6:$J$115&lt;&gt;0,ROW(Panel!$J$6:$J$115)-5),ROW(A92)))),"",INDEX(Panel!$H$6:$H$115,SMALL(IF(Panel!$J$6:$J$115&lt;&gt;0,ROW(Panel!$J$6:$J$115)-5),ROW(A92))))</f>
        <v/>
      </c>
      <c r="B96" s="141" t="str">
        <f t="array" ref="B96">IF(ISERROR(INDEX(Panel!$I$6:$I$115,SMALL(IF(Panel!$J$6:$J$115&lt;&gt;0,ROW(Panel!$J$6:$J$115)-5),ROW(B92)))),"",INDEX(Panel!$I$6:$I$115,SMALL(IF(Panel!$J$6:$J$115&lt;&gt;0,ROW(Panel!$J$6:$J$115)-5),ROW(B92))))</f>
        <v/>
      </c>
      <c r="C96" s="415" t="str">
        <f t="array" ref="C96">IF( ISERROR(INDEX(Panel!$J$6:$J$115,SMALL(IF(Panel!$J$6:$J$115&lt;&gt;0,ROW(Panel!$J$6:$J$115)-5),ROW(C92)))),"",  INDEX(Panel!$J$6:$J$115,SMALL(IF(Panel!$J$6:$J$115&lt;&gt;0,ROW(Panel!$J$6:$J$115)-5),ROW(C92))))</f>
        <v/>
      </c>
      <c r="D96" s="423"/>
      <c r="E96" s="422"/>
      <c r="F96" s="388"/>
      <c r="G96" s="413"/>
      <c r="H96" s="427"/>
      <c r="I96" s="427"/>
      <c r="J96" s="428"/>
      <c r="K96" s="429"/>
      <c r="L96" s="429"/>
      <c r="M96" s="431"/>
      <c r="N96" s="418"/>
      <c r="O96" s="418"/>
      <c r="P96" s="418"/>
      <c r="Q96" s="418"/>
      <c r="R96" s="418"/>
      <c r="S96" s="418"/>
      <c r="T96" s="418"/>
      <c r="U96" s="418"/>
      <c r="V96" s="418"/>
      <c r="W96" s="418"/>
      <c r="X96" s="419"/>
      <c r="Y96" s="426">
        <f t="shared" si="18"/>
        <v>0</v>
      </c>
      <c r="Z96" s="611">
        <v>92</v>
      </c>
    </row>
    <row r="97" spans="1:26" s="143" customFormat="1" ht="17.25" customHeight="1" thickBot="1">
      <c r="A97" s="141" t="str">
        <f t="array" ref="A97">IF( ISERROR(INDEX(Panel!$H$6:$H$115,SMALL(IF(Panel!$J$6:$J$115&lt;&gt;0,ROW(Panel!$J$6:$J$115)-5),ROW(A93)))),"",INDEX(Panel!$H$6:$H$115,SMALL(IF(Panel!$J$6:$J$115&lt;&gt;0,ROW(Panel!$J$6:$J$115)-5),ROW(A93))))</f>
        <v/>
      </c>
      <c r="B97" s="141" t="str">
        <f t="array" ref="B97">IF(ISERROR(INDEX(Panel!$I$6:$I$115,SMALL(IF(Panel!$J$6:$J$115&lt;&gt;0,ROW(Panel!$J$6:$J$115)-5),ROW(B93)))),"",INDEX(Panel!$I$6:$I$115,SMALL(IF(Panel!$J$6:$J$115&lt;&gt;0,ROW(Panel!$J$6:$J$115)-5),ROW(B93))))</f>
        <v/>
      </c>
      <c r="C97" s="415" t="str">
        <f t="array" ref="C97">IF( ISERROR(INDEX(Panel!$J$6:$J$115,SMALL(IF(Panel!$J$6:$J$115&lt;&gt;0,ROW(Panel!$J$6:$J$115)-5),ROW(C93)))),"",  INDEX(Panel!$J$6:$J$115,SMALL(IF(Panel!$J$6:$J$115&lt;&gt;0,ROW(Panel!$J$6:$J$115)-5),ROW(C93))))</f>
        <v/>
      </c>
      <c r="D97" s="423"/>
      <c r="E97" s="422"/>
      <c r="F97" s="388"/>
      <c r="G97" s="413"/>
      <c r="H97" s="416"/>
      <c r="I97" s="416"/>
      <c r="J97" s="413"/>
      <c r="K97" s="417"/>
      <c r="L97" s="417"/>
      <c r="M97" s="418"/>
      <c r="N97" s="418"/>
      <c r="O97" s="418"/>
      <c r="P97" s="418"/>
      <c r="Q97" s="418"/>
      <c r="R97" s="418"/>
      <c r="S97" s="418"/>
      <c r="T97" s="418"/>
      <c r="U97" s="418"/>
      <c r="V97" s="418"/>
      <c r="W97" s="418"/>
      <c r="X97" s="419"/>
      <c r="Y97" s="426">
        <f t="shared" si="18"/>
        <v>0</v>
      </c>
      <c r="Z97" s="612">
        <v>93</v>
      </c>
    </row>
    <row r="98" spans="1:26" ht="17.25" customHeight="1">
      <c r="A98" s="141" t="str">
        <f t="array" ref="A98">IF( ISERROR(INDEX(Panel!$H$6:$H$115,SMALL(IF(Panel!$J$6:$J$115&lt;&gt;0,ROW(Panel!$J$6:$J$115)-5),ROW(A94)))),"",INDEX(Panel!$H$6:$H$115,SMALL(IF(Panel!$J$6:$J$115&lt;&gt;0,ROW(Panel!$J$6:$J$115)-5),ROW(A94))))</f>
        <v/>
      </c>
      <c r="B98" s="141" t="str">
        <f t="array" ref="B98">IF(ISERROR(INDEX(Panel!$I$6:$I$115,SMALL(IF(Panel!$J$6:$J$115&lt;&gt;0,ROW(Panel!$J$6:$J$115)-5),ROW(B94)))),"",INDEX(Panel!$I$6:$I$115,SMALL(IF(Panel!$J$6:$J$115&lt;&gt;0,ROW(Panel!$J$6:$J$115)-5),ROW(B94))))</f>
        <v/>
      </c>
      <c r="C98" s="415" t="str">
        <f t="array" ref="C98">IF( ISERROR(INDEX(Panel!$J$6:$J$115,SMALL(IF(Panel!$J$6:$J$115&lt;&gt;0,ROW(Panel!$J$6:$J$115)-5),ROW(C94)))),"",  INDEX(Panel!$J$6:$J$115,SMALL(IF(Panel!$J$6:$J$115&lt;&gt;0,ROW(Panel!$J$6:$J$115)-5),ROW(C94))))</f>
        <v/>
      </c>
      <c r="D98" s="423"/>
      <c r="E98" s="422"/>
      <c r="F98" s="397"/>
      <c r="G98" s="424"/>
      <c r="H98" s="416"/>
      <c r="I98" s="416"/>
      <c r="J98" s="413"/>
      <c r="K98" s="417"/>
      <c r="L98" s="417"/>
      <c r="M98" s="418"/>
      <c r="N98" s="418"/>
      <c r="O98" s="418"/>
      <c r="P98" s="418"/>
      <c r="Q98" s="418"/>
      <c r="R98" s="418"/>
      <c r="S98" s="418"/>
      <c r="T98" s="418"/>
      <c r="U98" s="418"/>
      <c r="V98" s="418"/>
      <c r="W98" s="418"/>
      <c r="X98" s="419"/>
      <c r="Y98" s="426">
        <f t="shared" si="18"/>
        <v>0</v>
      </c>
      <c r="Z98" s="611">
        <v>94</v>
      </c>
    </row>
    <row r="99" spans="1:26" ht="17.25" customHeight="1" thickBot="1">
      <c r="A99" s="141" t="str">
        <f t="array" ref="A99">IF( ISERROR(INDEX(Panel!$H$6:$H$115,SMALL(IF(Panel!$J$6:$J$115&lt;&gt;0,ROW(Panel!$J$6:$J$115)-5),ROW(A95)))),"",INDEX(Panel!$H$6:$H$115,SMALL(IF(Panel!$J$6:$J$115&lt;&gt;0,ROW(Panel!$J$6:$J$115)-5),ROW(A95))))</f>
        <v/>
      </c>
      <c r="B99" s="141" t="str">
        <f t="array" ref="B99">IF(ISERROR(INDEX(Panel!$I$6:$I$115,SMALL(IF(Panel!$J$6:$J$115&lt;&gt;0,ROW(Panel!$J$6:$J$115)-5),ROW(B95)))),"",INDEX(Panel!$I$6:$I$115,SMALL(IF(Panel!$J$6:$J$115&lt;&gt;0,ROW(Panel!$J$6:$J$115)-5),ROW(B95))))</f>
        <v/>
      </c>
      <c r="C99" s="415" t="str">
        <f t="array" ref="C99">IF( ISERROR(INDEX(Panel!$J$6:$J$115,SMALL(IF(Panel!$J$6:$J$115&lt;&gt;0,ROW(Panel!$J$6:$J$115)-5),ROW(C95)))),"",  INDEX(Panel!$J$6:$J$115,SMALL(IF(Panel!$J$6:$J$115&lt;&gt;0,ROW(Panel!$J$6:$J$115)-5),ROW(C95))))</f>
        <v/>
      </c>
      <c r="D99" s="423"/>
      <c r="E99" s="422"/>
      <c r="F99" s="397"/>
      <c r="G99" s="424"/>
      <c r="H99" s="416"/>
      <c r="I99" s="416"/>
      <c r="J99" s="413"/>
      <c r="K99" s="417"/>
      <c r="L99" s="417"/>
      <c r="M99" s="418"/>
      <c r="N99" s="418"/>
      <c r="O99" s="418"/>
      <c r="P99" s="418"/>
      <c r="Q99" s="418"/>
      <c r="R99" s="418"/>
      <c r="S99" s="418"/>
      <c r="T99" s="418"/>
      <c r="U99" s="418"/>
      <c r="V99" s="418"/>
      <c r="W99" s="418"/>
      <c r="X99" s="419"/>
      <c r="Y99" s="426">
        <f t="shared" si="18"/>
        <v>0</v>
      </c>
      <c r="Z99" s="612">
        <v>95</v>
      </c>
    </row>
    <row r="100" spans="1:26" ht="17.25" customHeight="1">
      <c r="A100" s="141" t="str">
        <f t="array" ref="A100">IF( ISERROR(INDEX(Panel!$H$6:$H$115,SMALL(IF(Panel!$J$6:$J$115&lt;&gt;0,ROW(Panel!$J$6:$J$115)-5),ROW(A96)))),"",INDEX(Panel!$H$6:$H$115,SMALL(IF(Panel!$J$6:$J$115&lt;&gt;0,ROW(Panel!$J$6:$J$115)-5),ROW(A96))))</f>
        <v/>
      </c>
      <c r="B100" s="141" t="str">
        <f t="array" ref="B100">IF(ISERROR(INDEX(Panel!$I$6:$I$115,SMALL(IF(Panel!$J$6:$J$115&lt;&gt;0,ROW(Panel!$J$6:$J$115)-5),ROW(B96)))),"",INDEX(Panel!$I$6:$I$115,SMALL(IF(Panel!$J$6:$J$115&lt;&gt;0,ROW(Panel!$J$6:$J$115)-5),ROW(B96))))</f>
        <v/>
      </c>
      <c r="C100" s="415" t="str">
        <f t="array" ref="C100">IF( ISERROR(INDEX(Panel!$J$6:$J$115,SMALL(IF(Panel!$J$6:$J$115&lt;&gt;0,ROW(Panel!$J$6:$J$115)-5),ROW(C96)))),"",  INDEX(Panel!$J$6:$J$115,SMALL(IF(Panel!$J$6:$J$115&lt;&gt;0,ROW(Panel!$J$6:$J$115)-5),ROW(C96))))</f>
        <v/>
      </c>
      <c r="D100" s="423"/>
      <c r="E100" s="422"/>
      <c r="F100" s="397"/>
      <c r="G100" s="424"/>
      <c r="H100" s="416"/>
      <c r="I100" s="416"/>
      <c r="J100" s="413"/>
      <c r="K100" s="417"/>
      <c r="L100" s="417"/>
      <c r="M100" s="418"/>
      <c r="N100" s="418"/>
      <c r="O100" s="418"/>
      <c r="P100" s="418"/>
      <c r="Q100" s="418"/>
      <c r="R100" s="418"/>
      <c r="S100" s="418"/>
      <c r="T100" s="418"/>
      <c r="U100" s="418"/>
      <c r="V100" s="418"/>
      <c r="W100" s="418"/>
      <c r="X100" s="419"/>
      <c r="Y100" s="426">
        <f t="shared" si="18"/>
        <v>0</v>
      </c>
      <c r="Z100" s="611">
        <v>96</v>
      </c>
    </row>
    <row r="101" spans="1:26" ht="17.25" customHeight="1" thickBot="1">
      <c r="A101" s="141" t="str">
        <f t="array" ref="A101">IF( ISERROR(INDEX(Panel!$H$6:$H$115,SMALL(IF(Panel!$J$6:$J$115&lt;&gt;0,ROW(Panel!$J$6:$J$115)-5),ROW(A97)))),"",INDEX(Panel!$H$6:$H$115,SMALL(IF(Panel!$J$6:$J$115&lt;&gt;0,ROW(Panel!$J$6:$J$115)-5),ROW(A97))))</f>
        <v/>
      </c>
      <c r="B101" s="141" t="str">
        <f t="array" ref="B101">IF(ISERROR(INDEX(Panel!$I$6:$I$115,SMALL(IF(Panel!$J$6:$J$115&lt;&gt;0,ROW(Panel!$J$6:$J$115)-5),ROW(B97)))),"",INDEX(Panel!$I$6:$I$115,SMALL(IF(Panel!$J$6:$J$115&lt;&gt;0,ROW(Panel!$J$6:$J$115)-5),ROW(B97))))</f>
        <v/>
      </c>
      <c r="C101" s="415" t="str">
        <f t="array" ref="C101">IF( ISERROR(INDEX(Panel!$J$6:$J$115,SMALL(IF(Panel!$J$6:$J$115&lt;&gt;0,ROW(Panel!$J$6:$J$115)-5),ROW(C97)))),"",  INDEX(Panel!$J$6:$J$115,SMALL(IF(Panel!$J$6:$J$115&lt;&gt;0,ROW(Panel!$J$6:$J$115)-5),ROW(C97))))</f>
        <v/>
      </c>
      <c r="D101" s="423"/>
      <c r="E101" s="422"/>
      <c r="F101" s="397"/>
      <c r="G101" s="424"/>
      <c r="H101" s="416"/>
      <c r="I101" s="416"/>
      <c r="J101" s="413"/>
      <c r="K101" s="417"/>
      <c r="L101" s="417"/>
      <c r="M101" s="418"/>
      <c r="N101" s="418"/>
      <c r="O101" s="418"/>
      <c r="P101" s="418"/>
      <c r="Q101" s="418"/>
      <c r="R101" s="418"/>
      <c r="S101" s="418"/>
      <c r="T101" s="418"/>
      <c r="U101" s="418"/>
      <c r="V101" s="418"/>
      <c r="W101" s="418"/>
      <c r="X101" s="419"/>
      <c r="Y101" s="426">
        <f t="shared" si="18"/>
        <v>0</v>
      </c>
      <c r="Z101" s="612">
        <v>97</v>
      </c>
    </row>
    <row r="102" spans="1:26" s="143" customFormat="1" ht="17.25" customHeight="1">
      <c r="A102" s="141" t="str">
        <f t="array" ref="A102">IF( ISERROR(INDEX(Panel!$H$6:$H$115,SMALL(IF(Panel!$J$6:$J$115&lt;&gt;0,ROW(Panel!$J$6:$J$115)-5),ROW(A98)))),"",INDEX(Panel!$H$6:$H$115,SMALL(IF(Panel!$J$6:$J$115&lt;&gt;0,ROW(Panel!$J$6:$J$115)-5),ROW(A98))))</f>
        <v/>
      </c>
      <c r="B102" s="141" t="str">
        <f t="array" ref="B102">IF(ISERROR(INDEX(Panel!$I$6:$I$115,SMALL(IF(Panel!$J$6:$J$115&lt;&gt;0,ROW(Panel!$J$6:$J$115)-5),ROW(B98)))),"",INDEX(Panel!$I$6:$I$115,SMALL(IF(Panel!$J$6:$J$115&lt;&gt;0,ROW(Panel!$J$6:$J$115)-5),ROW(B98))))</f>
        <v/>
      </c>
      <c r="C102" s="415" t="str">
        <f t="array" ref="C102">IF( ISERROR(INDEX(Panel!$J$6:$J$115,SMALL(IF(Panel!$J$6:$J$115&lt;&gt;0,ROW(Panel!$J$6:$J$115)-5),ROW(C98)))),"",  INDEX(Panel!$J$6:$J$115,SMALL(IF(Panel!$J$6:$J$115&lt;&gt;0,ROW(Panel!$J$6:$J$115)-5),ROW(C98))))</f>
        <v/>
      </c>
      <c r="D102" s="423"/>
      <c r="E102" s="422"/>
      <c r="F102" s="388"/>
      <c r="G102" s="413"/>
      <c r="H102" s="416"/>
      <c r="I102" s="416"/>
      <c r="J102" s="413"/>
      <c r="K102" s="417"/>
      <c r="L102" s="417"/>
      <c r="M102" s="418"/>
      <c r="N102" s="418"/>
      <c r="O102" s="418"/>
      <c r="P102" s="418"/>
      <c r="Q102" s="418"/>
      <c r="R102" s="418"/>
      <c r="S102" s="418"/>
      <c r="T102" s="418"/>
      <c r="U102" s="418"/>
      <c r="V102" s="418"/>
      <c r="W102" s="418"/>
      <c r="X102" s="419"/>
      <c r="Y102" s="426">
        <f t="shared" si="18"/>
        <v>0</v>
      </c>
      <c r="Z102" s="611">
        <v>98</v>
      </c>
    </row>
    <row r="103" spans="1:26" s="143" customFormat="1" ht="17.25" customHeight="1" thickBot="1">
      <c r="A103" s="141" t="str">
        <f t="array" ref="A103">IF( ISERROR(INDEX(Panel!$H$6:$H$115,SMALL(IF(Panel!$J$6:$J$115&lt;&gt;0,ROW(Panel!$J$6:$J$115)-5),ROW(A99)))),"",INDEX(Panel!$H$6:$H$115,SMALL(IF(Panel!$J$6:$J$115&lt;&gt;0,ROW(Panel!$J$6:$J$115)-5),ROW(A99))))</f>
        <v/>
      </c>
      <c r="B103" s="141" t="str">
        <f t="array" ref="B103">IF(ISERROR(INDEX(Panel!$I$6:$I$115,SMALL(IF(Panel!$J$6:$J$115&lt;&gt;0,ROW(Panel!$J$6:$J$115)-5),ROW(B99)))),"",INDEX(Panel!$I$6:$I$115,SMALL(IF(Panel!$J$6:$J$115&lt;&gt;0,ROW(Panel!$J$6:$J$115)-5),ROW(B99))))</f>
        <v/>
      </c>
      <c r="C103" s="415" t="str">
        <f t="array" ref="C103">IF( ISERROR(INDEX(Panel!$J$6:$J$115,SMALL(IF(Panel!$J$6:$J$115&lt;&gt;0,ROW(Panel!$J$6:$J$115)-5),ROW(C99)))),"",  INDEX(Panel!$J$6:$J$115,SMALL(IF(Panel!$J$6:$J$115&lt;&gt;0,ROW(Panel!$J$6:$J$115)-5),ROW(C99))))</f>
        <v/>
      </c>
      <c r="D103" s="423"/>
      <c r="E103" s="422"/>
      <c r="F103" s="388"/>
      <c r="G103" s="413"/>
      <c r="H103" s="416"/>
      <c r="I103" s="416"/>
      <c r="J103" s="413"/>
      <c r="K103" s="417"/>
      <c r="L103" s="417"/>
      <c r="M103" s="418"/>
      <c r="N103" s="418"/>
      <c r="O103" s="418"/>
      <c r="P103" s="418"/>
      <c r="Q103" s="418"/>
      <c r="R103" s="418"/>
      <c r="S103" s="418"/>
      <c r="T103" s="418"/>
      <c r="U103" s="418"/>
      <c r="V103" s="418"/>
      <c r="W103" s="418"/>
      <c r="X103" s="419"/>
      <c r="Y103" s="426">
        <f t="shared" si="18"/>
        <v>0</v>
      </c>
      <c r="Z103" s="612">
        <v>99</v>
      </c>
    </row>
    <row r="104" spans="1:26" ht="17.25" customHeight="1">
      <c r="A104" s="141" t="str">
        <f t="array" ref="A104">IF( ISERROR(INDEX(Panel!$H$6:$H$115,SMALL(IF(Panel!$J$6:$J$115&lt;&gt;0,ROW(Panel!$J$6:$J$115)-5),ROW(A100)))),"",INDEX(Panel!$H$6:$H$115,SMALL(IF(Panel!$J$6:$J$115&lt;&gt;0,ROW(Panel!$J$6:$J$115)-5),ROW(A100))))</f>
        <v/>
      </c>
      <c r="B104" s="141" t="str">
        <f t="array" ref="B104">IF(ISERROR(INDEX(Panel!$I$6:$I$115,SMALL(IF(Panel!$J$6:$J$115&lt;&gt;0,ROW(Panel!$J$6:$J$115)-5),ROW(B100)))),"",INDEX(Panel!$I$6:$I$115,SMALL(IF(Panel!$J$6:$J$115&lt;&gt;0,ROW(Panel!$J$6:$J$115)-5),ROW(B100))))</f>
        <v/>
      </c>
      <c r="C104" s="415" t="str">
        <f t="array" ref="C104">IF( ISERROR(INDEX(Panel!$J$6:$J$115,SMALL(IF(Panel!$J$6:$J$115&lt;&gt;0,ROW(Panel!$J$6:$J$115)-5),ROW(C100)))),"",  INDEX(Panel!$J$6:$J$115,SMALL(IF(Panel!$J$6:$J$115&lt;&gt;0,ROW(Panel!$J$6:$J$115)-5),ROW(C100))))</f>
        <v/>
      </c>
      <c r="D104" s="423"/>
      <c r="E104" s="422"/>
      <c r="F104" s="397"/>
      <c r="G104" s="424"/>
      <c r="H104" s="416"/>
      <c r="I104" s="416"/>
      <c r="J104" s="413"/>
      <c r="K104" s="417"/>
      <c r="L104" s="417"/>
      <c r="M104" s="418"/>
      <c r="N104" s="418"/>
      <c r="O104" s="418"/>
      <c r="P104" s="418"/>
      <c r="Q104" s="418"/>
      <c r="R104" s="418"/>
      <c r="S104" s="418"/>
      <c r="T104" s="418"/>
      <c r="U104" s="418"/>
      <c r="V104" s="418"/>
      <c r="W104" s="418"/>
      <c r="X104" s="419"/>
      <c r="Y104" s="426">
        <f t="shared" si="18"/>
        <v>0</v>
      </c>
      <c r="Z104" s="611">
        <v>100</v>
      </c>
    </row>
    <row r="105" spans="1:26" ht="17.25" customHeight="1" thickBot="1">
      <c r="A105" s="141" t="str">
        <f t="array" ref="A105">IF( ISERROR(INDEX(Panel!$H$6:$H$115,SMALL(IF(Panel!$J$6:$J$115&lt;&gt;0,ROW(Panel!$J$6:$J$115)-5),ROW(A101)))),"",INDEX(Panel!$H$6:$H$115,SMALL(IF(Panel!$J$6:$J$115&lt;&gt;0,ROW(Panel!$J$6:$J$115)-5),ROW(A101))))</f>
        <v/>
      </c>
      <c r="B105" s="141" t="str">
        <f t="array" ref="B105">IF(ISERROR(INDEX(Panel!$I$6:$I$115,SMALL(IF(Panel!$J$6:$J$115&lt;&gt;0,ROW(Panel!$J$6:$J$115)-5),ROW(B101)))),"",INDEX(Panel!$I$6:$I$115,SMALL(IF(Panel!$J$6:$J$115&lt;&gt;0,ROW(Panel!$J$6:$J$115)-5),ROW(B101))))</f>
        <v/>
      </c>
      <c r="C105" s="415" t="str">
        <f t="array" ref="C105">IF( ISERROR(INDEX(Panel!$J$6:$J$115,SMALL(IF(Panel!$J$6:$J$115&lt;&gt;0,ROW(Panel!$J$6:$J$115)-5),ROW(C101)))),"",  INDEX(Panel!$J$6:$J$115,SMALL(IF(Panel!$J$6:$J$115&lt;&gt;0,ROW(Panel!$J$6:$J$115)-5),ROW(C101))))</f>
        <v/>
      </c>
      <c r="D105" s="423"/>
      <c r="E105" s="422"/>
      <c r="F105" s="397"/>
      <c r="G105" s="424"/>
      <c r="H105" s="416"/>
      <c r="I105" s="416"/>
      <c r="J105" s="413"/>
      <c r="K105" s="417"/>
      <c r="L105" s="417"/>
      <c r="M105" s="418"/>
      <c r="N105" s="418"/>
      <c r="O105" s="418"/>
      <c r="P105" s="418"/>
      <c r="Q105" s="418"/>
      <c r="R105" s="418"/>
      <c r="S105" s="418"/>
      <c r="T105" s="418"/>
      <c r="U105" s="418"/>
      <c r="V105" s="418"/>
      <c r="W105" s="418"/>
      <c r="X105" s="419"/>
      <c r="Y105" s="426">
        <f t="shared" si="18"/>
        <v>0</v>
      </c>
      <c r="Z105" s="612">
        <v>101</v>
      </c>
    </row>
    <row r="106" spans="1:26" ht="17.25" customHeight="1">
      <c r="A106" s="141" t="str">
        <f t="array" ref="A106">IF( ISERROR(INDEX(Panel!$H$6:$H$115,SMALL(IF(Panel!$J$6:$J$115&lt;&gt;0,ROW(Panel!$J$6:$J$115)-5),ROW(A102)))),"",INDEX(Panel!$H$6:$H$115,SMALL(IF(Panel!$J$6:$J$115&lt;&gt;0,ROW(Panel!$J$6:$J$115)-5),ROW(A102))))</f>
        <v/>
      </c>
      <c r="B106" s="141" t="str">
        <f t="array" ref="B106">IF(ISERROR(INDEX(Panel!$I$6:$I$115,SMALL(IF(Panel!$J$6:$J$115&lt;&gt;0,ROW(Panel!$J$6:$J$115)-5),ROW(B102)))),"",INDEX(Panel!$I$6:$I$115,SMALL(IF(Panel!$J$6:$J$115&lt;&gt;0,ROW(Panel!$J$6:$J$115)-5),ROW(B102))))</f>
        <v/>
      </c>
      <c r="C106" s="415" t="str">
        <f t="array" ref="C106">IF( ISERROR(INDEX(Panel!$J$6:$J$115,SMALL(IF(Panel!$J$6:$J$115&lt;&gt;0,ROW(Panel!$J$6:$J$115)-5),ROW(C102)))),"",  INDEX(Panel!$J$6:$J$115,SMALL(IF(Panel!$J$6:$J$115&lt;&gt;0,ROW(Panel!$J$6:$J$115)-5),ROW(C102))))</f>
        <v/>
      </c>
      <c r="D106" s="423"/>
      <c r="E106" s="422"/>
      <c r="F106" s="397"/>
      <c r="G106" s="424"/>
      <c r="H106" s="416"/>
      <c r="I106" s="416"/>
      <c r="J106" s="413"/>
      <c r="K106" s="417"/>
      <c r="L106" s="417"/>
      <c r="M106" s="418"/>
      <c r="N106" s="418"/>
      <c r="O106" s="418"/>
      <c r="P106" s="418"/>
      <c r="Q106" s="418"/>
      <c r="R106" s="418"/>
      <c r="S106" s="418"/>
      <c r="T106" s="418"/>
      <c r="U106" s="418"/>
      <c r="V106" s="418"/>
      <c r="W106" s="418"/>
      <c r="X106" s="419"/>
      <c r="Y106" s="426">
        <f t="shared" si="18"/>
        <v>0</v>
      </c>
      <c r="Z106" s="611">
        <v>102</v>
      </c>
    </row>
    <row r="107" spans="1:26" ht="17.25" customHeight="1" thickBot="1">
      <c r="A107" s="141" t="str">
        <f t="array" ref="A107">IF( ISERROR(INDEX(Panel!$H$6:$H$115,SMALL(IF(Panel!$J$6:$J$115&lt;&gt;0,ROW(Panel!$J$6:$J$115)-5),ROW(A103)))),"",INDEX(Panel!$H$6:$H$115,SMALL(IF(Panel!$J$6:$J$115&lt;&gt;0,ROW(Panel!$J$6:$J$115)-5),ROW(A103))))</f>
        <v/>
      </c>
      <c r="B107" s="141" t="str">
        <f t="array" ref="B107">IF(ISERROR(INDEX(Panel!$I$6:$I$115,SMALL(IF(Panel!$J$6:$J$115&lt;&gt;0,ROW(Panel!$J$6:$J$115)-5),ROW(B103)))),"",INDEX(Panel!$I$6:$I$115,SMALL(IF(Panel!$J$6:$J$115&lt;&gt;0,ROW(Panel!$J$6:$J$115)-5),ROW(B103))))</f>
        <v/>
      </c>
      <c r="C107" s="415" t="str">
        <f t="array" ref="C107">IF( ISERROR(INDEX(Panel!$J$6:$J$115,SMALL(IF(Panel!$J$6:$J$115&lt;&gt;0,ROW(Panel!$J$6:$J$115)-5),ROW(C103)))),"",  INDEX(Panel!$J$6:$J$115,SMALL(IF(Panel!$J$6:$J$115&lt;&gt;0,ROW(Panel!$J$6:$J$115)-5),ROW(C103))))</f>
        <v/>
      </c>
      <c r="D107" s="423"/>
      <c r="E107" s="422"/>
      <c r="F107" s="397"/>
      <c r="G107" s="424"/>
      <c r="H107" s="416"/>
      <c r="I107" s="416"/>
      <c r="J107" s="413"/>
      <c r="K107" s="417"/>
      <c r="L107" s="417"/>
      <c r="M107" s="418"/>
      <c r="N107" s="418"/>
      <c r="O107" s="418"/>
      <c r="P107" s="418"/>
      <c r="Q107" s="418"/>
      <c r="R107" s="418"/>
      <c r="S107" s="418"/>
      <c r="T107" s="418"/>
      <c r="U107" s="418"/>
      <c r="V107" s="418"/>
      <c r="W107" s="418"/>
      <c r="X107" s="419"/>
      <c r="Y107" s="426">
        <f t="shared" si="18"/>
        <v>0</v>
      </c>
      <c r="Z107" s="612">
        <v>103</v>
      </c>
    </row>
    <row r="108" spans="1:26" ht="17.25" customHeight="1">
      <c r="A108" s="141" t="str">
        <f t="array" ref="A108">IF( ISERROR(INDEX(Panel!$H$6:$H$115,SMALL(IF(Panel!$J$6:$J$115&lt;&gt;0,ROW(Panel!$J$6:$J$115)-5),ROW(A104)))),"",INDEX(Panel!$H$6:$H$115,SMALL(IF(Panel!$J$6:$J$115&lt;&gt;0,ROW(Panel!$J$6:$J$115)-5),ROW(A104))))</f>
        <v/>
      </c>
      <c r="B108" s="141" t="str">
        <f t="array" ref="B108">IF(ISERROR(INDEX(Panel!$I$6:$I$115,SMALL(IF(Panel!$J$6:$J$115&lt;&gt;0,ROW(Panel!$J$6:$J$115)-5),ROW(B104)))),"",INDEX(Panel!$I$6:$I$115,SMALL(IF(Panel!$J$6:$J$115&lt;&gt;0,ROW(Panel!$J$6:$J$115)-5),ROW(B104))))</f>
        <v/>
      </c>
      <c r="C108" s="415" t="str">
        <f t="array" ref="C108">IF( ISERROR(INDEX(Panel!$J$6:$J$115,SMALL(IF(Panel!$J$6:$J$115&lt;&gt;0,ROW(Panel!$J$6:$J$115)-5),ROW(C104)))),"",  INDEX(Panel!$J$6:$J$115,SMALL(IF(Panel!$J$6:$J$115&lt;&gt;0,ROW(Panel!$J$6:$J$115)-5),ROW(C104))))</f>
        <v/>
      </c>
      <c r="D108" s="423"/>
      <c r="E108" s="422"/>
      <c r="F108" s="397"/>
      <c r="G108" s="424"/>
      <c r="H108" s="416"/>
      <c r="I108" s="416"/>
      <c r="J108" s="413"/>
      <c r="K108" s="417"/>
      <c r="L108" s="417"/>
      <c r="M108" s="418"/>
      <c r="N108" s="418"/>
      <c r="O108" s="418"/>
      <c r="P108" s="418"/>
      <c r="Q108" s="418"/>
      <c r="R108" s="418"/>
      <c r="S108" s="418"/>
      <c r="T108" s="418"/>
      <c r="U108" s="418"/>
      <c r="V108" s="418"/>
      <c r="W108" s="418"/>
      <c r="X108" s="419"/>
      <c r="Y108" s="426">
        <f t="shared" si="18"/>
        <v>0</v>
      </c>
      <c r="Z108" s="611">
        <v>104</v>
      </c>
    </row>
    <row r="109" spans="1:26" ht="17.25" customHeight="1" thickBot="1">
      <c r="A109" s="141" t="str">
        <f t="array" ref="A109">IF( ISERROR(INDEX(Panel!$H$6:$H$115,SMALL(IF(Panel!$J$6:$J$115&lt;&gt;0,ROW(Panel!$J$6:$J$115)-5),ROW(A105)))),"",INDEX(Panel!$H$6:$H$115,SMALL(IF(Panel!$J$6:$J$115&lt;&gt;0,ROW(Panel!$J$6:$J$115)-5),ROW(A105))))</f>
        <v/>
      </c>
      <c r="B109" s="141" t="str">
        <f t="array" ref="B109">IF(ISERROR(INDEX(Panel!$I$6:$I$115,SMALL(IF(Panel!$J$6:$J$115&lt;&gt;0,ROW(Panel!$J$6:$J$115)-5),ROW(B105)))),"",INDEX(Panel!$I$6:$I$115,SMALL(IF(Panel!$J$6:$J$115&lt;&gt;0,ROW(Panel!$J$6:$J$115)-5),ROW(B105))))</f>
        <v/>
      </c>
      <c r="C109" s="415" t="str">
        <f t="array" ref="C109">IF( ISERROR(INDEX(Panel!$J$6:$J$115,SMALL(IF(Panel!$J$6:$J$115&lt;&gt;0,ROW(Panel!$J$6:$J$115)-5),ROW(C105)))),"",  INDEX(Panel!$J$6:$J$115,SMALL(IF(Panel!$J$6:$J$115&lt;&gt;0,ROW(Panel!$J$6:$J$115)-5),ROW(C105))))</f>
        <v/>
      </c>
      <c r="D109" s="423"/>
      <c r="E109" s="422"/>
      <c r="F109" s="397"/>
      <c r="G109" s="424"/>
      <c r="H109" s="416"/>
      <c r="I109" s="416"/>
      <c r="J109" s="413"/>
      <c r="K109" s="417"/>
      <c r="L109" s="417"/>
      <c r="M109" s="418"/>
      <c r="N109" s="418"/>
      <c r="O109" s="418"/>
      <c r="P109" s="418"/>
      <c r="Q109" s="418"/>
      <c r="R109" s="418"/>
      <c r="S109" s="418"/>
      <c r="T109" s="418"/>
      <c r="U109" s="418"/>
      <c r="V109" s="418"/>
      <c r="W109" s="418"/>
      <c r="X109" s="419"/>
      <c r="Y109" s="413">
        <f t="shared" si="18"/>
        <v>0</v>
      </c>
      <c r="Z109" s="612">
        <v>105</v>
      </c>
    </row>
    <row r="110" spans="1:26" ht="17.25" customHeight="1">
      <c r="A110" s="141" t="str">
        <f t="array" ref="A110">IF( ISERROR(INDEX(Panel!$H$6:$H$115,SMALL(IF(Panel!$J$6:$J$115&lt;&gt;0,ROW(Panel!$J$6:$J$115)-5),ROW(A106)))),"",INDEX(Panel!$H$6:$H$115,SMALL(IF(Panel!$J$6:$J$115&lt;&gt;0,ROW(Panel!$J$6:$J$115)-5),ROW(A106))))</f>
        <v/>
      </c>
      <c r="B110" s="141" t="str">
        <f t="array" ref="B110">IF(ISERROR(INDEX(Panel!$I$6:$I$115,SMALL(IF(Panel!$J$6:$J$115&lt;&gt;0,ROW(Panel!$J$6:$J$115)-5),ROW(B106)))),"",INDEX(Panel!$I$6:$I$115,SMALL(IF(Panel!$J$6:$J$115&lt;&gt;0,ROW(Panel!$J$6:$J$115)-5),ROW(B106))))</f>
        <v/>
      </c>
      <c r="C110" s="415" t="str">
        <f t="array" ref="C110">IF( ISERROR(INDEX(Panel!$J$6:$J$115,SMALL(IF(Panel!$J$6:$J$115&lt;&gt;0,ROW(Panel!$J$6:$J$115)-5),ROW(C106)))),"",  INDEX(Panel!$J$6:$J$115,SMALL(IF(Panel!$J$6:$J$115&lt;&gt;0,ROW(Panel!$J$6:$J$115)-5),ROW(C106))))</f>
        <v/>
      </c>
      <c r="D110" s="423"/>
      <c r="E110" s="422"/>
      <c r="F110" s="397"/>
      <c r="G110" s="424"/>
      <c r="H110" s="416"/>
      <c r="I110" s="416"/>
      <c r="J110" s="413"/>
      <c r="K110" s="417"/>
      <c r="L110" s="417"/>
      <c r="M110" s="418"/>
      <c r="N110" s="418"/>
      <c r="O110" s="418"/>
      <c r="P110" s="418"/>
      <c r="Q110" s="418"/>
      <c r="R110" s="418"/>
      <c r="S110" s="418"/>
      <c r="T110" s="418"/>
      <c r="U110" s="418"/>
      <c r="V110" s="418"/>
      <c r="W110" s="418"/>
      <c r="X110" s="419"/>
      <c r="Y110" s="413">
        <f t="shared" si="18"/>
        <v>0</v>
      </c>
      <c r="Z110" s="611">
        <v>106</v>
      </c>
    </row>
    <row r="111" spans="1:26" ht="17.25" customHeight="1" thickBot="1">
      <c r="A111" s="141" t="str">
        <f t="array" ref="A111">IF( ISERROR(INDEX(Panel!$H$6:$H$115,SMALL(IF(Panel!$J$6:$J$115&lt;&gt;0,ROW(Panel!$J$6:$J$115)-5),ROW(A107)))),"",INDEX(Panel!$H$6:$H$115,SMALL(IF(Panel!$J$6:$J$115&lt;&gt;0,ROW(Panel!$J$6:$J$115)-5),ROW(A107))))</f>
        <v/>
      </c>
      <c r="B111" s="141" t="str">
        <f t="array" ref="B111">IF(ISERROR(INDEX(Panel!$I$6:$I$115,SMALL(IF(Panel!$J$6:$J$115&lt;&gt;0,ROW(Panel!$J$6:$J$115)-5),ROW(B107)))),"",INDEX(Panel!$I$6:$I$115,SMALL(IF(Panel!$J$6:$J$115&lt;&gt;0,ROW(Panel!$J$6:$J$115)-5),ROW(B107))))</f>
        <v/>
      </c>
      <c r="C111" s="415" t="str">
        <f t="array" ref="C111">IF( ISERROR(INDEX(Panel!$J$6:$J$115,SMALL(IF(Panel!$J$6:$J$115&lt;&gt;0,ROW(Panel!$J$6:$J$115)-5),ROW(C107)))),"",  INDEX(Panel!$J$6:$J$115,SMALL(IF(Panel!$J$6:$J$115&lt;&gt;0,ROW(Panel!$J$6:$J$115)-5),ROW(C107))))</f>
        <v/>
      </c>
      <c r="D111" s="423"/>
      <c r="E111" s="422"/>
      <c r="F111" s="397"/>
      <c r="G111" s="424"/>
      <c r="H111" s="416"/>
      <c r="I111" s="416"/>
      <c r="J111" s="413"/>
      <c r="K111" s="417"/>
      <c r="L111" s="417"/>
      <c r="M111" s="418"/>
      <c r="N111" s="418"/>
      <c r="O111" s="418"/>
      <c r="P111" s="418"/>
      <c r="Q111" s="418"/>
      <c r="R111" s="418"/>
      <c r="S111" s="418"/>
      <c r="T111" s="418"/>
      <c r="U111" s="418"/>
      <c r="V111" s="418"/>
      <c r="W111" s="418"/>
      <c r="X111" s="419"/>
      <c r="Y111" s="413">
        <f t="shared" si="18"/>
        <v>0</v>
      </c>
      <c r="Z111" s="612">
        <v>107</v>
      </c>
    </row>
    <row r="112" spans="1:26" ht="17.25" customHeight="1">
      <c r="A112" s="141" t="str">
        <f t="array" ref="A112">IF( ISERROR(INDEX(Panel!$H$6:$H$115,SMALL(IF(Panel!$J$6:$J$115&lt;&gt;0,ROW(Panel!$J$6:$J$115)-5),ROW(A108)))),"",INDEX(Panel!$H$6:$H$115,SMALL(IF(Panel!$J$6:$J$115&lt;&gt;0,ROW(Panel!$J$6:$J$115)-5),ROW(A108))))</f>
        <v/>
      </c>
      <c r="B112" s="141" t="str">
        <f t="array" ref="B112">IF(ISERROR(INDEX(Panel!$I$6:$I$115,SMALL(IF(Panel!$J$6:$J$115&lt;&gt;0,ROW(Panel!$J$6:$J$115)-5),ROW(B108)))),"",INDEX(Panel!$I$6:$I$115,SMALL(IF(Panel!$J$6:$J$115&lt;&gt;0,ROW(Panel!$J$6:$J$115)-5),ROW(B108))))</f>
        <v/>
      </c>
      <c r="C112" s="415" t="str">
        <f t="array" ref="C112">IF( ISERROR(INDEX(Panel!$J$6:$J$115,SMALL(IF(Panel!$J$6:$J$115&lt;&gt;0,ROW(Panel!$J$6:$J$115)-5),ROW(C108)))),"",  INDEX(Panel!$J$6:$J$115,SMALL(IF(Panel!$J$6:$J$115&lt;&gt;0,ROW(Panel!$J$6:$J$115)-5),ROW(C108))))</f>
        <v/>
      </c>
      <c r="D112" s="423"/>
      <c r="E112" s="422"/>
      <c r="F112" s="397"/>
      <c r="G112" s="424"/>
      <c r="H112" s="416"/>
      <c r="I112" s="416"/>
      <c r="J112" s="413"/>
      <c r="K112" s="417"/>
      <c r="L112" s="417"/>
      <c r="M112" s="418"/>
      <c r="N112" s="418"/>
      <c r="O112" s="418"/>
      <c r="P112" s="418"/>
      <c r="Q112" s="418"/>
      <c r="R112" s="418"/>
      <c r="S112" s="418"/>
      <c r="T112" s="418"/>
      <c r="U112" s="418"/>
      <c r="V112" s="418"/>
      <c r="W112" s="418"/>
      <c r="X112" s="419"/>
      <c r="Y112" s="413">
        <f t="shared" si="18"/>
        <v>0</v>
      </c>
      <c r="Z112" s="611">
        <v>108</v>
      </c>
    </row>
    <row r="113" spans="1:26" ht="17.25" customHeight="1" thickBot="1">
      <c r="A113" s="141" t="str">
        <f t="array" ref="A113">IF( ISERROR(INDEX(Panel!$H$6:$H$115,SMALL(IF(Panel!$J$6:$J$115&lt;&gt;0,ROW(Panel!$J$6:$J$115)-5),ROW(A109)))),"",INDEX(Panel!$H$6:$H$115,SMALL(IF(Panel!$J$6:$J$115&lt;&gt;0,ROW(Panel!$J$6:$J$115)-5),ROW(A109))))</f>
        <v/>
      </c>
      <c r="B113" s="141" t="str">
        <f t="array" ref="B113">IF(ISERROR(INDEX(Panel!$I$6:$I$115,SMALL(IF(Panel!$J$6:$J$115&lt;&gt;0,ROW(Panel!$J$6:$J$115)-5),ROW(B109)))),"",INDEX(Panel!$I$6:$I$115,SMALL(IF(Panel!$J$6:$J$115&lt;&gt;0,ROW(Panel!$J$6:$J$115)-5),ROW(B109))))</f>
        <v/>
      </c>
      <c r="C113" s="415" t="str">
        <f t="array" ref="C113">IF( ISERROR(INDEX(Panel!$J$6:$J$115,SMALL(IF(Panel!$J$6:$J$115&lt;&gt;0,ROW(Panel!$J$6:$J$115)-5),ROW(C109)))),"",  INDEX(Panel!$J$6:$J$115,SMALL(IF(Panel!$J$6:$J$115&lt;&gt;0,ROW(Panel!$J$6:$J$115)-5),ROW(C109))))</f>
        <v/>
      </c>
      <c r="D113" s="423"/>
      <c r="E113" s="422"/>
      <c r="F113" s="397"/>
      <c r="G113" s="424"/>
      <c r="H113" s="416"/>
      <c r="I113" s="416"/>
      <c r="J113" s="413"/>
      <c r="K113" s="417"/>
      <c r="L113" s="417"/>
      <c r="M113" s="418"/>
      <c r="N113" s="418"/>
      <c r="O113" s="418"/>
      <c r="P113" s="418"/>
      <c r="Q113" s="418"/>
      <c r="R113" s="418"/>
      <c r="S113" s="418"/>
      <c r="T113" s="418"/>
      <c r="U113" s="418"/>
      <c r="V113" s="418"/>
      <c r="W113" s="418"/>
      <c r="X113" s="419"/>
      <c r="Y113" s="413">
        <f t="shared" si="18"/>
        <v>0</v>
      </c>
      <c r="Z113" s="612">
        <v>109</v>
      </c>
    </row>
    <row r="114" spans="1:26" ht="17.25" customHeight="1">
      <c r="A114" s="141" t="str">
        <f t="array" ref="A114">IF( ISERROR(INDEX(Panel!$H$6:$H$115,SMALL(IF(Panel!$J$6:$J$115&lt;&gt;0,ROW(Panel!$J$6:$J$115)-5),ROW(A110)))),"",INDEX(Panel!$H$6:$H$115,SMALL(IF(Panel!$J$6:$J$115&lt;&gt;0,ROW(Panel!$J$6:$J$115)-5),ROW(A110))))</f>
        <v/>
      </c>
      <c r="B114" s="141" t="str">
        <f t="array" ref="B114">IF(ISERROR(INDEX(Panel!$I$6:$I$115,SMALL(IF(Panel!$J$6:$J$115&lt;&gt;0,ROW(Panel!$J$6:$J$115)-5),ROW(B110)))),"",INDEX(Panel!$I$6:$I$115,SMALL(IF(Panel!$J$6:$J$115&lt;&gt;0,ROW(Panel!$J$6:$J$115)-5),ROW(B110))))</f>
        <v/>
      </c>
      <c r="C114" s="415" t="str">
        <f t="array" ref="C114">IF( ISERROR(INDEX(Panel!$J$6:$J$115,SMALL(IF(Panel!$J$6:$J$115&lt;&gt;0,ROW(Panel!$J$6:$J$115)-5),ROW(C110)))),"",  INDEX(Panel!$J$6:$J$115,SMALL(IF(Panel!$J$6:$J$115&lt;&gt;0,ROW(Panel!$J$6:$J$115)-5),ROW(C110))))</f>
        <v/>
      </c>
      <c r="D114" s="423"/>
      <c r="E114" s="422"/>
      <c r="F114" s="397"/>
      <c r="G114" s="424"/>
      <c r="H114" s="416"/>
      <c r="I114" s="416"/>
      <c r="J114" s="413"/>
      <c r="K114" s="417"/>
      <c r="L114" s="417"/>
      <c r="M114" s="418"/>
      <c r="N114" s="418"/>
      <c r="O114" s="418"/>
      <c r="P114" s="418"/>
      <c r="Q114" s="418"/>
      <c r="R114" s="418"/>
      <c r="S114" s="418"/>
      <c r="T114" s="418"/>
      <c r="U114" s="418"/>
      <c r="V114" s="418"/>
      <c r="W114" s="418"/>
      <c r="X114" s="419"/>
      <c r="Y114" s="413">
        <f t="shared" si="18"/>
        <v>0</v>
      </c>
      <c r="Z114" s="611">
        <v>110</v>
      </c>
    </row>
    <row r="115" spans="1:26" ht="17.25" customHeight="1" thickBot="1">
      <c r="A115" s="141" t="str">
        <f t="array" ref="A115">IF( ISERROR(INDEX(Panel!$H$6:$H$115,SMALL(IF(Panel!$J$6:$J$115&lt;&gt;0,ROW(Panel!$J$6:$J$115)-5),ROW(A111)))),"",INDEX(Panel!$H$6:$H$115,SMALL(IF(Panel!$J$6:$J$115&lt;&gt;0,ROW(Panel!$J$6:$J$115)-5),ROW(A111))))</f>
        <v/>
      </c>
      <c r="B115" s="141" t="str">
        <f t="array" ref="B115">IF(ISERROR(INDEX(Panel!$I$6:$I$115,SMALL(IF(Panel!$J$6:$J$115&lt;&gt;0,ROW(Panel!$J$6:$J$115)-5),ROW(B111)))),"",INDEX(Panel!$I$6:$I$115,SMALL(IF(Panel!$J$6:$J$115&lt;&gt;0,ROW(Panel!$J$6:$J$115)-5),ROW(B111))))</f>
        <v/>
      </c>
      <c r="C115" s="415" t="str">
        <f t="array" ref="C115">IF( ISERROR(INDEX(Panel!$J$6:$J$115,SMALL(IF(Panel!$J$6:$J$115&lt;&gt;0,ROW(Panel!$J$6:$J$115)-5),ROW(C111)))),"",  INDEX(Panel!$J$6:$J$115,SMALL(IF(Panel!$J$6:$J$115&lt;&gt;0,ROW(Panel!$J$6:$J$115)-5),ROW(C111))))</f>
        <v/>
      </c>
      <c r="D115" s="423"/>
      <c r="E115" s="422"/>
      <c r="F115" s="397"/>
      <c r="G115" s="424"/>
      <c r="H115" s="416"/>
      <c r="I115" s="416"/>
      <c r="J115" s="413"/>
      <c r="K115" s="417"/>
      <c r="L115" s="417"/>
      <c r="M115" s="418"/>
      <c r="N115" s="418"/>
      <c r="O115" s="418"/>
      <c r="P115" s="418"/>
      <c r="Q115" s="418"/>
      <c r="R115" s="418"/>
      <c r="S115" s="418"/>
      <c r="T115" s="418"/>
      <c r="U115" s="418"/>
      <c r="V115" s="418"/>
      <c r="W115" s="418"/>
      <c r="X115" s="419"/>
      <c r="Y115" s="413">
        <f t="shared" si="18"/>
        <v>0</v>
      </c>
      <c r="Z115" s="612">
        <v>111</v>
      </c>
    </row>
    <row r="116" spans="1:26" ht="17.25" customHeight="1">
      <c r="A116" s="141" t="str">
        <f t="array" ref="A116">IF( ISERROR(INDEX(Panel!$H$6:$H$115,SMALL(IF(Panel!$J$6:$J$115&lt;&gt;0,ROW(Panel!$J$6:$J$115)-5),ROW(A112)))),"",INDEX(Panel!$H$6:$H$115,SMALL(IF(Panel!$J$6:$J$115&lt;&gt;0,ROW(Panel!$J$6:$J$115)-5),ROW(A112))))</f>
        <v/>
      </c>
      <c r="B116" s="141" t="str">
        <f t="array" ref="B116">IF(ISERROR(INDEX(Panel!$I$6:$I$115,SMALL(IF(Panel!$J$6:$J$115&lt;&gt;0,ROW(Panel!$J$6:$J$115)-5),ROW(B112)))),"",INDEX(Panel!$I$6:$I$115,SMALL(IF(Panel!$J$6:$J$115&lt;&gt;0,ROW(Panel!$J$6:$J$115)-5),ROW(B112))))</f>
        <v/>
      </c>
      <c r="C116" s="415" t="str">
        <f t="array" ref="C116">IF( ISERROR(INDEX(Panel!$J$6:$J$115,SMALL(IF(Panel!$J$6:$J$115&lt;&gt;0,ROW(Panel!$J$6:$J$115)-5),ROW(C112)))),"",  INDEX(Panel!$J$6:$J$115,SMALL(IF(Panel!$J$6:$J$115&lt;&gt;0,ROW(Panel!$J$6:$J$115)-5),ROW(C112))))</f>
        <v/>
      </c>
      <c r="D116" s="423"/>
      <c r="E116" s="142"/>
      <c r="H116" s="174"/>
      <c r="I116" s="174"/>
      <c r="J116" s="133"/>
      <c r="K116" s="133"/>
      <c r="L116" s="133"/>
      <c r="M116" s="139"/>
      <c r="N116" s="133"/>
      <c r="Y116" s="133"/>
      <c r="Z116" s="611">
        <v>112</v>
      </c>
    </row>
    <row r="117" spans="1:26" ht="17.25" customHeight="1">
      <c r="A117" s="141" t="str">
        <f t="array" ref="A117">IF( ISERROR(INDEX(Panel!$H$6:$H$115,SMALL(IF(Panel!$J$6:$J$115&lt;&gt;0,ROW(Panel!$J$6:$J$115)-5),ROW(A113)))),"",INDEX(Panel!$H$6:$H$115,SMALL(IF(Panel!$J$6:$J$115&lt;&gt;0,ROW(Panel!$J$6:$J$115)-5),ROW(A113))))</f>
        <v/>
      </c>
      <c r="B117" s="141" t="str">
        <f t="array" ref="B117">IF(ISERROR(INDEX(Panel!$I$6:$I$115,SMALL(IF(Panel!$J$6:$J$115&lt;&gt;0,ROW(Panel!$J$6:$J$115)-5),ROW(B113)))),"",INDEX(Panel!$I$6:$I$115,SMALL(IF(Panel!$J$6:$J$115&lt;&gt;0,ROW(Panel!$J$6:$J$115)-5),ROW(B113))))</f>
        <v/>
      </c>
      <c r="C117" s="415" t="str">
        <f t="array" ref="C117">IF( ISERROR(INDEX(Panel!$J$6:$J$115,SMALL(IF(Panel!$J$6:$J$115&lt;&gt;0,ROW(Panel!$J$6:$J$115)-5),ROW(C113)))),"",  INDEX(Panel!$J$6:$J$115,SMALL(IF(Panel!$J$6:$J$115&lt;&gt;0,ROW(Panel!$J$6:$J$115)-5),ROW(C113))))</f>
        <v/>
      </c>
      <c r="D117" s="423"/>
      <c r="E117" s="142"/>
      <c r="H117" s="174"/>
      <c r="I117" s="174"/>
      <c r="J117" s="133"/>
      <c r="K117" s="133"/>
      <c r="L117" s="133"/>
      <c r="M117" s="139"/>
      <c r="N117" s="133"/>
      <c r="Y117" s="133"/>
      <c r="Z117" s="612">
        <v>113</v>
      </c>
    </row>
    <row r="118" spans="1:26">
      <c r="H118" s="174"/>
      <c r="I118" s="174"/>
      <c r="J118" s="133"/>
      <c r="K118" s="133"/>
      <c r="L118" s="133"/>
      <c r="M118" s="139"/>
      <c r="N118" s="133"/>
      <c r="Y118" s="133"/>
      <c r="Z118" s="397"/>
    </row>
    <row r="119" spans="1:26">
      <c r="H119" s="174"/>
      <c r="I119" s="174"/>
      <c r="J119" s="133"/>
      <c r="K119" s="133"/>
      <c r="L119" s="133"/>
      <c r="M119" s="139"/>
      <c r="N119" s="133"/>
      <c r="Y119" s="133"/>
    </row>
    <row r="120" spans="1:26" ht="16.5">
      <c r="I120" s="223" t="s">
        <v>191</v>
      </c>
      <c r="J120" s="144"/>
    </row>
    <row r="121" spans="1:26" ht="16.5">
      <c r="I121" s="223" t="s">
        <v>395</v>
      </c>
      <c r="J121" s="144"/>
    </row>
    <row r="122" spans="1:26">
      <c r="I122" s="224"/>
      <c r="J122" s="145"/>
    </row>
  </sheetData>
  <mergeCells count="25">
    <mergeCell ref="A3:B3"/>
    <mergeCell ref="AA4:AB4"/>
    <mergeCell ref="F23:F27"/>
    <mergeCell ref="F28:F29"/>
    <mergeCell ref="E20:E29"/>
    <mergeCell ref="G23:G25"/>
    <mergeCell ref="F33:F38"/>
    <mergeCell ref="F39:F40"/>
    <mergeCell ref="E30:E40"/>
    <mergeCell ref="F30:F32"/>
    <mergeCell ref="F41:F43"/>
    <mergeCell ref="H1:Z2"/>
    <mergeCell ref="F20:F22"/>
    <mergeCell ref="E12:E17"/>
    <mergeCell ref="E6:E9"/>
    <mergeCell ref="G7:G9"/>
    <mergeCell ref="O4:W4"/>
    <mergeCell ref="J4:J5"/>
    <mergeCell ref="I4:I5"/>
    <mergeCell ref="F52:F53"/>
    <mergeCell ref="E49:E54"/>
    <mergeCell ref="F45:F47"/>
    <mergeCell ref="E41:E44"/>
    <mergeCell ref="E45:E48"/>
    <mergeCell ref="F49:F51"/>
  </mergeCells>
  <phoneticPr fontId="13" type="noConversion"/>
  <pageMargins left="0.70866141732283472" right="0.70866141732283472" top="0.74803149606299213" bottom="0.74803149606299213" header="0.31496062992125984" footer="0.31496062992125984"/>
  <pageSetup paperSize="9" scale="33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B8F76-F92D-4D62-9E05-6C4FCD1D3785}">
  <sheetPr codeName="Sheet12"/>
  <dimension ref="A1:I57"/>
  <sheetViews>
    <sheetView topLeftCell="A4" workbookViewId="0">
      <selection activeCell="I25" sqref="I25"/>
    </sheetView>
  </sheetViews>
  <sheetFormatPr defaultRowHeight="16.5"/>
  <cols>
    <col min="1" max="1" width="5.25" customWidth="1"/>
    <col min="2" max="2" width="9.625" bestFit="1" customWidth="1"/>
    <col min="3" max="3" width="11.625" customWidth="1"/>
    <col min="5" max="5" width="10.25" bestFit="1" customWidth="1"/>
    <col min="6" max="6" width="10.25" customWidth="1"/>
    <col min="9" max="9" width="12.375" bestFit="1" customWidth="1"/>
  </cols>
  <sheetData>
    <row r="1" spans="1:9" ht="14.1" customHeight="1">
      <c r="A1" s="684"/>
      <c r="B1" s="685"/>
      <c r="C1" s="686"/>
      <c r="D1" s="1592" t="s">
        <v>1281</v>
      </c>
      <c r="E1" s="1592"/>
      <c r="F1" s="1592"/>
      <c r="G1" s="1592"/>
      <c r="H1" s="1592"/>
      <c r="I1" s="1592"/>
    </row>
    <row r="2" spans="1:9" ht="14.1" customHeight="1">
      <c r="A2" s="687"/>
      <c r="B2" s="688"/>
      <c r="C2" s="689"/>
      <c r="D2" s="1592"/>
      <c r="E2" s="1592"/>
      <c r="F2" s="1592"/>
      <c r="G2" s="1592"/>
      <c r="H2" s="1592"/>
      <c r="I2" s="1592"/>
    </row>
    <row r="3" spans="1:9" ht="18">
      <c r="A3" s="687"/>
      <c r="B3" s="688"/>
      <c r="C3" s="689"/>
      <c r="D3" s="673" t="str">
        <f>"▣ Order No :  "&amp;BASIC_TOOL!B3</f>
        <v xml:space="preserve">▣ Order No :  </v>
      </c>
      <c r="E3" s="674"/>
      <c r="F3" s="674"/>
      <c r="G3" s="674"/>
      <c r="H3" s="674"/>
      <c r="I3" s="674"/>
    </row>
    <row r="4" spans="1:9" ht="18">
      <c r="A4" s="690"/>
      <c r="B4" s="691"/>
      <c r="C4" s="692"/>
      <c r="D4" s="675"/>
      <c r="E4" s="675"/>
      <c r="F4" s="676"/>
      <c r="G4" s="676"/>
      <c r="H4" s="676"/>
      <c r="I4" s="676"/>
    </row>
    <row r="5" spans="1:9" ht="25.5">
      <c r="A5" s="666"/>
      <c r="B5" s="225"/>
      <c r="C5" s="639"/>
      <c r="D5" s="115"/>
      <c r="E5" s="276"/>
      <c r="F5" s="640"/>
      <c r="G5" s="641"/>
      <c r="H5" s="641"/>
      <c r="I5" s="667"/>
    </row>
    <row r="6" spans="1:9">
      <c r="A6" s="662" t="str">
        <f>"▣ Size : "&amp;W_O&amp;"mW x ("&amp;L1_O&amp;IF(L2_O&gt;0,"+"&amp;L2_O,"")&amp;IF(L3_O&gt;0,"+"&amp;L3_O,"")&amp;IF(L4_O&gt;0,"+"&amp;L4_O,"")&amp;")mL x"&amp;H_O&amp;"mH ="&amp;BASIC_TOOL!H9&amp;" [TON]/ 1[SET]"</f>
        <v>▣ Size : 10mW x (5)mL x3mH = [TON]/ 1[SET]</v>
      </c>
      <c r="B6" s="663"/>
      <c r="C6" s="664"/>
      <c r="D6" s="665"/>
      <c r="E6" s="135"/>
      <c r="F6" s="668"/>
      <c r="G6" s="665"/>
      <c r="H6" s="665"/>
      <c r="I6" s="669"/>
    </row>
    <row r="7" spans="1:9">
      <c r="A7" s="670" t="str">
        <f>"▣ Panel: "&amp;BASIC_TOOL!C12&amp;"/ Panel Composition:"&amp;IF(BASIC_TOOL!D13=1,"use Side Panel(only 1x1m)","use side panel (1x2m,1x1.5m)")</f>
        <v>▣ Panel: / Panel Composition:use side panel (1x2m,1x1.5m)</v>
      </c>
      <c r="B7" s="668"/>
      <c r="C7" s="668"/>
      <c r="D7" s="668"/>
      <c r="E7" s="668"/>
      <c r="F7" s="668"/>
      <c r="G7" s="668"/>
      <c r="H7" s="668"/>
      <c r="I7" s="671"/>
    </row>
    <row r="8" spans="1:9">
      <c r="A8" s="666"/>
      <c r="I8" s="672"/>
    </row>
    <row r="9" spans="1:9">
      <c r="A9" s="666"/>
      <c r="I9" s="672"/>
    </row>
    <row r="10" spans="1:9">
      <c r="A10" s="660" t="s">
        <v>1274</v>
      </c>
      <c r="B10" s="660" t="s">
        <v>1275</v>
      </c>
      <c r="C10" s="660" t="s">
        <v>0</v>
      </c>
      <c r="D10" s="660" t="s">
        <v>1276</v>
      </c>
      <c r="E10" s="660" t="s">
        <v>1277</v>
      </c>
      <c r="F10" s="660" t="s">
        <v>1280</v>
      </c>
      <c r="G10" s="660" t="s">
        <v>1278</v>
      </c>
      <c r="H10" s="661"/>
      <c r="I10" s="681" t="s">
        <v>1279</v>
      </c>
    </row>
    <row r="11" spans="1:9">
      <c r="A11" s="682">
        <v>1</v>
      </c>
      <c r="B11" s="677" t="str">
        <f>Panel!B5</f>
        <v>MF00M</v>
      </c>
      <c r="C11" s="550"/>
      <c r="D11" s="677"/>
      <c r="E11" s="679"/>
      <c r="F11" s="679"/>
      <c r="G11" s="677">
        <f>Panel!C5</f>
        <v>1</v>
      </c>
      <c r="H11" s="680"/>
      <c r="I11" s="683"/>
    </row>
    <row r="12" spans="1:9">
      <c r="A12" s="682">
        <f>IF(B12=0,"",A11+1)</f>
        <v>2</v>
      </c>
      <c r="B12" s="677" t="str">
        <f>Panel!B6</f>
        <v>RF00M</v>
      </c>
      <c r="C12" s="678"/>
      <c r="D12" s="677"/>
      <c r="E12" s="679"/>
      <c r="F12" s="679"/>
      <c r="G12" s="677">
        <f>Panel!C6</f>
        <v>49</v>
      </c>
      <c r="H12" s="680"/>
      <c r="I12" s="683"/>
    </row>
    <row r="13" spans="1:9">
      <c r="A13" s="682">
        <f>IF(ISBLANK(B13),"",A12+1)</f>
        <v>3</v>
      </c>
      <c r="B13" s="677" t="str">
        <f>Panel!B7</f>
        <v>BF30M</v>
      </c>
      <c r="C13" s="678"/>
      <c r="D13" s="677"/>
      <c r="E13" s="679"/>
      <c r="F13" s="679"/>
      <c r="G13" s="677">
        <f>Panel!C7</f>
        <v>49</v>
      </c>
      <c r="H13" s="680"/>
      <c r="I13" s="683"/>
    </row>
    <row r="14" spans="1:9">
      <c r="A14" s="682">
        <f t="shared" ref="A14:A53" si="0">IF(ISBLANK(B14),"",A13+1)</f>
        <v>4</v>
      </c>
      <c r="B14" s="677" t="str">
        <f>Panel!B8</f>
        <v>DN30M</v>
      </c>
      <c r="C14" s="678"/>
      <c r="D14" s="677"/>
      <c r="E14" s="679"/>
      <c r="F14" s="679"/>
      <c r="G14" s="677">
        <f>Panel!C8</f>
        <v>1</v>
      </c>
      <c r="H14" s="680"/>
      <c r="I14" s="683"/>
    </row>
    <row r="15" spans="1:9">
      <c r="A15" s="682">
        <f t="shared" si="0"/>
        <v>5</v>
      </c>
      <c r="B15" s="677" t="str">
        <f>Panel!B9</f>
        <v>SL20T</v>
      </c>
      <c r="C15" s="678"/>
      <c r="D15" s="677"/>
      <c r="E15" s="679"/>
      <c r="F15" s="679"/>
      <c r="G15" s="677">
        <f>Panel!C9</f>
        <v>30</v>
      </c>
      <c r="H15" s="680"/>
      <c r="I15" s="683"/>
    </row>
    <row r="16" spans="1:9">
      <c r="A16" s="682">
        <f t="shared" si="0"/>
        <v>6</v>
      </c>
      <c r="B16" s="677" t="str">
        <f>Panel!B10</f>
        <v>SF30L</v>
      </c>
      <c r="C16" s="678"/>
      <c r="D16" s="677"/>
      <c r="E16" s="679"/>
      <c r="F16" s="679"/>
      <c r="G16" s="677">
        <f>Panel!C10</f>
        <v>30</v>
      </c>
      <c r="H16" s="680"/>
      <c r="I16" s="683"/>
    </row>
    <row r="17" spans="1:9">
      <c r="A17" s="682">
        <f t="shared" si="0"/>
        <v>7</v>
      </c>
      <c r="B17" s="677" t="str">
        <f>Panel!B11</f>
        <v/>
      </c>
      <c r="C17" s="678"/>
      <c r="D17" s="677"/>
      <c r="E17" s="679"/>
      <c r="F17" s="679"/>
      <c r="G17" s="677" t="str">
        <f>Panel!C11</f>
        <v/>
      </c>
      <c r="H17" s="680"/>
      <c r="I17" s="683"/>
    </row>
    <row r="18" spans="1:9">
      <c r="A18" s="682">
        <f t="shared" si="0"/>
        <v>8</v>
      </c>
      <c r="B18" s="677" t="str">
        <f>Panel!B12</f>
        <v/>
      </c>
      <c r="C18" s="678"/>
      <c r="D18" s="677"/>
      <c r="E18" s="679"/>
      <c r="F18" s="679"/>
      <c r="G18" s="677" t="str">
        <f>Panel!C12</f>
        <v/>
      </c>
      <c r="H18" s="680"/>
      <c r="I18" s="683"/>
    </row>
    <row r="19" spans="1:9">
      <c r="A19" s="682">
        <f t="shared" si="0"/>
        <v>9</v>
      </c>
      <c r="B19" s="677" t="str">
        <f>Panel!B13</f>
        <v/>
      </c>
      <c r="C19" s="678"/>
      <c r="D19" s="677"/>
      <c r="E19" s="679"/>
      <c r="F19" s="679"/>
      <c r="G19" s="677" t="str">
        <f>Panel!C13</f>
        <v/>
      </c>
      <c r="H19" s="680"/>
      <c r="I19" s="683"/>
    </row>
    <row r="20" spans="1:9">
      <c r="A20" s="682">
        <f t="shared" si="0"/>
        <v>10</v>
      </c>
      <c r="B20" s="677" t="str">
        <f>Panel!B14</f>
        <v/>
      </c>
      <c r="C20" s="678"/>
      <c r="D20" s="677"/>
      <c r="E20" s="679"/>
      <c r="F20" s="679"/>
      <c r="G20" s="677" t="str">
        <f>Panel!C14</f>
        <v/>
      </c>
      <c r="H20" s="680"/>
      <c r="I20" s="683"/>
    </row>
    <row r="21" spans="1:9">
      <c r="A21" s="682">
        <f t="shared" si="0"/>
        <v>11</v>
      </c>
      <c r="B21" s="677" t="str">
        <f>Panel!B15</f>
        <v/>
      </c>
      <c r="C21" s="678"/>
      <c r="D21" s="677"/>
      <c r="E21" s="679"/>
      <c r="F21" s="679"/>
      <c r="G21" s="677" t="str">
        <f>Panel!C15</f>
        <v/>
      </c>
      <c r="H21" s="680"/>
      <c r="I21" s="683"/>
    </row>
    <row r="22" spans="1:9">
      <c r="A22" s="682">
        <f t="shared" si="0"/>
        <v>12</v>
      </c>
      <c r="B22" s="677" t="str">
        <f>Panel!B16</f>
        <v/>
      </c>
      <c r="C22" s="678"/>
      <c r="D22" s="677"/>
      <c r="E22" s="679"/>
      <c r="F22" s="679"/>
      <c r="G22" s="677" t="str">
        <f>Panel!C16</f>
        <v/>
      </c>
      <c r="H22" s="680"/>
      <c r="I22" s="683"/>
    </row>
    <row r="23" spans="1:9">
      <c r="A23" s="682">
        <f t="shared" si="0"/>
        <v>13</v>
      </c>
      <c r="B23" s="677" t="str">
        <f>Panel!B17</f>
        <v/>
      </c>
      <c r="C23" s="678"/>
      <c r="D23" s="677"/>
      <c r="E23" s="679"/>
      <c r="F23" s="679"/>
      <c r="G23" s="677" t="str">
        <f>Panel!C17</f>
        <v/>
      </c>
      <c r="H23" s="680"/>
      <c r="I23" s="683"/>
    </row>
    <row r="24" spans="1:9">
      <c r="A24" s="682">
        <f t="shared" si="0"/>
        <v>14</v>
      </c>
      <c r="B24" s="677" t="str">
        <f>Panel!B18</f>
        <v/>
      </c>
      <c r="C24" s="678"/>
      <c r="D24" s="677"/>
      <c r="E24" s="679"/>
      <c r="F24" s="679"/>
      <c r="G24" s="677" t="str">
        <f>Panel!C18</f>
        <v/>
      </c>
      <c r="H24" s="680"/>
      <c r="I24" s="683"/>
    </row>
    <row r="25" spans="1:9">
      <c r="A25" s="682">
        <f t="shared" si="0"/>
        <v>15</v>
      </c>
      <c r="B25" s="677" t="str">
        <f>Panel!B19</f>
        <v/>
      </c>
      <c r="C25" s="678"/>
      <c r="D25" s="677"/>
      <c r="E25" s="679"/>
      <c r="F25" s="679"/>
      <c r="G25" s="677" t="str">
        <f>Panel!C19</f>
        <v/>
      </c>
      <c r="H25" s="680"/>
      <c r="I25" s="683"/>
    </row>
    <row r="26" spans="1:9">
      <c r="A26" s="682">
        <f t="shared" si="0"/>
        <v>16</v>
      </c>
      <c r="B26" s="677" t="str">
        <f>Panel!B20</f>
        <v/>
      </c>
      <c r="C26" s="678"/>
      <c r="D26" s="677"/>
      <c r="E26" s="679"/>
      <c r="F26" s="679"/>
      <c r="G26" s="677" t="str">
        <f>Panel!C20</f>
        <v/>
      </c>
      <c r="H26" s="680"/>
      <c r="I26" s="683"/>
    </row>
    <row r="27" spans="1:9">
      <c r="A27" s="682">
        <f t="shared" si="0"/>
        <v>17</v>
      </c>
      <c r="B27" s="677" t="str">
        <f>Panel!B21</f>
        <v/>
      </c>
      <c r="C27" s="678"/>
      <c r="D27" s="677"/>
      <c r="E27" s="679"/>
      <c r="F27" s="679"/>
      <c r="G27" s="677" t="str">
        <f>Panel!C21</f>
        <v/>
      </c>
      <c r="H27" s="680"/>
      <c r="I27" s="683"/>
    </row>
    <row r="28" spans="1:9">
      <c r="A28" s="682">
        <f t="shared" si="0"/>
        <v>18</v>
      </c>
      <c r="B28" s="677" t="str">
        <f>Panel!B22</f>
        <v/>
      </c>
      <c r="C28" s="678"/>
      <c r="D28" s="677"/>
      <c r="E28" s="679"/>
      <c r="F28" s="679"/>
      <c r="G28" s="677" t="str">
        <f>Panel!C22</f>
        <v/>
      </c>
      <c r="H28" s="680"/>
      <c r="I28" s="683"/>
    </row>
    <row r="29" spans="1:9">
      <c r="A29" s="682">
        <f t="shared" si="0"/>
        <v>19</v>
      </c>
      <c r="B29" s="677" t="str">
        <f>Panel!B23</f>
        <v/>
      </c>
      <c r="C29" s="678"/>
      <c r="D29" s="677"/>
      <c r="E29" s="679"/>
      <c r="F29" s="679"/>
      <c r="G29" s="677" t="str">
        <f>Panel!C23</f>
        <v/>
      </c>
      <c r="H29" s="680"/>
      <c r="I29" s="683"/>
    </row>
    <row r="30" spans="1:9">
      <c r="A30" s="682">
        <f t="shared" si="0"/>
        <v>20</v>
      </c>
      <c r="B30" s="677" t="str">
        <f>Panel!B24</f>
        <v/>
      </c>
      <c r="C30" s="678"/>
      <c r="D30" s="677"/>
      <c r="E30" s="679"/>
      <c r="F30" s="679"/>
      <c r="G30" s="677" t="str">
        <f>Panel!C24</f>
        <v/>
      </c>
      <c r="H30" s="680"/>
      <c r="I30" s="683"/>
    </row>
    <row r="31" spans="1:9">
      <c r="A31" s="682">
        <f t="shared" si="0"/>
        <v>21</v>
      </c>
      <c r="B31" s="677" t="str">
        <f>Panel!B25</f>
        <v/>
      </c>
      <c r="C31" s="678"/>
      <c r="D31" s="677"/>
      <c r="E31" s="679"/>
      <c r="F31" s="679"/>
      <c r="G31" s="677" t="str">
        <f>Panel!C25</f>
        <v/>
      </c>
      <c r="H31" s="680"/>
      <c r="I31" s="683"/>
    </row>
    <row r="32" spans="1:9">
      <c r="A32" s="682">
        <f t="shared" si="0"/>
        <v>22</v>
      </c>
      <c r="B32" s="677" t="str">
        <f>Panel!B26</f>
        <v/>
      </c>
      <c r="C32" s="678"/>
      <c r="D32" s="677"/>
      <c r="E32" s="679"/>
      <c r="F32" s="679"/>
      <c r="G32" s="677" t="str">
        <f>Panel!C26</f>
        <v/>
      </c>
      <c r="H32" s="680"/>
      <c r="I32" s="683"/>
    </row>
    <row r="33" spans="1:9">
      <c r="A33" s="682">
        <f t="shared" si="0"/>
        <v>23</v>
      </c>
      <c r="B33" s="677" t="str">
        <f>Panel!B27</f>
        <v/>
      </c>
      <c r="C33" s="678"/>
      <c r="D33" s="677"/>
      <c r="E33" s="679"/>
      <c r="F33" s="679"/>
      <c r="G33" s="677" t="str">
        <f>Panel!C27</f>
        <v/>
      </c>
      <c r="H33" s="680"/>
      <c r="I33" s="683"/>
    </row>
    <row r="34" spans="1:9">
      <c r="A34" s="682">
        <f t="shared" si="0"/>
        <v>24</v>
      </c>
      <c r="B34" s="677" t="str">
        <f>Panel!B28</f>
        <v/>
      </c>
      <c r="C34" s="678"/>
      <c r="D34" s="677"/>
      <c r="E34" s="679"/>
      <c r="F34" s="679"/>
      <c r="G34" s="677" t="str">
        <f>Panel!C28</f>
        <v/>
      </c>
      <c r="H34" s="680"/>
      <c r="I34" s="683"/>
    </row>
    <row r="35" spans="1:9">
      <c r="A35" s="682">
        <f t="shared" si="0"/>
        <v>25</v>
      </c>
      <c r="B35" s="677" t="str">
        <f>Panel!B29</f>
        <v/>
      </c>
      <c r="C35" s="678"/>
      <c r="D35" s="677"/>
      <c r="E35" s="679"/>
      <c r="F35" s="679"/>
      <c r="G35" s="677" t="str">
        <f>Panel!C29</f>
        <v/>
      </c>
      <c r="H35" s="680"/>
      <c r="I35" s="683"/>
    </row>
    <row r="36" spans="1:9">
      <c r="A36" s="682">
        <f t="shared" si="0"/>
        <v>26</v>
      </c>
      <c r="B36" s="677" t="str">
        <f>Panel!B30</f>
        <v/>
      </c>
      <c r="C36" s="678"/>
      <c r="D36" s="677"/>
      <c r="E36" s="679"/>
      <c r="F36" s="679"/>
      <c r="G36" s="677" t="str">
        <f>Panel!C30</f>
        <v/>
      </c>
      <c r="H36" s="680"/>
      <c r="I36" s="683"/>
    </row>
    <row r="37" spans="1:9">
      <c r="A37" s="682">
        <f t="shared" si="0"/>
        <v>27</v>
      </c>
      <c r="B37" s="677" t="str">
        <f>Panel!B31</f>
        <v/>
      </c>
      <c r="C37" s="678"/>
      <c r="D37" s="677"/>
      <c r="E37" s="679"/>
      <c r="F37" s="679"/>
      <c r="G37" s="677" t="str">
        <f>Panel!C31</f>
        <v/>
      </c>
      <c r="H37" s="680"/>
      <c r="I37" s="683"/>
    </row>
    <row r="38" spans="1:9">
      <c r="A38" s="682">
        <f t="shared" si="0"/>
        <v>28</v>
      </c>
      <c r="B38" s="677" t="str">
        <f>Panel!B32</f>
        <v/>
      </c>
      <c r="C38" s="678"/>
      <c r="D38" s="677"/>
      <c r="E38" s="679"/>
      <c r="F38" s="679"/>
      <c r="G38" s="677" t="str">
        <f>Panel!C32</f>
        <v/>
      </c>
      <c r="H38" s="680"/>
      <c r="I38" s="683"/>
    </row>
    <row r="39" spans="1:9">
      <c r="A39" s="682">
        <f t="shared" si="0"/>
        <v>29</v>
      </c>
      <c r="B39" s="677" t="str">
        <f>Panel!B33</f>
        <v/>
      </c>
      <c r="C39" s="678"/>
      <c r="D39" s="677"/>
      <c r="E39" s="679"/>
      <c r="F39" s="679"/>
      <c r="G39" s="677" t="str">
        <f>Panel!C33</f>
        <v/>
      </c>
      <c r="H39" s="680"/>
      <c r="I39" s="683"/>
    </row>
    <row r="40" spans="1:9">
      <c r="A40" s="682">
        <f t="shared" si="0"/>
        <v>30</v>
      </c>
      <c r="B40" s="677" t="str">
        <f>Panel!B34</f>
        <v/>
      </c>
      <c r="C40" s="678"/>
      <c r="D40" s="677"/>
      <c r="E40" s="679"/>
      <c r="F40" s="679"/>
      <c r="G40" s="677" t="str">
        <f>Panel!C34</f>
        <v/>
      </c>
      <c r="H40" s="680"/>
      <c r="I40" s="683"/>
    </row>
    <row r="41" spans="1:9">
      <c r="A41" s="682">
        <f t="shared" si="0"/>
        <v>31</v>
      </c>
      <c r="B41" s="677" t="str">
        <f>Panel!B35</f>
        <v/>
      </c>
      <c r="C41" s="678"/>
      <c r="D41" s="677"/>
      <c r="E41" s="679"/>
      <c r="F41" s="679"/>
      <c r="G41" s="677" t="str">
        <f>Panel!C35</f>
        <v/>
      </c>
      <c r="H41" s="680"/>
      <c r="I41" s="683"/>
    </row>
    <row r="42" spans="1:9">
      <c r="A42" s="682">
        <f t="shared" si="0"/>
        <v>32</v>
      </c>
      <c r="B42" s="677" t="str">
        <f>Panel!B36</f>
        <v/>
      </c>
      <c r="C42" s="678"/>
      <c r="D42" s="677"/>
      <c r="E42" s="679"/>
      <c r="F42" s="679"/>
      <c r="G42" s="677" t="str">
        <f>Panel!C36</f>
        <v/>
      </c>
      <c r="H42" s="680"/>
      <c r="I42" s="683"/>
    </row>
    <row r="43" spans="1:9">
      <c r="A43" s="682">
        <f t="shared" si="0"/>
        <v>33</v>
      </c>
      <c r="B43" s="677" t="str">
        <f>Panel!B37</f>
        <v/>
      </c>
      <c r="C43" s="678"/>
      <c r="D43" s="677"/>
      <c r="E43" s="679"/>
      <c r="F43" s="679"/>
      <c r="G43" s="677" t="str">
        <f>Panel!C37</f>
        <v/>
      </c>
      <c r="H43" s="680"/>
      <c r="I43" s="683"/>
    </row>
    <row r="44" spans="1:9">
      <c r="A44" s="682">
        <f t="shared" si="0"/>
        <v>34</v>
      </c>
      <c r="B44" s="677" t="str">
        <f>Panel!B38</f>
        <v/>
      </c>
      <c r="C44" s="678"/>
      <c r="D44" s="677"/>
      <c r="E44" s="679"/>
      <c r="F44" s="679"/>
      <c r="G44" s="677" t="str">
        <f>Panel!C38</f>
        <v/>
      </c>
      <c r="H44" s="680"/>
      <c r="I44" s="683"/>
    </row>
    <row r="45" spans="1:9">
      <c r="A45" s="682">
        <f t="shared" si="0"/>
        <v>35</v>
      </c>
      <c r="B45" s="677" t="str">
        <f>Panel!B39</f>
        <v/>
      </c>
      <c r="C45" s="678"/>
      <c r="D45" s="677"/>
      <c r="E45" s="679"/>
      <c r="F45" s="679"/>
      <c r="G45" s="677" t="str">
        <f>Panel!C39</f>
        <v/>
      </c>
      <c r="H45" s="680"/>
      <c r="I45" s="683"/>
    </row>
    <row r="46" spans="1:9">
      <c r="A46" s="682">
        <f t="shared" si="0"/>
        <v>36</v>
      </c>
      <c r="B46" s="677" t="str">
        <f>Panel!B40</f>
        <v/>
      </c>
      <c r="C46" s="678"/>
      <c r="D46" s="677"/>
      <c r="E46" s="679"/>
      <c r="F46" s="679"/>
      <c r="G46" s="677" t="str">
        <f>Panel!C40</f>
        <v/>
      </c>
      <c r="H46" s="680"/>
      <c r="I46" s="683"/>
    </row>
    <row r="47" spans="1:9">
      <c r="A47" s="682">
        <f t="shared" si="0"/>
        <v>37</v>
      </c>
      <c r="B47" s="677" t="str">
        <f>Panel!B41</f>
        <v/>
      </c>
      <c r="C47" s="678"/>
      <c r="D47" s="677"/>
      <c r="E47" s="679"/>
      <c r="F47" s="679"/>
      <c r="G47" s="677" t="str">
        <f>Panel!C41</f>
        <v/>
      </c>
      <c r="H47" s="680"/>
      <c r="I47" s="683"/>
    </row>
    <row r="48" spans="1:9">
      <c r="A48" s="682">
        <f t="shared" si="0"/>
        <v>38</v>
      </c>
      <c r="B48" s="677" t="str">
        <f>Panel!B42</f>
        <v/>
      </c>
      <c r="C48" s="678"/>
      <c r="D48" s="677"/>
      <c r="E48" s="679"/>
      <c r="F48" s="679"/>
      <c r="G48" s="677" t="str">
        <f>Panel!C42</f>
        <v/>
      </c>
      <c r="H48" s="680"/>
      <c r="I48" s="683"/>
    </row>
    <row r="49" spans="1:9">
      <c r="A49" s="682">
        <f t="shared" si="0"/>
        <v>39</v>
      </c>
      <c r="B49" s="677" t="str">
        <f>Panel!B43</f>
        <v/>
      </c>
      <c r="C49" s="678"/>
      <c r="D49" s="677"/>
      <c r="E49" s="679"/>
      <c r="F49" s="679"/>
      <c r="G49" s="677" t="str">
        <f>Panel!C43</f>
        <v/>
      </c>
      <c r="H49" s="680"/>
      <c r="I49" s="683"/>
    </row>
    <row r="50" spans="1:9">
      <c r="A50" s="682">
        <f t="shared" si="0"/>
        <v>40</v>
      </c>
      <c r="B50" s="677" t="str">
        <f>Panel!B44</f>
        <v/>
      </c>
      <c r="C50" s="678"/>
      <c r="D50" s="677"/>
      <c r="E50" s="679"/>
      <c r="F50" s="679"/>
      <c r="G50" s="677" t="str">
        <f>Panel!C44</f>
        <v/>
      </c>
      <c r="H50" s="680"/>
      <c r="I50" s="683"/>
    </row>
    <row r="51" spans="1:9">
      <c r="A51" s="682">
        <f t="shared" si="0"/>
        <v>41</v>
      </c>
      <c r="B51" s="677" t="str">
        <f>Panel!B45</f>
        <v/>
      </c>
      <c r="C51" s="678"/>
      <c r="D51" s="677"/>
      <c r="E51" s="679"/>
      <c r="F51" s="679"/>
      <c r="G51" s="677" t="str">
        <f>Panel!C45</f>
        <v/>
      </c>
      <c r="H51" s="680"/>
      <c r="I51" s="683"/>
    </row>
    <row r="52" spans="1:9">
      <c r="A52" s="682">
        <f t="shared" si="0"/>
        <v>42</v>
      </c>
      <c r="B52" s="677" t="str">
        <f>Panel!B46</f>
        <v/>
      </c>
      <c r="C52" s="678"/>
      <c r="D52" s="677"/>
      <c r="E52" s="679"/>
      <c r="F52" s="679"/>
      <c r="G52" s="677" t="str">
        <f>Panel!C46</f>
        <v/>
      </c>
      <c r="H52" s="680"/>
      <c r="I52" s="683"/>
    </row>
    <row r="53" spans="1:9">
      <c r="A53" s="682">
        <f t="shared" si="0"/>
        <v>43</v>
      </c>
      <c r="B53" s="677" t="str">
        <f>Panel!B47</f>
        <v/>
      </c>
      <c r="C53" s="678"/>
      <c r="D53" s="677"/>
      <c r="E53" s="679"/>
      <c r="F53" s="679"/>
      <c r="G53" s="677" t="str">
        <f>Panel!C47</f>
        <v/>
      </c>
      <c r="H53" s="680"/>
      <c r="I53" s="683"/>
    </row>
    <row r="54" spans="1:9">
      <c r="A54" s="682">
        <f>IF(B54=0,"",A53+1)</f>
        <v>44</v>
      </c>
      <c r="B54" s="677" t="str">
        <f>Panel!B48</f>
        <v/>
      </c>
      <c r="C54" s="678"/>
      <c r="D54" s="677"/>
      <c r="E54" s="679"/>
      <c r="F54" s="679"/>
      <c r="G54" s="677" t="str">
        <f>Panel!C48</f>
        <v/>
      </c>
      <c r="H54" s="680"/>
      <c r="I54" s="683"/>
    </row>
    <row r="55" spans="1:9">
      <c r="A55" s="682">
        <f>IF(B55=0,"",A54+1)</f>
        <v>45</v>
      </c>
      <c r="B55" s="677" t="str">
        <f>Panel!B49</f>
        <v/>
      </c>
      <c r="C55" s="678"/>
      <c r="D55" s="677"/>
      <c r="E55" s="679"/>
      <c r="F55" s="679"/>
      <c r="G55" s="677" t="str">
        <f>Panel!C49</f>
        <v/>
      </c>
      <c r="H55" s="680"/>
      <c r="I55" s="683"/>
    </row>
    <row r="56" spans="1:9">
      <c r="A56" s="682">
        <f>IF(B56=0,"",A55+1)</f>
        <v>46</v>
      </c>
      <c r="B56" s="677" t="str">
        <f>Panel!B50</f>
        <v/>
      </c>
      <c r="C56" s="678"/>
      <c r="D56" s="677"/>
      <c r="E56" s="679"/>
      <c r="F56" s="679"/>
      <c r="G56" s="677" t="str">
        <f>Panel!C50</f>
        <v/>
      </c>
      <c r="H56" s="680"/>
      <c r="I56" s="683"/>
    </row>
    <row r="57" spans="1:9">
      <c r="A57" s="682">
        <f>IF(B57=0,"",A56+1)</f>
        <v>47</v>
      </c>
      <c r="B57" s="677" t="str">
        <f>Panel!B51</f>
        <v/>
      </c>
      <c r="C57" s="678"/>
      <c r="D57" s="677"/>
      <c r="E57" s="679"/>
      <c r="F57" s="679"/>
      <c r="G57" s="677" t="str">
        <f>Panel!C51</f>
        <v/>
      </c>
      <c r="H57" s="680"/>
      <c r="I57" s="683"/>
    </row>
  </sheetData>
  <mergeCells count="1">
    <mergeCell ref="D1:I2"/>
  </mergeCells>
  <phoneticPr fontId="13" type="noConversion"/>
  <pageMargins left="0.7" right="0.7" top="0.75" bottom="0.75" header="0.3" footer="0.3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1">
    <pageSetUpPr fitToPage="1"/>
  </sheetPr>
  <dimension ref="A1:AC54"/>
  <sheetViews>
    <sheetView zoomScale="90" zoomScaleNormal="90" workbookViewId="0">
      <selection activeCell="A8" sqref="A8"/>
    </sheetView>
  </sheetViews>
  <sheetFormatPr defaultColWidth="8.875" defaultRowHeight="12.75"/>
  <cols>
    <col min="1" max="1" width="20.75" style="159" bestFit="1" customWidth="1"/>
    <col min="2" max="2" width="12.25" style="159" bestFit="1" customWidth="1"/>
    <col min="3" max="3" width="4.375" style="159" bestFit="1" customWidth="1"/>
    <col min="4" max="4" width="12.25" style="159" bestFit="1" customWidth="1"/>
    <col min="5" max="5" width="17.75" style="159" bestFit="1" customWidth="1"/>
    <col min="6" max="7" width="20.75" style="159" bestFit="1" customWidth="1"/>
    <col min="8" max="8" width="8.75" style="159"/>
    <col min="9" max="9" width="21.125" style="159" customWidth="1"/>
    <col min="10" max="10" width="13.25" style="159" bestFit="1" customWidth="1"/>
    <col min="11" max="11" width="15" style="159" bestFit="1" customWidth="1"/>
    <col min="12" max="12" width="19.125" style="159" customWidth="1"/>
    <col min="13" max="13" width="8.875" style="164" customWidth="1"/>
    <col min="14" max="14" width="117.375" style="159" customWidth="1"/>
    <col min="15" max="20" width="5.375" style="159" customWidth="1"/>
    <col min="21" max="21" width="6.75" style="159" bestFit="1" customWidth="1"/>
    <col min="22" max="22" width="7.75" style="159" bestFit="1" customWidth="1"/>
    <col min="23" max="35" width="5.375" style="159" customWidth="1"/>
    <col min="36" max="16384" width="8.875" style="159"/>
  </cols>
  <sheetData>
    <row r="1" spans="1:29" s="153" customFormat="1" ht="14.25" customHeight="1">
      <c r="J1" s="1593"/>
      <c r="K1" s="1593"/>
      <c r="L1" s="1593"/>
      <c r="M1" s="1593"/>
      <c r="N1" s="1593"/>
      <c r="O1" s="1593"/>
      <c r="P1" s="1593"/>
      <c r="Q1" s="1593"/>
      <c r="R1" s="1593"/>
      <c r="S1" s="1593"/>
      <c r="T1" s="1593"/>
      <c r="U1" s="1593"/>
      <c r="V1" s="1593"/>
      <c r="W1" s="1593"/>
      <c r="X1" s="1593"/>
      <c r="Y1" s="1593"/>
      <c r="Z1" s="1593"/>
      <c r="AA1" s="1593"/>
      <c r="AB1" s="1593"/>
      <c r="AC1" s="1593"/>
    </row>
    <row r="2" spans="1:29" s="153" customFormat="1" ht="14.25" customHeight="1">
      <c r="J2" s="1593"/>
      <c r="K2" s="1593"/>
      <c r="L2" s="1593"/>
      <c r="M2" s="1593"/>
      <c r="N2" s="1593"/>
      <c r="O2" s="1593"/>
      <c r="P2" s="1593"/>
      <c r="Q2" s="1593"/>
      <c r="R2" s="1593"/>
      <c r="S2" s="1593"/>
      <c r="T2" s="1593"/>
      <c r="U2" s="1593"/>
      <c r="V2" s="1593"/>
      <c r="W2" s="1593"/>
      <c r="X2" s="1593"/>
      <c r="Y2" s="1593"/>
      <c r="Z2" s="1593"/>
      <c r="AA2" s="1593"/>
      <c r="AB2" s="1593"/>
      <c r="AC2" s="1593"/>
    </row>
    <row r="3" spans="1:29" s="153" customFormat="1" ht="14.25" customHeight="1">
      <c r="M3" s="154">
        <f>QUOTIENT(L1_C,2)*(W_C+W_F)</f>
        <v>20</v>
      </c>
      <c r="AC3" s="1593"/>
    </row>
    <row r="4" spans="1:29" s="153" customFormat="1" ht="14.25" customHeight="1">
      <c r="M4" s="154">
        <f>((IF(L1_F&gt;0,QUOTIENT(L1_O-1.5,2),QUOTIENT(L1_C,2))+IF(L2_F&gt;0,QUOTIENT(L2_O-1.5,2),QUOTIENT(L2_C,2))+IF(L3_F&gt;0,QUOTIENT(L3_O-1.5,2),QUOTIENT(L3_C,2))+IF(L4_F&gt;0,QUOTIENT(L4_O-1.5,2),QUOTIENT(L4_C,2))))</f>
        <v>2</v>
      </c>
      <c r="V4" s="155"/>
      <c r="X4" s="156"/>
    </row>
    <row r="5" spans="1:29" s="153" customFormat="1">
      <c r="M5" s="154">
        <f>((IF(L_O_F&gt;0,QUOTIENT(L_O-1.5,2),L_O_C/2)))*(W_C+W_F+1)*IF(BASIC_TOOL!D23=5,0,1)</f>
        <v>27.5</v>
      </c>
      <c r="N5" s="157"/>
      <c r="P5" s="157"/>
      <c r="R5" s="157"/>
      <c r="T5" s="157"/>
    </row>
    <row r="6" spans="1:29" s="153" customFormat="1">
      <c r="B6" s="1594" t="s">
        <v>333</v>
      </c>
      <c r="C6" s="1595"/>
      <c r="D6" s="1595"/>
      <c r="E6" s="1595"/>
      <c r="F6" s="1595"/>
      <c r="G6" s="1595"/>
      <c r="H6" s="1596"/>
      <c r="M6" s="154"/>
      <c r="S6" s="158"/>
    </row>
    <row r="7" spans="1:29">
      <c r="B7" s="160" t="s">
        <v>334</v>
      </c>
      <c r="C7" s="161" t="s">
        <v>328</v>
      </c>
      <c r="D7" s="161" t="s">
        <v>242</v>
      </c>
      <c r="E7" s="161" t="s">
        <v>329</v>
      </c>
      <c r="F7" s="161" t="s">
        <v>330</v>
      </c>
      <c r="G7" s="161" t="s">
        <v>331</v>
      </c>
      <c r="H7" s="161" t="s">
        <v>332</v>
      </c>
      <c r="L7" s="153"/>
      <c r="M7" s="154"/>
      <c r="N7" s="153"/>
    </row>
    <row r="8" spans="1:29" s="153" customFormat="1">
      <c r="A8" s="23" t="str">
        <f>IF(B8="","",(VLOOKUP(B:B,'0.39'!B:F,5,FALSE)))</f>
        <v>Steel Skid Connetor</v>
      </c>
      <c r="B8" s="162" t="str">
        <f>IF(BASIC_TOOL!$D$23=1,D8,IF(BASIC_TOOL!$D$23=2,E8,IF(BASIC_TOOL!$D$23=3,F8,IF(BASIC_TOOL!$D$23=4,G8,H8))))</f>
        <v>WBR-0120Z</v>
      </c>
      <c r="C8" s="163">
        <f t="array" ref="C8">IF(ISERROR(INDEX($M$8:$M$36,SMALL(IF($M$8:$M$36&lt;&gt;0,ROW($M$8:$M$36)-7),ROW(C1)))),"",INDEX($M$8:$M$36,SMALL(IF($M$8:$M$36&lt;&gt;0,ROW($M$8:$M$36)-7),ROW(C1))))</f>
        <v>22</v>
      </c>
      <c r="D8" s="163" t="str">
        <f t="shared" ref="D8:D36" si="0">IF(H_O&gt;4.3, G8,IF(H_O&gt;2.5,F8,IF(H_O&gt;0,E8,"")))</f>
        <v>WBR-0120Z</v>
      </c>
      <c r="E8" s="163" t="str">
        <f t="array" ref="E8">IF( ISERROR(INDEX($J$8:$J$36,SMALL(IF($M$8:$M$36&lt;&gt;0,ROW($M$8:$M$36)-7),ROW(E1)))),"",INDEX($J$8:$J$36,SMALL(IF($M$8:$M$36&lt;&gt;0,ROW($M$8:$M$36)-7),ROW(E1))))</f>
        <v>WBR-7575Z</v>
      </c>
      <c r="F8" s="163" t="str">
        <f t="array" ref="F8">IF(ISERROR(INDEX($K$8:$K$36,SMALL(IF($M$8:$M$36&lt;&gt;0,ROW($M$8:$M$36)-7),ROW(F1)))),"",INDEX($K$8:$K$36,SMALL(IF($M$8:$M$36&lt;&gt;0,ROW($M$8:$M$36)-7),ROW(F1))))</f>
        <v>WBR-0120Z</v>
      </c>
      <c r="G8" s="163" t="str">
        <f t="array" ref="G8">IF(ISERROR(INDEX($L$8:$L$36,SMALL(IF($M$8:$M$36&lt;&gt;0,ROW($M$8:$M$36)-7),ROW(G1)))),"",INDEX($L$8:$L$36,SMALL(IF($M$8:$M$36&lt;&gt;0,ROW($M$8:$M$36)-7),ROW(G1))))</f>
        <v>WBR-0150Z</v>
      </c>
      <c r="H8" s="163" t="str">
        <f>""</f>
        <v/>
      </c>
      <c r="J8" s="413" t="s">
        <v>9</v>
      </c>
      <c r="K8" s="413" t="s">
        <v>157</v>
      </c>
      <c r="L8" s="413" t="s">
        <v>158</v>
      </c>
      <c r="M8" s="566">
        <f>(W_C+W_F+1)*2*IF(BASIC_TOOL!D23=5,0,1)</f>
        <v>22</v>
      </c>
      <c r="N8" s="567"/>
    </row>
    <row r="9" spans="1:29" s="153" customFormat="1">
      <c r="A9" s="23" t="str">
        <f>IF(B9="","",(VLOOKUP(B:B,'0.39'!B:F,5,FALSE)))</f>
        <v>Steel Skid Connetor</v>
      </c>
      <c r="B9" s="162" t="str">
        <f>IF(BASIC_TOOL!$D$23=1,D9,IF(BASIC_TOOL!$D$23=2,E9,IF(BASIC_TOOL!$D$23=3,F9,IF(BASIC_TOOL!$D$23=4,G9,H9))))</f>
        <v>WBR-21590Z</v>
      </c>
      <c r="C9" s="163">
        <f t="array" ref="C9">IF(ISERROR(INDEX($M$8:$M$36,SMALL(IF($M$8:$M$36&lt;&gt;0,ROW($M$8:$M$36)-7),ROW(C2)))),"",INDEX($M$8:$M$36,SMALL(IF($M$8:$M$36&lt;&gt;0,ROW($M$8:$M$36)-7),ROW(C2))))</f>
        <v>8</v>
      </c>
      <c r="D9" s="163" t="str">
        <f t="shared" si="0"/>
        <v>WBR-21590Z</v>
      </c>
      <c r="E9" s="163" t="str">
        <f t="array" ref="E9">IF( ISERROR(INDEX($J$8:$J$36,SMALL(IF($M$8:$M$36&lt;&gt;0,ROW($M$8:$M$36)-7),ROW(E2)))),"",INDEX($J$8:$J$36,SMALL(IF($M$8:$M$36&lt;&gt;0,ROW($M$8:$M$36)-7),ROW(E2))))</f>
        <v>WBR-0240Z</v>
      </c>
      <c r="F9" s="163" t="str">
        <f t="array" ref="F9">IF(ISERROR(INDEX($K$8:$K$36,SMALL(IF($M$8:$M$36&lt;&gt;0,ROW($M$8:$M$36)-7),ROW(F2)))),"",INDEX($K$8:$K$36,SMALL(IF($M$8:$M$36&lt;&gt;0,ROW($M$8:$M$36)-7),ROW(F2))))</f>
        <v>WBR-21590Z</v>
      </c>
      <c r="G9" s="163" t="str">
        <f t="array" ref="G9">IF(ISERROR(INDEX($L$8:$L$36,SMALL(IF($M$8:$M$36&lt;&gt;0,ROW($M$8:$M$36)-7),ROW(G2)))),"",INDEX($L$8:$L$36,SMALL(IF($M$8:$M$36&lt;&gt;0,ROW($M$8:$M$36)-7),ROW(G2))))</f>
        <v>WBR-22310Z</v>
      </c>
      <c r="H9" s="163" t="str">
        <f>""</f>
        <v/>
      </c>
      <c r="J9" s="413" t="s">
        <v>53</v>
      </c>
      <c r="K9" s="413" t="s">
        <v>54</v>
      </c>
      <c r="L9" s="413" t="s">
        <v>159</v>
      </c>
      <c r="M9" s="566">
        <f>((SUM(M14:M27)/2)-1)*2*IF(BASIC_TOOL!D23=5,0,1)</f>
        <v>8</v>
      </c>
      <c r="N9" s="567"/>
    </row>
    <row r="10" spans="1:29" s="153" customFormat="1">
      <c r="A10" s="23" t="str">
        <f>IF(B10="","",(VLOOKUP(B:B,'0.39'!B:F,5,FALSE)))</f>
        <v>Steel Skid(Main-L)</v>
      </c>
      <c r="B10" s="162" t="str">
        <f>IF(BASIC_TOOL!$D$23=1,D10,IF(BASIC_TOOL!$D$23=2,E10,IF(BASIC_TOOL!$D$23=3,F10,IF(BASIC_TOOL!$D$23=4,G10,H10))))</f>
        <v>WFF-1990CLZ</v>
      </c>
      <c r="C10" s="163">
        <f t="array" ref="C10">IF(ISERROR(INDEX($M$8:$M$36,SMALL(IF($M$8:$M$36&lt;&gt;0,ROW($M$8:$M$36)-7),ROW(C3)))),"",INDEX($M$8:$M$36,SMALL(IF($M$8:$M$36&lt;&gt;0,ROW($M$8:$M$36)-7),ROW(C3))))</f>
        <v>22</v>
      </c>
      <c r="D10" s="163" t="str">
        <f t="shared" si="0"/>
        <v>WFF-1990CLZ</v>
      </c>
      <c r="E10" s="163" t="str">
        <f t="array" ref="E10">IF( ISERROR(INDEX($J$8:$J$36,SMALL(IF($M$8:$M$36&lt;&gt;0,ROW($M$8:$M$36)-7),ROW(E3)))),"",INDEX($J$8:$J$36,SMALL(IF($M$8:$M$36&lt;&gt;0,ROW($M$8:$M$36)-7),ROW(E3))))</f>
        <v>WFF-1990ALZ</v>
      </c>
      <c r="F10" s="163" t="str">
        <f t="array" ref="F10">IF(ISERROR(INDEX($K$8:$K$36,SMALL(IF($M$8:$M$36&lt;&gt;0,ROW($M$8:$M$36)-7),ROW(F3)))),"",INDEX($K$8:$K$36,SMALL(IF($M$8:$M$36&lt;&gt;0,ROW($M$8:$M$36)-7),ROW(F3))))</f>
        <v>WFF-1990CLZ</v>
      </c>
      <c r="G10" s="163" t="str">
        <f t="array" ref="G10">IF(ISERROR(INDEX($L$8:$L$36,SMALL(IF($M$8:$M$36&lt;&gt;0,ROW($M$8:$M$36)-7),ROW(G3)))),"",INDEX($L$8:$L$36,SMALL(IF($M$8:$M$36&lt;&gt;0,ROW($M$8:$M$36)-7),ROW(G3))))</f>
        <v>WFF-1990HCLZ</v>
      </c>
      <c r="H10" s="163" t="str">
        <f>""</f>
        <v/>
      </c>
      <c r="J10" s="413"/>
      <c r="K10" s="413"/>
      <c r="L10" s="413"/>
      <c r="M10" s="568"/>
      <c r="N10" s="569"/>
    </row>
    <row r="11" spans="1:29" s="153" customFormat="1">
      <c r="A11" s="23" t="str">
        <f>IF(B11="","",(VLOOKUP(B:B,'0.39'!B:F,5,FALSE)))</f>
        <v>Steel Skid(Main-L)</v>
      </c>
      <c r="B11" s="162" t="str">
        <f>IF(BASIC_TOOL!$D$23=1,D11,IF(BASIC_TOOL!$D$23=2,E11,IF(BASIC_TOOL!$D$23=3,F11,IF(BASIC_TOOL!$D$23=4,G11,H11))))</f>
        <v>WFF-0990CLZ</v>
      </c>
      <c r="C11" s="163">
        <f t="array" ref="C11">IF(ISERROR(INDEX($M$8:$M$36,SMALL(IF($M$8:$M$36&lt;&gt;0,ROW($M$8:$M$36)-7),ROW(C4)))),"",INDEX($M$8:$M$36,SMALL(IF($M$8:$M$36&lt;&gt;0,ROW($M$8:$M$36)-7),ROW(C4))))</f>
        <v>11</v>
      </c>
      <c r="D11" s="163" t="str">
        <f t="shared" si="0"/>
        <v>WFF-0990CLZ</v>
      </c>
      <c r="E11" s="163" t="str">
        <f t="array" ref="E11">IF( ISERROR(INDEX($J$8:$J$36,SMALL(IF($M$8:$M$36&lt;&gt;0,ROW($M$8:$M$36)-7),ROW(E4)))),"",INDEX($J$8:$J$36,SMALL(IF($M$8:$M$36&lt;&gt;0,ROW($M$8:$M$36)-7),ROW(E4))))</f>
        <v>WFF-0990ALZ</v>
      </c>
      <c r="F11" s="163" t="str">
        <f t="array" ref="F11">IF(ISERROR(INDEX($K$8:$K$36,SMALL(IF($M$8:$M$36&lt;&gt;0,ROW($M$8:$M$36)-7),ROW(F4)))),"",INDEX($K$8:$K$36,SMALL(IF($M$8:$M$36&lt;&gt;0,ROW($M$8:$M$36)-7),ROW(F4))))</f>
        <v>WFF-0990CLZ</v>
      </c>
      <c r="G11" s="163" t="str">
        <f t="array" ref="G11">IF(ISERROR(INDEX($L$8:$L$36,SMALL(IF($M$8:$M$36&lt;&gt;0,ROW($M$8:$M$36)-7),ROW(G4)))),"",INDEX($L$8:$L$36,SMALL(IF($M$8:$M$36&lt;&gt;0,ROW($M$8:$M$36)-7),ROW(G4))))</f>
        <v>WFF-0990HCLZ</v>
      </c>
      <c r="H11" s="163" t="str">
        <f>""</f>
        <v/>
      </c>
      <c r="J11" s="413" t="s">
        <v>1243</v>
      </c>
      <c r="K11" s="413" t="s">
        <v>1244</v>
      </c>
      <c r="L11" s="413" t="s">
        <v>1245</v>
      </c>
      <c r="M11" s="566">
        <f>(L_O_F)*(W_C+W_F+1)*IF(BASIC_TOOL!D23=5,0,1)</f>
        <v>0</v>
      </c>
      <c r="N11" s="567"/>
    </row>
    <row r="12" spans="1:29" s="153" customFormat="1">
      <c r="A12" s="23" t="str">
        <f>IF(B12="","",(VLOOKUP(B:B,'0.39'!B:F,5,FALSE)))</f>
        <v>Steel Skid(Main-L)</v>
      </c>
      <c r="B12" s="162" t="str">
        <f>IF(BASIC_TOOL!$D$23=1,D12,IF(BASIC_TOOL!$D$23=2,E12,IF(BASIC_TOOL!$D$23=3,F12,IF(BASIC_TOOL!$D$23=4,G12,H12))))</f>
        <v>WFF-2060CSZR</v>
      </c>
      <c r="C12" s="163">
        <f t="array" ref="C12">IF(ISERROR(INDEX($M$8:$M$36,SMALL(IF($M$8:$M$36&lt;&gt;0,ROW($M$8:$M$36)-7),ROW(C5)))),"",INDEX($M$8:$M$36,SMALL(IF($M$8:$M$36&lt;&gt;0,ROW($M$8:$M$36)-7),ROW(C5))))</f>
        <v>2</v>
      </c>
      <c r="D12" s="163" t="str">
        <f t="shared" si="0"/>
        <v>WFF-2060CSZR</v>
      </c>
      <c r="E12" s="163" t="str">
        <f t="array" ref="E12">IF( ISERROR(INDEX($J$8:$J$36,SMALL(IF($M$8:$M$36&lt;&gt;0,ROW($M$8:$M$36)-7),ROW(E5)))),"",INDEX($J$8:$J$36,SMALL(IF($M$8:$M$36&lt;&gt;0,ROW($M$8:$M$36)-7),ROW(E5))))</f>
        <v>WFF-2070ASZR</v>
      </c>
      <c r="F12" s="163" t="str">
        <f t="array" ref="F12">IF(ISERROR(INDEX($K$8:$K$36,SMALL(IF($M$8:$M$36&lt;&gt;0,ROW($M$8:$M$36)-7),ROW(F5)))),"",INDEX($K$8:$K$36,SMALL(IF($M$8:$M$36&lt;&gt;0,ROW($M$8:$M$36)-7),ROW(F5))))</f>
        <v>WFF-2060CSZR</v>
      </c>
      <c r="G12" s="163" t="str">
        <f t="array" ref="G12">IF(ISERROR(INDEX($L$8:$L$36,SMALL(IF($M$8:$M$36&lt;&gt;0,ROW($M$8:$M$36)-7),ROW(G5)))),"",INDEX($L$8:$L$36,SMALL(IF($M$8:$M$36&lt;&gt;0,ROW($M$8:$M$36)-7),ROW(G5))))</f>
        <v>WFF-2070HCSZR</v>
      </c>
      <c r="H12" s="163" t="str">
        <f>""</f>
        <v/>
      </c>
      <c r="J12" s="413" t="s">
        <v>11</v>
      </c>
      <c r="K12" s="413" t="s">
        <v>20</v>
      </c>
      <c r="L12" s="413" t="s">
        <v>40</v>
      </c>
      <c r="M12" s="566">
        <f>((IF(L_O_F&gt;0,QUOTIENT(L_O-1.5,2),QUOTIENT(L_O,2))*(W_C+W_F+1)*IF(BASIC_TOOL!D23=5,0,1)))</f>
        <v>22</v>
      </c>
      <c r="N12" s="567"/>
    </row>
    <row r="13" spans="1:29" s="153" customFormat="1">
      <c r="A13" s="23" t="str">
        <f>IF(B13="","",(VLOOKUP(B:B,'0.39'!B:F,5,FALSE)))</f>
        <v>Steel Skid(Main-L)</v>
      </c>
      <c r="B13" s="162" t="str">
        <f>IF(BASIC_TOOL!$D$23=1,D13,IF(BASIC_TOOL!$D$23=2,E13,IF(BASIC_TOOL!$D$23=3,F13,IF(BASIC_TOOL!$D$23=4,G13,H13))))</f>
        <v>WFF-2060CSZL</v>
      </c>
      <c r="C13" s="163">
        <f t="array" ref="C13">IF(ISERROR(INDEX($M$8:$M$36,SMALL(IF($M$8:$M$36&lt;&gt;0,ROW($M$8:$M$36)-7),ROW(C6)))),"",INDEX($M$8:$M$36,SMALL(IF($M$8:$M$36&lt;&gt;0,ROW($M$8:$M$36)-7),ROW(C6))))</f>
        <v>2</v>
      </c>
      <c r="D13" s="163" t="str">
        <f t="shared" si="0"/>
        <v>WFF-2060CSZL</v>
      </c>
      <c r="E13" s="163" t="str">
        <f t="array" ref="E13">IF( ISERROR(INDEX($J$8:$J$36,SMALL(IF($M$8:$M$36&lt;&gt;0,ROW($M$8:$M$36)-7),ROW(E6)))),"",INDEX($J$8:$J$36,SMALL(IF($M$8:$M$36&lt;&gt;0,ROW($M$8:$M$36)-7),ROW(E6))))</f>
        <v>WFF-2070ASZL</v>
      </c>
      <c r="F13" s="163" t="str">
        <f t="array" ref="F13">IF(ISERROR(INDEX($K$8:$K$36,SMALL(IF($M$8:$M$36&lt;&gt;0,ROW($M$8:$M$36)-7),ROW(F6)))),"",INDEX($K$8:$K$36,SMALL(IF($M$8:$M$36&lt;&gt;0,ROW($M$8:$M$36)-7),ROW(F6))))</f>
        <v>WFF-2060CSZL</v>
      </c>
      <c r="G13" s="163" t="str">
        <f t="array" ref="G13">IF(ISERROR(INDEX($L$8:$L$36,SMALL(IF($M$8:$M$36&lt;&gt;0,ROW($M$8:$M$36)-7),ROW(G6)))),"",INDEX($L$8:$L$36,SMALL(IF($M$8:$M$36&lt;&gt;0,ROW($M$8:$M$36)-7),ROW(G6))))</f>
        <v>WFF-2070HCSZL</v>
      </c>
      <c r="H13" s="163" t="str">
        <f>""</f>
        <v/>
      </c>
      <c r="J13" s="413" t="s">
        <v>12</v>
      </c>
      <c r="K13" s="413" t="s">
        <v>21</v>
      </c>
      <c r="L13" s="413" t="s">
        <v>41</v>
      </c>
      <c r="M13" s="566">
        <f>((IF(L1_F&gt;0,MOD(L1_O-1.5,2),MOD(L1_C,2))+IF(L2_F&gt;0,MOD(L2_O-1.5,2),MOD(L2_C,2))+IF(L3_F&gt;0,MOD(L3_O-1.5,2),MOD(L3_C,2))+IF(L4_F&gt;0,MOD(L4_O-1.5,2),MOD(L4_C,2)))*(W_C+W_F+1))*IF(BASIC_TOOL!D23=5,0,1)</f>
        <v>11</v>
      </c>
      <c r="N13" s="567"/>
    </row>
    <row r="14" spans="1:29" s="153" customFormat="1">
      <c r="A14" s="23" t="str">
        <f>IF(B14="","",(VLOOKUP(B:B,'0.39'!B:F,5,FALSE)))</f>
        <v>Steel Skid(Main-W)</v>
      </c>
      <c r="B14" s="162" t="str">
        <f>IF(BASIC_TOOL!$D$23=1,Steel_Skid!D14,IF(BASIC_TOOL!$D$23=2,Steel_Skid!E14,IF(BASIC_TOOL!$D$23=3,Steel_Skid!F14,Steel_Skid!G14)))</f>
        <v>WFF-2000CSZ</v>
      </c>
      <c r="C14" s="163">
        <f t="array" ref="C14">IF(ISERROR(INDEX($M$8:$M$36,SMALL(IF($M$8:$M$36&lt;&gt;0,ROW($M$8:$M$36)-7),ROW(C7)))),"",INDEX($M$8:$M$36,SMALL(IF($M$8:$M$36&lt;&gt;0,ROW($M$8:$M$36)-7),ROW(C7))))</f>
        <v>6</v>
      </c>
      <c r="D14" s="163" t="str">
        <f t="shared" si="0"/>
        <v>WFF-2000CSZ</v>
      </c>
      <c r="E14" s="163" t="str">
        <f t="array" ref="E14">IF( ISERROR(INDEX($J$8:$J$36,SMALL(IF($M$8:$M$36&lt;&gt;0,ROW($M$8:$M$36)-7),ROW(E7)))),"",INDEX($J$8:$J$36,SMALL(IF($M$8:$M$36&lt;&gt;0,ROW($M$8:$M$36)-7),ROW(E7))))</f>
        <v>WFF-2000ASZ</v>
      </c>
      <c r="F14" s="163" t="str">
        <f t="array" ref="F14">IF(ISERROR(INDEX($K$8:$K$36,SMALL(IF($M$8:$M$36&lt;&gt;0,ROW($M$8:$M$36)-7),ROW(F7)))),"",INDEX($K$8:$K$36,SMALL(IF($M$8:$M$36&lt;&gt;0,ROW($M$8:$M$36)-7),ROW(F7))))</f>
        <v>WFF-2000CSZ</v>
      </c>
      <c r="G14" s="163" t="str">
        <f t="array" ref="G14">IF(ISERROR(INDEX($L$8:$L$36,SMALL(IF($M$8:$M$36&lt;&gt;0,ROW($M$8:$M$36)-7),ROW(G7)))),"",INDEX($L$8:$L$36,SMALL(IF($M$8:$M$36&lt;&gt;0,ROW($M$8:$M$36)-7),ROW(G7))))</f>
        <v>WFF-2000HCSZ</v>
      </c>
      <c r="H14" s="163" t="str">
        <f>""</f>
        <v/>
      </c>
      <c r="J14" s="413" t="s">
        <v>1717</v>
      </c>
      <c r="K14" s="413" t="s">
        <v>22</v>
      </c>
      <c r="L14" s="413" t="s">
        <v>1719</v>
      </c>
      <c r="M14" s="566">
        <f>(IF(OR(W_O=3.5),1,0)+IF(W_O&gt;3.5,IF(W_F=0,IF(ISEVEN(W_O),2,0),0))+IF(W_O&gt;3.5,IF(W_F=1,IF(ISEVEN(W_O-1.5),2,0),0)))*IF(BASIC_TOOL!D23=5,0,1)</f>
        <v>2</v>
      </c>
      <c r="N14" s="567"/>
    </row>
    <row r="15" spans="1:29" s="153" customFormat="1">
      <c r="A15" s="23" t="str">
        <f>IF(B15="","",(VLOOKUP(B:B,'0.39'!B:F,5,FALSE)))</f>
        <v>Steel Skid(Sub)</v>
      </c>
      <c r="B15" s="162" t="str">
        <f>IF(BASIC_TOOL!$D$23=1,Steel_Skid!D15,IF(BASIC_TOOL!$D$23=2,Steel_Skid!E15,IF(BASIC_TOOL!$D$23=3,Steel_Skid!F15,Steel_Skid!G15)))</f>
        <v>WFF-0962AMZ</v>
      </c>
      <c r="C15" s="163">
        <f t="array" ref="C15">IF(ISERROR(INDEX($M$8:$M$36,SMALL(IF($M$8:$M$36&lt;&gt;0,ROW($M$8:$M$36)-7),ROW(C8)))),"",INDEX($M$8:$M$36,SMALL(IF($M$8:$M$36&lt;&gt;0,ROW($M$8:$M$36)-7),ROW(C8))))</f>
        <v>8</v>
      </c>
      <c r="D15" s="163" t="str">
        <f t="shared" si="0"/>
        <v>WFF-0962AMZ</v>
      </c>
      <c r="E15" s="163" t="str">
        <f t="array" ref="E15">IF( ISERROR(INDEX($J$8:$J$36,SMALL(IF($M$8:$M$36&lt;&gt;0,ROW($M$8:$M$36)-7),ROW(E8)))),"",INDEX($J$8:$J$36,SMALL(IF($M$8:$M$36&lt;&gt;0,ROW($M$8:$M$36)-7),ROW(E8))))</f>
        <v>WFF-0957AMZ</v>
      </c>
      <c r="F15" s="163" t="str">
        <f t="array" ref="F15">IF(ISERROR(INDEX($K$8:$K$36,SMALL(IF($M$8:$M$36&lt;&gt;0,ROW($M$8:$M$36)-7),ROW(F8)))),"",INDEX($K$8:$K$36,SMALL(IF($M$8:$M$36&lt;&gt;0,ROW($M$8:$M$36)-7),ROW(F8))))</f>
        <v>WFF-0962AMZ</v>
      </c>
      <c r="G15" s="163" t="str">
        <f t="array" ref="G15">IF(ISERROR(INDEX($L$8:$L$36,SMALL(IF($M$8:$M$36&lt;&gt;0,ROW($M$8:$M$36)-7),ROW(G8)))),"",INDEX($L$8:$L$36,SMALL(IF($M$8:$M$36&lt;&gt;0,ROW($M$8:$M$36)-7),ROW(G8))))</f>
        <v>WFF-0957CMZ</v>
      </c>
      <c r="H15" s="163" t="str">
        <f>""</f>
        <v/>
      </c>
      <c r="J15" s="413" t="s">
        <v>1718</v>
      </c>
      <c r="K15" s="413" t="s">
        <v>23</v>
      </c>
      <c r="L15" s="413" t="s">
        <v>1720</v>
      </c>
      <c r="M15" s="566">
        <f>(IF(OR(W_O=3.5),1,0)+IF(W_O&gt;3.5,IF(W_F=0,IF(ISEVEN(W_O),2,0),0))+IF(W_O&gt;3.5,IF(W_F=1,IF(ISEVEN(W_O-1.5),2,0),0)))*IF(BASIC_TOOL!D23=5,0,1)</f>
        <v>2</v>
      </c>
      <c r="N15" s="567"/>
    </row>
    <row r="16" spans="1:29" s="153" customFormat="1">
      <c r="A16" s="23" t="str">
        <f>IF(B16="","",(VLOOKUP(B:B,'0.39'!B:F,5,FALSE)))</f>
        <v>Steel Skid(Sub)</v>
      </c>
      <c r="B16" s="162" t="str">
        <f>IF(BASIC_TOOL!$D$23=1,Steel_Skid!D16,IF(BASIC_TOOL!$D$23=2,Steel_Skid!E16,IF(BASIC_TOOL!$D$23=3,Steel_Skid!F16,Steel_Skid!G16)))</f>
        <v>WFF-1053AMZ</v>
      </c>
      <c r="C16" s="163">
        <f t="array" ref="C16">IF(ISERROR(INDEX($M$8:$M$36,SMALL(IF($M$8:$M$36&lt;&gt;0,ROW($M$8:$M$36)-7),ROW(C9)))),"",INDEX($M$8:$M$36,SMALL(IF($M$8:$M$36&lt;&gt;0,ROW($M$8:$M$36)-7),ROW(C9))))</f>
        <v>4</v>
      </c>
      <c r="D16" s="163" t="str">
        <f t="shared" si="0"/>
        <v>WFF-1053AMZ</v>
      </c>
      <c r="E16" s="163" t="str">
        <f t="array" ref="E16">IF( ISERROR(INDEX($J$8:$J$36,SMALL(IF($M$8:$M$36&lt;&gt;0,ROW($M$8:$M$36)-7),ROW(E9)))),"",INDEX($J$8:$J$36,SMALL(IF($M$8:$M$36&lt;&gt;0,ROW($M$8:$M$36)-7),ROW(E9))))</f>
        <v>WFF-1063AMZ</v>
      </c>
      <c r="F16" s="163" t="str">
        <f t="array" ref="F16">IF(ISERROR(INDEX($K$8:$K$36,SMALL(IF($M$8:$M$36&lt;&gt;0,ROW($M$8:$M$36)-7),ROW(F9)))),"",INDEX($K$8:$K$36,SMALL(IF($M$8:$M$36&lt;&gt;0,ROW($M$8:$M$36)-7),ROW(F9))))</f>
        <v>WFF-1053AMZ</v>
      </c>
      <c r="G16" s="163" t="str">
        <f t="array" ref="G16">IF(ISERROR(INDEX($L$8:$L$36,SMALL(IF($M$8:$M$36&lt;&gt;0,ROW($M$8:$M$36)-7),ROW(G9)))),"",INDEX($L$8:$L$36,SMALL(IF($M$8:$M$36&lt;&gt;0,ROW($M$8:$M$36)-7),ROW(G9))))</f>
        <v>WFF-1063CMZ</v>
      </c>
      <c r="H16" s="163" t="str">
        <f>""</f>
        <v/>
      </c>
      <c r="J16" s="413" t="s">
        <v>13</v>
      </c>
      <c r="K16" s="413" t="s">
        <v>24</v>
      </c>
      <c r="L16" s="413" t="s">
        <v>42</v>
      </c>
      <c r="M16" s="566"/>
      <c r="N16" s="567"/>
    </row>
    <row r="17" spans="1:14" s="153" customFormat="1">
      <c r="A17" s="23" t="str">
        <f>IF(B17="","",(VLOOKUP(B:B,'0.39'!B:F,5,FALSE)))</f>
        <v>Steel Skid(Sub)</v>
      </c>
      <c r="B17" s="162" t="str">
        <f>IF(BASIC_TOOL!$D$23=1,Steel_Skid!D17,IF(BASIC_TOOL!$D$23=2,Steel_Skid!E17,IF(BASIC_TOOL!$D$23=3,Steel_Skid!F17,Steel_Skid!G17)))</f>
        <v>WFF-0994AMZ</v>
      </c>
      <c r="C17" s="163">
        <f t="array" ref="C17">IF(ISERROR(INDEX($M$8:$M$36,SMALL(IF($M$8:$M$36&lt;&gt;0,ROW($M$8:$M$36)-7),ROW(C10)))),"",INDEX($M$8:$M$36,SMALL(IF($M$8:$M$36&lt;&gt;0,ROW($M$8:$M$36)-7),ROW(C10))))</f>
        <v>28</v>
      </c>
      <c r="D17" s="163" t="str">
        <f t="shared" si="0"/>
        <v>WFF-0994AMZ</v>
      </c>
      <c r="E17" s="163" t="str">
        <f t="array" ref="E17">IF( ISERROR(INDEX($J$8:$J$36,SMALL(IF($M$8:$M$36&lt;&gt;0,ROW($M$8:$M$36)-7),ROW(E10)))),"",INDEX($J$8:$J$36,SMALL(IF($M$8:$M$36&lt;&gt;0,ROW($M$8:$M$36)-7),ROW(E10))))</f>
        <v>WFF-0994AMZ</v>
      </c>
      <c r="F17" s="163" t="str">
        <f t="array" ref="F17">IF(ISERROR(INDEX($K$8:$K$36,SMALL(IF($M$8:$M$36&lt;&gt;0,ROW($M$8:$M$36)-7),ROW(F10)))),"",INDEX($K$8:$K$36,SMALL(IF($M$8:$M$36&lt;&gt;0,ROW($M$8:$M$36)-7),ROW(F10))))</f>
        <v>WFF-0994AMZ</v>
      </c>
      <c r="G17" s="163" t="str">
        <f t="array" ref="G17">IF(ISERROR(INDEX($L$8:$L$36,SMALL(IF($M$8:$M$36&lt;&gt;0,ROW($M$8:$M$36)-7),ROW(G10)))),"",INDEX($L$8:$L$36,SMALL(IF($M$8:$M$36&lt;&gt;0,ROW($M$8:$M$36)-7),ROW(G10))))</f>
        <v>WFF-0994CMZ</v>
      </c>
      <c r="H17" s="163" t="str">
        <f>""</f>
        <v/>
      </c>
      <c r="J17" s="413" t="s">
        <v>14</v>
      </c>
      <c r="K17" s="413" t="s">
        <v>25</v>
      </c>
      <c r="L17" s="413" t="s">
        <v>43</v>
      </c>
      <c r="M17" s="566">
        <f>(IF(W_F=0,IF(W_O&gt;3.5,IF(ISEVEN(W_O),(W_O-4)/2*2,(W_O-3)/2*2),0),0)+IF(W_F=1,IF(W_O&gt;4,IF(ISEVEN(W_O-1.5),(W_O-1.5-4)/2*2,(W_O-1.5-3)/2*2),0),0))*IF(BASIC_TOOL!D23=5,0,1)</f>
        <v>6</v>
      </c>
      <c r="N17" s="567"/>
    </row>
    <row r="18" spans="1:14" s="153" customFormat="1">
      <c r="A18" s="23" t="str">
        <f>IF(B18="","",(VLOOKUP(B:B,'0.39'!B:F,5,FALSE)))</f>
        <v>Liner</v>
      </c>
      <c r="B18" s="162" t="str">
        <f>IF(BASIC_TOOL!$D$23=1,Steel_Skid!D18,IF(BASIC_TOOL!$D$23=2,Steel_Skid!E18,IF(BASIC_TOOL!$D$23=3,Steel_Skid!F18,Steel_Skid!G18)))</f>
        <v>LNR-3.0T</v>
      </c>
      <c r="C18" s="163">
        <f t="array" ref="C18">IF(ISERROR(INDEX($M$8:$M$36,SMALL(IF($M$8:$M$36&lt;&gt;0,ROW($M$8:$M$36)-7),ROW(C11)))),"",INDEX($M$8:$M$36,SMALL(IF($M$8:$M$36&lt;&gt;0,ROW($M$8:$M$36)-7),ROW(C11))))</f>
        <v>304</v>
      </c>
      <c r="D18" s="163" t="str">
        <f t="shared" si="0"/>
        <v>LNR-3.0T</v>
      </c>
      <c r="E18" s="163" t="str">
        <f t="array" ref="E18">IF( ISERROR(INDEX($J$8:$J$36,SMALL(IF($M$8:$M$36&lt;&gt;0,ROW($M$8:$M$36)-7),ROW(E11)))),"",INDEX($J$8:$J$36,SMALL(IF($M$8:$M$36&lt;&gt;0,ROW($M$8:$M$36)-7),ROW(E11))))</f>
        <v>LNR-3.0T</v>
      </c>
      <c r="F18" s="163" t="str">
        <f t="array" ref="F18">IF(ISERROR(INDEX($K$8:$K$36,SMALL(IF($M$8:$M$36&lt;&gt;0,ROW($M$8:$M$36)-7),ROW(F11)))),"",INDEX($K$8:$K$36,SMALL(IF($M$8:$M$36&lt;&gt;0,ROW($M$8:$M$36)-7),ROW(F11))))</f>
        <v>LNR-3.0T</v>
      </c>
      <c r="G18" s="163" t="str">
        <f t="array" ref="G18">IF(ISERROR(INDEX($L$8:$L$36,SMALL(IF($M$8:$M$36&lt;&gt;0,ROW($M$8:$M$36)-7),ROW(G11)))),"",INDEX($L$8:$L$36,SMALL(IF($M$8:$M$36&lt;&gt;0,ROW($M$8:$M$36)-7),ROW(G11))))</f>
        <v>LNR-3.0T</v>
      </c>
      <c r="H18" s="163" t="str">
        <f>""</f>
        <v/>
      </c>
      <c r="J18" s="413" t="s">
        <v>15</v>
      </c>
      <c r="K18" s="413" t="s">
        <v>26</v>
      </c>
      <c r="L18" s="413" t="s">
        <v>44</v>
      </c>
      <c r="M18" s="566">
        <f>IF(W_O&gt;3.5,IF(W_F=1,2,0),0)*IF(BASIC_TOOL!D23=5,0,1)</f>
        <v>0</v>
      </c>
      <c r="N18" s="567"/>
    </row>
    <row r="19" spans="1:14" s="153" customFormat="1">
      <c r="A19" s="23" t="str">
        <f>IF(B19="","",(VLOOKUP(B:B,'0.39'!B:F,5,FALSE)))</f>
        <v>Anchor Bracket with bolt and nut set</v>
      </c>
      <c r="B19" s="162" t="str">
        <f>IF(BASIC_TOOL!$D$23=1,Steel_Skid!D19,IF(BASIC_TOOL!$D$23=2,Steel_Skid!E19,IF(BASIC_TOOL!$D$23=3,Steel_Skid!F19,Steel_Skid!G19)))</f>
        <v>WBR-5010Z</v>
      </c>
      <c r="C19" s="163">
        <f t="array" ref="C19">IF(ISERROR(INDEX($M$8:$M$36,SMALL(IF($M$8:$M$36&lt;&gt;0,ROW($M$8:$M$36)-7),ROW(C12)))),"",INDEX($M$8:$M$36,SMALL(IF($M$8:$M$36&lt;&gt;0,ROW($M$8:$M$36)-7),ROW(C12))))</f>
        <v>15</v>
      </c>
      <c r="D19" s="163" t="str">
        <f t="shared" si="0"/>
        <v>WBR-5010Z</v>
      </c>
      <c r="E19" s="163" t="str">
        <f t="array" ref="E19">IF( ISERROR(INDEX($J$8:$J$36,SMALL(IF($M$8:$M$36&lt;&gt;0,ROW($M$8:$M$36)-7),ROW(E12)))),"",INDEX($J$8:$J$36,SMALL(IF($M$8:$M$36&lt;&gt;0,ROW($M$8:$M$36)-7),ROW(E12))))</f>
        <v>WBR-5010Z</v>
      </c>
      <c r="F19" s="163" t="str">
        <f t="array" ref="F19">IF(ISERROR(INDEX($K$8:$K$36,SMALL(IF($M$8:$M$36&lt;&gt;0,ROW($M$8:$M$36)-7),ROW(F12)))),"",INDEX($K$8:$K$36,SMALL(IF($M$8:$M$36&lt;&gt;0,ROW($M$8:$M$36)-7),ROW(F12))))</f>
        <v>WBR-5010Z</v>
      </c>
      <c r="G19" s="163" t="str">
        <f t="array" ref="G19">IF(ISERROR(INDEX($L$8:$L$36,SMALL(IF($M$8:$M$36&lt;&gt;0,ROW($M$8:$M$36)-7),ROW(G12)))),"",INDEX($L$8:$L$36,SMALL(IF($M$8:$M$36&lt;&gt;0,ROW($M$8:$M$36)-7),ROW(G12))))</f>
        <v>WBR-5010Z</v>
      </c>
      <c r="H19" s="163" t="str">
        <f>""</f>
        <v/>
      </c>
      <c r="J19" s="413" t="s">
        <v>161</v>
      </c>
      <c r="K19" s="413" t="s">
        <v>27</v>
      </c>
      <c r="L19" s="413" t="s">
        <v>153</v>
      </c>
      <c r="M19" s="566">
        <f>IF(W_O=1,2,0)*IF(BASIC_TOOL!D23=5,0,1)</f>
        <v>0</v>
      </c>
      <c r="N19" s="567"/>
    </row>
    <row r="20" spans="1:14" s="153" customFormat="1">
      <c r="A20" s="23" t="str">
        <f>IF(B20="","",(VLOOKUP(B:B,'0.39'!B:F,5,FALSE)))</f>
        <v/>
      </c>
      <c r="B20" s="162" t="str">
        <f>IF(BASIC_TOOL!$D$23=1,Steel_Skid!D20,IF(BASIC_TOOL!$D$23=2,Steel_Skid!E20,IF(BASIC_TOOL!$D$23=3,Steel_Skid!F20,Steel_Skid!G20)))</f>
        <v/>
      </c>
      <c r="C20" s="163" t="str">
        <f t="array" ref="C20">IF(ISERROR(INDEX($M$8:$M$36,SMALL(IF($M$8:$M$36&lt;&gt;0,ROW($M$8:$M$36)-7),ROW(C13)))),"",INDEX($M$8:$M$36,SMALL(IF($M$8:$M$36&lt;&gt;0,ROW($M$8:$M$36)-7),ROW(C13))))</f>
        <v/>
      </c>
      <c r="D20" s="163" t="str">
        <f t="shared" si="0"/>
        <v/>
      </c>
      <c r="E20" s="163" t="str">
        <f t="array" ref="E20">IF( ISERROR(INDEX($J$8:$J$36,SMALL(IF($M$8:$M$36&lt;&gt;0,ROW($M$8:$M$36)-7),ROW(E13)))),"",INDEX($J$8:$J$36,SMALL(IF($M$8:$M$36&lt;&gt;0,ROW($M$8:$M$36)-7),ROW(E13))))</f>
        <v/>
      </c>
      <c r="F20" s="163" t="str">
        <f t="array" ref="F20">IF(ISERROR(INDEX($K$8:$K$36,SMALL(IF($M$8:$M$36&lt;&gt;0,ROW($M$8:$M$36)-7),ROW(F13)))),"",INDEX($K$8:$K$36,SMALL(IF($M$8:$M$36&lt;&gt;0,ROW($M$8:$M$36)-7),ROW(F13))))</f>
        <v/>
      </c>
      <c r="G20" s="163" t="str">
        <f t="array" ref="G20">IF(ISERROR(INDEX($L$8:$L$36,SMALL(IF($M$8:$M$36&lt;&gt;0,ROW($M$8:$M$36)-7),ROW(G13)))),"",INDEX($L$8:$L$36,SMALL(IF($M$8:$M$36&lt;&gt;0,ROW($M$8:$M$36)-7),ROW(G13))))</f>
        <v/>
      </c>
      <c r="H20" s="163" t="str">
        <f>""</f>
        <v/>
      </c>
      <c r="J20" s="413" t="s">
        <v>16</v>
      </c>
      <c r="K20" s="413" t="s">
        <v>28</v>
      </c>
      <c r="L20" s="413" t="s">
        <v>45</v>
      </c>
      <c r="M20" s="566">
        <f>IF(W_O=1.5,2,0)*IF(BASIC_TOOL!D23=5,0,1)</f>
        <v>0</v>
      </c>
      <c r="N20" s="567"/>
    </row>
    <row r="21" spans="1:14" s="153" customFormat="1">
      <c r="A21" s="23" t="str">
        <f>IF(B21="","",(VLOOKUP(B:B,'0.39'!B:F,5,FALSE)))</f>
        <v/>
      </c>
      <c r="B21" s="162" t="str">
        <f>IF(BASIC_TOOL!$D$23=1,Steel_Skid!D21,IF(BASIC_TOOL!$D$23=2,Steel_Skid!E21,IF(BASIC_TOOL!$D$23=3,Steel_Skid!F21,Steel_Skid!G21)))</f>
        <v/>
      </c>
      <c r="C21" s="163" t="str">
        <f t="array" ref="C21">IF(ISERROR(INDEX($M$8:$M$36,SMALL(IF($M$8:$M$36&lt;&gt;0,ROW($M$8:$M$36)-7),ROW(C14)))),"",INDEX($M$8:$M$36,SMALL(IF($M$8:$M$36&lt;&gt;0,ROW($M$8:$M$36)-7),ROW(C14))))</f>
        <v/>
      </c>
      <c r="D21" s="163" t="str">
        <f t="shared" si="0"/>
        <v/>
      </c>
      <c r="E21" s="163" t="str">
        <f t="array" ref="E21">IF( ISERROR(INDEX($J$8:$J$36,SMALL(IF($M$8:$M$36&lt;&gt;0,ROW($M$8:$M$36)-7),ROW(E14)))),"",INDEX($J$8:$J$36,SMALL(IF($M$8:$M$36&lt;&gt;0,ROW($M$8:$M$36)-7),ROW(E14))))</f>
        <v/>
      </c>
      <c r="F21" s="163" t="str">
        <f t="array" ref="F21">IF(ISERROR(INDEX($K$8:$K$36,SMALL(IF($M$8:$M$36&lt;&gt;0,ROW($M$8:$M$36)-7),ROW(F14)))),"",INDEX($K$8:$K$36,SMALL(IF($M$8:$M$36&lt;&gt;0,ROW($M$8:$M$36)-7),ROW(F14))))</f>
        <v/>
      </c>
      <c r="G21" s="163" t="str">
        <f t="array" ref="G21">IF(ISERROR(INDEX($L$8:$L$36,SMALL(IF($M$8:$M$36&lt;&gt;0,ROW($M$8:$M$36)-7),ROW(G14)))),"",INDEX($L$8:$L$36,SMALL(IF($M$8:$M$36&lt;&gt;0,ROW($M$8:$M$36)-7),ROW(G14))))</f>
        <v/>
      </c>
      <c r="H21" s="163" t="str">
        <f>""</f>
        <v/>
      </c>
      <c r="J21" s="413" t="s">
        <v>17</v>
      </c>
      <c r="K21" s="413" t="s">
        <v>1721</v>
      </c>
      <c r="L21" s="413" t="s">
        <v>46</v>
      </c>
      <c r="M21" s="566"/>
      <c r="N21" s="567"/>
    </row>
    <row r="22" spans="1:14" s="153" customFormat="1">
      <c r="A22" s="23" t="str">
        <f>IF(B22="","",(VLOOKUP(B:B,'0.39'!B:F,5,FALSE)))</f>
        <v/>
      </c>
      <c r="B22" s="162" t="str">
        <f>IF(BASIC_TOOL!$D$23=1,Steel_Skid!D22,IF(BASIC_TOOL!$D$23=2,Steel_Skid!E22,IF(BASIC_TOOL!$D$23=3,Steel_Skid!F22,Steel_Skid!G22)))</f>
        <v/>
      </c>
      <c r="C22" s="163" t="str">
        <f t="array" ref="C22">IF(ISERROR(INDEX($M$8:$M$36,SMALL(IF($M$8:$M$36&lt;&gt;0,ROW($M$8:$M$36)-7),ROW(C15)))),"",INDEX($M$8:$M$36,SMALL(IF($M$8:$M$36&lt;&gt;0,ROW($M$8:$M$36)-7),ROW(C15))))</f>
        <v/>
      </c>
      <c r="D22" s="163" t="str">
        <f t="shared" si="0"/>
        <v/>
      </c>
      <c r="E22" s="163" t="str">
        <f t="array" ref="E22">IF( ISERROR(INDEX($J$8:$J$36,SMALL(IF($M$8:$M$36&lt;&gt;0,ROW($M$8:$M$36)-7),ROW(E15)))),"",INDEX($J$8:$J$36,SMALL(IF($M$8:$M$36&lt;&gt;0,ROW($M$8:$M$36)-7),ROW(E15))))</f>
        <v/>
      </c>
      <c r="F22" s="163" t="str">
        <f t="array" ref="F22">IF(ISERROR(INDEX($K$8:$K$36,SMALL(IF($M$8:$M$36&lt;&gt;0,ROW($M$8:$M$36)-7),ROW(F15)))),"",INDEX($K$8:$K$36,SMALL(IF($M$8:$M$36&lt;&gt;0,ROW($M$8:$M$36)-7),ROW(F15))))</f>
        <v/>
      </c>
      <c r="G22" s="163" t="str">
        <f t="array" ref="G22">IF(ISERROR(INDEX($L$8:$L$36,SMALL(IF($M$8:$M$36&lt;&gt;0,ROW($M$8:$M$36)-7),ROW(G15)))),"",INDEX($L$8:$L$36,SMALL(IF($M$8:$M$36&lt;&gt;0,ROW($M$8:$M$36)-7),ROW(G15))))</f>
        <v/>
      </c>
      <c r="H22" s="163" t="str">
        <f>""</f>
        <v/>
      </c>
      <c r="J22" s="413" t="s">
        <v>160</v>
      </c>
      <c r="K22" s="413" t="s">
        <v>29</v>
      </c>
      <c r="L22" s="413" t="s">
        <v>2362</v>
      </c>
      <c r="M22" s="566">
        <f>IF(W_O=2,2,0)*IF(BASIC_TOOL!D23=5,0,1)</f>
        <v>0</v>
      </c>
      <c r="N22" s="567"/>
    </row>
    <row r="23" spans="1:14" s="153" customFormat="1">
      <c r="A23" s="23" t="str">
        <f>IF(B23="","",(VLOOKUP(B:B,'0.39'!B:F,5,FALSE)))</f>
        <v/>
      </c>
      <c r="B23" s="162" t="str">
        <f>IF(BASIC_TOOL!$D$23=1,Steel_Skid!D23,IF(BASIC_TOOL!$D$23=2,Steel_Skid!E23,IF(BASIC_TOOL!$D$23=3,Steel_Skid!F23,Steel_Skid!G23)))</f>
        <v/>
      </c>
      <c r="C23" s="163" t="str">
        <f t="array" ref="C23">IF(ISERROR(INDEX($M$8:$M$36,SMALL(IF($M$8:$M$36&lt;&gt;0,ROW($M$8:$M$36)-7),ROW(C16)))),"",INDEX($M$8:$M$36,SMALL(IF($M$8:$M$36&lt;&gt;0,ROW($M$8:$M$36)-7),ROW(C16))))</f>
        <v/>
      </c>
      <c r="D23" s="163" t="str">
        <f t="shared" si="0"/>
        <v/>
      </c>
      <c r="E23" s="163" t="str">
        <f t="array" ref="E23">IF( ISERROR(INDEX($J$8:$J$36,SMALL(IF($M$8:$M$36&lt;&gt;0,ROW($M$8:$M$36)-7),ROW(E16)))),"",INDEX($J$8:$J$36,SMALL(IF($M$8:$M$36&lt;&gt;0,ROW($M$8:$M$36)-7),ROW(E16))))</f>
        <v/>
      </c>
      <c r="F23" s="163" t="str">
        <f t="array" ref="F23">IF(ISERROR(INDEX($K$8:$K$36,SMALL(IF($M$8:$M$36&lt;&gt;0,ROW($M$8:$M$36)-7),ROW(F16)))),"",INDEX($K$8:$K$36,SMALL(IF($M$8:$M$36&lt;&gt;0,ROW($M$8:$M$36)-7),ROW(F16))))</f>
        <v/>
      </c>
      <c r="G23" s="163" t="str">
        <f t="array" ref="G23">IF(ISERROR(INDEX($L$8:$L$36,SMALL(IF($M$8:$M$36&lt;&gt;0,ROW($M$8:$M$36)-7),ROW(G16)))),"",INDEX($L$8:$L$36,SMALL(IF($M$8:$M$36&lt;&gt;0,ROW($M$8:$M$36)-7),ROW(G16))))</f>
        <v/>
      </c>
      <c r="H23" s="163" t="str">
        <f>""</f>
        <v/>
      </c>
      <c r="J23" s="413" t="s">
        <v>1722</v>
      </c>
      <c r="K23" s="413" t="s">
        <v>30</v>
      </c>
      <c r="L23" s="413" t="s">
        <v>152</v>
      </c>
      <c r="M23" s="566">
        <f>IF(W_O=2.5,2,0)*IF(BASIC_TOOL!D23=5,0,1)</f>
        <v>0</v>
      </c>
      <c r="N23" s="567"/>
    </row>
    <row r="24" spans="1:14" s="153" customFormat="1">
      <c r="A24" s="23" t="str">
        <f>IF(B24="","",(VLOOKUP(B:B,'0.39'!B:F,5,FALSE)))</f>
        <v/>
      </c>
      <c r="B24" s="162" t="str">
        <f>IF(BASIC_TOOL!$D$23=1,Steel_Skid!D24,IF(BASIC_TOOL!$D$23=2,Steel_Skid!E24,IF(BASIC_TOOL!$D$23=3,Steel_Skid!F24,Steel_Skid!G24)))</f>
        <v/>
      </c>
      <c r="C24" s="163" t="str">
        <f t="array" ref="C24">IF(ISERROR(INDEX($M$8:$M$36,SMALL(IF($M$8:$M$36&lt;&gt;0,ROW($M$8:$M$36)-7),ROW(C17)))),"",INDEX($M$8:$M$36,SMALL(IF($M$8:$M$36&lt;&gt;0,ROW($M$8:$M$36)-7),ROW(C17))))</f>
        <v/>
      </c>
      <c r="D24" s="163" t="str">
        <f t="shared" si="0"/>
        <v/>
      </c>
      <c r="E24" s="163" t="str">
        <f t="array" ref="E24">IF( ISERROR(INDEX($J$8:$J$36,SMALL(IF($M$8:$M$36&lt;&gt;0,ROW($M$8:$M$36)-7),ROW(E17)))),"",INDEX($J$8:$J$36,SMALL(IF($M$8:$M$36&lt;&gt;0,ROW($M$8:$M$36)-7),ROW(E17))))</f>
        <v/>
      </c>
      <c r="F24" s="163" t="str">
        <f t="array" ref="F24">IF(ISERROR(INDEX($K$8:$K$36,SMALL(IF($M$8:$M$36&lt;&gt;0,ROW($M$8:$M$36)-7),ROW(F17)))),"",INDEX($K$8:$K$36,SMALL(IF($M$8:$M$36&lt;&gt;0,ROW($M$8:$M$36)-7),ROW(F17))))</f>
        <v/>
      </c>
      <c r="G24" s="163" t="str">
        <f t="array" ref="G24">IF(ISERROR(INDEX($L$8:$L$36,SMALL(IF($M$8:$M$36&lt;&gt;0,ROW($M$8:$M$36)-7),ROW(G17)))),"",INDEX($L$8:$L$36,SMALL(IF($M$8:$M$36&lt;&gt;0,ROW($M$8:$M$36)-7),ROW(G17))))</f>
        <v/>
      </c>
      <c r="H24" s="163" t="str">
        <f>""</f>
        <v/>
      </c>
      <c r="J24" s="413" t="s">
        <v>1723</v>
      </c>
      <c r="K24" s="413" t="s">
        <v>31</v>
      </c>
      <c r="L24" s="413" t="s">
        <v>1725</v>
      </c>
      <c r="M24" s="566">
        <f>(IF(W_O=3,2,IF(W_O=3.5,1,0))+IF(W_F=0,IF(W_O&gt;3.5,IF(ISODD(W_O),2,0),0),0)+IF(W_F=1,IF(W_O&gt;3.5,IF(ISODD(W_O-1.5),2,0),0),0))*IF(BASIC_TOOL!D23=5,0,1)</f>
        <v>0</v>
      </c>
      <c r="N24" s="567"/>
    </row>
    <row r="25" spans="1:14" s="153" customFormat="1">
      <c r="A25" s="23" t="str">
        <f>IF(B25="","",(VLOOKUP(B:B,'0.39'!B:F,5,FALSE)))</f>
        <v/>
      </c>
      <c r="B25" s="162" t="str">
        <f>IF(BASIC_TOOL!$D$23=1,Steel_Skid!D25,IF(BASIC_TOOL!$D$23=2,Steel_Skid!E25,IF(BASIC_TOOL!$D$23=3,Steel_Skid!F25,Steel_Skid!G25)))</f>
        <v/>
      </c>
      <c r="C25" s="163" t="str">
        <f t="array" ref="C25">IF(ISERROR(INDEX($M$8:$M$36,SMALL(IF($M$8:$M$36&lt;&gt;0,ROW($M$8:$M$36)-7),ROW(C18)))),"",INDEX($M$8:$M$36,SMALL(IF($M$8:$M$36&lt;&gt;0,ROW($M$8:$M$36)-7),ROW(C18))))</f>
        <v/>
      </c>
      <c r="D25" s="163" t="str">
        <f t="shared" si="0"/>
        <v/>
      </c>
      <c r="E25" s="163" t="str">
        <f t="array" ref="E25">IF( ISERROR(INDEX($J$8:$J$36,SMALL(IF($M$8:$M$36&lt;&gt;0,ROW($M$8:$M$36)-7),ROW(E18)))),"",INDEX($J$8:$J$36,SMALL(IF($M$8:$M$36&lt;&gt;0,ROW($M$8:$M$36)-7),ROW(E18))))</f>
        <v/>
      </c>
      <c r="F25" s="163" t="str">
        <f t="array" ref="F25">IF(ISERROR(INDEX($K$8:$K$36,SMALL(IF($M$8:$M$36&lt;&gt;0,ROW($M$8:$M$36)-7),ROW(F18)))),"",INDEX($K$8:$K$36,SMALL(IF($M$8:$M$36&lt;&gt;0,ROW($M$8:$M$36)-7),ROW(F18))))</f>
        <v/>
      </c>
      <c r="G25" s="163" t="str">
        <f t="array" ref="G25">IF(ISERROR(INDEX($L$8:$L$36,SMALL(IF($M$8:$M$36&lt;&gt;0,ROW($M$8:$M$36)-7),ROW(G18)))),"",INDEX($L$8:$L$36,SMALL(IF($M$8:$M$36&lt;&gt;0,ROW($M$8:$M$36)-7),ROW(G18))))</f>
        <v/>
      </c>
      <c r="H25" s="163" t="str">
        <f>""</f>
        <v/>
      </c>
      <c r="J25" s="413" t="s">
        <v>1724</v>
      </c>
      <c r="K25" s="413" t="s">
        <v>32</v>
      </c>
      <c r="L25" s="413" t="s">
        <v>1726</v>
      </c>
      <c r="M25" s="566">
        <f>(IF(W_O=3,2,IF(W_O=3.5,1,0))+IF(W_F=0,IF(W_O&gt;4,IF(ISODD(W_O),2,0),0),0)+IF(W_F=1,IF(W_O&gt;4,IF(ISODD(W_O-1.5),2,0),0),0))*IF(BASIC_TOOL!D23=5,0,1)</f>
        <v>0</v>
      </c>
      <c r="N25" s="567"/>
    </row>
    <row r="26" spans="1:14" s="153" customFormat="1">
      <c r="A26" s="23" t="str">
        <f>IF(B26="","",(VLOOKUP(B:B,'0.39'!B:F,5,FALSE)))</f>
        <v/>
      </c>
      <c r="B26" s="162" t="str">
        <f>IF(BASIC_TOOL!$D$23=1,Steel_Skid!D26,IF(BASIC_TOOL!$D$23=2,Steel_Skid!E26,IF(BASIC_TOOL!$D$23=3,Steel_Skid!F26,Steel_Skid!G26)))</f>
        <v/>
      </c>
      <c r="C26" s="163" t="str">
        <f t="array" ref="C26">IF(ISERROR(INDEX($M$8:$M$36,SMALL(IF($M$8:$M$36&lt;&gt;0,ROW($M$8:$M$36)-7),ROW(C19)))),"",INDEX($M$8:$M$36,SMALL(IF($M$8:$M$36&lt;&gt;0,ROW($M$8:$M$36)-7),ROW(C19))))</f>
        <v/>
      </c>
      <c r="D26" s="163" t="str">
        <f t="shared" si="0"/>
        <v/>
      </c>
      <c r="E26" s="163" t="str">
        <f t="array" ref="E26">IF( ISERROR(INDEX($J$8:$J$36,SMALL(IF($M$8:$M$36&lt;&gt;0,ROW($M$8:$M$36)-7),ROW(E19)))),"",INDEX($J$8:$J$36,SMALL(IF($M$8:$M$36&lt;&gt;0,ROW($M$8:$M$36)-7),ROW(E19))))</f>
        <v/>
      </c>
      <c r="F26" s="163" t="str">
        <f t="array" ref="F26">IF(ISERROR(INDEX($K$8:$K$36,SMALL(IF($M$8:$M$36&lt;&gt;0,ROW($M$8:$M$36)-7),ROW(F19)))),"",INDEX($K$8:$K$36,SMALL(IF($M$8:$M$36&lt;&gt;0,ROW($M$8:$M$36)-7),ROW(F19))))</f>
        <v/>
      </c>
      <c r="G26" s="163" t="str">
        <f t="array" ref="G26">IF(ISERROR(INDEX($L$8:$L$36,SMALL(IF($M$8:$M$36&lt;&gt;0,ROW($M$8:$M$36)-7),ROW(G19)))),"",INDEX($L$8:$L$36,SMALL(IF($M$8:$M$36&lt;&gt;0,ROW($M$8:$M$36)-7),ROW(G19))))</f>
        <v/>
      </c>
      <c r="H26" s="163"/>
      <c r="J26" s="413" t="s">
        <v>1729</v>
      </c>
      <c r="K26" s="413" t="s">
        <v>33</v>
      </c>
      <c r="L26" s="413" t="s">
        <v>1727</v>
      </c>
      <c r="M26" s="566"/>
      <c r="N26" s="567"/>
    </row>
    <row r="27" spans="1:14" s="153" customFormat="1">
      <c r="A27" s="23" t="str">
        <f>IF(B27="","",(VLOOKUP(B:B,'0.39'!B:F,5,FALSE)))</f>
        <v/>
      </c>
      <c r="B27" s="162" t="str">
        <f>IF(BASIC_TOOL!$D$23=1,Steel_Skid!D27,IF(BASIC_TOOL!$D$23=2,Steel_Skid!E27,IF(BASIC_TOOL!$D$23=3,Steel_Skid!F27,Steel_Skid!G27)))</f>
        <v/>
      </c>
      <c r="C27" s="163" t="str">
        <f t="array" ref="C27">IF(ISERROR(INDEX($M$8:$M$36,SMALL(IF($M$8:$M$36&lt;&gt;0,ROW($M$8:$M$36)-7),ROW(C20)))),"",INDEX($M$8:$M$36,SMALL(IF($M$8:$M$36&lt;&gt;0,ROW($M$8:$M$36)-7),ROW(C20))))</f>
        <v/>
      </c>
      <c r="D27" s="163" t="str">
        <f t="shared" si="0"/>
        <v/>
      </c>
      <c r="E27" s="163" t="str">
        <f t="array" ref="E27">IF( ISERROR(INDEX($J$8:$J$36,SMALL(IF($M$8:$M$36&lt;&gt;0,ROW($M$8:$M$36)-7),ROW(E20)))),"",INDEX($J$8:$J$36,SMALL(IF($M$8:$M$36&lt;&gt;0,ROW($M$8:$M$36)-7),ROW(E20))))</f>
        <v/>
      </c>
      <c r="F27" s="163" t="str">
        <f t="array" ref="F27">IF(ISERROR(INDEX($K$8:$K$36,SMALL(IF($M$8:$M$36&lt;&gt;0,ROW($M$8:$M$36)-7),ROW(F20)))),"",INDEX($K$8:$K$36,SMALL(IF($M$8:$M$36&lt;&gt;0,ROW($M$8:$M$36)-7),ROW(F20))))</f>
        <v/>
      </c>
      <c r="G27" s="163" t="str">
        <f t="array" ref="G27">IF(ISERROR(INDEX($L$8:$L$36,SMALL(IF($M$8:$M$36&lt;&gt;0,ROW($M$8:$M$36)-7),ROW(G20)))),"",INDEX($L$8:$L$36,SMALL(IF($M$8:$M$36&lt;&gt;0,ROW($M$8:$M$36)-7),ROW(G20))))</f>
        <v/>
      </c>
      <c r="H27" s="163"/>
      <c r="J27" s="413" t="s">
        <v>1730</v>
      </c>
      <c r="K27" s="413" t="s">
        <v>34</v>
      </c>
      <c r="L27" s="413" t="s">
        <v>1728</v>
      </c>
      <c r="M27" s="566"/>
      <c r="N27" s="567"/>
    </row>
    <row r="28" spans="1:14" s="153" customFormat="1">
      <c r="A28" s="23" t="str">
        <f>IF(B28="","",(VLOOKUP(B:B,'0.39'!B:F,5,FALSE)))</f>
        <v/>
      </c>
      <c r="B28" s="162" t="str">
        <f>IF(BASIC_TOOL!$D$23=1,Steel_Skid!D28,IF(BASIC_TOOL!$D$23=2,Steel_Skid!E28,IF(BASIC_TOOL!$D$23=3,Steel_Skid!F28,Steel_Skid!G28)))</f>
        <v/>
      </c>
      <c r="C28" s="163" t="str">
        <f t="array" ref="C28">IF(ISERROR(INDEX($M$8:$M$36,SMALL(IF($M$8:$M$36&lt;&gt;0,ROW($M$8:$M$36)-7),ROW(C21)))),"",INDEX($M$8:$M$36,SMALL(IF($M$8:$M$36&lt;&gt;0,ROW($M$8:$M$36)-7),ROW(C21))))</f>
        <v/>
      </c>
      <c r="D28" s="163" t="str">
        <f t="shared" si="0"/>
        <v/>
      </c>
      <c r="E28" s="163" t="str">
        <f t="array" ref="E28">IF( ISERROR(INDEX($J$8:$J$36,SMALL(IF($M$8:$M$36&lt;&gt;0,ROW($M$8:$M$36)-7),ROW(E21)))),"",INDEX($J$8:$J$36,SMALL(IF($M$8:$M$36&lt;&gt;0,ROW($M$8:$M$36)-7),ROW(E21))))</f>
        <v/>
      </c>
      <c r="F28" s="163" t="str">
        <f t="array" ref="F28">IF(ISERROR(INDEX($K$8:$K$36,SMALL(IF($M$8:$M$36&lt;&gt;0,ROW($M$8:$M$36)-7),ROW(F21)))),"",INDEX($K$8:$K$36,SMALL(IF($M$8:$M$36&lt;&gt;0,ROW($M$8:$M$36)-7),ROW(F21))))</f>
        <v/>
      </c>
      <c r="G28" s="163" t="str">
        <f t="array" ref="G28">IF(ISERROR(INDEX($L$8:$L$36,SMALL(IF($M$8:$M$36&lt;&gt;0,ROW($M$8:$M$36)-7),ROW(G21)))),"",INDEX($L$8:$L$36,SMALL(IF($M$8:$M$36&lt;&gt;0,ROW($M$8:$M$36)-7),ROW(G21))))</f>
        <v/>
      </c>
      <c r="H28" s="163"/>
      <c r="J28" s="948" t="s">
        <v>1777</v>
      </c>
      <c r="K28" s="948" t="s">
        <v>1777</v>
      </c>
      <c r="L28" s="948" t="s">
        <v>1778</v>
      </c>
      <c r="M28" s="949">
        <f>(IF(W_O=1,1,0)*(CEILING(L1_O,1)+CEILING(L2_O,1)+CEILING(L3_O,1)+CEILING(L4_O,1)-1))*IF(BASIC_TOOL!D23=5,0,1)</f>
        <v>0</v>
      </c>
      <c r="N28" s="567"/>
    </row>
    <row r="29" spans="1:14" s="153" customFormat="1">
      <c r="A29" s="23" t="str">
        <f>IF(B29="","",(VLOOKUP(B:B,'0.39'!B:F,5,FALSE)))</f>
        <v/>
      </c>
      <c r="B29" s="162" t="str">
        <f>IF(BASIC_TOOL!$D$23=1,Steel_Skid!D29,IF(BASIC_TOOL!$D$23=2,Steel_Skid!E29,IF(BASIC_TOOL!$D$23=3,Steel_Skid!F29,Steel_Skid!G29)))</f>
        <v/>
      </c>
      <c r="C29" s="163" t="str">
        <f t="array" ref="C29">IF(ISERROR(INDEX($M$8:$M$36,SMALL(IF($M$8:$M$36&lt;&gt;0,ROW($M$8:$M$36)-7),ROW(C22)))),"",INDEX($M$8:$M$36,SMALL(IF($M$8:$M$36&lt;&gt;0,ROW($M$8:$M$36)-7),ROW(C22))))</f>
        <v/>
      </c>
      <c r="D29" s="163" t="str">
        <f t="shared" si="0"/>
        <v/>
      </c>
      <c r="E29" s="163" t="str">
        <f t="array" ref="E29">IF( ISERROR(INDEX($J$8:$J$36,SMALL(IF($M$8:$M$36&lt;&gt;0,ROW($M$8:$M$36)-7),ROW(E22)))),"",INDEX($J$8:$J$36,SMALL(IF($M$8:$M$36&lt;&gt;0,ROW($M$8:$M$36)-7),ROW(E22))))</f>
        <v/>
      </c>
      <c r="F29" s="163" t="str">
        <f t="array" ref="F29">IF(ISERROR(INDEX($K$8:$K$36,SMALL(IF($M$8:$M$36&lt;&gt;0,ROW($M$8:$M$36)-7),ROW(F22)))),"",INDEX($K$8:$K$36,SMALL(IF($M$8:$M$36&lt;&gt;0,ROW($M$8:$M$36)-7),ROW(F22))))</f>
        <v/>
      </c>
      <c r="G29" s="163" t="str">
        <f t="array" ref="G29">IF(ISERROR(INDEX($L$8:$L$36,SMALL(IF($M$8:$M$36&lt;&gt;0,ROW($M$8:$M$36)-7),ROW(G22)))),"",INDEX($L$8:$L$36,SMALL(IF($M$8:$M$36&lt;&gt;0,ROW($M$8:$M$36)-7),ROW(G22))))</f>
        <v/>
      </c>
      <c r="H29" s="163"/>
      <c r="J29" s="413" t="s">
        <v>18</v>
      </c>
      <c r="K29" s="413" t="s">
        <v>35</v>
      </c>
      <c r="L29" s="413" t="s">
        <v>47</v>
      </c>
      <c r="M29" s="566">
        <f>(IF(W_O=1.5,1,0)*(CEILING(L1_O,1)+CEILING(L2_O,1)+CEILING(L3_O,1)+CEILING(L4_O,1)-1))*IF(BASIC_TOOL!D23=5,0,1)</f>
        <v>0</v>
      </c>
      <c r="N29" s="567"/>
    </row>
    <row r="30" spans="1:14" s="153" customFormat="1">
      <c r="A30" s="23" t="str">
        <f>IF(B30="","",(VLOOKUP(B:B,'0.39'!B:F,5,FALSE)))</f>
        <v/>
      </c>
      <c r="B30" s="162" t="str">
        <f>IF(BASIC_TOOL!$D$23=1,Steel_Skid!D30,IF(BASIC_TOOL!$D$23=2,Steel_Skid!E30,IF(BASIC_TOOL!$D$23=3,Steel_Skid!F30,Steel_Skid!G30)))</f>
        <v/>
      </c>
      <c r="C30" s="163" t="str">
        <f t="array" ref="C30">IF(ISERROR(INDEX($M$8:$M$36,SMALL(IF($M$8:$M$36&lt;&gt;0,ROW($M$8:$M$36)-7),ROW(C23)))),"",INDEX($M$8:$M$36,SMALL(IF($M$8:$M$36&lt;&gt;0,ROW($M$8:$M$36)-7),ROW(C23))))</f>
        <v/>
      </c>
      <c r="D30" s="163" t="str">
        <f t="shared" si="0"/>
        <v/>
      </c>
      <c r="E30" s="163" t="str">
        <f t="array" ref="E30">IF( ISERROR(INDEX($J$8:$J$36,SMALL(IF($M$8:$M$36&lt;&gt;0,ROW($M$8:$M$36)-7),ROW(E23)))),"",INDEX($J$8:$J$36,SMALL(IF($M$8:$M$36&lt;&gt;0,ROW($M$8:$M$36)-7),ROW(E23))))</f>
        <v/>
      </c>
      <c r="F30" s="163" t="str">
        <f t="array" ref="F30">IF(ISERROR(INDEX($K$8:$K$36,SMALL(IF($M$8:$M$36&lt;&gt;0,ROW($M$8:$M$36)-7),ROW(F23)))),"",INDEX($K$8:$K$36,SMALL(IF($M$8:$M$36&lt;&gt;0,ROW($M$8:$M$36)-7),ROW(F23))))</f>
        <v/>
      </c>
      <c r="G30" s="163" t="str">
        <f t="array" ref="G30">IF(ISERROR(INDEX($L$8:$L$36,SMALL(IF($M$8:$M$36&lt;&gt;0,ROW($M$8:$M$36)-7),ROW(G23)))),"",INDEX($L$8:$L$36,SMALL(IF($M$8:$M$36&lt;&gt;0,ROW($M$8:$M$36)-7),ROW(G23))))</f>
        <v/>
      </c>
      <c r="H30" s="163"/>
      <c r="J30" s="948" t="s">
        <v>1744</v>
      </c>
      <c r="K30" s="948" t="s">
        <v>36</v>
      </c>
      <c r="L30" s="948" t="s">
        <v>1745</v>
      </c>
      <c r="M30" s="949">
        <f>(IF(W_O=1.5,1,IF(W_O=2,1,IF(W_O&gt;=2.5,2,0)))*(CEILING(L1_O,1)+CEILING(L2_O,1)+CEILING(L3_O,1)+CEILING(L4_O,1)-1))*IF(BASIC_TOOL!D23=5,0,1)</f>
        <v>8</v>
      </c>
      <c r="N30" s="569"/>
    </row>
    <row r="31" spans="1:14" s="153" customFormat="1">
      <c r="A31" s="23" t="str">
        <f>IF(B31="","",(VLOOKUP(B:B,'0.39'!B:F,5,FALSE)))</f>
        <v/>
      </c>
      <c r="B31" s="162" t="str">
        <f>IF(BASIC_TOOL!$D$23=1,Steel_Skid!D31,IF(BASIC_TOOL!$D$23=2,Steel_Skid!E31,IF(BASIC_TOOL!$D$23=3,Steel_Skid!F31,Steel_Skid!G31)))</f>
        <v/>
      </c>
      <c r="C31" s="163" t="str">
        <f t="array" ref="C31">IF(ISERROR(INDEX($M$8:$M$36,SMALL(IF($M$8:$M$36&lt;&gt;0,ROW($M$8:$M$36)-7),ROW(C24)))),"",INDEX($M$8:$M$36,SMALL(IF($M$8:$M$36&lt;&gt;0,ROW($M$8:$M$36)-7),ROW(C24))))</f>
        <v/>
      </c>
      <c r="D31" s="163" t="str">
        <f t="shared" si="0"/>
        <v/>
      </c>
      <c r="E31" s="163" t="str">
        <f t="array" ref="E31">IF( ISERROR(INDEX($J$8:$J$36,SMALL(IF($M$8:$M$36&lt;&gt;0,ROW($M$8:$M$36)-7),ROW(E24)))),"",INDEX($J$8:$J$36,SMALL(IF($M$8:$M$36&lt;&gt;0,ROW($M$8:$M$36)-7),ROW(E24))))</f>
        <v/>
      </c>
      <c r="F31" s="163" t="str">
        <f t="array" ref="F31">IF(ISERROR(INDEX($K$8:$K$36,SMALL(IF($M$8:$M$36&lt;&gt;0,ROW($M$8:$M$36)-7),ROW(F24)))),"",INDEX($K$8:$K$36,SMALL(IF($M$8:$M$36&lt;&gt;0,ROW($M$8:$M$36)-7),ROW(F24))))</f>
        <v/>
      </c>
      <c r="G31" s="163" t="str">
        <f t="array" ref="G31">IF(ISERROR(INDEX($L$8:$L$36,SMALL(IF($M$8:$M$36&lt;&gt;0,ROW($M$8:$M$36)-7),ROW(G24)))),"",INDEX($L$8:$L$36,SMALL(IF($M$8:$M$36&lt;&gt;0,ROW($M$8:$M$36)-7),ROW(G24))))</f>
        <v/>
      </c>
      <c r="H31" s="163"/>
      <c r="J31" s="413" t="s">
        <v>2513</v>
      </c>
      <c r="K31" s="413" t="s">
        <v>37</v>
      </c>
      <c r="L31" s="413" t="s">
        <v>154</v>
      </c>
      <c r="M31" s="566">
        <f>(IF(INT(W_O)=W_O,0,IF(W_O&gt;=2.5,1,0))*(CEILING(L1_O,1)+CEILING(L2_O,1)+CEILING(L3_O,1)+CEILING(L4_O,1)-1))*IF(BASIC_TOOL!D23=5,0,1)</f>
        <v>0</v>
      </c>
      <c r="N31" s="570"/>
    </row>
    <row r="32" spans="1:14" s="153" customFormat="1">
      <c r="A32" s="23" t="str">
        <f>IF(B32="","",(VLOOKUP(B:B,'0.39'!B:F,5,FALSE)))</f>
        <v/>
      </c>
      <c r="B32" s="162" t="str">
        <f>IF(BASIC_TOOL!$D$23=1,Steel_Skid!D32,IF(BASIC_TOOL!$D$23=2,Steel_Skid!E32,IF(BASIC_TOOL!$D$23=3,Steel_Skid!F32,Steel_Skid!G32)))</f>
        <v/>
      </c>
      <c r="C32" s="163" t="str">
        <f t="array" ref="C32">IF(ISERROR(INDEX($M$8:$M$36,SMALL(IF($M$8:$M$36&lt;&gt;0,ROW($M$8:$M$36)-7),ROW(C25)))),"",INDEX($M$8:$M$36,SMALL(IF($M$8:$M$36&lt;&gt;0,ROW($M$8:$M$36)-7),ROW(C25))))</f>
        <v/>
      </c>
      <c r="D32" s="163" t="str">
        <f t="shared" si="0"/>
        <v/>
      </c>
      <c r="E32" s="163" t="str">
        <f t="array" ref="E32">IF( ISERROR(INDEX($J$8:$J$36,SMALL(IF($M$8:$M$36&lt;&gt;0,ROW($M$8:$M$36)-7),ROW(E25)))),"",INDEX($J$8:$J$36,SMALL(IF($M$8:$M$36&lt;&gt;0,ROW($M$8:$M$36)-7),ROW(E25))))</f>
        <v/>
      </c>
      <c r="F32" s="163" t="str">
        <f t="array" ref="F32">IF(ISERROR(INDEX($K$8:$K$36,SMALL(IF($M$8:$M$36&lt;&gt;0,ROW($M$8:$M$36)-7),ROW(F25)))),"",INDEX($K$8:$K$36,SMALL(IF($M$8:$M$36&lt;&gt;0,ROW($M$8:$M$36)-7),ROW(F25))))</f>
        <v/>
      </c>
      <c r="G32" s="163" t="str">
        <f t="array" ref="G32">IF(ISERROR(INDEX($L$8:$L$36,SMALL(IF($M$8:$M$36&lt;&gt;0,ROW($M$8:$M$36)-7),ROW(G25)))),"",INDEX($L$8:$L$36,SMALL(IF($M$8:$M$36&lt;&gt;0,ROW($M$8:$M$36)-7),ROW(G25))))</f>
        <v/>
      </c>
      <c r="H32" s="163"/>
      <c r="J32" s="948" t="s">
        <v>1746</v>
      </c>
      <c r="K32" s="948" t="s">
        <v>38</v>
      </c>
      <c r="L32" s="948" t="s">
        <v>1747</v>
      </c>
      <c r="M32" s="949">
        <f>(IF(W_O&gt;=3,IF(INT(W_O)=W_O,1,0),0)*(CEILING(L1_O,1)+CEILING(L2_O,1)+CEILING(L3_O,1)+CEILING(L4_O,1)-1))*IF(BASIC_TOOL!D23=5,0,1)</f>
        <v>4</v>
      </c>
      <c r="N32" s="570"/>
    </row>
    <row r="33" spans="1:14" s="153" customFormat="1">
      <c r="A33" s="23" t="str">
        <f>IF(B33="","",(VLOOKUP(B:B,'0.39'!B:F,5,FALSE)))</f>
        <v/>
      </c>
      <c r="B33" s="162" t="str">
        <f>IF(BASIC_TOOL!$D$23=1,Steel_Skid!D33,IF(BASIC_TOOL!$D$23=2,Steel_Skid!E33,IF(BASIC_TOOL!$D$23=3,Steel_Skid!F33,Steel_Skid!G33)))</f>
        <v/>
      </c>
      <c r="C33" s="163" t="str">
        <f t="array" ref="C33">IF(ISERROR(INDEX($M$8:$M$36,SMALL(IF($M$8:$M$36&lt;&gt;0,ROW($M$8:$M$36)-7),ROW(C26)))),"",INDEX($M$8:$M$36,SMALL(IF($M$8:$M$36&lt;&gt;0,ROW($M$8:$M$36)-7),ROW(C26))))</f>
        <v/>
      </c>
      <c r="D33" s="163" t="str">
        <f t="shared" si="0"/>
        <v/>
      </c>
      <c r="E33" s="163" t="str">
        <f t="array" ref="E33">IF( ISERROR(INDEX($J$8:$J$36,SMALL(IF($M$8:$M$36&lt;&gt;0,ROW($M$8:$M$36)-7),ROW(E26)))),"",INDEX($J$8:$J$36,SMALL(IF($M$8:$M$36&lt;&gt;0,ROW($M$8:$M$36)-7),ROW(E26))))</f>
        <v/>
      </c>
      <c r="F33" s="163" t="str">
        <f t="array" ref="F33">IF(ISERROR(INDEX($K$8:$K$36,SMALL(IF($M$8:$M$36&lt;&gt;0,ROW($M$8:$M$36)-7),ROW(F26)))),"",INDEX($K$8:$K$36,SMALL(IF($M$8:$M$36&lt;&gt;0,ROW($M$8:$M$36)-7),ROW(F26))))</f>
        <v/>
      </c>
      <c r="G33" s="163" t="str">
        <f t="array" ref="G33">IF(ISERROR(INDEX($L$8:$L$36,SMALL(IF($M$8:$M$36&lt;&gt;0,ROW($M$8:$M$36)-7),ROW(G26)))),"",INDEX($L$8:$L$36,SMALL(IF($M$8:$M$36&lt;&gt;0,ROW($M$8:$M$36)-7),ROW(G26))))</f>
        <v/>
      </c>
      <c r="H33" s="163"/>
      <c r="J33" s="948" t="s">
        <v>2514</v>
      </c>
      <c r="K33" s="948" t="s">
        <v>39</v>
      </c>
      <c r="L33" s="948" t="s">
        <v>2515</v>
      </c>
      <c r="M33" s="949">
        <f>(IF(W_O=2,1,0)*(CEILING(L1_O,1)+CEILING(L2_O,1)+CEILING(L3_O,1)+CEILING(L4_O,1)-1))*IF(BASIC_TOOL!D23=5,0,1)</f>
        <v>0</v>
      </c>
      <c r="N33" s="570"/>
    </row>
    <row r="34" spans="1:14" s="153" customFormat="1">
      <c r="A34" s="23" t="str">
        <f>IF(B34="","",(VLOOKUP(B:B,'0.39'!B:F,5,FALSE)))</f>
        <v/>
      </c>
      <c r="B34" s="162" t="str">
        <f>IF(BASIC_TOOL!$D$23=1,Steel_Skid!D34,IF(BASIC_TOOL!$D$23=2,Steel_Skid!E34,IF(BASIC_TOOL!$D$23=3,Steel_Skid!F34,Steel_Skid!G34)))</f>
        <v/>
      </c>
      <c r="C34" s="163" t="str">
        <f t="array" ref="C34">IF(ISERROR(INDEX($M$8:$M$36,SMALL(IF($M$8:$M$36&lt;&gt;0,ROW($M$8:$M$36)-7),ROW(C27)))),"",INDEX($M$8:$M$36,SMALL(IF($M$8:$M$36&lt;&gt;0,ROW($M$8:$M$36)-7),ROW(C27))))</f>
        <v/>
      </c>
      <c r="D34" s="163" t="str">
        <f t="shared" si="0"/>
        <v/>
      </c>
      <c r="E34" s="163" t="str">
        <f t="array" ref="E34">IF( ISERROR(INDEX($J$8:$J$36,SMALL(IF($M$8:$M$36&lt;&gt;0,ROW($M$8:$M$36)-7),ROW(E27)))),"",INDEX($J$8:$J$36,SMALL(IF($M$8:$M$36&lt;&gt;0,ROW($M$8:$M$36)-7),ROW(E27))))</f>
        <v/>
      </c>
      <c r="F34" s="163" t="str">
        <f t="array" ref="F34">IF(ISERROR(INDEX($K$8:$K$36,SMALL(IF($M$8:$M$36&lt;&gt;0,ROW($M$8:$M$36)-7),ROW(F27)))),"",INDEX($K$8:$K$36,SMALL(IF($M$8:$M$36&lt;&gt;0,ROW($M$8:$M$36)-7),ROW(F27))))</f>
        <v/>
      </c>
      <c r="G34" s="163" t="str">
        <f t="array" ref="G34">IF(ISERROR(INDEX($L$8:$L$36,SMALL(IF($M$8:$M$36&lt;&gt;0,ROW($M$8:$M$36)-7),ROW(G27)))),"",INDEX($L$8:$L$36,SMALL(IF($M$8:$M$36&lt;&gt;0,ROW($M$8:$M$36)-7),ROW(G27))))</f>
        <v/>
      </c>
      <c r="H34" s="163"/>
      <c r="J34" s="948" t="s">
        <v>19</v>
      </c>
      <c r="K34" s="948" t="s">
        <v>19</v>
      </c>
      <c r="L34" s="948" t="s">
        <v>48</v>
      </c>
      <c r="M34" s="949">
        <f>(IF(W_O&gt;=3.5,(ROUND(W_O,0)-3),0)*(CEILING(L1_O,1)+CEILING(L2_O,1)+CEILING(L3_O,1)+CEILING(L4_O,1)-1))*IF(BASIC_TOOL!D23=5,0,1)</f>
        <v>28</v>
      </c>
      <c r="N34" s="567"/>
    </row>
    <row r="35" spans="1:14">
      <c r="A35" s="23" t="str">
        <f>IF(B35="","",(VLOOKUP(B:B,'0.39'!B:F,5,FALSE)))</f>
        <v/>
      </c>
      <c r="B35" s="162" t="str">
        <f>IF(BASIC_TOOL!$D$23=1,Steel_Skid!D35,IF(BASIC_TOOL!$D$23=2,Steel_Skid!E35,IF(BASIC_TOOL!$D$23=3,Steel_Skid!F62,Steel_Skid!G35)))</f>
        <v/>
      </c>
      <c r="C35" s="163" t="str">
        <f t="array" ref="C35">IF(ISERROR(INDEX($M$8:$M$36,SMALL(IF($M$8:$M$36&lt;&gt;0,ROW($M$8:$M$36)-7),ROW(C28)))),"",INDEX($M$8:$M$36,SMALL(IF($M$8:$M$36&lt;&gt;0,ROW($M$8:$M$36)-7),ROW(C28))))</f>
        <v/>
      </c>
      <c r="D35" s="163" t="str">
        <f t="shared" si="0"/>
        <v/>
      </c>
      <c r="E35" s="163" t="str">
        <f t="array" ref="E35">IF( ISERROR(INDEX($J$8:$J$36,SMALL(IF($M$8:$M$36&lt;&gt;0,ROW($M$8:$M$36)-7),ROW(E28)))),"",INDEX($J$8:$J$36,SMALL(IF($M$8:$M$36&lt;&gt;0,ROW($M$8:$M$36)-7),ROW(E28))))</f>
        <v/>
      </c>
      <c r="F35" s="163" t="str">
        <f t="array" ref="F35">IF(ISERROR(INDEX($K$8:$K$36,SMALL(IF($M$8:$M$36&lt;&gt;0,ROW($M$8:$M$36)-7),ROW(F28)))),"",INDEX($K$8:$K$36,SMALL(IF($M$8:$M$36&lt;&gt;0,ROW($M$8:$M$36)-7),ROW(F28))))</f>
        <v/>
      </c>
      <c r="G35" s="163" t="str">
        <f t="array" ref="G35">IF(ISERROR(INDEX($L$8:$L$36,SMALL(IF($M$8:$M$36&lt;&gt;0,ROW($M$8:$M$36)-7),ROW(G28)))),"",INDEX($L$8:$L$36,SMALL(IF($M$8:$M$36&lt;&gt;0,ROW($M$8:$M$36)-7),ROW(G28))))</f>
        <v/>
      </c>
      <c r="H35" s="161"/>
      <c r="J35" s="413" t="s">
        <v>80</v>
      </c>
      <c r="K35" s="413" t="s">
        <v>80</v>
      </c>
      <c r="L35" s="413" t="s">
        <v>80</v>
      </c>
      <c r="M35" s="570">
        <f>(ROUNDUP((W_C+W_F+1)*(CEILING(L1_O,1)+CEILING(L2_O,1)+CEILING(L3_O,1)+CEILING(L4_O,1)+1)*4.6,0))*IF(BASIC_TOOL!D23=5,0,1)</f>
        <v>304</v>
      </c>
      <c r="N35" s="571"/>
    </row>
    <row r="36" spans="1:14">
      <c r="A36" s="23" t="str">
        <f>IF(B36="","",(VLOOKUP(B:B,'0.39'!B:F,5,FALSE)))</f>
        <v/>
      </c>
      <c r="B36" s="162" t="str">
        <f>IF(BASIC_TOOL!$D$23=1,Steel_Skid!D36,IF(BASIC_TOOL!$D$23=2,Steel_Skid!E36,IF(BASIC_TOOL!$D$23=3,Steel_Skid!F63,Steel_Skid!G36)))</f>
        <v/>
      </c>
      <c r="C36" s="163" t="str">
        <f t="array" ref="C36">IF(ISERROR(INDEX($M$8:$M$36,SMALL(IF($M$8:$M$36&lt;&gt;0,ROW($M$8:$M$36)-7),ROW(C29)))),"",INDEX($M$8:$M$36,SMALL(IF($M$8:$M$36&lt;&gt;0,ROW($M$8:$M$36)-7),ROW(C29))))</f>
        <v/>
      </c>
      <c r="D36" s="163" t="str">
        <f t="shared" si="0"/>
        <v/>
      </c>
      <c r="E36" s="163" t="str">
        <f t="array" ref="E36">IF( ISERROR(INDEX($J$8:$J$36,SMALL(IF($M$8:$M$36&lt;&gt;0,ROW($M$8:$M$36)-7),ROW(E29)))),"",INDEX($J$8:$J$36,SMALL(IF($M$8:$M$36&lt;&gt;0,ROW($M$8:$M$36)-7),ROW(E29))))</f>
        <v/>
      </c>
      <c r="F36" s="163" t="str">
        <f t="array" ref="F36">IF(ISERROR(INDEX($K$8:$K$36,SMALL(IF($M$8:$M$36&lt;&gt;0,ROW($M$8:$M$36)-7),ROW(F29)))),"",INDEX($K$8:$K$36,SMALL(IF($M$8:$M$36&lt;&gt;0,ROW($M$8:$M$36)-7),ROW(F29))))</f>
        <v/>
      </c>
      <c r="G36" s="163" t="str">
        <f t="array" ref="G36">IF(ISERROR(INDEX($L$8:$L$36,SMALL(IF($M$8:$M$36&lt;&gt;0,ROW($M$8:$M$36)-7),ROW(G29)))),"",INDEX($L$8:$L$36,SMALL(IF($M$8:$M$36&lt;&gt;0,ROW($M$8:$M$36)-7),ROW(G29))))</f>
        <v/>
      </c>
      <c r="H36" s="161"/>
      <c r="J36" s="563" t="s">
        <v>10</v>
      </c>
      <c r="K36" s="563" t="s">
        <v>10</v>
      </c>
      <c r="L36" s="563" t="s">
        <v>10</v>
      </c>
      <c r="M36" s="564">
        <f>(IF(H_O&gt;3,4+(W_C+W_F-1)*2+(L_O-1)*2,4+(W_C+W_F-2)+(L_O-2)))*IF(BASIC_TOOL!D23=5,0,1)</f>
        <v>15</v>
      </c>
      <c r="N36" s="565"/>
    </row>
    <row r="37" spans="1:14">
      <c r="N37" s="165">
        <f>CS</f>
        <v>26</v>
      </c>
    </row>
    <row r="38" spans="1:14">
      <c r="N38" s="166"/>
    </row>
    <row r="45" spans="1:14">
      <c r="L45" s="154"/>
    </row>
    <row r="46" spans="1:14">
      <c r="L46" s="154"/>
    </row>
    <row r="47" spans="1:14">
      <c r="L47" s="154"/>
    </row>
    <row r="48" spans="1:14">
      <c r="L48" s="154"/>
    </row>
    <row r="49" spans="12:12">
      <c r="L49" s="154"/>
    </row>
    <row r="50" spans="12:12">
      <c r="L50" s="153"/>
    </row>
    <row r="51" spans="12:12">
      <c r="L51" s="153"/>
    </row>
    <row r="52" spans="12:12">
      <c r="L52" s="153"/>
    </row>
    <row r="53" spans="12:12">
      <c r="L53" s="153"/>
    </row>
    <row r="54" spans="12:12">
      <c r="L54" s="153"/>
    </row>
  </sheetData>
  <mergeCells count="11">
    <mergeCell ref="B6:H6"/>
    <mergeCell ref="J1:K2"/>
    <mergeCell ref="L1:S1"/>
    <mergeCell ref="T1:U2"/>
    <mergeCell ref="V1:V2"/>
    <mergeCell ref="W1:AB2"/>
    <mergeCell ref="AC1:AC3"/>
    <mergeCell ref="L2:M2"/>
    <mergeCell ref="N2:O2"/>
    <mergeCell ref="P2:Q2"/>
    <mergeCell ref="R2:S2"/>
  </mergeCells>
  <phoneticPr fontId="13" type="noConversion"/>
  <pageMargins left="0.70866141732283472" right="0.70866141732283472" top="0.74803149606299213" bottom="0.74803149606299213" header="0.31496062992125984" footer="0.31496062992125984"/>
  <pageSetup paperSize="8" scale="26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>
    <pageSetUpPr fitToPage="1"/>
  </sheetPr>
  <dimension ref="A1:AZ66"/>
  <sheetViews>
    <sheetView topLeftCell="AK7" zoomScale="50" zoomScaleNormal="50" workbookViewId="0">
      <selection activeCell="AO39" sqref="AO39"/>
    </sheetView>
  </sheetViews>
  <sheetFormatPr defaultColWidth="8.875" defaultRowHeight="25.5"/>
  <cols>
    <col min="1" max="1" width="32.125" style="199" bestFit="1" customWidth="1"/>
    <col min="2" max="2" width="24.375" style="199" bestFit="1" customWidth="1"/>
    <col min="3" max="3" width="9.625" style="199" bestFit="1" customWidth="1"/>
    <col min="4" max="4" width="8.875" style="199" customWidth="1"/>
    <col min="5" max="5" width="24.375" style="199" bestFit="1" customWidth="1"/>
    <col min="6" max="6" width="15.375" style="199" bestFit="1" customWidth="1"/>
    <col min="7" max="7" width="24.375" style="199" bestFit="1" customWidth="1"/>
    <col min="8" max="8" width="15.375" style="199" bestFit="1" customWidth="1"/>
    <col min="9" max="9" width="30.625" style="199" bestFit="1" customWidth="1"/>
    <col min="10" max="10" width="15.375" style="199" bestFit="1" customWidth="1"/>
    <col min="11" max="11" width="30.625" style="199" bestFit="1" customWidth="1"/>
    <col min="12" max="12" width="15.375" style="199" bestFit="1" customWidth="1"/>
    <col min="13" max="13" width="24.375" style="199" bestFit="1" customWidth="1"/>
    <col min="14" max="14" width="15.375" style="199" bestFit="1" customWidth="1"/>
    <col min="15" max="15" width="30.625" style="199" bestFit="1" customWidth="1"/>
    <col min="16" max="16" width="15.375" style="199" bestFit="1" customWidth="1"/>
    <col min="17" max="18" width="15.375" style="199" customWidth="1"/>
    <col min="19" max="19" width="29.75" style="199" bestFit="1" customWidth="1"/>
    <col min="20" max="20" width="9.375" style="199" bestFit="1" customWidth="1"/>
    <col min="21" max="21" width="11.375" style="200" customWidth="1"/>
    <col min="22" max="22" width="27.125" style="200" bestFit="1" customWidth="1"/>
    <col min="23" max="23" width="13.125" style="201" bestFit="1" customWidth="1"/>
    <col min="24" max="24" width="27.125" style="201" bestFit="1" customWidth="1"/>
    <col min="25" max="25" width="11.125" style="201" bestFit="1" customWidth="1"/>
    <col min="26" max="26" width="29.875" style="201" bestFit="1" customWidth="1"/>
    <col min="27" max="27" width="11.125" style="201" bestFit="1" customWidth="1"/>
    <col min="28" max="28" width="29.875" style="201" bestFit="1" customWidth="1"/>
    <col min="29" max="29" width="9.875" style="201" customWidth="1"/>
    <col min="30" max="30" width="24.875" style="202" bestFit="1" customWidth="1"/>
    <col min="31" max="31" width="9.875" style="201" customWidth="1"/>
    <col min="32" max="32" width="26.875" style="201" bestFit="1" customWidth="1"/>
    <col min="33" max="33" width="9.875" style="201" customWidth="1"/>
    <col min="34" max="34" width="25.125" style="201" bestFit="1" customWidth="1"/>
    <col min="35" max="35" width="10.375" style="201" bestFit="1" customWidth="1"/>
    <col min="36" max="36" width="26" style="201" bestFit="1" customWidth="1"/>
    <col min="37" max="38" width="9.875" style="201" customWidth="1"/>
    <col min="39" max="39" width="8.875" style="201"/>
    <col min="40" max="40" width="29" style="203" bestFit="1" customWidth="1"/>
    <col min="41" max="41" width="109.625" style="200" bestFit="1" customWidth="1"/>
    <col min="42" max="43" width="14" style="204" customWidth="1"/>
    <col min="44" max="44" width="14" style="201" customWidth="1"/>
    <col min="45" max="45" width="21.75" style="201" customWidth="1"/>
    <col min="46" max="48" width="21.75" style="203" customWidth="1"/>
    <col min="49" max="49" width="21.75" style="200" customWidth="1"/>
    <col min="50" max="50" width="32.125" style="200" bestFit="1" customWidth="1"/>
    <col min="51" max="51" width="3.125" style="200" bestFit="1" customWidth="1"/>
    <col min="52" max="16384" width="8.875" style="200"/>
  </cols>
  <sheetData>
    <row r="1" spans="1:52" ht="26.25" customHeight="1" thickBot="1">
      <c r="V1" s="200">
        <v>1</v>
      </c>
      <c r="X1" s="201">
        <v>2</v>
      </c>
      <c r="Z1" s="201">
        <v>3</v>
      </c>
      <c r="AB1" s="201">
        <v>4</v>
      </c>
      <c r="AD1" s="202">
        <v>5</v>
      </c>
      <c r="AF1" s="201">
        <v>6</v>
      </c>
      <c r="AH1" s="201">
        <v>7</v>
      </c>
      <c r="AO1" s="596">
        <f>CEILING(W_O-1,1)</f>
        <v>9</v>
      </c>
      <c r="AP1" s="404"/>
      <c r="AQ1" s="404"/>
      <c r="AR1" s="405">
        <v>10</v>
      </c>
      <c r="AS1" s="405">
        <v>1</v>
      </c>
      <c r="AT1" s="406"/>
    </row>
    <row r="2" spans="1:52" ht="63" customHeight="1">
      <c r="A2" s="1601" t="s">
        <v>1290</v>
      </c>
      <c r="B2" s="1602"/>
      <c r="C2" s="1602"/>
      <c r="D2" s="403"/>
      <c r="E2" s="1609" t="s">
        <v>1067</v>
      </c>
      <c r="F2" s="1610"/>
      <c r="G2" s="1609" t="s">
        <v>1068</v>
      </c>
      <c r="H2" s="1610"/>
      <c r="I2" s="1607" t="s">
        <v>1069</v>
      </c>
      <c r="J2" s="1608"/>
      <c r="K2" s="1611" t="s">
        <v>1070</v>
      </c>
      <c r="L2" s="1608"/>
      <c r="M2" s="1607" t="s">
        <v>1071</v>
      </c>
      <c r="N2" s="1608"/>
      <c r="O2" s="1607" t="s">
        <v>1072</v>
      </c>
      <c r="P2" s="1608"/>
      <c r="Q2" s="1607" t="s">
        <v>1073</v>
      </c>
      <c r="R2" s="1608"/>
      <c r="S2" s="1612" t="s">
        <v>1074</v>
      </c>
      <c r="T2" s="1613"/>
      <c r="V2" s="1603" t="s">
        <v>1067</v>
      </c>
      <c r="W2" s="1604"/>
      <c r="X2" s="1605" t="s">
        <v>1068</v>
      </c>
      <c r="Y2" s="1599"/>
      <c r="Z2" s="1599" t="s">
        <v>1069</v>
      </c>
      <c r="AA2" s="1599"/>
      <c r="AB2" s="1606" t="s">
        <v>1070</v>
      </c>
      <c r="AC2" s="1606"/>
      <c r="AD2" s="1598" t="s">
        <v>1071</v>
      </c>
      <c r="AE2" s="1599"/>
      <c r="AF2" s="1598" t="s">
        <v>1072</v>
      </c>
      <c r="AG2" s="1599"/>
      <c r="AH2" s="591" t="s">
        <v>1075</v>
      </c>
      <c r="AI2" s="586"/>
      <c r="AJ2" s="1598" t="s">
        <v>1076</v>
      </c>
      <c r="AK2" s="1599"/>
      <c r="AL2" s="205"/>
      <c r="AN2" s="211" t="s">
        <v>1077</v>
      </c>
      <c r="AO2" s="403"/>
      <c r="AP2" s="404" t="s">
        <v>1078</v>
      </c>
      <c r="AQ2" s="590">
        <v>3</v>
      </c>
      <c r="AR2" s="405">
        <v>1</v>
      </c>
      <c r="AS2" s="405">
        <v>1</v>
      </c>
      <c r="AT2" s="406">
        <v>2</v>
      </c>
      <c r="AU2" s="203">
        <v>3</v>
      </c>
      <c r="AV2" s="203">
        <v>4</v>
      </c>
      <c r="AW2" s="200">
        <v>5</v>
      </c>
      <c r="AX2" s="200">
        <v>6</v>
      </c>
      <c r="AY2" s="200">
        <v>7</v>
      </c>
      <c r="AZ2" s="200">
        <v>8</v>
      </c>
    </row>
    <row r="3" spans="1:52" s="408" customFormat="1" ht="52.5">
      <c r="A3" s="407"/>
      <c r="B3" s="407" t="s">
        <v>1079</v>
      </c>
      <c r="C3" s="407" t="s">
        <v>1080</v>
      </c>
      <c r="E3" s="407" t="s">
        <v>1081</v>
      </c>
      <c r="F3" s="407" t="s">
        <v>1080</v>
      </c>
      <c r="G3" s="407" t="s">
        <v>1081</v>
      </c>
      <c r="H3" s="407" t="s">
        <v>1080</v>
      </c>
      <c r="I3" s="407" t="s">
        <v>1081</v>
      </c>
      <c r="J3" s="407" t="s">
        <v>1080</v>
      </c>
      <c r="K3" s="407" t="s">
        <v>1081</v>
      </c>
      <c r="L3" s="407" t="s">
        <v>1080</v>
      </c>
      <c r="M3" s="407" t="s">
        <v>1081</v>
      </c>
      <c r="N3" s="407" t="s">
        <v>1080</v>
      </c>
      <c r="O3" s="407" t="s">
        <v>1081</v>
      </c>
      <c r="P3" s="407" t="s">
        <v>1080</v>
      </c>
      <c r="Q3" s="407" t="s">
        <v>1081</v>
      </c>
      <c r="R3" s="407" t="s">
        <v>1080</v>
      </c>
      <c r="S3" s="407" t="s">
        <v>1081</v>
      </c>
      <c r="T3" s="407" t="s">
        <v>1080</v>
      </c>
      <c r="V3" s="1007" t="s">
        <v>1081</v>
      </c>
      <c r="W3" s="1007" t="s">
        <v>1080</v>
      </c>
      <c r="X3" s="1007" t="s">
        <v>1081</v>
      </c>
      <c r="Y3" s="1007" t="s">
        <v>1080</v>
      </c>
      <c r="Z3" s="1007" t="s">
        <v>1081</v>
      </c>
      <c r="AA3" s="1007" t="s">
        <v>1080</v>
      </c>
      <c r="AB3" s="1007" t="s">
        <v>1081</v>
      </c>
      <c r="AC3" s="1007" t="s">
        <v>1080</v>
      </c>
      <c r="AD3" s="1007" t="s">
        <v>1081</v>
      </c>
      <c r="AE3" s="1007" t="s">
        <v>1080</v>
      </c>
      <c r="AF3" s="1007" t="s">
        <v>1081</v>
      </c>
      <c r="AG3" s="1007" t="s">
        <v>1080</v>
      </c>
      <c r="AH3" s="1007" t="s">
        <v>1081</v>
      </c>
      <c r="AI3" s="1007" t="s">
        <v>1080</v>
      </c>
      <c r="AJ3" s="1007" t="s">
        <v>1081</v>
      </c>
      <c r="AK3" s="1007" t="s">
        <v>1080</v>
      </c>
      <c r="AL3" s="409"/>
      <c r="AM3" s="409"/>
      <c r="AN3" s="586" t="s">
        <v>1082</v>
      </c>
      <c r="AO3" s="573" t="s">
        <v>1083</v>
      </c>
      <c r="AP3" s="586" t="s">
        <v>1084</v>
      </c>
      <c r="AQ3" s="591" t="s">
        <v>1080</v>
      </c>
      <c r="AR3" s="586" t="s">
        <v>1085</v>
      </c>
      <c r="AS3" s="587" t="s">
        <v>1086</v>
      </c>
      <c r="AT3" s="588" t="s">
        <v>1087</v>
      </c>
      <c r="AU3" s="588" t="s">
        <v>1069</v>
      </c>
      <c r="AV3" s="1093" t="s">
        <v>1070</v>
      </c>
      <c r="AW3" s="588" t="s">
        <v>1071</v>
      </c>
      <c r="AX3" s="589" t="s">
        <v>1072</v>
      </c>
      <c r="AY3" s="589"/>
    </row>
    <row r="4" spans="1:52" ht="17.25" customHeight="1">
      <c r="A4" s="436"/>
      <c r="B4" s="436"/>
      <c r="C4" s="438">
        <f>SUM(C5:C47)</f>
        <v>2895</v>
      </c>
      <c r="D4" s="403"/>
      <c r="E4" s="437"/>
      <c r="F4" s="438">
        <f>SUM(F5:F47)</f>
        <v>2895</v>
      </c>
      <c r="G4" s="437"/>
      <c r="H4" s="438">
        <f>SUM(H5:H47)</f>
        <v>2895</v>
      </c>
      <c r="I4" s="437"/>
      <c r="J4" s="438">
        <f>SUM(J5:J47)</f>
        <v>2895</v>
      </c>
      <c r="K4" s="437"/>
      <c r="L4" s="438">
        <f>SUM(L5:L47)</f>
        <v>2895</v>
      </c>
      <c r="M4" s="437"/>
      <c r="N4" s="438">
        <f>SUM(N5:N47)</f>
        <v>2895</v>
      </c>
      <c r="O4" s="437"/>
      <c r="P4" s="438">
        <f>SUM(P5:P47)</f>
        <v>2895</v>
      </c>
      <c r="Q4" s="437"/>
      <c r="R4" s="438">
        <f>SUM(R5:R47)</f>
        <v>0</v>
      </c>
      <c r="S4" s="437"/>
      <c r="T4" s="438">
        <f>SUM(T5:T47)</f>
        <v>395</v>
      </c>
      <c r="V4" s="572"/>
      <c r="W4" s="574">
        <f>SUM(W5:W23)</f>
        <v>2895</v>
      </c>
      <c r="X4" s="575"/>
      <c r="Y4" s="574">
        <f>SUM(Y5:Y23)</f>
        <v>2895</v>
      </c>
      <c r="Z4" s="586"/>
      <c r="AA4" s="574">
        <f>SUM(AA5:AA23)</f>
        <v>2895</v>
      </c>
      <c r="AB4" s="586"/>
      <c r="AC4" s="574">
        <f>SUM(AC5:AC23)</f>
        <v>2895</v>
      </c>
      <c r="AD4" s="1008"/>
      <c r="AE4" s="574">
        <f>SUM(AE5:AE23)</f>
        <v>2895</v>
      </c>
      <c r="AF4" s="575"/>
      <c r="AG4" s="574">
        <f>SUM(AG5:AG23)</f>
        <v>2895</v>
      </c>
      <c r="AH4" s="575"/>
      <c r="AI4" s="574">
        <f>SUM(AI5:AI23)</f>
        <v>0</v>
      </c>
      <c r="AJ4" s="575"/>
      <c r="AK4" s="574">
        <f>SUM(AK5:AK23)</f>
        <v>395</v>
      </c>
      <c r="AL4" s="208"/>
      <c r="AN4" s="572"/>
      <c r="AO4" s="573"/>
      <c r="AP4" s="574"/>
      <c r="AQ4" s="574">
        <v>0</v>
      </c>
      <c r="AR4" s="586"/>
      <c r="AS4" s="576"/>
      <c r="AT4" s="577"/>
      <c r="AU4" s="577"/>
      <c r="AV4" s="1094"/>
      <c r="AW4" s="577"/>
      <c r="AX4" s="581"/>
      <c r="AY4" s="581"/>
    </row>
    <row r="5" spans="1:52" ht="22.5" customHeight="1">
      <c r="A5" s="436" t="str">
        <f>IF(B5="","",(VLOOKUP(B:B,'0.39'!B:F,5,FALSE)))</f>
        <v>HDG  Bolt and Nuts Set</v>
      </c>
      <c r="B5" s="436" t="str">
        <f>IF(BASIC_TOOL!$F$23=1,BoltnNuts!E5,IF(BASIC_TOOL!$F$23=2,BoltnNuts!G5,IF(BASIC_TOOL!$F$23=3,BoltnNuts!I5,IF(BASIC_TOOL!$F$23=4,BoltnNuts!K5,IF(BASIC_TOOL!$F$23=5,BoltnNuts!M5,IF(BASIC_TOOL!$F$23=6,BoltnNuts!O5,IF(BASIC_TOOL!$F$23=7,BoltnNuts!Q5,IF(BASIC_TOOL!$F$23=8,BoltnNuts!S5))))))))</f>
        <v>WBT-1440Z</v>
      </c>
      <c r="C5" s="436">
        <f>IF(BASIC_TOOL!$F$23=1,BoltnNuts!F5,IF(BASIC_TOOL!$F$23=2,BoltnNuts!H5,IF(BASIC_TOOL!$F$23=3,BoltnNuts!J5,IF(BASIC_TOOL!$F$23=4,BoltnNuts!L5,IF(BASIC_TOOL!$F$23=5,BoltnNuts!N5,IF(BASIC_TOOL!$F$23=6,BoltnNuts!P5,IF(BASIC_TOOL!$F$23=7,BoltnNuts!R5,IF(BASIC_TOOL!$F$23=8,BoltnNuts!T5))))))))</f>
        <v>223</v>
      </c>
      <c r="D5" s="403"/>
      <c r="E5" s="439" t="str">
        <f t="array" ref="E5">IF( ISERROR(INDEX($V$5:$V$37,SMALL(IF($W$5:$W$35&lt;&gt;0,ROW($W$5:$W$35)-4),ROW(E1)))),"",INDEX($V$5:$V$37,SMALL(IF($W$5:$W$35&lt;&gt;0,ROW($W$5:$W$35)-4),ROW(E1))))</f>
        <v>WBT-1440Z</v>
      </c>
      <c r="F5" s="440">
        <f t="array" ref="F5">IF(ISERROR(INDEX($W$5:$W$35,SMALL(IF($W$5:$W$35&lt;&gt;0,ROW($W$5:$W$35)-4),ROW(F1)))),"",INDEX($W$5:$W$35,SMALL(IF($W$5:$W$35&lt;&gt;0,ROW($W$5:$W$35)-4),ROW(F1))))</f>
        <v>223</v>
      </c>
      <c r="G5" s="439" t="str">
        <f t="array" ref="G5">IF( ISERROR(INDEX($X$5:$X$35,SMALL(IF($Y$5:$Y$35&lt;&gt;0,ROW($Y$5:$Y$35)-4),ROW(G1)))),"",INDEX($X$5:$X$35,SMALL(IF($Y$5:$Y$35&lt;&gt;0,ROW($Y$5:$Y$35)-4),ROW(G1))))</f>
        <v>WBT-1440Z</v>
      </c>
      <c r="H5" s="440">
        <f t="array" ref="H5">IF(ISERROR(INDEX($Y$5:$Y$35,SMALL(IF($Y$5:$Y$35&lt;&gt;0,ROW($Y$5:$Y$35)-4),ROW(H1)))),"",INDEX($Y$5:$Y$35,SMALL(IF($Y$5:$Y$35&lt;&gt;0,ROW($Y$5:$Y$35)-4),ROW(H1))))</f>
        <v>223</v>
      </c>
      <c r="I5" s="439" t="str">
        <f t="array" ref="I5">IF( ISERROR(INDEX($Z$5:$Z$37,SMALL(IF($AA$5:$AA$35&lt;&gt;0,ROW($AA$5:$AA$35)-4),ROW(I1)))),"",INDEX($Z$5:$Z$37,SMALL(IF($AA$5:$AA$35&lt;&gt;0,ROW($Z$5:$Z$35)-4),ROW(I1))))</f>
        <v>WBT-1440Z</v>
      </c>
      <c r="J5" s="440">
        <f t="array" ref="J5">IF(ISERROR(INDEX($AA$5:$AA$35,SMALL(IF($AA$5:$AA$35&lt;&gt;0,ROW($AA$5:$AA$35)-4),ROW(J1)))),"",INDEX($AA$5:$AA$35,SMALL(IF($AA$5:$AA$35&lt;&gt;0,ROW($AA$5:$AA$35)-4),ROW(J1))))</f>
        <v>223</v>
      </c>
      <c r="K5" s="439" t="str">
        <f t="array" ref="K5">IF( ISERROR(INDEX($AB$5:$AB$37,SMALL(IF($AC$5:$AC$35&lt;&gt;0,ROW($AC$5:$AC$35)-4),ROW(K1)))),"",INDEX($AB$5:$AB$37,SMALL(IF($AC$5:$AC$35&lt;&gt;0,ROW($AC$5:$AC$35)-4),ROW(K1))))</f>
        <v>WBT-1440Z</v>
      </c>
      <c r="L5" s="440">
        <f t="array" ref="L5">IF(ISERROR(INDEX($AC$5:$AC$35,SMALL(IF($AC$5:$AC$35&lt;&gt;0,ROW($AC$5:$AC$35)-4),ROW(L1)))),"",INDEX($AC$5:$AC$35,SMALL(IF($AC$5:$AC$35&lt;&gt;0,ROW($AC$5:$AC$35)-4),ROW(L1))))</f>
        <v>223</v>
      </c>
      <c r="M5" s="439" t="str">
        <f t="array" ref="M5">IF( ISERROR(INDEX($AD$5:$AD$37,SMALL(IF($AE$5:$AE$35&lt;&gt;0,ROW($AE$5:$AE$35)-4),ROW(M1)))),"",INDEX($AD$5:$AD$37,SMALL(IF($AE$5:$AE$35&lt;&gt;0,ROW($AD$5:$AD$35)-4),ROW(M1))))</f>
        <v>WBT-1440Z</v>
      </c>
      <c r="N5" s="440">
        <f t="array" ref="N5">IF(ISERROR(INDEX($AE$5:$AE$35,SMALL(IF($AE$5:$AE$35&lt;&gt;0,ROW($AE$5:$AE$35)-4),ROW(N1)))),"",INDEX($AE$5:$AE$35,SMALL(IF($AE$5:$AE$35&lt;&gt;0,ROW($AE$5:$AE$35)-4),ROW(N1))))</f>
        <v>223</v>
      </c>
      <c r="O5" s="439" t="str">
        <f t="array" ref="O5">IF( ISERROR(INDEX($AF$5:$AF$37,SMALL(IF($AG$5:$AG$35&lt;&gt;0,ROW($AG$5:$AG$35)-4),ROW(O1)))),"",INDEX($AF$5:$AF$37,SMALL(IF($AG$5:$AG$35&lt;&gt;0,ROW($AG$5:$AG$35)-4),ROW(O1))))</f>
        <v>WBT-1440Z</v>
      </c>
      <c r="P5" s="440">
        <f t="array" ref="P5">IF(ISERROR(INDEX($AG$5:$AG$35,SMALL(IF($AG$5:$AG$35&lt;&gt;0,ROW($AG$5:$AG$35)-4),ROW(P1)))),"",INDEX($AG$5:$AG$35,SMALL(IF($AG$5:$AG$35&lt;&gt;0,ROW($AG$5:$AG$35)-4),ROW(P1))))</f>
        <v>223</v>
      </c>
      <c r="Q5" s="439" t="str">
        <f t="array" ref="Q5">IF( ISERROR(INDEX($AH$5:$AH$37,SMALL(IF($AI$5:$AI$35&lt;&gt;0,ROW($AI$5:$AI$35)-4),ROW(Q1)))),"",INDEX($AH$5:$AH$37,SMALL(IF($AI$5:$AI$35&lt;&gt;0,ROW($AI$5:$AI$35)-4),ROW(Q1))))</f>
        <v/>
      </c>
      <c r="R5" s="440" t="str">
        <f t="array" ref="R5">IF(ISERROR(INDEX($AI$5:$AI$35,SMALL(IF($AI$5:$AI$35&lt;&gt;0,ROW($AI$5:$AI$35)-4),ROW(R1)))),"",INDEX($AI$5:$AI$35,SMALL(IF($AI$5:$AI$35&lt;&gt;0,ROW($AI$5:$AI$35)-4),ROW(R1))))</f>
        <v/>
      </c>
      <c r="S5" s="439" t="str">
        <f t="array" ref="S5">IF( ISERROR(INDEX($AJ$5:$AJ$35,SMALL(IF($AK$5:$AK$35&lt;&gt;0,ROW($AJ$5:$AJ$35)-4),ROW(S1)))),"",INDEX($AJ$5:$AJ$35,SMALL(IF($AK$5:$AK$35&lt;&gt;0,ROW($AK$5:$AK$35)-4),ROW(S1))))</f>
        <v>WBT-1440Z</v>
      </c>
      <c r="T5" s="440">
        <f t="array" ref="T5">IF(ISERROR(INDEX($AK$5:$AK$35,SMALL(IF($AK$5:$AK$35&lt;&gt;0,ROW($AK$5:$AK$35)-4),ROW(T1)))),"",INDEX($AK$5:$AK$35,SMALL(IF($AK$5:$AK$35&lt;&gt;0,ROW($AK$5:$AK$35)-4),ROW(T1))))</f>
        <v>223</v>
      </c>
      <c r="V5" s="575" t="s">
        <v>69</v>
      </c>
      <c r="W5" s="575">
        <f t="shared" ref="W5:W14" si="0">SUMIF($AS$5:$AS$54,V5,$AR$5:$AR$54)</f>
        <v>223</v>
      </c>
      <c r="X5" s="575" t="s">
        <v>69</v>
      </c>
      <c r="Y5" s="575">
        <f>SUMIF($AT$5:$AT$53,X5,$AR$5:$AR$53)</f>
        <v>223</v>
      </c>
      <c r="Z5" s="575" t="s">
        <v>69</v>
      </c>
      <c r="AA5" s="572">
        <f t="shared" ref="AA5:AA17" si="1">SUMIF($AU$5:$AU$54,Z5,$AR$5:$AR$54)</f>
        <v>223</v>
      </c>
      <c r="AB5" s="575" t="s">
        <v>69</v>
      </c>
      <c r="AC5" s="575">
        <f t="shared" ref="AC5:AC16" si="2">SUMIF($AV$5:$AV$54,AB5,$AR$5:$AR$54)</f>
        <v>223</v>
      </c>
      <c r="AD5" s="1008" t="s">
        <v>69</v>
      </c>
      <c r="AE5" s="575">
        <f t="shared" ref="AE5:AE11" si="3">SUMIF($AW$5:$AW$54,AD5,$AR$5:$AR$54)</f>
        <v>223</v>
      </c>
      <c r="AF5" s="1008" t="s">
        <v>69</v>
      </c>
      <c r="AG5" s="575">
        <f t="shared" ref="AG5:AG11" si="4">SUMIF($AX$5:$AX$54,AF5,$AR$5:$AR$54)</f>
        <v>223</v>
      </c>
      <c r="AH5" s="1008"/>
      <c r="AI5" s="575">
        <f t="shared" ref="AI5:AI11" si="5">SUMIF($AX$5:$AX$54,AH5,$AR$5:$AR$54)</f>
        <v>0</v>
      </c>
      <c r="AJ5" s="1008" t="s">
        <v>69</v>
      </c>
      <c r="AK5" s="575">
        <f>SUMIF($AX$5:$AX$54,AJ5,$AR$5:$AR$54)</f>
        <v>223</v>
      </c>
      <c r="AL5" s="207"/>
      <c r="AM5" s="201">
        <v>4</v>
      </c>
      <c r="AN5" s="572" t="s">
        <v>66</v>
      </c>
      <c r="AO5" s="578" t="s">
        <v>1088</v>
      </c>
      <c r="AP5" s="572">
        <f>(4*W_C+2*W_F)*(L1_C+L2_C+L3_C+L4_C+L1_F+L2_F+L3_F+L4_F-N_PA-1)</f>
        <v>160</v>
      </c>
      <c r="AQ5" s="574">
        <f>AP5</f>
        <v>160</v>
      </c>
      <c r="AR5" s="584">
        <f>ROUNDUP(AQ5*$AR$2,0)</f>
        <v>160</v>
      </c>
      <c r="AS5" s="575" t="s">
        <v>68</v>
      </c>
      <c r="AT5" s="572" t="s">
        <v>65</v>
      </c>
      <c r="AU5" s="572" t="s">
        <v>66</v>
      </c>
      <c r="AV5" s="950" t="s">
        <v>66</v>
      </c>
      <c r="AW5" s="572" t="s">
        <v>65</v>
      </c>
      <c r="AX5" s="581" t="s">
        <v>66</v>
      </c>
      <c r="AY5" s="581"/>
    </row>
    <row r="6" spans="1:52" ht="22.5" customHeight="1">
      <c r="A6" s="436" t="str">
        <f>IF(B6="","",(VLOOKUP(B:B,'0.39'!B:F,5,FALSE)))</f>
        <v>M10x35mm(HDG)</v>
      </c>
      <c r="B6" s="436" t="str">
        <f>IF(BASIC_TOOL!$F$23=1,BoltnNuts!E6,IF(BASIC_TOOL!$F$23=2,BoltnNuts!G6,IF(BASIC_TOOL!$F$23=3,BoltnNuts!I6,IF(BASIC_TOOL!$F$23=4,BoltnNuts!K6,IF(BASIC_TOOL!$F$23=5,BoltnNuts!M6,IF(BASIC_TOOL!$F$23=6,BoltnNuts!O6,IF(BASIC_TOOL!$F$23=7,BoltnNuts!Q6,IF(BASIC_TOOL!$F$23=8,BoltnNuts!S6))))))))</f>
        <v>WBT-1035Z</v>
      </c>
      <c r="C6" s="436">
        <f>IF(BASIC_TOOL!$F$23=1,BoltnNuts!F6,IF(BASIC_TOOL!$F$23=2,BoltnNuts!H6,IF(BASIC_TOOL!$F$23=3,BoltnNuts!J6,IF(BASIC_TOOL!$F$23=4,BoltnNuts!L6,IF(BASIC_TOOL!$F$23=5,BoltnNuts!N6,IF(BASIC_TOOL!$F$23=6,BoltnNuts!P6,IF(BASIC_TOOL!$F$23=7,BoltnNuts!R6,IF(BASIC_TOOL!$F$23=8,BoltnNuts!T6))))))))</f>
        <v>196</v>
      </c>
      <c r="D6" s="403"/>
      <c r="E6" s="439" t="str">
        <f t="array" ref="E6">IF( ISERROR(INDEX($V$5:$V$37,SMALL(IF($W$5:$W$35&lt;&gt;0,ROW($W$5:$W$35)-4),ROW(E2)))),"",INDEX($V$5:$V$37,SMALL(IF($W$5:$W$35&lt;&gt;0,ROW($W$5:$W$35)-4),ROW(E2))))</f>
        <v>WBT-1035Z</v>
      </c>
      <c r="F6" s="440">
        <f t="array" ref="F6">IF(ISERROR(INDEX($W$5:$W$35,SMALL(IF($W$5:$W$35&lt;&gt;0,ROW($W$5:$W$35)-4),ROW(F2)))),"",INDEX($W$5:$W$35,SMALL(IF($W$5:$W$35&lt;&gt;0,ROW($W$5:$W$35)-4),ROW(F2))))</f>
        <v>536</v>
      </c>
      <c r="G6" s="439" t="str">
        <f t="array" ref="G6">IF( ISERROR(INDEX($X$5:$X$35,SMALL(IF($Y$5:$Y$35&lt;&gt;0,ROW($Y$5:$Y$35)-4),ROW(G2)))),"",INDEX($X$5:$X$35,SMALL(IF($Y$5:$Y$35&lt;&gt;0,ROW($Y$5:$Y$35)-4),ROW(G2))))</f>
        <v>WBT-1035Z</v>
      </c>
      <c r="H6" s="440">
        <f t="array" ref="H6">IF(ISERROR(INDEX($Y$5:$Y$35,SMALL(IF($Y$5:$Y$35&lt;&gt;0,ROW($Y$5:$Y$35)-4),ROW(H2)))),"",INDEX($Y$5:$Y$35,SMALL(IF($Y$5:$Y$35&lt;&gt;0,ROW($Y$5:$Y$35)-4),ROW(H2))))</f>
        <v>196</v>
      </c>
      <c r="I6" s="439" t="str">
        <f t="array" ref="I6">IF( ISERROR(INDEX($Z$5:$Z$37,SMALL(IF($AA$5:$AA$35&lt;&gt;0,ROW($AA$5:$AA$35)-4),ROW(I2)))),"",INDEX($Z$5:$Z$37,SMALL(IF($AA$5:$AA$35&lt;&gt;0,ROW($Z$5:$Z$35)-4),ROW(I2))))</f>
        <v>WBT-1035SA2</v>
      </c>
      <c r="J6" s="440">
        <f t="array" ref="J6">IF(ISERROR(INDEX($AA$5:$AA$35,SMALL(IF($AA$5:$AA$35&lt;&gt;0,ROW($AA$5:$AA$35)-4),ROW(J2)))),"",INDEX($AA$5:$AA$35,SMALL(IF($AA$5:$AA$35&lt;&gt;0,ROW($AA$5:$AA$35)-4),ROW(J2))))</f>
        <v>196</v>
      </c>
      <c r="K6" s="439" t="str">
        <f t="array" ref="K6">IF( ISERROR(INDEX($AB$5:$AB$37,SMALL(IF($AC$5:$AC$35&lt;&gt;0,ROW($AC$5:$AC$35)-4),ROW(K2)))),"",INDEX($AB$5:$AB$37,SMALL(IF($AC$5:$AC$35&lt;&gt;0,ROW($AC$5:$AC$35)-4),ROW(K2))))</f>
        <v>WBT-1035Z</v>
      </c>
      <c r="L6" s="440">
        <f t="array" ref="L6">IF(ISERROR(INDEX($AC$5:$AC$35,SMALL(IF($AC$5:$AC$35&lt;&gt;0,ROW($AC$5:$AC$35)-4),ROW(L2)))),"",INDEX($AC$5:$AC$35,SMALL(IF($AC$5:$AC$35&lt;&gt;0,ROW($AC$5:$AC$35)-4),ROW(L2))))</f>
        <v>196</v>
      </c>
      <c r="M6" s="439" t="str">
        <f t="array" ref="M6">IF( ISERROR(INDEX($AD$5:$AD$37,SMALL(IF($AE$5:$AE$35&lt;&gt;0,ROW($AE$5:$AE$35)-4),ROW(M2)))),"",INDEX($AD$5:$AD$37,SMALL(IF($AE$5:$AE$35&lt;&gt;0,ROW($AD$5:$AD$35)-4),ROW(M2))))</f>
        <v>WBT-1035SA2</v>
      </c>
      <c r="N6" s="440">
        <f t="array" ref="N6">IF(ISERROR(INDEX($AE$5:$AE$35,SMALL(IF($AE$5:$AE$35&lt;&gt;0,ROW($AE$5:$AE$35)-4),ROW(N2)))),"",INDEX($AE$5:$AE$35,SMALL(IF($AE$5:$AE$35&lt;&gt;0,ROW($AE$5:$AE$35)-4),ROW(N2))))</f>
        <v>536</v>
      </c>
      <c r="O6" s="439" t="str">
        <f t="array" ref="O6">IF( ISERROR(INDEX($AF$5:$AF$37,SMALL(IF($AG$5:$AG$35&lt;&gt;0,ROW($AG$5:$AG$35)-4),ROW(O2)))),"",INDEX($AF$5:$AF$37,SMALL(IF($AG$5:$AG$35&lt;&gt;0,ROW($AG$5:$AG$35)-4),ROW(O2))))</f>
        <v>WBT-1035SA4</v>
      </c>
      <c r="P6" s="440">
        <f t="array" ref="P6">IF(ISERROR(INDEX($AG$5:$AG$35,SMALL(IF($AG$5:$AG$35&lt;&gt;0,ROW($AG$5:$AG$35)-4),ROW(P2)))),"",INDEX($AG$5:$AG$35,SMALL(IF($AG$5:$AG$35&lt;&gt;0,ROW($AG$5:$AG$35)-4),ROW(P2))))</f>
        <v>536</v>
      </c>
      <c r="Q6" s="439" t="str">
        <f t="array" ref="Q6">IF( ISERROR(INDEX($AH$5:$AH$37,SMALL(IF($AI$5:$AI$35&lt;&gt;0,ROW($AI$5:$AI$35)-4),ROW(Q2)))),"",INDEX($AH$5:$AH$37,SMALL(IF($AI$5:$AI$35&lt;&gt;0,ROW($AI$5:$AI$35)-4),ROW(Q2))))</f>
        <v/>
      </c>
      <c r="R6" s="440" t="str">
        <f t="array" ref="R6">IF(ISERROR(INDEX($AI$5:$AI$35,SMALL(IF($AI$5:$AI$35&lt;&gt;0,ROW($AI$5:$AI$35)-4),ROW(R2)))),"",INDEX($AI$5:$AI$35,SMALL(IF($AI$5:$AI$35&lt;&gt;0,ROW($AI$5:$AI$35)-4),ROW(R2))))</f>
        <v/>
      </c>
      <c r="S6" s="439" t="str">
        <f t="array" ref="S6">IF( ISERROR(INDEX($AJ$5:$AJ$35,SMALL(IF($AK$5:$AK$35&lt;&gt;0,ROW($AJ$5:$AJ$35)-4),ROW(S2)))),"",INDEX($AJ$5:$AJ$35,SMALL(IF($AK$5:$AK$35&lt;&gt;0,ROW($AK$5:$AK$35)-4),ROW(S2))))</f>
        <v>WBT-14120RSA4</v>
      </c>
      <c r="T6" s="440">
        <f t="array" ref="T6">IF(ISERROR(INDEX($AK$5:$AK$35,SMALL(IF($AK$5:$AK$35&lt;&gt;0,ROW($AK$5:$AK$35)-4),ROW(T2)))),"",INDEX($AK$5:$AK$35,SMALL(IF($AK$5:$AK$35&lt;&gt;0,ROW($AK$5:$AK$35)-4),ROW(T2))))</f>
        <v>172</v>
      </c>
      <c r="V6" s="575" t="s">
        <v>68</v>
      </c>
      <c r="W6" s="575">
        <f t="shared" si="0"/>
        <v>536</v>
      </c>
      <c r="X6" s="575" t="s">
        <v>68</v>
      </c>
      <c r="Y6" s="575">
        <f>SUMIF($AT$5:$AT$53,X6,$AR$5:$AR$53)</f>
        <v>196</v>
      </c>
      <c r="Z6" s="575" t="s">
        <v>65</v>
      </c>
      <c r="AA6" s="572">
        <f t="shared" si="1"/>
        <v>196</v>
      </c>
      <c r="AB6" s="575" t="s">
        <v>68</v>
      </c>
      <c r="AC6" s="575">
        <f t="shared" si="2"/>
        <v>196</v>
      </c>
      <c r="AD6" s="1008" t="s">
        <v>65</v>
      </c>
      <c r="AE6" s="575">
        <f t="shared" si="3"/>
        <v>536</v>
      </c>
      <c r="AF6" s="1008" t="s">
        <v>66</v>
      </c>
      <c r="AG6" s="575">
        <f t="shared" si="4"/>
        <v>536</v>
      </c>
      <c r="AH6" s="1008"/>
      <c r="AI6" s="575">
        <f t="shared" si="5"/>
        <v>0</v>
      </c>
      <c r="AJ6" s="575" t="s">
        <v>67</v>
      </c>
      <c r="AK6" s="575">
        <f>SUMIF($AX$5:$AX$54,AJ6,$AR$5:$AR$54)</f>
        <v>0</v>
      </c>
      <c r="AL6" s="207"/>
      <c r="AM6" s="201">
        <v>5</v>
      </c>
      <c r="AN6" s="572" t="s">
        <v>66</v>
      </c>
      <c r="AO6" s="578" t="s">
        <v>1089</v>
      </c>
      <c r="AP6" s="572">
        <f>(4*(L1_C+L2_C+L3_C+L4_C)+2*(L1_F+L2_F+L3_F+L4_F))*CEILING(W_O-1,1)</f>
        <v>180</v>
      </c>
      <c r="AQ6" s="574">
        <f t="shared" ref="AQ6:AQ38" si="6">AP6</f>
        <v>180</v>
      </c>
      <c r="AR6" s="584">
        <f>ROUNDUP(AQ6*$AR$2,0)</f>
        <v>180</v>
      </c>
      <c r="AS6" s="575" t="s">
        <v>68</v>
      </c>
      <c r="AT6" s="572" t="s">
        <v>65</v>
      </c>
      <c r="AU6" s="572" t="s">
        <v>66</v>
      </c>
      <c r="AV6" s="950" t="s">
        <v>66</v>
      </c>
      <c r="AW6" s="572" t="s">
        <v>65</v>
      </c>
      <c r="AX6" s="581" t="s">
        <v>66</v>
      </c>
      <c r="AY6" s="581"/>
    </row>
    <row r="7" spans="1:52" ht="22.5" customHeight="1">
      <c r="A7" s="436" t="str">
        <f>IF(B7="","",(VLOOKUP(B:B,'0.39'!B:F,5,FALSE)))</f>
        <v>M10x50mm(HDG)</v>
      </c>
      <c r="B7" s="436" t="str">
        <f>IF(BASIC_TOOL!$F$23=1,BoltnNuts!E7,IF(BASIC_TOOL!$F$23=2,BoltnNuts!G7,IF(BASIC_TOOL!$F$23=3,BoltnNuts!I7,IF(BASIC_TOOL!$F$23=4,BoltnNuts!K7,IF(BASIC_TOOL!$F$23=5,BoltnNuts!M7,IF(BASIC_TOOL!$F$23=6,BoltnNuts!O7,IF(BASIC_TOOL!$F$23=7,BoltnNuts!Q7,IF(BASIC_TOOL!$F$23=8,BoltnNuts!S7))))))))</f>
        <v>WBT-1050Z</v>
      </c>
      <c r="C7" s="436">
        <f>IF(BASIC_TOOL!$F$23=1,BoltnNuts!F7,IF(BASIC_TOOL!$F$23=2,BoltnNuts!H7,IF(BASIC_TOOL!$F$23=3,BoltnNuts!J7,IF(BASIC_TOOL!$F$23=4,BoltnNuts!L7,IF(BASIC_TOOL!$F$23=5,BoltnNuts!N7,IF(BASIC_TOOL!$F$23=6,BoltnNuts!P7,IF(BASIC_TOOL!$F$23=7,BoltnNuts!R7,IF(BASIC_TOOL!$F$23=8,BoltnNuts!T7))))))))</f>
        <v>1784</v>
      </c>
      <c r="D7" s="403"/>
      <c r="E7" s="439" t="str">
        <f t="array" ref="E7">IF( ISERROR(INDEX($V$5:$V$37,SMALL(IF($W$5:$W$35&lt;&gt;0,ROW($W$5:$W$35)-4),ROW(E3)))),"",INDEX($V$5:$V$37,SMALL(IF($W$5:$W$35&lt;&gt;0,ROW($W$5:$W$35)-4),ROW(E3))))</f>
        <v>WBT-1050Z</v>
      </c>
      <c r="F7" s="440">
        <f t="array" ref="F7">IF(ISERROR(INDEX($W$5:$W$35,SMALL(IF($W$5:$W$35&lt;&gt;0,ROW($W$5:$W$35)-4),ROW(F3)))),"",INDEX($W$5:$W$35,SMALL(IF($W$5:$W$35&lt;&gt;0,ROW($W$5:$W$35)-4),ROW(F3))))</f>
        <v>1904</v>
      </c>
      <c r="G7" s="439" t="str">
        <f t="array" ref="G7">IF( ISERROR(INDEX($X$5:$X$35,SMALL(IF($Y$5:$Y$35&lt;&gt;0,ROW($Y$5:$Y$35)-4),ROW(G3)))),"",INDEX($X$5:$X$35,SMALL(IF($Y$5:$Y$35&lt;&gt;0,ROW($Y$5:$Y$35)-4),ROW(G3))))</f>
        <v>WBT-1050Z</v>
      </c>
      <c r="H7" s="440">
        <f t="array" ref="H7">IF(ISERROR(INDEX($Y$5:$Y$35,SMALL(IF($Y$5:$Y$35&lt;&gt;0,ROW($Y$5:$Y$35)-4),ROW(H3)))),"",INDEX($Y$5:$Y$35,SMALL(IF($Y$5:$Y$35&lt;&gt;0,ROW($Y$5:$Y$35)-4),ROW(H3))))</f>
        <v>1784</v>
      </c>
      <c r="I7" s="439" t="str">
        <f t="array" ref="I7">IF( ISERROR(INDEX($Z$5:$Z$37,SMALL(IF($AA$5:$AA$35&lt;&gt;0,ROW($AA$5:$AA$35)-4),ROW(I3)))),"",INDEX($Z$5:$Z$37,SMALL(IF($AA$5:$AA$35&lt;&gt;0,ROW($Z$5:$Z$35)-4),ROW(I3))))</f>
        <v>WBT-1035SA4</v>
      </c>
      <c r="J7" s="440">
        <f t="array" ref="J7">IF(ISERROR(INDEX($AA$5:$AA$35,SMALL(IF($AA$5:$AA$35&lt;&gt;0,ROW($AA$5:$AA$35)-4),ROW(J3)))),"",INDEX($AA$5:$AA$35,SMALL(IF($AA$5:$AA$35&lt;&gt;0,ROW($AA$5:$AA$35)-4),ROW(J3))))</f>
        <v>340</v>
      </c>
      <c r="K7" s="439" t="str">
        <f t="array" ref="K7">IF( ISERROR(INDEX($AB$5:$AB$37,SMALL(IF($AC$5:$AC$35&lt;&gt;0,ROW($AC$5:$AC$35)-4),ROW(K3)))),"",INDEX($AB$5:$AB$37,SMALL(IF($AC$5:$AC$35&lt;&gt;0,ROW($AC$5:$AC$35)-4),ROW(K3))))</f>
        <v>WBT-1050Z</v>
      </c>
      <c r="L7" s="440">
        <f t="array" ref="L7">IF(ISERROR(INDEX($AC$5:$AC$35,SMALL(IF($AC$5:$AC$35&lt;&gt;0,ROW($AC$5:$AC$35)-4),ROW(L3)))),"",INDEX($AC$5:$AC$35,SMALL(IF($AC$5:$AC$35&lt;&gt;0,ROW($AC$5:$AC$35)-4),ROW(L3))))</f>
        <v>1784</v>
      </c>
      <c r="M7" s="439" t="str">
        <f t="array" ref="M7">IF( ISERROR(INDEX($AD$5:$AD$37,SMALL(IF($AE$5:$AE$35&lt;&gt;0,ROW($AE$5:$AE$35)-4),ROW(M3)))),"",INDEX($AD$5:$AD$37,SMALL(IF($AE$5:$AE$35&lt;&gt;0,ROW($AD$5:$AD$35)-4),ROW(M3))))</f>
        <v>WBT-1050SA2</v>
      </c>
      <c r="N7" s="440">
        <f t="array" ref="N7">IF(ISERROR(INDEX($AE$5:$AE$35,SMALL(IF($AE$5:$AE$35&lt;&gt;0,ROW($AE$5:$AE$35)-4),ROW(N3)))),"",INDEX($AE$5:$AE$35,SMALL(IF($AE$5:$AE$35&lt;&gt;0,ROW($AE$5:$AE$35)-4),ROW(N3))))</f>
        <v>1904</v>
      </c>
      <c r="O7" s="439" t="str">
        <f t="array" ref="O7">IF( ISERROR(INDEX($AF$5:$AF$37,SMALL(IF($AG$5:$AG$35&lt;&gt;0,ROW($AG$5:$AG$35)-4),ROW(O3)))),"",INDEX($AF$5:$AF$37,SMALL(IF($AG$5:$AG$35&lt;&gt;0,ROW($AG$5:$AG$35)-4),ROW(O3))))</f>
        <v>WBT-1050SA4</v>
      </c>
      <c r="P7" s="440">
        <f t="array" ref="P7">IF(ISERROR(INDEX($AG$5:$AG$35,SMALL(IF($AG$5:$AG$35&lt;&gt;0,ROW($AG$5:$AG$35)-4),ROW(P3)))),"",INDEX($AG$5:$AG$35,SMALL(IF($AG$5:$AG$35&lt;&gt;0,ROW($AG$5:$AG$35)-4),ROW(P3))))</f>
        <v>1904</v>
      </c>
      <c r="Q7" s="439" t="str">
        <f t="array" ref="Q7">IF( ISERROR(INDEX($AH$5:$AH$37,SMALL(IF($AI$5:$AI$35&lt;&gt;0,ROW($AI$5:$AI$35)-4),ROW(Q3)))),"",INDEX($AH$5:$AH$37,SMALL(IF($AI$5:$AI$35&lt;&gt;0,ROW($AI$5:$AI$35)-4),ROW(Q3))))</f>
        <v/>
      </c>
      <c r="R7" s="440" t="str">
        <f t="array" ref="R7">IF(ISERROR(INDEX($AI$5:$AI$35,SMALL(IF($AI$5:$AI$35&lt;&gt;0,ROW($AI$5:$AI$35)-4),ROW(R3)))),"",INDEX($AI$5:$AI$35,SMALL(IF($AI$5:$AI$35&lt;&gt;0,ROW($AI$5:$AI$35)-4),ROW(R3))))</f>
        <v/>
      </c>
      <c r="S7" s="439" t="str">
        <f t="array" ref="S7">IF( ISERROR(INDEX($AJ$5:$AJ$35,SMALL(IF($AK$5:$AK$35&lt;&gt;0,ROW($AJ$5:$AJ$35)-4),ROW(S3)))),"",INDEX($AJ$5:$AJ$35,SMALL(IF($AK$5:$AK$35&lt;&gt;0,ROW($AK$5:$AK$35)-4),ROW(S3))))</f>
        <v/>
      </c>
      <c r="T7" s="440" t="str">
        <f t="array" ref="T7">IF(ISERROR(INDEX($AK$5:$AK$35,SMALL(IF($AK$5:$AK$35&lt;&gt;0,ROW($AK$5:$AK$35)-4),ROW(T3)))),"",INDEX($AK$5:$AK$35,SMALL(IF($AK$5:$AK$35&lt;&gt;0,ROW($AK$5:$AK$35)-4),ROW(T3))))</f>
        <v/>
      </c>
      <c r="V7" s="575" t="s">
        <v>1090</v>
      </c>
      <c r="W7" s="575">
        <f t="shared" si="0"/>
        <v>1904</v>
      </c>
      <c r="X7" s="575" t="s">
        <v>1090</v>
      </c>
      <c r="Y7" s="575">
        <f>SUMIF($AT$5:$AT$53,X7,$AR$5:$AR$53)</f>
        <v>1784</v>
      </c>
      <c r="Z7" s="575" t="s">
        <v>66</v>
      </c>
      <c r="AA7" s="572">
        <f t="shared" si="1"/>
        <v>340</v>
      </c>
      <c r="AB7" s="575" t="s">
        <v>1090</v>
      </c>
      <c r="AC7" s="575">
        <f t="shared" si="2"/>
        <v>1784</v>
      </c>
      <c r="AD7" s="1008" t="s">
        <v>1091</v>
      </c>
      <c r="AE7" s="575">
        <f t="shared" si="3"/>
        <v>1904</v>
      </c>
      <c r="AF7" s="1008" t="s">
        <v>1092</v>
      </c>
      <c r="AG7" s="575">
        <f t="shared" si="4"/>
        <v>1904</v>
      </c>
      <c r="AH7" s="1008"/>
      <c r="AI7" s="575">
        <f t="shared" si="5"/>
        <v>0</v>
      </c>
      <c r="AJ7" s="575" t="s">
        <v>79</v>
      </c>
      <c r="AK7" s="575">
        <f>SUMIF($AX$5:$AX$54,AJ7,$AR$5:$AR$54)</f>
        <v>172</v>
      </c>
      <c r="AL7" s="207"/>
      <c r="AM7" s="201">
        <v>6</v>
      </c>
      <c r="AN7" s="572">
        <v>0</v>
      </c>
      <c r="AO7" s="578"/>
      <c r="AP7" s="572"/>
      <c r="AQ7" s="574">
        <f t="shared" si="6"/>
        <v>0</v>
      </c>
      <c r="AR7" s="584"/>
      <c r="AS7" s="575"/>
      <c r="AT7" s="572"/>
      <c r="AU7" s="572"/>
      <c r="AV7" s="950"/>
      <c r="AW7" s="572"/>
      <c r="AX7" s="581"/>
      <c r="AY7" s="581"/>
    </row>
    <row r="8" spans="1:52" ht="22.5" customHeight="1">
      <c r="A8" s="436" t="str">
        <f>IF(B8="","",(VLOOKUP(B:B,'0.39'!B:F,5,FALSE)))</f>
        <v>M10x35mm(SS316)</v>
      </c>
      <c r="B8" s="436" t="str">
        <f>IF(BASIC_TOOL!$F$23=1,BoltnNuts!E8,IF(BASIC_TOOL!$F$23=2,BoltnNuts!G8,IF(BASIC_TOOL!$F$23=3,BoltnNuts!I8,IF(BASIC_TOOL!$F$23=4,BoltnNuts!K8,IF(BASIC_TOOL!$F$23=5,BoltnNuts!M8,IF(BASIC_TOOL!$F$23=6,BoltnNuts!O8,IF(BASIC_TOOL!$F$23=7,BoltnNuts!Q8,IF(BASIC_TOOL!$F$23=8,BoltnNuts!S8))))))))</f>
        <v>WBT-1035SA4</v>
      </c>
      <c r="C8" s="436">
        <f>IF(BASIC_TOOL!$F$23=1,BoltnNuts!F8,IF(BASIC_TOOL!$F$23=2,BoltnNuts!H8,IF(BASIC_TOOL!$F$23=3,BoltnNuts!J8,IF(BASIC_TOOL!$F$23=4,BoltnNuts!L8,IF(BASIC_TOOL!$F$23=5,BoltnNuts!N8,IF(BASIC_TOOL!$F$23=6,BoltnNuts!P8,IF(BASIC_TOOL!$F$23=7,BoltnNuts!R8,IF(BASIC_TOOL!$F$23=8,BoltnNuts!T8))))))))</f>
        <v>340</v>
      </c>
      <c r="D8" s="403"/>
      <c r="E8" s="439" t="str">
        <f t="array" ref="E8">IF( ISERROR(INDEX($V$5:$V$37,SMALL(IF($W$5:$W$35&lt;&gt;0,ROW($W$5:$W$35)-4),ROW(E4)))),"",INDEX($V$5:$V$37,SMALL(IF($W$5:$W$35&lt;&gt;0,ROW($W$5:$W$35)-4),ROW(E4))))</f>
        <v>WBT-1240Z</v>
      </c>
      <c r="F8" s="440">
        <f t="array" ref="F8">IF(ISERROR(INDEX($W$5:$W$35,SMALL(IF($W$5:$W$35&lt;&gt;0,ROW($W$5:$W$35)-4),ROW(F4)))),"",INDEX($W$5:$W$35,SMALL(IF($W$5:$W$35&lt;&gt;0,ROW($W$5:$W$35)-4),ROW(F4))))</f>
        <v>60</v>
      </c>
      <c r="G8" s="439" t="str">
        <f t="array" ref="G8">IF( ISERROR(INDEX($X$5:$X$35,SMALL(IF($Y$5:$Y$35&lt;&gt;0,ROW($Y$5:$Y$35)-4),ROW(G4)))),"",INDEX($X$5:$X$35,SMALL(IF($Y$5:$Y$35&lt;&gt;0,ROW($Y$5:$Y$35)-4),ROW(G4))))</f>
        <v>WBT-1035SA2</v>
      </c>
      <c r="H8" s="440">
        <f t="array" ref="H8">IF(ISERROR(INDEX($Y$5:$Y$35,SMALL(IF($Y$5:$Y$35&lt;&gt;0,ROW($Y$5:$Y$35)-4),ROW(H4)))),"",INDEX($Y$5:$Y$35,SMALL(IF($Y$5:$Y$35&lt;&gt;0,ROW($Y$5:$Y$35)-4),ROW(H4))))</f>
        <v>340</v>
      </c>
      <c r="I8" s="439" t="str">
        <f>AT11</f>
        <v>WBT-1050SA2</v>
      </c>
      <c r="J8" s="440">
        <f t="array" ref="J8">IF(ISERROR(INDEX($AA$5:$AA$35,SMALL(IF($AA$5:$AA$35&lt;&gt;0,ROW($AA$5:$AA$35)-4),ROW(J4)))),"",INDEX($AA$5:$AA$35,SMALL(IF($AA$5:$AA$35&lt;&gt;0,ROW($AA$5:$AA$35)-4),ROW(J4))))</f>
        <v>1784</v>
      </c>
      <c r="K8" s="439" t="str">
        <f t="array" ref="K8">IF( ISERROR(INDEX($AB$5:$AB$37,SMALL(IF($AC$5:$AC$35&lt;&gt;0,ROW($AC$5:$AC$35)-4),ROW(K4)))),"",INDEX($AB$5:$AB$37,SMALL(IF($AC$5:$AC$35&lt;&gt;0,ROW($AC$5:$AC$35)-4),ROW(K4))))</f>
        <v>WBT-1035SA4</v>
      </c>
      <c r="L8" s="440">
        <f t="array" ref="L8">IF(ISERROR(INDEX($AC$5:$AC$35,SMALL(IF($AC$5:$AC$35&lt;&gt;0,ROW($AC$5:$AC$35)-4),ROW(L4)))),"",INDEX($AC$5:$AC$35,SMALL(IF($AC$5:$AC$35&lt;&gt;0,ROW($AC$5:$AC$35)-4),ROW(L4))))</f>
        <v>340</v>
      </c>
      <c r="M8" s="439" t="str">
        <f t="array" ref="M8">IF( ISERROR(INDEX($AD$5:$AD$37,SMALL(IF($AE$5:$AE$35&lt;&gt;0,ROW($AE$5:$AE$35)-4),ROW(M4)))),"",INDEX($AD$5:$AD$37,SMALL(IF($AE$5:$AE$35&lt;&gt;0,ROW($AD$5:$AD$35)-4),ROW(M4))))</f>
        <v>WBT-1240SA2</v>
      </c>
      <c r="N8" s="440">
        <f t="array" ref="N8">IF(ISERROR(INDEX($AE$5:$AE$35,SMALL(IF($AE$5:$AE$35&lt;&gt;0,ROW($AE$5:$AE$35)-4),ROW(N4)))),"",INDEX($AE$5:$AE$35,SMALL(IF($AE$5:$AE$35&lt;&gt;0,ROW($AE$5:$AE$35)-4),ROW(N4))))</f>
        <v>60</v>
      </c>
      <c r="O8" s="439" t="str">
        <f t="array" ref="O8">IF( ISERROR(INDEX($AF$5:$AF$37,SMALL(IF($AG$5:$AG$35&lt;&gt;0,ROW($AG$5:$AG$35)-4),ROW(O4)))),"",INDEX($AF$5:$AF$37,SMALL(IF($AG$5:$AG$35&lt;&gt;0,ROW($AG$5:$AG$35)-4),ROW(O4))))</f>
        <v>WBT-1240SA4</v>
      </c>
      <c r="P8" s="440">
        <f t="array" ref="P8">IF(ISERROR(INDEX($AG$5:$AG$35,SMALL(IF($AG$5:$AG$35&lt;&gt;0,ROW($AG$5:$AG$35)-4),ROW(P4)))),"",INDEX($AG$5:$AG$35,SMALL(IF($AG$5:$AG$35&lt;&gt;0,ROW($AG$5:$AG$35)-4),ROW(P4))))</f>
        <v>60</v>
      </c>
      <c r="Q8" s="439" t="str">
        <f t="array" ref="Q8">IF( ISERROR(INDEX($AH$5:$AH$37,SMALL(IF($AI$5:$AI$35&lt;&gt;0,ROW($AI$5:$AI$35)-4),ROW(Q4)))),"",INDEX($AH$5:$AH$37,SMALL(IF($AI$5:$AI$35&lt;&gt;0,ROW($AI$5:$AI$35)-4),ROW(Q4))))</f>
        <v/>
      </c>
      <c r="R8" s="440" t="str">
        <f t="array" ref="R8">IF(ISERROR(INDEX($AI$5:$AI$35,SMALL(IF($AI$5:$AI$35&lt;&gt;0,ROW($AI$5:$AI$35)-4),ROW(R4)))),"",INDEX($AI$5:$AI$35,SMALL(IF($AI$5:$AI$35&lt;&gt;0,ROW($AI$5:$AI$35)-4),ROW(R4))))</f>
        <v/>
      </c>
      <c r="S8" s="439" t="str">
        <f t="array" ref="S8">IF( ISERROR(INDEX($AJ$5:$AJ$35,SMALL(IF($AK$5:$AK$35&lt;&gt;0,ROW($AJ$5:$AJ$35)-4),ROW(S4)))),"",INDEX($AJ$5:$AJ$35,SMALL(IF($AK$5:$AK$35&lt;&gt;0,ROW($AK$5:$AK$35)-4),ROW(S4))))</f>
        <v/>
      </c>
      <c r="T8" s="440" t="str">
        <f t="array" ref="T8">IF(ISERROR(INDEX($AK$5:$AK$35,SMALL(IF($AK$5:$AK$35&lt;&gt;0,ROW($AK$5:$AK$35)-4),ROW(T4)))),"",INDEX($AK$5:$AK$35,SMALL(IF($AK$5:$AK$35&lt;&gt;0,ROW($AK$5:$AK$35)-4),ROW(T4))))</f>
        <v/>
      </c>
      <c r="V8" s="575" t="s">
        <v>65</v>
      </c>
      <c r="W8" s="575">
        <f t="shared" si="0"/>
        <v>0</v>
      </c>
      <c r="X8" s="575" t="s">
        <v>65</v>
      </c>
      <c r="Y8" s="575">
        <f>SUMIF($AT$5:$AT$53,X8,$AR$5:$AR$53)</f>
        <v>340</v>
      </c>
      <c r="Z8" s="575" t="s">
        <v>1091</v>
      </c>
      <c r="AA8" s="572">
        <f t="shared" si="1"/>
        <v>1784</v>
      </c>
      <c r="AB8" s="575" t="s">
        <v>66</v>
      </c>
      <c r="AC8" s="575">
        <f t="shared" si="2"/>
        <v>340</v>
      </c>
      <c r="AD8" s="575" t="s">
        <v>1093</v>
      </c>
      <c r="AE8" s="575">
        <f t="shared" si="3"/>
        <v>0</v>
      </c>
      <c r="AF8" s="575" t="s">
        <v>78</v>
      </c>
      <c r="AG8" s="575">
        <f t="shared" si="4"/>
        <v>0</v>
      </c>
      <c r="AH8" s="1008"/>
      <c r="AI8" s="575">
        <f t="shared" si="5"/>
        <v>0</v>
      </c>
      <c r="AJ8" s="575" t="s">
        <v>78</v>
      </c>
      <c r="AK8" s="575">
        <f>SUMIF($AX$5:$AX$54,AJ8,$AR$5:$AR$54)</f>
        <v>0</v>
      </c>
      <c r="AL8" s="207"/>
      <c r="AM8" s="201">
        <v>7</v>
      </c>
      <c r="AN8" s="572">
        <v>0</v>
      </c>
      <c r="AO8" s="579"/>
      <c r="AP8" s="572"/>
      <c r="AQ8" s="574">
        <f t="shared" si="6"/>
        <v>0</v>
      </c>
      <c r="AR8" s="584"/>
      <c r="AS8" s="575"/>
      <c r="AT8" s="572"/>
      <c r="AU8" s="572"/>
      <c r="AV8" s="950"/>
      <c r="AW8" s="572"/>
      <c r="AX8" s="581"/>
      <c r="AY8" s="581"/>
    </row>
    <row r="9" spans="1:52" ht="22.5" customHeight="1">
      <c r="A9" s="436" t="str">
        <f>IF(B9="","",(VLOOKUP(B:B,'0.39'!B:F,5,FALSE)))</f>
        <v>M10x50mm(SS316)</v>
      </c>
      <c r="B9" s="436" t="str">
        <f>IF(BASIC_TOOL!$F$23=1,BoltnNuts!E9,IF(BASIC_TOOL!$F$23=2,BoltnNuts!G9,IF(BASIC_TOOL!$F$23=3,BoltnNuts!I9,IF(BASIC_TOOL!$F$23=4,BoltnNuts!K9,IF(BASIC_TOOL!$F$23=5,BoltnNuts!M9,IF(BASIC_TOOL!$F$23=6,BoltnNuts!O9,IF(BASIC_TOOL!$F$23=7,BoltnNuts!Q9,IF(BASIC_TOOL!$F$23=8,BoltnNuts!S9))))))))</f>
        <v>WBT-1050SA4</v>
      </c>
      <c r="C9" s="436">
        <f>IF(BASIC_TOOL!$F$23=1,BoltnNuts!F9,IF(BASIC_TOOL!$F$23=2,BoltnNuts!H9,IF(BASIC_TOOL!$F$23=3,BoltnNuts!J9,IF(BASIC_TOOL!$F$23=4,BoltnNuts!L9,IF(BASIC_TOOL!$F$23=5,BoltnNuts!N9,IF(BASIC_TOOL!$F$23=6,BoltnNuts!P9,IF(BASIC_TOOL!$F$23=7,BoltnNuts!R9,IF(BASIC_TOOL!$F$23=8,BoltnNuts!T9))))))))</f>
        <v>120</v>
      </c>
      <c r="D9" s="403"/>
      <c r="E9" s="439" t="str">
        <f t="array" ref="E9">IF( ISERROR(INDEX($V$5:$V$37,SMALL(IF($W$5:$W$35&lt;&gt;0,ROW($W$5:$W$35)-4),ROW(E5)))),"",INDEX($V$5:$V$37,SMALL(IF($W$5:$W$35&lt;&gt;0,ROW($W$5:$W$35)-4),ROW(E5))))</f>
        <v>WBT-14120RD</v>
      </c>
      <c r="F9" s="440">
        <f t="array" ref="F9">IF(ISERROR(INDEX($W$5:$W$35,SMALL(IF($W$5:$W$35&lt;&gt;0,ROW($W$5:$W$35)-4),ROW(F5)))),"",INDEX($W$5:$W$35,SMALL(IF($W$5:$W$35&lt;&gt;0,ROW($W$5:$W$35)-4),ROW(F5))))</f>
        <v>172</v>
      </c>
      <c r="G9" s="439" t="str">
        <f t="array" ref="G9">IF( ISERROR(INDEX($X$5:$X$35,SMALL(IF($Y$5:$Y$35&lt;&gt;0,ROW($Y$5:$Y$35)-4),ROW(G5)))),"",INDEX($X$5:$X$35,SMALL(IF($Y$5:$Y$35&lt;&gt;0,ROW($Y$5:$Y$35)-4),ROW(G5))))</f>
        <v>WBT-1050SA2</v>
      </c>
      <c r="H9" s="440">
        <f t="array" ref="H9">IF(ISERROR(INDEX($Y$5:$Y$35,SMALL(IF($Y$5:$Y$35&lt;&gt;0,ROW($Y$5:$Y$35)-4),ROW(H5)))),"",INDEX($Y$5:$Y$35,SMALL(IF($Y$5:$Y$35&lt;&gt;0,ROW($Y$5:$Y$35)-4),ROW(H5))))</f>
        <v>120</v>
      </c>
      <c r="I9" s="439" t="str">
        <f t="array" ref="I9">IF( ISERROR(INDEX($Z$5:$Z$37,SMALL(IF($AA$5:$AA$35&lt;&gt;0,ROW($AA$5:$AA$35)-4),ROW(I5)))),"",INDEX($Z$5:$Z$37,SMALL(IF($AA$5:$AA$35&lt;&gt;0,ROW($Z$5:$Z$35)-4),ROW(I5))))</f>
        <v>WBT-1050SA4</v>
      </c>
      <c r="J9" s="440">
        <f t="array" ref="J9">IF(ISERROR(INDEX($AA$5:$AA$35,SMALL(IF($AA$5:$AA$35&lt;&gt;0,ROW($AA$5:$AA$35)-4),ROW(J5)))),"",INDEX($AA$5:$AA$35,SMALL(IF($AA$5:$AA$35&lt;&gt;0,ROW($AA$5:$AA$35)-4),ROW(J5))))</f>
        <v>120</v>
      </c>
      <c r="K9" s="439" t="str">
        <f t="array" ref="K9">IF( ISERROR(INDEX($AB$5:$AB$37,SMALL(IF($AC$5:$AC$35&lt;&gt;0,ROW($AC$5:$AC$35)-4),ROW(K5)))),"",INDEX($AB$5:$AB$37,SMALL(IF($AC$5:$AC$35&lt;&gt;0,ROW($AC$5:$AC$35)-4),ROW(K5))))</f>
        <v>WBT-1050SA4</v>
      </c>
      <c r="L9" s="440">
        <f t="array" ref="L9">IF(ISERROR(INDEX($AC$5:$AC$35,SMALL(IF($AC$5:$AC$35&lt;&gt;0,ROW($AC$5:$AC$35)-4),ROW(L5)))),"",INDEX($AC$5:$AC$35,SMALL(IF($AC$5:$AC$35&lt;&gt;0,ROW($AC$5:$AC$35)-4),ROW(L5))))</f>
        <v>120</v>
      </c>
      <c r="M9" s="439" t="str">
        <f t="array" ref="M9">IF( ISERROR(INDEX($AD$5:$AD$37,SMALL(IF($AE$5:$AE$35&lt;&gt;0,ROW($AE$5:$AE$35)-4),ROW(M5)))),"",INDEX($AD$5:$AD$37,SMALL(IF($AE$5:$AE$35&lt;&gt;0,ROW($AD$5:$AD$35)-4),ROW(M5))))</f>
        <v>WBT-14120RSA2</v>
      </c>
      <c r="N9" s="440">
        <f t="array" ref="N9">IF(ISERROR(INDEX($AE$5:$AE$35,SMALL(IF($AE$5:$AE$35&lt;&gt;0,ROW($AE$5:$AE$35)-4),ROW(N5)))),"",INDEX($AE$5:$AE$35,SMALL(IF($AE$5:$AE$35&lt;&gt;0,ROW($AE$5:$AE$35)-4),ROW(N5))))</f>
        <v>172</v>
      </c>
      <c r="O9" s="439" t="str">
        <f t="array" ref="O9">IF( ISERROR(INDEX($AF$5:$AF$37,SMALL(IF($AG$5:$AG$35&lt;&gt;0,ROW($AG$5:$AG$35)-4),ROW(O5)))),"",INDEX($AF$5:$AF$37,SMALL(IF($AG$5:$AG$35&lt;&gt;0,ROW($AG$5:$AG$35)-4),ROW(O5))))</f>
        <v>WBT-14120RSA4</v>
      </c>
      <c r="P9" s="440">
        <f t="array" ref="P9">IF(ISERROR(INDEX($AG$5:$AG$35,SMALL(IF($AG$5:$AG$35&lt;&gt;0,ROW($AG$5:$AG$35)-4),ROW(P5)))),"",INDEX($AG$5:$AG$35,SMALL(IF($AG$5:$AG$35&lt;&gt;0,ROW($AG$5:$AG$35)-4),ROW(P5))))</f>
        <v>172</v>
      </c>
      <c r="Q9" s="439" t="str">
        <f t="array" ref="Q9">IF( ISERROR(INDEX($AH$5:$AH$37,SMALL(IF($AI$5:$AI$35&lt;&gt;0,ROW($AI$5:$AI$35)-4),ROW(Q5)))),"",INDEX($AH$5:$AH$37,SMALL(IF($AI$5:$AI$35&lt;&gt;0,ROW($AI$5:$AI$35)-4),ROW(Q5))))</f>
        <v/>
      </c>
      <c r="R9" s="440" t="str">
        <f t="array" ref="R9">IF(ISERROR(INDEX($AI$5:$AI$35,SMALL(IF($AI$5:$AI$35&lt;&gt;0,ROW($AI$5:$AI$35)-4),ROW(R5)))),"",INDEX($AI$5:$AI$35,SMALL(IF($AI$5:$AI$35&lt;&gt;0,ROW($AI$5:$AI$35)-4),ROW(R5))))</f>
        <v/>
      </c>
      <c r="S9" s="439" t="str">
        <f t="array" ref="S9">IF( ISERROR(INDEX($AJ$5:$AJ$35,SMALL(IF($AK$5:$AK$35&lt;&gt;0,ROW($AJ$5:$AJ$35)-4),ROW(S5)))),"",INDEX($AJ$5:$AJ$35,SMALL(IF($AK$5:$AK$35&lt;&gt;0,ROW($AK$5:$AK$35)-4),ROW(S5))))</f>
        <v/>
      </c>
      <c r="T9" s="440" t="str">
        <f t="array" ref="T9">IF(ISERROR(INDEX($AK$5:$AK$35,SMALL(IF($AK$5:$AK$35&lt;&gt;0,ROW($AK$5:$AK$35)-4),ROW(T5)))),"",INDEX($AK$5:$AK$35,SMALL(IF($AK$5:$AK$35&lt;&gt;0,ROW($AK$5:$AK$35)-4),ROW(T5))))</f>
        <v/>
      </c>
      <c r="V9" s="575" t="s">
        <v>1091</v>
      </c>
      <c r="W9" s="575">
        <f t="shared" si="0"/>
        <v>0</v>
      </c>
      <c r="X9" s="575" t="s">
        <v>1091</v>
      </c>
      <c r="Y9" s="575">
        <f>SUMIF($AT$5:$AT$53,X9,$AR$5:$AR$53)</f>
        <v>120</v>
      </c>
      <c r="Z9" s="575" t="s">
        <v>1092</v>
      </c>
      <c r="AA9" s="572">
        <f t="shared" si="1"/>
        <v>120</v>
      </c>
      <c r="AB9" s="575" t="s">
        <v>1092</v>
      </c>
      <c r="AC9" s="575">
        <f t="shared" si="2"/>
        <v>120</v>
      </c>
      <c r="AD9" s="575" t="s">
        <v>2226</v>
      </c>
      <c r="AE9" s="575">
        <f t="shared" si="3"/>
        <v>60</v>
      </c>
      <c r="AF9" s="575" t="s">
        <v>2227</v>
      </c>
      <c r="AG9" s="575">
        <f t="shared" si="4"/>
        <v>60</v>
      </c>
      <c r="AH9" s="575"/>
      <c r="AI9" s="575">
        <f t="shared" si="5"/>
        <v>0</v>
      </c>
      <c r="AJ9" s="575" t="s">
        <v>5</v>
      </c>
      <c r="AK9" s="575">
        <f>SUMIF($AX$5:$AX$54,AJ9,$AR$5:$AR$54)</f>
        <v>0</v>
      </c>
      <c r="AL9" s="207"/>
      <c r="AM9" s="201">
        <v>8</v>
      </c>
      <c r="AN9" s="572" t="s">
        <v>68</v>
      </c>
      <c r="AO9" s="579" t="s">
        <v>1094</v>
      </c>
      <c r="AP9" s="572">
        <f>IF(H_O=2.5,1*4,0)+IF(H_O=3,1*4,0)+IF(H_O=3.5,2*4,0)+IF(H_O=4,2*4,0)+IF(H_O=4.5,3*4,0)+IF(H_O=5,3*4,0)</f>
        <v>4</v>
      </c>
      <c r="AQ9" s="574">
        <f t="shared" si="6"/>
        <v>4</v>
      </c>
      <c r="AR9" s="584">
        <f t="shared" ref="AR9:AR17" si="7">ROUNDUP(AQ9*$AS$1,0)</f>
        <v>4</v>
      </c>
      <c r="AS9" s="575" t="s">
        <v>68</v>
      </c>
      <c r="AT9" s="572" t="s">
        <v>68</v>
      </c>
      <c r="AU9" s="572" t="s">
        <v>65</v>
      </c>
      <c r="AV9" s="950" t="s">
        <v>68</v>
      </c>
      <c r="AW9" s="572" t="s">
        <v>65</v>
      </c>
      <c r="AX9" s="581" t="s">
        <v>66</v>
      </c>
      <c r="AY9" s="581"/>
    </row>
    <row r="10" spans="1:52" ht="22.5" customHeight="1">
      <c r="A10" s="436" t="str">
        <f>IF(B10="","",(VLOOKUP(B:B,'0.39'!B:F,5,FALSE)))</f>
        <v>M12x40mm(HDG)</v>
      </c>
      <c r="B10" s="436" t="str">
        <f>IF(BASIC_TOOL!$F$23=1,BoltnNuts!E10,IF(BASIC_TOOL!$F$23=2,BoltnNuts!G10,IF(BASIC_TOOL!$F$23=3,BoltnNuts!I10,IF(BASIC_TOOL!$F$23=4,BoltnNuts!K10,IF(BASIC_TOOL!$F$23=5,BoltnNuts!M10,IF(BASIC_TOOL!$F$23=6,BoltnNuts!O10,IF(BASIC_TOOL!$F$23=7,BoltnNuts!Q10,IF(BASIC_TOOL!$F$23=8,BoltnNuts!S10))))))))</f>
        <v>WBT-1240Z</v>
      </c>
      <c r="C10" s="436">
        <f>IF(BASIC_TOOL!$F$23=1,BoltnNuts!F10,IF(BASIC_TOOL!$F$23=2,BoltnNuts!H10,IF(BASIC_TOOL!$F$23=3,BoltnNuts!J10,IF(BASIC_TOOL!$F$23=4,BoltnNuts!L10,IF(BASIC_TOOL!$F$23=5,BoltnNuts!N10,IF(BASIC_TOOL!$F$23=6,BoltnNuts!P10,IF(BASIC_TOOL!$F$23=7,BoltnNuts!R10,IF(BASIC_TOOL!$F$23=8,BoltnNuts!T10))))))))</f>
        <v>60</v>
      </c>
      <c r="D10" s="403"/>
      <c r="E10" s="439" t="str">
        <f t="array" ref="E10">IF( ISERROR(INDEX($V$5:$V$37,SMALL(IF($W$5:$W$35&lt;&gt;0,ROW($W$5:$W$35)-4),ROW(E6)))),"",INDEX($V$5:$V$37,SMALL(IF($W$5:$W$35&lt;&gt;0,ROW($W$5:$W$35)-4),ROW(E6))))</f>
        <v/>
      </c>
      <c r="F10" s="440" t="str">
        <f t="array" ref="F10">IF(ISERROR(INDEX($W$5:$W$35,SMALL(IF($W$5:$W$35&lt;&gt;0,ROW($W$5:$W$35)-4),ROW(F6)))),"",INDEX($W$5:$W$35,SMALL(IF($W$5:$W$35&lt;&gt;0,ROW($W$5:$W$35)-4),ROW(F6))))</f>
        <v/>
      </c>
      <c r="G10" s="439" t="str">
        <f t="array" ref="G10">IF( ISERROR(INDEX($X$5:$X$35,SMALL(IF($Y$5:$Y$35&lt;&gt;0,ROW($Y$5:$Y$35)-4),ROW(G6)))),"",INDEX($X$5:$X$35,SMALL(IF($Y$5:$Y$35&lt;&gt;0,ROW($Y$5:$Y$35)-4),ROW(G6))))</f>
        <v>WBT-1240Z</v>
      </c>
      <c r="H10" s="440">
        <f t="array" ref="H10">IF(ISERROR(INDEX($Y$5:$Y$35,SMALL(IF($Y$5:$Y$35&lt;&gt;0,ROW($Y$5:$Y$35)-4),ROW(H6)))),"",INDEX($Y$5:$Y$35,SMALL(IF($Y$5:$Y$35&lt;&gt;0,ROW($Y$5:$Y$35)-4),ROW(H6))))</f>
        <v>60</v>
      </c>
      <c r="I10" s="439" t="str">
        <f t="array" ref="I10">IF( ISERROR(INDEX($Z$5:$Z$37,SMALL(IF($AA$5:$AA$35&lt;&gt;0,ROW($AA$5:$AA$35)-4),ROW(I6)))),"",INDEX($Z$5:$Z$37,SMALL(IF($AA$5:$AA$35&lt;&gt;0,ROW($Z$5:$Z$35)-4),ROW(I6))))</f>
        <v>WBT-1240SA2</v>
      </c>
      <c r="J10" s="440">
        <f t="array" ref="J10">IF(ISERROR(INDEX($AA$5:$AA$35,SMALL(IF($AA$5:$AA$35&lt;&gt;0,ROW($AA$5:$AA$35)-4),ROW(J6)))),"",INDEX($AA$5:$AA$35,SMALL(IF($AA$5:$AA$35&lt;&gt;0,ROW($AA$5:$AA$35)-4),ROW(J6))))</f>
        <v>60</v>
      </c>
      <c r="K10" s="439" t="str">
        <f t="array" ref="K10">IF( ISERROR(INDEX($AB$5:$AB$37,SMALL(IF($AC$5:$AC$35&lt;&gt;0,ROW($AC$5:$AC$35)-4),ROW(K6)))),"",INDEX($AB$5:$AB$37,SMALL(IF($AC$5:$AC$35&lt;&gt;0,ROW($AC$5:$AC$35)-4),ROW(K6))))</f>
        <v>WBT-1240Z</v>
      </c>
      <c r="L10" s="440">
        <f t="array" ref="L10">IF(ISERROR(INDEX($AC$5:$AC$35,SMALL(IF($AC$5:$AC$35&lt;&gt;0,ROW($AC$5:$AC$35)-4),ROW(L6)))),"",INDEX($AC$5:$AC$35,SMALL(IF($AC$5:$AC$35&lt;&gt;0,ROW($AC$5:$AC$35)-4),ROW(L6))))</f>
        <v>60</v>
      </c>
      <c r="M10" s="439" t="str">
        <f t="array" ref="M10">IF( ISERROR(INDEX($AD$5:$AD$37,SMALL(IF($AE$5:$AE$35&lt;&gt;0,ROW($AE$5:$AE$35)-4),ROW(M6)))),"",INDEX($AD$5:$AD$37,SMALL(IF($AE$5:$AE$35&lt;&gt;0,ROW($AD$5:$AD$35)-4),ROW(M6))))</f>
        <v/>
      </c>
      <c r="N10" s="440" t="str">
        <f t="array" ref="N10">IF(ISERROR(INDEX($AE$5:$AE$35,SMALL(IF($AE$5:$AE$35&lt;&gt;0,ROW($AE$5:$AE$35)-4),ROW(N6)))),"",INDEX($AE$5:$AE$35,SMALL(IF($AE$5:$AE$35&lt;&gt;0,ROW($AE$5:$AE$35)-4),ROW(N6))))</f>
        <v/>
      </c>
      <c r="O10" s="439" t="str">
        <f t="array" ref="O10">IF( ISERROR(INDEX($AF$5:$AF$37,SMALL(IF($AG$5:$AG$35&lt;&gt;0,ROW($AG$5:$AG$35)-4),ROW(O6)))),"",INDEX($AF$5:$AF$37,SMALL(IF($AG$5:$AG$35&lt;&gt;0,ROW($AG$5:$AG$35)-4),ROW(O6))))</f>
        <v/>
      </c>
      <c r="P10" s="440" t="str">
        <f t="array" ref="P10">IF(ISERROR(INDEX($AG$5:$AG$35,SMALL(IF($AG$5:$AG$35&lt;&gt;0,ROW($AG$5:$AG$35)-4),ROW(P6)))),"",INDEX($AG$5:$AG$35,SMALL(IF($AG$5:$AG$35&lt;&gt;0,ROW($AG$5:$AG$35)-4),ROW(P6))))</f>
        <v/>
      </c>
      <c r="Q10" s="439" t="str">
        <f t="array" ref="Q10">IF( ISERROR(INDEX($AH$5:$AH$37,SMALL(IF($AI$5:$AI$35&lt;&gt;0,ROW($AI$5:$AI$35)-4),ROW(Q6)))),"",INDEX($AH$5:$AH$37,SMALL(IF($AI$5:$AI$35&lt;&gt;0,ROW($AI$5:$AI$35)-4),ROW(Q6))))</f>
        <v/>
      </c>
      <c r="R10" s="440" t="str">
        <f t="array" ref="R10">IF(ISERROR(INDEX($AI$5:$AI$35,SMALL(IF($AI$5:$AI$35&lt;&gt;0,ROW($AI$5:$AI$35)-4),ROW(R6)))),"",INDEX($AI$5:$AI$35,SMALL(IF($AI$5:$AI$35&lt;&gt;0,ROW($AI$5:$AI$35)-4),ROW(R6))))</f>
        <v/>
      </c>
      <c r="S10" s="439" t="str">
        <f t="array" ref="S10">IF( ISERROR(INDEX($AJ$5:$AJ$35,SMALL(IF($AK$5:$AK$35&lt;&gt;0,ROW($AJ$5:$AJ$35)-4),ROW(S6)))),"",INDEX($AJ$5:$AJ$35,SMALL(IF($AK$5:$AK$35&lt;&gt;0,ROW($AK$5:$AK$35)-4),ROW(S6))))</f>
        <v/>
      </c>
      <c r="T10" s="440" t="str">
        <f t="array" ref="T10">IF(ISERROR(INDEX($AK$5:$AK$35,SMALL(IF($AK$5:$AK$35&lt;&gt;0,ROW($AK$5:$AK$35)-4),ROW(T6)))),"",INDEX($AK$5:$AK$35,SMALL(IF($AK$5:$AK$35&lt;&gt;0,ROW($AK$5:$AK$35)-4),ROW(T6))))</f>
        <v/>
      </c>
      <c r="V10" s="575" t="s">
        <v>2225</v>
      </c>
      <c r="W10" s="575">
        <f t="shared" si="0"/>
        <v>60</v>
      </c>
      <c r="X10" s="575" t="s">
        <v>2225</v>
      </c>
      <c r="Y10" s="575">
        <f>IF(SUMIF($AT$5:$AT$53,X10,$AR$5:$AR$53)=0,0,SUMIF($AT$5:$AT$53,X10,$AR$5:$AR$53))</f>
        <v>60</v>
      </c>
      <c r="Z10" s="575" t="s">
        <v>2226</v>
      </c>
      <c r="AA10" s="572">
        <f t="shared" si="1"/>
        <v>60</v>
      </c>
      <c r="AB10" s="575" t="s">
        <v>2225</v>
      </c>
      <c r="AC10" s="575">
        <f t="shared" si="2"/>
        <v>60</v>
      </c>
      <c r="AD10" s="1008" t="s">
        <v>1095</v>
      </c>
      <c r="AE10" s="575">
        <f t="shared" si="3"/>
        <v>172</v>
      </c>
      <c r="AF10" s="1008" t="s">
        <v>79</v>
      </c>
      <c r="AG10" s="575">
        <f t="shared" si="4"/>
        <v>172</v>
      </c>
      <c r="AH10" s="1008"/>
      <c r="AI10" s="575">
        <f t="shared" si="5"/>
        <v>0</v>
      </c>
      <c r="AJ10" s="575"/>
      <c r="AK10" s="575"/>
      <c r="AL10" s="207"/>
      <c r="AM10" s="201">
        <v>9</v>
      </c>
      <c r="AN10" s="572" t="s">
        <v>68</v>
      </c>
      <c r="AO10" s="579" t="s">
        <v>1096</v>
      </c>
      <c r="AP10" s="572">
        <f>H_O*8*2*4</f>
        <v>192</v>
      </c>
      <c r="AQ10" s="574">
        <f t="shared" si="6"/>
        <v>192</v>
      </c>
      <c r="AR10" s="584">
        <f t="shared" si="7"/>
        <v>192</v>
      </c>
      <c r="AS10" s="575" t="s">
        <v>68</v>
      </c>
      <c r="AT10" s="572" t="s">
        <v>68</v>
      </c>
      <c r="AU10" s="572" t="s">
        <v>65</v>
      </c>
      <c r="AV10" s="950" t="s">
        <v>68</v>
      </c>
      <c r="AW10" s="572" t="s">
        <v>65</v>
      </c>
      <c r="AX10" s="581" t="s">
        <v>66</v>
      </c>
      <c r="AY10" s="581"/>
    </row>
    <row r="11" spans="1:52" ht="22.5" customHeight="1">
      <c r="A11" s="436" t="str">
        <f>IF(B11="","",(VLOOKUP(B:B,'0.39'!B:F,5,FALSE)))</f>
        <v>M14x120mm(Rubber HDG)</v>
      </c>
      <c r="B11" s="436" t="str">
        <f>IF(BASIC_TOOL!$F$23=1,BoltnNuts!E11,IF(BASIC_TOOL!$F$23=2,BoltnNuts!G11,IF(BASIC_TOOL!$F$23=3,BoltnNuts!I11,IF(BASIC_TOOL!$F$23=4,BoltnNuts!K11,IF(BASIC_TOOL!$F$23=5,BoltnNuts!M11,IF(BASIC_TOOL!$F$23=6,BoltnNuts!O11,IF(BASIC_TOOL!$F$23=7,BoltnNuts!Q11,IF(BASIC_TOOL!$F$23=8,BoltnNuts!S11))))))))</f>
        <v>WBT-14120RD</v>
      </c>
      <c r="C11" s="436">
        <f>IF(BASIC_TOOL!$F$23=1,BoltnNuts!F11,IF(BASIC_TOOL!$F$23=2,BoltnNuts!H11,IF(BASIC_TOOL!$F$23=3,BoltnNuts!J11,IF(BASIC_TOOL!$F$23=4,BoltnNuts!L11,IF(BASIC_TOOL!$F$23=5,BoltnNuts!N11,IF(BASIC_TOOL!$F$23=6,BoltnNuts!P11,IF(BASIC_TOOL!$F$23=7,BoltnNuts!R11,IF(BASIC_TOOL!$F$23=8,BoltnNuts!T11))))))))</f>
        <v>172</v>
      </c>
      <c r="D11" s="403"/>
      <c r="E11" s="439" t="str">
        <f t="array" ref="E11">IF( ISERROR(INDEX($V$5:$V$37,SMALL(IF($W$5:$W$35&lt;&gt;0,ROW($W$5:$W$35)-4),ROW(E7)))),"",INDEX($V$5:$V$37,SMALL(IF($W$5:$W$35&lt;&gt;0,ROW($W$5:$W$35)-4),ROW(E7))))</f>
        <v/>
      </c>
      <c r="F11" s="440" t="str">
        <f t="array" ref="F11">IF(ISERROR(INDEX($W$5:$W$35,SMALL(IF($W$5:$W$35&lt;&gt;0,ROW($W$5:$W$35)-4),ROW(F7)))),"",INDEX($W$5:$W$35,SMALL(IF($W$5:$W$35&lt;&gt;0,ROW($W$5:$W$35)-4),ROW(F7))))</f>
        <v/>
      </c>
      <c r="G11" s="439" t="str">
        <f t="array" ref="G11">IF( ISERROR(INDEX($X$5:$X$35,SMALL(IF($Y$5:$Y$35&lt;&gt;0,ROW($Y$5:$Y$35)-4),ROW(G7)))),"",INDEX($X$5:$X$35,SMALL(IF($Y$5:$Y$35&lt;&gt;0,ROW($Y$5:$Y$35)-4),ROW(G7))))</f>
        <v>WBT-14120RD</v>
      </c>
      <c r="H11" s="440">
        <f t="array" ref="H11">IF(ISERROR(INDEX($Y$5:$Y$35,SMALL(IF($Y$5:$Y$35&lt;&gt;0,ROW($Y$5:$Y$35)-4),ROW(H7)))),"",INDEX($Y$5:$Y$35,SMALL(IF($Y$5:$Y$35&lt;&gt;0,ROW($Y$5:$Y$35)-4),ROW(H7))))</f>
        <v>172</v>
      </c>
      <c r="I11" s="439" t="str">
        <f t="array" ref="I11">IF( ISERROR(INDEX($Z$5:$Z$37,SMALL(IF($AA$5:$AA$35&lt;&gt;0,ROW($AA$5:$AA$35)-4),ROW(I7)))),"",INDEX($Z$5:$Z$37,SMALL(IF($AA$5:$AA$35&lt;&gt;0,ROW($Z$5:$Z$35)-4),ROW(I7))))</f>
        <v>WBT-14120RSA2</v>
      </c>
      <c r="J11" s="440">
        <f t="array" ref="J11">IF(ISERROR(INDEX($AA$5:$AA$35,SMALL(IF($AA$5:$AA$35&lt;&gt;0,ROW($AA$5:$AA$35)-4),ROW(J7)))),"",INDEX($AA$5:$AA$35,SMALL(IF($AA$5:$AA$35&lt;&gt;0,ROW($AA$5:$AA$35)-4),ROW(J7))))</f>
        <v>172</v>
      </c>
      <c r="K11" s="439" t="str">
        <f t="array" ref="K11">IF( ISERROR(INDEX($AB$5:$AB$37,SMALL(IF($AC$5:$AC$35&lt;&gt;0,ROW($AC$5:$AC$35)-4),ROW(K7)))),"",INDEX($AB$5:$AB$37,SMALL(IF($AC$5:$AC$35&lt;&gt;0,ROW($AC$5:$AC$35)-4),ROW(K7))))</f>
        <v>WBT-14120RD</v>
      </c>
      <c r="L11" s="440">
        <f t="array" ref="L11">IF(ISERROR(INDEX($AC$5:$AC$35,SMALL(IF($AC$5:$AC$35&lt;&gt;0,ROW($AC$5:$AC$35)-4),ROW(L7)))),"",INDEX($AC$5:$AC$35,SMALL(IF($AC$5:$AC$35&lt;&gt;0,ROW($AC$5:$AC$35)-4),ROW(L7))))</f>
        <v>172</v>
      </c>
      <c r="M11" s="439" t="str">
        <f t="array" ref="M11">IF( ISERROR(INDEX($AD$5:$AD$37,SMALL(IF($AE$5:$AE$35&lt;&gt;0,ROW($AE$5:$AE$35)-4),ROW(M7)))),"",INDEX($AD$5:$AD$37,SMALL(IF($AE$5:$AE$35&lt;&gt;0,ROW($AD$5:$AD$35)-4),ROW(M7))))</f>
        <v/>
      </c>
      <c r="N11" s="440" t="str">
        <f t="array" ref="N11">IF(ISERROR(INDEX($AE$5:$AE$35,SMALL(IF($AE$5:$AE$35&lt;&gt;0,ROW($AE$5:$AE$35)-4),ROW(N7)))),"",INDEX($AE$5:$AE$35,SMALL(IF($AE$5:$AE$35&lt;&gt;0,ROW($AE$5:$AE$35)-4),ROW(N7))))</f>
        <v/>
      </c>
      <c r="O11" s="439" t="str">
        <f t="array" ref="O11">IF( ISERROR(INDEX($AF$5:$AF$37,SMALL(IF($AG$5:$AG$35&lt;&gt;0,ROW($AG$5:$AG$35)-4),ROW(O7)))),"",INDEX($AF$5:$AF$37,SMALL(IF($AG$5:$AG$35&lt;&gt;0,ROW($AG$5:$AG$35)-4),ROW(O7))))</f>
        <v/>
      </c>
      <c r="P11" s="440" t="str">
        <f t="array" ref="P11">IF(ISERROR(INDEX($AG$5:$AG$35,SMALL(IF($AG$5:$AG$35&lt;&gt;0,ROW($AG$5:$AG$35)-4),ROW(P7)))),"",INDEX($AG$5:$AG$35,SMALL(IF($AG$5:$AG$35&lt;&gt;0,ROW($AG$5:$AG$35)-4),ROW(P7))))</f>
        <v/>
      </c>
      <c r="Q11" s="439" t="str">
        <f t="array" ref="Q11">IF( ISERROR(INDEX($AH$5:$AH$37,SMALL(IF($AI$5:$AI$35&lt;&gt;0,ROW($AI$5:$AI$35)-4),ROW(Q7)))),"",INDEX($AH$5:$AH$37,SMALL(IF($AI$5:$AI$35&lt;&gt;0,ROW($AI$5:$AI$35)-4),ROW(Q7))))</f>
        <v/>
      </c>
      <c r="R11" s="440" t="str">
        <f t="array" ref="R11">IF(ISERROR(INDEX($AI$5:$AI$35,SMALL(IF($AI$5:$AI$35&lt;&gt;0,ROW($AI$5:$AI$35)-4),ROW(R7)))),"",INDEX($AI$5:$AI$35,SMALL(IF($AI$5:$AI$35&lt;&gt;0,ROW($AI$5:$AI$35)-4),ROW(R7))))</f>
        <v/>
      </c>
      <c r="S11" s="439" t="str">
        <f t="array" ref="S11">IF( ISERROR(INDEX($AJ$5:$AJ$35,SMALL(IF($AK$5:$AK$35&lt;&gt;0,ROW($AJ$5:$AJ$35)-4),ROW(S7)))),"",INDEX($AJ$5:$AJ$35,SMALL(IF($AK$5:$AK$35&lt;&gt;0,ROW($AK$5:$AK$35)-4),ROW(S7))))</f>
        <v/>
      </c>
      <c r="T11" s="440" t="str">
        <f t="array" ref="T11">IF(ISERROR(INDEX($AK$5:$AK$35,SMALL(IF($AK$5:$AK$35&lt;&gt;0,ROW($AK$5:$AK$35)-4),ROW(T7)))),"",INDEX($AK$5:$AK$35,SMALL(IF($AK$5:$AK$35&lt;&gt;0,ROW($AK$5:$AK$35)-4),ROW(T7))))</f>
        <v/>
      </c>
      <c r="V11" s="575" t="s">
        <v>67</v>
      </c>
      <c r="W11" s="575">
        <f t="shared" si="0"/>
        <v>172</v>
      </c>
      <c r="X11" s="575" t="s">
        <v>67</v>
      </c>
      <c r="Y11" s="575">
        <f>SUMIF($AT$5:$AT$53,X11,$AR$5:$AR$53)</f>
        <v>172</v>
      </c>
      <c r="Z11" s="575" t="s">
        <v>78</v>
      </c>
      <c r="AA11" s="572">
        <f t="shared" si="1"/>
        <v>0</v>
      </c>
      <c r="AB11" s="575" t="s">
        <v>67</v>
      </c>
      <c r="AC11" s="575">
        <f t="shared" si="2"/>
        <v>172</v>
      </c>
      <c r="AD11" s="1008" t="s">
        <v>5</v>
      </c>
      <c r="AE11" s="575">
        <f t="shared" si="3"/>
        <v>0</v>
      </c>
      <c r="AF11" s="1008" t="s">
        <v>5</v>
      </c>
      <c r="AG11" s="575">
        <f t="shared" si="4"/>
        <v>0</v>
      </c>
      <c r="AH11" s="1008"/>
      <c r="AI11" s="575">
        <f t="shared" si="5"/>
        <v>0</v>
      </c>
      <c r="AJ11" s="575"/>
      <c r="AK11" s="575"/>
      <c r="AL11" s="207"/>
      <c r="AM11" s="201">
        <v>10</v>
      </c>
      <c r="AN11" s="572" t="s">
        <v>1092</v>
      </c>
      <c r="AO11" s="578" t="s">
        <v>2360</v>
      </c>
      <c r="AP11" s="950">
        <f>(L1_C+L2_C+L3_C+L4_C+W_C)*4*2+(L1_F+L2_F+L3_F+L4_F+W_F)*2*2</f>
        <v>120</v>
      </c>
      <c r="AQ11" s="951">
        <f t="shared" si="6"/>
        <v>120</v>
      </c>
      <c r="AR11" s="952">
        <f t="shared" si="7"/>
        <v>120</v>
      </c>
      <c r="AS11" s="575" t="s">
        <v>1090</v>
      </c>
      <c r="AT11" s="572" t="s">
        <v>1091</v>
      </c>
      <c r="AU11" s="572" t="s">
        <v>1092</v>
      </c>
      <c r="AV11" s="950" t="s">
        <v>1092</v>
      </c>
      <c r="AW11" s="572" t="s">
        <v>1091</v>
      </c>
      <c r="AX11" s="581" t="s">
        <v>1092</v>
      </c>
      <c r="AY11" s="581"/>
    </row>
    <row r="12" spans="1:52" ht="22.5" customHeight="1">
      <c r="A12" s="436" t="str">
        <f>IF(B12="","",(VLOOKUP(B:B,'0.39'!B:F,5,FALSE)))</f>
        <v/>
      </c>
      <c r="B12" s="436" t="str">
        <f>IF(BASIC_TOOL!$F$23=1,BoltnNuts!E12,IF(BASIC_TOOL!$F$23=2,BoltnNuts!G12,IF(BASIC_TOOL!$F$23=3,BoltnNuts!I12,IF(BASIC_TOOL!$F$23=4,BoltnNuts!K12,IF(BASIC_TOOL!$F$23=5,BoltnNuts!M12,IF(BASIC_TOOL!$F$23=6,BoltnNuts!O12,IF(BASIC_TOOL!$F$23=7,BoltnNuts!Q12,IF(BASIC_TOOL!$F$23=8,BoltnNuts!S12))))))))</f>
        <v/>
      </c>
      <c r="C12" s="436" t="str">
        <f>IF(BASIC_TOOL!$F$23=1,BoltnNuts!F12,IF(BASIC_TOOL!$F$23=2,BoltnNuts!H12,IF(BASIC_TOOL!$F$23=3,BoltnNuts!J12,IF(BASIC_TOOL!$F$23=4,BoltnNuts!L12,IF(BASIC_TOOL!$F$23=5,BoltnNuts!N12,IF(BASIC_TOOL!$F$23=6,BoltnNuts!P12,IF(BASIC_TOOL!$F$23=7,BoltnNuts!R12,IF(BASIC_TOOL!$F$23=8,BoltnNuts!T12))))))))</f>
        <v/>
      </c>
      <c r="D12" s="403"/>
      <c r="E12" s="439" t="str">
        <f t="array" ref="E12">IF( ISERROR(INDEX($V$5:$V$37,SMALL(IF($W$5:$W$35&lt;&gt;0,ROW($W$5:$W$35)-4),ROW(E8)))),"",INDEX($V$5:$V$37,SMALL(IF($W$5:$W$35&lt;&gt;0,ROW($W$5:$W$35)-4),ROW(E8))))</f>
        <v/>
      </c>
      <c r="F12" s="440" t="str">
        <f t="array" ref="F12">IF(ISERROR(INDEX($W$5:$W$35,SMALL(IF($W$5:$W$35&lt;&gt;0,ROW($W$5:$W$35)-4),ROW(F8)))),"",INDEX($W$5:$W$35,SMALL(IF($W$5:$W$35&lt;&gt;0,ROW($W$5:$W$35)-4),ROW(F8))))</f>
        <v/>
      </c>
      <c r="G12" s="439" t="str">
        <f t="array" ref="G12">IF( ISERROR(INDEX($X$5:$X$35,SMALL(IF($Y$5:$Y$35&lt;&gt;0,ROW($Y$5:$Y$35)-4),ROW(G8)))),"",INDEX($X$5:$X$35,SMALL(IF($Y$5:$Y$35&lt;&gt;0,ROW($Y$5:$Y$35)-4),ROW(G8))))</f>
        <v/>
      </c>
      <c r="H12" s="440" t="str">
        <f t="array" ref="H12">IF(ISERROR(INDEX($Y$5:$Y$35,SMALL(IF($Y$5:$Y$35&lt;&gt;0,ROW($Y$5:$Y$35)-4),ROW(H8)))),"",INDEX($Y$5:$Y$35,SMALL(IF($Y$5:$Y$35&lt;&gt;0,ROW($Y$5:$Y$35)-4),ROW(H8))))</f>
        <v/>
      </c>
      <c r="I12" s="439" t="str">
        <f t="array" ref="I12">IF( ISERROR(INDEX($Z$5:$Z$37,SMALL(IF($AA$5:$AA$35&lt;&gt;0,ROW($AA$5:$AA$35)-4),ROW(I8)))),"",INDEX($Z$5:$Z$37,SMALL(IF($AA$5:$AA$35&lt;&gt;0,ROW($Z$5:$Z$35)-4),ROW(I8))))</f>
        <v/>
      </c>
      <c r="J12" s="440" t="str">
        <f t="array" ref="J12">IF(ISERROR(INDEX($AA$5:$AA$35,SMALL(IF($AA$5:$AA$35&lt;&gt;0,ROW($AA$5:$AA$35)-4),ROW(J8)))),"",INDEX($AA$5:$AA$35,SMALL(IF($AA$5:$AA$35&lt;&gt;0,ROW($AA$5:$AA$35)-4),ROW(J8))))</f>
        <v/>
      </c>
      <c r="K12" s="439" t="str">
        <f t="array" ref="K12">IF( ISERROR(INDEX($AB$5:$AB$37,SMALL(IF($AC$5:$AC$35&lt;&gt;0,ROW($AC$5:$AC$35)-4),ROW(K8)))),"",INDEX($AB$5:$AB$37,SMALL(IF($AC$5:$AC$35&lt;&gt;0,ROW($AC$5:$AC$35)-4),ROW(K8))))</f>
        <v/>
      </c>
      <c r="L12" s="440" t="str">
        <f t="array" ref="L12">IF(ISERROR(INDEX($AC$5:$AC$35,SMALL(IF($AC$5:$AC$35&lt;&gt;0,ROW($AC$5:$AC$35)-4),ROW(L8)))),"",INDEX($AC$5:$AC$35,SMALL(IF($AC$5:$AC$35&lt;&gt;0,ROW($AC$5:$AC$35)-4),ROW(L8))))</f>
        <v/>
      </c>
      <c r="M12" s="439" t="str">
        <f t="array" ref="M12">IF( ISERROR(INDEX($AD$5:$AD$37,SMALL(IF($AE$5:$AE$35&lt;&gt;0,ROW($AE$5:$AE$35)-4),ROW(M8)))),"",INDEX($AD$5:$AD$37,SMALL(IF($AE$5:$AE$35&lt;&gt;0,ROW($AD$5:$AD$35)-4),ROW(M8))))</f>
        <v/>
      </c>
      <c r="N12" s="440" t="str">
        <f t="array" ref="N12">IF(ISERROR(INDEX($AE$5:$AE$35,SMALL(IF($AE$5:$AE$35&lt;&gt;0,ROW($AE$5:$AE$35)-4),ROW(N8)))),"",INDEX($AE$5:$AE$35,SMALL(IF($AE$5:$AE$35&lt;&gt;0,ROW($AE$5:$AE$35)-4),ROW(N8))))</f>
        <v/>
      </c>
      <c r="O12" s="439" t="str">
        <f t="array" ref="O12">IF( ISERROR(INDEX($AF$5:$AF$37,SMALL(IF($AG$5:$AG$35&lt;&gt;0,ROW($AG$5:$AG$35)-4),ROW(O8)))),"",INDEX($AF$5:$AF$37,SMALL(IF($AG$5:$AG$35&lt;&gt;0,ROW($AG$5:$AG$35)-4),ROW(O8))))</f>
        <v/>
      </c>
      <c r="P12" s="440" t="str">
        <f t="array" ref="P12">IF(ISERROR(INDEX($AG$5:$AG$35,SMALL(IF($AG$5:$AG$35&lt;&gt;0,ROW($AG$5:$AG$35)-4),ROW(P8)))),"",INDEX($AG$5:$AG$35,SMALL(IF($AG$5:$AG$35&lt;&gt;0,ROW($AG$5:$AG$35)-4),ROW(P8))))</f>
        <v/>
      </c>
      <c r="Q12" s="439" t="str">
        <f t="array" ref="Q12">IF( ISERROR(INDEX($AH$5:$AH$37,SMALL(IF($AI$5:$AI$35&lt;&gt;0,ROW($AI$5:$AI$35)-4),ROW(Q8)))),"",INDEX($AH$5:$AH$37,SMALL(IF($AI$5:$AI$35&lt;&gt;0,ROW($AI$5:$AI$35)-4),ROW(Q8))))</f>
        <v/>
      </c>
      <c r="R12" s="440" t="str">
        <f t="array" ref="R12">IF(ISERROR(INDEX($AI$5:$AI$35,SMALL(IF($AI$5:$AI$35&lt;&gt;0,ROW($AI$5:$AI$35)-4),ROW(R8)))),"",INDEX($AI$5:$AI$35,SMALL(IF($AI$5:$AI$35&lt;&gt;0,ROW($AI$5:$AI$35)-4),ROW(R8))))</f>
        <v/>
      </c>
      <c r="S12" s="439" t="str">
        <f t="array" ref="S12">IF( ISERROR(INDEX($AJ$5:$AJ$35,SMALL(IF($AK$5:$AK$35&lt;&gt;0,ROW($AJ$5:$AJ$35)-4),ROW(S8)))),"",INDEX($AJ$5:$AJ$35,SMALL(IF($AK$5:$AK$35&lt;&gt;0,ROW($AK$5:$AK$35)-4),ROW(S8))))</f>
        <v/>
      </c>
      <c r="T12" s="440" t="str">
        <f t="array" ref="T12">IF(ISERROR(INDEX($AK$5:$AK$35,SMALL(IF($AK$5:$AK$35&lt;&gt;0,ROW($AK$5:$AK$35)-4),ROW(T8)))),"",INDEX($AK$5:$AK$35,SMALL(IF($AK$5:$AK$35&lt;&gt;0,ROW($AK$5:$AK$35)-4),ROW(T8))))</f>
        <v/>
      </c>
      <c r="V12" s="575" t="s">
        <v>1095</v>
      </c>
      <c r="W12" s="575">
        <f t="shared" si="0"/>
        <v>0</v>
      </c>
      <c r="X12" s="575" t="s">
        <v>1095</v>
      </c>
      <c r="Y12" s="575">
        <f>SUMIF($AT$5:$AT$53,X12,$AR$5:$AR$53)</f>
        <v>0</v>
      </c>
      <c r="Z12" s="575" t="s">
        <v>1095</v>
      </c>
      <c r="AA12" s="572">
        <f t="shared" si="1"/>
        <v>172</v>
      </c>
      <c r="AB12" s="575" t="s">
        <v>79</v>
      </c>
      <c r="AC12" s="575">
        <f t="shared" si="2"/>
        <v>0</v>
      </c>
      <c r="AD12" s="575" t="s">
        <v>3158</v>
      </c>
      <c r="AE12" s="572">
        <f t="shared" ref="AE12" si="8">SUMIF($AU$5:$AU$54,AD12,$AR$5:$AR$54)</f>
        <v>0</v>
      </c>
      <c r="AF12" s="575" t="s">
        <v>3159</v>
      </c>
      <c r="AG12" s="572">
        <f t="shared" ref="AG12" si="9">SUMIF($AU$5:$AU$54,AF12,$AR$5:$AR$54)</f>
        <v>0</v>
      </c>
      <c r="AH12" s="575"/>
      <c r="AI12" s="575"/>
      <c r="AJ12" s="575"/>
      <c r="AK12" s="575"/>
      <c r="AL12" s="207"/>
      <c r="AM12" s="201">
        <v>11</v>
      </c>
      <c r="AN12" s="572" t="s">
        <v>1090</v>
      </c>
      <c r="AO12" s="579" t="s">
        <v>1097</v>
      </c>
      <c r="AP12" s="572">
        <f>(8*W_C+4*W_F)*(L1_C+L2_C+L3_C+L4_C+L1_F+L2_F+L3_F+L4_F-1)</f>
        <v>320</v>
      </c>
      <c r="AQ12" s="574">
        <f t="shared" si="6"/>
        <v>320</v>
      </c>
      <c r="AR12" s="584">
        <f t="shared" si="7"/>
        <v>320</v>
      </c>
      <c r="AS12" s="575" t="s">
        <v>1090</v>
      </c>
      <c r="AT12" s="572" t="s">
        <v>1090</v>
      </c>
      <c r="AU12" s="572" t="s">
        <v>1091</v>
      </c>
      <c r="AV12" s="950" t="s">
        <v>1090</v>
      </c>
      <c r="AW12" s="572" t="s">
        <v>1091</v>
      </c>
      <c r="AX12" s="581" t="s">
        <v>1092</v>
      </c>
      <c r="AY12" s="581"/>
    </row>
    <row r="13" spans="1:52" ht="22.5" customHeight="1">
      <c r="A13" s="436" t="str">
        <f>IF(B13="","",(VLOOKUP(B:B,'0.39'!B:F,5,FALSE)))</f>
        <v/>
      </c>
      <c r="B13" s="436" t="str">
        <f>IF(BASIC_TOOL!$F$23=1,BoltnNuts!E13,IF(BASIC_TOOL!$F$23=2,BoltnNuts!G13,IF(BASIC_TOOL!$F$23=3,BoltnNuts!I13,IF(BASIC_TOOL!$F$23=4,BoltnNuts!K13,IF(BASIC_TOOL!$F$23=5,BoltnNuts!M13,IF(BASIC_TOOL!$F$23=6,BoltnNuts!O13,IF(BASIC_TOOL!$F$23=7,BoltnNuts!Q13,IF(BASIC_TOOL!$F$23=8,BoltnNuts!S13))))))))</f>
        <v/>
      </c>
      <c r="C13" s="436" t="str">
        <f>IF(BASIC_TOOL!$F$23=1,BoltnNuts!F13,IF(BASIC_TOOL!$F$23=2,BoltnNuts!H13,IF(BASIC_TOOL!$F$23=3,BoltnNuts!J13,IF(BASIC_TOOL!$F$23=4,BoltnNuts!L13,IF(BASIC_TOOL!$F$23=5,BoltnNuts!N13,IF(BASIC_TOOL!$F$23=6,BoltnNuts!P13,IF(BASIC_TOOL!$F$23=7,BoltnNuts!R13,IF(BASIC_TOOL!$F$23=8,BoltnNuts!T13))))))))</f>
        <v/>
      </c>
      <c r="D13" s="403"/>
      <c r="E13" s="439" t="str">
        <f t="array" ref="E13">IF( ISERROR(INDEX($V$5:$V$37,SMALL(IF($W$5:$W$35&lt;&gt;0,ROW($W$5:$W$35)-4),ROW(E9)))),"",INDEX($V$5:$V$37,SMALL(IF($W$5:$W$35&lt;&gt;0,ROW($W$5:$W$35)-4),ROW(E9))))</f>
        <v/>
      </c>
      <c r="F13" s="440" t="str">
        <f t="array" ref="F13">IF(ISERROR(INDEX($W$5:$W$35,SMALL(IF($W$5:$W$35&lt;&gt;0,ROW($W$5:$W$35)-4),ROW(F9)))),"",INDEX($W$5:$W$35,SMALL(IF($W$5:$W$35&lt;&gt;0,ROW($W$5:$W$35)-4),ROW(F9))))</f>
        <v/>
      </c>
      <c r="G13" s="439" t="str">
        <f t="array" ref="G13">IF( ISERROR(INDEX($X$5:$X$35,SMALL(IF($Y$5:$Y$35&lt;&gt;0,ROW($Y$5:$Y$35)-4),ROW(G9)))),"",INDEX($X$5:$X$35,SMALL(IF($Y$5:$Y$35&lt;&gt;0,ROW($Y$5:$Y$35)-4),ROW(G9))))</f>
        <v/>
      </c>
      <c r="H13" s="440" t="str">
        <f t="array" ref="H13">IF(ISERROR(INDEX($Y$5:$Y$35,SMALL(IF($Y$5:$Y$35&lt;&gt;0,ROW($Y$5:$Y$35)-4),ROW(H9)))),"",INDEX($Y$5:$Y$35,SMALL(IF($Y$5:$Y$35&lt;&gt;0,ROW($Y$5:$Y$35)-4),ROW(H9))))</f>
        <v/>
      </c>
      <c r="I13" s="439" t="str">
        <f t="array" ref="I13">IF( ISERROR(INDEX($Z$5:$Z$37,SMALL(IF($AA$5:$AA$35&lt;&gt;0,ROW($AA$5:$AA$35)-4),ROW(I9)))),"",INDEX($Z$5:$Z$37,SMALL(IF($AA$5:$AA$35&lt;&gt;0,ROW($Z$5:$Z$35)-4),ROW(I9))))</f>
        <v/>
      </c>
      <c r="J13" s="440" t="str">
        <f t="array" ref="J13">IF(ISERROR(INDEX($AA$5:$AA$35,SMALL(IF($AA$5:$AA$35&lt;&gt;0,ROW($AA$5:$AA$35)-4),ROW(J9)))),"",INDEX($AA$5:$AA$35,SMALL(IF($AA$5:$AA$35&lt;&gt;0,ROW($AA$5:$AA$35)-4),ROW(J9))))</f>
        <v/>
      </c>
      <c r="K13" s="439" t="str">
        <f t="array" ref="K13">IF( ISERROR(INDEX($AB$5:$AB$37,SMALL(IF($AC$5:$AC$35&lt;&gt;0,ROW($AC$5:$AC$35)-4),ROW(K9)))),"",INDEX($AB$5:$AB$37,SMALL(IF($AC$5:$AC$35&lt;&gt;0,ROW($AC$5:$AC$35)-4),ROW(K9))))</f>
        <v/>
      </c>
      <c r="L13" s="440" t="str">
        <f t="array" ref="L13">IF(ISERROR(INDEX($AC$5:$AC$35,SMALL(IF($AC$5:$AC$35&lt;&gt;0,ROW($AC$5:$AC$35)-4),ROW(L9)))),"",INDEX($AC$5:$AC$35,SMALL(IF($AC$5:$AC$35&lt;&gt;0,ROW($AC$5:$AC$35)-4),ROW(L9))))</f>
        <v/>
      </c>
      <c r="M13" s="439" t="str">
        <f t="array" ref="M13">IF( ISERROR(INDEX($AD$5:$AD$37,SMALL(IF($AE$5:$AE$35&lt;&gt;0,ROW($AE$5:$AE$35)-4),ROW(M9)))),"",INDEX($AD$5:$AD$37,SMALL(IF($AE$5:$AE$35&lt;&gt;0,ROW($AD$5:$AD$35)-4),ROW(M9))))</f>
        <v/>
      </c>
      <c r="N13" s="440" t="str">
        <f t="array" ref="N13">IF(ISERROR(INDEX($AE$5:$AE$35,SMALL(IF($AE$5:$AE$35&lt;&gt;0,ROW($AE$5:$AE$35)-4),ROW(N9)))),"",INDEX($AE$5:$AE$35,SMALL(IF($AE$5:$AE$35&lt;&gt;0,ROW($AE$5:$AE$35)-4),ROW(N9))))</f>
        <v/>
      </c>
      <c r="O13" s="439" t="str">
        <f t="array" ref="O13">IF( ISERROR(INDEX($AF$5:$AF$37,SMALL(IF($AG$5:$AG$35&lt;&gt;0,ROW($AG$5:$AG$35)-4),ROW(O9)))),"",INDEX($AF$5:$AF$37,SMALL(IF($AG$5:$AG$35&lt;&gt;0,ROW($AG$5:$AG$35)-4),ROW(O9))))</f>
        <v/>
      </c>
      <c r="P13" s="440" t="str">
        <f t="array" ref="P13">IF(ISERROR(INDEX($AG$5:$AG$35,SMALL(IF($AG$5:$AG$35&lt;&gt;0,ROW($AG$5:$AG$35)-4),ROW(P9)))),"",INDEX($AG$5:$AG$35,SMALL(IF($AG$5:$AG$35&lt;&gt;0,ROW($AG$5:$AG$35)-4),ROW(P9))))</f>
        <v/>
      </c>
      <c r="Q13" s="439" t="str">
        <f t="array" ref="Q13">IF( ISERROR(INDEX($AH$5:$AH$37,SMALL(IF($AI$5:$AI$35&lt;&gt;0,ROW($AI$5:$AI$35)-4),ROW(Q9)))),"",INDEX($AH$5:$AH$37,SMALL(IF($AI$5:$AI$35&lt;&gt;0,ROW($AI$5:$AI$35)-4),ROW(Q9))))</f>
        <v/>
      </c>
      <c r="R13" s="440" t="str">
        <f t="array" ref="R13">IF(ISERROR(INDEX($AI$5:$AI$35,SMALL(IF($AI$5:$AI$35&lt;&gt;0,ROW($AI$5:$AI$35)-4),ROW(R9)))),"",INDEX($AI$5:$AI$35,SMALL(IF($AI$5:$AI$35&lt;&gt;0,ROW($AI$5:$AI$35)-4),ROW(R9))))</f>
        <v/>
      </c>
      <c r="S13" s="439" t="str">
        <f t="array" ref="S13">IF( ISERROR(INDEX($AJ$5:$AJ$37,SMALL(IF($AK$5:$AK$35&lt;&gt;0,ROW($AJ$5:$AJ$35)-4),ROW(S9)))),"",INDEX($AJ$5:$AJ$37,SMALL(IF($AK$5:$AK$35&lt;&gt;0,ROW($AK$5:$AK$35)-4),ROW(S9))))</f>
        <v/>
      </c>
      <c r="T13" s="440" t="str">
        <f t="array" ref="T13">IF(ISERROR(INDEX($AK$5:$AK$35,SMALL(IF($AK$5:$AK$35&lt;&gt;0,ROW($AK$5:$AK$35)-4),ROW(T9)))),"",INDEX($AK$5:$AK$35,SMALL(IF($AK$5:$AK$35&lt;&gt;0,ROW($AK$5:$AK$35)-4),ROW(T9))))</f>
        <v/>
      </c>
      <c r="V13" s="575" t="s">
        <v>1246</v>
      </c>
      <c r="W13" s="575">
        <f t="shared" si="0"/>
        <v>0</v>
      </c>
      <c r="X13" s="575" t="s">
        <v>55</v>
      </c>
      <c r="Y13" s="575">
        <f>SUMIF($AT$5:$AT$53,X13,$AR$5:$AR$53)</f>
        <v>0</v>
      </c>
      <c r="Z13" s="575" t="s">
        <v>79</v>
      </c>
      <c r="AA13" s="572">
        <f t="shared" si="1"/>
        <v>0</v>
      </c>
      <c r="AB13" s="575" t="s">
        <v>78</v>
      </c>
      <c r="AC13" s="575">
        <f t="shared" si="2"/>
        <v>0</v>
      </c>
      <c r="AD13" s="575"/>
      <c r="AE13" s="575"/>
      <c r="AF13" s="575"/>
      <c r="AG13" s="575"/>
      <c r="AH13" s="575"/>
      <c r="AI13" s="575"/>
      <c r="AJ13" s="572"/>
      <c r="AK13" s="575"/>
      <c r="AL13" s="207"/>
      <c r="AM13" s="201">
        <v>12</v>
      </c>
      <c r="AN13" s="572" t="s">
        <v>1090</v>
      </c>
      <c r="AO13" s="579" t="s">
        <v>1098</v>
      </c>
      <c r="AP13" s="572">
        <f>(8*(L1_C+L2_C+L3_C+L4_C)+4*(L1_F+L2_F+L3_F+L4_F))*CEILING(W_O-1,1)</f>
        <v>360</v>
      </c>
      <c r="AQ13" s="574">
        <f t="shared" si="6"/>
        <v>360</v>
      </c>
      <c r="AR13" s="584">
        <f t="shared" si="7"/>
        <v>360</v>
      </c>
      <c r="AS13" s="575" t="s">
        <v>1090</v>
      </c>
      <c r="AT13" s="572" t="s">
        <v>1090</v>
      </c>
      <c r="AU13" s="572" t="s">
        <v>1091</v>
      </c>
      <c r="AV13" s="950" t="s">
        <v>1090</v>
      </c>
      <c r="AW13" s="572" t="s">
        <v>1091</v>
      </c>
      <c r="AX13" s="581" t="s">
        <v>1092</v>
      </c>
      <c r="AY13" s="581"/>
    </row>
    <row r="14" spans="1:52" ht="22.5" customHeight="1">
      <c r="A14" s="436" t="str">
        <f>IF(B14="","",(VLOOKUP(B:B,'0.39'!B:F,5,FALSE)))</f>
        <v/>
      </c>
      <c r="B14" s="436" t="str">
        <f>IF(BASIC_TOOL!$F$23=1,BoltnNuts!E14,IF(BASIC_TOOL!$F$23=2,BoltnNuts!G14,IF(BASIC_TOOL!$F$23=3,BoltnNuts!I14,IF(BASIC_TOOL!$F$23=4,BoltnNuts!K14,IF(BASIC_TOOL!$F$23=5,BoltnNuts!M14,IF(BASIC_TOOL!$F$23=6,BoltnNuts!O14,IF(BASIC_TOOL!$F$23=7,BoltnNuts!Q14,IF(BASIC_TOOL!$F$23=8,BoltnNuts!S14))))))))</f>
        <v/>
      </c>
      <c r="C14" s="436" t="str">
        <f>IF(BASIC_TOOL!$F$23=1,BoltnNuts!F14,IF(BASIC_TOOL!$F$23=2,BoltnNuts!H14,IF(BASIC_TOOL!$F$23=3,BoltnNuts!J14,IF(BASIC_TOOL!$F$23=4,BoltnNuts!L14,IF(BASIC_TOOL!$F$23=5,BoltnNuts!N14,IF(BASIC_TOOL!$F$23=6,BoltnNuts!P14,IF(BASIC_TOOL!$F$23=7,BoltnNuts!R14,IF(BASIC_TOOL!$F$23=8,BoltnNuts!T14))))))))</f>
        <v/>
      </c>
      <c r="D14" s="403"/>
      <c r="E14" s="439" t="str">
        <f t="array" ref="E14">IF( ISERROR(INDEX($V$5:$V$37,SMALL(IF($W$5:$W$35&lt;&gt;0,ROW($W$5:$W$35)-4),ROW(E10)))),"",INDEX($V$5:$V$37,SMALL(IF($W$5:$W$35&lt;&gt;0,ROW($W$5:$W$35)-4),ROW(E10))))</f>
        <v/>
      </c>
      <c r="F14" s="440" t="str">
        <f t="array" ref="F14">IF(ISERROR(INDEX($W$5:$W$35,SMALL(IF($W$5:$W$35&lt;&gt;0,ROW($W$5:$W$35)-4),ROW(F10)))),"",INDEX($W$5:$W$35,SMALL(IF($W$5:$W$35&lt;&gt;0,ROW($W$5:$W$35)-4),ROW(F10))))</f>
        <v/>
      </c>
      <c r="G14" s="439" t="str">
        <f t="array" ref="G14">IF( ISERROR(INDEX($X$5:$X$35,SMALL(IF($Y$5:$Y$35&lt;&gt;0,ROW($Y$5:$Y$35)-4),ROW(G10)))),"",INDEX($X$5:$X$35,SMALL(IF($Y$5:$Y$35&lt;&gt;0,ROW($Y$5:$Y$35)-4),ROW(G10))))</f>
        <v/>
      </c>
      <c r="H14" s="440" t="str">
        <f t="array" ref="H14">IF(ISERROR(INDEX($Y$5:$Y$35,SMALL(IF($Y$5:$Y$35&lt;&gt;0,ROW($Y$5:$Y$35)-4),ROW(H10)))),"",INDEX($Y$5:$Y$35,SMALL(IF($Y$5:$Y$35&lt;&gt;0,ROW($Y$5:$Y$35)-4),ROW(H10))))</f>
        <v/>
      </c>
      <c r="I14" s="439" t="str">
        <f t="array" ref="I14">IF( ISERROR(INDEX($Z$5:$Z$37,SMALL(IF($AA$5:$AA$35&lt;&gt;0,ROW($AA$5:$AA$35)-4),ROW(I10)))),"",INDEX($Z$5:$Z$37,SMALL(IF($AA$5:$AA$35&lt;&gt;0,ROW($Z$5:$Z$35)-4),ROW(I10))))</f>
        <v/>
      </c>
      <c r="J14" s="440" t="str">
        <f t="array" ref="J14">IF(ISERROR(INDEX($AA$5:$AA$35,SMALL(IF($AA$5:$AA$35&lt;&gt;0,ROW($AA$5:$AA$35)-4),ROW(J10)))),"",INDEX($AA$5:$AA$35,SMALL(IF($AA$5:$AA$35&lt;&gt;0,ROW($AA$5:$AA$35)-4),ROW(J10))))</f>
        <v/>
      </c>
      <c r="K14" s="439" t="str">
        <f t="array" ref="K14">IF( ISERROR(INDEX($AB$5:$AB$37,SMALL(IF($AC$5:$AC$35&lt;&gt;0,ROW($AC$5:$AC$35)-4),ROW(K10)))),"",INDEX($AB$5:$AB$37,SMALL(IF($AC$5:$AC$35&lt;&gt;0,ROW($AC$5:$AC$35)-4),ROW(K10))))</f>
        <v/>
      </c>
      <c r="L14" s="440" t="str">
        <f t="array" ref="L14">IF(ISERROR(INDEX($AC$5:$AC$35,SMALL(IF($AC$5:$AC$35&lt;&gt;0,ROW($AC$5:$AC$35)-4),ROW(L10)))),"",INDEX($AC$5:$AC$35,SMALL(IF($AC$5:$AC$35&lt;&gt;0,ROW($AC$5:$AC$35)-4),ROW(L10))))</f>
        <v/>
      </c>
      <c r="M14" s="439" t="str">
        <f t="array" ref="M14">IF( ISERROR(INDEX($AD$5:$AD$37,SMALL(IF($AE$5:$AE$35&lt;&gt;0,ROW($AE$5:$AE$35)-4),ROW(M10)))),"",INDEX($AD$5:$AD$37,SMALL(IF($AE$5:$AE$35&lt;&gt;0,ROW($AD$5:$AD$35)-4),ROW(M10))))</f>
        <v/>
      </c>
      <c r="N14" s="440" t="str">
        <f t="array" ref="N14">IF(ISERROR(INDEX($AE$5:$AE$35,SMALL(IF($AE$5:$AE$35&lt;&gt;0,ROW($AE$5:$AE$35)-4),ROW(N10)))),"",INDEX($AE$5:$AE$35,SMALL(IF($AE$5:$AE$35&lt;&gt;0,ROW($AE$5:$AE$35)-4),ROW(N10))))</f>
        <v/>
      </c>
      <c r="O14" s="439" t="str">
        <f t="array" ref="O14">IF( ISERROR(INDEX($AF$5:$AF$37,SMALL(IF($AG$5:$AG$35&lt;&gt;0,ROW($AG$5:$AG$35)-4),ROW(O10)))),"",INDEX($AF$5:$AF$37,SMALL(IF($AG$5:$AG$35&lt;&gt;0,ROW($AG$5:$AG$35)-4),ROW(O10))))</f>
        <v/>
      </c>
      <c r="P14" s="440" t="str">
        <f t="array" ref="P14">IF(ISERROR(INDEX($AG$5:$AG$35,SMALL(IF($AG$5:$AG$35&lt;&gt;0,ROW($AG$5:$AG$35)-4),ROW(P10)))),"",INDEX($AG$5:$AG$35,SMALL(IF($AG$5:$AG$35&lt;&gt;0,ROW($AG$5:$AG$35)-4),ROW(P10))))</f>
        <v/>
      </c>
      <c r="Q14" s="439" t="str">
        <f t="array" ref="Q14">IF( ISERROR(INDEX($AH$5:$AH$37,SMALL(IF($AI$5:$AI$35&lt;&gt;0,ROW($AI$5:$AI$35)-4),ROW(Q10)))),"",INDEX($AH$5:$AH$37,SMALL(IF($AI$5:$AI$35&lt;&gt;0,ROW($AI$5:$AI$35)-4),ROW(Q10))))</f>
        <v/>
      </c>
      <c r="R14" s="440" t="str">
        <f t="array" ref="R14">IF(ISERROR(INDEX($AI$5:$AI$35,SMALL(IF($AI$5:$AI$35&lt;&gt;0,ROW($AI$5:$AI$35)-4),ROW(R10)))),"",INDEX($AI$5:$AI$35,SMALL(IF($AI$5:$AI$35&lt;&gt;0,ROW($AI$5:$AI$35)-4),ROW(R10))))</f>
        <v/>
      </c>
      <c r="S14" s="439" t="str">
        <f t="array" ref="S14">IF( ISERROR(INDEX($AJ$5:$AJ$37,SMALL(IF($AK$5:$AK$35&lt;&gt;0,ROW($AJ$5:$AJ$35)-4),ROW(S10)))),"",INDEX($AJ$5:$AJ$37,SMALL(IF($AK$5:$AK$35&lt;&gt;0,ROW($AK$5:$AK$35)-4),ROW(S10))))</f>
        <v/>
      </c>
      <c r="T14" s="440" t="str">
        <f t="array" ref="T14">IF(ISERROR(INDEX($AK$5:$AK$35,SMALL(IF($AK$5:$AK$35&lt;&gt;0,ROW($AK$5:$AK$35)-4),ROW(T10)))),"",INDEX($AK$5:$AK$35,SMALL(IF($AK$5:$AK$35&lt;&gt;0,ROW($AK$5:$AK$35)-4),ROW(T10))))</f>
        <v/>
      </c>
      <c r="V14" s="575" t="str">
        <f>AN38</f>
        <v>WABT-1210NE</v>
      </c>
      <c r="W14" s="575">
        <f t="shared" si="0"/>
        <v>0</v>
      </c>
      <c r="X14" s="575" t="s">
        <v>5</v>
      </c>
      <c r="Y14" s="575">
        <f>SUMIF($AT$5:$AT$53,X14,$AR$5:$AR$53)</f>
        <v>0</v>
      </c>
      <c r="Z14" s="575" t="s">
        <v>5</v>
      </c>
      <c r="AA14" s="572">
        <f t="shared" si="1"/>
        <v>0</v>
      </c>
      <c r="AB14" s="575" t="s">
        <v>5</v>
      </c>
      <c r="AC14" s="575">
        <f t="shared" si="2"/>
        <v>0</v>
      </c>
      <c r="AD14" s="572"/>
      <c r="AE14" s="575"/>
      <c r="AF14" s="572"/>
      <c r="AG14" s="575"/>
      <c r="AH14" s="572"/>
      <c r="AI14" s="575"/>
      <c r="AJ14" s="572"/>
      <c r="AK14" s="575"/>
      <c r="AL14" s="207"/>
      <c r="AM14" s="201">
        <v>13</v>
      </c>
      <c r="AN14" s="572" t="s">
        <v>1090</v>
      </c>
      <c r="AO14" s="579" t="s">
        <v>1099</v>
      </c>
      <c r="AP14" s="572">
        <f>H_O*((W_C+W_F-1)+(L_O_C+L_O_F-1))*2*8</f>
        <v>624</v>
      </c>
      <c r="AQ14" s="574">
        <f t="shared" si="6"/>
        <v>624</v>
      </c>
      <c r="AR14" s="584">
        <f t="shared" si="7"/>
        <v>624</v>
      </c>
      <c r="AS14" s="575" t="s">
        <v>1090</v>
      </c>
      <c r="AT14" s="572" t="s">
        <v>1090</v>
      </c>
      <c r="AU14" s="572" t="s">
        <v>1091</v>
      </c>
      <c r="AV14" s="950" t="s">
        <v>1090</v>
      </c>
      <c r="AW14" s="572" t="s">
        <v>1091</v>
      </c>
      <c r="AX14" s="581" t="s">
        <v>1092</v>
      </c>
      <c r="AY14" s="581"/>
    </row>
    <row r="15" spans="1:52" ht="22.5" customHeight="1">
      <c r="A15" s="436" t="str">
        <f>IF(B15="","",(VLOOKUP(B:B,'0.39'!B:F,5,FALSE)))</f>
        <v/>
      </c>
      <c r="B15" s="436" t="str">
        <f>IF(BASIC_TOOL!$F$23=1,BoltnNuts!E15,IF(BASIC_TOOL!$F$23=2,BoltnNuts!G15,IF(BASIC_TOOL!$F$23=3,BoltnNuts!I15,IF(BASIC_TOOL!$F$23=4,BoltnNuts!K15,IF(BASIC_TOOL!$F$23=5,BoltnNuts!M15,IF(BASIC_TOOL!$F$23=6,BoltnNuts!O15,IF(BASIC_TOOL!$F$23=7,BoltnNuts!Q15,IF(BASIC_TOOL!$F$23=8,BoltnNuts!S15))))))))</f>
        <v/>
      </c>
      <c r="C15" s="436" t="str">
        <f>IF(BASIC_TOOL!$F$23=1,BoltnNuts!F15,IF(BASIC_TOOL!$F$23=2,BoltnNuts!H15,IF(BASIC_TOOL!$F$23=3,BoltnNuts!J15,IF(BASIC_TOOL!$F$23=4,BoltnNuts!L15,IF(BASIC_TOOL!$F$23=5,BoltnNuts!N15,IF(BASIC_TOOL!$F$23=6,BoltnNuts!P15,IF(BASIC_TOOL!$F$23=7,BoltnNuts!R15,IF(BASIC_TOOL!$F$23=8,BoltnNuts!T15))))))))</f>
        <v/>
      </c>
      <c r="D15" s="403"/>
      <c r="E15" s="439" t="str">
        <f t="array" ref="E15">IF( ISERROR(INDEX($V$5:$V$37,SMALL(IF($W$5:$W$35&lt;&gt;0,ROW($W$5:$W$35)-4),ROW(E11)))),"",INDEX($V$5:$V$37,SMALL(IF($W$5:$W$35&lt;&gt;0,ROW($W$5:$W$35)-4),ROW(E11))))</f>
        <v/>
      </c>
      <c r="F15" s="440" t="str">
        <f t="array" ref="F15">IF(ISERROR(INDEX($W$5:$W$35,SMALL(IF($W$5:$W$35&lt;&gt;0,ROW($W$5:$W$35)-4),ROW(F11)))),"",INDEX($W$5:$W$35,SMALL(IF($W$5:$W$35&lt;&gt;0,ROW($W$5:$W$35)-4),ROW(F11))))</f>
        <v/>
      </c>
      <c r="G15" s="439" t="str">
        <f t="array" ref="G15">IF( ISERROR(INDEX($X$5:$X$35,SMALL(IF($Y$5:$Y$35&lt;&gt;0,ROW($Y$5:$Y$35)-4),ROW(G11)))),"",INDEX($X$5:$X$35,SMALL(IF($Y$5:$Y$35&lt;&gt;0,ROW($Y$5:$Y$35)-4),ROW(G11))))</f>
        <v/>
      </c>
      <c r="H15" s="440" t="str">
        <f t="array" ref="H15">IF(ISERROR(INDEX($Y$5:$Y$35,SMALL(IF($Y$5:$Y$35&lt;&gt;0,ROW($Y$5:$Y$35)-4),ROW(H11)))),"",INDEX($Y$5:$Y$35,SMALL(IF($Y$5:$Y$35&lt;&gt;0,ROW($Y$5:$Y$35)-4),ROW(H11))))</f>
        <v/>
      </c>
      <c r="I15" s="439" t="str">
        <f t="array" ref="I15">IF( ISERROR(INDEX($Z$5:$Z$37,SMALL(IF($AA$5:$AA$35&lt;&gt;0,ROW($AA$5:$AA$35)-4),ROW(I11)))),"",INDEX($Z$5:$Z$37,SMALL(IF($AA$5:$AA$35&lt;&gt;0,ROW($Z$5:$Z$35)-4),ROW(I11))))</f>
        <v/>
      </c>
      <c r="J15" s="440" t="str">
        <f t="array" ref="J15">IF(ISERROR(INDEX($AA$5:$AA$35,SMALL(IF($AA$5:$AA$35&lt;&gt;0,ROW($AA$5:$AA$35)-4),ROW(J11)))),"",INDEX($AA$5:$AA$35,SMALL(IF($AA$5:$AA$35&lt;&gt;0,ROW($AA$5:$AA$35)-4),ROW(J11))))</f>
        <v/>
      </c>
      <c r="K15" s="439" t="str">
        <f t="array" ref="K15">IF( ISERROR(INDEX($AB$5:$AB$37,SMALL(IF($AC$5:$AC$35&lt;&gt;0,ROW($AC$5:$AC$35)-4),ROW(K11)))),"",INDEX($AB$5:$AB$37,SMALL(IF($AC$5:$AC$35&lt;&gt;0,ROW($AC$5:$AC$35)-4),ROW(K11))))</f>
        <v/>
      </c>
      <c r="L15" s="440" t="str">
        <f t="array" ref="L15">IF(ISERROR(INDEX($AC$5:$AC$35,SMALL(IF($AC$5:$AC$35&lt;&gt;0,ROW($AC$5:$AC$35)-4),ROW(L11)))),"",INDEX($AC$5:$AC$35,SMALL(IF($AC$5:$AC$35&lt;&gt;0,ROW($AC$5:$AC$35)-4),ROW(L11))))</f>
        <v/>
      </c>
      <c r="M15" s="439" t="str">
        <f t="array" ref="M15">IF( ISERROR(INDEX($AD$5:$AD$37,SMALL(IF($AE$5:$AE$35&lt;&gt;0,ROW($AE$5:$AE$35)-4),ROW(M11)))),"",INDEX($AD$5:$AD$37,SMALL(IF($AE$5:$AE$35&lt;&gt;0,ROW($AD$5:$AD$35)-4),ROW(M11))))</f>
        <v/>
      </c>
      <c r="N15" s="440" t="str">
        <f t="array" ref="N15">IF(ISERROR(INDEX($AE$5:$AE$35,SMALL(IF($AE$5:$AE$35&lt;&gt;0,ROW($AE$5:$AE$35)-4),ROW(N11)))),"",INDEX($AE$5:$AE$35,SMALL(IF($AE$5:$AE$35&lt;&gt;0,ROW($AE$5:$AE$35)-4),ROW(N11))))</f>
        <v/>
      </c>
      <c r="O15" s="439" t="str">
        <f t="array" ref="O15">IF( ISERROR(INDEX($AF$5:$AF$37,SMALL(IF($AG$5:$AG$35&lt;&gt;0,ROW($AG$5:$AG$35)-4),ROW(O11)))),"",INDEX($AF$5:$AF$37,SMALL(IF($AG$5:$AG$35&lt;&gt;0,ROW($AG$5:$AG$35)-4),ROW(O11))))</f>
        <v/>
      </c>
      <c r="P15" s="440" t="str">
        <f t="array" ref="P15">IF(ISERROR(INDEX($AG$5:$AG$35,SMALL(IF($AG$5:$AG$35&lt;&gt;0,ROW($AG$5:$AG$35)-4),ROW(P11)))),"",INDEX($AG$5:$AG$35,SMALL(IF($AG$5:$AG$35&lt;&gt;0,ROW($AG$5:$AG$35)-4),ROW(P11))))</f>
        <v/>
      </c>
      <c r="Q15" s="439" t="str">
        <f t="array" ref="Q15">IF( ISERROR(INDEX($AH$5:$AH$37,SMALL(IF($AI$5:$AI$35&lt;&gt;0,ROW($AI$5:$AI$35)-4),ROW(Q11)))),"",INDEX($AH$5:$AH$37,SMALL(IF($AI$5:$AI$35&lt;&gt;0,ROW($AI$5:$AI$35)-4),ROW(Q11))))</f>
        <v/>
      </c>
      <c r="R15" s="440" t="str">
        <f t="array" ref="R15">IF(ISERROR(INDEX($AI$5:$AI$35,SMALL(IF($AI$5:$AI$35&lt;&gt;0,ROW($AI$5:$AI$35)-4),ROW(R11)))),"",INDEX($AI$5:$AI$35,SMALL(IF($AI$5:$AI$35&lt;&gt;0,ROW($AI$5:$AI$35)-4),ROW(R11))))</f>
        <v/>
      </c>
      <c r="S15" s="439" t="str">
        <f t="array" ref="S15">IF( ISERROR(INDEX($AJ$5:$AJ$37,SMALL(IF($AK$5:$AK$35&lt;&gt;0,ROW($AJ$5:$AJ$35)-4),ROW(S11)))),"",INDEX($AJ$5:$AJ$37,SMALL(IF($AK$5:$AK$35&lt;&gt;0,ROW($AK$5:$AK$35)-4),ROW(S11))))</f>
        <v/>
      </c>
      <c r="T15" s="440" t="str">
        <f t="array" ref="T15">IF(ISERROR(INDEX($AK$5:$AK$35,SMALL(IF($AK$5:$AK$35&lt;&gt;0,ROW($AK$5:$AK$35)-4),ROW(T11)))),"",INDEX($AK$5:$AK$35,SMALL(IF($AK$5:$AK$35&lt;&gt;0,ROW($AK$5:$AK$35)-4),ROW(T11))))</f>
        <v/>
      </c>
      <c r="V15" s="575" t="s">
        <v>3157</v>
      </c>
      <c r="W15" s="575">
        <f t="shared" ref="W15" si="10">SUMIF($AS$5:$AS$54,V15,$AR$5:$AR$54)</f>
        <v>0</v>
      </c>
      <c r="X15" s="575" t="s">
        <v>3157</v>
      </c>
      <c r="Y15" s="575">
        <f t="shared" ref="Y15:Y16" si="11">SUMIF($AT$5:$AT$53,X15,$AR$5:$AR$53)</f>
        <v>0</v>
      </c>
      <c r="Z15" s="575" t="s">
        <v>3158</v>
      </c>
      <c r="AA15" s="572">
        <f t="shared" si="1"/>
        <v>0</v>
      </c>
      <c r="AB15" s="575" t="s">
        <v>3157</v>
      </c>
      <c r="AC15" s="575">
        <f t="shared" si="2"/>
        <v>0</v>
      </c>
      <c r="AD15" s="572"/>
      <c r="AE15" s="575"/>
      <c r="AF15" s="572"/>
      <c r="AG15" s="575"/>
      <c r="AH15" s="572"/>
      <c r="AI15" s="575"/>
      <c r="AJ15" s="575"/>
      <c r="AK15" s="575"/>
      <c r="AL15" s="207"/>
      <c r="AM15" s="201">
        <v>14</v>
      </c>
      <c r="AN15" s="572" t="s">
        <v>1090</v>
      </c>
      <c r="AO15" s="579" t="s">
        <v>1100</v>
      </c>
      <c r="AP15" s="572">
        <f>IF(H_O&gt;2,8*(W_C+L1_C+L2_C+L3_C+L4_C)*2*(H_C+H_F-2)+4*(H_O-1)*(W_F+L1_F+L2_F+L3_F+L4_F)*(H_C+H_F-2),0)+IF(BASIC_TOOL!D15&gt;0,8*(W_C+L1_C+L2_C+L3_C+L4_C)*2+4*(W_F+L1_F+L2_F+L3_F+L4_F),0)</f>
        <v>240</v>
      </c>
      <c r="AQ15" s="574">
        <f t="shared" si="6"/>
        <v>240</v>
      </c>
      <c r="AR15" s="584">
        <f t="shared" si="7"/>
        <v>240</v>
      </c>
      <c r="AS15" s="575" t="s">
        <v>1090</v>
      </c>
      <c r="AT15" s="572" t="s">
        <v>1090</v>
      </c>
      <c r="AU15" s="572" t="s">
        <v>1091</v>
      </c>
      <c r="AV15" s="950" t="s">
        <v>1090</v>
      </c>
      <c r="AW15" s="572" t="s">
        <v>1091</v>
      </c>
      <c r="AX15" s="581" t="s">
        <v>1092</v>
      </c>
      <c r="AY15" s="581"/>
    </row>
    <row r="16" spans="1:52" ht="22.5" customHeight="1">
      <c r="A16" s="436" t="str">
        <f>IF(B16="","",(VLOOKUP(B:B,'0.39'!B:F,5,FALSE)))</f>
        <v/>
      </c>
      <c r="B16" s="436" t="str">
        <f>IF(BASIC_TOOL!$F$23=1,BoltnNuts!E16,IF(BASIC_TOOL!$F$23=2,BoltnNuts!G16,IF(BASIC_TOOL!$F$23=3,BoltnNuts!I16,IF(BASIC_TOOL!$F$23=4,BoltnNuts!K16,IF(BASIC_TOOL!$F$23=5,BoltnNuts!M16,IF(BASIC_TOOL!$F$23=6,BoltnNuts!O16,IF(BASIC_TOOL!$F$23=7,BoltnNuts!Q16,IF(BASIC_TOOL!$F$23=8,BoltnNuts!S16))))))))</f>
        <v/>
      </c>
      <c r="C16" s="436" t="str">
        <f>IF(BASIC_TOOL!$F$23=1,BoltnNuts!F16,IF(BASIC_TOOL!$F$23=2,BoltnNuts!H16,IF(BASIC_TOOL!$F$23=3,BoltnNuts!J16,IF(BASIC_TOOL!$F$23=4,BoltnNuts!L16,IF(BASIC_TOOL!$F$23=5,BoltnNuts!N16,IF(BASIC_TOOL!$F$23=6,BoltnNuts!P16,IF(BASIC_TOOL!$F$23=7,BoltnNuts!R16,IF(BASIC_TOOL!$F$23=8,BoltnNuts!T16))))))))</f>
        <v/>
      </c>
      <c r="D16" s="403"/>
      <c r="E16" s="439" t="str">
        <f t="array" ref="E16">IF( ISERROR(INDEX($V$5:$V$37,SMALL(IF($W$5:$W$35&lt;&gt;0,ROW($W$5:$W$35)-4),ROW(E12)))),"",INDEX($V$5:$V$37,SMALL(IF($W$5:$W$35&lt;&gt;0,ROW($W$5:$W$35)-4),ROW(E12))))</f>
        <v/>
      </c>
      <c r="F16" s="440" t="str">
        <f t="array" ref="F16">IF(ISERROR(INDEX($W$5:$W$35,SMALL(IF($W$5:$W$35&lt;&gt;0,ROW($W$5:$W$35)-4),ROW(F12)))),"",INDEX($W$5:$W$35,SMALL(IF($W$5:$W$35&lt;&gt;0,ROW($W$5:$W$35)-4),ROW(F12))))</f>
        <v/>
      </c>
      <c r="G16" s="439" t="str">
        <f t="array" ref="G16">IF( ISERROR(INDEX($X$5:$X$35,SMALL(IF($Y$5:$Y$35&lt;&gt;0,ROW($Y$5:$Y$35)-4),ROW(G12)))),"",INDEX($X$5:$X$35,SMALL(IF($Y$5:$Y$35&lt;&gt;0,ROW($Y$5:$Y$35)-4),ROW(G12))))</f>
        <v/>
      </c>
      <c r="H16" s="440" t="str">
        <f t="array" ref="H16">IF(ISERROR(INDEX($Y$5:$Y$35,SMALL(IF($Y$5:$Y$35&lt;&gt;0,ROW($Y$5:$Y$35)-4),ROW(H12)))),"",INDEX($Y$5:$Y$35,SMALL(IF($Y$5:$Y$35&lt;&gt;0,ROW($Y$5:$Y$35)-4),ROW(H12))))</f>
        <v/>
      </c>
      <c r="I16" s="439" t="str">
        <f t="array" ref="I16">IF( ISERROR(INDEX($Z$5:$Z$37,SMALL(IF($AA$5:$AA$35&lt;&gt;0,ROW($AA$5:$AA$35)-4),ROW(I12)))),"",INDEX($Z$5:$Z$37,SMALL(IF($AA$5:$AA$35&lt;&gt;0,ROW($Z$5:$Z$35)-4),ROW(I12))))</f>
        <v/>
      </c>
      <c r="J16" s="440" t="str">
        <f t="array" ref="J16">IF(ISERROR(INDEX($AA$5:$AA$35,SMALL(IF($AA$5:$AA$35&lt;&gt;0,ROW($AA$5:$AA$35)-4),ROW(J12)))),"",INDEX($AA$5:$AA$35,SMALL(IF($AA$5:$AA$35&lt;&gt;0,ROW($AA$5:$AA$35)-4),ROW(J12))))</f>
        <v/>
      </c>
      <c r="K16" s="439" t="str">
        <f t="array" ref="K16">IF( ISERROR(INDEX($AB$5:$AB$37,SMALL(IF($AC$5:$AC$35&lt;&gt;0,ROW($AC$5:$AC$35)-4),ROW(K12)))),"",INDEX($AB$5:$AB$37,SMALL(IF($AC$5:$AC$35&lt;&gt;0,ROW($AC$5:$AC$35)-4),ROW(K12))))</f>
        <v/>
      </c>
      <c r="L16" s="440" t="str">
        <f t="array" ref="L16">IF(ISERROR(INDEX($AC$5:$AC$35,SMALL(IF($AC$5:$AC$35&lt;&gt;0,ROW($AC$5:$AC$35)-4),ROW(L12)))),"",INDEX($AC$5:$AC$35,SMALL(IF($AC$5:$AC$35&lt;&gt;0,ROW($AC$5:$AC$35)-4),ROW(L12))))</f>
        <v/>
      </c>
      <c r="M16" s="439" t="str">
        <f t="array" ref="M16">IF( ISERROR(INDEX($AD$5:$AD$37,SMALL(IF($AE$5:$AE$35&lt;&gt;0,ROW($AE$5:$AE$35)-4),ROW(M12)))),"",INDEX($AD$5:$AD$37,SMALL(IF($AE$5:$AE$35&lt;&gt;0,ROW($AD$5:$AD$35)-4),ROW(M12))))</f>
        <v/>
      </c>
      <c r="N16" s="440" t="str">
        <f t="array" ref="N16">IF(ISERROR(INDEX($AE$5:$AE$35,SMALL(IF($AE$5:$AE$35&lt;&gt;0,ROW($AE$5:$AE$35)-4),ROW(N12)))),"",INDEX($AE$5:$AE$35,SMALL(IF($AE$5:$AE$35&lt;&gt;0,ROW($AE$5:$AE$35)-4),ROW(N12))))</f>
        <v/>
      </c>
      <c r="O16" s="439" t="str">
        <f t="array" ref="O16">IF( ISERROR(INDEX($AF$5:$AF$37,SMALL(IF($AG$5:$AG$35&lt;&gt;0,ROW($AG$5:$AG$35)-4),ROW(O12)))),"",INDEX($AF$5:$AF$37,SMALL(IF($AG$5:$AG$35&lt;&gt;0,ROW($AG$5:$AG$35)-4),ROW(O12))))</f>
        <v/>
      </c>
      <c r="P16" s="440" t="str">
        <f t="array" ref="P16">IF(ISERROR(INDEX($AG$5:$AG$35,SMALL(IF($AG$5:$AG$35&lt;&gt;0,ROW($AG$5:$AG$35)-4),ROW(P12)))),"",INDEX($AG$5:$AG$35,SMALL(IF($AG$5:$AG$35&lt;&gt;0,ROW($AG$5:$AG$35)-4),ROW(P12))))</f>
        <v/>
      </c>
      <c r="Q16" s="439" t="str">
        <f t="array" ref="Q16">IF( ISERROR(INDEX($AH$5:$AH$37,SMALL(IF($AI$5:$AI$35&lt;&gt;0,ROW($AI$5:$AI$35)-4),ROW(Q12)))),"",INDEX($AH$5:$AH$37,SMALL(IF($AI$5:$AI$35&lt;&gt;0,ROW($AI$5:$AI$35)-4),ROW(Q12))))</f>
        <v/>
      </c>
      <c r="R16" s="440" t="str">
        <f t="array" ref="R16">IF(ISERROR(INDEX($AI$5:$AI$35,SMALL(IF($AI$5:$AI$35&lt;&gt;0,ROW($AI$5:$AI$35)-4),ROW(R12)))),"",INDEX($AI$5:$AI$35,SMALL(IF($AI$5:$AI$35&lt;&gt;0,ROW($AI$5:$AI$35)-4),ROW(R12))))</f>
        <v/>
      </c>
      <c r="S16" s="439" t="str">
        <f t="array" ref="S16">IF( ISERROR(INDEX($AJ$5:$AJ$37,SMALL(IF($AK$5:$AK$35&lt;&gt;0,ROW($AJ$5:$AJ$35)-4),ROW(S12)))),"",INDEX($AJ$5:$AJ$37,SMALL(IF($AK$5:$AK$35&lt;&gt;0,ROW($AK$5:$AK$35)-4),ROW(S12))))</f>
        <v/>
      </c>
      <c r="T16" s="440" t="str">
        <f t="array" ref="T16">IF(ISERROR(INDEX($AK$5:$AK$35,SMALL(IF($AK$5:$AK$35&lt;&gt;0,ROW($AK$5:$AK$35)-4),ROW(T12)))),"",INDEX($AK$5:$AK$35,SMALL(IF($AK$5:$AK$35&lt;&gt;0,ROW($AK$5:$AK$35)-4),ROW(T12))))</f>
        <v/>
      </c>
      <c r="V16" s="575"/>
      <c r="W16" s="575"/>
      <c r="X16" s="575"/>
      <c r="Y16" s="575">
        <f t="shared" si="11"/>
        <v>0</v>
      </c>
      <c r="Z16" s="575"/>
      <c r="AA16" s="572">
        <f t="shared" si="1"/>
        <v>0</v>
      </c>
      <c r="AB16" s="575"/>
      <c r="AC16" s="575">
        <f t="shared" si="2"/>
        <v>0</v>
      </c>
      <c r="AD16" s="575"/>
      <c r="AE16" s="575"/>
      <c r="AF16" s="575"/>
      <c r="AG16" s="575"/>
      <c r="AH16" s="575"/>
      <c r="AI16" s="575"/>
      <c r="AJ16" s="575"/>
      <c r="AK16" s="575"/>
      <c r="AL16" s="207"/>
      <c r="AM16" s="201">
        <v>15</v>
      </c>
      <c r="AN16" s="572" t="s">
        <v>1090</v>
      </c>
      <c r="AO16" s="579" t="s">
        <v>1101</v>
      </c>
      <c r="AP16" s="572">
        <f>((L1_C+L2_C+L3_C+L4_C+W_C)*8+(L1_F+L2_F+L3_F+L4_F+W_F)*4)*2</f>
        <v>240</v>
      </c>
      <c r="AQ16" s="574">
        <f t="shared" si="6"/>
        <v>240</v>
      </c>
      <c r="AR16" s="584">
        <f t="shared" si="7"/>
        <v>240</v>
      </c>
      <c r="AS16" s="575" t="s">
        <v>1090</v>
      </c>
      <c r="AT16" s="572" t="s">
        <v>1090</v>
      </c>
      <c r="AU16" s="572" t="s">
        <v>1091</v>
      </c>
      <c r="AV16" s="950" t="s">
        <v>1090</v>
      </c>
      <c r="AW16" s="572" t="s">
        <v>1091</v>
      </c>
      <c r="AX16" s="581" t="s">
        <v>1092</v>
      </c>
      <c r="AY16" s="581"/>
    </row>
    <row r="17" spans="1:51" ht="22.5" customHeight="1">
      <c r="A17" s="436" t="str">
        <f>IF(B17="","",(VLOOKUP(B:B,'0.39'!B:F,5,FALSE)))</f>
        <v/>
      </c>
      <c r="B17" s="436" t="str">
        <f>IF(BASIC_TOOL!$F$23=1,BoltnNuts!E17,IF(BASIC_TOOL!$F$23=2,BoltnNuts!G17,IF(BASIC_TOOL!$F$23=3,BoltnNuts!I17,IF(BASIC_TOOL!$F$23=4,BoltnNuts!K17,IF(BASIC_TOOL!$F$23=5,BoltnNuts!M17,IF(BASIC_TOOL!$F$23=6,BoltnNuts!O17,IF(BASIC_TOOL!$F$23=7,BoltnNuts!Q17,IF(BASIC_TOOL!$F$23=8,BoltnNuts!S17))))))))</f>
        <v/>
      </c>
      <c r="C17" s="436" t="str">
        <f>IF(BASIC_TOOL!$F$23=1,BoltnNuts!F17,IF(BASIC_TOOL!$F$23=2,BoltnNuts!H17,IF(BASIC_TOOL!$F$23=3,BoltnNuts!J17,IF(BASIC_TOOL!$F$23=4,BoltnNuts!L17,IF(BASIC_TOOL!$F$23=5,BoltnNuts!N17,IF(BASIC_TOOL!$F$23=6,BoltnNuts!P17,IF(BASIC_TOOL!$F$23=7,BoltnNuts!R17,IF(BASIC_TOOL!$F$23=8,BoltnNuts!T17))))))))</f>
        <v/>
      </c>
      <c r="D17" s="403"/>
      <c r="E17" s="439" t="str">
        <f t="array" ref="E17">IF( ISERROR(INDEX($V$5:$V$37,SMALL(IF($W$5:$W$35&lt;&gt;0,ROW($W$5:$W$35)-4),ROW(E13)))),"",INDEX($V$5:$V$37,SMALL(IF($W$5:$W$35&lt;&gt;0,ROW($W$5:$W$35)-4),ROW(E13))))</f>
        <v/>
      </c>
      <c r="F17" s="440" t="str">
        <f t="array" ref="F17">IF(ISERROR(INDEX($W$5:$W$35,SMALL(IF($W$5:$W$35&lt;&gt;0,ROW($W$5:$W$35)-4),ROW(F13)))),"",INDEX($W$5:$W$35,SMALL(IF($W$5:$W$35&lt;&gt;0,ROW($W$5:$W$35)-4),ROW(F13))))</f>
        <v/>
      </c>
      <c r="G17" s="439" t="str">
        <f t="array" ref="G17">IF( ISERROR(INDEX($X$5:$X$35,SMALL(IF($Y$5:$Y$35&lt;&gt;0,ROW($Y$5:$Y$35)-4),ROW(G13)))),"",INDEX($X$5:$X$35,SMALL(IF($Y$5:$Y$35&lt;&gt;0,ROW($Y$5:$Y$35)-4),ROW(G13))))</f>
        <v/>
      </c>
      <c r="H17" s="440" t="str">
        <f t="array" ref="H17">IF(ISERROR(INDEX($Y$5:$Y$35,SMALL(IF($Y$5:$Y$35&lt;&gt;0,ROW($Y$5:$Y$35)-4),ROW(H13)))),"",INDEX($Y$5:$Y$35,SMALL(IF($Y$5:$Y$35&lt;&gt;0,ROW($Y$5:$Y$35)-4),ROW(H13))))</f>
        <v/>
      </c>
      <c r="I17" s="439" t="str">
        <f t="array" ref="I17">IF( ISERROR(INDEX($Z$5:$Z$37,SMALL(IF($AA$5:$AA$35&lt;&gt;0,ROW($AA$5:$AA$35)-4),ROW(I13)))),"",INDEX($Z$5:$Z$37,SMALL(IF($AA$5:$AA$35&lt;&gt;0,ROW($Z$5:$Z$35)-4),ROW(I13))))</f>
        <v/>
      </c>
      <c r="J17" s="440" t="str">
        <f t="array" ref="J17">IF(ISERROR(INDEX($AA$5:$AA$35,SMALL(IF($AA$5:$AA$35&lt;&gt;0,ROW($AA$5:$AA$35)-4),ROW(J13)))),"",INDEX($AA$5:$AA$35,SMALL(IF($AA$5:$AA$35&lt;&gt;0,ROW($AA$5:$AA$35)-4),ROW(J13))))</f>
        <v/>
      </c>
      <c r="K17" s="439" t="str">
        <f t="array" ref="K17">IF( ISERROR(INDEX($AB$5:$AB$37,SMALL(IF($AC$5:$AC$35&lt;&gt;0,ROW($AC$5:$AC$35)-4),ROW(K13)))),"",INDEX($AB$5:$AB$37,SMALL(IF($AC$5:$AC$35&lt;&gt;0,ROW($AC$5:$AC$35)-4),ROW(K13))))</f>
        <v/>
      </c>
      <c r="L17" s="440" t="str">
        <f t="array" ref="L17">IF(ISERROR(INDEX($AC$5:$AC$35,SMALL(IF($AC$5:$AC$35&lt;&gt;0,ROW($AC$5:$AC$35)-4),ROW(L13)))),"",INDEX($AC$5:$AC$35,SMALL(IF($AC$5:$AC$35&lt;&gt;0,ROW($AC$5:$AC$35)-4),ROW(L13))))</f>
        <v/>
      </c>
      <c r="M17" s="439" t="str">
        <f t="array" ref="M17">IF( ISERROR(INDEX($AD$5:$AD$37,SMALL(IF($AE$5:$AE$35&lt;&gt;0,ROW($AE$5:$AE$35)-4),ROW(M13)))),"",INDEX($AD$5:$AD$37,SMALL(IF($AE$5:$AE$35&lt;&gt;0,ROW($AD$5:$AD$35)-4),ROW(M13))))</f>
        <v/>
      </c>
      <c r="N17" s="440" t="str">
        <f t="array" ref="N17">IF(ISERROR(INDEX($AE$5:$AE$35,SMALL(IF($AE$5:$AE$35&lt;&gt;0,ROW($AE$5:$AE$35)-4),ROW(N13)))),"",INDEX($AE$5:$AE$35,SMALL(IF($AE$5:$AE$35&lt;&gt;0,ROW($AE$5:$AE$35)-4),ROW(N13))))</f>
        <v/>
      </c>
      <c r="O17" s="439" t="str">
        <f t="array" ref="O17">IF( ISERROR(INDEX($AF$5:$AF$37,SMALL(IF($AG$5:$AG$35&lt;&gt;0,ROW($AG$5:$AG$35)-4),ROW(O13)))),"",INDEX($AF$5:$AF$37,SMALL(IF($AG$5:$AG$35&lt;&gt;0,ROW($AG$5:$AG$35)-4),ROW(O13))))</f>
        <v/>
      </c>
      <c r="P17" s="440" t="str">
        <f t="array" ref="P17">IF(ISERROR(INDEX($AG$5:$AG$35,SMALL(IF($AG$5:$AG$35&lt;&gt;0,ROW($AG$5:$AG$35)-4),ROW(P13)))),"",INDEX($AG$5:$AG$35,SMALL(IF($AG$5:$AG$35&lt;&gt;0,ROW($AG$5:$AG$35)-4),ROW(P13))))</f>
        <v/>
      </c>
      <c r="Q17" s="439" t="str">
        <f t="array" ref="Q17">IF( ISERROR(INDEX($AH$5:$AH$37,SMALL(IF($AI$5:$AI$35&lt;&gt;0,ROW($AI$5:$AI$35)-4),ROW(Q13)))),"",INDEX($AH$5:$AH$37,SMALL(IF($AI$5:$AI$35&lt;&gt;0,ROW($AI$5:$AI$35)-4),ROW(Q13))))</f>
        <v/>
      </c>
      <c r="R17" s="440" t="str">
        <f t="array" ref="R17">IF(ISERROR(INDEX($AI$5:$AI$35,SMALL(IF($AI$5:$AI$35&lt;&gt;0,ROW($AI$5:$AI$35)-4),ROW(R13)))),"",INDEX($AI$5:$AI$35,SMALL(IF($AI$5:$AI$35&lt;&gt;0,ROW($AI$5:$AI$35)-4),ROW(R13))))</f>
        <v/>
      </c>
      <c r="S17" s="439" t="str">
        <f t="array" ref="S17">IF( ISERROR(INDEX($AJ$5:$AJ$37,SMALL(IF($AK$5:$AK$35&lt;&gt;0,ROW($AJ$5:$AJ$35)-4),ROW(S13)))),"",INDEX($AJ$5:$AJ$37,SMALL(IF($AK$5:$AK$35&lt;&gt;0,ROW($AK$5:$AK$35)-4),ROW(S13))))</f>
        <v/>
      </c>
      <c r="T17" s="440" t="str">
        <f t="array" ref="T17">IF(ISERROR(INDEX($AK$5:$AK$35,SMALL(IF($AK$5:$AK$35&lt;&gt;0,ROW($AK$5:$AK$35)-4),ROW(T13)))),"",INDEX($AK$5:$AK$35,SMALL(IF($AK$5:$AK$35&lt;&gt;0,ROW($AK$5:$AK$35)-4),ROW(T13))))</f>
        <v/>
      </c>
      <c r="V17" s="572"/>
      <c r="W17" s="575"/>
      <c r="X17" s="575"/>
      <c r="Y17" s="575"/>
      <c r="Z17" s="572"/>
      <c r="AA17" s="572">
        <f t="shared" si="1"/>
        <v>0</v>
      </c>
      <c r="AB17" s="575"/>
      <c r="AC17" s="575"/>
      <c r="AD17" s="1008"/>
      <c r="AE17" s="575"/>
      <c r="AF17" s="575"/>
      <c r="AG17" s="575"/>
      <c r="AH17" s="575"/>
      <c r="AI17" s="575"/>
      <c r="AJ17" s="575"/>
      <c r="AK17" s="575"/>
      <c r="AL17" s="207"/>
      <c r="AM17" s="201">
        <v>16</v>
      </c>
      <c r="AN17" s="1096" t="s">
        <v>2224</v>
      </c>
      <c r="AO17" s="579" t="s">
        <v>1102</v>
      </c>
      <c r="AP17" s="1096">
        <f>(W_C+W_F+L_O_C+L_O_F)*2*2</f>
        <v>60</v>
      </c>
      <c r="AQ17" s="1097">
        <f t="shared" si="6"/>
        <v>60</v>
      </c>
      <c r="AR17" s="1098">
        <f t="shared" si="7"/>
        <v>60</v>
      </c>
      <c r="AS17" s="575" t="s">
        <v>2225</v>
      </c>
      <c r="AT17" s="572" t="s">
        <v>2225</v>
      </c>
      <c r="AU17" s="572" t="s">
        <v>2226</v>
      </c>
      <c r="AV17" s="950" t="s">
        <v>2225</v>
      </c>
      <c r="AW17" s="572" t="s">
        <v>2226</v>
      </c>
      <c r="AX17" s="581" t="s">
        <v>2227</v>
      </c>
      <c r="AY17" s="581"/>
    </row>
    <row r="18" spans="1:51" ht="22.5" customHeight="1">
      <c r="A18" s="436" t="str">
        <f>IF(B18="","",(VLOOKUP(B:B,'0.39'!B:F,5,FALSE)))</f>
        <v/>
      </c>
      <c r="B18" s="436" t="str">
        <f>IF(BASIC_TOOL!$F$23=1,BoltnNuts!E18,IF(BASIC_TOOL!$F$23=2,BoltnNuts!G18,IF(BASIC_TOOL!$F$23=3,BoltnNuts!I18,IF(BASIC_TOOL!$F$23=4,BoltnNuts!K18,IF(BASIC_TOOL!$F$23=5,BoltnNuts!M18,IF(BASIC_TOOL!$F$23=6,BoltnNuts!O18,IF(BASIC_TOOL!$F$23=7,BoltnNuts!Q18,IF(BASIC_TOOL!$F$23=8,BoltnNuts!S18))))))))</f>
        <v/>
      </c>
      <c r="C18" s="436" t="str">
        <f>IF(BASIC_TOOL!$F$23=1,BoltnNuts!F18,IF(BASIC_TOOL!$F$23=2,BoltnNuts!H18,IF(BASIC_TOOL!$F$23=3,BoltnNuts!J18,IF(BASIC_TOOL!$F$23=4,BoltnNuts!L18,IF(BASIC_TOOL!$F$23=5,BoltnNuts!N18,IF(BASIC_TOOL!$F$23=6,BoltnNuts!P18,IF(BASIC_TOOL!$F$23=7,BoltnNuts!R18,IF(BASIC_TOOL!$F$23=8,BoltnNuts!T18))))))))</f>
        <v/>
      </c>
      <c r="D18" s="403"/>
      <c r="E18" s="439" t="str">
        <f t="array" ref="E18">IF( ISERROR(INDEX($V$5:$V$37,SMALL(IF($W$5:$W$35&lt;&gt;0,ROW($W$5:$W$35)-4),ROW(E14)))),"",INDEX($V$5:$V$37,SMALL(IF($W$5:$W$35&lt;&gt;0,ROW($W$5:$W$35)-4),ROW(E14))))</f>
        <v/>
      </c>
      <c r="F18" s="440" t="str">
        <f t="array" ref="F18">IF(ISERROR(INDEX($W$5:$W$35,SMALL(IF($W$5:$W$35&lt;&gt;0,ROW($W$5:$W$35)-4),ROW(F14)))),"",INDEX($W$5:$W$35,SMALL(IF($W$5:$W$35&lt;&gt;0,ROW($W$5:$W$35)-4),ROW(F14))))</f>
        <v/>
      </c>
      <c r="G18" s="439" t="str">
        <f t="array" ref="G18">IF( ISERROR(INDEX($X$5:$X$35,SMALL(IF($Y$5:$Y$35&lt;&gt;0,ROW($Y$5:$Y$35)-4),ROW(G14)))),"",INDEX($X$5:$X$35,SMALL(IF($Y$5:$Y$35&lt;&gt;0,ROW($Y$5:$Y$35)-4),ROW(G14))))</f>
        <v/>
      </c>
      <c r="H18" s="440" t="str">
        <f t="array" ref="H18">IF(ISERROR(INDEX($Y$5:$Y$35,SMALL(IF($Y$5:$Y$35&lt;&gt;0,ROW($Y$5:$Y$35)-4),ROW(H14)))),"",INDEX($Y$5:$Y$35,SMALL(IF($Y$5:$Y$35&lt;&gt;0,ROW($Y$5:$Y$35)-4),ROW(H14))))</f>
        <v/>
      </c>
      <c r="I18" s="439" t="str">
        <f t="array" ref="I18">IF( ISERROR(INDEX($Z$5:$Z$37,SMALL(IF($AA$5:$AA$35&lt;&gt;0,ROW($AA$5:$AA$35)-4),ROW(I14)))),"",INDEX($Z$5:$Z$37,SMALL(IF($AA$5:$AA$35&lt;&gt;0,ROW($Z$5:$Z$35)-4),ROW(I14))))</f>
        <v/>
      </c>
      <c r="J18" s="440" t="str">
        <f t="array" ref="J18">IF(ISERROR(INDEX($AA$5:$AA$35,SMALL(IF($AA$5:$AA$35&lt;&gt;0,ROW($AA$5:$AA$35)-4),ROW(J14)))),"",INDEX($AA$5:$AA$35,SMALL(IF($AA$5:$AA$35&lt;&gt;0,ROW($AA$5:$AA$35)-4),ROW(J14))))</f>
        <v/>
      </c>
      <c r="K18" s="439" t="str">
        <f t="array" ref="K18">IF( ISERROR(INDEX($AB$5:$AB$37,SMALL(IF($AC$5:$AC$35&lt;&gt;0,ROW($AC$5:$AC$35)-4),ROW(K14)))),"",INDEX($AB$5:$AB$37,SMALL(IF($AC$5:$AC$35&lt;&gt;0,ROW($AC$5:$AC$35)-4),ROW(K14))))</f>
        <v/>
      </c>
      <c r="L18" s="440" t="str">
        <f t="array" ref="L18">IF(ISERROR(INDEX($AC$5:$AC$35,SMALL(IF($AC$5:$AC$35&lt;&gt;0,ROW($AC$5:$AC$35)-4),ROW(L14)))),"",INDEX($AC$5:$AC$35,SMALL(IF($AC$5:$AC$35&lt;&gt;0,ROW($AC$5:$AC$35)-4),ROW(L14))))</f>
        <v/>
      </c>
      <c r="M18" s="439" t="str">
        <f t="array" ref="M18">IF( ISERROR(INDEX($AD$5:$AD$37,SMALL(IF($AE$5:$AE$35&lt;&gt;0,ROW($AE$5:$AE$35)-4),ROW(M14)))),"",INDEX($AD$5:$AD$37,SMALL(IF($AE$5:$AE$35&lt;&gt;0,ROW($AD$5:$AD$35)-4),ROW(M14))))</f>
        <v/>
      </c>
      <c r="N18" s="440" t="str">
        <f t="array" ref="N18">IF(ISERROR(INDEX($AE$5:$AE$35,SMALL(IF($AE$5:$AE$35&lt;&gt;0,ROW($AE$5:$AE$35)-4),ROW(N14)))),"",INDEX($AE$5:$AE$35,SMALL(IF($AE$5:$AE$35&lt;&gt;0,ROW($AE$5:$AE$35)-4),ROW(N14))))</f>
        <v/>
      </c>
      <c r="O18" s="439" t="str">
        <f t="array" ref="O18">IF( ISERROR(INDEX($AF$5:$AF$37,SMALL(IF($AG$5:$AG$35&lt;&gt;0,ROW($AG$5:$AG$35)-4),ROW(O14)))),"",INDEX($AF$5:$AF$37,SMALL(IF($AG$5:$AG$35&lt;&gt;0,ROW($AG$5:$AG$35)-4),ROW(O14))))</f>
        <v/>
      </c>
      <c r="P18" s="440" t="str">
        <f t="array" ref="P18">IF(ISERROR(INDEX($AG$5:$AG$35,SMALL(IF($AG$5:$AG$35&lt;&gt;0,ROW($AG$5:$AG$35)-4),ROW(P14)))),"",INDEX($AG$5:$AG$35,SMALL(IF($AG$5:$AG$35&lt;&gt;0,ROW($AG$5:$AG$35)-4),ROW(P14))))</f>
        <v/>
      </c>
      <c r="Q18" s="439" t="str">
        <f t="array" ref="Q18">IF( ISERROR(INDEX($AH$5:$AH$37,SMALL(IF($AI$5:$AI$35&lt;&gt;0,ROW($AI$5:$AI$35)-4),ROW(Q14)))),"",INDEX($AH$5:$AH$37,SMALL(IF($AI$5:$AI$35&lt;&gt;0,ROW($AI$5:$AI$35)-4),ROW(Q14))))</f>
        <v/>
      </c>
      <c r="R18" s="440" t="str">
        <f t="array" ref="R18">IF(ISERROR(INDEX($AI$5:$AI$35,SMALL(IF($AI$5:$AI$35&lt;&gt;0,ROW($AI$5:$AI$35)-4),ROW(R14)))),"",INDEX($AI$5:$AI$35,SMALL(IF($AI$5:$AI$35&lt;&gt;0,ROW($AI$5:$AI$35)-4),ROW(R14))))</f>
        <v/>
      </c>
      <c r="S18" s="439" t="str">
        <f t="array" ref="S18">IF( ISERROR(INDEX($AJ$5:$AJ$37,SMALL(IF($AK$5:$AK$35&lt;&gt;0,ROW($AJ$5:$AJ$35)-4),ROW(S14)))),"",INDEX($AJ$5:$AJ$37,SMALL(IF($AK$5:$AK$35&lt;&gt;0,ROW($AK$5:$AK$35)-4),ROW(S14))))</f>
        <v/>
      </c>
      <c r="T18" s="440" t="str">
        <f t="array" ref="T18">IF(ISERROR(INDEX($AK$5:$AK$35,SMALL(IF($AK$5:$AK$35&lt;&gt;0,ROW($AK$5:$AK$35)-4),ROW(T14)))),"",INDEX($AK$5:$AK$35,SMALL(IF($AK$5:$AK$35&lt;&gt;0,ROW($AK$5:$AK$35)-4),ROW(T14))))</f>
        <v/>
      </c>
      <c r="V18" s="572"/>
      <c r="W18" s="575"/>
      <c r="X18" s="572"/>
      <c r="Y18" s="575"/>
      <c r="Z18" s="572"/>
      <c r="AA18" s="572"/>
      <c r="AB18" s="572"/>
      <c r="AC18" s="575"/>
      <c r="AD18" s="1008"/>
      <c r="AE18" s="575"/>
      <c r="AF18" s="575"/>
      <c r="AG18" s="575"/>
      <c r="AH18" s="575"/>
      <c r="AI18" s="575"/>
      <c r="AJ18" s="575"/>
      <c r="AK18" s="575"/>
      <c r="AL18" s="207"/>
      <c r="AM18" s="201">
        <v>17</v>
      </c>
      <c r="AN18" s="572" t="s">
        <v>1090</v>
      </c>
      <c r="AO18" s="579" t="s">
        <v>1103</v>
      </c>
      <c r="AP18" s="574"/>
      <c r="AQ18" s="574">
        <f t="shared" si="6"/>
        <v>0</v>
      </c>
      <c r="AR18" s="572">
        <f>ROUNDUP(AQ18*$AS$1,0)</f>
        <v>0</v>
      </c>
      <c r="AS18" s="575" t="s">
        <v>1090</v>
      </c>
      <c r="AT18" s="572" t="s">
        <v>1090</v>
      </c>
      <c r="AU18" s="572" t="s">
        <v>1091</v>
      </c>
      <c r="AV18" s="950" t="s">
        <v>1090</v>
      </c>
      <c r="AW18" s="572" t="s">
        <v>1091</v>
      </c>
      <c r="AX18" s="581" t="s">
        <v>1092</v>
      </c>
      <c r="AY18" s="581"/>
    </row>
    <row r="19" spans="1:51" ht="22.5" customHeight="1">
      <c r="A19" s="436" t="str">
        <f>IF(B19="","",(VLOOKUP(B:B,'0.39'!B:F,5,FALSE)))</f>
        <v/>
      </c>
      <c r="B19" s="436" t="str">
        <f>IF(BASIC_TOOL!$F$23=1,BoltnNuts!E19,IF(BASIC_TOOL!$F$23=2,BoltnNuts!G19,IF(BASIC_TOOL!$F$23=3,BoltnNuts!I19,IF(BASIC_TOOL!$F$23=4,BoltnNuts!K19,IF(BASIC_TOOL!$F$23=5,BoltnNuts!M19,IF(BASIC_TOOL!$F$23=6,BoltnNuts!O19,IF(BASIC_TOOL!$F$23=7,BoltnNuts!Q19,IF(BASIC_TOOL!$F$23=8,BoltnNuts!S19))))))))</f>
        <v/>
      </c>
      <c r="C19" s="436" t="str">
        <f>IF(BASIC_TOOL!$F$23=1,BoltnNuts!F19,IF(BASIC_TOOL!$F$23=2,BoltnNuts!H19,IF(BASIC_TOOL!$F$23=3,BoltnNuts!J19,IF(BASIC_TOOL!$F$23=4,BoltnNuts!L19,IF(BASIC_TOOL!$F$23=5,BoltnNuts!N19,IF(BASIC_TOOL!$F$23=6,BoltnNuts!P19,IF(BASIC_TOOL!$F$23=7,BoltnNuts!R19,IF(BASIC_TOOL!$F$23=8,BoltnNuts!T19))))))))</f>
        <v/>
      </c>
      <c r="D19" s="403"/>
      <c r="E19" s="439" t="str">
        <f t="array" ref="E19">IF( ISERROR(INDEX($V$5:$V$37,SMALL(IF($W$5:$W$35&lt;&gt;0,ROW($W$5:$W$35)-4),ROW(E15)))),"",INDEX($V$5:$V$37,SMALL(IF($W$5:$W$35&lt;&gt;0,ROW($W$5:$W$35)-4),ROW(E15))))</f>
        <v/>
      </c>
      <c r="F19" s="440" t="str">
        <f t="array" ref="F19">IF(ISERROR(INDEX($W$5:$W$35,SMALL(IF($W$5:$W$35&lt;&gt;0,ROW($W$5:$W$35)-4),ROW(F15)))),"",INDEX($W$5:$W$35,SMALL(IF($W$5:$W$35&lt;&gt;0,ROW($W$5:$W$35)-4),ROW(F15))))</f>
        <v/>
      </c>
      <c r="G19" s="439" t="str">
        <f t="array" ref="G19">IF( ISERROR(INDEX($X$5:$X$35,SMALL(IF($Y$5:$Y$35&lt;&gt;0,ROW($Y$5:$Y$35)-4),ROW(G15)))),"",INDEX($X$5:$X$35,SMALL(IF($Y$5:$Y$35&lt;&gt;0,ROW($Y$5:$Y$35)-4),ROW(G15))))</f>
        <v/>
      </c>
      <c r="H19" s="440" t="str">
        <f t="array" ref="H19">IF(ISERROR(INDEX($Y$5:$Y$35,SMALL(IF($Y$5:$Y$35&lt;&gt;0,ROW($Y$5:$Y$35)-4),ROW(H15)))),"",INDEX($Y$5:$Y$35,SMALL(IF($Y$5:$Y$35&lt;&gt;0,ROW($Y$5:$Y$35)-4),ROW(H15))))</f>
        <v/>
      </c>
      <c r="I19" s="439" t="str">
        <f t="array" ref="I19">IF( ISERROR(INDEX($Z$5:$Z$37,SMALL(IF($AA$5:$AA$35&lt;&gt;0,ROW($AA$5:$AA$35)-4),ROW(I15)))),"",INDEX($Z$5:$Z$37,SMALL(IF($AA$5:$AA$35&lt;&gt;0,ROW($Z$5:$Z$35)-4),ROW(I15))))</f>
        <v/>
      </c>
      <c r="J19" s="440" t="str">
        <f t="array" ref="J19">IF(ISERROR(INDEX($AA$5:$AA$35,SMALL(IF($AA$5:$AA$35&lt;&gt;0,ROW($AA$5:$AA$35)-4),ROW(J15)))),"",INDEX($AA$5:$AA$35,SMALL(IF($AA$5:$AA$35&lt;&gt;0,ROW($AA$5:$AA$35)-4),ROW(J15))))</f>
        <v/>
      </c>
      <c r="K19" s="439" t="str">
        <f t="array" ref="K19">IF( ISERROR(INDEX($AB$5:$AB$37,SMALL(IF($AC$5:$AC$35&lt;&gt;0,ROW($AC$5:$AC$35)-4),ROW(K15)))),"",INDEX($AB$5:$AB$37,SMALL(IF($AC$5:$AC$35&lt;&gt;0,ROW($AC$5:$AC$35)-4),ROW(K15))))</f>
        <v/>
      </c>
      <c r="L19" s="440" t="str">
        <f t="array" ref="L19">IF(ISERROR(INDEX($AC$5:$AC$35,SMALL(IF($AC$5:$AC$35&lt;&gt;0,ROW($AC$5:$AC$35)-4),ROW(L15)))),"",INDEX($AC$5:$AC$35,SMALL(IF($AC$5:$AC$35&lt;&gt;0,ROW($AC$5:$AC$35)-4),ROW(L15))))</f>
        <v/>
      </c>
      <c r="M19" s="439" t="str">
        <f t="array" ref="M19">IF( ISERROR(INDEX($AD$5:$AD$37,SMALL(IF($AE$5:$AE$35&lt;&gt;0,ROW($AE$5:$AE$35)-4),ROW(M15)))),"",INDEX($AD$5:$AD$37,SMALL(IF($AE$5:$AE$35&lt;&gt;0,ROW($AD$5:$AD$35)-4),ROW(M15))))</f>
        <v/>
      </c>
      <c r="N19" s="440" t="str">
        <f t="array" ref="N19">IF(ISERROR(INDEX($AE$5:$AE$35,SMALL(IF($AE$5:$AE$35&lt;&gt;0,ROW($AE$5:$AE$35)-4),ROW(N15)))),"",INDEX($AE$5:$AE$35,SMALL(IF($AE$5:$AE$35&lt;&gt;0,ROW($AE$5:$AE$35)-4),ROW(N15))))</f>
        <v/>
      </c>
      <c r="O19" s="439" t="str">
        <f t="array" ref="O19">IF( ISERROR(INDEX($AF$5:$AF$37,SMALL(IF($AG$5:$AG$35&lt;&gt;0,ROW($AG$5:$AG$35)-4),ROW(O15)))),"",INDEX($AF$5:$AF$37,SMALL(IF($AG$5:$AG$35&lt;&gt;0,ROW($AG$5:$AG$35)-4),ROW(O15))))</f>
        <v/>
      </c>
      <c r="P19" s="440" t="str">
        <f t="array" ref="P19">IF(ISERROR(INDEX($AG$5:$AG$35,SMALL(IF($AG$5:$AG$35&lt;&gt;0,ROW($AG$5:$AG$35)-4),ROW(P15)))),"",INDEX($AG$5:$AG$35,SMALL(IF($AG$5:$AG$35&lt;&gt;0,ROW($AG$5:$AG$35)-4),ROW(P15))))</f>
        <v/>
      </c>
      <c r="Q19" s="439" t="str">
        <f t="array" ref="Q19">IF( ISERROR(INDEX($AH$5:$AH$37,SMALL(IF($AI$5:$AI$35&lt;&gt;0,ROW($AI$5:$AI$35)-4),ROW(Q15)))),"",INDEX($AH$5:$AH$37,SMALL(IF($AI$5:$AI$35&lt;&gt;0,ROW($AI$5:$AI$35)-4),ROW(Q15))))</f>
        <v/>
      </c>
      <c r="R19" s="440" t="str">
        <f t="array" ref="R19">IF(ISERROR(INDEX($AI$5:$AI$35,SMALL(IF($AI$5:$AI$35&lt;&gt;0,ROW($AI$5:$AI$35)-4),ROW(R15)))),"",INDEX($AI$5:$AI$35,SMALL(IF($AI$5:$AI$35&lt;&gt;0,ROW($AI$5:$AI$35)-4),ROW(R15))))</f>
        <v/>
      </c>
      <c r="S19" s="439" t="str">
        <f t="array" ref="S19">IF( ISERROR(INDEX($AJ$5:$AJ$37,SMALL(IF($AK$5:$AK$35&lt;&gt;0,ROW($AJ$5:$AJ$35)-4),ROW(S15)))),"",INDEX($AJ$5:$AJ$37,SMALL(IF($AK$5:$AK$35&lt;&gt;0,ROW($AK$5:$AK$35)-4),ROW(S15))))</f>
        <v/>
      </c>
      <c r="T19" s="440" t="str">
        <f t="array" ref="T19">IF(ISERROR(INDEX($AK$5:$AK$35,SMALL(IF($AK$5:$AK$35&lt;&gt;0,ROW($AK$5:$AK$35)-4),ROW(T15)))),"",INDEX($AK$5:$AK$35,SMALL(IF($AK$5:$AK$35&lt;&gt;0,ROW($AK$5:$AK$35)-4),ROW(T15))))</f>
        <v/>
      </c>
      <c r="V19" s="575"/>
      <c r="W19" s="575"/>
      <c r="X19" s="572"/>
      <c r="Y19" s="575"/>
      <c r="Z19" s="575"/>
      <c r="AA19" s="572"/>
      <c r="AB19" s="572"/>
      <c r="AC19" s="575"/>
      <c r="AD19" s="1008"/>
      <c r="AE19" s="575"/>
      <c r="AF19" s="572"/>
      <c r="AG19" s="575"/>
      <c r="AH19" s="572"/>
      <c r="AI19" s="572"/>
      <c r="AJ19" s="572"/>
      <c r="AK19" s="575"/>
      <c r="AL19" s="209"/>
      <c r="AM19" s="201">
        <v>18</v>
      </c>
      <c r="AN19" s="572" t="s">
        <v>1092</v>
      </c>
      <c r="AO19" s="579" t="s">
        <v>1104</v>
      </c>
      <c r="AP19" s="580">
        <f>4*(W_C+W_F)*N_PA</f>
        <v>0</v>
      </c>
      <c r="AQ19" s="574">
        <f t="shared" si="6"/>
        <v>0</v>
      </c>
      <c r="AR19" s="572">
        <f t="shared" ref="AR19:AR29" si="12">ROUNDUP(AQ19*$AS$1,0)</f>
        <v>0</v>
      </c>
      <c r="AS19" s="575" t="s">
        <v>1090</v>
      </c>
      <c r="AT19" s="572" t="s">
        <v>1091</v>
      </c>
      <c r="AU19" s="572" t="s">
        <v>1092</v>
      </c>
      <c r="AV19" s="950" t="s">
        <v>1092</v>
      </c>
      <c r="AW19" s="572" t="s">
        <v>1091</v>
      </c>
      <c r="AX19" s="581" t="s">
        <v>1092</v>
      </c>
      <c r="AY19" s="581"/>
    </row>
    <row r="20" spans="1:51" ht="22.5" customHeight="1">
      <c r="A20" s="436" t="str">
        <f>IF(B20="","",(VLOOKUP(B:B,'0.39'!B:F,5,FALSE)))</f>
        <v/>
      </c>
      <c r="B20" s="436" t="str">
        <f>IF(BASIC_TOOL!$F$23=1,BoltnNuts!E20,IF(BASIC_TOOL!$F$23=2,BoltnNuts!G20,IF(BASIC_TOOL!$F$23=3,BoltnNuts!I20,IF(BASIC_TOOL!$F$23=4,BoltnNuts!K20,IF(BASIC_TOOL!$F$23=5,BoltnNuts!M20,IF(BASIC_TOOL!$F$23=6,BoltnNuts!O20,IF(BASIC_TOOL!$F$23=7,BoltnNuts!Q20,IF(BASIC_TOOL!$F$23=8,BoltnNuts!S20))))))))</f>
        <v/>
      </c>
      <c r="C20" s="436" t="str">
        <f>IF(BASIC_TOOL!$F$23=1,BoltnNuts!F20,IF(BASIC_TOOL!$F$23=2,BoltnNuts!H20,IF(BASIC_TOOL!$F$23=3,BoltnNuts!J20,IF(BASIC_TOOL!$F$23=4,BoltnNuts!L20,IF(BASIC_TOOL!$F$23=5,BoltnNuts!N20,IF(BASIC_TOOL!$F$23=6,BoltnNuts!P20,IF(BASIC_TOOL!$F$23=7,BoltnNuts!R20,IF(BASIC_TOOL!$F$23=8,BoltnNuts!T20))))))))</f>
        <v/>
      </c>
      <c r="D20" s="403"/>
      <c r="E20" s="439" t="str">
        <f t="array" ref="E20">IF( ISERROR(INDEX($V$5:$V$37,SMALL(IF($W$5:$W$35&lt;&gt;0,ROW($W$5:$W$35)-4),ROW(E16)))),"",INDEX($V$5:$V$37,SMALL(IF($W$5:$W$35&lt;&gt;0,ROW($W$5:$W$35)-4),ROW(E16))))</f>
        <v/>
      </c>
      <c r="F20" s="440" t="str">
        <f t="array" ref="F20">IF(ISERROR(INDEX($W$5:$W$35,SMALL(IF($W$5:$W$35&lt;&gt;0,ROW($W$5:$W$35)-4),ROW(F16)))),"",INDEX($W$5:$W$35,SMALL(IF($W$5:$W$35&lt;&gt;0,ROW($W$5:$W$35)-4),ROW(F16))))</f>
        <v/>
      </c>
      <c r="G20" s="439" t="str">
        <f t="array" ref="G20">IF( ISERROR(INDEX($X$5:$X$35,SMALL(IF($Y$5:$Y$35&lt;&gt;0,ROW($Y$5:$Y$35)-4),ROW(G16)))),"",INDEX($X$5:$X$35,SMALL(IF($Y$5:$Y$35&lt;&gt;0,ROW($Y$5:$Y$35)-4),ROW(G16))))</f>
        <v/>
      </c>
      <c r="H20" s="440" t="str">
        <f t="array" ref="H20">IF(ISERROR(INDEX($Y$5:$Y$35,SMALL(IF($Y$5:$Y$35&lt;&gt;0,ROW($Y$5:$Y$35)-4),ROW(H16)))),"",INDEX($Y$5:$Y$35,SMALL(IF($Y$5:$Y$35&lt;&gt;0,ROW($Y$5:$Y$35)-4),ROW(H16))))</f>
        <v/>
      </c>
      <c r="I20" s="439" t="str">
        <f t="array" ref="I20">IF( ISERROR(INDEX($Z$5:$Z$37,SMALL(IF($AA$5:$AA$35&lt;&gt;0,ROW($AA$5:$AA$35)-4),ROW(I16)))),"",INDEX($Z$5:$Z$37,SMALL(IF($AA$5:$AA$35&lt;&gt;0,ROW($Z$5:$Z$35)-4),ROW(I16))))</f>
        <v/>
      </c>
      <c r="J20" s="440" t="str">
        <f t="array" ref="J20">IF(ISERROR(INDEX($AA$5:$AA$35,SMALL(IF($AA$5:$AA$35&lt;&gt;0,ROW($AA$5:$AA$35)-4),ROW(J16)))),"",INDEX($AA$5:$AA$35,SMALL(IF($AA$5:$AA$35&lt;&gt;0,ROW($AA$5:$AA$35)-4),ROW(J16))))</f>
        <v/>
      </c>
      <c r="K20" s="439" t="str">
        <f t="array" ref="K20">IF( ISERROR(INDEX($AB$5:$AB$37,SMALL(IF($AC$5:$AC$35&lt;&gt;0,ROW($AC$5:$AC$35)-4),ROW(K16)))),"",INDEX($AB$5:$AB$37,SMALL(IF($AC$5:$AC$35&lt;&gt;0,ROW($AC$5:$AC$35)-4),ROW(K16))))</f>
        <v/>
      </c>
      <c r="L20" s="440" t="str">
        <f t="array" ref="L20">IF(ISERROR(INDEX($AC$5:$AC$35,SMALL(IF($AC$5:$AC$35&lt;&gt;0,ROW($AC$5:$AC$35)-4),ROW(L16)))),"",INDEX($AC$5:$AC$35,SMALL(IF($AC$5:$AC$35&lt;&gt;0,ROW($AC$5:$AC$35)-4),ROW(L16))))</f>
        <v/>
      </c>
      <c r="M20" s="439" t="str">
        <f t="array" ref="M20">IF( ISERROR(INDEX($AD$5:$AD$37,SMALL(IF($AE$5:$AE$35&lt;&gt;0,ROW($AE$5:$AE$35)-4),ROW(M16)))),"",INDEX($AD$5:$AD$37,SMALL(IF($AE$5:$AE$35&lt;&gt;0,ROW($AD$5:$AD$35)-4),ROW(M16))))</f>
        <v/>
      </c>
      <c r="N20" s="440" t="str">
        <f t="array" ref="N20">IF(ISERROR(INDEX($AE$5:$AE$35,SMALL(IF($AE$5:$AE$35&lt;&gt;0,ROW($AE$5:$AE$35)-4),ROW(N16)))),"",INDEX($AE$5:$AE$35,SMALL(IF($AE$5:$AE$35&lt;&gt;0,ROW($AE$5:$AE$35)-4),ROW(N16))))</f>
        <v/>
      </c>
      <c r="O20" s="439" t="str">
        <f t="array" ref="O20">IF( ISERROR(INDEX($AF$5:$AF$37,SMALL(IF($AG$5:$AG$35&lt;&gt;0,ROW($AG$5:$AG$35)-4),ROW(O16)))),"",INDEX($AF$5:$AF$37,SMALL(IF($AG$5:$AG$35&lt;&gt;0,ROW($AG$5:$AG$35)-4),ROW(O16))))</f>
        <v/>
      </c>
      <c r="P20" s="440" t="str">
        <f t="array" ref="P20">IF(ISERROR(INDEX($AG$5:$AG$35,SMALL(IF($AG$5:$AG$35&lt;&gt;0,ROW($AG$5:$AG$35)-4),ROW(P16)))),"",INDEX($AG$5:$AG$35,SMALL(IF($AG$5:$AG$35&lt;&gt;0,ROW($AG$5:$AG$35)-4),ROW(P16))))</f>
        <v/>
      </c>
      <c r="Q20" s="439" t="str">
        <f t="array" ref="Q20">IF( ISERROR(INDEX($AH$5:$AH$37,SMALL(IF($AI$5:$AI$35&lt;&gt;0,ROW($AI$5:$AI$35)-4),ROW(Q16)))),"",INDEX($AH$5:$AH$37,SMALL(IF($AI$5:$AI$35&lt;&gt;0,ROW($AI$5:$AI$35)-4),ROW(Q16))))</f>
        <v/>
      </c>
      <c r="R20" s="440" t="str">
        <f t="array" ref="R20">IF(ISERROR(INDEX($AI$5:$AI$35,SMALL(IF($AI$5:$AI$35&lt;&gt;0,ROW($AI$5:$AI$35)-4),ROW(R16)))),"",INDEX($AI$5:$AI$35,SMALL(IF($AI$5:$AI$35&lt;&gt;0,ROW($AI$5:$AI$35)-4),ROW(R16))))</f>
        <v/>
      </c>
      <c r="S20" s="439" t="str">
        <f t="array" ref="S20">IF( ISERROR(INDEX($AJ$5:$AJ$37,SMALL(IF($AK$5:$AK$35&lt;&gt;0,ROW($AJ$5:$AJ$35)-4),ROW(S16)))),"",INDEX($AJ$5:$AJ$37,SMALL(IF($AK$5:$AK$35&lt;&gt;0,ROW($AK$5:$AK$35)-4),ROW(S16))))</f>
        <v/>
      </c>
      <c r="T20" s="440" t="str">
        <f t="array" ref="T20">IF(ISERROR(INDEX($AK$5:$AK$35,SMALL(IF($AK$5:$AK$35&lt;&gt;0,ROW($AK$5:$AK$35)-4),ROW(T16)))),"",INDEX($AK$5:$AK$35,SMALL(IF($AK$5:$AK$35&lt;&gt;0,ROW($AK$5:$AK$35)-4),ROW(T16))))</f>
        <v/>
      </c>
      <c r="V20" s="1009"/>
      <c r="W20" s="572"/>
      <c r="X20" s="575"/>
      <c r="Y20" s="575"/>
      <c r="Z20" s="575"/>
      <c r="AA20" s="572"/>
      <c r="AB20" s="575"/>
      <c r="AC20" s="575"/>
      <c r="AD20" s="1008"/>
      <c r="AE20" s="575"/>
      <c r="AF20" s="572"/>
      <c r="AG20" s="575"/>
      <c r="AH20" s="572"/>
      <c r="AI20" s="572"/>
      <c r="AJ20" s="572"/>
      <c r="AK20" s="575"/>
      <c r="AL20" s="209"/>
      <c r="AM20" s="201">
        <v>19</v>
      </c>
      <c r="AN20" s="572" t="s">
        <v>1090</v>
      </c>
      <c r="AO20" s="579"/>
      <c r="AP20" s="572"/>
      <c r="AQ20" s="574">
        <f t="shared" si="6"/>
        <v>0</v>
      </c>
      <c r="AR20" s="572">
        <f t="shared" si="12"/>
        <v>0</v>
      </c>
      <c r="AS20" s="575" t="s">
        <v>1090</v>
      </c>
      <c r="AT20" s="572" t="s">
        <v>1090</v>
      </c>
      <c r="AU20" s="572" t="s">
        <v>1091</v>
      </c>
      <c r="AV20" s="950" t="s">
        <v>1090</v>
      </c>
      <c r="AW20" s="572" t="s">
        <v>1091</v>
      </c>
      <c r="AX20" s="581" t="s">
        <v>1092</v>
      </c>
      <c r="AY20" s="581"/>
    </row>
    <row r="21" spans="1:51" ht="23.25" customHeight="1">
      <c r="A21" s="436" t="str">
        <f>IF(B21="","",(VLOOKUP(B:B,'0.39'!B:F,5,FALSE)))</f>
        <v/>
      </c>
      <c r="B21" s="436" t="str">
        <f>IF(BASIC_TOOL!$F$23=1,BoltnNuts!E21,IF(BASIC_TOOL!$F$23=2,BoltnNuts!G21,IF(BASIC_TOOL!$F$23=3,BoltnNuts!I21,IF(BASIC_TOOL!$F$23=4,BoltnNuts!K21,IF(BASIC_TOOL!$F$23=5,BoltnNuts!M21,IF(BASIC_TOOL!$F$23=6,BoltnNuts!O21,IF(BASIC_TOOL!$F$23=7,BoltnNuts!Q21,IF(BASIC_TOOL!$F$23=8,BoltnNuts!S21))))))))</f>
        <v/>
      </c>
      <c r="C21" s="436" t="str">
        <f>IF(BASIC_TOOL!$F$23=1,BoltnNuts!F21,IF(BASIC_TOOL!$F$23=2,BoltnNuts!H21,IF(BASIC_TOOL!$F$23=3,BoltnNuts!J21,IF(BASIC_TOOL!$F$23=4,BoltnNuts!L21,IF(BASIC_TOOL!$F$23=5,BoltnNuts!N21,IF(BASIC_TOOL!$F$23=6,BoltnNuts!P21,IF(BASIC_TOOL!$F$23=7,BoltnNuts!R21,IF(BASIC_TOOL!$F$23=8,BoltnNuts!T21))))))))</f>
        <v/>
      </c>
      <c r="D21" s="403"/>
      <c r="E21" s="439" t="str">
        <f t="array" ref="E21">IF( ISERROR(INDEX($V$5:$V$37,SMALL(IF($W$5:$W$35&lt;&gt;0,ROW($W$5:$W$35)-4),ROW(E17)))),"",INDEX($V$5:$V$37,SMALL(IF($W$5:$W$35&lt;&gt;0,ROW($W$5:$W$35)-4),ROW(E17))))</f>
        <v/>
      </c>
      <c r="F21" s="440" t="str">
        <f t="array" ref="F21">IF(ISERROR(INDEX($W$5:$W$35,SMALL(IF($W$5:$W$35&lt;&gt;0,ROW($W$5:$W$35)-4),ROW(F17)))),"",INDEX($W$5:$W$35,SMALL(IF($W$5:$W$35&lt;&gt;0,ROW($W$5:$W$35)-4),ROW(F17))))</f>
        <v/>
      </c>
      <c r="G21" s="439" t="str">
        <f t="array" ref="G21">IF( ISERROR(INDEX($X$5:$X$35,SMALL(IF($Y$5:$Y$35&lt;&gt;0,ROW($Y$5:$Y$35)-4),ROW(G17)))),"",INDEX($X$5:$X$35,SMALL(IF($Y$5:$Y$35&lt;&gt;0,ROW($Y$5:$Y$35)-4),ROW(G17))))</f>
        <v/>
      </c>
      <c r="H21" s="440" t="str">
        <f t="array" ref="H21">IF(ISERROR(INDEX($Y$5:$Y$35,SMALL(IF($Y$5:$Y$35&lt;&gt;0,ROW($Y$5:$Y$35)-4),ROW(H17)))),"",INDEX($Y$5:$Y$35,SMALL(IF($Y$5:$Y$35&lt;&gt;0,ROW($Y$5:$Y$35)-4),ROW(H17))))</f>
        <v/>
      </c>
      <c r="I21" s="439" t="str">
        <f t="array" ref="I21">IF( ISERROR(INDEX($Z$5:$Z$37,SMALL(IF($AA$5:$AA$35&lt;&gt;0,ROW($AA$5:$AA$35)-4),ROW(I17)))),"",INDEX($Z$5:$Z$37,SMALL(IF($AA$5:$AA$35&lt;&gt;0,ROW($Z$5:$Z$35)-4),ROW(I17))))</f>
        <v/>
      </c>
      <c r="J21" s="440" t="str">
        <f t="array" ref="J21">IF(ISERROR(INDEX($AA$5:$AA$35,SMALL(IF($AA$5:$AA$35&lt;&gt;0,ROW($AA$5:$AA$35)-4),ROW(J17)))),"",INDEX($AA$5:$AA$35,SMALL(IF($AA$5:$AA$35&lt;&gt;0,ROW($AA$5:$AA$35)-4),ROW(J17))))</f>
        <v/>
      </c>
      <c r="K21" s="439" t="str">
        <f t="array" ref="K21">IF( ISERROR(INDEX($AB$5:$AB$37,SMALL(IF($AC$5:$AC$35&lt;&gt;0,ROW($AC$5:$AC$35)-4),ROW(K17)))),"",INDEX($AB$5:$AB$37,SMALL(IF($AC$5:$AC$35&lt;&gt;0,ROW($AC$5:$AC$35)-4),ROW(K17))))</f>
        <v/>
      </c>
      <c r="L21" s="440" t="str">
        <f t="array" ref="L21">IF(ISERROR(INDEX($AC$5:$AC$35,SMALL(IF($AC$5:$AC$35&lt;&gt;0,ROW($AC$5:$AC$35)-4),ROW(L17)))),"",INDEX($AC$5:$AC$35,SMALL(IF($AC$5:$AC$35&lt;&gt;0,ROW($AC$5:$AC$35)-4),ROW(L17))))</f>
        <v/>
      </c>
      <c r="M21" s="439" t="str">
        <f t="array" ref="M21">IF( ISERROR(INDEX($AD$5:$AD$37,SMALL(IF($AE$5:$AE$35&lt;&gt;0,ROW($AE$5:$AE$35)-4),ROW(M17)))),"",INDEX($AD$5:$AD$37,SMALL(IF($AE$5:$AE$35&lt;&gt;0,ROW($AD$5:$AD$35)-4),ROW(M17))))</f>
        <v/>
      </c>
      <c r="N21" s="440" t="str">
        <f t="array" ref="N21">IF(ISERROR(INDEX($AE$5:$AE$35,SMALL(IF($AE$5:$AE$35&lt;&gt;0,ROW($AE$5:$AE$35)-4),ROW(N17)))),"",INDEX($AE$5:$AE$35,SMALL(IF($AE$5:$AE$35&lt;&gt;0,ROW($AE$5:$AE$35)-4),ROW(N17))))</f>
        <v/>
      </c>
      <c r="O21" s="439" t="str">
        <f t="array" ref="O21">IF( ISERROR(INDEX($AF$5:$AF$37,SMALL(IF($AG$5:$AG$35&lt;&gt;0,ROW($AG$5:$AG$35)-4),ROW(O17)))),"",INDEX($AF$5:$AF$37,SMALL(IF($AG$5:$AG$35&lt;&gt;0,ROW($AG$5:$AG$35)-4),ROW(O17))))</f>
        <v/>
      </c>
      <c r="P21" s="440" t="str">
        <f t="array" ref="P21">IF(ISERROR(INDEX($AG$5:$AG$35,SMALL(IF($AG$5:$AG$35&lt;&gt;0,ROW($AG$5:$AG$35)-4),ROW(P17)))),"",INDEX($AG$5:$AG$35,SMALL(IF($AG$5:$AG$35&lt;&gt;0,ROW($AG$5:$AG$35)-4),ROW(P17))))</f>
        <v/>
      </c>
      <c r="Q21" s="439" t="str">
        <f t="array" ref="Q21">IF( ISERROR(INDEX($AH$5:$AH$37,SMALL(IF($AI$5:$AI$35&lt;&gt;0,ROW($AI$5:$AI$35)-4),ROW(Q17)))),"",INDEX($AH$5:$AH$37,SMALL(IF($AI$5:$AI$35&lt;&gt;0,ROW($AI$5:$AI$35)-4),ROW(Q17))))</f>
        <v/>
      </c>
      <c r="R21" s="440" t="str">
        <f t="array" ref="R21">IF(ISERROR(INDEX($AI$5:$AI$35,SMALL(IF($AI$5:$AI$35&lt;&gt;0,ROW($AI$5:$AI$35)-4),ROW(R17)))),"",INDEX($AI$5:$AI$35,SMALL(IF($AI$5:$AI$35&lt;&gt;0,ROW($AI$5:$AI$35)-4),ROW(R17))))</f>
        <v/>
      </c>
      <c r="S21" s="439" t="str">
        <f t="array" ref="S21">IF( ISERROR(INDEX($AJ$5:$AJ$37,SMALL(IF($AK$5:$AK$35&lt;&gt;0,ROW($AJ$5:$AJ$35)-4),ROW(S17)))),"",INDEX($AJ$5:$AJ$37,SMALL(IF($AK$5:$AK$35&lt;&gt;0,ROW($AK$5:$AK$35)-4),ROW(S17))))</f>
        <v/>
      </c>
      <c r="T21" s="440" t="str">
        <f t="array" ref="T21">IF(ISERROR(INDEX($AK$5:$AK$35,SMALL(IF($AK$5:$AK$35&lt;&gt;0,ROW($AK$5:$AK$35)-4),ROW(T17)))),"",INDEX($AK$5:$AK$35,SMALL(IF($AK$5:$AK$35&lt;&gt;0,ROW($AK$5:$AK$35)-4),ROW(T17))))</f>
        <v/>
      </c>
      <c r="V21" s="1009"/>
      <c r="W21" s="572"/>
      <c r="X21" s="1009"/>
      <c r="Y21" s="572">
        <f>SUMIF($AT$5:$AT$53,X21,$AR$5:$AR$53)</f>
        <v>0</v>
      </c>
      <c r="Z21" s="1009"/>
      <c r="AA21" s="572"/>
      <c r="AB21" s="1009"/>
      <c r="AC21" s="572"/>
      <c r="AD21" s="1009"/>
      <c r="AE21" s="572"/>
      <c r="AF21" s="1009"/>
      <c r="AG21" s="572"/>
      <c r="AH21" s="572"/>
      <c r="AI21" s="572"/>
      <c r="AJ21" s="572"/>
      <c r="AK21" s="575"/>
      <c r="AL21" s="209"/>
      <c r="AM21" s="201">
        <v>20</v>
      </c>
      <c r="AN21" s="572" t="s">
        <v>69</v>
      </c>
      <c r="AO21" s="579" t="s">
        <v>1105</v>
      </c>
      <c r="AP21" s="580">
        <f>(W_C+W_F+1)*4+IF(OR(H_O&gt;2,BASIC_TOOL!D17=3,BASIC_TOOL!D17=4),(W_C+W_F+1)*4,0)</f>
        <v>88</v>
      </c>
      <c r="AQ21" s="574">
        <f t="shared" si="6"/>
        <v>88</v>
      </c>
      <c r="AR21" s="572">
        <f t="shared" si="12"/>
        <v>88</v>
      </c>
      <c r="AS21" s="575" t="s">
        <v>69</v>
      </c>
      <c r="AT21" s="575" t="s">
        <v>69</v>
      </c>
      <c r="AU21" s="575" t="s">
        <v>69</v>
      </c>
      <c r="AV21" s="1095" t="s">
        <v>69</v>
      </c>
      <c r="AW21" s="575" t="s">
        <v>69</v>
      </c>
      <c r="AX21" s="581" t="s">
        <v>69</v>
      </c>
      <c r="AY21" s="581"/>
    </row>
    <row r="22" spans="1:51" ht="22.5" customHeight="1">
      <c r="A22" s="436" t="str">
        <f>IF(B22="","",(VLOOKUP(B:B,'0.39'!B:F,5,FALSE)))</f>
        <v/>
      </c>
      <c r="B22" s="436" t="str">
        <f>IF(BASIC_TOOL!$F$23=1,BoltnNuts!E22,IF(BASIC_TOOL!$F$23=2,BoltnNuts!G22,IF(BASIC_TOOL!$F$23=3,BoltnNuts!I22,IF(BASIC_TOOL!$F$23=4,BoltnNuts!K22,IF(BASIC_TOOL!$F$23=5,BoltnNuts!M22,IF(BASIC_TOOL!$F$23=6,BoltnNuts!O22,IF(BASIC_TOOL!$F$23=7,BoltnNuts!Q22,IF(BASIC_TOOL!$F$23=8,BoltnNuts!S22))))))))</f>
        <v/>
      </c>
      <c r="C22" s="436" t="str">
        <f>IF(BASIC_TOOL!$F$23=1,BoltnNuts!F22,IF(BASIC_TOOL!$F$23=2,BoltnNuts!H22,IF(BASIC_TOOL!$F$23=3,BoltnNuts!J22,IF(BASIC_TOOL!$F$23=4,BoltnNuts!L22,IF(BASIC_TOOL!$F$23=5,BoltnNuts!N22,IF(BASIC_TOOL!$F$23=6,BoltnNuts!P22,IF(BASIC_TOOL!$F$23=7,BoltnNuts!R22,IF(BASIC_TOOL!$F$23=8,BoltnNuts!T22))))))))</f>
        <v/>
      </c>
      <c r="D22" s="403"/>
      <c r="E22" s="439" t="str">
        <f t="array" ref="E22">IF( ISERROR(INDEX($V$5:$V$37,SMALL(IF($W$5:$W$35&lt;&gt;0,ROW($W$5:$W$35)-4),ROW(E18)))),"",INDEX($V$5:$V$37,SMALL(IF($W$5:$W$35&lt;&gt;0,ROW($W$5:$W$35)-4),ROW(E18))))</f>
        <v/>
      </c>
      <c r="F22" s="440" t="str">
        <f t="array" ref="F22">IF(ISERROR(INDEX($W$5:$W$35,SMALL(IF($W$5:$W$35&lt;&gt;0,ROW($W$5:$W$35)-4),ROW(F18)))),"",INDEX($W$5:$W$35,SMALL(IF($W$5:$W$35&lt;&gt;0,ROW($W$5:$W$35)-4),ROW(F18))))</f>
        <v/>
      </c>
      <c r="G22" s="439" t="str">
        <f t="array" ref="G22">IF( ISERROR(INDEX($X$5:$X$35,SMALL(IF($Y$5:$Y$35&lt;&gt;0,ROW($Y$5:$Y$35)-4),ROW(G18)))),"",INDEX($X$5:$X$35,SMALL(IF($Y$5:$Y$35&lt;&gt;0,ROW($Y$5:$Y$35)-4),ROW(G18))))</f>
        <v/>
      </c>
      <c r="H22" s="440" t="str">
        <f t="array" ref="H22">IF(ISERROR(INDEX($Y$5:$Y$35,SMALL(IF($Y$5:$Y$35&lt;&gt;0,ROW($Y$5:$Y$35)-4),ROW(H18)))),"",INDEX($Y$5:$Y$35,SMALL(IF($Y$5:$Y$35&lt;&gt;0,ROW($Y$5:$Y$35)-4),ROW(H18))))</f>
        <v/>
      </c>
      <c r="I22" s="439" t="str">
        <f t="array" ref="I22">IF( ISERROR(INDEX($Z$5:$Z$37,SMALL(IF($AA$5:$AA$35&lt;&gt;0,ROW($AA$5:$AA$35)-4),ROW(I18)))),"",INDEX($Z$5:$Z$37,SMALL(IF($AA$5:$AA$35&lt;&gt;0,ROW($Z$5:$Z$35)-4),ROW(I18))))</f>
        <v/>
      </c>
      <c r="J22" s="440" t="str">
        <f t="array" ref="J22">IF(ISERROR(INDEX($AA$5:$AA$35,SMALL(IF($AA$5:$AA$35&lt;&gt;0,ROW($AA$5:$AA$35)-4),ROW(J18)))),"",INDEX($AA$5:$AA$35,SMALL(IF($AA$5:$AA$35&lt;&gt;0,ROW($AA$5:$AA$35)-4),ROW(J18))))</f>
        <v/>
      </c>
      <c r="K22" s="439" t="str">
        <f t="array" ref="K22">IF( ISERROR(INDEX($AB$5:$AB$37,SMALL(IF($AC$5:$AC$35&lt;&gt;0,ROW($AC$5:$AC$35)-4),ROW(K18)))),"",INDEX($AB$5:$AB$37,SMALL(IF($AC$5:$AC$35&lt;&gt;0,ROW($AC$5:$AC$35)-4),ROW(K18))))</f>
        <v/>
      </c>
      <c r="L22" s="440" t="str">
        <f t="array" ref="L22">IF(ISERROR(INDEX($AC$5:$AC$35,SMALL(IF($AC$5:$AC$35&lt;&gt;0,ROW($AC$5:$AC$35)-4),ROW(L18)))),"",INDEX($AC$5:$AC$35,SMALL(IF($AC$5:$AC$35&lt;&gt;0,ROW($AC$5:$AC$35)-4),ROW(L18))))</f>
        <v/>
      </c>
      <c r="M22" s="439" t="str">
        <f t="array" ref="M22">IF( ISERROR(INDEX($AD$5:$AD$37,SMALL(IF($AE$5:$AE$35&lt;&gt;0,ROW($AE$5:$AE$35)-4),ROW(M18)))),"",INDEX($AD$5:$AD$37,SMALL(IF($AE$5:$AE$35&lt;&gt;0,ROW($AD$5:$AD$35)-4),ROW(M18))))</f>
        <v/>
      </c>
      <c r="N22" s="440" t="str">
        <f t="array" ref="N22">IF(ISERROR(INDEX($AE$5:$AE$35,SMALL(IF($AE$5:$AE$35&lt;&gt;0,ROW($AE$5:$AE$35)-4),ROW(N18)))),"",INDEX($AE$5:$AE$35,SMALL(IF($AE$5:$AE$35&lt;&gt;0,ROW($AE$5:$AE$35)-4),ROW(N18))))</f>
        <v/>
      </c>
      <c r="O22" s="439" t="str">
        <f t="array" ref="O22">IF( ISERROR(INDEX($AF$5:$AF$37,SMALL(IF($AG$5:$AG$35&lt;&gt;0,ROW($AG$5:$AG$35)-4),ROW(O18)))),"",INDEX($AF$5:$AF$37,SMALL(IF($AG$5:$AG$35&lt;&gt;0,ROW($AG$5:$AG$35)-4),ROW(O18))))</f>
        <v/>
      </c>
      <c r="P22" s="440" t="str">
        <f t="array" ref="P22">IF(ISERROR(INDEX($AG$5:$AG$35,SMALL(IF($AG$5:$AG$35&lt;&gt;0,ROW($AG$5:$AG$35)-4),ROW(P18)))),"",INDEX($AG$5:$AG$35,SMALL(IF($AG$5:$AG$35&lt;&gt;0,ROW($AG$5:$AG$35)-4),ROW(P18))))</f>
        <v/>
      </c>
      <c r="Q22" s="439" t="str">
        <f t="array" ref="Q22">IF( ISERROR(INDEX($AH$5:$AH$37,SMALL(IF($AI$5:$AI$35&lt;&gt;0,ROW($AI$5:$AI$35)-4),ROW(Q18)))),"",INDEX($AH$5:$AH$37,SMALL(IF($AI$5:$AI$35&lt;&gt;0,ROW($AI$5:$AI$35)-4),ROW(Q18))))</f>
        <v/>
      </c>
      <c r="R22" s="440" t="str">
        <f t="array" ref="R22">IF(ISERROR(INDEX($AI$5:$AI$35,SMALL(IF($AI$5:$AI$35&lt;&gt;0,ROW($AI$5:$AI$35)-4),ROW(R18)))),"",INDEX($AI$5:$AI$35,SMALL(IF($AI$5:$AI$35&lt;&gt;0,ROW($AI$5:$AI$35)-4),ROW(R18))))</f>
        <v/>
      </c>
      <c r="S22" s="439" t="str">
        <f t="array" ref="S22">IF( ISERROR(INDEX($AJ$5:$AJ$37,SMALL(IF($AK$5:$AK$35&lt;&gt;0,ROW($AJ$5:$AJ$35)-4),ROW(S18)))),"",INDEX($AJ$5:$AJ$37,SMALL(IF($AK$5:$AK$35&lt;&gt;0,ROW($AK$5:$AK$35)-4),ROW(S18))))</f>
        <v/>
      </c>
      <c r="T22" s="440" t="str">
        <f t="array" ref="T22">IF(ISERROR(INDEX($AK$5:$AK$35,SMALL(IF($AK$5:$AK$35&lt;&gt;0,ROW($AK$5:$AK$35)-4),ROW(T18)))),"",INDEX($AK$5:$AK$35,SMALL(IF($AK$5:$AK$35&lt;&gt;0,ROW($AK$5:$AK$35)-4),ROW(T18))))</f>
        <v/>
      </c>
      <c r="V22" s="1009"/>
      <c r="W22" s="572"/>
      <c r="X22" s="572"/>
      <c r="Y22" s="575">
        <f>SUMIF($AT$5:$AT$53,X22,$AR$5:$AR$53)</f>
        <v>0</v>
      </c>
      <c r="Z22" s="1009"/>
      <c r="AA22" s="572">
        <f>SUMIF($AU$5:$AU$54,Z22,$AR$5:$AR$54)</f>
        <v>0</v>
      </c>
      <c r="AB22" s="572"/>
      <c r="AC22" s="572"/>
      <c r="AD22" s="1009"/>
      <c r="AE22" s="572"/>
      <c r="AF22" s="572"/>
      <c r="AG22" s="575"/>
      <c r="AH22" s="572"/>
      <c r="AI22" s="572"/>
      <c r="AJ22" s="572"/>
      <c r="AK22" s="575"/>
      <c r="AL22" s="209"/>
      <c r="AM22" s="201">
        <v>21</v>
      </c>
      <c r="AN22" s="572" t="s">
        <v>69</v>
      </c>
      <c r="AO22" s="579" t="s">
        <v>1106</v>
      </c>
      <c r="AP22" s="580">
        <f>2*(L1_C+L2_C+L3_C+L4_C+L1_F+L2_F+L3_F+L4_F-1)*(W_C+W_F+1)</f>
        <v>88</v>
      </c>
      <c r="AQ22" s="574">
        <f t="shared" si="6"/>
        <v>88</v>
      </c>
      <c r="AR22" s="572">
        <f t="shared" si="12"/>
        <v>88</v>
      </c>
      <c r="AS22" s="575" t="s">
        <v>69</v>
      </c>
      <c r="AT22" s="575" t="s">
        <v>69</v>
      </c>
      <c r="AU22" s="575" t="s">
        <v>69</v>
      </c>
      <c r="AV22" s="1095" t="s">
        <v>69</v>
      </c>
      <c r="AW22" s="575" t="s">
        <v>69</v>
      </c>
      <c r="AX22" s="581" t="s">
        <v>69</v>
      </c>
      <c r="AY22" s="581"/>
    </row>
    <row r="23" spans="1:51" ht="18" customHeight="1">
      <c r="A23" s="436" t="str">
        <f>IF(B23="","",(VLOOKUP(B:B,'0.39'!B:F,5,FALSE)))</f>
        <v/>
      </c>
      <c r="B23" s="436" t="str">
        <f>IF(BASIC_TOOL!$F$23=1,BoltnNuts!E23,IF(BASIC_TOOL!$F$23=2,BoltnNuts!G23,IF(BASIC_TOOL!$F$23=3,BoltnNuts!I23,IF(BASIC_TOOL!$F$23=4,BoltnNuts!K23,IF(BASIC_TOOL!$F$23=5,BoltnNuts!M23,IF(BASIC_TOOL!$F$23=6,BoltnNuts!O23,IF(BASIC_TOOL!$F$23=7,BoltnNuts!Q23,IF(BASIC_TOOL!$F$23=8,BoltnNuts!S23))))))))</f>
        <v/>
      </c>
      <c r="C23" s="436" t="str">
        <f>IF(BASIC_TOOL!$F$23=1,BoltnNuts!F23,IF(BASIC_TOOL!$F$23=2,BoltnNuts!H23,IF(BASIC_TOOL!$F$23=3,BoltnNuts!J23,IF(BASIC_TOOL!$F$23=4,BoltnNuts!L23,IF(BASIC_TOOL!$F$23=5,BoltnNuts!N23,IF(BASIC_TOOL!$F$23=6,BoltnNuts!P23,IF(BASIC_TOOL!$F$23=7,BoltnNuts!R23,IF(BASIC_TOOL!$F$23=8,BoltnNuts!T23))))))))</f>
        <v/>
      </c>
      <c r="D23" s="403"/>
      <c r="E23" s="439" t="str">
        <f t="array" ref="E23">IF( ISERROR(INDEX($V$5:$V$37,SMALL(IF($W$5:$W$35&lt;&gt;0,ROW($W$5:$W$35)-4),ROW(E19)))),"",INDEX($V$5:$V$37,SMALL(IF($W$5:$W$35&lt;&gt;0,ROW($W$5:$W$35)-4),ROW(E19))))</f>
        <v/>
      </c>
      <c r="F23" s="440" t="str">
        <f t="array" ref="F23">IF(ISERROR(INDEX($W$5:$W$35,SMALL(IF($W$5:$W$35&lt;&gt;0,ROW($W$5:$W$35)-4),ROW(F19)))),"",INDEX($W$5:$W$35,SMALL(IF($W$5:$W$35&lt;&gt;0,ROW($W$5:$W$35)-4),ROW(F19))))</f>
        <v/>
      </c>
      <c r="G23" s="439" t="str">
        <f t="array" ref="G23">IF( ISERROR(INDEX($X$5:$X$35,SMALL(IF($Y$5:$Y$35&lt;&gt;0,ROW($Y$5:$Y$35)-4),ROW(G19)))),"",INDEX($X$5:$X$35,SMALL(IF($Y$5:$Y$35&lt;&gt;0,ROW($Y$5:$Y$35)-4),ROW(G19))))</f>
        <v/>
      </c>
      <c r="H23" s="440" t="str">
        <f t="array" ref="H23">IF(ISERROR(INDEX($Y$5:$Y$35,SMALL(IF($Y$5:$Y$35&lt;&gt;0,ROW($Y$5:$Y$35)-4),ROW(H19)))),"",INDEX($Y$5:$Y$35,SMALL(IF($Y$5:$Y$35&lt;&gt;0,ROW($Y$5:$Y$35)-4),ROW(H19))))</f>
        <v/>
      </c>
      <c r="I23" s="439" t="str">
        <f t="array" ref="I23">IF( ISERROR(INDEX($Z$5:$Z$37,SMALL(IF($AA$5:$AA$35&lt;&gt;0,ROW($AA$5:$AA$35)-4),ROW(I19)))),"",INDEX($Z$5:$Z$37,SMALL(IF($AA$5:$AA$35&lt;&gt;0,ROW($Z$5:$Z$35)-4),ROW(I19))))</f>
        <v/>
      </c>
      <c r="J23" s="440" t="str">
        <f t="array" ref="J23">IF(ISERROR(INDEX($AA$5:$AA$35,SMALL(IF($AA$5:$AA$35&lt;&gt;0,ROW($AA$5:$AA$35)-4),ROW(J19)))),"",INDEX($AA$5:$AA$35,SMALL(IF($AA$5:$AA$35&lt;&gt;0,ROW($AA$5:$AA$35)-4),ROW(J19))))</f>
        <v/>
      </c>
      <c r="K23" s="439" t="str">
        <f t="array" ref="K23">IF( ISERROR(INDEX($AB$5:$AB$37,SMALL(IF($AC$5:$AC$35&lt;&gt;0,ROW($AC$5:$AC$35)-4),ROW(K19)))),"",INDEX($AB$5:$AB$37,SMALL(IF($AC$5:$AC$35&lt;&gt;0,ROW($AC$5:$AC$35)-4),ROW(K19))))</f>
        <v/>
      </c>
      <c r="L23" s="440" t="str">
        <f t="array" ref="L23">IF(ISERROR(INDEX($AC$5:$AC$35,SMALL(IF($AC$5:$AC$35&lt;&gt;0,ROW($AC$5:$AC$35)-4),ROW(L19)))),"",INDEX($AC$5:$AC$35,SMALL(IF($AC$5:$AC$35&lt;&gt;0,ROW($AC$5:$AC$35)-4),ROW(L19))))</f>
        <v/>
      </c>
      <c r="M23" s="439" t="str">
        <f t="array" ref="M23">IF( ISERROR(INDEX($AD$5:$AD$37,SMALL(IF($AE$5:$AE$35&lt;&gt;0,ROW($AE$5:$AE$35)-4),ROW(M19)))),"",INDEX($AD$5:$AD$37,SMALL(IF($AE$5:$AE$35&lt;&gt;0,ROW($AD$5:$AD$35)-4),ROW(M19))))</f>
        <v/>
      </c>
      <c r="N23" s="440" t="str">
        <f t="array" ref="N23">IF(ISERROR(INDEX($AE$5:$AE$35,SMALL(IF($AE$5:$AE$35&lt;&gt;0,ROW($AE$5:$AE$35)-4),ROW(N19)))),"",INDEX($AE$5:$AE$35,SMALL(IF($AE$5:$AE$35&lt;&gt;0,ROW($AE$5:$AE$35)-4),ROW(N19))))</f>
        <v/>
      </c>
      <c r="O23" s="439" t="str">
        <f t="array" ref="O23">IF( ISERROR(INDEX($AF$5:$AF$37,SMALL(IF($AG$5:$AG$35&lt;&gt;0,ROW($AG$5:$AG$35)-4),ROW(O19)))),"",INDEX($AF$5:$AF$37,SMALL(IF($AG$5:$AG$35&lt;&gt;0,ROW($AG$5:$AG$35)-4),ROW(O19))))</f>
        <v/>
      </c>
      <c r="P23" s="440" t="str">
        <f t="array" ref="P23">IF(ISERROR(INDEX($AG$5:$AG$35,SMALL(IF($AG$5:$AG$35&lt;&gt;0,ROW($AG$5:$AG$35)-4),ROW(P19)))),"",INDEX($AG$5:$AG$35,SMALL(IF($AG$5:$AG$35&lt;&gt;0,ROW($AG$5:$AG$35)-4),ROW(P19))))</f>
        <v/>
      </c>
      <c r="Q23" s="439" t="str">
        <f t="array" ref="Q23">IF( ISERROR(INDEX($AH$5:$AH$37,SMALL(IF($AI$5:$AI$35&lt;&gt;0,ROW($AI$5:$AI$35)-4),ROW(Q19)))),"",INDEX($AH$5:$AH$37,SMALL(IF($AI$5:$AI$35&lt;&gt;0,ROW($AI$5:$AI$35)-4),ROW(Q19))))</f>
        <v/>
      </c>
      <c r="R23" s="440" t="str">
        <f t="array" ref="R23">IF(ISERROR(INDEX($AI$5:$AI$35,SMALL(IF($AI$5:$AI$35&lt;&gt;0,ROW($AI$5:$AI$35)-4),ROW(R19)))),"",INDEX($AI$5:$AI$35,SMALL(IF($AI$5:$AI$35&lt;&gt;0,ROW($AI$5:$AI$35)-4),ROW(R19))))</f>
        <v/>
      </c>
      <c r="S23" s="439" t="str">
        <f t="array" ref="S23">IF( ISERROR(INDEX($AJ$5:$AJ$37,SMALL(IF($AK$5:$AK$35&lt;&gt;0,ROW($AJ$5:$AJ$35)-4),ROW(S19)))),"",INDEX($AJ$5:$AJ$37,SMALL(IF($AK$5:$AK$35&lt;&gt;0,ROW($AK$5:$AK$35)-4),ROW(S19))))</f>
        <v/>
      </c>
      <c r="T23" s="440" t="str">
        <f t="array" ref="T23">IF(ISERROR(INDEX($AK$5:$AK$35,SMALL(IF($AK$5:$AK$35&lt;&gt;0,ROW($AK$5:$AK$35)-4),ROW(T19)))),"",INDEX($AK$5:$AK$35,SMALL(IF($AK$5:$AK$35&lt;&gt;0,ROW($AK$5:$AK$35)-4),ROW(T19))))</f>
        <v/>
      </c>
      <c r="V23" s="1009"/>
      <c r="W23" s="572"/>
      <c r="X23" s="572"/>
      <c r="Y23" s="575">
        <f>SUMIF($AT$5:$AT$53,X23,$AR$5:$AR$53)</f>
        <v>0</v>
      </c>
      <c r="Z23" s="572"/>
      <c r="AA23" s="572">
        <f>SUMIF($AU$5:$AU$54,Z23,$AR$5:$AR$54)</f>
        <v>0</v>
      </c>
      <c r="AB23" s="572"/>
      <c r="AC23" s="572"/>
      <c r="AD23" s="1008"/>
      <c r="AE23" s="575">
        <f>SUMIF($AW$5:$AW$54,AD23,$AR$5:$AR$54)</f>
        <v>0</v>
      </c>
      <c r="AF23" s="572"/>
      <c r="AG23" s="575"/>
      <c r="AH23" s="572"/>
      <c r="AI23" s="572"/>
      <c r="AJ23" s="572"/>
      <c r="AK23" s="572"/>
      <c r="AL23" s="209"/>
      <c r="AM23" s="201">
        <v>22</v>
      </c>
      <c r="AN23" s="572" t="s">
        <v>69</v>
      </c>
      <c r="AO23" s="581" t="s">
        <v>1107</v>
      </c>
      <c r="AP23" s="574">
        <f>Steel_Skid!M36</f>
        <v>15</v>
      </c>
      <c r="AQ23" s="574">
        <f t="shared" si="6"/>
        <v>15</v>
      </c>
      <c r="AR23" s="572">
        <f t="shared" si="12"/>
        <v>15</v>
      </c>
      <c r="AS23" s="575" t="s">
        <v>69</v>
      </c>
      <c r="AT23" s="572" t="s">
        <v>69</v>
      </c>
      <c r="AU23" s="572" t="s">
        <v>69</v>
      </c>
      <c r="AV23" s="950" t="s">
        <v>69</v>
      </c>
      <c r="AW23" s="572" t="s">
        <v>69</v>
      </c>
      <c r="AX23" s="581" t="s">
        <v>69</v>
      </c>
      <c r="AY23" s="581"/>
    </row>
    <row r="24" spans="1:51" ht="22.5" customHeight="1">
      <c r="A24" s="436" t="str">
        <f>IF(B24="","",(VLOOKUP(B:B,'0.39'!B:F,5,FALSE)))</f>
        <v/>
      </c>
      <c r="B24" s="436" t="str">
        <f>IF(BASIC_TOOL!$F$23=1,BoltnNuts!E24,IF(BASIC_TOOL!$F$23=2,BoltnNuts!G24,IF(BASIC_TOOL!$F$23=3,BoltnNuts!I24,IF(BASIC_TOOL!$F$23=4,BoltnNuts!K24,IF(BASIC_TOOL!$F$23=5,BoltnNuts!M24,IF(BASIC_TOOL!$F$23=6,BoltnNuts!O24,IF(BASIC_TOOL!$F$23=7,BoltnNuts!Q24,IF(BASIC_TOOL!$F$23=8,BoltnNuts!S24))))))))</f>
        <v/>
      </c>
      <c r="C24" s="436" t="str">
        <f>IF(BASIC_TOOL!$F$23=1,BoltnNuts!F24,IF(BASIC_TOOL!$F$23=2,BoltnNuts!H24,IF(BASIC_TOOL!$F$23=3,BoltnNuts!J24,IF(BASIC_TOOL!$F$23=4,BoltnNuts!L24,IF(BASIC_TOOL!$F$23=5,BoltnNuts!N24,IF(BASIC_TOOL!$F$23=6,BoltnNuts!P24,IF(BASIC_TOOL!$F$23=7,BoltnNuts!R24,IF(BASIC_TOOL!$F$23=8,BoltnNuts!T24))))))))</f>
        <v/>
      </c>
      <c r="D24" s="403"/>
      <c r="E24" s="439" t="str">
        <f t="array" ref="E24">IF( ISERROR(INDEX($V$5:$V$37,SMALL(IF($W$5:$W$35&lt;&gt;0,ROW($W$5:$W$35)-4),ROW(E20)))),"",INDEX($V$5:$V$37,SMALL(IF($W$5:$W$35&lt;&gt;0,ROW($W$5:$W$35)-4),ROW(E20))))</f>
        <v/>
      </c>
      <c r="F24" s="440" t="str">
        <f t="array" ref="F24">IF(ISERROR(INDEX($W$5:$W$35,SMALL(IF($W$5:$W$35&lt;&gt;0,ROW($W$5:$W$35)-4),ROW(F20)))),"",INDEX($W$5:$W$35,SMALL(IF($W$5:$W$35&lt;&gt;0,ROW($W$5:$W$35)-4),ROW(F20))))</f>
        <v/>
      </c>
      <c r="G24" s="439" t="str">
        <f t="array" ref="G24">IF( ISERROR(INDEX($X$5:$X$35,SMALL(IF($Y$5:$Y$35&lt;&gt;0,ROW($Y$5:$Y$35)-4),ROW(G20)))),"",INDEX($X$5:$X$35,SMALL(IF($Y$5:$Y$35&lt;&gt;0,ROW($Y$5:$Y$35)-4),ROW(G20))))</f>
        <v/>
      </c>
      <c r="H24" s="440" t="str">
        <f t="array" ref="H24">IF(ISERROR(INDEX($Y$5:$Y$35,SMALL(IF($Y$5:$Y$35&lt;&gt;0,ROW($Y$5:$Y$35)-4),ROW(H20)))),"",INDEX($Y$5:$Y$35,SMALL(IF($Y$5:$Y$35&lt;&gt;0,ROW($Y$5:$Y$35)-4),ROW(H20))))</f>
        <v/>
      </c>
      <c r="I24" s="439" t="str">
        <f t="array" ref="I24">IF( ISERROR(INDEX($Z$5:$Z$37,SMALL(IF($AA$5:$AA$35&lt;&gt;0,ROW($AA$5:$AA$35)-4),ROW(I20)))),"",INDEX($Z$5:$Z$37,SMALL(IF($AA$5:$AA$35&lt;&gt;0,ROW($Z$5:$Z$35)-4),ROW(I20))))</f>
        <v/>
      </c>
      <c r="J24" s="440" t="str">
        <f t="array" ref="J24">IF(ISERROR(INDEX($AA$5:$AA$35,SMALL(IF($AA$5:$AA$35&lt;&gt;0,ROW($AA$5:$AA$35)-4),ROW(J20)))),"",INDEX($AA$5:$AA$35,SMALL(IF($AA$5:$AA$35&lt;&gt;0,ROW($AA$5:$AA$35)-4),ROW(J20))))</f>
        <v/>
      </c>
      <c r="K24" s="439" t="str">
        <f t="array" ref="K24">IF( ISERROR(INDEX($AB$5:$AB$37,SMALL(IF($AC$5:$AC$35&lt;&gt;0,ROW($AC$5:$AC$35)-4),ROW(K20)))),"",INDEX($AB$5:$AB$37,SMALL(IF($AC$5:$AC$35&lt;&gt;0,ROW($AC$5:$AC$35)-4),ROW(K20))))</f>
        <v/>
      </c>
      <c r="L24" s="440" t="str">
        <f t="array" ref="L24">IF(ISERROR(INDEX($AC$5:$AC$35,SMALL(IF($AC$5:$AC$35&lt;&gt;0,ROW($AC$5:$AC$35)-4),ROW(L20)))),"",INDEX($AC$5:$AC$35,SMALL(IF($AC$5:$AC$35&lt;&gt;0,ROW($AC$5:$AC$35)-4),ROW(L20))))</f>
        <v/>
      </c>
      <c r="M24" s="439" t="str">
        <f t="array" ref="M24">IF( ISERROR(INDEX($AD$5:$AD$37,SMALL(IF($AE$5:$AE$35&lt;&gt;0,ROW($AE$5:$AE$35)-4),ROW(M20)))),"",INDEX($AD$5:$AD$37,SMALL(IF($AE$5:$AE$35&lt;&gt;0,ROW($AD$5:$AD$35)-4),ROW(M20))))</f>
        <v/>
      </c>
      <c r="N24" s="440" t="str">
        <f t="array" ref="N24">IF(ISERROR(INDEX($AE$5:$AE$35,SMALL(IF($AE$5:$AE$35&lt;&gt;0,ROW($AE$5:$AE$35)-4),ROW(N20)))),"",INDEX($AE$5:$AE$35,SMALL(IF($AE$5:$AE$35&lt;&gt;0,ROW($AE$5:$AE$35)-4),ROW(N20))))</f>
        <v/>
      </c>
      <c r="O24" s="439" t="str">
        <f t="array" ref="O24">IF( ISERROR(INDEX($AF$5:$AF$37,SMALL(IF($AG$5:$AG$35&lt;&gt;0,ROW($AG$5:$AG$35)-4),ROW(O20)))),"",INDEX($AF$5:$AF$37,SMALL(IF($AG$5:$AG$35&lt;&gt;0,ROW($AG$5:$AG$35)-4),ROW(O20))))</f>
        <v/>
      </c>
      <c r="P24" s="440" t="str">
        <f t="array" ref="P24">IF(ISERROR(INDEX($AG$5:$AG$35,SMALL(IF($AG$5:$AG$35&lt;&gt;0,ROW($AG$5:$AG$35)-4),ROW(P20)))),"",INDEX($AG$5:$AG$35,SMALL(IF($AG$5:$AG$35&lt;&gt;0,ROW($AG$5:$AG$35)-4),ROW(P20))))</f>
        <v/>
      </c>
      <c r="Q24" s="439" t="str">
        <f t="array" ref="Q24">IF( ISERROR(INDEX($AH$5:$AH$37,SMALL(IF($AI$5:$AI$35&lt;&gt;0,ROW($AI$5:$AI$35)-4),ROW(Q20)))),"",INDEX($AH$5:$AH$37,SMALL(IF($AI$5:$AI$35&lt;&gt;0,ROW($AI$5:$AI$35)-4),ROW(Q20))))</f>
        <v/>
      </c>
      <c r="R24" s="440" t="str">
        <f t="array" ref="R24">IF(ISERROR(INDEX($AI$5:$AI$35,SMALL(IF($AI$5:$AI$35&lt;&gt;0,ROW($AI$5:$AI$35)-4),ROW(R20)))),"",INDEX($AI$5:$AI$35,SMALL(IF($AI$5:$AI$35&lt;&gt;0,ROW($AI$5:$AI$35)-4),ROW(R20))))</f>
        <v/>
      </c>
      <c r="S24" s="439" t="str">
        <f t="array" ref="S24">IF( ISERROR(INDEX($AJ$5:$AJ$37,SMALL(IF($AK$5:$AK$35&lt;&gt;0,ROW($AJ$5:$AJ$35)-4),ROW(S20)))),"",INDEX($AJ$5:$AJ$37,SMALL(IF($AK$5:$AK$35&lt;&gt;0,ROW($AK$5:$AK$35)-4),ROW(S20))))</f>
        <v/>
      </c>
      <c r="T24" s="440" t="str">
        <f t="array" ref="T24">IF(ISERROR(INDEX($AK$5:$AK$35,SMALL(IF($AK$5:$AK$35&lt;&gt;0,ROW($AK$5:$AK$35)-4),ROW(T20)))),"",INDEX($AK$5:$AK$35,SMALL(IF($AK$5:$AK$35&lt;&gt;0,ROW($AK$5:$AK$35)-4),ROW(T20))))</f>
        <v/>
      </c>
      <c r="V24" s="1597"/>
      <c r="W24" s="1597"/>
      <c r="Z24" s="1600"/>
      <c r="AA24" s="1600"/>
      <c r="AB24" s="1600"/>
      <c r="AC24" s="1600"/>
      <c r="AD24" s="1600"/>
      <c r="AE24" s="1600"/>
      <c r="AF24" s="1600"/>
      <c r="AG24" s="1600"/>
      <c r="AH24" s="206"/>
      <c r="AI24" s="206"/>
      <c r="AJ24" s="206"/>
      <c r="AK24" s="206"/>
      <c r="AL24" s="206"/>
      <c r="AM24" s="201">
        <v>23</v>
      </c>
      <c r="AN24" s="572" t="s">
        <v>69</v>
      </c>
      <c r="AO24" s="581" t="s">
        <v>1108</v>
      </c>
      <c r="AP24" s="574">
        <f>2*Steel_Skid!$M$9+IF(OR(H_O&gt;2.5,BASIC_TOOL!D17=2,BASIC_TOOL!D17=3),2*Steel_Skid!$M$9,0)</f>
        <v>32</v>
      </c>
      <c r="AQ24" s="574">
        <f t="shared" si="6"/>
        <v>32</v>
      </c>
      <c r="AR24" s="572">
        <f t="shared" si="12"/>
        <v>32</v>
      </c>
      <c r="AS24" s="575" t="s">
        <v>69</v>
      </c>
      <c r="AT24" s="572" t="s">
        <v>69</v>
      </c>
      <c r="AU24" s="572" t="s">
        <v>69</v>
      </c>
      <c r="AV24" s="950" t="s">
        <v>69</v>
      </c>
      <c r="AW24" s="572" t="s">
        <v>69</v>
      </c>
      <c r="AX24" s="581" t="s">
        <v>69</v>
      </c>
      <c r="AY24" s="581"/>
    </row>
    <row r="25" spans="1:51" ht="19.5">
      <c r="A25" s="436" t="str">
        <f>IF(B25="","",(VLOOKUP(B:B,'0.39'!B:F,5,FALSE)))</f>
        <v/>
      </c>
      <c r="B25" s="436" t="str">
        <f>IF(BASIC_TOOL!$F$23=1,BoltnNuts!E25,IF(BASIC_TOOL!$F$23=2,BoltnNuts!G25,IF(BASIC_TOOL!$F$23=3,BoltnNuts!I25,IF(BASIC_TOOL!$F$23=4,BoltnNuts!K25,IF(BASIC_TOOL!$F$23=5,BoltnNuts!M25,IF(BASIC_TOOL!$F$23=6,BoltnNuts!O25,IF(BASIC_TOOL!$F$23=7,BoltnNuts!Q25,IF(BASIC_TOOL!$F$23=8,BoltnNuts!S25))))))))</f>
        <v/>
      </c>
      <c r="C25" s="436" t="str">
        <f>IF(BASIC_TOOL!$F$23=1,BoltnNuts!F25,IF(BASIC_TOOL!$F$23=2,BoltnNuts!H25,IF(BASIC_TOOL!$F$23=3,BoltnNuts!J25,IF(BASIC_TOOL!$F$23=4,BoltnNuts!L25,IF(BASIC_TOOL!$F$23=5,BoltnNuts!N25,IF(BASIC_TOOL!$F$23=6,BoltnNuts!P25,IF(BASIC_TOOL!$F$23=7,BoltnNuts!R25,IF(BASIC_TOOL!$F$23=8,BoltnNuts!T25))))))))</f>
        <v/>
      </c>
      <c r="D25" s="403"/>
      <c r="E25" s="439" t="str">
        <f t="array" ref="E25">IF( ISERROR(INDEX($V$5:$V$37,SMALL(IF($W$5:$W$35&lt;&gt;0,ROW($W$5:$W$35)-4),ROW(E21)))),"",INDEX($V$5:$V$37,SMALL(IF($W$5:$W$35&lt;&gt;0,ROW($W$5:$W$35)-4),ROW(E21))))</f>
        <v/>
      </c>
      <c r="F25" s="440" t="str">
        <f t="array" ref="F25">IF(ISERROR(INDEX($W$5:$W$35,SMALL(IF($W$5:$W$35&lt;&gt;0,ROW($W$5:$W$35)-4),ROW(F21)))),"",INDEX($W$5:$W$35,SMALL(IF($W$5:$W$35&lt;&gt;0,ROW($W$5:$W$35)-4),ROW(F21))))</f>
        <v/>
      </c>
      <c r="G25" s="439" t="str">
        <f t="array" ref="G25">IF( ISERROR(INDEX($X$5:$X$35,SMALL(IF($Y$5:$Y$35&lt;&gt;0,ROW($Y$5:$Y$35)-4),ROW(G21)))),"",INDEX($X$5:$X$35,SMALL(IF($Y$5:$Y$35&lt;&gt;0,ROW($Y$5:$Y$35)-4),ROW(G21))))</f>
        <v/>
      </c>
      <c r="H25" s="440" t="str">
        <f t="array" ref="H25">IF(ISERROR(INDEX($Y$5:$Y$35,SMALL(IF($Y$5:$Y$35&lt;&gt;0,ROW($Y$5:$Y$35)-4),ROW(H21)))),"",INDEX($Y$5:$Y$35,SMALL(IF($Y$5:$Y$35&lt;&gt;0,ROW($Y$5:$Y$35)-4),ROW(H21))))</f>
        <v/>
      </c>
      <c r="I25" s="439" t="str">
        <f t="array" ref="I25">IF( ISERROR(INDEX($Z$5:$Z$37,SMALL(IF($AA$5:$AA$35&lt;&gt;0,ROW($AA$5:$AA$35)-4),ROW(I21)))),"",INDEX($Z$5:$Z$37,SMALL(IF($AA$5:$AA$35&lt;&gt;0,ROW($Z$5:$Z$35)-4),ROW(I21))))</f>
        <v/>
      </c>
      <c r="J25" s="440" t="str">
        <f t="array" ref="J25">IF(ISERROR(INDEX($AA$5:$AA$35,SMALL(IF($AA$5:$AA$35&lt;&gt;0,ROW($AA$5:$AA$35)-4),ROW(J21)))),"",INDEX($AA$5:$AA$35,SMALL(IF($AA$5:$AA$35&lt;&gt;0,ROW($AA$5:$AA$35)-4),ROW(J21))))</f>
        <v/>
      </c>
      <c r="K25" s="439" t="str">
        <f t="array" ref="K25">IF( ISERROR(INDEX($AB$5:$AB$37,SMALL(IF($AC$5:$AC$35&lt;&gt;0,ROW($AC$5:$AC$35)-4),ROW(K21)))),"",INDEX($AB$5:$AB$37,SMALL(IF($AC$5:$AC$35&lt;&gt;0,ROW($AC$5:$AC$35)-4),ROW(K21))))</f>
        <v/>
      </c>
      <c r="L25" s="440" t="str">
        <f t="array" ref="L25">IF(ISERROR(INDEX($AC$5:$AC$35,SMALL(IF($AC$5:$AC$35&lt;&gt;0,ROW($AC$5:$AC$35)-4),ROW(L21)))),"",INDEX($AC$5:$AC$35,SMALL(IF($AC$5:$AC$35&lt;&gt;0,ROW($AC$5:$AC$35)-4),ROW(L21))))</f>
        <v/>
      </c>
      <c r="M25" s="439" t="str">
        <f t="array" ref="M25">IF( ISERROR(INDEX($AD$5:$AD$37,SMALL(IF($AE$5:$AE$35&lt;&gt;0,ROW($AE$5:$AE$35)-4),ROW(M21)))),"",INDEX($AD$5:$AD$37,SMALL(IF($AE$5:$AE$35&lt;&gt;0,ROW($AD$5:$AD$35)-4),ROW(M21))))</f>
        <v/>
      </c>
      <c r="N25" s="440" t="str">
        <f t="array" ref="N25">IF(ISERROR(INDEX($AE$5:$AE$35,SMALL(IF($AE$5:$AE$35&lt;&gt;0,ROW($AE$5:$AE$35)-4),ROW(N21)))),"",INDEX($AE$5:$AE$35,SMALL(IF($AE$5:$AE$35&lt;&gt;0,ROW($AE$5:$AE$35)-4),ROW(N21))))</f>
        <v/>
      </c>
      <c r="O25" s="439" t="str">
        <f t="array" ref="O25">IF( ISERROR(INDEX($AF$5:$AF$37,SMALL(IF($AG$5:$AG$35&lt;&gt;0,ROW($AG$5:$AG$35)-4),ROW(O21)))),"",INDEX($AF$5:$AF$37,SMALL(IF($AG$5:$AG$35&lt;&gt;0,ROW($AG$5:$AG$35)-4),ROW(O21))))</f>
        <v/>
      </c>
      <c r="P25" s="440" t="str">
        <f t="array" ref="P25">IF(ISERROR(INDEX($AG$5:$AG$35,SMALL(IF($AG$5:$AG$35&lt;&gt;0,ROW($AG$5:$AG$35)-4),ROW(P21)))),"",INDEX($AG$5:$AG$35,SMALL(IF($AG$5:$AG$35&lt;&gt;0,ROW($AG$5:$AG$35)-4),ROW(P21))))</f>
        <v/>
      </c>
      <c r="Q25" s="439" t="str">
        <f t="array" ref="Q25">IF( ISERROR(INDEX($AH$5:$AH$37,SMALL(IF($AI$5:$AI$35&lt;&gt;0,ROW($AI$5:$AI$35)-4),ROW(Q21)))),"",INDEX($AH$5:$AH$37,SMALL(IF($AI$5:$AI$35&lt;&gt;0,ROW($AI$5:$AI$35)-4),ROW(Q21))))</f>
        <v/>
      </c>
      <c r="R25" s="440" t="str">
        <f t="array" ref="R25">IF(ISERROR(INDEX($AI$5:$AI$35,SMALL(IF($AI$5:$AI$35&lt;&gt;0,ROW($AI$5:$AI$35)-4),ROW(R21)))),"",INDEX($AI$5:$AI$35,SMALL(IF($AI$5:$AI$35&lt;&gt;0,ROW($AI$5:$AI$35)-4),ROW(R21))))</f>
        <v/>
      </c>
      <c r="S25" s="439" t="str">
        <f t="array" ref="S25">IF( ISERROR(INDEX($AJ$5:$AJ$37,SMALL(IF($AK$5:$AK$35&lt;&gt;0,ROW($AJ$5:$AJ$35)-4),ROW(S21)))),"",INDEX($AJ$5:$AJ$37,SMALL(IF($AK$5:$AK$35&lt;&gt;0,ROW($AK$5:$AK$35)-4),ROW(S21))))</f>
        <v/>
      </c>
      <c r="T25" s="440" t="str">
        <f t="array" ref="T25">IF(ISERROR(INDEX($AK$5:$AK$35,SMALL(IF($AK$5:$AK$35&lt;&gt;0,ROW($AK$5:$AK$35)-4),ROW(T21)))),"",INDEX($AK$5:$AK$35,SMALL(IF($AK$5:$AK$35&lt;&gt;0,ROW($AK$5:$AK$35)-4),ROW(T21))))</f>
        <v/>
      </c>
      <c r="V25" s="203"/>
      <c r="W25" s="204"/>
      <c r="Y25" s="206"/>
      <c r="Z25" s="206"/>
      <c r="AA25" s="206"/>
      <c r="AB25" s="206"/>
      <c r="AC25" s="206"/>
      <c r="AM25" s="201">
        <v>24</v>
      </c>
      <c r="AN25" s="572" t="s">
        <v>69</v>
      </c>
      <c r="AO25" s="582" t="s">
        <v>1109</v>
      </c>
      <c r="AP25" s="580"/>
      <c r="AQ25" s="574">
        <f t="shared" si="6"/>
        <v>0</v>
      </c>
      <c r="AR25" s="572">
        <f t="shared" si="12"/>
        <v>0</v>
      </c>
      <c r="AS25" s="575" t="s">
        <v>69</v>
      </c>
      <c r="AT25" s="572" t="s">
        <v>69</v>
      </c>
      <c r="AU25" s="572" t="s">
        <v>69</v>
      </c>
      <c r="AV25" s="950" t="s">
        <v>69</v>
      </c>
      <c r="AW25" s="572" t="s">
        <v>69</v>
      </c>
      <c r="AX25" s="581" t="s">
        <v>69</v>
      </c>
      <c r="AY25" s="581"/>
    </row>
    <row r="26" spans="1:51" ht="19.5">
      <c r="A26" s="436" t="str">
        <f>IF(B26="","",(VLOOKUP(B:B,'0.39'!B:F,5,FALSE)))</f>
        <v/>
      </c>
      <c r="B26" s="436" t="str">
        <f>IF(BASIC_TOOL!$F$23=1,BoltnNuts!E26,IF(BASIC_TOOL!$F$23=2,BoltnNuts!G26,IF(BASIC_TOOL!$F$23=3,BoltnNuts!I26,IF(BASIC_TOOL!$F$23=4,BoltnNuts!K26,IF(BASIC_TOOL!$F$23=5,BoltnNuts!M26,IF(BASIC_TOOL!$F$23=6,BoltnNuts!O26,IF(BASIC_TOOL!$F$23=7,BoltnNuts!Q26,IF(BASIC_TOOL!$F$23=8,BoltnNuts!S26))))))))</f>
        <v/>
      </c>
      <c r="C26" s="436" t="str">
        <f>IF(BASIC_TOOL!$F$23=1,BoltnNuts!F26,IF(BASIC_TOOL!$F$23=2,BoltnNuts!H26,IF(BASIC_TOOL!$F$23=3,BoltnNuts!J26,IF(BASIC_TOOL!$F$23=4,BoltnNuts!L26,IF(BASIC_TOOL!$F$23=5,BoltnNuts!N26,IF(BASIC_TOOL!$F$23=6,BoltnNuts!P26,IF(BASIC_TOOL!$F$23=7,BoltnNuts!R26,IF(BASIC_TOOL!$F$23=8,BoltnNuts!T26))))))))</f>
        <v/>
      </c>
      <c r="D26" s="403"/>
      <c r="E26" s="439" t="str">
        <f t="array" ref="E26">IF( ISERROR(INDEX($V$5:$V$37,SMALL(IF($W$5:$W$35&lt;&gt;0,ROW($W$5:$W$35)-4),ROW(E22)))),"",INDEX($V$5:$V$37,SMALL(IF($W$5:$W$35&lt;&gt;0,ROW($W$5:$W$35)-4),ROW(E22))))</f>
        <v/>
      </c>
      <c r="F26" s="440" t="str">
        <f t="array" ref="F26">IF(ISERROR(INDEX($W$5:$W$35,SMALL(IF($W$5:$W$35&lt;&gt;0,ROW($W$5:$W$35)-4),ROW(F22)))),"",INDEX($W$5:$W$35,SMALL(IF($W$5:$W$35&lt;&gt;0,ROW($W$5:$W$35)-4),ROW(F22))))</f>
        <v/>
      </c>
      <c r="G26" s="439" t="str">
        <f t="array" ref="G26">IF( ISERROR(INDEX($X$5:$X$35,SMALL(IF($Y$5:$Y$35&lt;&gt;0,ROW($Y$5:$Y$35)-4),ROW(G22)))),"",INDEX($X$5:$X$35,SMALL(IF($Y$5:$Y$35&lt;&gt;0,ROW($Y$5:$Y$35)-4),ROW(G22))))</f>
        <v/>
      </c>
      <c r="H26" s="440" t="str">
        <f t="array" ref="H26">IF(ISERROR(INDEX($Y$5:$Y$35,SMALL(IF($Y$5:$Y$35&lt;&gt;0,ROW($Y$5:$Y$35)-4),ROW(H22)))),"",INDEX($Y$5:$Y$35,SMALL(IF($Y$5:$Y$35&lt;&gt;0,ROW($Y$5:$Y$35)-4),ROW(H22))))</f>
        <v/>
      </c>
      <c r="I26" s="439" t="str">
        <f t="array" ref="I26">IF( ISERROR(INDEX($Z$5:$Z$37,SMALL(IF($AA$5:$AA$35&lt;&gt;0,ROW($AA$5:$AA$35)-4),ROW(I22)))),"",INDEX($Z$5:$Z$37,SMALL(IF($AA$5:$AA$35&lt;&gt;0,ROW($Z$5:$Z$35)-4),ROW(I22))))</f>
        <v/>
      </c>
      <c r="J26" s="440" t="str">
        <f t="array" ref="J26">IF(ISERROR(INDEX($AA$5:$AA$35,SMALL(IF($AA$5:$AA$35&lt;&gt;0,ROW($AA$5:$AA$35)-4),ROW(J22)))),"",INDEX($AA$5:$AA$35,SMALL(IF($AA$5:$AA$35&lt;&gt;0,ROW($AA$5:$AA$35)-4),ROW(J22))))</f>
        <v/>
      </c>
      <c r="K26" s="439" t="str">
        <f t="array" ref="K26">IF( ISERROR(INDEX($AB$5:$AB$37,SMALL(IF($AC$5:$AC$35&lt;&gt;0,ROW($AC$5:$AC$35)-4),ROW(K22)))),"",INDEX($AB$5:$AB$37,SMALL(IF($AC$5:$AC$35&lt;&gt;0,ROW($AC$5:$AC$35)-4),ROW(K22))))</f>
        <v/>
      </c>
      <c r="L26" s="440" t="str">
        <f t="array" ref="L26">IF(ISERROR(INDEX($AC$5:$AC$35,SMALL(IF($AC$5:$AC$35&lt;&gt;0,ROW($AC$5:$AC$35)-4),ROW(L22)))),"",INDEX($AC$5:$AC$35,SMALL(IF($AC$5:$AC$35&lt;&gt;0,ROW($AC$5:$AC$35)-4),ROW(L22))))</f>
        <v/>
      </c>
      <c r="M26" s="439" t="str">
        <f t="array" ref="M26">IF( ISERROR(INDEX($AD$5:$AD$37,SMALL(IF($AE$5:$AE$35&lt;&gt;0,ROW($AE$5:$AE$35)-4),ROW(M22)))),"",INDEX($AD$5:$AD$37,SMALL(IF($AE$5:$AE$35&lt;&gt;0,ROW($AD$5:$AD$35)-4),ROW(M22))))</f>
        <v/>
      </c>
      <c r="N26" s="440" t="str">
        <f t="array" ref="N26">IF(ISERROR(INDEX($AE$5:$AE$35,SMALL(IF($AE$5:$AE$35&lt;&gt;0,ROW($AE$5:$AE$35)-4),ROW(N22)))),"",INDEX($AE$5:$AE$35,SMALL(IF($AE$5:$AE$35&lt;&gt;0,ROW($AE$5:$AE$35)-4),ROW(N22))))</f>
        <v/>
      </c>
      <c r="O26" s="439" t="str">
        <f t="array" ref="O26">IF( ISERROR(INDEX($AF$5:$AF$37,SMALL(IF($AG$5:$AG$35&lt;&gt;0,ROW($AG$5:$AG$35)-4),ROW(O22)))),"",INDEX($AF$5:$AF$37,SMALL(IF($AG$5:$AG$35&lt;&gt;0,ROW($AG$5:$AG$35)-4),ROW(O22))))</f>
        <v/>
      </c>
      <c r="P26" s="440" t="str">
        <f t="array" ref="P26">IF(ISERROR(INDEX($AG$5:$AG$35,SMALL(IF($AG$5:$AG$35&lt;&gt;0,ROW($AG$5:$AG$35)-4),ROW(P22)))),"",INDEX($AG$5:$AG$35,SMALL(IF($AG$5:$AG$35&lt;&gt;0,ROW($AG$5:$AG$35)-4),ROW(P22))))</f>
        <v/>
      </c>
      <c r="Q26" s="439" t="str">
        <f t="array" ref="Q26">IF( ISERROR(INDEX($AH$5:$AH$37,SMALL(IF($AI$5:$AI$35&lt;&gt;0,ROW($AI$5:$AI$35)-4),ROW(Q22)))),"",INDEX($AH$5:$AH$37,SMALL(IF($AI$5:$AI$35&lt;&gt;0,ROW($AI$5:$AI$35)-4),ROW(Q22))))</f>
        <v/>
      </c>
      <c r="R26" s="440" t="str">
        <f t="array" ref="R26">IF(ISERROR(INDEX($AI$5:$AI$35,SMALL(IF($AI$5:$AI$35&lt;&gt;0,ROW($AI$5:$AI$35)-4),ROW(R22)))),"",INDEX($AI$5:$AI$35,SMALL(IF($AI$5:$AI$35&lt;&gt;0,ROW($AI$5:$AI$35)-4),ROW(R22))))</f>
        <v/>
      </c>
      <c r="S26" s="439" t="str">
        <f t="array" ref="S26">IF( ISERROR(INDEX($AJ$5:$AJ$37,SMALL(IF($AK$5:$AK$35&lt;&gt;0,ROW($AJ$5:$AJ$35)-4),ROW(S22)))),"",INDEX($AJ$5:$AJ$37,SMALL(IF($AK$5:$AK$35&lt;&gt;0,ROW($AK$5:$AK$35)-4),ROW(S22))))</f>
        <v/>
      </c>
      <c r="T26" s="440" t="str">
        <f t="array" ref="T26">IF(ISERROR(INDEX($AK$5:$AK$35,SMALL(IF($AK$5:$AK$35&lt;&gt;0,ROW($AK$5:$AK$35)-4),ROW(T22)))),"",INDEX($AK$5:$AK$35,SMALL(IF($AK$5:$AK$35&lt;&gt;0,ROW($AK$5:$AK$35)-4),ROW(T22))))</f>
        <v/>
      </c>
      <c r="V26" s="201"/>
      <c r="AM26" s="201">
        <v>25</v>
      </c>
      <c r="AN26" s="572" t="s">
        <v>78</v>
      </c>
      <c r="AO26" s="579" t="s">
        <v>1110</v>
      </c>
      <c r="AP26" s="580">
        <f>H_O*8*2*N_PA</f>
        <v>0</v>
      </c>
      <c r="AQ26" s="574">
        <f t="shared" si="6"/>
        <v>0</v>
      </c>
      <c r="AR26" s="572">
        <f t="shared" si="12"/>
        <v>0</v>
      </c>
      <c r="AS26" s="575" t="s">
        <v>55</v>
      </c>
      <c r="AT26" s="575" t="s">
        <v>55</v>
      </c>
      <c r="AU26" s="575" t="s">
        <v>78</v>
      </c>
      <c r="AV26" s="1095" t="s">
        <v>78</v>
      </c>
      <c r="AW26" s="575" t="s">
        <v>1093</v>
      </c>
      <c r="AX26" s="581" t="s">
        <v>78</v>
      </c>
      <c r="AY26" s="581"/>
    </row>
    <row r="27" spans="1:51" ht="19.5">
      <c r="A27" s="436" t="str">
        <f>IF(B27="","",(VLOOKUP(B:B,'0.39'!B:F,5,FALSE)))</f>
        <v/>
      </c>
      <c r="B27" s="436" t="str">
        <f>IF(BASIC_TOOL!$F$23=1,BoltnNuts!E27,IF(BASIC_TOOL!$F$23=2,BoltnNuts!G27,IF(BASIC_TOOL!$F$23=3,BoltnNuts!I27,IF(BASIC_TOOL!$F$23=4,BoltnNuts!K27,IF(BASIC_TOOL!$F$23=5,BoltnNuts!M27,IF(BASIC_TOOL!$F$23=6,BoltnNuts!O27,IF(BASIC_TOOL!$F$23=7,BoltnNuts!Q27,IF(BASIC_TOOL!$F$23=8,BoltnNuts!S27))))))))</f>
        <v/>
      </c>
      <c r="C27" s="436" t="str">
        <f>IF(BASIC_TOOL!$F$23=1,BoltnNuts!F27,IF(BASIC_TOOL!$F$23=2,BoltnNuts!H27,IF(BASIC_TOOL!$F$23=3,BoltnNuts!J27,IF(BASIC_TOOL!$F$23=4,BoltnNuts!L27,IF(BASIC_TOOL!$F$23=5,BoltnNuts!N27,IF(BASIC_TOOL!$F$23=6,BoltnNuts!P27,IF(BASIC_TOOL!$F$23=7,BoltnNuts!R27,IF(BASIC_TOOL!$F$23=8,BoltnNuts!T27))))))))</f>
        <v/>
      </c>
      <c r="D27" s="403"/>
      <c r="E27" s="439" t="str">
        <f t="array" ref="E27">IF( ISERROR(INDEX($V$5:$V$37,SMALL(IF($W$5:$W$35&lt;&gt;0,ROW($W$5:$W$35)-4),ROW(E23)))),"",INDEX($V$5:$V$37,SMALL(IF($W$5:$W$35&lt;&gt;0,ROW($W$5:$W$35)-4),ROW(E23))))</f>
        <v/>
      </c>
      <c r="F27" s="440" t="str">
        <f t="array" ref="F27">IF(ISERROR(INDEX($W$5:$W$35,SMALL(IF($W$5:$W$35&lt;&gt;0,ROW($W$5:$W$35)-4),ROW(F23)))),"",INDEX($W$5:$W$35,SMALL(IF($W$5:$W$35&lt;&gt;0,ROW($W$5:$W$35)-4),ROW(F23))))</f>
        <v/>
      </c>
      <c r="G27" s="439" t="str">
        <f t="array" ref="G27">IF( ISERROR(INDEX($X$5:$X$35,SMALL(IF($Y$5:$Y$35&lt;&gt;0,ROW($Y$5:$Y$35)-4),ROW(G23)))),"",INDEX($X$5:$X$35,SMALL(IF($Y$5:$Y$35&lt;&gt;0,ROW($Y$5:$Y$35)-4),ROW(G23))))</f>
        <v/>
      </c>
      <c r="H27" s="440" t="str">
        <f t="array" ref="H27">IF(ISERROR(INDEX($Y$5:$Y$35,SMALL(IF($Y$5:$Y$35&lt;&gt;0,ROW($Y$5:$Y$35)-4),ROW(H23)))),"",INDEX($Y$5:$Y$35,SMALL(IF($Y$5:$Y$35&lt;&gt;0,ROW($Y$5:$Y$35)-4),ROW(H23))))</f>
        <v/>
      </c>
      <c r="I27" s="439" t="str">
        <f t="array" ref="I27">IF( ISERROR(INDEX($Z$5:$Z$37,SMALL(IF($AA$5:$AA$35&lt;&gt;0,ROW($AA$5:$AA$35)-4),ROW(I23)))),"",INDEX($Z$5:$Z$37,SMALL(IF($AA$5:$AA$35&lt;&gt;0,ROW($Z$5:$Z$35)-4),ROW(I23))))</f>
        <v/>
      </c>
      <c r="J27" s="440" t="str">
        <f t="array" ref="J27">IF(ISERROR(INDEX($AA$5:$AA$35,SMALL(IF($AA$5:$AA$35&lt;&gt;0,ROW($AA$5:$AA$35)-4),ROW(J23)))),"",INDEX($AA$5:$AA$35,SMALL(IF($AA$5:$AA$35&lt;&gt;0,ROW($AA$5:$AA$35)-4),ROW(J23))))</f>
        <v/>
      </c>
      <c r="K27" s="439" t="str">
        <f t="array" ref="K27">IF( ISERROR(INDEX($AB$5:$AB$37,SMALL(IF($AC$5:$AC$35&lt;&gt;0,ROW($AC$5:$AC$35)-4),ROW(K23)))),"",INDEX($AB$5:$AB$37,SMALL(IF($AC$5:$AC$35&lt;&gt;0,ROW($AC$5:$AC$35)-4),ROW(K23))))</f>
        <v/>
      </c>
      <c r="L27" s="440" t="str">
        <f t="array" ref="L27">IF(ISERROR(INDEX($AC$5:$AC$35,SMALL(IF($AC$5:$AC$35&lt;&gt;0,ROW($AC$5:$AC$35)-4),ROW(L23)))),"",INDEX($AC$5:$AC$35,SMALL(IF($AC$5:$AC$35&lt;&gt;0,ROW($AC$5:$AC$35)-4),ROW(L23))))</f>
        <v/>
      </c>
      <c r="M27" s="439" t="str">
        <f t="array" ref="M27">IF( ISERROR(INDEX($AD$5:$AD$37,SMALL(IF($AE$5:$AE$35&lt;&gt;0,ROW($AE$5:$AE$35)-4),ROW(M23)))),"",INDEX($AD$5:$AD$37,SMALL(IF($AE$5:$AE$35&lt;&gt;0,ROW($AD$5:$AD$35)-4),ROW(M23))))</f>
        <v/>
      </c>
      <c r="N27" s="440" t="str">
        <f t="array" ref="N27">IF(ISERROR(INDEX($AE$5:$AE$35,SMALL(IF($AE$5:$AE$35&lt;&gt;0,ROW($AE$5:$AE$35)-4),ROW(N23)))),"",INDEX($AE$5:$AE$35,SMALL(IF($AE$5:$AE$35&lt;&gt;0,ROW($AE$5:$AE$35)-4),ROW(N23))))</f>
        <v/>
      </c>
      <c r="O27" s="439" t="str">
        <f t="array" ref="O27">IF( ISERROR(INDEX($AF$5:$AF$37,SMALL(IF($AG$5:$AG$35&lt;&gt;0,ROW($AG$5:$AG$35)-4),ROW(O23)))),"",INDEX($AF$5:$AF$37,SMALL(IF($AG$5:$AG$35&lt;&gt;0,ROW($AG$5:$AG$35)-4),ROW(O23))))</f>
        <v/>
      </c>
      <c r="P27" s="440" t="str">
        <f t="array" ref="P27">IF(ISERROR(INDEX($AG$5:$AG$35,SMALL(IF($AG$5:$AG$35&lt;&gt;0,ROW($AG$5:$AG$35)-4),ROW(P23)))),"",INDEX($AG$5:$AG$35,SMALL(IF($AG$5:$AG$35&lt;&gt;0,ROW($AG$5:$AG$35)-4),ROW(P23))))</f>
        <v/>
      </c>
      <c r="Q27" s="439" t="str">
        <f t="array" ref="Q27">IF( ISERROR(INDEX($AH$5:$AH$37,SMALL(IF($AI$5:$AI$35&lt;&gt;0,ROW($AI$5:$AI$35)-4),ROW(Q23)))),"",INDEX($AH$5:$AH$37,SMALL(IF($AI$5:$AI$35&lt;&gt;0,ROW($AI$5:$AI$35)-4),ROW(Q23))))</f>
        <v/>
      </c>
      <c r="R27" s="440" t="str">
        <f t="array" ref="R27">IF(ISERROR(INDEX($AI$5:$AI$35,SMALL(IF($AI$5:$AI$35&lt;&gt;0,ROW($AI$5:$AI$35)-4),ROW(R23)))),"",INDEX($AI$5:$AI$35,SMALL(IF($AI$5:$AI$35&lt;&gt;0,ROW($AI$5:$AI$35)-4),ROW(R23))))</f>
        <v/>
      </c>
      <c r="S27" s="439" t="str">
        <f t="array" ref="S27">IF( ISERROR(INDEX($AJ$5:$AJ$37,SMALL(IF($AK$5:$AK$35&lt;&gt;0,ROW($AJ$5:$AJ$35)-4),ROW(S23)))),"",INDEX($AJ$5:$AJ$37,SMALL(IF($AK$5:$AK$35&lt;&gt;0,ROW($AK$5:$AK$35)-4),ROW(S23))))</f>
        <v/>
      </c>
      <c r="T27" s="440" t="str">
        <f t="array" ref="T27">IF(ISERROR(INDEX($AK$5:$AK$35,SMALL(IF($AK$5:$AK$35&lt;&gt;0,ROW($AK$5:$AK$35)-4),ROW(T23)))),"",INDEX($AK$5:$AK$35,SMALL(IF($AK$5:$AK$35&lt;&gt;0,ROW($AK$5:$AK$35)-4),ROW(T23))))</f>
        <v/>
      </c>
      <c r="V27" s="201"/>
      <c r="AM27" s="201">
        <v>26</v>
      </c>
      <c r="AN27" s="572" t="s">
        <v>78</v>
      </c>
      <c r="AO27" s="579" t="s">
        <v>1111</v>
      </c>
      <c r="AP27" s="580">
        <f>W_O*8*N_PA</f>
        <v>0</v>
      </c>
      <c r="AQ27" s="574">
        <f t="shared" si="6"/>
        <v>0</v>
      </c>
      <c r="AR27" s="572">
        <f t="shared" si="12"/>
        <v>0</v>
      </c>
      <c r="AS27" s="572" t="s">
        <v>55</v>
      </c>
      <c r="AT27" s="572" t="s">
        <v>55</v>
      </c>
      <c r="AU27" s="572" t="s">
        <v>78</v>
      </c>
      <c r="AV27" s="950" t="s">
        <v>78</v>
      </c>
      <c r="AW27" s="572" t="s">
        <v>1093</v>
      </c>
      <c r="AX27" s="581" t="s">
        <v>78</v>
      </c>
      <c r="AY27" s="581"/>
    </row>
    <row r="28" spans="1:51" ht="26.25">
      <c r="A28" s="436" t="str">
        <f>IF(B28="","",(VLOOKUP(B:B,'0.39'!B:F,5,FALSE)))</f>
        <v/>
      </c>
      <c r="B28" s="436" t="str">
        <f>IF(BASIC_TOOL!$F$23=1,BoltnNuts!E28,IF(BASIC_TOOL!$F$23=2,BoltnNuts!G28,IF(BASIC_TOOL!$F$23=3,BoltnNuts!I28,IF(BASIC_TOOL!$F$23=4,BoltnNuts!K28,IF(BASIC_TOOL!$F$23=5,BoltnNuts!M28,IF(BASIC_TOOL!$F$23=6,BoltnNuts!O28,IF(BASIC_TOOL!$F$23=7,BoltnNuts!Q28,IF(BASIC_TOOL!$F$23=8,BoltnNuts!S28))))))))</f>
        <v/>
      </c>
      <c r="C28" s="436" t="str">
        <f>IF(BASIC_TOOL!$F$23=1,BoltnNuts!F28,IF(BASIC_TOOL!$F$23=2,BoltnNuts!H28,IF(BASIC_TOOL!$F$23=3,BoltnNuts!J28,IF(BASIC_TOOL!$F$23=4,BoltnNuts!L28,IF(BASIC_TOOL!$F$23=5,BoltnNuts!N28,IF(BASIC_TOOL!$F$23=6,BoltnNuts!P28,IF(BASIC_TOOL!$F$23=7,BoltnNuts!R28,IF(BASIC_TOOL!$F$23=8,BoltnNuts!T28))))))))</f>
        <v/>
      </c>
      <c r="D28" s="403"/>
      <c r="E28" s="439" t="str">
        <f t="array" ref="E28">IF( ISERROR(INDEX($V$5:$V$37,SMALL(IF($W$5:$W$35&lt;&gt;0,ROW($W$5:$W$35)-4),ROW(E24)))),"",INDEX($V$5:$V$37,SMALL(IF($W$5:$W$35&lt;&gt;0,ROW($W$5:$W$35)-4),ROW(E24))))</f>
        <v/>
      </c>
      <c r="F28" s="440" t="str">
        <f t="array" ref="F28">IF(ISERROR(INDEX($W$5:$W$35,SMALL(IF($W$5:$W$35&lt;&gt;0,ROW($W$5:$W$35)-4),ROW(F24)))),"",INDEX($W$5:$W$35,SMALL(IF($W$5:$W$35&lt;&gt;0,ROW($W$5:$W$35)-4),ROW(F24))))</f>
        <v/>
      </c>
      <c r="G28" s="439" t="str">
        <f t="array" ref="G28">IF( ISERROR(INDEX($X$5:$X$35,SMALL(IF($Y$5:$Y$35&lt;&gt;0,ROW($Y$5:$Y$35)-4),ROW(G24)))),"",INDEX($X$5:$X$35,SMALL(IF($Y$5:$Y$35&lt;&gt;0,ROW($Y$5:$Y$35)-4),ROW(G24))))</f>
        <v/>
      </c>
      <c r="H28" s="440" t="str">
        <f t="array" ref="H28">IF(ISERROR(INDEX($Y$5:$Y$35,SMALL(IF($Y$5:$Y$35&lt;&gt;0,ROW($Y$5:$Y$35)-4),ROW(H24)))),"",INDEX($Y$5:$Y$35,SMALL(IF($Y$5:$Y$35&lt;&gt;0,ROW($Y$5:$Y$35)-4),ROW(H24))))</f>
        <v/>
      </c>
      <c r="I28" s="439" t="str">
        <f t="array" ref="I28">IF( ISERROR(INDEX($Z$5:$Z$37,SMALL(IF($AA$5:$AA$35&lt;&gt;0,ROW($AA$5:$AA$35)-4),ROW(I24)))),"",INDEX($Z$5:$Z$37,SMALL(IF($AA$5:$AA$35&lt;&gt;0,ROW($Z$5:$Z$35)-4),ROW(I24))))</f>
        <v/>
      </c>
      <c r="J28" s="440" t="str">
        <f t="array" ref="J28">IF(ISERROR(INDEX($AA$5:$AA$35,SMALL(IF($AA$5:$AA$35&lt;&gt;0,ROW($AA$5:$AA$35)-4),ROW(J24)))),"",INDEX($AA$5:$AA$35,SMALL(IF($AA$5:$AA$35&lt;&gt;0,ROW($AA$5:$AA$35)-4),ROW(J24))))</f>
        <v/>
      </c>
      <c r="K28" s="439" t="str">
        <f t="array" ref="K28">IF( ISERROR(INDEX($AB$5:$AB$37,SMALL(IF($AC$5:$AC$35&lt;&gt;0,ROW($AC$5:$AC$35)-4),ROW(K24)))),"",INDEX($AB$5:$AB$37,SMALL(IF($AC$5:$AC$35&lt;&gt;0,ROW($AC$5:$AC$35)-4),ROW(K24))))</f>
        <v/>
      </c>
      <c r="L28" s="440" t="str">
        <f t="array" ref="L28">IF(ISERROR(INDEX($AC$5:$AC$35,SMALL(IF($AC$5:$AC$35&lt;&gt;0,ROW($AC$5:$AC$35)-4),ROW(L24)))),"",INDEX($AC$5:$AC$35,SMALL(IF($AC$5:$AC$35&lt;&gt;0,ROW($AC$5:$AC$35)-4),ROW(L24))))</f>
        <v/>
      </c>
      <c r="M28" s="439" t="str">
        <f t="array" ref="M28">IF( ISERROR(INDEX($AD$5:$AD$37,SMALL(IF($AE$5:$AE$35&lt;&gt;0,ROW($AE$5:$AE$35)-4),ROW(M24)))),"",INDEX($AD$5:$AD$37,SMALL(IF($AE$5:$AE$35&lt;&gt;0,ROW($AD$5:$AD$35)-4),ROW(M24))))</f>
        <v/>
      </c>
      <c r="N28" s="440" t="str">
        <f t="array" ref="N28">IF(ISERROR(INDEX($AE$5:$AE$35,SMALL(IF($AE$5:$AE$35&lt;&gt;0,ROW($AE$5:$AE$35)-4),ROW(N24)))),"",INDEX($AE$5:$AE$35,SMALL(IF($AE$5:$AE$35&lt;&gt;0,ROW($AE$5:$AE$35)-4),ROW(N24))))</f>
        <v/>
      </c>
      <c r="O28" s="439" t="str">
        <f t="array" ref="O28">IF( ISERROR(INDEX($AF$5:$AF$37,SMALL(IF($AG$5:$AG$35&lt;&gt;0,ROW($AG$5:$AG$35)-4),ROW(O24)))),"",INDEX($AF$5:$AF$37,SMALL(IF($AG$5:$AG$35&lt;&gt;0,ROW($AG$5:$AG$35)-4),ROW(O24))))</f>
        <v/>
      </c>
      <c r="P28" s="440" t="str">
        <f t="array" ref="P28">IF(ISERROR(INDEX($AG$5:$AG$35,SMALL(IF($AG$5:$AG$35&lt;&gt;0,ROW($AG$5:$AG$35)-4),ROW(P24)))),"",INDEX($AG$5:$AG$35,SMALL(IF($AG$5:$AG$35&lt;&gt;0,ROW($AG$5:$AG$35)-4),ROW(P24))))</f>
        <v/>
      </c>
      <c r="Q28" s="439" t="str">
        <f t="array" ref="Q28">IF( ISERROR(INDEX($AH$5:$AH$37,SMALL(IF($AI$5:$AI$35&lt;&gt;0,ROW($AI$5:$AI$35)-4),ROW(Q24)))),"",INDEX($AH$5:$AH$37,SMALL(IF($AI$5:$AI$35&lt;&gt;0,ROW($AI$5:$AI$35)-4),ROW(Q24))))</f>
        <v/>
      </c>
      <c r="R28" s="440" t="str">
        <f t="array" ref="R28">IF(ISERROR(INDEX($AI$5:$AI$35,SMALL(IF($AI$5:$AI$35&lt;&gt;0,ROW($AI$5:$AI$35)-4),ROW(R24)))),"",INDEX($AI$5:$AI$35,SMALL(IF($AI$5:$AI$35&lt;&gt;0,ROW($AI$5:$AI$35)-4),ROW(R24))))</f>
        <v/>
      </c>
      <c r="S28" s="439" t="str">
        <f t="array" ref="S28">IF( ISERROR(INDEX($AJ$5:$AJ$37,SMALL(IF($AK$5:$AK$35&lt;&gt;0,ROW($AJ$5:$AJ$35)-4),ROW(S24)))),"",INDEX($AJ$5:$AJ$37,SMALL(IF($AK$5:$AK$35&lt;&gt;0,ROW($AK$5:$AK$35)-4),ROW(S24))))</f>
        <v/>
      </c>
      <c r="T28" s="440" t="str">
        <f t="array" ref="T28">IF(ISERROR(INDEX($AK$5:$AK$35,SMALL(IF($AK$5:$AK$35&lt;&gt;0,ROW($AK$5:$AK$35)-4),ROW(T24)))),"",INDEX($AK$5:$AK$35,SMALL(IF($AK$5:$AK$35&lt;&gt;0,ROW($AK$5:$AK$35)-4),ROW(T24))))</f>
        <v/>
      </c>
      <c r="V28" s="201"/>
      <c r="AM28" s="201">
        <v>27</v>
      </c>
      <c r="AN28" s="572"/>
      <c r="AO28" s="583"/>
      <c r="AP28" s="572"/>
      <c r="AQ28" s="574"/>
      <c r="AR28" s="572">
        <f t="shared" si="12"/>
        <v>0</v>
      </c>
      <c r="AS28" s="575"/>
      <c r="AT28" s="572"/>
      <c r="AU28" s="572"/>
      <c r="AV28" s="950"/>
      <c r="AW28" s="572"/>
      <c r="AX28" s="581"/>
      <c r="AY28" s="581"/>
    </row>
    <row r="29" spans="1:51" ht="19.5">
      <c r="A29" s="436" t="str">
        <f>IF(B29="","",(VLOOKUP(B:B,'0.39'!B:F,5,FALSE)))</f>
        <v/>
      </c>
      <c r="B29" s="436" t="str">
        <f>IF(BASIC_TOOL!$F$23=1,BoltnNuts!E29,IF(BASIC_TOOL!$F$23=2,BoltnNuts!G29,IF(BASIC_TOOL!$F$23=3,BoltnNuts!I29,IF(BASIC_TOOL!$F$23=4,BoltnNuts!K29,IF(BASIC_TOOL!$F$23=5,BoltnNuts!M29,IF(BASIC_TOOL!$F$23=6,BoltnNuts!O29,IF(BASIC_TOOL!$F$23=7,BoltnNuts!Q29,IF(BASIC_TOOL!$F$23=8,BoltnNuts!S29))))))))</f>
        <v/>
      </c>
      <c r="C29" s="436" t="str">
        <f>IF(BASIC_TOOL!$F$23=1,BoltnNuts!F29,IF(BASIC_TOOL!$F$23=2,BoltnNuts!H29,IF(BASIC_TOOL!$F$23=3,BoltnNuts!J29,IF(BASIC_TOOL!$F$23=4,BoltnNuts!L29,IF(BASIC_TOOL!$F$23=5,BoltnNuts!N29,IF(BASIC_TOOL!$F$23=6,BoltnNuts!P29,IF(BASIC_TOOL!$F$23=7,BoltnNuts!R29,IF(BASIC_TOOL!$F$23=8,BoltnNuts!T29))))))))</f>
        <v/>
      </c>
      <c r="D29" s="403"/>
      <c r="E29" s="439" t="str">
        <f t="array" ref="E29">IF( ISERROR(INDEX($V$5:$V$37,SMALL(IF($W$5:$W$35&lt;&gt;0,ROW($W$5:$W$35)-4),ROW(E25)))),"",INDEX($V$5:$V$37,SMALL(IF($W$5:$W$35&lt;&gt;0,ROW($W$5:$W$35)-4),ROW(E25))))</f>
        <v/>
      </c>
      <c r="F29" s="440" t="str">
        <f t="array" ref="F29">IF(ISERROR(INDEX($W$5:$W$35,SMALL(IF($W$5:$W$35&lt;&gt;0,ROW($W$5:$W$35)-4),ROW(F25)))),"",INDEX($W$5:$W$35,SMALL(IF($W$5:$W$35&lt;&gt;0,ROW($W$5:$W$35)-4),ROW(F25))))</f>
        <v/>
      </c>
      <c r="G29" s="439" t="str">
        <f t="array" ref="G29">IF( ISERROR(INDEX($X$5:$X$35,SMALL(IF($Y$5:$Y$35&lt;&gt;0,ROW($Y$5:$Y$35)-4),ROW(G25)))),"",INDEX($X$5:$X$35,SMALL(IF($Y$5:$Y$35&lt;&gt;0,ROW($Y$5:$Y$35)-4),ROW(G25))))</f>
        <v/>
      </c>
      <c r="H29" s="440" t="str">
        <f t="array" ref="H29">IF(ISERROR(INDEX($Y$5:$Y$35,SMALL(IF($Y$5:$Y$35&lt;&gt;0,ROW($Y$5:$Y$35)-4),ROW(H25)))),"",INDEX($Y$5:$Y$35,SMALL(IF($Y$5:$Y$35&lt;&gt;0,ROW($Y$5:$Y$35)-4),ROW(H25))))</f>
        <v/>
      </c>
      <c r="I29" s="439" t="str">
        <f t="array" ref="I29">IF( ISERROR(INDEX($Z$5:$Z$37,SMALL(IF($AA$5:$AA$35&lt;&gt;0,ROW($AA$5:$AA$35)-4),ROW(I25)))),"",INDEX($Z$5:$Z$37,SMALL(IF($AA$5:$AA$35&lt;&gt;0,ROW($Z$5:$Z$35)-4),ROW(I25))))</f>
        <v/>
      </c>
      <c r="J29" s="440" t="str">
        <f t="array" ref="J29">IF(ISERROR(INDEX($AA$5:$AA$35,SMALL(IF($AA$5:$AA$35&lt;&gt;0,ROW($AA$5:$AA$35)-4),ROW(J25)))),"",INDEX($AA$5:$AA$35,SMALL(IF($AA$5:$AA$35&lt;&gt;0,ROW($AA$5:$AA$35)-4),ROW(J25))))</f>
        <v/>
      </c>
      <c r="K29" s="439" t="str">
        <f t="array" ref="K29">IF( ISERROR(INDEX($AB$5:$AB$37,SMALL(IF($AC$5:$AC$35&lt;&gt;0,ROW($AC$5:$AC$35)-4),ROW(K25)))),"",INDEX($AB$5:$AB$37,SMALL(IF($AC$5:$AC$35&lt;&gt;0,ROW($AC$5:$AC$35)-4),ROW(K25))))</f>
        <v/>
      </c>
      <c r="L29" s="440" t="str">
        <f t="array" ref="L29">IF(ISERROR(INDEX($AC$5:$AC$35,SMALL(IF($AC$5:$AC$35&lt;&gt;0,ROW($AC$5:$AC$35)-4),ROW(L25)))),"",INDEX($AC$5:$AC$35,SMALL(IF($AC$5:$AC$35&lt;&gt;0,ROW($AC$5:$AC$35)-4),ROW(L25))))</f>
        <v/>
      </c>
      <c r="M29" s="439" t="str">
        <f t="array" ref="M29">IF( ISERROR(INDEX($AD$5:$AD$37,SMALL(IF($AE$5:$AE$35&lt;&gt;0,ROW($AE$5:$AE$35)-4),ROW(M25)))),"",INDEX($AD$5:$AD$37,SMALL(IF($AE$5:$AE$35&lt;&gt;0,ROW($AD$5:$AD$35)-4),ROW(M25))))</f>
        <v/>
      </c>
      <c r="N29" s="440" t="str">
        <f t="array" ref="N29">IF(ISERROR(INDEX($AE$5:$AE$35,SMALL(IF($AE$5:$AE$35&lt;&gt;0,ROW($AE$5:$AE$35)-4),ROW(N25)))),"",INDEX($AE$5:$AE$35,SMALL(IF($AE$5:$AE$35&lt;&gt;0,ROW($AE$5:$AE$35)-4),ROW(N25))))</f>
        <v/>
      </c>
      <c r="O29" s="439" t="str">
        <f t="array" ref="O29">IF( ISERROR(INDEX($AF$5:$AF$37,SMALL(IF($AG$5:$AG$35&lt;&gt;0,ROW($AG$5:$AG$35)-4),ROW(O25)))),"",INDEX($AF$5:$AF$37,SMALL(IF($AG$5:$AG$35&lt;&gt;0,ROW($AG$5:$AG$35)-4),ROW(O25))))</f>
        <v/>
      </c>
      <c r="P29" s="440" t="str">
        <f t="array" ref="P29">IF(ISERROR(INDEX($AG$5:$AG$35,SMALL(IF($AG$5:$AG$35&lt;&gt;0,ROW($AG$5:$AG$35)-4),ROW(P25)))),"",INDEX($AG$5:$AG$35,SMALL(IF($AG$5:$AG$35&lt;&gt;0,ROW($AG$5:$AG$35)-4),ROW(P25))))</f>
        <v/>
      </c>
      <c r="Q29" s="439" t="str">
        <f t="array" ref="Q29">IF( ISERROR(INDEX($AH$5:$AH$37,SMALL(IF($AI$5:$AI$35&lt;&gt;0,ROW($AI$5:$AI$35)-4),ROW(Q25)))),"",INDEX($AH$5:$AH$37,SMALL(IF($AI$5:$AI$35&lt;&gt;0,ROW($AI$5:$AI$35)-4),ROW(Q25))))</f>
        <v/>
      </c>
      <c r="R29" s="440" t="str">
        <f t="array" ref="R29">IF(ISERROR(INDEX($AI$5:$AI$35,SMALL(IF($AI$5:$AI$35&lt;&gt;0,ROW($AI$5:$AI$35)-4),ROW(R25)))),"",INDEX($AI$5:$AI$35,SMALL(IF($AI$5:$AI$35&lt;&gt;0,ROW($AI$5:$AI$35)-4),ROW(R25))))</f>
        <v/>
      </c>
      <c r="S29" s="439" t="str">
        <f t="array" ref="S29">IF( ISERROR(INDEX($AJ$5:$AJ$37,SMALL(IF($AK$5:$AK$35&lt;&gt;0,ROW($AJ$5:$AJ$35)-4),ROW(S25)))),"",INDEX($AJ$5:$AJ$37,SMALL(IF($AK$5:$AK$35&lt;&gt;0,ROW($AK$5:$AK$35)-4),ROW(S25))))</f>
        <v/>
      </c>
      <c r="T29" s="440" t="str">
        <f t="array" ref="T29">IF(ISERROR(INDEX($AK$5:$AK$35,SMALL(IF($AK$5:$AK$35&lt;&gt;0,ROW($AK$5:$AK$35)-4),ROW(T25)))),"",INDEX($AK$5:$AK$35,SMALL(IF($AK$5:$AK$35&lt;&gt;0,ROW($AK$5:$AK$35)-4),ROW(T25))))</f>
        <v/>
      </c>
      <c r="V29" s="201"/>
      <c r="AM29" s="201">
        <v>28</v>
      </c>
      <c r="AN29" s="572">
        <v>0</v>
      </c>
      <c r="AO29" s="579"/>
      <c r="AP29" s="580"/>
      <c r="AQ29" s="574">
        <f t="shared" si="6"/>
        <v>0</v>
      </c>
      <c r="AR29" s="572">
        <f t="shared" si="12"/>
        <v>0</v>
      </c>
      <c r="AS29" s="575"/>
      <c r="AT29" s="572"/>
      <c r="AU29" s="572"/>
      <c r="AV29" s="950"/>
      <c r="AW29" s="572"/>
      <c r="AX29" s="581"/>
      <c r="AY29" s="581"/>
    </row>
    <row r="30" spans="1:51" ht="27" customHeight="1">
      <c r="A30" s="436" t="str">
        <f>IF(B30="","",(VLOOKUP(B:B,'0.39'!B:F,5,FALSE)))</f>
        <v/>
      </c>
      <c r="B30" s="436" t="str">
        <f>IF(BASIC_TOOL!$F$23=1,BoltnNuts!E30,IF(BASIC_TOOL!$F$23=2,BoltnNuts!G30,IF(BASIC_TOOL!$F$23=3,BoltnNuts!I30,IF(BASIC_TOOL!$F$23=4,BoltnNuts!K30,IF(BASIC_TOOL!$F$23=5,BoltnNuts!M30,IF(BASIC_TOOL!$F$23=6,BoltnNuts!O30,IF(BASIC_TOOL!$F$23=7,BoltnNuts!Q30,IF(BASIC_TOOL!$F$23=8,BoltnNuts!S30))))))))</f>
        <v/>
      </c>
      <c r="C30" s="436" t="str">
        <f>IF(BASIC_TOOL!$F$23=1,BoltnNuts!F30,IF(BASIC_TOOL!$F$23=2,BoltnNuts!H30,IF(BASIC_TOOL!$F$23=3,BoltnNuts!J30,IF(BASIC_TOOL!$F$23=4,BoltnNuts!L30,IF(BASIC_TOOL!$F$23=5,BoltnNuts!N30,IF(BASIC_TOOL!$F$23=6,BoltnNuts!P30,IF(BASIC_TOOL!$F$23=7,BoltnNuts!R30,IF(BASIC_TOOL!$F$23=8,BoltnNuts!T30))))))))</f>
        <v/>
      </c>
      <c r="D30" s="403"/>
      <c r="E30" s="439" t="str">
        <f t="array" ref="E30">IF( ISERROR(INDEX($V$5:$V$37,SMALL(IF($W$5:$W$35&lt;&gt;0,ROW($W$5:$W$35)-4),ROW(E26)))),"",INDEX($V$5:$V$37,SMALL(IF($W$5:$W$35&lt;&gt;0,ROW($W$5:$W$35)-4),ROW(E26))))</f>
        <v/>
      </c>
      <c r="F30" s="440" t="str">
        <f t="array" ref="F30">IF(ISERROR(INDEX($W$5:$W$35,SMALL(IF($W$5:$W$35&lt;&gt;0,ROW($W$5:$W$35)-4),ROW(F26)))),"",INDEX($W$5:$W$35,SMALL(IF($W$5:$W$35&lt;&gt;0,ROW($W$5:$W$35)-4),ROW(F26))))</f>
        <v/>
      </c>
      <c r="G30" s="439" t="str">
        <f t="array" ref="G30">IF( ISERROR(INDEX($X$5:$X$35,SMALL(IF($Y$5:$Y$35&lt;&gt;0,ROW($Y$5:$Y$35)-4),ROW(G26)))),"",INDEX($X$5:$X$35,SMALL(IF($Y$5:$Y$35&lt;&gt;0,ROW($Y$5:$Y$35)-4),ROW(G26))))</f>
        <v/>
      </c>
      <c r="H30" s="440" t="str">
        <f t="array" ref="H30">IF(ISERROR(INDEX($Y$5:$Y$35,SMALL(IF($Y$5:$Y$35&lt;&gt;0,ROW($Y$5:$Y$35)-4),ROW(H26)))),"",INDEX($Y$5:$Y$35,SMALL(IF($Y$5:$Y$35&lt;&gt;0,ROW($Y$5:$Y$35)-4),ROW(H26))))</f>
        <v/>
      </c>
      <c r="I30" s="439" t="str">
        <f t="array" ref="I30">IF( ISERROR(INDEX($Z$5:$Z$37,SMALL(IF($AA$5:$AA$35&lt;&gt;0,ROW($AA$5:$AA$35)-4),ROW(I26)))),"",INDEX($Z$5:$Z$37,SMALL(IF($AA$5:$AA$35&lt;&gt;0,ROW($Z$5:$Z$35)-4),ROW(I26))))</f>
        <v/>
      </c>
      <c r="J30" s="440" t="str">
        <f t="array" ref="J30">IF(ISERROR(INDEX($AA$5:$AA$35,SMALL(IF($AA$5:$AA$35&lt;&gt;0,ROW($AA$5:$AA$35)-4),ROW(J26)))),"",INDEX($AA$5:$AA$35,SMALL(IF($AA$5:$AA$35&lt;&gt;0,ROW($AA$5:$AA$35)-4),ROW(J26))))</f>
        <v/>
      </c>
      <c r="K30" s="439" t="str">
        <f t="array" ref="K30">IF( ISERROR(INDEX($AB$5:$AB$37,SMALL(IF($AC$5:$AC$35&lt;&gt;0,ROW($AC$5:$AC$35)-4),ROW(K26)))),"",INDEX($AB$5:$AB$37,SMALL(IF($AC$5:$AC$35&lt;&gt;0,ROW($AC$5:$AC$35)-4),ROW(K26))))</f>
        <v/>
      </c>
      <c r="L30" s="440" t="str">
        <f t="array" ref="L30">IF(ISERROR(INDEX($AC$5:$AC$35,SMALL(IF($AC$5:$AC$35&lt;&gt;0,ROW($AC$5:$AC$35)-4),ROW(L26)))),"",INDEX($AC$5:$AC$35,SMALL(IF($AC$5:$AC$35&lt;&gt;0,ROW($AC$5:$AC$35)-4),ROW(L26))))</f>
        <v/>
      </c>
      <c r="M30" s="439" t="str">
        <f t="array" ref="M30">IF( ISERROR(INDEX($AD$5:$AD$37,SMALL(IF($AE$5:$AE$35&lt;&gt;0,ROW($AE$5:$AE$35)-4),ROW(M26)))),"",INDEX($AD$5:$AD$37,SMALL(IF($AE$5:$AE$35&lt;&gt;0,ROW($AD$5:$AD$35)-4),ROW(M26))))</f>
        <v/>
      </c>
      <c r="N30" s="440" t="str">
        <f t="array" ref="N30">IF(ISERROR(INDEX($AE$5:$AE$35,SMALL(IF($AE$5:$AE$35&lt;&gt;0,ROW($AE$5:$AE$35)-4),ROW(N26)))),"",INDEX($AE$5:$AE$35,SMALL(IF($AE$5:$AE$35&lt;&gt;0,ROW($AE$5:$AE$35)-4),ROW(N26))))</f>
        <v/>
      </c>
      <c r="O30" s="439" t="str">
        <f t="array" ref="O30">IF( ISERROR(INDEX($AF$5:$AF$37,SMALL(IF($AG$5:$AG$35&lt;&gt;0,ROW($AG$5:$AG$35)-4),ROW(O26)))),"",INDEX($AF$5:$AF$37,SMALL(IF($AG$5:$AG$35&lt;&gt;0,ROW($AG$5:$AG$35)-4),ROW(O26))))</f>
        <v/>
      </c>
      <c r="P30" s="440" t="str">
        <f t="array" ref="P30">IF(ISERROR(INDEX($AG$5:$AG$35,SMALL(IF($AG$5:$AG$35&lt;&gt;0,ROW($AG$5:$AG$35)-4),ROW(P26)))),"",INDEX($AG$5:$AG$35,SMALL(IF($AG$5:$AG$35&lt;&gt;0,ROW($AG$5:$AG$35)-4),ROW(P26))))</f>
        <v/>
      </c>
      <c r="Q30" s="439" t="str">
        <f t="array" ref="Q30">IF( ISERROR(INDEX($AH$5:$AH$37,SMALL(IF($AI$5:$AI$35&lt;&gt;0,ROW($AI$5:$AI$35)-4),ROW(Q26)))),"",INDEX($AH$5:$AH$37,SMALL(IF($AI$5:$AI$35&lt;&gt;0,ROW($AI$5:$AI$35)-4),ROW(Q26))))</f>
        <v/>
      </c>
      <c r="R30" s="440" t="str">
        <f t="array" ref="R30">IF(ISERROR(INDEX($AI$5:$AI$35,SMALL(IF($AI$5:$AI$35&lt;&gt;0,ROW($AI$5:$AI$35)-4),ROW(R26)))),"",INDEX($AI$5:$AI$35,SMALL(IF($AI$5:$AI$35&lt;&gt;0,ROW($AI$5:$AI$35)-4),ROW(R26))))</f>
        <v/>
      </c>
      <c r="S30" s="439" t="str">
        <f t="array" ref="S30">IF( ISERROR(INDEX($AJ$5:$AJ$37,SMALL(IF($AK$5:$AK$35&lt;&gt;0,ROW($AJ$5:$AJ$35)-4),ROW(S26)))),"",INDEX($AJ$5:$AJ$37,SMALL(IF($AK$5:$AK$35&lt;&gt;0,ROW($AK$5:$AK$35)-4),ROW(S26))))</f>
        <v/>
      </c>
      <c r="T30" s="440" t="str">
        <f t="array" ref="T30">IF(ISERROR(INDEX($AK$5:$AK$35,SMALL(IF($AK$5:$AK$35&lt;&gt;0,ROW($AK$5:$AK$35)-4),ROW(T26)))),"",INDEX($AK$5:$AK$35,SMALL(IF($AK$5:$AK$35&lt;&gt;0,ROW($AK$5:$AK$35)-4),ROW(T26))))</f>
        <v/>
      </c>
      <c r="V30" s="201"/>
      <c r="AM30" s="201">
        <v>29</v>
      </c>
      <c r="AN30" s="572" t="s">
        <v>67</v>
      </c>
      <c r="AO30" s="579" t="s">
        <v>1112</v>
      </c>
      <c r="AP30" s="572">
        <f>External_Reinforcing!L22*2+External_Reinforcing!L23*4+External_Reinforcing!L24*2</f>
        <v>172</v>
      </c>
      <c r="AQ30" s="574">
        <f t="shared" si="6"/>
        <v>172</v>
      </c>
      <c r="AR30" s="592">
        <f>IF(AQ30&gt;1,ROUNDUP(AQ30,0),0)</f>
        <v>172</v>
      </c>
      <c r="AS30" s="575" t="s">
        <v>67</v>
      </c>
      <c r="AT30" s="572" t="s">
        <v>67</v>
      </c>
      <c r="AU30" s="575" t="s">
        <v>1095</v>
      </c>
      <c r="AV30" s="950" t="s">
        <v>67</v>
      </c>
      <c r="AW30" s="572" t="s">
        <v>1095</v>
      </c>
      <c r="AX30" s="581" t="s">
        <v>79</v>
      </c>
      <c r="AY30" s="581"/>
    </row>
    <row r="31" spans="1:51" ht="19.5">
      <c r="A31" s="436" t="str">
        <f>IF(B31="","",(VLOOKUP(B:B,'0.39'!B:F,5,FALSE)))</f>
        <v/>
      </c>
      <c r="B31" s="436" t="str">
        <f>IF(BASIC_TOOL!$F$23=1,BoltnNuts!E31,IF(BASIC_TOOL!$F$23=2,BoltnNuts!G31,IF(BASIC_TOOL!$F$23=3,BoltnNuts!I31,IF(BASIC_TOOL!$F$23=4,BoltnNuts!K31,IF(BASIC_TOOL!$F$23=5,BoltnNuts!M31,IF(BASIC_TOOL!$F$23=6,BoltnNuts!O31,IF(BASIC_TOOL!$F$23=7,BoltnNuts!Q31,IF(BASIC_TOOL!$F$23=8,BoltnNuts!S31))))))))</f>
        <v/>
      </c>
      <c r="C31" s="436" t="str">
        <f>IF(BASIC_TOOL!$F$23=1,BoltnNuts!F31,IF(BASIC_TOOL!$F$23=2,BoltnNuts!H31,IF(BASIC_TOOL!$F$23=3,BoltnNuts!J31,IF(BASIC_TOOL!$F$23=4,BoltnNuts!L31,IF(BASIC_TOOL!$F$23=5,BoltnNuts!N31,IF(BASIC_TOOL!$F$23=6,BoltnNuts!P31,IF(BASIC_TOOL!$F$23=7,BoltnNuts!R31,IF(BASIC_TOOL!$F$23=8,BoltnNuts!T31))))))))</f>
        <v/>
      </c>
      <c r="D31" s="403"/>
      <c r="E31" s="439" t="str">
        <f t="array" ref="E31">IF( ISERROR(INDEX($V$5:$V$37,SMALL(IF($W$5:$W$35&lt;&gt;0,ROW($W$5:$W$35)-4),ROW(E27)))),"",INDEX($V$5:$V$37,SMALL(IF($W$5:$W$35&lt;&gt;0,ROW($W$5:$W$35)-4),ROW(E27))))</f>
        <v/>
      </c>
      <c r="F31" s="440" t="str">
        <f t="array" ref="F31">IF(ISERROR(INDEX($W$5:$W$35,SMALL(IF($W$5:$W$35&lt;&gt;0,ROW($W$5:$W$35)-4),ROW(F27)))),"",INDEX($W$5:$W$35,SMALL(IF($W$5:$W$35&lt;&gt;0,ROW($W$5:$W$35)-4),ROW(F27))))</f>
        <v/>
      </c>
      <c r="G31" s="439" t="str">
        <f t="array" ref="G31">IF( ISERROR(INDEX($X$5:$X$35,SMALL(IF($Y$5:$Y$35&lt;&gt;0,ROW($Y$5:$Y$35)-4),ROW(G27)))),"",INDEX($X$5:$X$35,SMALL(IF($Y$5:$Y$35&lt;&gt;0,ROW($Y$5:$Y$35)-4),ROW(G27))))</f>
        <v/>
      </c>
      <c r="H31" s="440" t="str">
        <f t="array" ref="H31">IF(ISERROR(INDEX($Y$5:$Y$35,SMALL(IF($Y$5:$Y$35&lt;&gt;0,ROW($Y$5:$Y$35)-4),ROW(H27)))),"",INDEX($Y$5:$Y$35,SMALL(IF($Y$5:$Y$35&lt;&gt;0,ROW($Y$5:$Y$35)-4),ROW(H27))))</f>
        <v/>
      </c>
      <c r="I31" s="439" t="str">
        <f t="array" ref="I31">IF( ISERROR(INDEX($Z$5:$Z$37,SMALL(IF($AA$5:$AA$35&lt;&gt;0,ROW($AA$5:$AA$35)-4),ROW(I27)))),"",INDEX($Z$5:$Z$37,SMALL(IF($AA$5:$AA$35&lt;&gt;0,ROW($Z$5:$Z$35)-4),ROW(I27))))</f>
        <v/>
      </c>
      <c r="J31" s="440" t="str">
        <f t="array" ref="J31">IF(ISERROR(INDEX($AA$5:$AA$35,SMALL(IF($AA$5:$AA$35&lt;&gt;0,ROW($AA$5:$AA$35)-4),ROW(J27)))),"",INDEX($AA$5:$AA$35,SMALL(IF($AA$5:$AA$35&lt;&gt;0,ROW($AA$5:$AA$35)-4),ROW(J27))))</f>
        <v/>
      </c>
      <c r="K31" s="439" t="str">
        <f t="array" ref="K31">IF( ISERROR(INDEX($AB$5:$AB$37,SMALL(IF($AC$5:$AC$35&lt;&gt;0,ROW($AC$5:$AC$35)-4),ROW(K27)))),"",INDEX($AB$5:$AB$37,SMALL(IF($AC$5:$AC$35&lt;&gt;0,ROW($AC$5:$AC$35)-4),ROW(K27))))</f>
        <v/>
      </c>
      <c r="L31" s="440" t="str">
        <f t="array" ref="L31">IF(ISERROR(INDEX($AC$5:$AC$35,SMALL(IF($AC$5:$AC$35&lt;&gt;0,ROW($AC$5:$AC$35)-4),ROW(L27)))),"",INDEX($AC$5:$AC$35,SMALL(IF($AC$5:$AC$35&lt;&gt;0,ROW($AC$5:$AC$35)-4),ROW(L27))))</f>
        <v/>
      </c>
      <c r="M31" s="439" t="str">
        <f t="array" ref="M31">IF( ISERROR(INDEX($AD$5:$AD$37,SMALL(IF($AE$5:$AE$35&lt;&gt;0,ROW($AE$5:$AE$35)-4),ROW(M27)))),"",INDEX($AD$5:$AD$37,SMALL(IF($AE$5:$AE$35&lt;&gt;0,ROW($AD$5:$AD$35)-4),ROW(M27))))</f>
        <v/>
      </c>
      <c r="N31" s="440" t="str">
        <f t="array" ref="N31">IF(ISERROR(INDEX($AE$5:$AE$35,SMALL(IF($AE$5:$AE$35&lt;&gt;0,ROW($AE$5:$AE$35)-4),ROW(N27)))),"",INDEX($AE$5:$AE$35,SMALL(IF($AE$5:$AE$35&lt;&gt;0,ROW($AE$5:$AE$35)-4),ROW(N27))))</f>
        <v/>
      </c>
      <c r="O31" s="439" t="str">
        <f t="array" ref="O31">IF( ISERROR(INDEX($AF$5:$AF$37,SMALL(IF($AG$5:$AG$35&lt;&gt;0,ROW($AG$5:$AG$35)-4),ROW(O27)))),"",INDEX($AF$5:$AF$37,SMALL(IF($AG$5:$AG$35&lt;&gt;0,ROW($AG$5:$AG$35)-4),ROW(O27))))</f>
        <v/>
      </c>
      <c r="P31" s="440" t="str">
        <f t="array" ref="P31">IF(ISERROR(INDEX($AG$5:$AG$35,SMALL(IF($AG$5:$AG$35&lt;&gt;0,ROW($AG$5:$AG$35)-4),ROW(P27)))),"",INDEX($AG$5:$AG$35,SMALL(IF($AG$5:$AG$35&lt;&gt;0,ROW($AG$5:$AG$35)-4),ROW(P27))))</f>
        <v/>
      </c>
      <c r="Q31" s="439" t="str">
        <f t="array" ref="Q31">IF( ISERROR(INDEX($AH$5:$AH$37,SMALL(IF($AI$5:$AI$35&lt;&gt;0,ROW($AI$5:$AI$35)-4),ROW(Q27)))),"",INDEX($AH$5:$AH$37,SMALL(IF($AI$5:$AI$35&lt;&gt;0,ROW($AI$5:$AI$35)-4),ROW(Q27))))</f>
        <v/>
      </c>
      <c r="R31" s="440" t="str">
        <f t="array" ref="R31">IF(ISERROR(INDEX($AI$5:$AI$35,SMALL(IF($AI$5:$AI$35&lt;&gt;0,ROW($AI$5:$AI$35)-4),ROW(R27)))),"",INDEX($AI$5:$AI$35,SMALL(IF($AI$5:$AI$35&lt;&gt;0,ROW($AI$5:$AI$35)-4),ROW(R27))))</f>
        <v/>
      </c>
      <c r="S31" s="439" t="str">
        <f t="array" ref="S31">IF( ISERROR(INDEX($AJ$5:$AJ$37,SMALL(IF($AK$5:$AK$35&lt;&gt;0,ROW($AJ$5:$AJ$35)-4),ROW(S27)))),"",INDEX($AJ$5:$AJ$37,SMALL(IF($AK$5:$AK$35&lt;&gt;0,ROW($AK$5:$AK$35)-4),ROW(S27))))</f>
        <v/>
      </c>
      <c r="T31" s="440" t="str">
        <f t="array" ref="T31">IF(ISERROR(INDEX($AK$5:$AK$35,SMALL(IF($AK$5:$AK$35&lt;&gt;0,ROW($AK$5:$AK$35)-4),ROW(T27)))),"",INDEX($AK$5:$AK$35,SMALL(IF($AK$5:$AK$35&lt;&gt;0,ROW($AK$5:$AK$35)-4),ROW(T27))))</f>
        <v/>
      </c>
      <c r="V31" s="201"/>
      <c r="AM31" s="201">
        <v>30</v>
      </c>
      <c r="AN31" s="572" t="s">
        <v>67</v>
      </c>
      <c r="AO31" s="579"/>
      <c r="AP31" s="572"/>
      <c r="AQ31" s="574">
        <f t="shared" si="6"/>
        <v>0</v>
      </c>
      <c r="AR31" s="592">
        <f>ROUNDUP(AQ31*$AR$2,0)</f>
        <v>0</v>
      </c>
      <c r="AS31" s="575" t="s">
        <v>67</v>
      </c>
      <c r="AT31" s="572" t="s">
        <v>67</v>
      </c>
      <c r="AU31" s="575" t="s">
        <v>1095</v>
      </c>
      <c r="AV31" s="950" t="s">
        <v>67</v>
      </c>
      <c r="AW31" s="572" t="s">
        <v>1095</v>
      </c>
      <c r="AX31" s="581" t="s">
        <v>79</v>
      </c>
      <c r="AY31" s="581"/>
    </row>
    <row r="32" spans="1:51" ht="19.5">
      <c r="A32" s="436" t="str">
        <f>IF(B32="","",(VLOOKUP(B:B,'0.39'!B:F,5,FALSE)))</f>
        <v/>
      </c>
      <c r="B32" s="436" t="str">
        <f>IF(BASIC_TOOL!$F$23=1,BoltnNuts!E32,IF(BASIC_TOOL!$F$23=2,BoltnNuts!G32,IF(BASIC_TOOL!$F$23=3,BoltnNuts!I32,IF(BASIC_TOOL!$F$23=4,BoltnNuts!K32,IF(BASIC_TOOL!$F$23=5,BoltnNuts!M32,IF(BASIC_TOOL!$F$23=6,BoltnNuts!O32,IF(BASIC_TOOL!$F$23=7,BoltnNuts!Q32,IF(BASIC_TOOL!$F$23=8,BoltnNuts!S32))))))))</f>
        <v/>
      </c>
      <c r="C32" s="436" t="str">
        <f>IF(BASIC_TOOL!$F$23=1,BoltnNuts!F32,IF(BASIC_TOOL!$F$23=2,BoltnNuts!H32,IF(BASIC_TOOL!$F$23=3,BoltnNuts!J32,IF(BASIC_TOOL!$F$23=4,BoltnNuts!L32,IF(BASIC_TOOL!$F$23=5,BoltnNuts!N32,IF(BASIC_TOOL!$F$23=6,BoltnNuts!P32,IF(BASIC_TOOL!$F$23=7,BoltnNuts!R32,IF(BASIC_TOOL!$F$23=8,BoltnNuts!T32))))))))</f>
        <v/>
      </c>
      <c r="D32" s="403"/>
      <c r="E32" s="439" t="str">
        <f t="array" ref="E32">IF( ISERROR(INDEX($V$5:$V$37,SMALL(IF($W$5:$W$35&lt;&gt;0,ROW($W$5:$W$35)-4),ROW(E28)))),"",INDEX($V$5:$V$37,SMALL(IF($W$5:$W$35&lt;&gt;0,ROW($W$5:$W$35)-4),ROW(E28))))</f>
        <v/>
      </c>
      <c r="F32" s="440" t="str">
        <f t="array" ref="F32">IF(ISERROR(INDEX($W$5:$W$35,SMALL(IF($W$5:$W$35&lt;&gt;0,ROW($W$5:$W$35)-4),ROW(F28)))),"",INDEX($W$5:$W$35,SMALL(IF($W$5:$W$35&lt;&gt;0,ROW($W$5:$W$35)-4),ROW(F28))))</f>
        <v/>
      </c>
      <c r="G32" s="439" t="str">
        <f t="array" ref="G32">IF( ISERROR(INDEX($X$5:$X$35,SMALL(IF($Y$5:$Y$35&lt;&gt;0,ROW($Y$5:$Y$35)-4),ROW(G28)))),"",INDEX($X$5:$X$35,SMALL(IF($Y$5:$Y$35&lt;&gt;0,ROW($Y$5:$Y$35)-4),ROW(G28))))</f>
        <v/>
      </c>
      <c r="H32" s="440" t="str">
        <f t="array" ref="H32">IF(ISERROR(INDEX($Y$5:$Y$35,SMALL(IF($Y$5:$Y$35&lt;&gt;0,ROW($Y$5:$Y$35)-4),ROW(H28)))),"",INDEX($Y$5:$Y$35,SMALL(IF($Y$5:$Y$35&lt;&gt;0,ROW($Y$5:$Y$35)-4),ROW(H28))))</f>
        <v/>
      </c>
      <c r="I32" s="439" t="str">
        <f t="array" ref="I32">IF( ISERROR(INDEX($Z$5:$Z$37,SMALL(IF($AA$5:$AA$35&lt;&gt;0,ROW($AA$5:$AA$35)-4),ROW(I28)))),"",INDEX($Z$5:$Z$37,SMALL(IF($AA$5:$AA$35&lt;&gt;0,ROW($Z$5:$Z$35)-4),ROW(I28))))</f>
        <v/>
      </c>
      <c r="J32" s="440" t="str">
        <f t="array" ref="J32">IF(ISERROR(INDEX($AA$5:$AA$35,SMALL(IF($AA$5:$AA$35&lt;&gt;0,ROW($AA$5:$AA$35)-4),ROW(J28)))),"",INDEX($AA$5:$AA$35,SMALL(IF($AA$5:$AA$35&lt;&gt;0,ROW($AA$5:$AA$35)-4),ROW(J28))))</f>
        <v/>
      </c>
      <c r="K32" s="439" t="str">
        <f t="array" ref="K32">IF( ISERROR(INDEX($AB$5:$AB$37,SMALL(IF($AC$5:$AC$35&lt;&gt;0,ROW($AC$5:$AC$35)-4),ROW(K28)))),"",INDEX($AB$5:$AB$37,SMALL(IF($AC$5:$AC$35&lt;&gt;0,ROW($AC$5:$AC$35)-4),ROW(K28))))</f>
        <v/>
      </c>
      <c r="L32" s="440" t="str">
        <f t="array" ref="L32">IF(ISERROR(INDEX($AC$5:$AC$35,SMALL(IF($AC$5:$AC$35&lt;&gt;0,ROW($AC$5:$AC$35)-4),ROW(L28)))),"",INDEX($AC$5:$AC$35,SMALL(IF($AC$5:$AC$35&lt;&gt;0,ROW($AC$5:$AC$35)-4),ROW(L28))))</f>
        <v/>
      </c>
      <c r="M32" s="439" t="str">
        <f t="array" ref="M32">IF( ISERROR(INDEX($AD$5:$AD$37,SMALL(IF($AE$5:$AE$35&lt;&gt;0,ROW($AE$5:$AE$35)-4),ROW(M28)))),"",INDEX($AD$5:$AD$37,SMALL(IF($AE$5:$AE$35&lt;&gt;0,ROW($AD$5:$AD$35)-4),ROW(M28))))</f>
        <v/>
      </c>
      <c r="N32" s="440" t="str">
        <f t="array" ref="N32">IF(ISERROR(INDEX($AE$5:$AE$35,SMALL(IF($AE$5:$AE$35&lt;&gt;0,ROW($AE$5:$AE$35)-4),ROW(N28)))),"",INDEX($AE$5:$AE$35,SMALL(IF($AE$5:$AE$35&lt;&gt;0,ROW($AE$5:$AE$35)-4),ROW(N28))))</f>
        <v/>
      </c>
      <c r="O32" s="439" t="str">
        <f t="array" ref="O32">IF( ISERROR(INDEX($AF$5:$AF$37,SMALL(IF($AG$5:$AG$35&lt;&gt;0,ROW($AG$5:$AG$35)-4),ROW(O28)))),"",INDEX($AF$5:$AF$37,SMALL(IF($AG$5:$AG$35&lt;&gt;0,ROW($AG$5:$AG$35)-4),ROW(O28))))</f>
        <v/>
      </c>
      <c r="P32" s="440" t="str">
        <f t="array" ref="P32">IF(ISERROR(INDEX($AG$5:$AG$35,SMALL(IF($AG$5:$AG$35&lt;&gt;0,ROW($AG$5:$AG$35)-4),ROW(P28)))),"",INDEX($AG$5:$AG$35,SMALL(IF($AG$5:$AG$35&lt;&gt;0,ROW($AG$5:$AG$35)-4),ROW(P28))))</f>
        <v/>
      </c>
      <c r="Q32" s="439" t="str">
        <f t="array" ref="Q32">IF( ISERROR(INDEX($AH$5:$AH$37,SMALL(IF($AI$5:$AI$35&lt;&gt;0,ROW($AI$5:$AI$35)-4),ROW(Q28)))),"",INDEX($AH$5:$AH$37,SMALL(IF($AI$5:$AI$35&lt;&gt;0,ROW($AI$5:$AI$35)-4),ROW(Q28))))</f>
        <v/>
      </c>
      <c r="R32" s="440" t="str">
        <f t="array" ref="R32">IF(ISERROR(INDEX($AI$5:$AI$35,SMALL(IF($AI$5:$AI$35&lt;&gt;0,ROW($AI$5:$AI$35)-4),ROW(R28)))),"",INDEX($AI$5:$AI$35,SMALL(IF($AI$5:$AI$35&lt;&gt;0,ROW($AI$5:$AI$35)-4),ROW(R28))))</f>
        <v/>
      </c>
      <c r="S32" s="439" t="str">
        <f t="array" ref="S32">IF( ISERROR(INDEX($AJ$5:$AJ$37,SMALL(IF($AK$5:$AK$35&lt;&gt;0,ROW($AJ$5:$AJ$35)-4),ROW(S28)))),"",INDEX($AJ$5:$AJ$37,SMALL(IF($AK$5:$AK$35&lt;&gt;0,ROW($AK$5:$AK$35)-4),ROW(S28))))</f>
        <v/>
      </c>
      <c r="T32" s="440" t="str">
        <f t="array" ref="T32">IF(ISERROR(INDEX($AK$5:$AK$35,SMALL(IF($AK$5:$AK$35&lt;&gt;0,ROW($AK$5:$AK$35)-4),ROW(T28)))),"",INDEX($AK$5:$AK$35,SMALL(IF($AK$5:$AK$35&lt;&gt;0,ROW($AK$5:$AK$35)-4),ROW(T28))))</f>
        <v/>
      </c>
      <c r="V32" s="201"/>
      <c r="AM32" s="201">
        <v>31</v>
      </c>
      <c r="AN32" s="572" t="s">
        <v>67</v>
      </c>
      <c r="AO32" s="579"/>
      <c r="AP32" s="572"/>
      <c r="AQ32" s="574">
        <f t="shared" si="6"/>
        <v>0</v>
      </c>
      <c r="AR32" s="592">
        <f>ROUNDUP(AQ32*$AR$2,0)</f>
        <v>0</v>
      </c>
      <c r="AS32" s="575" t="s">
        <v>67</v>
      </c>
      <c r="AT32" s="572" t="s">
        <v>67</v>
      </c>
      <c r="AU32" s="575" t="s">
        <v>1095</v>
      </c>
      <c r="AV32" s="950" t="s">
        <v>67</v>
      </c>
      <c r="AW32" s="572" t="s">
        <v>1095</v>
      </c>
      <c r="AX32" s="581" t="s">
        <v>79</v>
      </c>
      <c r="AY32" s="581"/>
    </row>
    <row r="33" spans="1:51" ht="19.5">
      <c r="A33" s="436" t="str">
        <f>IF(B33="","",(VLOOKUP(B:B,'0.39'!B:F,5,FALSE)))</f>
        <v/>
      </c>
      <c r="B33" s="436" t="str">
        <f>IF(BASIC_TOOL!$F$23=1,BoltnNuts!E33,IF(BASIC_TOOL!$F$23=2,BoltnNuts!G33,IF(BASIC_TOOL!$F$23=3,BoltnNuts!I33,IF(BASIC_TOOL!$F$23=4,BoltnNuts!K33,IF(BASIC_TOOL!$F$23=5,BoltnNuts!M33,IF(BASIC_TOOL!$F$23=6,BoltnNuts!O33,IF(BASIC_TOOL!$F$23=7,BoltnNuts!Q33,IF(BASIC_TOOL!$F$23=8,BoltnNuts!S33))))))))</f>
        <v/>
      </c>
      <c r="C33" s="436" t="str">
        <f>IF(BASIC_TOOL!$F$23=1,BoltnNuts!F33,IF(BASIC_TOOL!$F$23=2,BoltnNuts!H33,IF(BASIC_TOOL!$F$23=3,BoltnNuts!J33,IF(BASIC_TOOL!$F$23=4,BoltnNuts!L33,IF(BASIC_TOOL!$F$23=5,BoltnNuts!N33,IF(BASIC_TOOL!$F$23=6,BoltnNuts!P33,IF(BASIC_TOOL!$F$23=7,BoltnNuts!R33,IF(BASIC_TOOL!$F$23=8,BoltnNuts!T33))))))))</f>
        <v/>
      </c>
      <c r="D33" s="403"/>
      <c r="E33" s="439" t="str">
        <f t="array" ref="E33">IF( ISERROR(INDEX($V$5:$V$37,SMALL(IF($W$5:$W$35&lt;&gt;0,ROW($W$5:$W$35)-4),ROW(E29)))),"",INDEX($V$5:$V$37,SMALL(IF($W$5:$W$35&lt;&gt;0,ROW($W$5:$W$35)-4),ROW(E29))))</f>
        <v/>
      </c>
      <c r="F33" s="440" t="str">
        <f t="array" ref="F33">IF(ISERROR(INDEX($W$5:$W$35,SMALL(IF($W$5:$W$35&lt;&gt;0,ROW($W$5:$W$35)-4),ROW(F29)))),"",INDEX($W$5:$W$35,SMALL(IF($W$5:$W$35&lt;&gt;0,ROW($W$5:$W$35)-4),ROW(F29))))</f>
        <v/>
      </c>
      <c r="G33" s="439" t="str">
        <f t="array" ref="G33">IF( ISERROR(INDEX($X$5:$X$35,SMALL(IF($Y$5:$Y$35&lt;&gt;0,ROW($Y$5:$Y$35)-4),ROW(G29)))),"",INDEX($X$5:$X$35,SMALL(IF($Y$5:$Y$35&lt;&gt;0,ROW($Y$5:$Y$35)-4),ROW(G29))))</f>
        <v/>
      </c>
      <c r="H33" s="440" t="str">
        <f t="array" ref="H33">IF(ISERROR(INDEX($Y$5:$Y$35,SMALL(IF($Y$5:$Y$35&lt;&gt;0,ROW($Y$5:$Y$35)-4),ROW(H29)))),"",INDEX($Y$5:$Y$35,SMALL(IF($Y$5:$Y$35&lt;&gt;0,ROW($Y$5:$Y$35)-4),ROW(H29))))</f>
        <v/>
      </c>
      <c r="I33" s="439" t="str">
        <f t="array" ref="I33">IF( ISERROR(INDEX($Z$5:$Z$37,SMALL(IF($AA$5:$AA$35&lt;&gt;0,ROW($AA$5:$AA$35)-4),ROW(I29)))),"",INDEX($Z$5:$Z$37,SMALL(IF($AA$5:$AA$35&lt;&gt;0,ROW($Z$5:$Z$35)-4),ROW(I29))))</f>
        <v/>
      </c>
      <c r="J33" s="440" t="str">
        <f t="array" ref="J33">IF(ISERROR(INDEX($AA$5:$AA$35,SMALL(IF($AA$5:$AA$35&lt;&gt;0,ROW($AA$5:$AA$35)-4),ROW(J29)))),"",INDEX($AA$5:$AA$35,SMALL(IF($AA$5:$AA$35&lt;&gt;0,ROW($AA$5:$AA$35)-4),ROW(J29))))</f>
        <v/>
      </c>
      <c r="K33" s="439" t="str">
        <f t="array" ref="K33">IF( ISERROR(INDEX($AB$5:$AB$37,SMALL(IF($AC$5:$AC$35&lt;&gt;0,ROW($AC$5:$AC$35)-4),ROW(K29)))),"",INDEX($AB$5:$AB$37,SMALL(IF($AC$5:$AC$35&lt;&gt;0,ROW($AC$5:$AC$35)-4),ROW(K29))))</f>
        <v/>
      </c>
      <c r="L33" s="440" t="str">
        <f t="array" ref="L33">IF(ISERROR(INDEX($AC$5:$AC$35,SMALL(IF($AC$5:$AC$35&lt;&gt;0,ROW($AC$5:$AC$35)-4),ROW(L29)))),"",INDEX($AC$5:$AC$35,SMALL(IF($AC$5:$AC$35&lt;&gt;0,ROW($AC$5:$AC$35)-4),ROW(L29))))</f>
        <v/>
      </c>
      <c r="M33" s="439" t="str">
        <f t="array" ref="M33">IF( ISERROR(INDEX($AD$5:$AD$37,SMALL(IF($AE$5:$AE$35&lt;&gt;0,ROW($AE$5:$AE$35)-4),ROW(M29)))),"",INDEX($AD$5:$AD$37,SMALL(IF($AE$5:$AE$35&lt;&gt;0,ROW($AD$5:$AD$35)-4),ROW(M29))))</f>
        <v/>
      </c>
      <c r="N33" s="440" t="str">
        <f t="array" ref="N33">IF(ISERROR(INDEX($AE$5:$AE$35,SMALL(IF($AE$5:$AE$35&lt;&gt;0,ROW($AE$5:$AE$35)-4),ROW(N29)))),"",INDEX($AE$5:$AE$35,SMALL(IF($AE$5:$AE$35&lt;&gt;0,ROW($AE$5:$AE$35)-4),ROW(N29))))</f>
        <v/>
      </c>
      <c r="O33" s="439" t="str">
        <f t="array" ref="O33">IF( ISERROR(INDEX($AF$5:$AF$37,SMALL(IF($AG$5:$AG$35&lt;&gt;0,ROW($AG$5:$AG$35)-4),ROW(O29)))),"",INDEX($AF$5:$AF$37,SMALL(IF($AG$5:$AG$35&lt;&gt;0,ROW($AG$5:$AG$35)-4),ROW(O29))))</f>
        <v/>
      </c>
      <c r="P33" s="440" t="str">
        <f t="array" ref="P33">IF(ISERROR(INDEX($AG$5:$AG$35,SMALL(IF($AG$5:$AG$35&lt;&gt;0,ROW($AG$5:$AG$35)-4),ROW(P29)))),"",INDEX($AG$5:$AG$35,SMALL(IF($AG$5:$AG$35&lt;&gt;0,ROW($AG$5:$AG$35)-4),ROW(P29))))</f>
        <v/>
      </c>
      <c r="Q33" s="439" t="str">
        <f t="array" ref="Q33">IF( ISERROR(INDEX($AH$5:$AH$37,SMALL(IF($AI$5:$AI$35&lt;&gt;0,ROW($AI$5:$AI$35)-4),ROW(Q29)))),"",INDEX($AH$5:$AH$37,SMALL(IF($AI$5:$AI$35&lt;&gt;0,ROW($AI$5:$AI$35)-4),ROW(Q29))))</f>
        <v/>
      </c>
      <c r="R33" s="440" t="str">
        <f t="array" ref="R33">IF(ISERROR(INDEX($AI$5:$AI$35,SMALL(IF($AI$5:$AI$35&lt;&gt;0,ROW($AI$5:$AI$35)-4),ROW(R29)))),"",INDEX($AI$5:$AI$35,SMALL(IF($AI$5:$AI$35&lt;&gt;0,ROW($AI$5:$AI$35)-4),ROW(R29))))</f>
        <v/>
      </c>
      <c r="S33" s="439" t="str">
        <f t="array" ref="S33">IF( ISERROR(INDEX($AJ$5:$AJ$37,SMALL(IF($AK$5:$AK$35&lt;&gt;0,ROW($AJ$5:$AJ$35)-4),ROW(S29)))),"",INDEX($AJ$5:$AJ$37,SMALL(IF($AK$5:$AK$35&lt;&gt;0,ROW($AK$5:$AK$35)-4),ROW(S29))))</f>
        <v/>
      </c>
      <c r="T33" s="440" t="str">
        <f t="array" ref="T33">IF(ISERROR(INDEX($AK$5:$AK$35,SMALL(IF($AK$5:$AK$35&lt;&gt;0,ROW($AK$5:$AK$35)-4),ROW(T29)))),"",INDEX($AK$5:$AK$35,SMALL(IF($AK$5:$AK$35&lt;&gt;0,ROW($AK$5:$AK$35)-4),ROW(T29))))</f>
        <v/>
      </c>
      <c r="V33" s="201"/>
      <c r="AM33" s="201">
        <v>32</v>
      </c>
      <c r="AN33" s="572" t="s">
        <v>79</v>
      </c>
      <c r="AO33" s="579" t="s">
        <v>1113</v>
      </c>
      <c r="AP33" s="584">
        <f>Internal_Reinforcing!P18*4*N_PA+Internal_Reinforcing!P19*2*N_PA</f>
        <v>0</v>
      </c>
      <c r="AQ33" s="574">
        <f t="shared" si="6"/>
        <v>0</v>
      </c>
      <c r="AR33" s="584">
        <f>ROUNDUP(AQ33*$AR$2,0)</f>
        <v>0</v>
      </c>
      <c r="AS33" s="572" t="s">
        <v>1095</v>
      </c>
      <c r="AT33" s="572" t="s">
        <v>1095</v>
      </c>
      <c r="AU33" s="572" t="s">
        <v>79</v>
      </c>
      <c r="AV33" s="950" t="s">
        <v>79</v>
      </c>
      <c r="AW33" s="572" t="s">
        <v>1095</v>
      </c>
      <c r="AX33" s="581" t="s">
        <v>79</v>
      </c>
      <c r="AY33" s="581"/>
    </row>
    <row r="34" spans="1:51" ht="19.5">
      <c r="A34" s="436" t="str">
        <f>IF(B34="","",(VLOOKUP(B:B,'0.39'!B:F,5,FALSE)))</f>
        <v/>
      </c>
      <c r="B34" s="436" t="str">
        <f>IF(BASIC_TOOL!$F$23=1,BoltnNuts!E34,IF(BASIC_TOOL!$F$23=2,BoltnNuts!G34,IF(BASIC_TOOL!$F$23=3,BoltnNuts!I34,IF(BASIC_TOOL!$F$23=4,BoltnNuts!K34,IF(BASIC_TOOL!$F$23=5,BoltnNuts!M34,IF(BASIC_TOOL!$F$23=6,BoltnNuts!O34,IF(BASIC_TOOL!$F$23=7,BoltnNuts!Q34,IF(BASIC_TOOL!$F$23=8,BoltnNuts!S34))))))))</f>
        <v/>
      </c>
      <c r="C34" s="436" t="str">
        <f>IF(BASIC_TOOL!$F$23=1,BoltnNuts!F34,IF(BASIC_TOOL!$F$23=2,BoltnNuts!H34,IF(BASIC_TOOL!$F$23=3,BoltnNuts!J34,IF(BASIC_TOOL!$F$23=4,BoltnNuts!L34,IF(BASIC_TOOL!$F$23=5,BoltnNuts!N34,IF(BASIC_TOOL!$F$23=6,BoltnNuts!P34,IF(BASIC_TOOL!$F$23=7,BoltnNuts!R34,IF(BASIC_TOOL!$F$23=8,BoltnNuts!T34))))))))</f>
        <v/>
      </c>
      <c r="D34" s="403"/>
      <c r="E34" s="439" t="str">
        <f t="array" ref="E34">IF( ISERROR(INDEX($V$5:$V$37,SMALL(IF($W$5:$W$35&lt;&gt;0,ROW($W$5:$W$35)-4),ROW(E30)))),"",INDEX($V$5:$V$37,SMALL(IF($W$5:$W$35&lt;&gt;0,ROW($W$5:$W$35)-4),ROW(E30))))</f>
        <v/>
      </c>
      <c r="F34" s="440" t="str">
        <f t="array" ref="F34">IF(ISERROR(INDEX($W$5:$W$35,SMALL(IF($W$5:$W$35&lt;&gt;0,ROW($W$5:$W$35)-4),ROW(F30)))),"",INDEX($W$5:$W$35,SMALL(IF($W$5:$W$35&lt;&gt;0,ROW($W$5:$W$35)-4),ROW(F30))))</f>
        <v/>
      </c>
      <c r="G34" s="439" t="str">
        <f t="array" ref="G34">IF( ISERROR(INDEX($X$5:$X$35,SMALL(IF($Y$5:$Y$35&lt;&gt;0,ROW($Y$5:$Y$35)-4),ROW(G30)))),"",INDEX($X$5:$X$35,SMALL(IF($Y$5:$Y$35&lt;&gt;0,ROW($Y$5:$Y$35)-4),ROW(G30))))</f>
        <v/>
      </c>
      <c r="H34" s="440" t="str">
        <f t="array" ref="H34">IF(ISERROR(INDEX($Y$5:$Y$35,SMALL(IF($Y$5:$Y$35&lt;&gt;0,ROW($Y$5:$Y$35)-4),ROW(H30)))),"",INDEX($Y$5:$Y$35,SMALL(IF($Y$5:$Y$35&lt;&gt;0,ROW($Y$5:$Y$35)-4),ROW(H30))))</f>
        <v/>
      </c>
      <c r="I34" s="439" t="str">
        <f t="array" ref="I34">IF( ISERROR(INDEX($Z$5:$Z$37,SMALL(IF($AA$5:$AA$35&lt;&gt;0,ROW($AA$5:$AA$35)-4),ROW(I30)))),"",INDEX($Z$5:$Z$37,SMALL(IF($AA$5:$AA$35&lt;&gt;0,ROW($Z$5:$Z$35)-4),ROW(I30))))</f>
        <v/>
      </c>
      <c r="J34" s="440" t="str">
        <f t="array" ref="J34">IF(ISERROR(INDEX($AA$5:$AA$35,SMALL(IF($AA$5:$AA$35&lt;&gt;0,ROW($AA$5:$AA$35)-4),ROW(J30)))),"",INDEX($AA$5:$AA$35,SMALL(IF($AA$5:$AA$35&lt;&gt;0,ROW($AA$5:$AA$35)-4),ROW(J30))))</f>
        <v/>
      </c>
      <c r="K34" s="439" t="str">
        <f t="array" ref="K34">IF( ISERROR(INDEX($AB$5:$AB$37,SMALL(IF($AC$5:$AC$35&lt;&gt;0,ROW($AC$5:$AC$35)-4),ROW(K30)))),"",INDEX($AB$5:$AB$37,SMALL(IF($AC$5:$AC$35&lt;&gt;0,ROW($AC$5:$AC$35)-4),ROW(K30))))</f>
        <v/>
      </c>
      <c r="L34" s="440" t="str">
        <f t="array" ref="L34">IF(ISERROR(INDEX($AC$5:$AC$35,SMALL(IF($AC$5:$AC$35&lt;&gt;0,ROW($AC$5:$AC$35)-4),ROW(L30)))),"",INDEX($AC$5:$AC$35,SMALL(IF($AC$5:$AC$35&lt;&gt;0,ROW($AC$5:$AC$35)-4),ROW(L30))))</f>
        <v/>
      </c>
      <c r="M34" s="439" t="str">
        <f t="array" ref="M34">IF( ISERROR(INDEX($AD$5:$AD$37,SMALL(IF($AE$5:$AE$35&lt;&gt;0,ROW($AE$5:$AE$35)-4),ROW(M30)))),"",INDEX($AD$5:$AD$37,SMALL(IF($AE$5:$AE$35&lt;&gt;0,ROW($AD$5:$AD$35)-4),ROW(M30))))</f>
        <v/>
      </c>
      <c r="N34" s="440" t="str">
        <f t="array" ref="N34">IF(ISERROR(INDEX($AE$5:$AE$35,SMALL(IF($AE$5:$AE$35&lt;&gt;0,ROW($AE$5:$AE$35)-4),ROW(N30)))),"",INDEX($AE$5:$AE$35,SMALL(IF($AE$5:$AE$35&lt;&gt;0,ROW($AE$5:$AE$35)-4),ROW(N30))))</f>
        <v/>
      </c>
      <c r="O34" s="439" t="str">
        <f t="array" ref="O34">IF( ISERROR(INDEX($AF$5:$AF$37,SMALL(IF($AG$5:$AG$35&lt;&gt;0,ROW($AG$5:$AG$35)-4),ROW(O30)))),"",INDEX($AF$5:$AF$37,SMALL(IF($AG$5:$AG$35&lt;&gt;0,ROW($AG$5:$AG$35)-4),ROW(O30))))</f>
        <v/>
      </c>
      <c r="P34" s="440" t="str">
        <f t="array" ref="P34">IF(ISERROR(INDEX($AG$5:$AG$35,SMALL(IF($AG$5:$AG$35&lt;&gt;0,ROW($AG$5:$AG$35)-4),ROW(P30)))),"",INDEX($AG$5:$AG$35,SMALL(IF($AG$5:$AG$35&lt;&gt;0,ROW($AG$5:$AG$35)-4),ROW(P30))))</f>
        <v/>
      </c>
      <c r="Q34" s="439" t="str">
        <f t="array" ref="Q34">IF( ISERROR(INDEX($AH$5:$AH$37,SMALL(IF($AI$5:$AI$35&lt;&gt;0,ROW($AI$5:$AI$35)-4),ROW(Q30)))),"",INDEX($AH$5:$AH$37,SMALL(IF($AI$5:$AI$35&lt;&gt;0,ROW($AI$5:$AI$35)-4),ROW(Q30))))</f>
        <v/>
      </c>
      <c r="R34" s="440" t="str">
        <f t="array" ref="R34">IF(ISERROR(INDEX($AI$5:$AI$35,SMALL(IF($AI$5:$AI$35&lt;&gt;0,ROW($AI$5:$AI$35)-4),ROW(R30)))),"",INDEX($AI$5:$AI$35,SMALL(IF($AI$5:$AI$35&lt;&gt;0,ROW($AI$5:$AI$35)-4),ROW(R30))))</f>
        <v/>
      </c>
      <c r="S34" s="439" t="str">
        <f t="array" ref="S34">IF( ISERROR(INDEX($AJ$5:$AJ$37,SMALL(IF($AK$5:$AK$35&lt;&gt;0,ROW($AJ$5:$AJ$35)-4),ROW(S30)))),"",INDEX($AJ$5:$AJ$37,SMALL(IF($AK$5:$AK$35&lt;&gt;0,ROW($AK$5:$AK$35)-4),ROW(S30))))</f>
        <v/>
      </c>
      <c r="T34" s="440" t="str">
        <f t="array" ref="T34">IF(ISERROR(INDEX($AK$5:$AK$35,SMALL(IF($AK$5:$AK$35&lt;&gt;0,ROW($AK$5:$AK$35)-4),ROW(T30)))),"",INDEX($AK$5:$AK$35,SMALL(IF($AK$5:$AK$35&lt;&gt;0,ROW($AK$5:$AK$35)-4),ROW(T30))))</f>
        <v/>
      </c>
      <c r="V34" s="201"/>
      <c r="AM34" s="201">
        <v>33</v>
      </c>
      <c r="AN34" s="572" t="s">
        <v>79</v>
      </c>
      <c r="AO34" s="581"/>
      <c r="AP34" s="572"/>
      <c r="AQ34" s="574">
        <f t="shared" si="6"/>
        <v>0</v>
      </c>
      <c r="AR34" s="584">
        <f>ROUNDUP(AQ34*$AR$2,0)</f>
        <v>0</v>
      </c>
      <c r="AS34" s="572" t="s">
        <v>1095</v>
      </c>
      <c r="AT34" s="572" t="s">
        <v>1095</v>
      </c>
      <c r="AU34" s="572" t="s">
        <v>79</v>
      </c>
      <c r="AV34" s="950" t="s">
        <v>79</v>
      </c>
      <c r="AW34" s="572" t="s">
        <v>1095</v>
      </c>
      <c r="AX34" s="581" t="s">
        <v>79</v>
      </c>
      <c r="AY34" s="581"/>
    </row>
    <row r="35" spans="1:51" ht="19.5">
      <c r="A35" s="403" t="s">
        <v>1286</v>
      </c>
      <c r="B35" s="403" t="s">
        <v>1286</v>
      </c>
      <c r="C35" s="403" t="s">
        <v>1286</v>
      </c>
      <c r="D35" s="403"/>
      <c r="E35" s="439" t="str">
        <f t="array" ref="E35">IF( ISERROR(INDEX($V$5:$V$37,SMALL(IF($W$5:$W$35&lt;&gt;0,ROW($W$5:$W$35)-4),ROW(E31)))),"",INDEX($V$5:$V$37,SMALL(IF($W$5:$W$35&lt;&gt;0,ROW($W$5:$W$35)-4),ROW(E31))))</f>
        <v/>
      </c>
      <c r="F35" s="440" t="str">
        <f t="array" ref="F35">IF(ISERROR(INDEX($W$5:$W$35,SMALL(IF($W$5:$W$35&lt;&gt;0,ROW($W$5:$W$35)-4),ROW(F31)))),"",INDEX($W$5:$W$35,SMALL(IF($W$5:$W$35&lt;&gt;0,ROW($W$5:$W$35)-4),ROW(F31))))</f>
        <v/>
      </c>
      <c r="G35" s="439" t="str">
        <f t="array" ref="G35">IF( ISERROR(INDEX($X$5:$X$35,SMALL(IF($Y$5:$Y$35&lt;&gt;0,ROW($Y$5:$Y$35)-4),ROW(G31)))),"",INDEX($X$5:$X$35,SMALL(IF($Y$5:$Y$35&lt;&gt;0,ROW($Y$5:$Y$35)-4),ROW(G31))))</f>
        <v/>
      </c>
      <c r="H35" s="440" t="str">
        <f t="array" ref="H35">IF(ISERROR(INDEX($Y$5:$Y$35,SMALL(IF($Y$5:$Y$35&lt;&gt;0,ROW($Y$5:$Y$35)-4),ROW(H31)))),"",INDEX($Y$5:$Y$35,SMALL(IF($Y$5:$Y$35&lt;&gt;0,ROW($Y$5:$Y$35)-4),ROW(H31))))</f>
        <v/>
      </c>
      <c r="I35" s="439" t="str">
        <f t="array" ref="I35">IF( ISERROR(INDEX($Z$5:$Z$37,SMALL(IF($AA$5:$AA$35&lt;&gt;0,ROW($AA$5:$AA$35)-4),ROW(I31)))),"",INDEX($Z$5:$Z$37,SMALL(IF($AA$5:$AA$35&lt;&gt;0,ROW($Z$5:$Z$35)-4),ROW(I31))))</f>
        <v/>
      </c>
      <c r="J35" s="440" t="str">
        <f t="array" ref="J35">IF(ISERROR(INDEX($AA$5:$AA$35,SMALL(IF($AA$5:$AA$35&lt;&gt;0,ROW($AA$5:$AA$35)-4),ROW(J31)))),"",INDEX($AA$5:$AA$35,SMALL(IF($AA$5:$AA$35&lt;&gt;0,ROW($AA$5:$AA$35)-4),ROW(J31))))</f>
        <v/>
      </c>
      <c r="K35" s="439" t="str">
        <f t="array" ref="K35">IF( ISERROR(INDEX($AB$5:$AB$37,SMALL(IF($AC$5:$AC$35&lt;&gt;0,ROW($AC$5:$AC$35)-4),ROW(K31)))),"",INDEX($AB$5:$AB$37,SMALL(IF($AC$5:$AC$35&lt;&gt;0,ROW($AC$5:$AC$35)-4),ROW(K31))))</f>
        <v/>
      </c>
      <c r="L35" s="440" t="str">
        <f t="array" ref="L35">IF(ISERROR(INDEX($AC$5:$AC$35,SMALL(IF($AC$5:$AC$35&lt;&gt;0,ROW($AC$5:$AC$35)-4),ROW(L31)))),"",INDEX($AC$5:$AC$35,SMALL(IF($AC$5:$AC$35&lt;&gt;0,ROW($AC$5:$AC$35)-4),ROW(L31))))</f>
        <v/>
      </c>
      <c r="M35" s="439" t="str">
        <f t="array" ref="M35">IF( ISERROR(INDEX($AD$5:$AD$37,SMALL(IF($AE$5:$AE$35&lt;&gt;0,ROW($AE$5:$AE$35)-4),ROW(M31)))),"",INDEX($AD$5:$AD$37,SMALL(IF($AE$5:$AE$35&lt;&gt;0,ROW($AD$5:$AD$35)-4),ROW(M31))))</f>
        <v/>
      </c>
      <c r="N35" s="440" t="str">
        <f t="array" ref="N35">IF(ISERROR(INDEX($AE$5:$AE$35,SMALL(IF($AE$5:$AE$35&lt;&gt;0,ROW($AE$5:$AE$35)-4),ROW(N31)))),"",INDEX($AE$5:$AE$35,SMALL(IF($AE$5:$AE$35&lt;&gt;0,ROW($AE$5:$AE$35)-4),ROW(N31))))</f>
        <v/>
      </c>
      <c r="O35" s="439" t="str">
        <f t="array" ref="O35">IF( ISERROR(INDEX($AF$5:$AF$37,SMALL(IF($AG$5:$AG$35&lt;&gt;0,ROW($AG$5:$AG$35)-4),ROW(O31)))),"",INDEX($AF$5:$AF$37,SMALL(IF($AG$5:$AG$35&lt;&gt;0,ROW($AG$5:$AG$35)-4),ROW(O31))))</f>
        <v/>
      </c>
      <c r="P35" s="440" t="str">
        <f t="array" ref="P35">IF(ISERROR(INDEX($AG$5:$AG$35,SMALL(IF($AG$5:$AG$35&lt;&gt;0,ROW($AG$5:$AG$35)-4),ROW(P31)))),"",INDEX($AG$5:$AG$35,SMALL(IF($AG$5:$AG$35&lt;&gt;0,ROW($AG$5:$AG$35)-4),ROW(P31))))</f>
        <v/>
      </c>
      <c r="Q35" s="439" t="str">
        <f t="array" ref="Q35">IF( ISERROR(INDEX($AH$5:$AH$37,SMALL(IF($AI$5:$AI$35&lt;&gt;0,ROW($AI$5:$AI$35)-4),ROW(Q31)))),"",INDEX($AH$5:$AH$37,SMALL(IF($AI$5:$AI$35&lt;&gt;0,ROW($AI$5:$AI$35)-4),ROW(Q31))))</f>
        <v/>
      </c>
      <c r="R35" s="440" t="str">
        <f t="array" ref="R35">IF(ISERROR(INDEX($AI$5:$AI$35,SMALL(IF($AI$5:$AI$35&lt;&gt;0,ROW($AI$5:$AI$35)-4),ROW(R31)))),"",INDEX($AI$5:$AI$35,SMALL(IF($AI$5:$AI$35&lt;&gt;0,ROW($AI$5:$AI$35)-4),ROW(R31))))</f>
        <v/>
      </c>
      <c r="S35" s="439" t="str">
        <f t="array" ref="S35">IF( ISERROR(INDEX($AJ$5:$AJ$37,SMALL(IF($AK$5:$AK$35&lt;&gt;0,ROW($AJ$5:$AJ$35)-4),ROW(S31)))),"",INDEX($AJ$5:$AJ$37,SMALL(IF($AK$5:$AK$35&lt;&gt;0,ROW($AK$5:$AK$35)-4),ROW(S31))))</f>
        <v/>
      </c>
      <c r="T35" s="440" t="str">
        <f t="array" ref="T35">IF(ISERROR(INDEX($AK$5:$AK$35,SMALL(IF($AK$5:$AK$35&lt;&gt;0,ROW($AK$5:$AK$35)-4),ROW(T31)))),"",INDEX($AK$5:$AK$35,SMALL(IF($AK$5:$AK$35&lt;&gt;0,ROW($AK$5:$AK$35)-4),ROW(T31))))</f>
        <v/>
      </c>
      <c r="V35" s="201"/>
      <c r="AM35" s="201">
        <v>34</v>
      </c>
      <c r="AN35" s="572">
        <v>0</v>
      </c>
      <c r="AO35" s="581"/>
      <c r="AP35" s="580"/>
      <c r="AQ35" s="574">
        <f t="shared" si="6"/>
        <v>0</v>
      </c>
      <c r="AR35" s="593"/>
      <c r="AS35" s="575"/>
      <c r="AT35" s="572"/>
      <c r="AU35" s="572"/>
      <c r="AV35" s="950"/>
      <c r="AW35" s="572"/>
      <c r="AX35" s="581"/>
      <c r="AY35" s="581"/>
    </row>
    <row r="36" spans="1:51" ht="19.5">
      <c r="A36" s="403" t="s">
        <v>1286</v>
      </c>
      <c r="B36" s="403" t="s">
        <v>1286</v>
      </c>
      <c r="C36" s="403" t="s">
        <v>1286</v>
      </c>
      <c r="D36" s="403"/>
      <c r="E36" s="439" t="str">
        <f t="array" ref="E36">IF( ISERROR(INDEX($V$5:$V$37,SMALL(IF($W$5:$W$35&lt;&gt;0,ROW($W$5:$W$35)-4),ROW(E32)))),"",INDEX($V$5:$V$37,SMALL(IF($W$5:$W$35&lt;&gt;0,ROW($W$5:$W$35)-4),ROW(E32))))</f>
        <v/>
      </c>
      <c r="F36" s="440" t="str">
        <f t="array" ref="F36">IF(ISERROR(INDEX($W$5:$W$35,SMALL(IF($W$5:$W$35&lt;&gt;0,ROW($W$5:$W$35)-4),ROW(F32)))),"",INDEX($W$5:$W$35,SMALL(IF($W$5:$W$35&lt;&gt;0,ROW($W$5:$W$35)-4),ROW(F32))))</f>
        <v/>
      </c>
      <c r="G36" s="439" t="str">
        <f t="array" ref="G36">IF( ISERROR(INDEX($X$5:$X$35,SMALL(IF($Y$5:$Y$35&lt;&gt;0,ROW($Y$5:$Y$35)-4),ROW(G32)))),"",INDEX($X$5:$X$35,SMALL(IF($Y$5:$Y$35&lt;&gt;0,ROW($Y$5:$Y$35)-4),ROW(G32))))</f>
        <v/>
      </c>
      <c r="H36" s="440" t="str">
        <f t="array" ref="H36">IF(ISERROR(INDEX($Y$5:$Y$35,SMALL(IF($Y$5:$Y$35&lt;&gt;0,ROW($Y$5:$Y$35)-4),ROW(H32)))),"",INDEX($Y$5:$Y$35,SMALL(IF($Y$5:$Y$35&lt;&gt;0,ROW($Y$5:$Y$35)-4),ROW(H32))))</f>
        <v/>
      </c>
      <c r="I36" s="439" t="str">
        <f t="array" ref="I36">IF( ISERROR(INDEX($Z$5:$Z$37,SMALL(IF($AA$5:$AA$35&lt;&gt;0,ROW($AA$5:$AA$35)-4),ROW(I32)))),"",INDEX($Z$5:$Z$37,SMALL(IF($AA$5:$AA$35&lt;&gt;0,ROW($Z$5:$Z$35)-4),ROW(I32))))</f>
        <v/>
      </c>
      <c r="J36" s="440" t="str">
        <f t="array" ref="J36">IF(ISERROR(INDEX($AA$5:$AA$35,SMALL(IF($AA$5:$AA$35&lt;&gt;0,ROW($AA$5:$AA$35)-4),ROW(J32)))),"",INDEX($AA$5:$AA$35,SMALL(IF($AA$5:$AA$35&lt;&gt;0,ROW($AA$5:$AA$35)-4),ROW(J32))))</f>
        <v/>
      </c>
      <c r="K36" s="439" t="str">
        <f t="array" ref="K36">IF( ISERROR(INDEX($AB$5:$AB$37,SMALL(IF($AC$5:$AC$35&lt;&gt;0,ROW($AC$5:$AC$35)-4),ROW(K32)))),"",INDEX($AB$5:$AB$37,SMALL(IF($AC$5:$AC$35&lt;&gt;0,ROW($AC$5:$AC$35)-4),ROW(K32))))</f>
        <v/>
      </c>
      <c r="L36" s="440" t="str">
        <f t="array" ref="L36">IF(ISERROR(INDEX($AC$5:$AC$35,SMALL(IF($AC$5:$AC$35&lt;&gt;0,ROW($AC$5:$AC$35)-4),ROW(L32)))),"",INDEX($AC$5:$AC$35,SMALL(IF($AC$5:$AC$35&lt;&gt;0,ROW($AC$5:$AC$35)-4),ROW(L32))))</f>
        <v/>
      </c>
      <c r="M36" s="439" t="str">
        <f t="array" ref="M36">IF( ISERROR(INDEX($AD$5:$AD$37,SMALL(IF($AE$5:$AE$35&lt;&gt;0,ROW($AE$5:$AE$35)-4),ROW(M32)))),"",INDEX($AD$5:$AD$37,SMALL(IF($AE$5:$AE$35&lt;&gt;0,ROW($AD$5:$AD$35)-4),ROW(M32))))</f>
        <v/>
      </c>
      <c r="N36" s="440" t="str">
        <f t="array" ref="N36">IF(ISERROR(INDEX($AE$5:$AE$35,SMALL(IF($AE$5:$AE$35&lt;&gt;0,ROW($AE$5:$AE$35)-4),ROW(N32)))),"",INDEX($AE$5:$AE$35,SMALL(IF($AE$5:$AE$35&lt;&gt;0,ROW($AE$5:$AE$35)-4),ROW(N32))))</f>
        <v/>
      </c>
      <c r="O36" s="439" t="str">
        <f t="array" ref="O36">IF( ISERROR(INDEX($AF$5:$AF$37,SMALL(IF($AG$5:$AG$35&lt;&gt;0,ROW($AG$5:$AG$35)-4),ROW(O32)))),"",INDEX($AF$5:$AF$37,SMALL(IF($AG$5:$AG$35&lt;&gt;0,ROW($AG$5:$AG$35)-4),ROW(O32))))</f>
        <v/>
      </c>
      <c r="P36" s="440" t="str">
        <f t="array" ref="P36">IF(ISERROR(INDEX($AG$5:$AG$35,SMALL(IF($AG$5:$AG$35&lt;&gt;0,ROW($AG$5:$AG$35)-4),ROW(P32)))),"",INDEX($AG$5:$AG$35,SMALL(IF($AG$5:$AG$35&lt;&gt;0,ROW($AG$5:$AG$35)-4),ROW(P32))))</f>
        <v/>
      </c>
      <c r="Q36" s="439" t="str">
        <f t="array" ref="Q36">IF( ISERROR(INDEX($AH$5:$AH$37,SMALL(IF($AI$5:$AI$35&lt;&gt;0,ROW($AI$5:$AI$35)-4),ROW(Q32)))),"",INDEX($AH$5:$AH$37,SMALL(IF($AI$5:$AI$35&lt;&gt;0,ROW($AI$5:$AI$35)-4),ROW(Q32))))</f>
        <v/>
      </c>
      <c r="R36" s="440" t="str">
        <f t="array" ref="R36">IF(ISERROR(INDEX($AI$5:$AI$35,SMALL(IF($AI$5:$AI$35&lt;&gt;0,ROW($AI$5:$AI$35)-4),ROW(R32)))),"",INDEX($AI$5:$AI$35,SMALL(IF($AI$5:$AI$35&lt;&gt;0,ROW($AI$5:$AI$35)-4),ROW(R32))))</f>
        <v/>
      </c>
      <c r="S36" s="439" t="str">
        <f t="array" ref="S36">IF( ISERROR(INDEX($AJ$5:$AJ$37,SMALL(IF($AK$5:$AK$35&lt;&gt;0,ROW($AJ$5:$AJ$35)-4),ROW(S32)))),"",INDEX($AJ$5:$AJ$37,SMALL(IF($AK$5:$AK$35&lt;&gt;0,ROW($AK$5:$AK$35)-4),ROW(S32))))</f>
        <v/>
      </c>
      <c r="T36" s="440" t="str">
        <f t="array" ref="T36">IF(ISERROR(INDEX($AK$5:$AK$35,SMALL(IF($AK$5:$AK$35&lt;&gt;0,ROW($AK$5:$AK$35)-4),ROW(T32)))),"",INDEX($AK$5:$AK$35,SMALL(IF($AK$5:$AK$35&lt;&gt;0,ROW($AK$5:$AK$35)-4),ROW(T32))))</f>
        <v/>
      </c>
      <c r="V36" s="201"/>
      <c r="AM36" s="201">
        <v>35</v>
      </c>
      <c r="AN36" s="572" t="s">
        <v>1092</v>
      </c>
      <c r="AO36" s="581" t="s">
        <v>1114</v>
      </c>
      <c r="AP36" s="572">
        <f>IF(BASIC_TOOL!E15=2,((W_O)*8*(H_C+H_F-2))*N_PA,IF(H_O=1.5,W_F*4,((W_O)*8*(H_C+H_F-2))*N_PA)+IF(OR(H_O=2,H_O=3,H_O=4,H_O=5),(W_O)*8))*N_PA</f>
        <v>0</v>
      </c>
      <c r="AQ36" s="574">
        <f t="shared" si="6"/>
        <v>0</v>
      </c>
      <c r="AR36" s="575">
        <f>ROUNDUP(AQ36*$AR$2,0)</f>
        <v>0</v>
      </c>
      <c r="AS36" s="575" t="s">
        <v>1091</v>
      </c>
      <c r="AT36" s="572" t="s">
        <v>1091</v>
      </c>
      <c r="AU36" s="572" t="s">
        <v>1092</v>
      </c>
      <c r="AV36" s="950" t="s">
        <v>1092</v>
      </c>
      <c r="AW36" s="581" t="s">
        <v>1091</v>
      </c>
      <c r="AX36" s="581" t="s">
        <v>1092</v>
      </c>
      <c r="AY36" s="581"/>
    </row>
    <row r="37" spans="1:51" ht="19.5">
      <c r="A37" s="403" t="s">
        <v>1286</v>
      </c>
      <c r="B37" s="403" t="s">
        <v>1286</v>
      </c>
      <c r="C37" s="403" t="s">
        <v>1286</v>
      </c>
      <c r="D37" s="403"/>
      <c r="E37" s="439" t="str">
        <f t="array" ref="E37">IF( ISERROR(INDEX($V$5:$V$37,SMALL(IF($W$5:$W$35&lt;&gt;0,ROW($W$5:$W$35)-4),ROW(E33)))),"",INDEX($V$5:$V$37,SMALL(IF($W$5:$W$35&lt;&gt;0,ROW($W$5:$W$35)-4),ROW(E33))))</f>
        <v/>
      </c>
      <c r="F37" s="440" t="str">
        <f t="array" ref="F37">IF(ISERROR(INDEX($W$5:$W$35,SMALL(IF($W$5:$W$35&lt;&gt;0,ROW($W$5:$W$35)-4),ROW(F33)))),"",INDEX($W$5:$W$35,SMALL(IF($W$5:$W$35&lt;&gt;0,ROW($W$5:$W$35)-4),ROW(F33))))</f>
        <v/>
      </c>
      <c r="G37" s="439" t="str">
        <f t="array" ref="G37">IF( ISERROR(INDEX($X$5:$X$35,SMALL(IF($Y$5:$Y$35&lt;&gt;0,ROW($Y$5:$Y$35)-4),ROW(G33)))),"",INDEX($X$5:$X$35,SMALL(IF($Y$5:$Y$35&lt;&gt;0,ROW($Y$5:$Y$35)-4),ROW(G33))))</f>
        <v/>
      </c>
      <c r="H37" s="440" t="str">
        <f t="array" ref="H37">IF(ISERROR(INDEX($Y$5:$Y$35,SMALL(IF($Y$5:$Y$35&lt;&gt;0,ROW($Y$5:$Y$35)-4),ROW(H33)))),"",INDEX($Y$5:$Y$35,SMALL(IF($Y$5:$Y$35&lt;&gt;0,ROW($Y$5:$Y$35)-4),ROW(H33))))</f>
        <v/>
      </c>
      <c r="I37" s="439" t="str">
        <f t="array" ref="I37">IF( ISERROR(INDEX($Z$5:$Z$37,SMALL(IF($AA$5:$AA$35&lt;&gt;0,ROW($AA$5:$AA$35)-4),ROW(I33)))),"",INDEX($Z$5:$Z$37,SMALL(IF($AA$5:$AA$35&lt;&gt;0,ROW($Z$5:$Z$35)-4),ROW(I33))))</f>
        <v/>
      </c>
      <c r="J37" s="440" t="str">
        <f t="array" ref="J37">IF(ISERROR(INDEX($AA$5:$AA$35,SMALL(IF($AA$5:$AA$35&lt;&gt;0,ROW($AA$5:$AA$35)-4),ROW(J33)))),"",INDEX($AA$5:$AA$35,SMALL(IF($AA$5:$AA$35&lt;&gt;0,ROW($AA$5:$AA$35)-4),ROW(J33))))</f>
        <v/>
      </c>
      <c r="K37" s="439" t="str">
        <f t="array" ref="K37">IF( ISERROR(INDEX($AB$5:$AB$37,SMALL(IF($AC$5:$AC$35&lt;&gt;0,ROW($AC$5:$AC$35)-4),ROW(K33)))),"",INDEX($AB$5:$AB$37,SMALL(IF($AC$5:$AC$35&lt;&gt;0,ROW($AC$5:$AC$35)-4),ROW(K33))))</f>
        <v/>
      </c>
      <c r="L37" s="440" t="str">
        <f t="array" ref="L37">IF(ISERROR(INDEX($AC$5:$AC$35,SMALL(IF($AC$5:$AC$35&lt;&gt;0,ROW($AC$5:$AC$35)-4),ROW(L33)))),"",INDEX($AC$5:$AC$35,SMALL(IF($AC$5:$AC$35&lt;&gt;0,ROW($AC$5:$AC$35)-4),ROW(L33))))</f>
        <v/>
      </c>
      <c r="M37" s="439" t="str">
        <f t="array" ref="M37">IF( ISERROR(INDEX($AD$5:$AD$37,SMALL(IF($AE$5:$AE$35&lt;&gt;0,ROW($AE$5:$AE$35)-4),ROW(M33)))),"",INDEX($AD$5:$AD$37,SMALL(IF($AE$5:$AE$35&lt;&gt;0,ROW($AD$5:$AD$35)-4),ROW(M33))))</f>
        <v/>
      </c>
      <c r="N37" s="440" t="str">
        <f t="array" ref="N37">IF(ISERROR(INDEX($AE$5:$AE$35,SMALL(IF($AE$5:$AE$35&lt;&gt;0,ROW($AE$5:$AE$35)-4),ROW(N33)))),"",INDEX($AE$5:$AE$35,SMALL(IF($AE$5:$AE$35&lt;&gt;0,ROW($AE$5:$AE$35)-4),ROW(N33))))</f>
        <v/>
      </c>
      <c r="O37" s="439" t="str">
        <f t="array" ref="O37">IF( ISERROR(INDEX($AF$5:$AF$37,SMALL(IF($AG$5:$AG$35&lt;&gt;0,ROW($AG$5:$AG$35)-4),ROW(O33)))),"",INDEX($AF$5:$AF$37,SMALL(IF($AG$5:$AG$35&lt;&gt;0,ROW($AG$5:$AG$35)-4),ROW(O33))))</f>
        <v/>
      </c>
      <c r="P37" s="440" t="str">
        <f t="array" ref="P37">IF(ISERROR(INDEX($AG$5:$AG$35,SMALL(IF($AG$5:$AG$35&lt;&gt;0,ROW($AG$5:$AG$35)-4),ROW(P33)))),"",INDEX($AG$5:$AG$35,SMALL(IF($AG$5:$AG$35&lt;&gt;0,ROW($AG$5:$AG$35)-4),ROW(P33))))</f>
        <v/>
      </c>
      <c r="Q37" s="439" t="str">
        <f t="array" ref="Q37">IF( ISERROR(INDEX($AH$5:$AH$37,SMALL(IF($AI$5:$AI$35&lt;&gt;0,ROW($AI$5:$AI$35)-4),ROW(Q33)))),"",INDEX($AH$5:$AH$37,SMALL(IF($AI$5:$AI$35&lt;&gt;0,ROW($AI$5:$AI$35)-4),ROW(Q33))))</f>
        <v/>
      </c>
      <c r="R37" s="440" t="str">
        <f t="array" ref="R37">IF(ISERROR(INDEX($AI$5:$AI$35,SMALL(IF($AI$5:$AI$35&lt;&gt;0,ROW($AI$5:$AI$35)-4),ROW(R33)))),"",INDEX($AI$5:$AI$35,SMALL(IF($AI$5:$AI$35&lt;&gt;0,ROW($AI$5:$AI$35)-4),ROW(R33))))</f>
        <v/>
      </c>
      <c r="S37" s="439" t="str">
        <f t="array" ref="S37">IF( ISERROR(INDEX($AJ$5:$AJ$37,SMALL(IF($AK$5:$AK$35&lt;&gt;0,ROW($AJ$5:$AJ$35)-4),ROW(S33)))),"",INDEX($AJ$5:$AJ$37,SMALL(IF($AK$5:$AK$35&lt;&gt;0,ROW($AK$5:$AK$35)-4),ROW(S33))))</f>
        <v/>
      </c>
      <c r="T37" s="440" t="str">
        <f t="array" ref="T37">IF(ISERROR(INDEX($AK$5:$AK$35,SMALL(IF($AK$5:$AK$35&lt;&gt;0,ROW($AK$5:$AK$35)-4),ROW(T33)))),"",INDEX($AK$5:$AK$35,SMALL(IF($AK$5:$AK$35&lt;&gt;0,ROW($AK$5:$AK$35)-4),ROW(T33))))</f>
        <v/>
      </c>
      <c r="V37" s="201"/>
      <c r="AM37" s="201">
        <v>36</v>
      </c>
      <c r="AN37" s="572" t="s">
        <v>1092</v>
      </c>
      <c r="AO37" s="581" t="s">
        <v>1115</v>
      </c>
      <c r="AP37" s="572">
        <f>((W_C+W_F-1)*(H_O))*8*N_PA</f>
        <v>0</v>
      </c>
      <c r="AQ37" s="574">
        <f t="shared" si="6"/>
        <v>0</v>
      </c>
      <c r="AR37" s="575">
        <f>ROUNDUP(AQ37*$AR$2,0)</f>
        <v>0</v>
      </c>
      <c r="AS37" s="575" t="s">
        <v>1091</v>
      </c>
      <c r="AT37" s="572" t="s">
        <v>1091</v>
      </c>
      <c r="AU37" s="572" t="s">
        <v>1092</v>
      </c>
      <c r="AV37" s="950" t="s">
        <v>1092</v>
      </c>
      <c r="AW37" s="581" t="s">
        <v>1091</v>
      </c>
      <c r="AX37" s="581" t="s">
        <v>1092</v>
      </c>
      <c r="AY37" s="581"/>
    </row>
    <row r="38" spans="1:51" ht="19.5">
      <c r="A38" s="403" t="s">
        <v>1286</v>
      </c>
      <c r="B38" s="403" t="s">
        <v>1286</v>
      </c>
      <c r="C38" s="403" t="s">
        <v>1286</v>
      </c>
      <c r="D38" s="403"/>
      <c r="E38" s="439" t="str">
        <f t="array" ref="E38">IF( ISERROR(INDEX($V$5:$V$37,SMALL(IF($W$5:$W$35&lt;&gt;0,ROW($W$5:$W$35)-4),ROW(E34)))),"",INDEX($V$5:$V$37,SMALL(IF($W$5:$W$35&lt;&gt;0,ROW($W$5:$W$35)-4),ROW(E34))))</f>
        <v/>
      </c>
      <c r="F38" s="440" t="str">
        <f t="array" ref="F38">IF(ISERROR(INDEX($W$5:$W$35,SMALL(IF($W$5:$W$35&lt;&gt;0,ROW($W$5:$W$35)-4),ROW(F34)))),"",INDEX($W$5:$W$35,SMALL(IF($W$5:$W$35&lt;&gt;0,ROW($W$5:$W$35)-4),ROW(F34))))</f>
        <v/>
      </c>
      <c r="G38" s="439" t="str">
        <f t="array" ref="G38">IF( ISERROR(INDEX($X$5:$X$35,SMALL(IF($Y$5:$Y$35&lt;&gt;0,ROW($Y$5:$Y$35)-4),ROW(G34)))),"",INDEX($X$5:$X$35,SMALL(IF($Y$5:$Y$35&lt;&gt;0,ROW($Y$5:$Y$35)-4),ROW(G34))))</f>
        <v/>
      </c>
      <c r="H38" s="440" t="str">
        <f t="array" ref="H38">IF(ISERROR(INDEX($Y$5:$Y$35,SMALL(IF($Y$5:$Y$35&lt;&gt;0,ROW($Y$5:$Y$35)-4),ROW(H34)))),"",INDEX($Y$5:$Y$35,SMALL(IF($Y$5:$Y$35&lt;&gt;0,ROW($Y$5:$Y$35)-4),ROW(H34))))</f>
        <v/>
      </c>
      <c r="I38" s="439" t="str">
        <f t="array" ref="I38">IF( ISERROR(INDEX($Z$5:$Z$37,SMALL(IF($AA$5:$AA$35&lt;&gt;0,ROW($AA$5:$AA$35)-4),ROW(I34)))),"",INDEX($Z$5:$Z$37,SMALL(IF($AA$5:$AA$35&lt;&gt;0,ROW($Z$5:$Z$35)-4),ROW(I34))))</f>
        <v/>
      </c>
      <c r="J38" s="440" t="str">
        <f t="array" ref="J38">IF(ISERROR(INDEX($AA$5:$AA$35,SMALL(IF($AA$5:$AA$35&lt;&gt;0,ROW($AA$5:$AA$35)-4),ROW(J34)))),"",INDEX($AA$5:$AA$35,SMALL(IF($AA$5:$AA$35&lt;&gt;0,ROW($AA$5:$AA$35)-4),ROW(J34))))</f>
        <v/>
      </c>
      <c r="K38" s="439" t="str">
        <f t="array" ref="K38">IF( ISERROR(INDEX($AB$5:$AB$37,SMALL(IF($AC$5:$AC$35&lt;&gt;0,ROW($AC$5:$AC$35)-4),ROW(K34)))),"",INDEX($AB$5:$AB$37,SMALL(IF($AC$5:$AC$35&lt;&gt;0,ROW($AC$5:$AC$35)-4),ROW(K34))))</f>
        <v/>
      </c>
      <c r="L38" s="440" t="str">
        <f t="array" ref="L38">IF(ISERROR(INDEX($AC$5:$AC$35,SMALL(IF($AC$5:$AC$35&lt;&gt;0,ROW($AC$5:$AC$35)-4),ROW(L34)))),"",INDEX($AC$5:$AC$35,SMALL(IF($AC$5:$AC$35&lt;&gt;0,ROW($AC$5:$AC$35)-4),ROW(L34))))</f>
        <v/>
      </c>
      <c r="M38" s="439" t="str">
        <f t="array" ref="M38">IF( ISERROR(INDEX($AD$5:$AD$37,SMALL(IF($AE$5:$AE$35&lt;&gt;0,ROW($AE$5:$AE$35)-4),ROW(M34)))),"",INDEX($AD$5:$AD$37,SMALL(IF($AE$5:$AE$35&lt;&gt;0,ROW($AD$5:$AD$35)-4),ROW(M34))))</f>
        <v/>
      </c>
      <c r="N38" s="440" t="str">
        <f t="array" ref="N38">IF(ISERROR(INDEX($AE$5:$AE$35,SMALL(IF($AE$5:$AE$35&lt;&gt;0,ROW($AE$5:$AE$35)-4),ROW(N34)))),"",INDEX($AE$5:$AE$35,SMALL(IF($AE$5:$AE$35&lt;&gt;0,ROW($AE$5:$AE$35)-4),ROW(N34))))</f>
        <v/>
      </c>
      <c r="O38" s="439" t="str">
        <f t="array" ref="O38">IF( ISERROR(INDEX($AF$5:$AF$37,SMALL(IF($AG$5:$AG$35&lt;&gt;0,ROW($AG$5:$AG$35)-4),ROW(O34)))),"",INDEX($AF$5:$AF$37,SMALL(IF($AG$5:$AG$35&lt;&gt;0,ROW($AG$5:$AG$35)-4),ROW(O34))))</f>
        <v/>
      </c>
      <c r="P38" s="440" t="str">
        <f t="array" ref="P38">IF(ISERROR(INDEX($AG$5:$AG$35,SMALL(IF($AG$5:$AG$35&lt;&gt;0,ROW($AG$5:$AG$35)-4),ROW(P34)))),"",INDEX($AG$5:$AG$35,SMALL(IF($AG$5:$AG$35&lt;&gt;0,ROW($AG$5:$AG$35)-4),ROW(P34))))</f>
        <v/>
      </c>
      <c r="Q38" s="439" t="str">
        <f t="array" ref="Q38">IF( ISERROR(INDEX($AH$5:$AH$37,SMALL(IF($AI$5:$AI$35&lt;&gt;0,ROW($AI$5:$AI$35)-4),ROW(Q34)))),"",INDEX($AH$5:$AH$37,SMALL(IF($AI$5:$AI$35&lt;&gt;0,ROW($AI$5:$AI$35)-4),ROW(Q34))))</f>
        <v/>
      </c>
      <c r="R38" s="440" t="str">
        <f t="array" ref="R38">IF(ISERROR(INDEX($AI$5:$AI$35,SMALL(IF($AI$5:$AI$35&lt;&gt;0,ROW($AI$5:$AI$35)-4),ROW(R34)))),"",INDEX($AI$5:$AI$35,SMALL(IF($AI$5:$AI$35&lt;&gt;0,ROW($AI$5:$AI$35)-4),ROW(R34))))</f>
        <v/>
      </c>
      <c r="S38" s="439" t="str">
        <f t="array" ref="S38">IF( ISERROR(INDEX($AJ$5:$AJ$37,SMALL(IF($AK$5:$AK$35&lt;&gt;0,ROW($AJ$5:$AJ$35)-4),ROW(S34)))),"",INDEX($AJ$5:$AJ$37,SMALL(IF($AK$5:$AK$35&lt;&gt;0,ROW($AK$5:$AK$35)-4),ROW(S34))))</f>
        <v/>
      </c>
      <c r="T38" s="440" t="str">
        <f t="array" ref="T38">IF(ISERROR(INDEX($AK$5:$AK$35,SMALL(IF($AK$5:$AK$35&lt;&gt;0,ROW($AK$5:$AK$35)-4),ROW(T34)))),"",INDEX($AK$5:$AK$35,SMALL(IF($AK$5:$AK$35&lt;&gt;0,ROW($AK$5:$AK$35)-4),ROW(T34))))</f>
        <v/>
      </c>
      <c r="V38" s="201"/>
      <c r="AM38" s="201">
        <v>37</v>
      </c>
      <c r="AN38" s="572" t="s">
        <v>5</v>
      </c>
      <c r="AO38" s="581"/>
      <c r="AP38" s="572">
        <f>Steel_Skid!M10</f>
        <v>0</v>
      </c>
      <c r="AQ38" s="574">
        <f t="shared" si="6"/>
        <v>0</v>
      </c>
      <c r="AR38" s="575">
        <f>ROUNDUP(AQ38*$AR$2,0)</f>
        <v>0</v>
      </c>
      <c r="AS38" s="575" t="s">
        <v>5</v>
      </c>
      <c r="AT38" s="572" t="s">
        <v>5</v>
      </c>
      <c r="AU38" s="572" t="s">
        <v>5</v>
      </c>
      <c r="AV38" s="950" t="s">
        <v>5</v>
      </c>
      <c r="AW38" s="572" t="s">
        <v>5</v>
      </c>
      <c r="AX38" s="581" t="s">
        <v>5</v>
      </c>
      <c r="AY38" s="581"/>
    </row>
    <row r="39" spans="1:51" ht="26.25" customHeight="1">
      <c r="A39" s="403" t="s">
        <v>1286</v>
      </c>
      <c r="B39" s="403" t="s">
        <v>1286</v>
      </c>
      <c r="C39" s="403" t="s">
        <v>1286</v>
      </c>
      <c r="D39" s="403"/>
      <c r="E39" s="439" t="str">
        <f t="array" ref="E39">IF( ISERROR(INDEX($V$5:$V$37,SMALL(IF($W$5:$W$35&lt;&gt;0,ROW($W$5:$W$35)-4),ROW(E35)))),"",INDEX($V$5:$V$37,SMALL(IF($W$5:$W$35&lt;&gt;0,ROW($W$5:$W$35)-4),ROW(E35))))</f>
        <v/>
      </c>
      <c r="F39" s="440" t="str">
        <f t="array" ref="F39">IF(ISERROR(INDEX($W$5:$W$35,SMALL(IF($W$5:$W$35&lt;&gt;0,ROW($W$5:$W$35)-4),ROW(F35)))),"",INDEX($W$5:$W$35,SMALL(IF($W$5:$W$35&lt;&gt;0,ROW($W$5:$W$35)-4),ROW(F35))))</f>
        <v/>
      </c>
      <c r="G39" s="439" t="str">
        <f t="array" ref="G39">IF( ISERROR(INDEX($X$5:$X$35,SMALL(IF($Y$5:$Y$35&lt;&gt;0,ROW($Y$5:$Y$35)-4),ROW(G35)))),"",INDEX($X$5:$X$35,SMALL(IF($Y$5:$Y$35&lt;&gt;0,ROW($Y$5:$Y$35)-4),ROW(G35))))</f>
        <v/>
      </c>
      <c r="H39" s="440" t="str">
        <f t="array" ref="H39">IF(ISERROR(INDEX($Y$5:$Y$35,SMALL(IF($Y$5:$Y$35&lt;&gt;0,ROW($Y$5:$Y$35)-4),ROW(H35)))),"",INDEX($Y$5:$Y$35,SMALL(IF($Y$5:$Y$35&lt;&gt;0,ROW($Y$5:$Y$35)-4),ROW(H35))))</f>
        <v/>
      </c>
      <c r="I39" s="439" t="str">
        <f t="array" ref="I39">IF( ISERROR(INDEX($Z$5:$Z$37,SMALL(IF($AA$5:$AA$35&lt;&gt;0,ROW($AA$5:$AA$35)-4),ROW(I35)))),"",INDEX($Z$5:$Z$37,SMALL(IF($AA$5:$AA$35&lt;&gt;0,ROW($Z$5:$Z$35)-4),ROW(I35))))</f>
        <v/>
      </c>
      <c r="J39" s="440" t="str">
        <f t="array" ref="J39">IF(ISERROR(INDEX($AA$5:$AA$35,SMALL(IF($AA$5:$AA$35&lt;&gt;0,ROW($AA$5:$AA$35)-4),ROW(J35)))),"",INDEX($AA$5:$AA$35,SMALL(IF($AA$5:$AA$35&lt;&gt;0,ROW($AA$5:$AA$35)-4),ROW(J35))))</f>
        <v/>
      </c>
      <c r="K39" s="439" t="str">
        <f t="array" ref="K39">IF( ISERROR(INDEX($AB$5:$AB$37,SMALL(IF($AC$5:$AC$35&lt;&gt;0,ROW($AC$5:$AC$35)-4),ROW(K35)))),"",INDEX($AB$5:$AB$37,SMALL(IF($AC$5:$AC$35&lt;&gt;0,ROW($AC$5:$AC$35)-4),ROW(K35))))</f>
        <v/>
      </c>
      <c r="L39" s="440" t="str">
        <f t="array" ref="L39">IF(ISERROR(INDEX($AC$5:$AC$35,SMALL(IF($AC$5:$AC$35&lt;&gt;0,ROW($AC$5:$AC$35)-4),ROW(L35)))),"",INDEX($AC$5:$AC$35,SMALL(IF($AC$5:$AC$35&lt;&gt;0,ROW($AC$5:$AC$35)-4),ROW(L35))))</f>
        <v/>
      </c>
      <c r="M39" s="439" t="str">
        <f t="array" ref="M39">IF( ISERROR(INDEX($AD$5:$AD$37,SMALL(IF($AE$5:$AE$35&lt;&gt;0,ROW($AE$5:$AE$35)-4),ROW(M35)))),"",INDEX($AD$5:$AD$37,SMALL(IF($AE$5:$AE$35&lt;&gt;0,ROW($AD$5:$AD$35)-4),ROW(M35))))</f>
        <v/>
      </c>
      <c r="N39" s="440" t="str">
        <f t="array" ref="N39">IF(ISERROR(INDEX($AE$5:$AE$35,SMALL(IF($AE$5:$AE$35&lt;&gt;0,ROW($AE$5:$AE$35)-4),ROW(N35)))),"",INDEX($AE$5:$AE$35,SMALL(IF($AE$5:$AE$35&lt;&gt;0,ROW($AE$5:$AE$35)-4),ROW(N35))))</f>
        <v/>
      </c>
      <c r="O39" s="439" t="str">
        <f t="array" ref="O39">IF( ISERROR(INDEX($AF$5:$AF$37,SMALL(IF($AG$5:$AG$35&lt;&gt;0,ROW($AG$5:$AG$35)-4),ROW(O35)))),"",INDEX($AF$5:$AF$37,SMALL(IF($AG$5:$AG$35&lt;&gt;0,ROW($AG$5:$AG$35)-4),ROW(O35))))</f>
        <v/>
      </c>
      <c r="P39" s="440" t="str">
        <f t="array" ref="P39">IF(ISERROR(INDEX($AG$5:$AG$35,SMALL(IF($AG$5:$AG$35&lt;&gt;0,ROW($AG$5:$AG$35)-4),ROW(P35)))),"",INDEX($AG$5:$AG$35,SMALL(IF($AG$5:$AG$35&lt;&gt;0,ROW($AG$5:$AG$35)-4),ROW(P35))))</f>
        <v/>
      </c>
      <c r="Q39" s="439" t="str">
        <f t="array" ref="Q39">IF( ISERROR(INDEX($AH$5:$AH$37,SMALL(IF($AI$5:$AI$35&lt;&gt;0,ROW($AI$5:$AI$35)-4),ROW(Q35)))),"",INDEX($AH$5:$AH$37,SMALL(IF($AI$5:$AI$35&lt;&gt;0,ROW($AI$5:$AI$35)-4),ROW(Q35))))</f>
        <v/>
      </c>
      <c r="R39" s="440" t="str">
        <f t="array" ref="R39">IF(ISERROR(INDEX($AI$5:$AI$35,SMALL(IF($AI$5:$AI$35&lt;&gt;0,ROW($AI$5:$AI$35)-4),ROW(R35)))),"",INDEX($AI$5:$AI$35,SMALL(IF($AI$5:$AI$35&lt;&gt;0,ROW($AI$5:$AI$35)-4),ROW(R35))))</f>
        <v/>
      </c>
      <c r="S39" s="439" t="str">
        <f t="array" ref="S39">IF( ISERROR(INDEX($AJ$5:$AJ$37,SMALL(IF($AK$5:$AK$35&lt;&gt;0,ROW($AJ$5:$AJ$35)-4),ROW(S35)))),"",INDEX($AJ$5:$AJ$37,SMALL(IF($AK$5:$AK$35&lt;&gt;0,ROW($AK$5:$AK$35)-4),ROW(S35))))</f>
        <v/>
      </c>
      <c r="T39" s="440" t="str">
        <f t="array" ref="T39">IF(ISERROR(INDEX($AK$5:$AK$35,SMALL(IF($AK$5:$AK$35&lt;&gt;0,ROW($AK$5:$AK$35)-4),ROW(T35)))),"",INDEX($AK$5:$AK$35,SMALL(IF($AK$5:$AK$35&lt;&gt;0,ROW($AK$5:$AK$35)-4),ROW(T35))))</f>
        <v/>
      </c>
      <c r="AM39" s="201">
        <v>38</v>
      </c>
      <c r="AN39" s="572" t="s">
        <v>67</v>
      </c>
      <c r="AO39" s="578" t="s">
        <v>3161</v>
      </c>
      <c r="AP39" s="572">
        <f>IF(H_O&gt;3.3,((W_C+W_F-1)+L_O_C+L_O_F-N_PA-1)*2,0)*2</f>
        <v>0</v>
      </c>
      <c r="AQ39" s="574">
        <f t="shared" ref="AQ39" si="13">AP39</f>
        <v>0</v>
      </c>
      <c r="AR39" s="592">
        <f>IF(AQ39&gt;1,ROUNDUP(AQ39,0),0)</f>
        <v>0</v>
      </c>
      <c r="AS39" s="575" t="s">
        <v>67</v>
      </c>
      <c r="AT39" s="572" t="s">
        <v>67</v>
      </c>
      <c r="AU39" s="575" t="s">
        <v>1095</v>
      </c>
      <c r="AV39" s="950" t="s">
        <v>67</v>
      </c>
      <c r="AW39" s="572" t="s">
        <v>1095</v>
      </c>
      <c r="AX39" s="581" t="s">
        <v>79</v>
      </c>
      <c r="AY39" s="581"/>
    </row>
    <row r="40" spans="1:51" ht="19.5">
      <c r="A40" s="403" t="s">
        <v>1286</v>
      </c>
      <c r="B40" s="403" t="s">
        <v>1286</v>
      </c>
      <c r="C40" s="403" t="s">
        <v>1286</v>
      </c>
      <c r="D40" s="403"/>
      <c r="E40" s="439" t="str">
        <f t="array" ref="E40">IF( ISERROR(INDEX($V$5:$V$37,SMALL(IF($W$5:$W$35&lt;&gt;0,ROW($W$5:$W$35)-4),ROW(E36)))),"",INDEX($V$5:$V$37,SMALL(IF($W$5:$W$35&lt;&gt;0,ROW($W$5:$W$35)-4),ROW(E36))))</f>
        <v/>
      </c>
      <c r="F40" s="440" t="str">
        <f t="array" ref="F40">IF(ISERROR(INDEX($W$5:$W$35,SMALL(IF($W$5:$W$35&lt;&gt;0,ROW($W$5:$W$35)-4),ROW(F36)))),"",INDEX($W$5:$W$35,SMALL(IF($W$5:$W$35&lt;&gt;0,ROW($W$5:$W$35)-4),ROW(F36))))</f>
        <v/>
      </c>
      <c r="G40" s="439" t="str">
        <f t="array" ref="G40">IF( ISERROR(INDEX($X$5:$X$35,SMALL(IF($Y$5:$Y$35&lt;&gt;0,ROW($Y$5:$Y$35)-4),ROW(G36)))),"",INDEX($X$5:$X$35,SMALL(IF($Y$5:$Y$35&lt;&gt;0,ROW($Y$5:$Y$35)-4),ROW(G36))))</f>
        <v/>
      </c>
      <c r="H40" s="440" t="str">
        <f t="array" ref="H40">IF(ISERROR(INDEX($Y$5:$Y$35,SMALL(IF($Y$5:$Y$35&lt;&gt;0,ROW($Y$5:$Y$35)-4),ROW(H36)))),"",INDEX($Y$5:$Y$35,SMALL(IF($Y$5:$Y$35&lt;&gt;0,ROW($Y$5:$Y$35)-4),ROW(H36))))</f>
        <v/>
      </c>
      <c r="I40" s="439" t="str">
        <f t="array" ref="I40">IF( ISERROR(INDEX($Z$5:$Z$37,SMALL(IF($AA$5:$AA$35&lt;&gt;0,ROW($AA$5:$AA$35)-4),ROW(I36)))),"",INDEX($Z$5:$Z$37,SMALL(IF($AA$5:$AA$35&lt;&gt;0,ROW($Z$5:$Z$35)-4),ROW(I36))))</f>
        <v/>
      </c>
      <c r="J40" s="440" t="str">
        <f t="array" ref="J40">IF(ISERROR(INDEX($AA$5:$AA$35,SMALL(IF($AA$5:$AA$35&lt;&gt;0,ROW($AA$5:$AA$35)-4),ROW(J36)))),"",INDEX($AA$5:$AA$35,SMALL(IF($AA$5:$AA$35&lt;&gt;0,ROW($AA$5:$AA$35)-4),ROW(J36))))</f>
        <v/>
      </c>
      <c r="K40" s="439" t="str">
        <f t="array" ref="K40">IF( ISERROR(INDEX($AB$5:$AB$37,SMALL(IF($AC$5:$AC$35&lt;&gt;0,ROW($AC$5:$AC$35)-4),ROW(K36)))),"",INDEX($AB$5:$AB$37,SMALL(IF($AC$5:$AC$35&lt;&gt;0,ROW($AC$5:$AC$35)-4),ROW(K36))))</f>
        <v/>
      </c>
      <c r="L40" s="440" t="str">
        <f t="array" ref="L40">IF(ISERROR(INDEX($AC$5:$AC$35,SMALL(IF($AC$5:$AC$35&lt;&gt;0,ROW($AC$5:$AC$35)-4),ROW(L36)))),"",INDEX($AC$5:$AC$35,SMALL(IF($AC$5:$AC$35&lt;&gt;0,ROW($AC$5:$AC$35)-4),ROW(L36))))</f>
        <v/>
      </c>
      <c r="M40" s="439" t="str">
        <f t="array" ref="M40">IF( ISERROR(INDEX($AD$5:$AD$37,SMALL(IF($AE$5:$AE$35&lt;&gt;0,ROW($AE$5:$AE$35)-4),ROW(M36)))),"",INDEX($AD$5:$AD$37,SMALL(IF($AE$5:$AE$35&lt;&gt;0,ROW($AD$5:$AD$35)-4),ROW(M36))))</f>
        <v/>
      </c>
      <c r="N40" s="440" t="str">
        <f t="array" ref="N40">IF(ISERROR(INDEX($AE$5:$AE$35,SMALL(IF($AE$5:$AE$35&lt;&gt;0,ROW($AE$5:$AE$35)-4),ROW(N36)))),"",INDEX($AE$5:$AE$35,SMALL(IF($AE$5:$AE$35&lt;&gt;0,ROW($AE$5:$AE$35)-4),ROW(N36))))</f>
        <v/>
      </c>
      <c r="O40" s="439" t="str">
        <f t="array" ref="O40">IF( ISERROR(INDEX($AF$5:$AF$37,SMALL(IF($AG$5:$AG$35&lt;&gt;0,ROW($AG$5:$AG$35)-4),ROW(O36)))),"",INDEX($AF$5:$AF$37,SMALL(IF($AG$5:$AG$35&lt;&gt;0,ROW($AG$5:$AG$35)-4),ROW(O36))))</f>
        <v/>
      </c>
      <c r="P40" s="440" t="str">
        <f t="array" ref="P40">IF(ISERROR(INDEX($AG$5:$AG$35,SMALL(IF($AG$5:$AG$35&lt;&gt;0,ROW($AG$5:$AG$35)-4),ROW(P36)))),"",INDEX($AG$5:$AG$35,SMALL(IF($AG$5:$AG$35&lt;&gt;0,ROW($AG$5:$AG$35)-4),ROW(P36))))</f>
        <v/>
      </c>
      <c r="Q40" s="439" t="str">
        <f t="array" ref="Q40">IF( ISERROR(INDEX($AH$5:$AH$37,SMALL(IF($AI$5:$AI$35&lt;&gt;0,ROW($AI$5:$AI$35)-4),ROW(Q36)))),"",INDEX($AH$5:$AH$37,SMALL(IF($AI$5:$AI$35&lt;&gt;0,ROW($AI$5:$AI$35)-4),ROW(Q36))))</f>
        <v/>
      </c>
      <c r="R40" s="440" t="str">
        <f t="array" ref="R40">IF(ISERROR(INDEX($AI$5:$AI$35,SMALL(IF($AI$5:$AI$35&lt;&gt;0,ROW($AI$5:$AI$35)-4),ROW(R36)))),"",INDEX($AI$5:$AI$35,SMALL(IF($AI$5:$AI$35&lt;&gt;0,ROW($AI$5:$AI$35)-4),ROW(R36))))</f>
        <v/>
      </c>
      <c r="S40" s="439" t="str">
        <f t="array" ref="S40">IF( ISERROR(INDEX($AJ$5:$AJ$37,SMALL(IF($AK$5:$AK$35&lt;&gt;0,ROW($AJ$5:$AJ$35)-4),ROW(S36)))),"",INDEX($AJ$5:$AJ$37,SMALL(IF($AK$5:$AK$35&lt;&gt;0,ROW($AK$5:$AK$35)-4),ROW(S36))))</f>
        <v/>
      </c>
      <c r="T40" s="440" t="str">
        <f t="array" ref="T40">IF(ISERROR(INDEX($AK$5:$AK$35,SMALL(IF($AK$5:$AK$35&lt;&gt;0,ROW($AK$5:$AK$35)-4),ROW(T36)))),"",INDEX($AK$5:$AK$35,SMALL(IF($AK$5:$AK$35&lt;&gt;0,ROW($AK$5:$AK$35)-4),ROW(T36))))</f>
        <v/>
      </c>
      <c r="Y40" s="203"/>
      <c r="AM40" s="201">
        <v>39</v>
      </c>
      <c r="AN40" s="572"/>
      <c r="AO40" s="581"/>
      <c r="AP40" s="572"/>
      <c r="AQ40" s="574"/>
      <c r="AR40" s="575"/>
      <c r="AS40" s="575"/>
      <c r="AT40" s="575"/>
      <c r="AU40" s="575"/>
      <c r="AV40" s="575"/>
      <c r="AW40" s="575"/>
      <c r="AX40" s="581"/>
      <c r="AY40" s="581"/>
    </row>
    <row r="41" spans="1:51" ht="19.5">
      <c r="A41" s="403" t="s">
        <v>1286</v>
      </c>
      <c r="B41" s="403" t="s">
        <v>1286</v>
      </c>
      <c r="C41" s="403" t="s">
        <v>1286</v>
      </c>
      <c r="D41" s="403"/>
      <c r="E41" s="439" t="str">
        <f t="array" ref="E41">IF( ISERROR(INDEX($V$5:$V$37,SMALL(IF($W$5:$W$35&lt;&gt;0,ROW($W$5:$W$35)-4),ROW(E37)))),"",INDEX($V$5:$V$37,SMALL(IF($W$5:$W$35&lt;&gt;0,ROW($W$5:$W$35)-4),ROW(E37))))</f>
        <v/>
      </c>
      <c r="F41" s="440" t="str">
        <f t="array" ref="F41">IF(ISERROR(INDEX($W$5:$W$35,SMALL(IF($W$5:$W$35&lt;&gt;0,ROW($W$5:$W$35)-4),ROW(F37)))),"",INDEX($W$5:$W$35,SMALL(IF($W$5:$W$35&lt;&gt;0,ROW($W$5:$W$35)-4),ROW(F37))))</f>
        <v/>
      </c>
      <c r="G41" s="439" t="str">
        <f t="array" ref="G41">IF( ISERROR(INDEX($X$5:$X$35,SMALL(IF($Y$5:$Y$35&lt;&gt;0,ROW($Y$5:$Y$35)-4),ROW(G37)))),"",INDEX($X$5:$X$35,SMALL(IF($Y$5:$Y$35&lt;&gt;0,ROW($Y$5:$Y$35)-4),ROW(G37))))</f>
        <v/>
      </c>
      <c r="H41" s="440" t="str">
        <f t="array" ref="H41">IF(ISERROR(INDEX($Y$5:$Y$35,SMALL(IF($Y$5:$Y$35&lt;&gt;0,ROW($Y$5:$Y$35)-4),ROW(H37)))),"",INDEX($Y$5:$Y$35,SMALL(IF($Y$5:$Y$35&lt;&gt;0,ROW($Y$5:$Y$35)-4),ROW(H37))))</f>
        <v/>
      </c>
      <c r="I41" s="439" t="str">
        <f t="array" ref="I41">IF( ISERROR(INDEX($Z$5:$Z$37,SMALL(IF($AA$5:$AA$35&lt;&gt;0,ROW($AA$5:$AA$35)-4),ROW(I37)))),"",INDEX($Z$5:$Z$37,SMALL(IF($AA$5:$AA$35&lt;&gt;0,ROW($Z$5:$Z$35)-4),ROW(I37))))</f>
        <v/>
      </c>
      <c r="J41" s="440" t="str">
        <f t="array" ref="J41">IF(ISERROR(INDEX($AA$5:$AA$35,SMALL(IF($AA$5:$AA$35&lt;&gt;0,ROW($AA$5:$AA$35)-4),ROW(J37)))),"",INDEX($AA$5:$AA$35,SMALL(IF($AA$5:$AA$35&lt;&gt;0,ROW($AA$5:$AA$35)-4),ROW(J37))))</f>
        <v/>
      </c>
      <c r="K41" s="439" t="str">
        <f t="array" ref="K41">IF( ISERROR(INDEX($AB$5:$AB$37,SMALL(IF($AC$5:$AC$35&lt;&gt;0,ROW($AC$5:$AC$35)-4),ROW(K37)))),"",INDEX($AB$5:$AB$37,SMALL(IF($AC$5:$AC$35&lt;&gt;0,ROW($AC$5:$AC$35)-4),ROW(K37))))</f>
        <v/>
      </c>
      <c r="L41" s="440" t="str">
        <f t="array" ref="L41">IF(ISERROR(INDEX($AC$5:$AC$35,SMALL(IF($AC$5:$AC$35&lt;&gt;0,ROW($AC$5:$AC$35)-4),ROW(L37)))),"",INDEX($AC$5:$AC$35,SMALL(IF($AC$5:$AC$35&lt;&gt;0,ROW($AC$5:$AC$35)-4),ROW(L37))))</f>
        <v/>
      </c>
      <c r="M41" s="439" t="str">
        <f t="array" ref="M41">IF( ISERROR(INDEX($AD$5:$AD$37,SMALL(IF($AE$5:$AE$35&lt;&gt;0,ROW($AE$5:$AE$35)-4),ROW(M37)))),"",INDEX($AD$5:$AD$37,SMALL(IF($AE$5:$AE$35&lt;&gt;0,ROW($AD$5:$AD$35)-4),ROW(M37))))</f>
        <v/>
      </c>
      <c r="N41" s="440" t="str">
        <f t="array" ref="N41">IF(ISERROR(INDEX($AE$5:$AE$35,SMALL(IF($AE$5:$AE$35&lt;&gt;0,ROW($AE$5:$AE$35)-4),ROW(N37)))),"",INDEX($AE$5:$AE$35,SMALL(IF($AE$5:$AE$35&lt;&gt;0,ROW($AE$5:$AE$35)-4),ROW(N37))))</f>
        <v/>
      </c>
      <c r="O41" s="439" t="str">
        <f t="array" ref="O41">IF( ISERROR(INDEX($AF$5:$AF$37,SMALL(IF($AG$5:$AG$35&lt;&gt;0,ROW($AG$5:$AG$35)-4),ROW(O37)))),"",INDEX($AF$5:$AF$37,SMALL(IF($AG$5:$AG$35&lt;&gt;0,ROW($AG$5:$AG$35)-4),ROW(O37))))</f>
        <v/>
      </c>
      <c r="P41" s="440" t="str">
        <f t="array" ref="P41">IF(ISERROR(INDEX($AG$5:$AG$35,SMALL(IF($AG$5:$AG$35&lt;&gt;0,ROW($AG$5:$AG$35)-4),ROW(P37)))),"",INDEX($AG$5:$AG$35,SMALL(IF($AG$5:$AG$35&lt;&gt;0,ROW($AG$5:$AG$35)-4),ROW(P37))))</f>
        <v/>
      </c>
      <c r="Q41" s="439" t="str">
        <f t="array" ref="Q41">IF( ISERROR(INDEX($AH$5:$AH$37,SMALL(IF($AI$5:$AI$35&lt;&gt;0,ROW($AI$5:$AI$35)-4),ROW(Q37)))),"",INDEX($AH$5:$AH$37,SMALL(IF($AI$5:$AI$35&lt;&gt;0,ROW($AI$5:$AI$35)-4),ROW(Q37))))</f>
        <v/>
      </c>
      <c r="R41" s="440" t="str">
        <f t="array" ref="R41">IF(ISERROR(INDEX($AI$5:$AI$35,SMALL(IF($AI$5:$AI$35&lt;&gt;0,ROW($AI$5:$AI$35)-4),ROW(R37)))),"",INDEX($AI$5:$AI$35,SMALL(IF($AI$5:$AI$35&lt;&gt;0,ROW($AI$5:$AI$35)-4),ROW(R37))))</f>
        <v/>
      </c>
      <c r="S41" s="439" t="str">
        <f t="array" ref="S41">IF( ISERROR(INDEX($AJ$5:$AJ$37,SMALL(IF($AK$5:$AK$35&lt;&gt;0,ROW($AJ$5:$AJ$35)-4),ROW(S37)))),"",INDEX($AJ$5:$AJ$37,SMALL(IF($AK$5:$AK$35&lt;&gt;0,ROW($AK$5:$AK$35)-4),ROW(S37))))</f>
        <v/>
      </c>
      <c r="T41" s="440" t="str">
        <f t="array" ref="T41">IF(ISERROR(INDEX($AK$5:$AK$35,SMALL(IF($AK$5:$AK$35&lt;&gt;0,ROW($AK$5:$AK$35)-4),ROW(T37)))),"",INDEX($AK$5:$AK$35,SMALL(IF($AK$5:$AK$35&lt;&gt;0,ROW($AK$5:$AK$35)-4),ROW(T37))))</f>
        <v/>
      </c>
      <c r="X41" s="203"/>
      <c r="Y41" s="203"/>
      <c r="AB41" s="203"/>
      <c r="AC41" s="203"/>
      <c r="AM41" s="201">
        <v>40</v>
      </c>
      <c r="AN41" s="572"/>
      <c r="AO41" s="581"/>
      <c r="AP41" s="572"/>
      <c r="AQ41" s="574"/>
      <c r="AR41" s="575"/>
      <c r="AS41" s="572"/>
      <c r="AT41" s="572"/>
      <c r="AU41" s="572"/>
      <c r="AV41" s="572"/>
      <c r="AW41" s="572"/>
      <c r="AX41" s="581"/>
      <c r="AY41" s="581"/>
    </row>
    <row r="42" spans="1:51" ht="19.5">
      <c r="A42" s="403" t="s">
        <v>1286</v>
      </c>
      <c r="B42" s="403" t="s">
        <v>1286</v>
      </c>
      <c r="C42" s="403" t="s">
        <v>1286</v>
      </c>
      <c r="D42" s="403"/>
      <c r="E42" s="439" t="str">
        <f t="array" ref="E42">IF( ISERROR(INDEX($V$5:$V$37,SMALL(IF($W$5:$W$35&lt;&gt;0,ROW($W$5:$W$35)-4),ROW(E38)))),"",INDEX($V$5:$V$37,SMALL(IF($W$5:$W$35&lt;&gt;0,ROW($W$5:$W$35)-4),ROW(E38))))</f>
        <v/>
      </c>
      <c r="F42" s="440" t="str">
        <f t="array" ref="F42">IF(ISERROR(INDEX($W$5:$W$35,SMALL(IF($W$5:$W$35&lt;&gt;0,ROW($W$5:$W$35)-4),ROW(F38)))),"",INDEX($W$5:$W$35,SMALL(IF($W$5:$W$35&lt;&gt;0,ROW($W$5:$W$35)-4),ROW(F38))))</f>
        <v/>
      </c>
      <c r="G42" s="439" t="str">
        <f t="array" ref="G42">IF( ISERROR(INDEX($X$5:$X$35,SMALL(IF($Y$5:$Y$35&lt;&gt;0,ROW($Y$5:$Y$35)-4),ROW(G38)))),"",INDEX($X$5:$X$35,SMALL(IF($Y$5:$Y$35&lt;&gt;0,ROW($Y$5:$Y$35)-4),ROW(G38))))</f>
        <v/>
      </c>
      <c r="H42" s="440" t="str">
        <f t="array" ref="H42">IF(ISERROR(INDEX($Y$5:$Y$35,SMALL(IF($Y$5:$Y$35&lt;&gt;0,ROW($Y$5:$Y$35)-4),ROW(H38)))),"",INDEX($Y$5:$Y$35,SMALL(IF($Y$5:$Y$35&lt;&gt;0,ROW($Y$5:$Y$35)-4),ROW(H38))))</f>
        <v/>
      </c>
      <c r="I42" s="439" t="str">
        <f t="array" ref="I42">IF( ISERROR(INDEX($Z$5:$Z$37,SMALL(IF($AA$5:$AA$35&lt;&gt;0,ROW($AA$5:$AA$35)-4),ROW(I38)))),"",INDEX($Z$5:$Z$37,SMALL(IF($AA$5:$AA$35&lt;&gt;0,ROW($Z$5:$Z$35)-4),ROW(I38))))</f>
        <v/>
      </c>
      <c r="J42" s="440" t="str">
        <f t="array" ref="J42">IF(ISERROR(INDEX($AA$5:$AA$35,SMALL(IF($AA$5:$AA$35&lt;&gt;0,ROW($AA$5:$AA$35)-4),ROW(J38)))),"",INDEX($AA$5:$AA$35,SMALL(IF($AA$5:$AA$35&lt;&gt;0,ROW($AA$5:$AA$35)-4),ROW(J38))))</f>
        <v/>
      </c>
      <c r="K42" s="439" t="str">
        <f t="array" ref="K42">IF( ISERROR(INDEX($AB$5:$AB$37,SMALL(IF($AC$5:$AC$35&lt;&gt;0,ROW($AC$5:$AC$35)-4),ROW(K38)))),"",INDEX($AB$5:$AB$37,SMALL(IF($AC$5:$AC$35&lt;&gt;0,ROW($AC$5:$AC$35)-4),ROW(K38))))</f>
        <v/>
      </c>
      <c r="L42" s="440" t="str">
        <f t="array" ref="L42">IF(ISERROR(INDEX($AC$5:$AC$35,SMALL(IF($AC$5:$AC$35&lt;&gt;0,ROW($AC$5:$AC$35)-4),ROW(L38)))),"",INDEX($AC$5:$AC$35,SMALL(IF($AC$5:$AC$35&lt;&gt;0,ROW($AC$5:$AC$35)-4),ROW(L38))))</f>
        <v/>
      </c>
      <c r="M42" s="439" t="str">
        <f t="array" ref="M42">IF( ISERROR(INDEX($AD$5:$AD$37,SMALL(IF($AE$5:$AE$35&lt;&gt;0,ROW($AE$5:$AE$35)-4),ROW(M38)))),"",INDEX($AD$5:$AD$37,SMALL(IF($AE$5:$AE$35&lt;&gt;0,ROW($AD$5:$AD$35)-4),ROW(M38))))</f>
        <v/>
      </c>
      <c r="N42" s="440" t="str">
        <f t="array" ref="N42">IF(ISERROR(INDEX($AE$5:$AE$35,SMALL(IF($AE$5:$AE$35&lt;&gt;0,ROW($AE$5:$AE$35)-4),ROW(N38)))),"",INDEX($AE$5:$AE$35,SMALL(IF($AE$5:$AE$35&lt;&gt;0,ROW($AE$5:$AE$35)-4),ROW(N38))))</f>
        <v/>
      </c>
      <c r="O42" s="439" t="str">
        <f t="array" ref="O42">IF( ISERROR(INDEX($AF$5:$AF$37,SMALL(IF($AG$5:$AG$35&lt;&gt;0,ROW($AG$5:$AG$35)-4),ROW(O38)))),"",INDEX($AF$5:$AF$37,SMALL(IF($AG$5:$AG$35&lt;&gt;0,ROW($AG$5:$AG$35)-4),ROW(O38))))</f>
        <v/>
      </c>
      <c r="P42" s="440" t="str">
        <f t="array" ref="P42">IF(ISERROR(INDEX($AG$5:$AG$35,SMALL(IF($AG$5:$AG$35&lt;&gt;0,ROW($AG$5:$AG$35)-4),ROW(P38)))),"",INDEX($AG$5:$AG$35,SMALL(IF($AG$5:$AG$35&lt;&gt;0,ROW($AG$5:$AG$35)-4),ROW(P38))))</f>
        <v/>
      </c>
      <c r="Q42" s="439" t="str">
        <f t="array" ref="Q42">IF( ISERROR(INDEX($AH$5:$AH$37,SMALL(IF($AI$5:$AI$35&lt;&gt;0,ROW($AI$5:$AI$35)-4),ROW(Q38)))),"",INDEX($AH$5:$AH$37,SMALL(IF($AI$5:$AI$35&lt;&gt;0,ROW($AI$5:$AI$35)-4),ROW(Q38))))</f>
        <v/>
      </c>
      <c r="R42" s="440" t="str">
        <f t="array" ref="R42">IF(ISERROR(INDEX($AI$5:$AI$35,SMALL(IF($AI$5:$AI$35&lt;&gt;0,ROW($AI$5:$AI$35)-4),ROW(R38)))),"",INDEX($AI$5:$AI$35,SMALL(IF($AI$5:$AI$35&lt;&gt;0,ROW($AI$5:$AI$35)-4),ROW(R38))))</f>
        <v/>
      </c>
      <c r="S42" s="439" t="str">
        <f t="array" ref="S42">IF( ISERROR(INDEX($AJ$5:$AJ$37,SMALL(IF($AK$5:$AK$35&lt;&gt;0,ROW($AJ$5:$AJ$35)-4),ROW(S38)))),"",INDEX($AJ$5:$AJ$37,SMALL(IF($AK$5:$AK$35&lt;&gt;0,ROW($AK$5:$AK$35)-4),ROW(S38))))</f>
        <v/>
      </c>
      <c r="T42" s="440" t="str">
        <f t="array" ref="T42">IF(ISERROR(INDEX($AK$5:$AK$35,SMALL(IF($AK$5:$AK$35&lt;&gt;0,ROW($AK$5:$AK$35)-4),ROW(T38)))),"",INDEX($AK$5:$AK$35,SMALL(IF($AK$5:$AK$35&lt;&gt;0,ROW($AK$5:$AK$35)-4),ROW(T38))))</f>
        <v/>
      </c>
      <c r="X42" s="203"/>
      <c r="Y42" s="203"/>
      <c r="AB42" s="203"/>
      <c r="AC42" s="203"/>
      <c r="AM42" s="201">
        <v>41</v>
      </c>
      <c r="AN42" s="572"/>
      <c r="AO42" s="581"/>
      <c r="AP42" s="572"/>
      <c r="AQ42" s="574"/>
      <c r="AR42" s="575"/>
      <c r="AS42" s="572"/>
      <c r="AT42" s="572"/>
      <c r="AU42" s="572"/>
      <c r="AV42" s="572"/>
      <c r="AW42" s="572"/>
      <c r="AX42" s="581"/>
      <c r="AY42" s="581"/>
    </row>
    <row r="43" spans="1:51" ht="26.25">
      <c r="A43" s="403" t="s">
        <v>1286</v>
      </c>
      <c r="B43" s="403" t="s">
        <v>1286</v>
      </c>
      <c r="C43" s="403" t="s">
        <v>1286</v>
      </c>
      <c r="D43" s="403"/>
      <c r="E43" s="439" t="str">
        <f t="array" ref="E43">IF( ISERROR(INDEX($V$5:$V$37,SMALL(IF($W$5:$W$35&lt;&gt;0,ROW($W$5:$W$35)-4),ROW(E39)))),"",INDEX($V$5:$V$37,SMALL(IF($W$5:$W$35&lt;&gt;0,ROW($W$5:$W$35)-4),ROW(E39))))</f>
        <v/>
      </c>
      <c r="F43" s="440" t="str">
        <f t="array" ref="F43">IF(ISERROR(INDEX($W$5:$W$35,SMALL(IF($W$5:$W$35&lt;&gt;0,ROW($W$5:$W$35)-4),ROW(F39)))),"",INDEX($W$5:$W$35,SMALL(IF($W$5:$W$35&lt;&gt;0,ROW($W$5:$W$35)-4),ROW(F39))))</f>
        <v/>
      </c>
      <c r="G43" s="439" t="str">
        <f t="array" ref="G43">IF( ISERROR(INDEX($X$5:$X$35,SMALL(IF($Y$5:$Y$35&lt;&gt;0,ROW($Y$5:$Y$35)-4),ROW(G39)))),"",INDEX($X$5:$X$35,SMALL(IF($Y$5:$Y$35&lt;&gt;0,ROW($Y$5:$Y$35)-4),ROW(G39))))</f>
        <v/>
      </c>
      <c r="H43" s="440" t="str">
        <f t="array" ref="H43">IF(ISERROR(INDEX($Y$5:$Y$35,SMALL(IF($Y$5:$Y$35&lt;&gt;0,ROW($Y$5:$Y$35)-4),ROW(H39)))),"",INDEX($Y$5:$Y$35,SMALL(IF($Y$5:$Y$35&lt;&gt;0,ROW($Y$5:$Y$35)-4),ROW(H39))))</f>
        <v/>
      </c>
      <c r="I43" s="439" t="str">
        <f t="array" ref="I43">IF( ISERROR(INDEX($Z$5:$Z$37,SMALL(IF($AA$5:$AA$35&lt;&gt;0,ROW($AA$5:$AA$35)-4),ROW(I39)))),"",INDEX($Z$5:$Z$37,SMALL(IF($AA$5:$AA$35&lt;&gt;0,ROW($Z$5:$Z$35)-4),ROW(I39))))</f>
        <v/>
      </c>
      <c r="J43" s="440" t="str">
        <f t="array" ref="J43">IF(ISERROR(INDEX($AA$5:$AA$35,SMALL(IF($AA$5:$AA$35&lt;&gt;0,ROW($AA$5:$AA$35)-4),ROW(J39)))),"",INDEX($AA$5:$AA$35,SMALL(IF($AA$5:$AA$35&lt;&gt;0,ROW($AA$5:$AA$35)-4),ROW(J39))))</f>
        <v/>
      </c>
      <c r="K43" s="439" t="str">
        <f t="array" ref="K43">IF( ISERROR(INDEX($AB$5:$AB$37,SMALL(IF($AC$5:$AC$35&lt;&gt;0,ROW($AC$5:$AC$35)-4),ROW(K39)))),"",INDEX($AB$5:$AB$37,SMALL(IF($AC$5:$AC$35&lt;&gt;0,ROW($AC$5:$AC$35)-4),ROW(K39))))</f>
        <v/>
      </c>
      <c r="L43" s="440" t="str">
        <f t="array" ref="L43">IF(ISERROR(INDEX($AC$5:$AC$35,SMALL(IF($AC$5:$AC$35&lt;&gt;0,ROW($AC$5:$AC$35)-4),ROW(L39)))),"",INDEX($AC$5:$AC$35,SMALL(IF($AC$5:$AC$35&lt;&gt;0,ROW($AC$5:$AC$35)-4),ROW(L39))))</f>
        <v/>
      </c>
      <c r="M43" s="439" t="str">
        <f t="array" ref="M43">IF( ISERROR(INDEX($AD$5:$AD$37,SMALL(IF($AE$5:$AE$35&lt;&gt;0,ROW($AE$5:$AE$35)-4),ROW(M39)))),"",INDEX($AD$5:$AD$37,SMALL(IF($AE$5:$AE$35&lt;&gt;0,ROW($AD$5:$AD$35)-4),ROW(M39))))</f>
        <v/>
      </c>
      <c r="N43" s="440" t="str">
        <f t="array" ref="N43">IF(ISERROR(INDEX($AE$5:$AE$35,SMALL(IF($AE$5:$AE$35&lt;&gt;0,ROW($AE$5:$AE$35)-4),ROW(N39)))),"",INDEX($AE$5:$AE$35,SMALL(IF($AE$5:$AE$35&lt;&gt;0,ROW($AE$5:$AE$35)-4),ROW(N39))))</f>
        <v/>
      </c>
      <c r="O43" s="439" t="str">
        <f t="array" ref="O43">IF( ISERROR(INDEX($AF$5:$AF$37,SMALL(IF($AG$5:$AG$35&lt;&gt;0,ROW($AG$5:$AG$35)-4),ROW(O39)))),"",INDEX($AF$5:$AF$37,SMALL(IF($AG$5:$AG$35&lt;&gt;0,ROW($AG$5:$AG$35)-4),ROW(O39))))</f>
        <v/>
      </c>
      <c r="P43" s="440" t="str">
        <f t="array" ref="P43">IF(ISERROR(INDEX($AG$5:$AG$35,SMALL(IF($AG$5:$AG$35&lt;&gt;0,ROW($AG$5:$AG$35)-4),ROW(P39)))),"",INDEX($AG$5:$AG$35,SMALL(IF($AG$5:$AG$35&lt;&gt;0,ROW($AG$5:$AG$35)-4),ROW(P39))))</f>
        <v/>
      </c>
      <c r="Q43" s="439" t="str">
        <f t="array" ref="Q43">IF( ISERROR(INDEX($AH$5:$AH$37,SMALL(IF($AI$5:$AI$35&lt;&gt;0,ROW($AI$5:$AI$35)-4),ROW(Q39)))),"",INDEX($AH$5:$AH$37,SMALL(IF($AI$5:$AI$35&lt;&gt;0,ROW($AI$5:$AI$35)-4),ROW(Q39))))</f>
        <v/>
      </c>
      <c r="R43" s="440" t="str">
        <f t="array" ref="R43">IF(ISERROR(INDEX($AI$5:$AI$35,SMALL(IF($AI$5:$AI$35&lt;&gt;0,ROW($AI$5:$AI$35)-4),ROW(R39)))),"",INDEX($AI$5:$AI$35,SMALL(IF($AI$5:$AI$35&lt;&gt;0,ROW($AI$5:$AI$35)-4),ROW(R39))))</f>
        <v/>
      </c>
      <c r="S43" s="439" t="str">
        <f t="array" ref="S43">IF( ISERROR(INDEX($AJ$5:$AJ$37,SMALL(IF($AK$5:$AK$35&lt;&gt;0,ROW($AJ$5:$AJ$35)-4),ROW(S39)))),"",INDEX($AJ$5:$AJ$37,SMALL(IF($AK$5:$AK$35&lt;&gt;0,ROW($AK$5:$AK$35)-4),ROW(S39))))</f>
        <v/>
      </c>
      <c r="T43" s="440" t="str">
        <f t="array" ref="T43">IF(ISERROR(INDEX($AK$5:$AK$35,SMALL(IF($AK$5:$AK$35&lt;&gt;0,ROW($AK$5:$AK$35)-4),ROW(T39)))),"",INDEX($AK$5:$AK$35,SMALL(IF($AK$5:$AK$35&lt;&gt;0,ROW($AK$5:$AK$35)-4),ROW(T39))))</f>
        <v/>
      </c>
      <c r="V43" s="75"/>
      <c r="W43" s="203"/>
      <c r="X43" s="203"/>
      <c r="Y43" s="203"/>
      <c r="Z43" s="203"/>
      <c r="AA43" s="203"/>
      <c r="AB43" s="203"/>
      <c r="AC43" s="203"/>
      <c r="AE43" s="203"/>
      <c r="AF43" s="203"/>
      <c r="AG43" s="203"/>
      <c r="AH43" s="203"/>
      <c r="AI43" s="203"/>
      <c r="AJ43" s="203"/>
      <c r="AK43" s="203"/>
      <c r="AL43" s="203"/>
      <c r="AM43" s="200">
        <v>42</v>
      </c>
      <c r="AN43" s="572"/>
      <c r="AO43" s="585"/>
      <c r="AP43" s="572"/>
      <c r="AQ43" s="574"/>
      <c r="AR43" s="584"/>
      <c r="AS43" s="575"/>
      <c r="AT43" s="575"/>
      <c r="AU43" s="575"/>
      <c r="AV43" s="575"/>
      <c r="AW43" s="575"/>
      <c r="AX43" s="581"/>
      <c r="AY43" s="581"/>
    </row>
    <row r="44" spans="1:51" ht="18">
      <c r="A44" s="403" t="s">
        <v>1286</v>
      </c>
      <c r="B44" s="403" t="s">
        <v>1286</v>
      </c>
      <c r="C44" s="403" t="s">
        <v>1286</v>
      </c>
      <c r="D44" s="403"/>
      <c r="E44" s="439" t="str">
        <f t="array" ref="E44">IF( ISERROR(INDEX($V$5:$V$37,SMALL(IF($W$5:$W$35&lt;&gt;0,ROW($W$5:$W$35)-4),ROW(E40)))),"",INDEX($V$5:$V$37,SMALL(IF($W$5:$W$35&lt;&gt;0,ROW($W$5:$W$35)-4),ROW(E40))))</f>
        <v/>
      </c>
      <c r="F44" s="440" t="str">
        <f t="array" ref="F44">IF(ISERROR(INDEX($W$5:$W$35,SMALL(IF($W$5:$W$35&lt;&gt;0,ROW($W$5:$W$35)-4),ROW(F40)))),"",INDEX($W$5:$W$35,SMALL(IF($W$5:$W$35&lt;&gt;0,ROW($W$5:$W$35)-4),ROW(F40))))</f>
        <v/>
      </c>
      <c r="G44" s="439" t="str">
        <f t="array" ref="G44">IF( ISERROR(INDEX($X$5:$X$35,SMALL(IF($Y$5:$Y$35&lt;&gt;0,ROW($Y$5:$Y$35)-4),ROW(G40)))),"",INDEX($X$5:$X$35,SMALL(IF($Y$5:$Y$35&lt;&gt;0,ROW($Y$5:$Y$35)-4),ROW(G40))))</f>
        <v/>
      </c>
      <c r="H44" s="440" t="str">
        <f t="array" ref="H44">IF(ISERROR(INDEX($Y$5:$Y$35,SMALL(IF($Y$5:$Y$35&lt;&gt;0,ROW($Y$5:$Y$35)-4),ROW(H40)))),"",INDEX($Y$5:$Y$35,SMALL(IF($Y$5:$Y$35&lt;&gt;0,ROW($Y$5:$Y$35)-4),ROW(H40))))</f>
        <v/>
      </c>
      <c r="I44" s="439" t="str">
        <f t="array" ref="I44">IF( ISERROR(INDEX($Z$5:$Z$37,SMALL(IF($AA$5:$AA$35&lt;&gt;0,ROW($AA$5:$AA$35)-4),ROW(I40)))),"",INDEX($Z$5:$Z$37,SMALL(IF($AA$5:$AA$35&lt;&gt;0,ROW($Z$5:$Z$35)-4),ROW(I40))))</f>
        <v/>
      </c>
      <c r="J44" s="440" t="str">
        <f t="array" ref="J44">IF(ISERROR(INDEX($AA$5:$AA$35,SMALL(IF($AA$5:$AA$35&lt;&gt;0,ROW($AA$5:$AA$35)-4),ROW(J40)))),"",INDEX($AA$5:$AA$35,SMALL(IF($AA$5:$AA$35&lt;&gt;0,ROW($AA$5:$AA$35)-4),ROW(J40))))</f>
        <v/>
      </c>
      <c r="K44" s="439" t="str">
        <f t="array" ref="K44">IF( ISERROR(INDEX($AB$5:$AB$37,SMALL(IF($AC$5:$AC$35&lt;&gt;0,ROW($AC$5:$AC$35)-4),ROW(K40)))),"",INDEX($AB$5:$AB$37,SMALL(IF($AC$5:$AC$35&lt;&gt;0,ROW($AC$5:$AC$35)-4),ROW(K40))))</f>
        <v/>
      </c>
      <c r="L44" s="440" t="str">
        <f t="array" ref="L44">IF(ISERROR(INDEX($AC$5:$AC$35,SMALL(IF($AC$5:$AC$35&lt;&gt;0,ROW($AC$5:$AC$35)-4),ROW(L40)))),"",INDEX($AC$5:$AC$35,SMALL(IF($AC$5:$AC$35&lt;&gt;0,ROW($AC$5:$AC$35)-4),ROW(L40))))</f>
        <v/>
      </c>
      <c r="M44" s="439" t="str">
        <f t="array" ref="M44">IF( ISERROR(INDEX($AD$5:$AD$37,SMALL(IF($AE$5:$AE$35&lt;&gt;0,ROW($AE$5:$AE$35)-4),ROW(M40)))),"",INDEX($AD$5:$AD$37,SMALL(IF($AE$5:$AE$35&lt;&gt;0,ROW($AD$5:$AD$35)-4),ROW(M40))))</f>
        <v/>
      </c>
      <c r="N44" s="440" t="str">
        <f t="array" ref="N44">IF(ISERROR(INDEX($AE$5:$AE$35,SMALL(IF($AE$5:$AE$35&lt;&gt;0,ROW($AE$5:$AE$35)-4),ROW(N40)))),"",INDEX($AE$5:$AE$35,SMALL(IF($AE$5:$AE$35&lt;&gt;0,ROW($AE$5:$AE$35)-4),ROW(N40))))</f>
        <v/>
      </c>
      <c r="O44" s="439" t="str">
        <f t="array" ref="O44">IF( ISERROR(INDEX($AF$5:$AF$37,SMALL(IF($AG$5:$AG$35&lt;&gt;0,ROW($AG$5:$AG$35)-4),ROW(O40)))),"",INDEX($AF$5:$AF$37,SMALL(IF($AG$5:$AG$35&lt;&gt;0,ROW($AG$5:$AG$35)-4),ROW(O40))))</f>
        <v/>
      </c>
      <c r="P44" s="440" t="str">
        <f t="array" ref="P44">IF(ISERROR(INDEX($AG$5:$AG$35,SMALL(IF($AG$5:$AG$35&lt;&gt;0,ROW($AG$5:$AG$35)-4),ROW(P40)))),"",INDEX($AG$5:$AG$35,SMALL(IF($AG$5:$AG$35&lt;&gt;0,ROW($AG$5:$AG$35)-4),ROW(P40))))</f>
        <v/>
      </c>
      <c r="Q44" s="439" t="str">
        <f t="array" ref="Q44">IF( ISERROR(INDEX($AH$5:$AH$37,SMALL(IF($AI$5:$AI$35&lt;&gt;0,ROW($AI$5:$AI$35)-4),ROW(Q40)))),"",INDEX($AH$5:$AH$37,SMALL(IF($AI$5:$AI$35&lt;&gt;0,ROW($AI$5:$AI$35)-4),ROW(Q40))))</f>
        <v/>
      </c>
      <c r="R44" s="440" t="str">
        <f t="array" ref="R44">IF(ISERROR(INDEX($AI$5:$AI$35,SMALL(IF($AI$5:$AI$35&lt;&gt;0,ROW($AI$5:$AI$35)-4),ROW(R40)))),"",INDEX($AI$5:$AI$35,SMALL(IF($AI$5:$AI$35&lt;&gt;0,ROW($AI$5:$AI$35)-4),ROW(R40))))</f>
        <v/>
      </c>
      <c r="S44" s="439" t="str">
        <f t="array" ref="S44">IF( ISERROR(INDEX($AJ$5:$AJ$37,SMALL(IF($AK$5:$AK$35&lt;&gt;0,ROW($AJ$5:$AJ$35)-4),ROW(S40)))),"",INDEX($AJ$5:$AJ$37,SMALL(IF($AK$5:$AK$35&lt;&gt;0,ROW($AK$5:$AK$35)-4),ROW(S40))))</f>
        <v/>
      </c>
      <c r="T44" s="440" t="str">
        <f t="array" ref="T44">IF(ISERROR(INDEX($AK$5:$AK$35,SMALL(IF($AK$5:$AK$35&lt;&gt;0,ROW($AK$5:$AK$35)-4),ROW(T40)))),"",INDEX($AK$5:$AK$35,SMALL(IF($AK$5:$AK$35&lt;&gt;0,ROW($AK$5:$AK$35)-4),ROW(T40))))</f>
        <v/>
      </c>
      <c r="V44" s="75"/>
      <c r="W44" s="203"/>
      <c r="X44" s="203"/>
      <c r="Y44" s="203"/>
      <c r="Z44" s="203"/>
      <c r="AA44" s="203"/>
      <c r="AB44" s="203"/>
      <c r="AC44" s="203"/>
      <c r="AE44" s="203"/>
      <c r="AF44" s="203"/>
      <c r="AG44" s="203"/>
      <c r="AH44" s="203"/>
      <c r="AI44" s="203"/>
      <c r="AJ44" s="203"/>
      <c r="AK44" s="203"/>
      <c r="AL44" s="203"/>
      <c r="AM44" s="200"/>
    </row>
    <row r="45" spans="1:51" ht="18">
      <c r="A45" s="403" t="s">
        <v>1286</v>
      </c>
      <c r="B45" s="403" t="s">
        <v>1286</v>
      </c>
      <c r="C45" s="403" t="s">
        <v>1286</v>
      </c>
      <c r="D45" s="403"/>
      <c r="E45" s="439" t="str">
        <f t="array" ref="E45">IF( ISERROR(INDEX($V$5:$V$37,SMALL(IF($W$5:$W$35&lt;&gt;0,ROW($W$5:$W$35)-4),ROW(E41)))),"",INDEX($V$5:$V$37,SMALL(IF($W$5:$W$35&lt;&gt;0,ROW($W$5:$W$35)-4),ROW(E41))))</f>
        <v/>
      </c>
      <c r="F45" s="440" t="str">
        <f t="array" ref="F45">IF(ISERROR(INDEX($W$5:$W$35,SMALL(IF($W$5:$W$35&lt;&gt;0,ROW($W$5:$W$35)-4),ROW(F41)))),"",INDEX($W$5:$W$35,SMALL(IF($W$5:$W$35&lt;&gt;0,ROW($W$5:$W$35)-4),ROW(F41))))</f>
        <v/>
      </c>
      <c r="G45" s="439" t="str">
        <f t="array" ref="G45">IF( ISERROR(INDEX($X$5:$X$35,SMALL(IF($Y$5:$Y$35&lt;&gt;0,ROW($Y$5:$Y$35)-4),ROW(G41)))),"",INDEX($X$5:$X$35,SMALL(IF($Y$5:$Y$35&lt;&gt;0,ROW($Y$5:$Y$35)-4),ROW(G41))))</f>
        <v/>
      </c>
      <c r="H45" s="440" t="str">
        <f t="array" ref="H45">IF(ISERROR(INDEX($Y$5:$Y$35,SMALL(IF($Y$5:$Y$35&lt;&gt;0,ROW($Y$5:$Y$35)-4),ROW(H41)))),"",INDEX($Y$5:$Y$35,SMALL(IF($Y$5:$Y$35&lt;&gt;0,ROW($Y$5:$Y$35)-4),ROW(H41))))</f>
        <v/>
      </c>
      <c r="I45" s="439" t="str">
        <f t="array" ref="I45">IF( ISERROR(INDEX($Z$5:$Z$37,SMALL(IF($AA$5:$AA$35&lt;&gt;0,ROW($AA$5:$AA$35)-4),ROW(I41)))),"",INDEX($Z$5:$Z$37,SMALL(IF($AA$5:$AA$35&lt;&gt;0,ROW($Z$5:$Z$35)-4),ROW(I41))))</f>
        <v/>
      </c>
      <c r="J45" s="440" t="str">
        <f t="array" ref="J45">IF(ISERROR(INDEX($AA$5:$AA$35,SMALL(IF($AA$5:$AA$35&lt;&gt;0,ROW($AA$5:$AA$35)-4),ROW(J41)))),"",INDEX($AA$5:$AA$35,SMALL(IF($AA$5:$AA$35&lt;&gt;0,ROW($AA$5:$AA$35)-4),ROW(J41))))</f>
        <v/>
      </c>
      <c r="K45" s="439" t="str">
        <f t="array" ref="K45">IF( ISERROR(INDEX($AB$5:$AB$37,SMALL(IF($AC$5:$AC$35&lt;&gt;0,ROW($AC$5:$AC$35)-4),ROW(K41)))),"",INDEX($AB$5:$AB$37,SMALL(IF($AC$5:$AC$35&lt;&gt;0,ROW($AC$5:$AC$35)-4),ROW(K41))))</f>
        <v/>
      </c>
      <c r="L45" s="440" t="str">
        <f t="array" ref="L45">IF(ISERROR(INDEX($AC$5:$AC$35,SMALL(IF($AC$5:$AC$35&lt;&gt;0,ROW($AC$5:$AC$35)-4),ROW(L41)))),"",INDEX($AC$5:$AC$35,SMALL(IF($AC$5:$AC$35&lt;&gt;0,ROW($AC$5:$AC$35)-4),ROW(L41))))</f>
        <v/>
      </c>
      <c r="M45" s="439" t="str">
        <f t="array" ref="M45">IF( ISERROR(INDEX($AD$5:$AD$37,SMALL(IF($AE$5:$AE$35&lt;&gt;0,ROW($AE$5:$AE$35)-4),ROW(M41)))),"",INDEX($AD$5:$AD$37,SMALL(IF($AE$5:$AE$35&lt;&gt;0,ROW($AD$5:$AD$35)-4),ROW(M41))))</f>
        <v/>
      </c>
      <c r="N45" s="440" t="str">
        <f t="array" ref="N45">IF(ISERROR(INDEX($AE$5:$AE$35,SMALL(IF($AE$5:$AE$35&lt;&gt;0,ROW($AE$5:$AE$35)-4),ROW(N41)))),"",INDEX($AE$5:$AE$35,SMALL(IF($AE$5:$AE$35&lt;&gt;0,ROW($AE$5:$AE$35)-4),ROW(N41))))</f>
        <v/>
      </c>
      <c r="O45" s="439" t="str">
        <f t="array" ref="O45">IF( ISERROR(INDEX($AF$5:$AF$37,SMALL(IF($AG$5:$AG$35&lt;&gt;0,ROW($AG$5:$AG$35)-4),ROW(O41)))),"",INDEX($AF$5:$AF$37,SMALL(IF($AG$5:$AG$35&lt;&gt;0,ROW($AG$5:$AG$35)-4),ROW(O41))))</f>
        <v/>
      </c>
      <c r="P45" s="440" t="str">
        <f t="array" ref="P45">IF(ISERROR(INDEX($AG$5:$AG$35,SMALL(IF($AG$5:$AG$35&lt;&gt;0,ROW($AG$5:$AG$35)-4),ROW(P41)))),"",INDEX($AG$5:$AG$35,SMALL(IF($AG$5:$AG$35&lt;&gt;0,ROW($AG$5:$AG$35)-4),ROW(P41))))</f>
        <v/>
      </c>
      <c r="Q45" s="439" t="str">
        <f t="array" ref="Q45">IF( ISERROR(INDEX($AH$5:$AH$37,SMALL(IF($AI$5:$AI$35&lt;&gt;0,ROW($AI$5:$AI$35)-4),ROW(Q41)))),"",INDEX($AH$5:$AH$37,SMALL(IF($AI$5:$AI$35&lt;&gt;0,ROW($AI$5:$AI$35)-4),ROW(Q41))))</f>
        <v/>
      </c>
      <c r="R45" s="440" t="str">
        <f t="array" ref="R45">IF(ISERROR(INDEX($AI$5:$AI$35,SMALL(IF($AI$5:$AI$35&lt;&gt;0,ROW($AI$5:$AI$35)-4),ROW(R41)))),"",INDEX($AI$5:$AI$35,SMALL(IF($AI$5:$AI$35&lt;&gt;0,ROW($AI$5:$AI$35)-4),ROW(R41))))</f>
        <v/>
      </c>
      <c r="S45" s="439" t="str">
        <f t="array" ref="S45">IF( ISERROR(INDEX($AF$5:$AF$37,SMALL(IF($AG$5:$AG$35&lt;&gt;0,ROW($AG$5:$AG$35)-4),ROW(S41)))),"",INDEX($AF$5:$AF$37,SMALL(IF($AG$5:$AG$35&lt;&gt;0,ROW($AG$5:$AG$35)-4),ROW(S41))))</f>
        <v/>
      </c>
      <c r="T45" s="440" t="str">
        <f t="array" ref="T45">IF(ISERROR(INDEX($AK$5:$AK$35,SMALL(IF($AK$5:$AK$35&lt;&gt;0,ROW($AK$5:$AK$35)-4),ROW(T41)))),"",INDEX($AK$5:$AK$35,SMALL(IF($AK$5:$AK$35&lt;&gt;0,ROW($AK$5:$AK$35)-4),ROW(T41))))</f>
        <v/>
      </c>
      <c r="V45" s="75"/>
      <c r="W45" s="203"/>
      <c r="X45" s="203"/>
      <c r="Y45" s="203"/>
      <c r="Z45" s="203"/>
      <c r="AA45" s="203"/>
      <c r="AB45" s="203"/>
      <c r="AC45" s="203"/>
      <c r="AE45" s="203"/>
      <c r="AF45" s="203"/>
      <c r="AG45" s="203"/>
      <c r="AH45" s="203"/>
      <c r="AI45" s="203"/>
      <c r="AJ45" s="203"/>
      <c r="AK45" s="203"/>
      <c r="AL45" s="203"/>
      <c r="AM45" s="200"/>
    </row>
    <row r="46" spans="1:51" ht="18">
      <c r="A46" s="403" t="s">
        <v>1286</v>
      </c>
      <c r="B46" s="403" t="s">
        <v>1286</v>
      </c>
      <c r="C46" s="403" t="s">
        <v>1286</v>
      </c>
      <c r="D46" s="403"/>
      <c r="E46" s="439" t="str">
        <f t="array" ref="E46">IF( ISERROR(INDEX($V$5:$V$37,SMALL(IF($W$5:$W$35&lt;&gt;0,ROW($W$5:$W$35)-4),ROW(E42)))),"",INDEX($V$5:$V$37,SMALL(IF($W$5:$W$35&lt;&gt;0,ROW($W$5:$W$35)-4),ROW(E42))))</f>
        <v/>
      </c>
      <c r="F46" s="440" t="str">
        <f t="array" ref="F46">IF(ISERROR(INDEX($W$5:$W$35,SMALL(IF($W$5:$W$35&lt;&gt;0,ROW($W$5:$W$35)-4),ROW(F42)))),"",INDEX($W$5:$W$35,SMALL(IF($W$5:$W$35&lt;&gt;0,ROW($W$5:$W$35)-4),ROW(F42))))</f>
        <v/>
      </c>
      <c r="G46" s="439" t="str">
        <f t="array" ref="G46">IF( ISERROR(INDEX($X$5:$X$35,SMALL(IF($Y$5:$Y$35&lt;&gt;0,ROW($Y$5:$Y$35)-4),ROW(G42)))),"",INDEX($X$5:$X$35,SMALL(IF($Y$5:$Y$35&lt;&gt;0,ROW($Y$5:$Y$35)-4),ROW(G42))))</f>
        <v/>
      </c>
      <c r="H46" s="440" t="str">
        <f t="array" ref="H46">IF(ISERROR(INDEX($Y$5:$Y$35,SMALL(IF($Y$5:$Y$35&lt;&gt;0,ROW($Y$5:$Y$35)-4),ROW(H42)))),"",INDEX($Y$5:$Y$35,SMALL(IF($Y$5:$Y$35&lt;&gt;0,ROW($Y$5:$Y$35)-4),ROW(H42))))</f>
        <v/>
      </c>
      <c r="I46" s="439" t="str">
        <f t="array" ref="I46">IF( ISERROR(INDEX($Z$5:$Z$37,SMALL(IF($AA$5:$AA$35&lt;&gt;0,ROW($AA$5:$AA$35)-4),ROW(I42)))),"",INDEX($Z$5:$Z$37,SMALL(IF($AA$5:$AA$35&lt;&gt;0,ROW($Z$5:$Z$35)-4),ROW(I42))))</f>
        <v/>
      </c>
      <c r="J46" s="440" t="str">
        <f t="array" ref="J46">IF(ISERROR(INDEX($AA$5:$AA$35,SMALL(IF($AA$5:$AA$35&lt;&gt;0,ROW($AA$5:$AA$35)-4),ROW(J42)))),"",INDEX($AA$5:$AA$35,SMALL(IF($AA$5:$AA$35&lt;&gt;0,ROW($AA$5:$AA$35)-4),ROW(J42))))</f>
        <v/>
      </c>
      <c r="K46" s="439" t="str">
        <f t="array" ref="K46">IF( ISERROR(INDEX($AB$5:$AB$37,SMALL(IF($AC$5:$AC$35&lt;&gt;0,ROW($AC$5:$AC$35)-4),ROW(K42)))),"",INDEX($AB$5:$AB$37,SMALL(IF($AC$5:$AC$35&lt;&gt;0,ROW($AC$5:$AC$35)-4),ROW(K42))))</f>
        <v/>
      </c>
      <c r="L46" s="440" t="str">
        <f t="array" ref="L46">IF(ISERROR(INDEX($AC$5:$AC$35,SMALL(IF($AC$5:$AC$35&lt;&gt;0,ROW($AC$5:$AC$35)-4),ROW(L42)))),"",INDEX($AC$5:$AC$35,SMALL(IF($AC$5:$AC$35&lt;&gt;0,ROW($AC$5:$AC$35)-4),ROW(L42))))</f>
        <v/>
      </c>
      <c r="M46" s="439" t="str">
        <f t="array" ref="M46">IF( ISERROR(INDEX($AD$5:$AD$37,SMALL(IF($AE$5:$AE$35&lt;&gt;0,ROW($AE$5:$AE$35)-4),ROW(M42)))),"",INDEX($AD$5:$AD$37,SMALL(IF($AE$5:$AE$35&lt;&gt;0,ROW($AD$5:$AD$35)-4),ROW(M42))))</f>
        <v/>
      </c>
      <c r="N46" s="440" t="str">
        <f t="array" ref="N46">IF(ISERROR(INDEX($AE$5:$AE$35,SMALL(IF($AE$5:$AE$35&lt;&gt;0,ROW($AE$5:$AE$35)-4),ROW(N42)))),"",INDEX($AE$5:$AE$35,SMALL(IF($AE$5:$AE$35&lt;&gt;0,ROW($AE$5:$AE$35)-4),ROW(N42))))</f>
        <v/>
      </c>
      <c r="O46" s="439" t="str">
        <f t="array" ref="O46">IF( ISERROR(INDEX($AF$5:$AF$37,SMALL(IF($AG$5:$AG$35&lt;&gt;0,ROW($AG$5:$AG$35)-4),ROW(O42)))),"",INDEX($AF$5:$AF$37,SMALL(IF($AG$5:$AG$35&lt;&gt;0,ROW($AG$5:$AG$35)-4),ROW(O42))))</f>
        <v/>
      </c>
      <c r="P46" s="440" t="str">
        <f t="array" ref="P46">IF(ISERROR(INDEX($AG$5:$AG$35,SMALL(IF($AG$5:$AG$35&lt;&gt;0,ROW($AG$5:$AG$35)-4),ROW(P42)))),"",INDEX($AG$5:$AG$35,SMALL(IF($AG$5:$AG$35&lt;&gt;0,ROW($AG$5:$AG$35)-4),ROW(P42))))</f>
        <v/>
      </c>
      <c r="Q46" s="439" t="str">
        <f t="array" ref="Q46">IF( ISERROR(INDEX($AH$5:$AH$37,SMALL(IF($AI$5:$AI$35&lt;&gt;0,ROW($AI$5:$AI$35)-4),ROW(Q42)))),"",INDEX($AH$5:$AH$37,SMALL(IF($AI$5:$AI$35&lt;&gt;0,ROW($AI$5:$AI$35)-4),ROW(Q42))))</f>
        <v/>
      </c>
      <c r="R46" s="440" t="str">
        <f t="array" ref="R46">IF(ISERROR(INDEX($AI$5:$AI$35,SMALL(IF($AI$5:$AI$35&lt;&gt;0,ROW($AI$5:$AI$35)-4),ROW(R42)))),"",INDEX($AI$5:$AI$35,SMALL(IF($AI$5:$AI$35&lt;&gt;0,ROW($AI$5:$AI$35)-4),ROW(R42))))</f>
        <v/>
      </c>
      <c r="S46" s="439" t="str">
        <f t="array" ref="S46">IF( ISERROR(INDEX($AF$5:$AF$37,SMALL(IF($AG$5:$AG$35&lt;&gt;0,ROW($AG$5:$AG$35)-4),ROW(S42)))),"",INDEX($AF$5:$AF$37,SMALL(IF($AG$5:$AG$35&lt;&gt;0,ROW($AG$5:$AG$35)-4),ROW(S42))))</f>
        <v/>
      </c>
      <c r="T46" s="440" t="str">
        <f t="array" ref="T46">IF(ISERROR(INDEX($AK$5:$AK$35,SMALL(IF($AK$5:$AK$35&lt;&gt;0,ROW($AK$5:$AK$35)-4),ROW(T42)))),"",INDEX($AK$5:$AK$35,SMALL(IF($AK$5:$AK$35&lt;&gt;0,ROW($AK$5:$AK$35)-4),ROW(T42))))</f>
        <v/>
      </c>
      <c r="V46" s="75"/>
      <c r="W46" s="203"/>
      <c r="X46" s="203"/>
      <c r="Y46" s="203"/>
      <c r="Z46" s="203"/>
      <c r="AA46" s="203"/>
      <c r="AB46" s="203"/>
      <c r="AC46" s="203"/>
      <c r="AE46" s="203"/>
      <c r="AF46" s="203"/>
      <c r="AG46" s="203"/>
      <c r="AH46" s="203"/>
      <c r="AI46" s="203"/>
      <c r="AJ46" s="203"/>
      <c r="AK46" s="203"/>
      <c r="AL46" s="203"/>
      <c r="AM46" s="200"/>
    </row>
    <row r="47" spans="1:51" ht="18">
      <c r="A47" s="403" t="s">
        <v>1286</v>
      </c>
      <c r="B47" s="403" t="s">
        <v>1286</v>
      </c>
      <c r="C47" s="403" t="s">
        <v>1286</v>
      </c>
      <c r="D47" s="403"/>
      <c r="E47" s="439" t="str">
        <f t="array" ref="E47">IF( ISERROR(INDEX($V$5:$V$37,SMALL(IF($W$5:$W$35&lt;&gt;0,ROW($W$5:$W$35)-4),ROW(E43)))),"",INDEX($V$5:$V$37,SMALL(IF($W$5:$W$35&lt;&gt;0,ROW($W$5:$W$35)-4),ROW(E43))))</f>
        <v/>
      </c>
      <c r="F47" s="440" t="str">
        <f t="array" ref="F47">IF(ISERROR(INDEX($W$5:$W$35,SMALL(IF($W$5:$W$35&lt;&gt;0,ROW($W$5:$W$35)-4),ROW(F43)))),"",INDEX($W$5:$W$35,SMALL(IF($W$5:$W$35&lt;&gt;0,ROW($W$5:$W$35)-4),ROW(F43))))</f>
        <v/>
      </c>
      <c r="G47" s="439" t="str">
        <f t="array" ref="G47">IF( ISERROR(INDEX($X$5:$X$35,SMALL(IF($Y$5:$Y$35&lt;&gt;0,ROW($Y$5:$Y$35)-4),ROW(G43)))),"",INDEX($X$5:$X$35,SMALL(IF($Y$5:$Y$35&lt;&gt;0,ROW($Y$5:$Y$35)-4),ROW(G43))))</f>
        <v/>
      </c>
      <c r="H47" s="440" t="str">
        <f t="array" ref="H47">IF(ISERROR(INDEX($Y$5:$Y$35,SMALL(IF($Y$5:$Y$35&lt;&gt;0,ROW($Y$5:$Y$35)-4),ROW(H43)))),"",INDEX($Y$5:$Y$35,SMALL(IF($Y$5:$Y$35&lt;&gt;0,ROW($Y$5:$Y$35)-4),ROW(H43))))</f>
        <v/>
      </c>
      <c r="I47" s="439" t="str">
        <f t="array" ref="I47">IF( ISERROR(INDEX($Z$5:$Z$37,SMALL(IF($AA$5:$AA$35&lt;&gt;0,ROW($AA$5:$AA$35)-4),ROW(I43)))),"",INDEX($Z$5:$Z$37,SMALL(IF($AA$5:$AA$35&lt;&gt;0,ROW($Z$5:$Z$35)-4),ROW(I43))))</f>
        <v/>
      </c>
      <c r="J47" s="440" t="str">
        <f t="array" ref="J47">IF(ISERROR(INDEX($AA$5:$AA$35,SMALL(IF($AA$5:$AA$35&lt;&gt;0,ROW($AA$5:$AA$35)-4),ROW(J43)))),"",INDEX($AA$5:$AA$35,SMALL(IF($AA$5:$AA$35&lt;&gt;0,ROW($AA$5:$AA$35)-4),ROW(J43))))</f>
        <v/>
      </c>
      <c r="K47" s="439" t="str">
        <f t="array" ref="K47">IF( ISERROR(INDEX($AB$5:$AB$37,SMALL(IF($AC$5:$AC$35&lt;&gt;0,ROW($AC$5:$AC$35)-4),ROW(K43)))),"",INDEX($AB$5:$AB$37,SMALL(IF($AC$5:$AC$35&lt;&gt;0,ROW($AC$5:$AC$35)-4),ROW(K43))))</f>
        <v/>
      </c>
      <c r="L47" s="440" t="str">
        <f t="array" ref="L47">IF(ISERROR(INDEX($AC$5:$AC$35,SMALL(IF($AC$5:$AC$35&lt;&gt;0,ROW($AC$5:$AC$35)-4),ROW(L43)))),"",INDEX($AC$5:$AC$35,SMALL(IF($AC$5:$AC$35&lt;&gt;0,ROW($AC$5:$AC$35)-4),ROW(L43))))</f>
        <v/>
      </c>
      <c r="M47" s="439" t="str">
        <f t="array" ref="M47">IF( ISERROR(INDEX($AD$5:$AD$37,SMALL(IF($AE$5:$AE$35&lt;&gt;0,ROW($AE$5:$AE$35)-4),ROW(M43)))),"",INDEX($AD$5:$AD$37,SMALL(IF($AE$5:$AE$35&lt;&gt;0,ROW($AD$5:$AD$35)-4),ROW(M43))))</f>
        <v/>
      </c>
      <c r="N47" s="440" t="str">
        <f t="array" ref="N47">IF(ISERROR(INDEX($AE$5:$AE$35,SMALL(IF($AE$5:$AE$35&lt;&gt;0,ROW($AE$5:$AE$35)-4),ROW(N43)))),"",INDEX($AE$5:$AE$35,SMALL(IF($AE$5:$AE$35&lt;&gt;0,ROW($AE$5:$AE$35)-4),ROW(N43))))</f>
        <v/>
      </c>
      <c r="O47" s="439" t="str">
        <f t="array" ref="O47">IF( ISERROR(INDEX($AF$5:$AF$37,SMALL(IF($AG$5:$AG$35&lt;&gt;0,ROW($AG$5:$AG$35)-4),ROW(O43)))),"",INDEX($AF$5:$AF$37,SMALL(IF($AG$5:$AG$35&lt;&gt;0,ROW($AG$5:$AG$35)-4),ROW(O43))))</f>
        <v/>
      </c>
      <c r="P47" s="440" t="str">
        <f t="array" ref="P47">IF(ISERROR(INDEX($AG$5:$AG$35,SMALL(IF($AG$5:$AG$35&lt;&gt;0,ROW($AG$5:$AG$35)-4),ROW(P43)))),"",INDEX($AG$5:$AG$35,SMALL(IF($AG$5:$AG$35&lt;&gt;0,ROW($AG$5:$AG$35)-4),ROW(P43))))</f>
        <v/>
      </c>
      <c r="Q47" s="439" t="str">
        <f t="array" ref="Q47">IF( ISERROR(INDEX($AH$5:$AH$37,SMALL(IF($AI$5:$AI$35&lt;&gt;0,ROW($AI$5:$AI$35)-4),ROW(Q43)))),"",INDEX($AH$5:$AH$37,SMALL(IF($AI$5:$AI$35&lt;&gt;0,ROW($AI$5:$AI$35)-4),ROW(Q43))))</f>
        <v/>
      </c>
      <c r="R47" s="440" t="str">
        <f t="array" ref="R47">IF(ISERROR(INDEX($AI$5:$AI$35,SMALL(IF($AI$5:$AI$35&lt;&gt;0,ROW($AI$5:$AI$35)-4),ROW(R43)))),"",INDEX($AI$5:$AI$35,SMALL(IF($AI$5:$AI$35&lt;&gt;0,ROW($AI$5:$AI$35)-4),ROW(R43))))</f>
        <v/>
      </c>
      <c r="S47" s="439" t="str">
        <f t="array" ref="S47">IF( ISERROR(INDEX($AF$5:$AF$37,SMALL(IF($AG$5:$AG$35&lt;&gt;0,ROW($AG$5:$AG$35)-4),ROW(S43)))),"",INDEX($AF$5:$AF$37,SMALL(IF($AG$5:$AG$35&lt;&gt;0,ROW($AG$5:$AG$35)-4),ROW(S43))))</f>
        <v/>
      </c>
      <c r="T47" s="440" t="str">
        <f t="array" ref="T47">IF(ISERROR(INDEX($AK$5:$AK$35,SMALL(IF($AK$5:$AK$35&lt;&gt;0,ROW($AK$5:$AK$35)-4),ROW(T43)))),"",INDEX($AK$5:$AK$35,SMALL(IF($AK$5:$AK$35&lt;&gt;0,ROW($AK$5:$AK$35)-4),ROW(T43))))</f>
        <v/>
      </c>
      <c r="V47" s="75"/>
      <c r="W47" s="203"/>
      <c r="X47" s="203"/>
      <c r="Y47" s="203"/>
      <c r="Z47" s="203"/>
      <c r="AA47" s="203"/>
      <c r="AB47" s="203"/>
      <c r="AC47" s="203"/>
      <c r="AE47" s="203"/>
      <c r="AF47" s="203"/>
      <c r="AG47" s="203"/>
      <c r="AH47" s="203"/>
      <c r="AI47" s="203"/>
      <c r="AJ47" s="203"/>
      <c r="AK47" s="203"/>
      <c r="AL47" s="203"/>
      <c r="AM47" s="200"/>
    </row>
    <row r="48" spans="1:51">
      <c r="V48" s="201"/>
      <c r="AR48" s="595"/>
    </row>
    <row r="49" spans="22:44">
      <c r="V49" s="201"/>
      <c r="AO49" s="210"/>
      <c r="AR49" s="594"/>
    </row>
    <row r="50" spans="22:44">
      <c r="V50" s="201"/>
    </row>
    <row r="51" spans="22:44" ht="17.25" customHeight="1">
      <c r="V51" s="201"/>
    </row>
    <row r="52" spans="22:44" ht="17.25" customHeight="1">
      <c r="V52" s="201"/>
    </row>
    <row r="53" spans="22:44" ht="17.25" customHeight="1">
      <c r="V53" s="201"/>
    </row>
    <row r="54" spans="22:44" ht="17.25" customHeight="1">
      <c r="V54" s="201"/>
      <c r="AR54" s="203"/>
    </row>
    <row r="55" spans="22:44" ht="17.25" customHeight="1">
      <c r="V55" s="201"/>
    </row>
    <row r="56" spans="22:44" ht="17.25" customHeight="1">
      <c r="V56" s="201"/>
    </row>
    <row r="57" spans="22:44" ht="17.25" customHeight="1">
      <c r="V57" s="201"/>
    </row>
    <row r="58" spans="22:44" ht="17.25" customHeight="1">
      <c r="V58" s="201"/>
    </row>
    <row r="59" spans="22:44" ht="17.25" customHeight="1"/>
    <row r="60" spans="22:44" ht="17.25" customHeight="1">
      <c r="Y60" s="203"/>
    </row>
    <row r="61" spans="22:44" ht="17.25" customHeight="1">
      <c r="X61" s="203"/>
      <c r="Y61" s="203"/>
      <c r="AB61" s="203"/>
      <c r="AC61" s="203"/>
    </row>
    <row r="62" spans="22:44" ht="17.25" customHeight="1">
      <c r="V62" s="75"/>
      <c r="W62" s="203"/>
      <c r="X62" s="203"/>
      <c r="Y62" s="203"/>
      <c r="Z62" s="203"/>
      <c r="AA62" s="203"/>
      <c r="AB62" s="203"/>
      <c r="AC62" s="203"/>
      <c r="AE62" s="203"/>
      <c r="AF62" s="203"/>
      <c r="AG62" s="203"/>
      <c r="AH62" s="203"/>
      <c r="AI62" s="203"/>
      <c r="AJ62" s="203"/>
      <c r="AK62" s="203"/>
      <c r="AL62" s="203"/>
    </row>
    <row r="63" spans="22:44" ht="17.25" customHeight="1">
      <c r="V63" s="75"/>
      <c r="W63" s="203"/>
      <c r="X63" s="203"/>
      <c r="Y63" s="203"/>
      <c r="Z63" s="203"/>
      <c r="AA63" s="203"/>
      <c r="AB63" s="203"/>
      <c r="AC63" s="203"/>
      <c r="AE63" s="203"/>
      <c r="AF63" s="203"/>
      <c r="AG63" s="203"/>
      <c r="AH63" s="203"/>
      <c r="AI63" s="203"/>
      <c r="AJ63" s="203"/>
      <c r="AK63" s="203"/>
      <c r="AL63" s="203"/>
    </row>
    <row r="64" spans="22:44" ht="17.25" customHeight="1">
      <c r="V64" s="75"/>
      <c r="W64" s="203"/>
      <c r="X64" s="203"/>
      <c r="Y64" s="203"/>
      <c r="Z64" s="203"/>
      <c r="AA64" s="203"/>
      <c r="AB64" s="203"/>
      <c r="AC64" s="203"/>
      <c r="AE64" s="203"/>
      <c r="AF64" s="203"/>
      <c r="AG64" s="203"/>
      <c r="AH64" s="203"/>
      <c r="AI64" s="203"/>
      <c r="AJ64" s="203"/>
      <c r="AK64" s="203"/>
      <c r="AL64" s="203"/>
    </row>
    <row r="65" spans="22:38" ht="17.25" customHeight="1">
      <c r="V65" s="75"/>
      <c r="W65" s="203"/>
      <c r="X65" s="203"/>
      <c r="Y65" s="203"/>
      <c r="Z65" s="203"/>
      <c r="AA65" s="203"/>
      <c r="AB65" s="203"/>
      <c r="AC65" s="203"/>
      <c r="AE65" s="203"/>
      <c r="AF65" s="203"/>
      <c r="AG65" s="203"/>
      <c r="AH65" s="203"/>
      <c r="AI65" s="203"/>
      <c r="AJ65" s="203"/>
      <c r="AK65" s="203"/>
      <c r="AL65" s="203"/>
    </row>
    <row r="66" spans="22:38" ht="17.25" customHeight="1">
      <c r="V66" s="75"/>
      <c r="W66" s="203"/>
      <c r="X66" s="203"/>
      <c r="Y66" s="203"/>
      <c r="Z66" s="203"/>
      <c r="AA66" s="203"/>
      <c r="AB66" s="203"/>
      <c r="AC66" s="203"/>
      <c r="AE66" s="203"/>
      <c r="AF66" s="203"/>
      <c r="AG66" s="203"/>
      <c r="AH66" s="203"/>
      <c r="AI66" s="203"/>
      <c r="AJ66" s="203"/>
      <c r="AK66" s="203"/>
      <c r="AL66" s="203"/>
    </row>
  </sheetData>
  <mergeCells count="21">
    <mergeCell ref="A2:C2"/>
    <mergeCell ref="AF2:AG2"/>
    <mergeCell ref="V2:W2"/>
    <mergeCell ref="X2:Y2"/>
    <mergeCell ref="Z2:AA2"/>
    <mergeCell ref="AB2:AC2"/>
    <mergeCell ref="AD2:AE2"/>
    <mergeCell ref="O2:P2"/>
    <mergeCell ref="E2:F2"/>
    <mergeCell ref="G2:H2"/>
    <mergeCell ref="I2:J2"/>
    <mergeCell ref="K2:L2"/>
    <mergeCell ref="M2:N2"/>
    <mergeCell ref="Q2:R2"/>
    <mergeCell ref="S2:T2"/>
    <mergeCell ref="V24:W24"/>
    <mergeCell ref="AJ2:AK2"/>
    <mergeCell ref="AF24:AG24"/>
    <mergeCell ref="AD24:AE24"/>
    <mergeCell ref="AB24:AC24"/>
    <mergeCell ref="Z24:AA24"/>
  </mergeCells>
  <phoneticPr fontId="13" type="noConversion"/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>
    <pageSetUpPr fitToPage="1"/>
  </sheetPr>
  <dimension ref="A1:Y60"/>
  <sheetViews>
    <sheetView topLeftCell="F4" zoomScale="70" zoomScaleNormal="70" zoomScalePageLayoutView="40" workbookViewId="0">
      <selection activeCell="Y13" sqref="Y13"/>
    </sheetView>
  </sheetViews>
  <sheetFormatPr defaultColWidth="8.875" defaultRowHeight="20.25"/>
  <cols>
    <col min="1" max="1" width="30.375" style="10" customWidth="1"/>
    <col min="2" max="2" width="19.125" style="10" bestFit="1" customWidth="1"/>
    <col min="3" max="3" width="6.875" style="10" bestFit="1" customWidth="1"/>
    <col min="4" max="4" width="14.625" style="12" bestFit="1" customWidth="1"/>
    <col min="5" max="5" width="5.875" style="12" bestFit="1" customWidth="1"/>
    <col min="6" max="6" width="16.25" style="12" customWidth="1"/>
    <col min="7" max="7" width="5.875" style="12" bestFit="1" customWidth="1"/>
    <col min="8" max="8" width="16.125" style="12" bestFit="1" customWidth="1"/>
    <col min="9" max="9" width="8.875" style="10" customWidth="1"/>
    <col min="10" max="10" width="17.875" style="10" bestFit="1" customWidth="1"/>
    <col min="11" max="11" width="16.125" style="10" bestFit="1" customWidth="1"/>
    <col min="12" max="12" width="9.75" style="10" bestFit="1" customWidth="1"/>
    <col min="13" max="13" width="13.625" style="13" bestFit="1" customWidth="1"/>
    <col min="14" max="14" width="9.75" style="10" bestFit="1" customWidth="1"/>
    <col min="15" max="15" width="9.75" style="10" customWidth="1"/>
    <col min="16" max="16" width="14" style="14" customWidth="1"/>
    <col min="17" max="20" width="14" style="12" customWidth="1"/>
    <col min="21" max="23" width="14" style="14" customWidth="1"/>
    <col min="24" max="24" width="14" style="12" customWidth="1"/>
    <col min="25" max="25" width="14" style="14" customWidth="1"/>
    <col min="26" max="16384" width="8.875" style="10"/>
  </cols>
  <sheetData>
    <row r="1" spans="1:25" ht="55.15" customHeight="1">
      <c r="K1" s="365" t="str">
        <f>"▣ Size : "&amp;W_O&amp;" x ("&amp;L1_O&amp;"+"&amp;L2_O&amp;"+"&amp;L3_O&amp;"+"&amp;L4_O&amp;") x"&amp;H_O&amp;"mH ="&amp;BASIC_TOOL!H11&amp;" [TON]/ 1[SET]"&amp;"         "</f>
        <v xml:space="preserve">▣ Size : 10 x (5+0+0+0) x3mH =150 [TON]/ 1[SET]         </v>
      </c>
      <c r="S1" s="946" t="str">
        <f>BASIC_TOOL!E13</f>
        <v>Use Partition
(1mx1m)</v>
      </c>
      <c r="T1" s="947" t="str">
        <f>BASIC_TOOL!E14</f>
        <v>NO</v>
      </c>
    </row>
    <row r="2" spans="1:25">
      <c r="D2" s="11"/>
      <c r="G2" s="11"/>
      <c r="H2" s="11"/>
      <c r="L2" s="10">
        <f>W_C</f>
        <v>10</v>
      </c>
      <c r="M2" s="13">
        <f>L1_C</f>
        <v>5</v>
      </c>
      <c r="N2" s="10">
        <f>L2_C</f>
        <v>0</v>
      </c>
      <c r="S2" s="12">
        <f>W_C+W_F-1+L_O_C+L_O_F-1-N_PA</f>
        <v>13</v>
      </c>
      <c r="T2" s="11"/>
      <c r="U2" s="15"/>
      <c r="V2" s="15"/>
      <c r="W2" s="15"/>
      <c r="X2" s="11"/>
      <c r="Y2" s="15"/>
    </row>
    <row r="3" spans="1:25">
      <c r="D3" s="11"/>
      <c r="E3" s="11"/>
      <c r="F3" s="11"/>
      <c r="G3" s="11"/>
      <c r="H3" s="11"/>
      <c r="T3" s="16"/>
      <c r="U3" s="11"/>
      <c r="V3" s="11"/>
      <c r="W3" s="17"/>
      <c r="X3" s="16"/>
      <c r="Y3" s="17"/>
    </row>
    <row r="4" spans="1:25">
      <c r="D4" s="16"/>
      <c r="E4" s="16"/>
      <c r="F4" s="16"/>
      <c r="G4" s="16"/>
      <c r="H4" s="16"/>
      <c r="S4" s="18" t="s">
        <v>426</v>
      </c>
      <c r="T4" s="16"/>
      <c r="U4" s="11"/>
      <c r="V4" s="11"/>
      <c r="W4" s="17"/>
      <c r="X4" s="16"/>
      <c r="Y4" s="17"/>
    </row>
    <row r="5" spans="1:25">
      <c r="B5" s="10" t="s">
        <v>318</v>
      </c>
      <c r="D5" s="16"/>
      <c r="E5" s="11"/>
      <c r="F5" s="19" t="s">
        <v>310</v>
      </c>
      <c r="G5" s="16"/>
      <c r="H5" s="16"/>
      <c r="P5" s="10"/>
      <c r="Q5" s="10"/>
      <c r="R5" s="10"/>
      <c r="S5" s="923"/>
      <c r="T5" s="10"/>
      <c r="U5" s="10"/>
      <c r="V5" s="10"/>
      <c r="W5" s="10"/>
      <c r="X5" s="10"/>
      <c r="Y5" s="10"/>
    </row>
    <row r="6" spans="1:25" s="20" customFormat="1" ht="21.75" customHeight="1">
      <c r="B6" s="21">
        <f>BASIC_TOOL!C23</f>
        <v>3</v>
      </c>
      <c r="D6" s="1614" t="s">
        <v>396</v>
      </c>
      <c r="E6" s="1614"/>
      <c r="F6" s="1614" t="s">
        <v>397</v>
      </c>
      <c r="G6" s="1614"/>
      <c r="H6" s="1614" t="s">
        <v>398</v>
      </c>
      <c r="I6" s="1614"/>
      <c r="J6" s="179"/>
      <c r="K6" s="512"/>
      <c r="L6" s="512">
        <f>IF(BASIC_TOOL!$C$23=1,M6,IF(BASIC_TOOL!$C$23=2,N6,IF(BASIC_TOOL!$C$23=3,O6)))</f>
        <v>0</v>
      </c>
      <c r="M6" s="511"/>
      <c r="N6" s="924"/>
      <c r="O6" s="924"/>
      <c r="P6" s="925"/>
      <c r="Q6" s="925"/>
      <c r="R6" s="925"/>
      <c r="S6" s="925"/>
      <c r="T6" s="925"/>
      <c r="U6" s="926"/>
      <c r="V6" s="512"/>
      <c r="W6" s="512"/>
      <c r="X6" s="512"/>
      <c r="Y6" s="512"/>
    </row>
    <row r="7" spans="1:25" s="20" customFormat="1" ht="56.25" thickBot="1">
      <c r="A7" s="127"/>
      <c r="B7" s="131" t="s">
        <v>308</v>
      </c>
      <c r="C7" s="131" t="s">
        <v>309</v>
      </c>
      <c r="D7" s="131" t="s">
        <v>308</v>
      </c>
      <c r="E7" s="131" t="s">
        <v>309</v>
      </c>
      <c r="F7" s="131" t="s">
        <v>308</v>
      </c>
      <c r="G7" s="131" t="s">
        <v>309</v>
      </c>
      <c r="H7" s="131" t="s">
        <v>308</v>
      </c>
      <c r="I7" s="131" t="s">
        <v>309</v>
      </c>
      <c r="J7" s="179"/>
      <c r="K7" s="126"/>
      <c r="L7" s="126" t="str">
        <f>IF(BASIC_TOOL!$C$23=1,M7,IF(BASIC_TOOL!$C$23=2,N7,IF(BASIC_TOOL!$C$23=3,O7)))</f>
        <v>Type3</v>
      </c>
      <c r="M7" s="511" t="s">
        <v>399</v>
      </c>
      <c r="N7" s="512" t="s">
        <v>400</v>
      </c>
      <c r="O7" s="512" t="s">
        <v>401</v>
      </c>
      <c r="P7" s="512" t="s">
        <v>434</v>
      </c>
      <c r="Q7" s="926" t="s">
        <v>435</v>
      </c>
      <c r="R7" s="926" t="s">
        <v>436</v>
      </c>
      <c r="S7" s="926" t="s">
        <v>437</v>
      </c>
      <c r="T7" s="926" t="s">
        <v>438</v>
      </c>
      <c r="U7" s="926" t="s">
        <v>439</v>
      </c>
      <c r="V7" s="933" t="s">
        <v>1707</v>
      </c>
      <c r="W7" s="934" t="s">
        <v>1708</v>
      </c>
      <c r="X7" s="933" t="s">
        <v>1715</v>
      </c>
      <c r="Y7" s="945" t="s">
        <v>1716</v>
      </c>
    </row>
    <row r="8" spans="1:25">
      <c r="A8" s="128" t="str">
        <f>IF(B8="","",(VLOOKUP(B:B,'0.39'!B:F,5,FALSE)))</f>
        <v>F/L Reinforcing plate</v>
      </c>
      <c r="B8" s="128" t="str">
        <f>IF(BASIC_TOOL!$C$23=1,D8,IF(BASIC_TOOL!$C$23=2,F8,IF(BASIC_TOOL!$C$23=3,H8)))</f>
        <v>WFB-0950ZP</v>
      </c>
      <c r="C8" s="128">
        <f>IF(BASIC_TOOL!$C$23=1,E8,IF(BASIC_TOOL!$C$23=2,G8,IF(BASIC_TOOL!$C$23=3,I8)))</f>
        <v>64</v>
      </c>
      <c r="D8" s="129" t="str">
        <f t="array" ref="D8">IF( ISERROR(INDEX($K$8:$K$32,SMALL(IF($M$8:$M$32&lt;&gt;0,ROW($M$8:$M$32)-7),ROW(D1)))),"",INDEX($K$8:$K$32,SMALL(IF($M$8:$M$32&lt;&gt;0,ROW($M$8:$M$32)-7),ROW(D1))))</f>
        <v>WFB-0950ZP</v>
      </c>
      <c r="E8" s="129">
        <f t="array" ref="E8">IF(ISERROR(INDEX($M$8:$M$32,SMALL(IF($M$8:$M$32&lt;&gt;0,ROW($M$8:$M$32)-7),ROW(E1)))),"",INDEX($M$8:$M$32,SMALL(IF($M$8:$M$32&lt;&gt;0,ROW($M$8:$M$32)-7),ROW(E1))))</f>
        <v>64</v>
      </c>
      <c r="F8" s="129" t="str">
        <f t="array" ref="F8">IF(ISERROR(INDEX($K$8:$K$32,SMALL(IF($N$8:$N$32&lt;&gt;0,ROW($N$8:$N$32)-7),ROW(F1)))),"",INDEX($K$8:$K$32,SMALL(IF($N$8:$N$32&lt;&gt;0,ROW($N$8:$N$32)-7),ROW(F1))))</f>
        <v/>
      </c>
      <c r="G8" s="129" t="str">
        <f t="array" ref="G8">IF(ISERROR(INDEX($N$8:$N$32,SMALL(IF($N$8:$N$32&lt;&gt;0,ROW($N$8:$N$32)-7),ROW(G1)))),"",INDEX($N$8:$N$32,SMALL(IF($N$8:$N$32&lt;&gt;0,ROW($N$8:$N$32)-7),ROW(G1))))</f>
        <v/>
      </c>
      <c r="H8" s="129" t="str">
        <f t="array" ref="H8">IF(ISERROR(INDEX($K$8:$K$33,SMALL(IF($O$8:$O$33&lt;&gt;0,ROW($O$8:$O$33)-7),ROW(H1)))),"",INDEX($K$8:$K$33,SMALL(IF($O$8:$O$33&lt;&gt;0,ROW($O$8:$O$33)-7),ROW(H1))))</f>
        <v>WFB-0950ZP</v>
      </c>
      <c r="I8" s="130">
        <f t="array" ref="I8">IF(ISERROR(INDEX($O$8:$O$33,SMALL(IF($O$8:$O$33&lt;&gt;0,ROW($O$8:$O$33)-7),ROW(I1)))),"",INDEX($O$8:$O$33,SMALL(IF($O$8:$O$33&lt;&gt;0,ROW($O$8:$O$33)-7),ROW(I1))))</f>
        <v>64</v>
      </c>
      <c r="J8" s="1618" t="s">
        <v>306</v>
      </c>
      <c r="K8" s="927" t="s">
        <v>573</v>
      </c>
      <c r="L8" s="512">
        <f>IF(BASIC_TOOL!$C$23=1,M8,IF(BASIC_TOOL!$C$23=2,N8,IF(BASIC_TOOL!$C$23=3,O8)))</f>
        <v>0</v>
      </c>
      <c r="M8" s="915">
        <f t="shared" ref="M8:M13" si="0">P8+Q8+R8+S8+T8+U8+V8+X8+Y8</f>
        <v>0</v>
      </c>
      <c r="N8" s="915"/>
      <c r="O8" s="620">
        <f>P8+Q8+R8+S8+T8+X8+Y8+W8</f>
        <v>0</v>
      </c>
      <c r="P8" s="917"/>
      <c r="Q8" s="916">
        <f>IF(OR(H_O=4.5,H_O=5),(W_F+L1_F+L2_F+L3_F+L4_F)*2,0)</f>
        <v>0</v>
      </c>
      <c r="R8" s="619"/>
      <c r="S8" s="515"/>
      <c r="T8" s="515"/>
      <c r="U8" s="516"/>
      <c r="V8" s="516"/>
      <c r="W8" s="516"/>
      <c r="X8" s="515"/>
      <c r="Y8" s="516"/>
    </row>
    <row r="9" spans="1:25">
      <c r="A9" s="128" t="str">
        <f>IF(B9="","",(VLOOKUP(B:B,'0.39'!B:F,5,FALSE)))</f>
        <v>F/L Reinforcing Angle</v>
      </c>
      <c r="B9" s="128" t="str">
        <f>IF(BASIC_TOOL!$C$23=1,D9,IF(BASIC_TOOL!$C$23=2,F9,IF(BASIC_TOOL!$C$23=3,H9)))</f>
        <v>WFB-0950Z</v>
      </c>
      <c r="C9" s="128">
        <f>IF(BASIC_TOOL!$C$23=1,E9,IF(BASIC_TOOL!$C$23=2,G9,IF(BASIC_TOOL!$C$23=3,I9)))</f>
        <v>56</v>
      </c>
      <c r="D9" s="129" t="str">
        <f t="array" ref="D9">IF( ISERROR(INDEX($K$8:$K$32,SMALL(IF($M$8:$M$32&lt;&gt;0,ROW($M$8:$M$32)-7),ROW(D2)))),"",INDEX($K$8:$K$32,SMALL(IF($M$8:$M$32&lt;&gt;0,ROW($M$8:$M$32)-7),ROW(D2))))</f>
        <v>WFB-0950Z</v>
      </c>
      <c r="E9" s="129">
        <f t="array" ref="E9">IF(ISERROR(INDEX($M$8:$M$32,SMALL(IF($M$8:$M$32&lt;&gt;0,ROW($M$8:$M$32)-7),ROW(E2)))),"",INDEX($M$8:$M$32,SMALL(IF($M$8:$M$32&lt;&gt;0,ROW($M$8:$M$32)-7),ROW(E2))))</f>
        <v>56</v>
      </c>
      <c r="F9" s="129" t="str">
        <f t="array" ref="F9">IF(ISERROR(INDEX($K$8:$K$32,SMALL(IF($N$8:$N$32&lt;&gt;0,ROW($N$8:$N$32)-7),ROW(F2)))),"",INDEX($K$8:$K$32,SMALL(IF($N$8:$N$32&lt;&gt;0,ROW($N$8:$N$32)-7),ROW(F2))))</f>
        <v/>
      </c>
      <c r="G9" s="129" t="str">
        <f t="array" ref="G9">IF(ISERROR(INDEX($N$8:$N$32,SMALL(IF($N$8:$N$32&lt;&gt;0,ROW($N$8:$N$32)-7),ROW(G2)))),"",INDEX($N$8:$N$32,SMALL(IF($N$8:$N$32&lt;&gt;0,ROW($N$8:$N$32)-7),ROW(G2))))</f>
        <v/>
      </c>
      <c r="H9" s="129" t="str">
        <f t="array" ref="H9">IF(ISERROR(INDEX($K$8:$K$33,SMALL(IF($O$8:$O$33&lt;&gt;0,ROW($O$8:$O$33)-7),ROW(H2)))),"",INDEX($K$8:$K$33,SMALL(IF($O$8:$O$33&lt;&gt;0,ROW($O$8:$O$33)-7),ROW(H2))))</f>
        <v>WFB-0950Z</v>
      </c>
      <c r="I9" s="130">
        <f t="array" ref="I9">IF(ISERROR(INDEX($O$8:$O$33,SMALL(IF($O$8:$O$33&lt;&gt;0,ROW($O$8:$O$33)-7),ROW(I2)))),"",INDEX($O$8:$O$33,SMALL(IF($O$8:$O$33&lt;&gt;0,ROW($O$8:$O$33)-7),ROW(I2))))</f>
        <v>56</v>
      </c>
      <c r="J9" s="1615"/>
      <c r="K9" s="927" t="s">
        <v>574</v>
      </c>
      <c r="L9" s="512">
        <f>IF(BASIC_TOOL!$C$23=1,M9,IF(BASIC_TOOL!$C$23=2,N9,IF(BASIC_TOOL!$C$23=3,O9)))</f>
        <v>0</v>
      </c>
      <c r="M9" s="915">
        <f t="shared" si="0"/>
        <v>0</v>
      </c>
      <c r="N9" s="915"/>
      <c r="O9" s="620">
        <f>P9+Q9+R9+S9+T9+U9+V9+X9+Y9</f>
        <v>0</v>
      </c>
      <c r="P9" s="916">
        <f>IF(H_O&gt;1,(W_F+L1_F+L2_F+L3_F+L4_F)*2,0)+IF(H_O&gt;3.3,(W_F+L1_F+L2_F+L3_F+L4_F)*2,0)</f>
        <v>0</v>
      </c>
      <c r="Q9" s="517">
        <f>IF(OR(H_O=3.5,H_O=5,H_O=4,H_O=4.5),(W_F+L1_F+L2_F+L3_F+L4_F)*2,0)</f>
        <v>0</v>
      </c>
      <c r="R9" s="619"/>
      <c r="S9" s="517">
        <f>IF(H_O&gt;2,S5*2,0)</f>
        <v>0</v>
      </c>
      <c r="T9" s="619">
        <f>IF(H_O=4,(L1_F+L2_F+L3_F+L4_F)*(W_C+W_F-1)+W_F*(L1_C+L2_C+L3_C+L4_C+L1_F+L2_F+L3_F+L4_F-1),0)+IF(OR(H_O=4.5,H_O=5),((L1_F+L2_F+L3_F+L4_F)*(W_C+W_F-1)+W_F*(L1_C+L2_C+L3_C+L4_C+L1_F+L2_F+L3_F+L4_F-1))*2,0)</f>
        <v>0</v>
      </c>
      <c r="U9" s="516"/>
      <c r="V9" s="516"/>
      <c r="W9" s="516"/>
      <c r="X9" s="517">
        <f>W_F*N_PA</f>
        <v>0</v>
      </c>
      <c r="Y9" s="516">
        <f>IF(H_O=1.5,(N_PA)*2,0)+IF(H_O=2.5,(N_PA)*2,0)+IF(H_O=3.5,(N_PA)*2,0)+IF(H_O=4.5,(N_PA)*2,0)</f>
        <v>0</v>
      </c>
    </row>
    <row r="10" spans="1:25">
      <c r="A10" s="128" t="str">
        <f>IF(B10="","",(VLOOKUP(B:B,'0.39'!B:F,5,FALSE)))</f>
        <v>F/L Reinforcing Angle</v>
      </c>
      <c r="B10" s="128" t="str">
        <f>IF(BASIC_TOOL!$C$23=1,D10,IF(BASIC_TOOL!$C$23=2,F10,IF(BASIC_TOOL!$C$23=3,H10)))</f>
        <v>WFB-1200Z</v>
      </c>
      <c r="C10" s="128">
        <f>IF(BASIC_TOOL!$C$23=1,E10,IF(BASIC_TOOL!$C$23=2,G10,IF(BASIC_TOOL!$C$23=3,I10)))</f>
        <v>26</v>
      </c>
      <c r="D10" s="129" t="str">
        <f t="array" ref="D10">IF( ISERROR(INDEX($K$8:$K$32,SMALL(IF($M$8:$M$32&lt;&gt;0,ROW($M$8:$M$32)-7),ROW(D3)))),"",INDEX($K$8:$K$32,SMALL(IF($M$8:$M$32&lt;&gt;0,ROW($M$8:$M$32)-7),ROW(D3))))</f>
        <v>WFB-1200Z</v>
      </c>
      <c r="E10" s="129">
        <f t="array" ref="E10">IF(ISERROR(INDEX($M$8:$M$32,SMALL(IF($M$8:$M$32&lt;&gt;0,ROW($M$8:$M$32)-7),ROW(E3)))),"",INDEX($M$8:$M$32,SMALL(IF($M$8:$M$32&lt;&gt;0,ROW($M$8:$M$32)-7),ROW(E3))))</f>
        <v>26</v>
      </c>
      <c r="F10" s="129" t="str">
        <f t="array" ref="F10">IF(ISERROR(INDEX($K$8:$K$32,SMALL(IF($N$8:$N$32&lt;&gt;0,ROW($N$8:$N$32)-7),ROW(F3)))),"",INDEX($K$8:$K$32,SMALL(IF($N$8:$N$32&lt;&gt;0,ROW($N$8:$N$32)-7),ROW(F3))))</f>
        <v/>
      </c>
      <c r="G10" s="129" t="str">
        <f t="array" ref="G10">IF(ISERROR(INDEX($N$8:$N$32,SMALL(IF($N$8:$N$32&lt;&gt;0,ROW($N$8:$N$32)-7),ROW(G3)))),"",INDEX($N$8:$N$32,SMALL(IF($N$8:$N$32&lt;&gt;0,ROW($N$8:$N$32)-7),ROW(G3))))</f>
        <v/>
      </c>
      <c r="H10" s="129" t="str">
        <f t="array" ref="H10">IF(ISERROR(INDEX($K$8:$K$33,SMALL(IF($O$8:$O$33&lt;&gt;0,ROW($O$8:$O$33)-7),ROW(H3)))),"",INDEX($K$8:$K$33,SMALL(IF($O$8:$O$33&lt;&gt;0,ROW($O$8:$O$33)-7),ROW(H3))))</f>
        <v>WFB-1200Z</v>
      </c>
      <c r="I10" s="130">
        <f t="array" ref="I10">IF(ISERROR(INDEX($O$8:$O$33,SMALL(IF($O$8:$O$33&lt;&gt;0,ROW($O$8:$O$33)-7),ROW(I3)))),"",INDEX($O$8:$O$33,SMALL(IF($O$8:$O$33&lt;&gt;0,ROW($O$8:$O$33)-7),ROW(I3))))</f>
        <v>26</v>
      </c>
      <c r="J10" s="1615"/>
      <c r="K10" s="927" t="s">
        <v>575</v>
      </c>
      <c r="L10" s="512">
        <f>IF(BASIC_TOOL!$C$23=1,M10,IF(BASIC_TOOL!$C$23=2,N10,IF(BASIC_TOOL!$C$23=3,O10)))</f>
        <v>0</v>
      </c>
      <c r="M10" s="915">
        <f t="shared" si="0"/>
        <v>0</v>
      </c>
      <c r="N10" s="915"/>
      <c r="O10" s="620">
        <f>P10+Q10+R10+S10+T10+U10+V10+X10+Y10</f>
        <v>0</v>
      </c>
      <c r="P10" s="917"/>
      <c r="Q10" s="916">
        <f>IF(OR(H_O=1.5,H_O=2),(W_F+L1_F+L2_F+L3_F+L4_F)*2,0)+IF(OR(H_O=2.5,H_O=3),(W_F+L1_F+L2_F+L3_F+L4_F)*2*2,0)+IF(OR(H_O=3.5,H_O=4),(W_F+L1_F+L2_F+L3_F+L4_F)*2*3)+IF(OR(H_O=4.5,H_O=5),(W_F+L1_F+L2_F+L3_F+L4_F)*2*4)</f>
        <v>0</v>
      </c>
      <c r="R10" s="619"/>
      <c r="S10" s="515"/>
      <c r="T10" s="515"/>
      <c r="U10" s="516">
        <f>IF(BASIC_TOOL!D15=1,
                                IF(OR(H_O=1.5,H_O=2.5),((W_C+W_F-1)+(L_O_C+L_O_F-1))*2,0)
                              +IF(OR(H_O=3.5,H_O=4.5),((W_C+W_F-1)+(L_O_C+L_O_F-1))*2,0),0)</f>
        <v>0</v>
      </c>
      <c r="V10" s="516"/>
      <c r="W10" s="516"/>
      <c r="X10" s="515"/>
      <c r="Y10" s="516"/>
    </row>
    <row r="11" spans="1:25">
      <c r="A11" s="128" t="str">
        <f>IF(B11="","",(VLOOKUP(B:B,'0.39'!B:F,5,FALSE)))</f>
        <v>Corner Frame</v>
      </c>
      <c r="B11" s="128" t="str">
        <f>IF(BASIC_TOOL!$C$23=1,D11,IF(BASIC_TOOL!$C$23=2,F11,IF(BASIC_TOOL!$C$23=3,H11)))</f>
        <v>WCF-1000Z</v>
      </c>
      <c r="C11" s="128">
        <f>IF(BASIC_TOOL!$C$23=1,E11,IF(BASIC_TOOL!$C$23=2,G11,IF(BASIC_TOOL!$C$23=3,I11)))</f>
        <v>4</v>
      </c>
      <c r="D11" s="129" t="str">
        <f t="array" ref="D11">IF( ISERROR(INDEX($K$8:$K$32,SMALL(IF($M$8:$M$32&lt;&gt;0,ROW($M$8:$M$32)-7),ROW(D4)))),"",INDEX($K$8:$K$32,SMALL(IF($M$8:$M$32&lt;&gt;0,ROW($M$8:$M$32)-7),ROW(D4))))</f>
        <v>WCF-1000Z</v>
      </c>
      <c r="E11" s="129">
        <f t="array" ref="E11">IF(ISERROR(INDEX($M$8:$M$32,SMALL(IF($M$8:$M$32&lt;&gt;0,ROW($M$8:$M$32)-7),ROW(E4)))),"",INDEX($M$8:$M$32,SMALL(IF($M$8:$M$32&lt;&gt;0,ROW($M$8:$M$32)-7),ROW(E4))))</f>
        <v>4</v>
      </c>
      <c r="F11" s="129" t="str">
        <f t="array" ref="F11">IF(ISERROR(INDEX($K$8:$K$32,SMALL(IF($N$8:$N$32&lt;&gt;0,ROW($N$8:$N$32)-7),ROW(F4)))),"",INDEX($K$8:$K$32,SMALL(IF($N$8:$N$32&lt;&gt;0,ROW($N$8:$N$32)-7),ROW(F4))))</f>
        <v/>
      </c>
      <c r="G11" s="129" t="str">
        <f t="array" ref="G11">IF(ISERROR(INDEX($N$8:$N$32,SMALL(IF($N$8:$N$32&lt;&gt;0,ROW($N$8:$N$32)-7),ROW(G4)))),"",INDEX($N$8:$N$32,SMALL(IF($N$8:$N$32&lt;&gt;0,ROW($N$8:$N$32)-7),ROW(G4))))</f>
        <v/>
      </c>
      <c r="H11" s="129" t="str">
        <f t="array" ref="H11">IF(ISERROR(INDEX($K$8:$K$33,SMALL(IF($O$8:$O$33&lt;&gt;0,ROW($O$8:$O$33)-7),ROW(H4)))),"",INDEX($K$8:$K$33,SMALL(IF($O$8:$O$33&lt;&gt;0,ROW($O$8:$O$33)-7),ROW(H4))))</f>
        <v>WCF-1000Z</v>
      </c>
      <c r="I11" s="130">
        <f t="array" ref="I11">IF(ISERROR(INDEX($O$8:$O$33,SMALL(IF($O$8:$O$33&lt;&gt;0,ROW($O$8:$O$33)-7),ROW(I4)))),"",INDEX($O$8:$O$33,SMALL(IF($O$8:$O$33&lt;&gt;0,ROW($O$8:$O$33)-7),ROW(I4))))</f>
        <v>4</v>
      </c>
      <c r="J11" s="1615"/>
      <c r="K11" s="927" t="s">
        <v>576</v>
      </c>
      <c r="L11" s="512">
        <f>IF(BASIC_TOOL!$C$23=1,M11,IF(BASIC_TOOL!$C$23=2,N11,IF(BASIC_TOOL!$C$23=3,O11)))</f>
        <v>0</v>
      </c>
      <c r="M11" s="915">
        <f t="shared" si="0"/>
        <v>0</v>
      </c>
      <c r="N11" s="915"/>
      <c r="O11" s="620">
        <f>P11+Q11+R11+S11+T11+U11+V11+X11+Y11</f>
        <v>0</v>
      </c>
      <c r="P11" s="916"/>
      <c r="Q11" s="517">
        <f>IF(OR(H_O=4.5,H_O=5),(W_C+L1_C+L2_C+L3_C+L4_C)*2,0)</f>
        <v>0</v>
      </c>
      <c r="R11" s="619"/>
      <c r="S11" s="517">
        <f>IF(OR(H_O=3.5,H_O=4),S5*1,0)+IF(OR(H_O=3.5,H_O=4),S5*1,0)*N_PA</f>
        <v>0</v>
      </c>
      <c r="T11" s="515"/>
      <c r="U11" s="917">
        <f>IF(OR(H_O=4,H_O=4.5),((W_C+W_F-1)+(L1_C+L2_C+L3_C+L4_C+L1_F+L2_F+L3_F+L4_F-1))*2,0)+IF(H_O=5,((W_C+W_F-1)+(L1_C+L2_C+L3_C+L4_C+L1_F+L2_F+L3_F+L4_F-1))*2*2,0)</f>
        <v>0</v>
      </c>
      <c r="V11" s="516"/>
      <c r="W11" s="516"/>
      <c r="X11" s="515"/>
      <c r="Y11" s="516"/>
    </row>
    <row r="12" spans="1:25">
      <c r="A12" s="128" t="str">
        <f>IF(B12="","",(VLOOKUP(B:B,'0.39'!B:F,5,FALSE)))</f>
        <v>Corner Frame</v>
      </c>
      <c r="B12" s="128" t="str">
        <f>IF(BASIC_TOOL!$C$23=1,D12,IF(BASIC_TOOL!$C$23=2,F12,IF(BASIC_TOOL!$C$23=3,H12)))</f>
        <v>WCF-2000Z</v>
      </c>
      <c r="C12" s="128">
        <f>IF(BASIC_TOOL!$C$23=1,E12,IF(BASIC_TOOL!$C$23=2,G12,IF(BASIC_TOOL!$C$23=3,I12)))</f>
        <v>4</v>
      </c>
      <c r="D12" s="129" t="str">
        <f t="array" ref="D12">IF( ISERROR(INDEX($K$8:$K$32,SMALL(IF($M$8:$M$32&lt;&gt;0,ROW($M$8:$M$32)-7),ROW(D5)))),"",INDEX($K$8:$K$32,SMALL(IF($M$8:$M$32&lt;&gt;0,ROW($M$8:$M$32)-7),ROW(D5))))</f>
        <v>WCF-2000Z</v>
      </c>
      <c r="E12" s="129">
        <f t="array" ref="E12">IF(ISERROR(INDEX($M$8:$M$32,SMALL(IF($M$8:$M$32&lt;&gt;0,ROW($M$8:$M$32)-7),ROW(E5)))),"",INDEX($M$8:$M$32,SMALL(IF($M$8:$M$32&lt;&gt;0,ROW($M$8:$M$32)-7),ROW(E5))))</f>
        <v>4</v>
      </c>
      <c r="F12" s="129" t="str">
        <f t="array" ref="F12">IF(ISERROR(INDEX($K$8:$K$32,SMALL(IF($N$8:$N$32&lt;&gt;0,ROW($N$8:$N$32)-7),ROW(F5)))),"",INDEX($K$8:$K$32,SMALL(IF($N$8:$N$32&lt;&gt;0,ROW($N$8:$N$32)-7),ROW(F5))))</f>
        <v/>
      </c>
      <c r="G12" s="129" t="str">
        <f t="array" ref="G12">IF(ISERROR(INDEX($N$8:$N$32,SMALL(IF($N$8:$N$32&lt;&gt;0,ROW($N$8:$N$32)-7),ROW(G5)))),"",INDEX($N$8:$N$32,SMALL(IF($N$8:$N$32&lt;&gt;0,ROW($N$8:$N$32)-7),ROW(G5))))</f>
        <v/>
      </c>
      <c r="H12" s="129" t="str">
        <f t="array" ref="H12">IF(ISERROR(INDEX($K$8:$K$33,SMALL(IF($O$8:$O$33&lt;&gt;0,ROW($O$8:$O$33)-7),ROW(H5)))),"",INDEX($K$8:$K$33,SMALL(IF($O$8:$O$33&lt;&gt;0,ROW($O$8:$O$33)-7),ROW(H5))))</f>
        <v>WCF-2000Z</v>
      </c>
      <c r="I12" s="130">
        <f t="array" ref="I12">IF(ISERROR(INDEX($O$8:$O$33,SMALL(IF($O$8:$O$33&lt;&gt;0,ROW($O$8:$O$33)-7),ROW(I5)))),"",INDEX($O$8:$O$33,SMALL(IF($O$8:$O$33&lt;&gt;0,ROW($O$8:$O$33)-7),ROW(I5))))</f>
        <v>4</v>
      </c>
      <c r="J12" s="1615"/>
      <c r="K12" s="927" t="s">
        <v>577</v>
      </c>
      <c r="L12" s="512">
        <f>IF(BASIC_TOOL!$C$23=1,M12,IF(BASIC_TOOL!$C$23=2,N12,IF(BASIC_TOOL!$C$23=3,O12)))</f>
        <v>64</v>
      </c>
      <c r="M12" s="915">
        <f t="shared" si="0"/>
        <v>64</v>
      </c>
      <c r="N12" s="915"/>
      <c r="O12" s="620">
        <f>P12+Q12+R12+S12+T12+U12+V12+X12+Y12</f>
        <v>64</v>
      </c>
      <c r="P12" s="916">
        <f>IF(H_O&gt;1.3,(W_C+L1_C+L2_C+L3_C+L4_C)*2,0)+IF(H_O&gt;4.3,(W_C+L1_C+L2_C+L3_C+L4_C)*2,0)</f>
        <v>30</v>
      </c>
      <c r="Q12" s="517">
        <f>IF(OR(H_O=3.5,H_O=4,H_O=4.5,H_O=5),(W_C+L1_C+L2_C+L3_C+L4_C)*2,0)</f>
        <v>0</v>
      </c>
      <c r="R12" s="619">
        <f>IF(OR(H_O=3.5,H_O=3),4*2,0)+IF(OR(H_O=4,H_O=4.5),4*2*2,0)+IF(OR(H_O=5),4*3*2,0)</f>
        <v>8</v>
      </c>
      <c r="S12" s="517">
        <f>IF(OR(H_O=3,H_O=3.5,H_O=4),1*S5,0)</f>
        <v>0</v>
      </c>
      <c r="T12" s="619">
        <f>IF(OR(H_O=4.5,H_O=5),(W_C*(L1_C+L2_C+L3_C+L4_C+L1_F+L2_F+L3_F+L4_F-1)+(L1_C+L2_C+L3_C+L4_C)*(W_C+W_F-1))*2,0)</f>
        <v>0</v>
      </c>
      <c r="U12" s="917">
        <f>IF(OR(H_O=3,H_O=3.5,H_O=4,H_O=4.5,H_O=5),((W_C+W_F-1)+(L1_C+L1_F+L2_C+L2_F+L3_C+L3_F+L4_C+L4_F-1))*2,0)</f>
        <v>26</v>
      </c>
      <c r="V12" s="516"/>
      <c r="W12" s="516"/>
      <c r="X12" s="516">
        <f>IF(H_O&gt;1,W_C*N_PA,0)</f>
        <v>0</v>
      </c>
      <c r="Y12" s="516">
        <f>IF(BASIC_TOOL!E15=0,
+IF(H_O=2.5,(N_PA)*2,0)
+IF(H_O=3,(N_PA)*4,0)
+IF(H_O=3.5,(N_PA)*4,0)
+IF(H_O=4,(N_PA)*6,0)
+IF(H_O=4.5,(N_PA)*6,0)
+IF(H_O=5,(N_PA)*8,0)
+IF(H_O=2,(N_PA)*2,0)
+IF(H_O=1.5,2*N_PA,0),0)
+IF(BASIC_TOOL!E15=1,
  IF(H_O=1.5,(N_PA)*2,0)
+ IF(H_O=3,(N_PA)*2,0)
+IF(H_O=3.5,(N_PA)*2,0)
+IF(H_O=4,(N_PA)*4,0)
+IF(H_O=4.5,(N_PA)*4,0)
+IF(H_O=5,(N_PA)*6,0),0)</f>
        <v>0</v>
      </c>
    </row>
    <row r="13" spans="1:25">
      <c r="A13" s="128" t="str">
        <f>IF(B13="","",(VLOOKUP(B:B,'0.39'!B:F,5,FALSE)))</f>
        <v>Cross Plate BKT(2 Hole)</v>
      </c>
      <c r="B13" s="128" t="str">
        <f>IF(BASIC_TOOL!$C$23=1,D13,IF(BASIC_TOOL!$C$23=2,F13,IF(BASIC_TOOL!$C$23=3,H13)))</f>
        <v>WCP-1780Z</v>
      </c>
      <c r="C13" s="128">
        <f>IF(BASIC_TOOL!$C$23=1,E13,IF(BASIC_TOOL!$C$23=2,G13,IF(BASIC_TOOL!$C$23=3,I13)))</f>
        <v>34</v>
      </c>
      <c r="D13" s="129" t="str">
        <f t="array" ref="D13">IF( ISERROR(INDEX($K$8:$K$32,SMALL(IF($M$8:$M$32&lt;&gt;0,ROW($M$8:$M$32)-7),ROW(D6)))),"",INDEX($K$8:$K$32,SMALL(IF($M$8:$M$32&lt;&gt;0,ROW($M$8:$M$32)-7),ROW(D6))))</f>
        <v>WCP-1780Z</v>
      </c>
      <c r="E13" s="129">
        <f t="array" ref="E13">IF(ISERROR(INDEX($M$8:$M$32,SMALL(IF($M$8:$M$32&lt;&gt;0,ROW($M$8:$M$32)-7),ROW(E6)))),"",INDEX($M$8:$M$32,SMALL(IF($M$8:$M$32&lt;&gt;0,ROW($M$8:$M$32)-7),ROW(E6))))</f>
        <v>34</v>
      </c>
      <c r="F13" s="129" t="str">
        <f t="array" ref="F13">IF(ISERROR(INDEX($K$8:$K$32,SMALL(IF($N$8:$N$32&lt;&gt;0,ROW($N$8:$N$32)-7),ROW(F6)))),"",INDEX($K$8:$K$32,SMALL(IF($N$8:$N$32&lt;&gt;0,ROW($N$8:$N$32)-7),ROW(F6))))</f>
        <v/>
      </c>
      <c r="G13" s="129" t="str">
        <f t="array" ref="G13">IF(ISERROR(INDEX($N$8:$N$32,SMALL(IF($N$8:$N$32&lt;&gt;0,ROW($N$8:$N$32)-7),ROW(G6)))),"",INDEX($N$8:$N$32,SMALL(IF($N$8:$N$32&lt;&gt;0,ROW($N$8:$N$32)-7),ROW(G6))))</f>
        <v/>
      </c>
      <c r="H13" s="129" t="str">
        <f t="array" ref="H13">IF(ISERROR(INDEX($K$8:$K$33,SMALL(IF($O$8:$O$33&lt;&gt;0,ROW($O$8:$O$33)-7),ROW(H6)))),"",INDEX($K$8:$K$33,SMALL(IF($O$8:$O$33&lt;&gt;0,ROW($O$8:$O$33)-7),ROW(H6))))</f>
        <v>WCP-1780Z</v>
      </c>
      <c r="I13" s="130">
        <f t="array" ref="I13">IF(ISERROR(INDEX($O$8:$O$33,SMALL(IF($O$8:$O$33&lt;&gt;0,ROW($O$8:$O$33)-7),ROW(I6)))),"",INDEX($O$8:$O$33,SMALL(IF($O$8:$O$33&lt;&gt;0,ROW($O$8:$O$33)-7),ROW(I6))))</f>
        <v>34</v>
      </c>
      <c r="J13" s="1615"/>
      <c r="K13" s="927" t="s">
        <v>578</v>
      </c>
      <c r="L13" s="512">
        <f>IF(BASIC_TOOL!$C$23=1,M13,IF(BASIC_TOOL!$C$23=2,N13,IF(BASIC_TOOL!$C$23=3,O13)))</f>
        <v>56</v>
      </c>
      <c r="M13" s="915">
        <f t="shared" si="0"/>
        <v>56</v>
      </c>
      <c r="N13" s="915"/>
      <c r="O13" s="620">
        <f>P13+Q13+R13+S13+T13+U13+V13+X13+Y13</f>
        <v>56</v>
      </c>
      <c r="P13" s="917"/>
      <c r="Q13" s="517">
        <f>IF(OR(H_O=2.5,H_O=3),(W_C+L1_C+L2_C+L3_C+L4_C)*2,0)+IF(OR(H_O=3.5,H_O=4),(W_C+L1_C+L2_C+L3_C+L4_C)*2*2,0)+IF(OR(H_O=4.5,H_O=5),(W_C+L1_C+L2_C+L3_C+L4_C)*2*3,0)                   +IF(BASIC_TOOL!D15=1,  (W_C+L1_C+L2_C+L3_C+L4_C)*2,0)</f>
        <v>30</v>
      </c>
      <c r="R13" s="619"/>
      <c r="S13" s="517">
        <f>IF(H_O&gt;2.3,$S$5,0)</f>
        <v>0</v>
      </c>
      <c r="T13" s="515"/>
      <c r="U13" s="516">
        <f xml:space="preserve"> IF(OR(H_O=2.5,H_O=3),((W_C+W_F-1)+(L1_C+L1_F+L2_C+L2_F+L3_C+L3_F+L4_C+L4_F-1))*2,0)
 +IF(OR(H_O=3.5,H_O=4),          ((W_C+W_F-1)+(L1_C+L1_F+L2_C+L2_F+L3_C+L3_F+L4_C+L4_F-1))*2*2,0)
+IF(OR(H_O=4.5,H_O=5),           ((W_C+W_F-1)+(L1_C+L1_F+L2_C+L2_F+L3_C+L3_F+L4_C+L4_F-1))*2*3,0)
+IF(BASIC_TOOL!D15=1,
                          IF(OR(H_O=2,H_O=3,H_O=4,H_O=5),     ((W_C+W_F-1)+(L1_C+L1_F+L2_C+L2_F+L3_C+L3_F+L4_C+L4_F-1))*2,0),0)</f>
        <v>26</v>
      </c>
      <c r="V13" s="516"/>
      <c r="W13" s="516"/>
      <c r="X13" s="515"/>
      <c r="Y13" s="516"/>
    </row>
    <row r="14" spans="1:25">
      <c r="A14" s="128" t="str">
        <f>IF(B14="","",(VLOOKUP(B:B,'0.39'!B:F,5,FALSE)))</f>
        <v>Cross Plate BKT(4 Hole)</v>
      </c>
      <c r="B14" s="128" t="str">
        <f>IF(BASIC_TOOL!$C$23=1,D14,IF(BASIC_TOOL!$C$23=2,F14,IF(BASIC_TOOL!$C$23=3,H14)))</f>
        <v>WCP-1616Z</v>
      </c>
      <c r="C14" s="128">
        <f>IF(BASIC_TOOL!$C$23=1,E14,IF(BASIC_TOOL!$C$23=2,G14,IF(BASIC_TOOL!$C$23=3,I14)))</f>
        <v>26</v>
      </c>
      <c r="D14" s="129" t="str">
        <f t="array" ref="D14">IF( ISERROR(INDEX($K$8:$K$32,SMALL(IF($M$8:$M$32&lt;&gt;0,ROW($M$8:$M$32)-7),ROW(D7)))),"",INDEX($K$8:$K$32,SMALL(IF($M$8:$M$32&lt;&gt;0,ROW($M$8:$M$32)-7),ROW(D7))))</f>
        <v>WCP-1616Z</v>
      </c>
      <c r="E14" s="129">
        <f t="array" ref="E14">IF(ISERROR(INDEX($M$8:$M$32,SMALL(IF($M$8:$M$32&lt;&gt;0,ROW($M$8:$M$32)-7),ROW(E7)))),"",INDEX($M$8:$M$32,SMALL(IF($M$8:$M$32&lt;&gt;0,ROW($M$8:$M$32)-7),ROW(E7))))</f>
        <v>26</v>
      </c>
      <c r="F14" s="129" t="str">
        <f t="array" ref="F14">IF(ISERROR(INDEX($K$8:$K$32,SMALL(IF($N$8:$N$32&lt;&gt;0,ROW($N$8:$N$32)-7),ROW(F7)))),"",INDEX($K$8:$K$32,SMALL(IF($N$8:$N$32&lt;&gt;0,ROW($N$8:$N$32)-7),ROW(F7))))</f>
        <v/>
      </c>
      <c r="G14" s="129" t="str">
        <f t="array" ref="G14">IF(ISERROR(INDEX($N$8:$N$32,SMALL(IF($N$8:$N$32&lt;&gt;0,ROW($N$8:$N$32)-7),ROW(G7)))),"",INDEX($N$8:$N$32,SMALL(IF($N$8:$N$32&lt;&gt;0,ROW($N$8:$N$32)-7),ROW(G7))))</f>
        <v/>
      </c>
      <c r="H14" s="129" t="str">
        <f t="array" ref="H14">IF(ISERROR(INDEX($K$8:$K$33,SMALL(IF($O$8:$O$33&lt;&gt;0,ROW($O$8:$O$33)-7),ROW(H7)))),"",INDEX($K$8:$K$33,SMALL(IF($O$8:$O$33&lt;&gt;0,ROW($O$8:$O$33)-7),ROW(H7))))</f>
        <v>WCP-1616Z</v>
      </c>
      <c r="I14" s="130">
        <f t="array" ref="I14">IF(ISERROR(INDEX($O$8:$O$33,SMALL(IF($O$8:$O$33&lt;&gt;0,ROW($O$8:$O$33)-7),ROW(I7)))),"",INDEX($O$8:$O$33,SMALL(IF($O$8:$O$33&lt;&gt;0,ROW($O$8:$O$33)-7),ROW(I7))))</f>
        <v>26</v>
      </c>
      <c r="J14" s="1615"/>
      <c r="K14" s="927" t="s">
        <v>579</v>
      </c>
      <c r="L14" s="512">
        <f>IF(BASIC_TOOL!$C$23=1,M14,IF(BASIC_TOOL!$C$23=2,N14,IF(BASIC_TOOL!$C$23=3,O14)))</f>
        <v>0</v>
      </c>
      <c r="M14" s="915"/>
      <c r="N14" s="915"/>
      <c r="O14" s="620"/>
      <c r="P14" s="917"/>
      <c r="Q14" s="619"/>
      <c r="R14" s="619"/>
      <c r="S14" s="515"/>
      <c r="T14" s="515"/>
      <c r="U14" s="516"/>
      <c r="V14" s="516"/>
      <c r="W14" s="516"/>
      <c r="X14" s="515"/>
      <c r="Y14" s="619"/>
    </row>
    <row r="15" spans="1:25">
      <c r="A15" s="128" t="str">
        <f>IF(B15="","",(VLOOKUP(B:B,'0.39'!B:F,5,FALSE)))</f>
        <v/>
      </c>
      <c r="B15" s="128" t="str">
        <f>IF(BASIC_TOOL!$C$23=1,D15,IF(BASIC_TOOL!$C$23=2,F15,IF(BASIC_TOOL!$C$23=3,H15)))</f>
        <v/>
      </c>
      <c r="C15" s="128" t="str">
        <f>IF(BASIC_TOOL!$C$23=1,E15,IF(BASIC_TOOL!$C$23=2,G15,IF(BASIC_TOOL!$C$23=3,I15)))</f>
        <v/>
      </c>
      <c r="D15" s="129" t="str">
        <f t="array" ref="D15">IF( ISERROR(INDEX($K$8:$K$32,SMALL(IF($M$8:$M$32&lt;&gt;0,ROW($M$8:$M$32)-7),ROW(D8)))),"",INDEX($K$8:$K$32,SMALL(IF($M$8:$M$32&lt;&gt;0,ROW($M$8:$M$32)-7),ROW(D8))))</f>
        <v/>
      </c>
      <c r="E15" s="129" t="str">
        <f t="array" ref="E15">IF(ISERROR(INDEX($M$8:$M$32,SMALL(IF($M$8:$M$32&lt;&gt;0,ROW($M$8:$M$32)-7),ROW(E8)))),"",INDEX($M$8:$M$32,SMALL(IF($M$8:$M$32&lt;&gt;0,ROW($M$8:$M$32)-7),ROW(E8))))</f>
        <v/>
      </c>
      <c r="F15" s="129" t="str">
        <f t="array" ref="F15">IF(ISERROR(INDEX($K$8:$K$32,SMALL(IF($N$8:$N$32&lt;&gt;0,ROW($N$8:$N$32)-7),ROW(F8)))),"",INDEX($K$8:$K$32,SMALL(IF($N$8:$N$32&lt;&gt;0,ROW($N$8:$N$32)-7),ROW(F8))))</f>
        <v/>
      </c>
      <c r="G15" s="129" t="str">
        <f t="array" ref="G15">IF(ISERROR(INDEX($N$8:$N$32,SMALL(IF($N$8:$N$32&lt;&gt;0,ROW($N$8:$N$32)-7),ROW(G8)))),"",INDEX($N$8:$N$32,SMALL(IF($N$8:$N$32&lt;&gt;0,ROW($N$8:$N$32)-7),ROW(G8))))</f>
        <v/>
      </c>
      <c r="H15" s="129" t="str">
        <f t="array" ref="H15">IF(ISERROR(INDEX($K$8:$K$33,SMALL(IF($O$8:$O$33&lt;&gt;0,ROW($O$8:$O$33)-7),ROW(H8)))),"",INDEX($K$8:$K$33,SMALL(IF($O$8:$O$33&lt;&gt;0,ROW($O$8:$O$33)-7),ROW(H8))))</f>
        <v/>
      </c>
      <c r="I15" s="130" t="str">
        <f t="array" ref="I15">IF(ISERROR(INDEX($O$8:$O$33,SMALL(IF($O$8:$O$33&lt;&gt;0,ROW($O$8:$O$33)-7),ROW(I8)))),"",INDEX($O$8:$O$33,SMALL(IF($O$8:$O$33&lt;&gt;0,ROW($O$8:$O$33)-7),ROW(I8))))</f>
        <v/>
      </c>
      <c r="J15" s="1615"/>
      <c r="K15" s="927" t="s">
        <v>1750</v>
      </c>
      <c r="L15" s="512">
        <f>IF(BASIC_TOOL!$C$23=1,M15,IF(BASIC_TOOL!$C$23=2,N15,IF(BASIC_TOOL!$C$23=3,O15)))</f>
        <v>26</v>
      </c>
      <c r="M15" s="915">
        <f t="shared" ref="M15:M30" si="1">P15+Q15+R15+S15+T15+U15+V15+X15+Y15</f>
        <v>26</v>
      </c>
      <c r="N15" s="915"/>
      <c r="O15" s="620">
        <f t="shared" ref="O15:O33" si="2">P15+Q15+R15+S15+T15+U15+V15+X15+Y15</f>
        <v>26</v>
      </c>
      <c r="P15" s="917"/>
      <c r="Q15" s="619"/>
      <c r="R15" s="619"/>
      <c r="S15" s="515"/>
      <c r="T15" s="515"/>
      <c r="U15" s="516">
        <f>IF(BASIC_TOOL!D15=0,
                                IF(OR(H_O=1.5,H_O=2.5),((W_C+W_F-1)+(L_O_C+L_O_F-1))*2,0)
                              +IF(OR(H_O=3.5,H_O=4.5),((W_C+W_F-1)+(L_O_C+L_O_F-1))*2,0)
                              +IF(OR(H_O=2,H_O=3),((W_C+W_F-1)+(L_O_C+L_O_F-1))*2,0)
                              +IF(OR(H_O=4),((W_C+W_F-1)+(L_O_C+L_O_F-1))*2,0),0)</f>
        <v>26</v>
      </c>
      <c r="V15" s="516"/>
      <c r="W15" s="516"/>
      <c r="X15" s="515"/>
      <c r="Y15" s="619"/>
    </row>
    <row r="16" spans="1:25">
      <c r="A16" s="128" t="str">
        <f>IF(B16="","",(VLOOKUP(B:B,'0.39'!B:F,5,FALSE)))</f>
        <v/>
      </c>
      <c r="B16" s="128" t="str">
        <f>IF(BASIC_TOOL!$C$23=1,D16,IF(BASIC_TOOL!$C$23=2,F16,IF(BASIC_TOOL!$C$23=3,H16)))</f>
        <v/>
      </c>
      <c r="C16" s="128" t="str">
        <f>IF(BASIC_TOOL!$C$23=1,E16,IF(BASIC_TOOL!$C$23=2,G16,IF(BASIC_TOOL!$C$23=3,I16)))</f>
        <v/>
      </c>
      <c r="D16" s="129" t="str">
        <f t="array" ref="D16">IF( ISERROR(INDEX($K$8:$K$32,SMALL(IF($M$8:$M$32&lt;&gt;0,ROW($M$8:$M$32)-7),ROW(D9)))),"",INDEX($K$8:$K$32,SMALL(IF($M$8:$M$32&lt;&gt;0,ROW($M$8:$M$32)-7),ROW(D9))))</f>
        <v/>
      </c>
      <c r="E16" s="129" t="str">
        <f t="array" ref="E16">IF(ISERROR(INDEX($M$8:$M$32,SMALL(IF($M$8:$M$32&lt;&gt;0,ROW($M$8:$M$32)-7),ROW(E9)))),"",INDEX($M$8:$M$32,SMALL(IF($M$8:$M$32&lt;&gt;0,ROW($M$8:$M$32)-7),ROW(E9))))</f>
        <v/>
      </c>
      <c r="F16" s="129" t="str">
        <f t="array" ref="F16">IF(ISERROR(INDEX($K$8:$K$32,SMALL(IF($N$8:$N$32&lt;&gt;0,ROW($N$8:$N$32)-7),ROW(F9)))),"",INDEX($K$8:$K$32,SMALL(IF($N$8:$N$32&lt;&gt;0,ROW($N$8:$N$32)-7),ROW(F9))))</f>
        <v/>
      </c>
      <c r="G16" s="129" t="str">
        <f t="array" ref="G16">IF(ISERROR(INDEX($N$8:$N$32,SMALL(IF($N$8:$N$32&lt;&gt;0,ROW($N$8:$N$32)-7),ROW(G9)))),"",INDEX($N$8:$N$32,SMALL(IF($N$8:$N$32&lt;&gt;0,ROW($N$8:$N$32)-7),ROW(G9))))</f>
        <v/>
      </c>
      <c r="H16" s="129" t="str">
        <f t="array" ref="H16">IF(ISERROR(INDEX($K$8:$K$33,SMALL(IF($O$8:$O$33&lt;&gt;0,ROW($O$8:$O$33)-7),ROW(H9)))),"",INDEX($K$8:$K$33,SMALL(IF($O$8:$O$33&lt;&gt;0,ROW($O$8:$O$33)-7),ROW(H9))))</f>
        <v/>
      </c>
      <c r="I16" s="130" t="str">
        <f t="array" ref="I16">IF(ISERROR(INDEX($O$8:$O$33,SMALL(IF($O$8:$O$33&lt;&gt;0,ROW($O$8:$O$33)-7),ROW(I9)))),"",INDEX($O$8:$O$33,SMALL(IF($O$8:$O$33&lt;&gt;0,ROW($O$8:$O$33)-7),ROW(I9))))</f>
        <v/>
      </c>
      <c r="J16" s="1615"/>
      <c r="K16" s="927" t="s">
        <v>580</v>
      </c>
      <c r="L16" s="512">
        <f>IF(BASIC_TOOL!$C$23=1,M16,IF(BASIC_TOOL!$C$23=2,N16,IF(BASIC_TOOL!$C$23=3,O16)))</f>
        <v>0</v>
      </c>
      <c r="M16" s="915">
        <f t="shared" si="1"/>
        <v>0</v>
      </c>
      <c r="N16" s="915"/>
      <c r="O16" s="620">
        <f t="shared" si="2"/>
        <v>0</v>
      </c>
      <c r="P16" s="917"/>
      <c r="Q16" s="619"/>
      <c r="R16" s="619"/>
      <c r="S16" s="515"/>
      <c r="T16" s="515"/>
      <c r="U16" s="516"/>
      <c r="V16" s="516"/>
      <c r="W16" s="516"/>
      <c r="X16" s="515"/>
      <c r="Y16" s="516"/>
    </row>
    <row r="17" spans="1:25">
      <c r="A17" s="128" t="str">
        <f>IF(B17="","",(VLOOKUP(B:B,'0.39'!B:F,5,FALSE)))</f>
        <v/>
      </c>
      <c r="B17" s="128" t="str">
        <f>IF(BASIC_TOOL!$C$23=1,D17,IF(BASIC_TOOL!$C$23=2,F17,IF(BASIC_TOOL!$C$23=3,H17)))</f>
        <v/>
      </c>
      <c r="C17" s="128" t="str">
        <f>IF(BASIC_TOOL!$C$23=1,E17,IF(BASIC_TOOL!$C$23=2,G17,IF(BASIC_TOOL!$C$23=3,I17)))</f>
        <v/>
      </c>
      <c r="D17" s="129" t="str">
        <f t="array" ref="D17">IF( ISERROR(INDEX($K$8:$K$32,SMALL(IF($M$8:$M$32&lt;&gt;0,ROW($M$8:$M$32)-7),ROW(D10)))),"",INDEX($K$8:$K$32,SMALL(IF($M$8:$M$32&lt;&gt;0,ROW($M$8:$M$32)-7),ROW(D10))))</f>
        <v/>
      </c>
      <c r="E17" s="129" t="str">
        <f t="array" ref="E17">IF(ISERROR(INDEX($M$8:$M$32,SMALL(IF($M$8:$M$32&lt;&gt;0,ROW($M$8:$M$32)-7),ROW(E10)))),"",INDEX($M$8:$M$32,SMALL(IF($M$8:$M$32&lt;&gt;0,ROW($M$8:$M$32)-7),ROW(E10))))</f>
        <v/>
      </c>
      <c r="F17" s="129" t="str">
        <f t="array" ref="F17">IF(ISERROR(INDEX($K$8:$K$32,SMALL(IF($N$8:$N$32&lt;&gt;0,ROW($N$8:$N$32)-7),ROW(F10)))),"",INDEX($K$8:$K$32,SMALL(IF($N$8:$N$32&lt;&gt;0,ROW($N$8:$N$32)-7),ROW(F10))))</f>
        <v/>
      </c>
      <c r="G17" s="129" t="str">
        <f t="array" ref="G17">IF(ISERROR(INDEX($N$8:$N$32,SMALL(IF($N$8:$N$32&lt;&gt;0,ROW($N$8:$N$32)-7),ROW(G10)))),"",INDEX($N$8:$N$32,SMALL(IF($N$8:$N$32&lt;&gt;0,ROW($N$8:$N$32)-7),ROW(G10))))</f>
        <v/>
      </c>
      <c r="H17" s="129" t="str">
        <f t="array" ref="H17">IF(ISERROR(INDEX($K$8:$K$33,SMALL(IF($O$8:$O$33&lt;&gt;0,ROW($O$8:$O$33)-7),ROW(H10)))),"",INDEX($K$8:$K$33,SMALL(IF($O$8:$O$33&lt;&gt;0,ROW($O$8:$O$33)-7),ROW(H10))))</f>
        <v/>
      </c>
      <c r="I17" s="130" t="str">
        <f t="array" ref="I17">IF(ISERROR(INDEX($O$8:$O$33,SMALL(IF($O$8:$O$33&lt;&gt;0,ROW($O$8:$O$33)-7),ROW(I10)))),"",INDEX($O$8:$O$33,SMALL(IF($O$8:$O$33&lt;&gt;0,ROW($O$8:$O$33)-7),ROW(I10))))</f>
        <v/>
      </c>
      <c r="J17" s="1615"/>
      <c r="K17" s="927" t="s">
        <v>1706</v>
      </c>
      <c r="L17" s="512">
        <f>IF(BASIC_TOOL!$C$23=1,M17,IF(BASIC_TOOL!$C$23=2,N17,IF(BASIC_TOOL!$C$23=3,O17)))</f>
        <v>0</v>
      </c>
      <c r="M17" s="915">
        <f t="shared" si="1"/>
        <v>0</v>
      </c>
      <c r="N17" s="915"/>
      <c r="O17" s="620">
        <f t="shared" si="2"/>
        <v>0</v>
      </c>
      <c r="P17" s="919"/>
      <c r="Q17" s="676"/>
      <c r="R17" s="676"/>
      <c r="S17" s="515"/>
      <c r="T17" s="515"/>
      <c r="U17" s="516">
        <f>IF(OR(H_O=5),((W_C+W_F-1)+(L_O_C+L_O_F-1))*2,0)</f>
        <v>0</v>
      </c>
      <c r="V17" s="516"/>
      <c r="W17" s="516"/>
      <c r="X17" s="515"/>
      <c r="Y17" s="516"/>
    </row>
    <row r="18" spans="1:25">
      <c r="A18" s="128" t="str">
        <f>IF(B18="","",(VLOOKUP(B:B,'0.39'!B:F,5,FALSE)))</f>
        <v/>
      </c>
      <c r="B18" s="128" t="str">
        <f>IF(BASIC_TOOL!$C$23=1,D18,IF(BASIC_TOOL!$C$23=2,F18,IF(BASIC_TOOL!$C$23=3,H18)))</f>
        <v/>
      </c>
      <c r="C18" s="128" t="str">
        <f>IF(BASIC_TOOL!$C$23=1,E18,IF(BASIC_TOOL!$C$23=2,G18,IF(BASIC_TOOL!$C$23=3,I18)))</f>
        <v/>
      </c>
      <c r="D18" s="129" t="str">
        <f t="array" ref="D18">IF( ISERROR(INDEX($K$8:$K$32,SMALL(IF($M$8:$M$32&lt;&gt;0,ROW($M$8:$M$32)-7),ROW(D11)))),"",INDEX($K$8:$K$32,SMALL(IF($M$8:$M$32&lt;&gt;0,ROW($M$8:$M$32)-7),ROW(D11))))</f>
        <v/>
      </c>
      <c r="E18" s="129" t="str">
        <f t="array" ref="E18">IF(ISERROR(INDEX($M$8:$M$32,SMALL(IF($M$8:$M$32&lt;&gt;0,ROW($M$8:$M$32)-7),ROW(E11)))),"",INDEX($M$8:$M$32,SMALL(IF($M$8:$M$32&lt;&gt;0,ROW($M$8:$M$32)-7),ROW(E11))))</f>
        <v/>
      </c>
      <c r="F18" s="129" t="str">
        <f t="array" ref="F18">IF(ISERROR(INDEX($K$8:$K$32,SMALL(IF($N$8:$N$32&lt;&gt;0,ROW($N$8:$N$32)-7),ROW(F11)))),"",INDEX($K$8:$K$32,SMALL(IF($N$8:$N$32&lt;&gt;0,ROW($N$8:$N$32)-7),ROW(F11))))</f>
        <v/>
      </c>
      <c r="G18" s="129" t="str">
        <f t="array" ref="G18">IF(ISERROR(INDEX($N$8:$N$32,SMALL(IF($N$8:$N$32&lt;&gt;0,ROW($N$8:$N$32)-7),ROW(G11)))),"",INDEX($N$8:$N$32,SMALL(IF($N$8:$N$32&lt;&gt;0,ROW($N$8:$N$32)-7),ROW(G11))))</f>
        <v/>
      </c>
      <c r="H18" s="129" t="str">
        <f t="array" ref="H18">IF(ISERROR(INDEX($K$8:$K$33,SMALL(IF($O$8:$O$33&lt;&gt;0,ROW($O$8:$O$33)-7),ROW(H11)))),"",INDEX($K$8:$K$33,SMALL(IF($O$8:$O$33&lt;&gt;0,ROW($O$8:$O$33)-7),ROW(H11))))</f>
        <v/>
      </c>
      <c r="I18" s="130" t="str">
        <f t="array" ref="I18">IF(ISERROR(INDEX($O$8:$O$33,SMALL(IF($O$8:$O$33&lt;&gt;0,ROW($O$8:$O$33)-7),ROW(I11)))),"",INDEX($O$8:$O$33,SMALL(IF($O$8:$O$33&lt;&gt;0,ROW($O$8:$O$33)-7),ROW(I11))))</f>
        <v/>
      </c>
      <c r="J18" s="1615"/>
      <c r="K18" s="927" t="s">
        <v>581</v>
      </c>
      <c r="L18" s="512">
        <f>IF(BASIC_TOOL!$C$23=1,M18,IF(BASIC_TOOL!$C$23=2,N18,IF(BASIC_TOOL!$C$23=3,O18)))</f>
        <v>4</v>
      </c>
      <c r="M18" s="915">
        <f t="shared" si="1"/>
        <v>4</v>
      </c>
      <c r="N18" s="915"/>
      <c r="O18" s="620">
        <f t="shared" si="2"/>
        <v>4</v>
      </c>
      <c r="P18" s="917"/>
      <c r="Q18" s="619"/>
      <c r="R18" s="619">
        <f>IF(H_O=1,4,0)+IF(H_O=2.5,4,0)+IF(H_O=3,4,0)</f>
        <v>4</v>
      </c>
      <c r="S18" s="515"/>
      <c r="T18" s="515"/>
      <c r="U18" s="516"/>
      <c r="V18" s="516"/>
      <c r="W18" s="516"/>
      <c r="X18" s="515"/>
      <c r="Y18" s="516"/>
    </row>
    <row r="19" spans="1:25">
      <c r="A19" s="128" t="str">
        <f>IF(B19="","",(VLOOKUP(B:B,'0.39'!B:F,5,FALSE)))</f>
        <v/>
      </c>
      <c r="B19" s="128" t="str">
        <f>IF(BASIC_TOOL!$C$23=1,D19,IF(BASIC_TOOL!$C$23=2,F19,IF(BASIC_TOOL!$C$23=3,H19)))</f>
        <v/>
      </c>
      <c r="C19" s="128" t="str">
        <f>IF(BASIC_TOOL!$C$23=1,E19,IF(BASIC_TOOL!$C$23=2,G19,IF(BASIC_TOOL!$C$23=3,I19)))</f>
        <v/>
      </c>
      <c r="D19" s="129" t="str">
        <f t="array" ref="D19">IF( ISERROR(INDEX($K$8:$K$32,SMALL(IF($M$8:$M$32&lt;&gt;0,ROW($M$8:$M$32)-7),ROW(D12)))),"",INDEX($K$8:$K$32,SMALL(IF($M$8:$M$32&lt;&gt;0,ROW($M$8:$M$32)-7),ROW(D12))))</f>
        <v/>
      </c>
      <c r="E19" s="129" t="str">
        <f t="array" ref="E19">IF(ISERROR(INDEX($M$8:$M$32,SMALL(IF($M$8:$M$32&lt;&gt;0,ROW($M$8:$M$32)-7),ROW(E12)))),"",INDEX($M$8:$M$32,SMALL(IF($M$8:$M$32&lt;&gt;0,ROW($M$8:$M$32)-7),ROW(E12))))</f>
        <v/>
      </c>
      <c r="F19" s="129" t="str">
        <f t="array" ref="F19">IF(ISERROR(INDEX($K$8:$K$32,SMALL(IF($N$8:$N$32&lt;&gt;0,ROW($N$8:$N$32)-7),ROW(F12)))),"",INDEX($K$8:$K$32,SMALL(IF($N$8:$N$32&lt;&gt;0,ROW($N$8:$N$32)-7),ROW(F12))))</f>
        <v/>
      </c>
      <c r="G19" s="129" t="str">
        <f t="array" ref="G19">IF(ISERROR(INDEX($N$8:$N$32,SMALL(IF($N$8:$N$32&lt;&gt;0,ROW($N$8:$N$32)-7),ROW(G12)))),"",INDEX($N$8:$N$32,SMALL(IF($N$8:$N$32&lt;&gt;0,ROW($N$8:$N$32)-7),ROW(G12))))</f>
        <v/>
      </c>
      <c r="H19" s="129" t="str">
        <f t="array" ref="H19">IF(ISERROR(INDEX($K$8:$K$33,SMALL(IF($O$8:$O$33&lt;&gt;0,ROW($O$8:$O$33)-7),ROW(H12)))),"",INDEX($K$8:$K$33,SMALL(IF($O$8:$O$33&lt;&gt;0,ROW($O$8:$O$33)-7),ROW(H12))))</f>
        <v/>
      </c>
      <c r="I19" s="130" t="str">
        <f t="array" ref="I19">IF(ISERROR(INDEX($O$8:$O$33,SMALL(IF($O$8:$O$33&lt;&gt;0,ROW($O$8:$O$33)-7),ROW(I12)))),"",INDEX($O$8:$O$33,SMALL(IF($O$8:$O$33&lt;&gt;0,ROW($O$8:$O$33)-7),ROW(I12))))</f>
        <v/>
      </c>
      <c r="J19" s="1615"/>
      <c r="K19" s="927" t="s">
        <v>582</v>
      </c>
      <c r="L19" s="512">
        <f>IF(BASIC_TOOL!$C$23=1,M19,IF(BASIC_TOOL!$C$23=2,N19,IF(BASIC_TOOL!$C$23=3,O19)))</f>
        <v>0</v>
      </c>
      <c r="M19" s="915">
        <f t="shared" si="1"/>
        <v>0</v>
      </c>
      <c r="N19" s="915"/>
      <c r="O19" s="620">
        <f t="shared" si="2"/>
        <v>0</v>
      </c>
      <c r="P19" s="919"/>
      <c r="Q19" s="676"/>
      <c r="R19" s="676">
        <f>IF(H_O=1.5,4,0)+IF(H_O=3.5,4,0)+IF(H_O=2.5,4,0)+IF(H_O=4.5,12,0)+IF(H_O=5,8,0)</f>
        <v>0</v>
      </c>
      <c r="S19" s="515"/>
      <c r="T19" s="515"/>
      <c r="U19" s="516"/>
      <c r="V19" s="516"/>
      <c r="W19" s="516"/>
      <c r="X19" s="515"/>
      <c r="Y19" s="516"/>
    </row>
    <row r="20" spans="1:25">
      <c r="A20" s="128" t="str">
        <f>IF(B20="","",(VLOOKUP(B:B,'0.39'!B:F,5,FALSE)))</f>
        <v/>
      </c>
      <c r="B20" s="128" t="str">
        <f>IF(BASIC_TOOL!$C$23=1,D20,IF(BASIC_TOOL!$C$23=2,F20,IF(BASIC_TOOL!$C$23=3,H20)))</f>
        <v/>
      </c>
      <c r="C20" s="128" t="str">
        <f>IF(BASIC_TOOL!$C$23=1,E20,IF(BASIC_TOOL!$C$23=2,G20,IF(BASIC_TOOL!$C$23=3,I20)))</f>
        <v/>
      </c>
      <c r="D20" s="129" t="str">
        <f t="array" ref="D20">IF( ISERROR(INDEX($K$8:$K$32,SMALL(IF($M$8:$M$32&lt;&gt;0,ROW($M$8:$M$32)-7),ROW(D13)))),"",INDEX($K$8:$K$32,SMALL(IF($M$8:$M$32&lt;&gt;0,ROW($M$8:$M$32)-7),ROW(D13))))</f>
        <v/>
      </c>
      <c r="E20" s="129" t="str">
        <f t="array" ref="E20">IF(ISERROR(INDEX($M$8:$M$32,SMALL(IF($M$8:$M$32&lt;&gt;0,ROW($M$8:$M$32)-7),ROW(E13)))),"",INDEX($M$8:$M$32,SMALL(IF($M$8:$M$32&lt;&gt;0,ROW($M$8:$M$32)-7),ROW(E13))))</f>
        <v/>
      </c>
      <c r="F20" s="129" t="str">
        <f t="array" ref="F20">IF(ISERROR(INDEX($K$8:$K$32,SMALL(IF($N$8:$N$32&lt;&gt;0,ROW($N$8:$N$32)-7),ROW(F13)))),"",INDEX($K$8:$K$32,SMALL(IF($N$8:$N$32&lt;&gt;0,ROW($N$8:$N$32)-7),ROW(F13))))</f>
        <v/>
      </c>
      <c r="G20" s="129" t="str">
        <f t="array" ref="G20">IF(ISERROR(INDEX($N$8:$N$32,SMALL(IF($N$8:$N$32&lt;&gt;0,ROW($N$8:$N$32)-7),ROW(G13)))),"",INDEX($N$8:$N$32,SMALL(IF($N$8:$N$32&lt;&gt;0,ROW($N$8:$N$32)-7),ROW(G13))))</f>
        <v/>
      </c>
      <c r="H20" s="129" t="str">
        <f t="array" ref="H20">IF(ISERROR(INDEX($K$8:$K$33,SMALL(IF($O$8:$O$33&lt;&gt;0,ROW($O$8:$O$33)-7),ROW(H13)))),"",INDEX($K$8:$K$33,SMALL(IF($O$8:$O$33&lt;&gt;0,ROW($O$8:$O$33)-7),ROW(H13))))</f>
        <v/>
      </c>
      <c r="I20" s="130" t="str">
        <f t="array" ref="I20">IF(ISERROR(INDEX($O$8:$O$33,SMALL(IF($O$8:$O$33&lt;&gt;0,ROW($O$8:$O$33)-7),ROW(I13)))),"",INDEX($O$8:$O$33,SMALL(IF($O$8:$O$33&lt;&gt;0,ROW($O$8:$O$33)-7),ROW(I13))))</f>
        <v/>
      </c>
      <c r="J20" s="1615"/>
      <c r="K20" s="927" t="s">
        <v>583</v>
      </c>
      <c r="L20" s="512">
        <f>IF(BASIC_TOOL!$C$23=1,M20,IF(BASIC_TOOL!$C$23=2,N20,IF(BASIC_TOOL!$C$23=3,O20)))</f>
        <v>4</v>
      </c>
      <c r="M20" s="915">
        <f t="shared" si="1"/>
        <v>4</v>
      </c>
      <c r="N20" s="915"/>
      <c r="O20" s="620">
        <f t="shared" si="2"/>
        <v>4</v>
      </c>
      <c r="P20" s="919"/>
      <c r="Q20" s="676"/>
      <c r="R20" s="676">
        <f>IF(H_O=2,4,0)+IF(H_O=3.5,4,0)+IF(H_O=4,8,0)+IF(H_O=5,4,0)+IF(H_O=3,4,0)</f>
        <v>4</v>
      </c>
      <c r="S20" s="920"/>
      <c r="T20" s="920"/>
      <c r="U20" s="921"/>
      <c r="V20" s="921"/>
      <c r="W20" s="921"/>
      <c r="X20" s="914"/>
      <c r="Y20" s="455"/>
    </row>
    <row r="21" spans="1:25">
      <c r="A21" s="128" t="str">
        <f>IF(B21="","",(VLOOKUP(B:B,'0.39'!B:F,5,FALSE)))</f>
        <v/>
      </c>
      <c r="B21" s="128" t="str">
        <f>IF(BASIC_TOOL!$C$23=1,D21,IF(BASIC_TOOL!$C$23=2,F21,IF(BASIC_TOOL!$C$23=3,H21)))</f>
        <v/>
      </c>
      <c r="C21" s="128" t="str">
        <f>IF(BASIC_TOOL!$C$23=1,E21,IF(BASIC_TOOL!$C$23=2,G21,IF(BASIC_TOOL!$C$23=3,I21)))</f>
        <v/>
      </c>
      <c r="D21" s="129" t="str">
        <f t="array" ref="D21">IF( ISERROR(INDEX($K$8:$K$32,SMALL(IF($M$8:$M$32&lt;&gt;0,ROW($M$8:$M$32)-7),ROW(D14)))),"",INDEX($K$8:$K$32,SMALL(IF($M$8:$M$32&lt;&gt;0,ROW($M$8:$M$32)-7),ROW(D14))))</f>
        <v/>
      </c>
      <c r="E21" s="129" t="str">
        <f t="array" ref="E21">IF(ISERROR(INDEX($M$8:$M$32,SMALL(IF($M$8:$M$32&lt;&gt;0,ROW($M$8:$M$32)-7),ROW(E14)))),"",INDEX($M$8:$M$32,SMALL(IF($M$8:$M$32&lt;&gt;0,ROW($M$8:$M$32)-7),ROW(E14))))</f>
        <v/>
      </c>
      <c r="F21" s="129" t="str">
        <f t="array" ref="F21">IF(ISERROR(INDEX($K$8:$K$32,SMALL(IF($N$8:$N$32&lt;&gt;0,ROW($N$8:$N$32)-7),ROW(F14)))),"",INDEX($K$8:$K$32,SMALL(IF($N$8:$N$32&lt;&gt;0,ROW($N$8:$N$32)-7),ROW(F14))))</f>
        <v/>
      </c>
      <c r="G21" s="129" t="str">
        <f t="array" ref="G21">IF(ISERROR(INDEX($N$8:$N$32,SMALL(IF($N$8:$N$32&lt;&gt;0,ROW($N$8:$N$32)-7),ROW(G14)))),"",INDEX($N$8:$N$32,SMALL(IF($N$8:$N$32&lt;&gt;0,ROW($N$8:$N$32)-7),ROW(G14))))</f>
        <v/>
      </c>
      <c r="H21" s="129" t="str">
        <f t="array" ref="H21">IF(ISERROR(INDEX($K$8:$K$33,SMALL(IF($O$8:$O$33&lt;&gt;0,ROW($O$8:$O$33)-7),ROW(H14)))),"",INDEX($K$8:$K$33,SMALL(IF($O$8:$O$33&lt;&gt;0,ROW($O$8:$O$33)-7),ROW(H14))))</f>
        <v/>
      </c>
      <c r="I21" s="130" t="str">
        <f t="array" ref="I21">IF(ISERROR(INDEX($O$8:$O$33,SMALL(IF($O$8:$O$33&lt;&gt;0,ROW($O$8:$O$33)-7),ROW(I14)))),"",INDEX($O$8:$O$33,SMALL(IF($O$8:$O$33&lt;&gt;0,ROW($O$8:$O$33)-7),ROW(I14))))</f>
        <v/>
      </c>
      <c r="J21" s="1615"/>
      <c r="K21" s="927" t="s">
        <v>151</v>
      </c>
      <c r="L21" s="512">
        <f>IF(BASIC_TOOL!$C$23=1,M21,IF(BASIC_TOOL!$C$23=2,N21,IF(BASIC_TOOL!$C$23=3,O21)))</f>
        <v>0</v>
      </c>
      <c r="M21" s="915">
        <f t="shared" si="1"/>
        <v>0</v>
      </c>
      <c r="N21" s="915"/>
      <c r="O21" s="620">
        <f t="shared" si="2"/>
        <v>0</v>
      </c>
      <c r="P21" s="917"/>
      <c r="Q21" s="619"/>
      <c r="R21" s="619"/>
      <c r="S21" s="515"/>
      <c r="T21" s="515"/>
      <c r="U21" s="516"/>
      <c r="V21" s="516"/>
      <c r="W21" s="516"/>
      <c r="X21" s="515"/>
      <c r="Y21" s="516">
        <f xml:space="preserve">  IF(H_O=2,(N_PA)*2,0)
+ IF(H_O=2.5,(N_PA)*2,0)
+IF(H_O=3,(N_PA)*2,0)
+IF(H_O=3.5,(N_PA)*2,0)
+IF(H_O=4,(N_PA)*2,0)
+IF(H_O=4.5,(N_PA)*2,0)
+IF(H_O=5,(N_PA)*2,0)
+IF(BASIC_TOOL!E15=1,
 IF(OR(H_O=2,H_O=2.5,H_O=3,H_O=3.5,H_O=4,H_O=4.5,H_O=5),(N_PA)*2,0),0)</f>
        <v>0</v>
      </c>
    </row>
    <row r="22" spans="1:25">
      <c r="A22" s="128" t="str">
        <f>IF(B22="","",(VLOOKUP(B:B,'0.39'!B:F,5,FALSE)))</f>
        <v/>
      </c>
      <c r="B22" s="128" t="str">
        <f>IF(BASIC_TOOL!$C$23=1,D22,IF(BASIC_TOOL!$C$23=2,F22,IF(BASIC_TOOL!$C$23=3,H22)))</f>
        <v/>
      </c>
      <c r="C22" s="128" t="str">
        <f>IF(BASIC_TOOL!$C$23=1,E22,IF(BASIC_TOOL!$C$23=2,G22,IF(BASIC_TOOL!$C$23=3,I22)))</f>
        <v/>
      </c>
      <c r="D22" s="129" t="str">
        <f t="array" ref="D22">IF( ISERROR(INDEX($K$8:$K$32,SMALL(IF($M$8:$M$32&lt;&gt;0,ROW($M$8:$M$32)-7),ROW(D15)))),"",INDEX($K$8:$K$32,SMALL(IF($M$8:$M$32&lt;&gt;0,ROW($M$8:$M$32)-7),ROW(D15))))</f>
        <v/>
      </c>
      <c r="E22" s="129" t="str">
        <f t="array" ref="E22">IF(ISERROR(INDEX($M$8:$M$32,SMALL(IF($M$8:$M$32&lt;&gt;0,ROW($M$8:$M$32)-7),ROW(E15)))),"",INDEX($M$8:$M$32,SMALL(IF($M$8:$M$32&lt;&gt;0,ROW($M$8:$M$32)-7),ROW(E15))))</f>
        <v/>
      </c>
      <c r="F22" s="129" t="str">
        <f t="array" ref="F22">IF(ISERROR(INDEX($K$8:$K$32,SMALL(IF($N$8:$N$32&lt;&gt;0,ROW($N$8:$N$32)-7),ROW(F15)))),"",INDEX($K$8:$K$32,SMALL(IF($N$8:$N$32&lt;&gt;0,ROW($N$8:$N$32)-7),ROW(F15))))</f>
        <v/>
      </c>
      <c r="G22" s="129" t="str">
        <f t="array" ref="G22">IF(ISERROR(INDEX($N$8:$N$32,SMALL(IF($N$8:$N$32&lt;&gt;0,ROW($N$8:$N$32)-7),ROW(G15)))),"",INDEX($N$8:$N$32,SMALL(IF($N$8:$N$32&lt;&gt;0,ROW($N$8:$N$32)-7),ROW(G15))))</f>
        <v/>
      </c>
      <c r="H22" s="129" t="str">
        <f t="array" ref="H22">IF(ISERROR(INDEX($K$8:$K$33,SMALL(IF($O$8:$O$33&lt;&gt;0,ROW($O$8:$O$33)-7),ROW(H15)))),"",INDEX($K$8:$K$33,SMALL(IF($O$8:$O$33&lt;&gt;0,ROW($O$8:$O$33)-7),ROW(H15))))</f>
        <v/>
      </c>
      <c r="I22" s="130" t="str">
        <f t="array" ref="I22">IF(ISERROR(INDEX($O$8:$O$33,SMALL(IF($O$8:$O$33&lt;&gt;0,ROW($O$8:$O$33)-7),ROW(I15)))),"",INDEX($O$8:$O$33,SMALL(IF($O$8:$O$33&lt;&gt;0,ROW($O$8:$O$33)-7),ROW(I15))))</f>
        <v/>
      </c>
      <c r="J22" s="1615" t="s">
        <v>307</v>
      </c>
      <c r="K22" s="927" t="s">
        <v>584</v>
      </c>
      <c r="L22" s="512">
        <f>IF(BASIC_TOOL!$C$23=1,M22,IF(BASIC_TOOL!$C$23=2,N22,IF(BASIC_TOOL!$C$23=3,O22)))</f>
        <v>34</v>
      </c>
      <c r="M22" s="915">
        <f t="shared" si="1"/>
        <v>34</v>
      </c>
      <c r="N22" s="915"/>
      <c r="O22" s="620">
        <f t="shared" si="2"/>
        <v>34</v>
      </c>
      <c r="P22" s="919">
        <f>IF(H_O&gt;3.3,((W_C+W_F-1)+L_O_C+L_O_F-N_PA-1)*2,0)</f>
        <v>0</v>
      </c>
      <c r="Q22" s="676"/>
      <c r="R22" s="922">
        <f>Internal_Reinforcing!S23*2</f>
        <v>8</v>
      </c>
      <c r="S22" s="515"/>
      <c r="T22" s="515"/>
      <c r="U22" s="516">
        <f xml:space="preserve">
IF(H_O=1.5,(W_C+W_F-1+L_O_C+L_O_F-1-N_PA)*2,0)
+IF(H_O=2,(W_C+W_F-1+L_O_C+L_O_F-1-N_PA)*2,0)
+IF(H_O=2.5,(W_C+W_F-1+L_O_C+L_O_F-1-N_PA)*2,0)
+IF(H_O=3,(W_C+W_F-1+L_O_C+L_O_F-1-N_PA)*2,0)
+IF(H_O=4,(W_C+W_F-1+L_O_C+L_O_F-1-N_PA)*2,0)
+IF(H_O=5,(W_C+W_F-1+L_O_C+L_O_F-1-N_PA)*2,0)
+IF(H_O=3.5,(W_C+W_F-1+L_O_C+L_O_F-1-N_PA)*2,0)
+IF(H_O=4.5,(W_C+W_F-1+L_O_C+L_O_F-1-N_PA)*2,0)</f>
        <v>26</v>
      </c>
      <c r="V22" s="516">
        <f>IF(OR(H_O=2.5,H_O=3),N_PA*2)+IF(OR(H_O=3.5,H_O=4),N_PA*4)+IF(OR(H_O=4.5,H_O=5),N_PA*6)</f>
        <v>0</v>
      </c>
      <c r="W22" s="516"/>
      <c r="X22" s="515"/>
      <c r="Y22" s="516"/>
    </row>
    <row r="23" spans="1:25">
      <c r="A23" s="128" t="str">
        <f>IF(B23="","",(VLOOKUP(B:B,'0.39'!B:F,5,FALSE)))</f>
        <v/>
      </c>
      <c r="B23" s="128" t="str">
        <f>IF(BASIC_TOOL!$C$23=1,D23,IF(BASIC_TOOL!$C$23=2,F23,IF(BASIC_TOOL!$C$23=3,H23)))</f>
        <v/>
      </c>
      <c r="C23" s="128" t="str">
        <f>IF(BASIC_TOOL!$C$23=1,E23,IF(BASIC_TOOL!$C$23=2,G23,IF(BASIC_TOOL!$C$23=3,I23)))</f>
        <v/>
      </c>
      <c r="D23" s="129" t="str">
        <f t="array" ref="D23">IF( ISERROR(INDEX($K$8:$K$32,SMALL(IF($M$8:$M$32&lt;&gt;0,ROW($M$8:$M$32)-7),ROW(D16)))),"",INDEX($K$8:$K$32,SMALL(IF($M$8:$M$32&lt;&gt;0,ROW($M$8:$M$32)-7),ROW(D16))))</f>
        <v/>
      </c>
      <c r="E23" s="129" t="str">
        <f t="array" ref="E23">IF(ISERROR(INDEX($M$8:$M$32,SMALL(IF($M$8:$M$32&lt;&gt;0,ROW($M$8:$M$32)-7),ROW(E16)))),"",INDEX($M$8:$M$32,SMALL(IF($M$8:$M$32&lt;&gt;0,ROW($M$8:$M$32)-7),ROW(E16))))</f>
        <v/>
      </c>
      <c r="F23" s="129" t="str">
        <f t="array" ref="F23">IF(ISERROR(INDEX($K$8:$K$32,SMALL(IF($N$8:$N$32&lt;&gt;0,ROW($N$8:$N$32)-7),ROW(F16)))),"",INDEX($K$8:$K$32,SMALL(IF($N$8:$N$32&lt;&gt;0,ROW($N$8:$N$32)-7),ROW(F16))))</f>
        <v/>
      </c>
      <c r="G23" s="129" t="str">
        <f t="array" ref="G23">IF(ISERROR(INDEX($N$8:$N$32,SMALL(IF($N$8:$N$32&lt;&gt;0,ROW($N$8:$N$32)-7),ROW(G16)))),"",INDEX($N$8:$N$32,SMALL(IF($N$8:$N$32&lt;&gt;0,ROW($N$8:$N$32)-7),ROW(G16))))</f>
        <v/>
      </c>
      <c r="H23" s="129" t="str">
        <f t="array" ref="H23">IF(ISERROR(INDEX($K$8:$K$33,SMALL(IF($O$8:$O$33&lt;&gt;0,ROW($O$8:$O$33)-7),ROW(H16)))),"",INDEX($K$8:$K$33,SMALL(IF($O$8:$O$33&lt;&gt;0,ROW($O$8:$O$33)-7),ROW(H16))))</f>
        <v/>
      </c>
      <c r="I23" s="130" t="str">
        <f t="array" ref="I23">IF(ISERROR(INDEX($O$8:$O$33,SMALL(IF($O$8:$O$33&lt;&gt;0,ROW($O$8:$O$33)-7),ROW(I16)))),"",INDEX($O$8:$O$33,SMALL(IF($O$8:$O$33&lt;&gt;0,ROW($O$8:$O$33)-7),ROW(I16))))</f>
        <v/>
      </c>
      <c r="J23" s="1615"/>
      <c r="K23" s="927" t="s">
        <v>585</v>
      </c>
      <c r="L23" s="512">
        <f>IF(BASIC_TOOL!$C$23=1,M23,IF(BASIC_TOOL!$C$23=2,N23,IF(BASIC_TOOL!$C$23=3,O23)))</f>
        <v>26</v>
      </c>
      <c r="M23" s="915">
        <f t="shared" si="1"/>
        <v>26</v>
      </c>
      <c r="N23" s="915"/>
      <c r="O23" s="620">
        <f t="shared" si="2"/>
        <v>26</v>
      </c>
      <c r="P23" s="919"/>
      <c r="Q23" s="676"/>
      <c r="R23" s="676"/>
      <c r="S23" s="517">
        <f>IF(H_O&gt;1,S5,0)</f>
        <v>0</v>
      </c>
      <c r="T23" s="515"/>
      <c r="U23" s="516">
        <f>IF(H_O=2.5,((W_C+W_F-1)+(L_O_C+L_O_F-1-N_PA))*2,0)
+IF(H_O=3,((W_C+W_F-1)+(L_O_C+L_O_F-1-N_PA))*2,0)
+IF(H_O=3.5,((W_C+W_F-1)+(L_O_C+L_O_F-1-N_PA))*4,0)
+IF(H_O=4,((W_C+W_F-1)+(L_O_C+L_O_F-1-N_PA))*4,0)
+IF(H_O=4.5,((W_C+W_F-1)+(L_O_C+L_O_F-1-N_PA))*4,0)
+IF(H_O=5,((W_C+W_F-1)+(L_O_C+L_O_F-1-N_PA))*6,0)</f>
        <v>26</v>
      </c>
      <c r="V23" s="516"/>
      <c r="W23" s="516"/>
      <c r="X23" s="515"/>
      <c r="Y23" s="516"/>
    </row>
    <row r="24" spans="1:25">
      <c r="A24" s="128" t="str">
        <f>IF(B24="","",(VLOOKUP(B:B,'0.39'!B:F,5,FALSE)))</f>
        <v/>
      </c>
      <c r="B24" s="128" t="str">
        <f>IF(BASIC_TOOL!$C$23=1,D24,IF(BASIC_TOOL!$C$23=2,F24,IF(BASIC_TOOL!$C$23=3,H24)))</f>
        <v/>
      </c>
      <c r="C24" s="128" t="str">
        <f>IF(BASIC_TOOL!$C$23=1,E24,IF(BASIC_TOOL!$C$23=2,G24,IF(BASIC_TOOL!$C$23=3,I24)))</f>
        <v/>
      </c>
      <c r="D24" s="129" t="str">
        <f t="array" ref="D24">IF( ISERROR(INDEX($K$8:$K$32,SMALL(IF($M$8:$M$32&lt;&gt;0,ROW($M$8:$M$32)-7),ROW(D17)))),"",INDEX($K$8:$K$32,SMALL(IF($M$8:$M$32&lt;&gt;0,ROW($M$8:$M$32)-7),ROW(D17))))</f>
        <v/>
      </c>
      <c r="E24" s="129" t="str">
        <f t="array" ref="E24">IF(ISERROR(INDEX($M$8:$M$32,SMALL(IF($M$8:$M$32&lt;&gt;0,ROW($M$8:$M$32)-7),ROW(E17)))),"",INDEX($M$8:$M$32,SMALL(IF($M$8:$M$32&lt;&gt;0,ROW($M$8:$M$32)-7),ROW(E17))))</f>
        <v/>
      </c>
      <c r="F24" s="129" t="str">
        <f t="array" ref="F24">IF(ISERROR(INDEX($K$8:$K$32,SMALL(IF($N$8:$N$32&lt;&gt;0,ROW($N$8:$N$32)-7),ROW(F17)))),"",INDEX($K$8:$K$32,SMALL(IF($N$8:$N$32&lt;&gt;0,ROW($N$8:$N$32)-7),ROW(F17))))</f>
        <v/>
      </c>
      <c r="G24" s="129" t="str">
        <f t="array" ref="G24">IF(ISERROR(INDEX($N$8:$N$32,SMALL(IF($N$8:$N$32&lt;&gt;0,ROW($N$8:$N$32)-7),ROW(G17)))),"",INDEX($N$8:$N$32,SMALL(IF($N$8:$N$32&lt;&gt;0,ROW($N$8:$N$32)-7),ROW(G17))))</f>
        <v/>
      </c>
      <c r="H24" s="129" t="str">
        <f t="array" ref="H24">IF(ISERROR(INDEX($K$8:$K$33,SMALL(IF($O$8:$O$33&lt;&gt;0,ROW($O$8:$O$33)-7),ROW(H17)))),"",INDEX($K$8:$K$33,SMALL(IF($O$8:$O$33&lt;&gt;0,ROW($O$8:$O$33)-7),ROW(H17))))</f>
        <v/>
      </c>
      <c r="I24" s="130" t="str">
        <f t="array" ref="I24">IF(ISERROR(INDEX($O$8:$O$33,SMALL(IF($O$8:$O$33&lt;&gt;0,ROW($O$8:$O$33)-7),ROW(I17)))),"",INDEX($O$8:$O$33,SMALL(IF($O$8:$O$33&lt;&gt;0,ROW($O$8:$O$33)-7),ROW(I17))))</f>
        <v/>
      </c>
      <c r="J24" s="1615"/>
      <c r="K24" s="927" t="s">
        <v>586</v>
      </c>
      <c r="L24" s="512">
        <f>IF(BASIC_TOOL!$C$23=1,M24,IF(BASIC_TOOL!$C$23=2,N24,IF(BASIC_TOOL!$C$23=3,O24)))</f>
        <v>0</v>
      </c>
      <c r="M24" s="915">
        <f t="shared" si="1"/>
        <v>0</v>
      </c>
      <c r="N24" s="915"/>
      <c r="O24" s="620">
        <f t="shared" si="2"/>
        <v>0</v>
      </c>
      <c r="P24" s="919"/>
      <c r="Q24" s="676"/>
      <c r="R24" s="676"/>
      <c r="S24" s="515"/>
      <c r="T24" s="515"/>
      <c r="U24" s="516"/>
      <c r="V24" s="516"/>
      <c r="W24" s="516"/>
      <c r="X24" s="515"/>
      <c r="Y24" s="516"/>
    </row>
    <row r="25" spans="1:25">
      <c r="A25" s="128" t="str">
        <f>IF(B25="","",(VLOOKUP(B:B,'0.39'!B:F,5,FALSE)))</f>
        <v/>
      </c>
      <c r="B25" s="128" t="str">
        <f>IF(BASIC_TOOL!$C$23=1,D25,IF(BASIC_TOOL!$C$23=2,F25,IF(BASIC_TOOL!$C$23=3,H25)))</f>
        <v/>
      </c>
      <c r="C25" s="128" t="str">
        <f>IF(BASIC_TOOL!$C$23=1,E25,IF(BASIC_TOOL!$C$23=2,G25,IF(BASIC_TOOL!$C$23=3,I25)))</f>
        <v/>
      </c>
      <c r="D25" s="129" t="str">
        <f t="array" ref="D25">IF( ISERROR(INDEX($K$8:$K$32,SMALL(IF($M$8:$M$32&lt;&gt;0,ROW($M$8:$M$32)-7),ROW(D18)))),"",INDEX($K$8:$K$32,SMALL(IF($M$8:$M$32&lt;&gt;0,ROW($M$8:$M$32)-7),ROW(D18))))</f>
        <v/>
      </c>
      <c r="E25" s="129" t="str">
        <f t="array" ref="E25">IF(ISERROR(INDEX($M$8:$M$32,SMALL(IF($M$8:$M$32&lt;&gt;0,ROW($M$8:$M$32)-7),ROW(E18)))),"",INDEX($M$8:$M$32,SMALL(IF($M$8:$M$32&lt;&gt;0,ROW($M$8:$M$32)-7),ROW(E18))))</f>
        <v/>
      </c>
      <c r="F25" s="129" t="str">
        <f t="array" ref="F25">IF(ISERROR(INDEX($K$8:$K$32,SMALL(IF($N$8:$N$32&lt;&gt;0,ROW($N$8:$N$32)-7),ROW(F18)))),"",INDEX($K$8:$K$32,SMALL(IF($N$8:$N$32&lt;&gt;0,ROW($N$8:$N$32)-7),ROW(F18))))</f>
        <v/>
      </c>
      <c r="G25" s="129" t="str">
        <f t="array" ref="G25">IF(ISERROR(INDEX($N$8:$N$32,SMALL(IF($N$8:$N$32&lt;&gt;0,ROW($N$8:$N$32)-7),ROW(G18)))),"",INDEX($N$8:$N$32,SMALL(IF($N$8:$N$32&lt;&gt;0,ROW($N$8:$N$32)-7),ROW(G18))))</f>
        <v/>
      </c>
      <c r="H25" s="129" t="str">
        <f t="array" ref="H25">IF(ISERROR(INDEX($K$8:$K$33,SMALL(IF($O$8:$O$33&lt;&gt;0,ROW($O$8:$O$33)-7),ROW(H18)))),"",INDEX($K$8:$K$33,SMALL(IF($O$8:$O$33&lt;&gt;0,ROW($O$8:$O$33)-7),ROW(H18))))</f>
        <v/>
      </c>
      <c r="I25" s="130" t="str">
        <f t="array" ref="I25">IF(ISERROR(INDEX($O$8:$O$33,SMALL(IF($O$8:$O$33&lt;&gt;0,ROW($O$8:$O$33)-7),ROW(I18)))),"",INDEX($O$8:$O$33,SMALL(IF($O$8:$O$33&lt;&gt;0,ROW($O$8:$O$33)-7),ROW(I18))))</f>
        <v/>
      </c>
      <c r="J25" s="1615"/>
      <c r="K25" s="927" t="s">
        <v>1774</v>
      </c>
      <c r="L25" s="512">
        <f>IF(BASIC_TOOL!$C$23=1,M25,IF(BASIC_TOOL!$C$23=2,N25,IF(BASIC_TOOL!$C$23=3,O25)))</f>
        <v>0</v>
      </c>
      <c r="M25" s="915">
        <f t="shared" si="1"/>
        <v>0</v>
      </c>
      <c r="N25" s="915"/>
      <c r="O25" s="620">
        <f t="shared" si="2"/>
        <v>0</v>
      </c>
      <c r="P25" s="919"/>
      <c r="Q25" s="676"/>
      <c r="R25" s="676"/>
      <c r="S25" s="515"/>
      <c r="T25" s="515"/>
      <c r="U25" s="516"/>
      <c r="V25" s="516"/>
      <c r="W25" s="516"/>
      <c r="X25" s="515"/>
      <c r="Y25" s="516"/>
    </row>
    <row r="26" spans="1:25">
      <c r="A26" s="128" t="str">
        <f>IF(B26="","",(VLOOKUP(B:B,'0.39'!B:F,5,FALSE)))</f>
        <v/>
      </c>
      <c r="B26" s="128" t="str">
        <f>IF(BASIC_TOOL!$C$23=1,D26,IF(BASIC_TOOL!$C$23=2,F26,IF(BASIC_TOOL!$C$23=3,H26)))</f>
        <v/>
      </c>
      <c r="C26" s="128" t="str">
        <f>IF(BASIC_TOOL!$C$23=1,E26,IF(BASIC_TOOL!$C$23=2,G26,IF(BASIC_TOOL!$C$23=3,I26)))</f>
        <v/>
      </c>
      <c r="D26" s="129" t="str">
        <f t="array" ref="D26">IF( ISERROR(INDEX($K$8:$K$32,SMALL(IF($M$8:$M$32&lt;&gt;0,ROW($M$8:$M$32)-7),ROW(D19)))),"",INDEX($K$8:$K$32,SMALL(IF($M$8:$M$32&lt;&gt;0,ROW($M$8:$M$32)-7),ROW(D19))))</f>
        <v/>
      </c>
      <c r="E26" s="129" t="str">
        <f t="array" ref="E26">IF(ISERROR(INDEX($M$8:$M$32,SMALL(IF($M$8:$M$32&lt;&gt;0,ROW($M$8:$M$32)-7),ROW(E19)))),"",INDEX($M$8:$M$32,SMALL(IF($M$8:$M$32&lt;&gt;0,ROW($M$8:$M$32)-7),ROW(E19))))</f>
        <v/>
      </c>
      <c r="F26" s="129" t="str">
        <f t="array" ref="F26">IF(ISERROR(INDEX($K$8:$K$32,SMALL(IF($N$8:$N$32&lt;&gt;0,ROW($N$8:$N$32)-7),ROW(F19)))),"",INDEX($K$8:$K$32,SMALL(IF($N$8:$N$32&lt;&gt;0,ROW($N$8:$N$32)-7),ROW(F19))))</f>
        <v/>
      </c>
      <c r="G26" s="129" t="str">
        <f t="array" ref="G26">IF(ISERROR(INDEX($N$8:$N$32,SMALL(IF($N$8:$N$32&lt;&gt;0,ROW($N$8:$N$32)-7),ROW(G19)))),"",INDEX($N$8:$N$32,SMALL(IF($N$8:$N$32&lt;&gt;0,ROW($N$8:$N$32)-7),ROW(G19))))</f>
        <v/>
      </c>
      <c r="H26" s="129" t="str">
        <f t="array" ref="H26">IF(ISERROR(INDEX($K$8:$K$33,SMALL(IF($O$8:$O$33&lt;&gt;0,ROW($O$8:$O$33)-7),ROW(H19)))),"",INDEX($K$8:$K$33,SMALL(IF($O$8:$O$33&lt;&gt;0,ROW($O$8:$O$33)-7),ROW(H19))))</f>
        <v/>
      </c>
      <c r="I26" s="130" t="str">
        <f t="array" ref="I26">IF(ISERROR(INDEX($O$8:$O$33,SMALL(IF($O$8:$O$33&lt;&gt;0,ROW($O$8:$O$33)-7),ROW(I19)))),"",INDEX($O$8:$O$33,SMALL(IF($O$8:$O$33&lt;&gt;0,ROW($O$8:$O$33)-7),ROW(I19))))</f>
        <v/>
      </c>
      <c r="J26" s="1615"/>
      <c r="K26" s="927"/>
      <c r="L26" s="512">
        <f>IF(BASIC_TOOL!$C$23=1,M26,IF(BASIC_TOOL!$C$23=2,N26,IF(BASIC_TOOL!$C$23=3,O26)))</f>
        <v>0</v>
      </c>
      <c r="M26" s="915">
        <f t="shared" si="1"/>
        <v>0</v>
      </c>
      <c r="N26" s="915"/>
      <c r="O26" s="620">
        <f t="shared" si="2"/>
        <v>0</v>
      </c>
      <c r="P26" s="919"/>
      <c r="Q26" s="676"/>
      <c r="R26" s="676"/>
      <c r="S26" s="515"/>
      <c r="T26" s="515"/>
      <c r="U26" s="516"/>
      <c r="V26" s="516"/>
      <c r="W26" s="516"/>
      <c r="X26" s="515"/>
      <c r="Y26" s="516"/>
    </row>
    <row r="27" spans="1:25" ht="18">
      <c r="A27" s="128" t="str">
        <f>IF(B27="","",(VLOOKUP(B:B,'0.39'!B:F,5,FALSE)))</f>
        <v/>
      </c>
      <c r="B27" s="128" t="str">
        <f>IF(BASIC_TOOL!$C$23=1,D27,IF(BASIC_TOOL!$C$23=2,F27,IF(BASIC_TOOL!$C$23=3,H27)))</f>
        <v/>
      </c>
      <c r="C27" s="128" t="str">
        <f>IF(BASIC_TOOL!$C$23=1,E27,IF(BASIC_TOOL!$C$23=2,G27,IF(BASIC_TOOL!$C$23=3,I27)))</f>
        <v/>
      </c>
      <c r="D27" s="129" t="str">
        <f t="array" ref="D27">IF( ISERROR(INDEX($K$8:$K$32,SMALL(IF($M$8:$M$32&lt;&gt;0,ROW($M$8:$M$32)-7),ROW(D20)))),"",INDEX($K$8:$K$32,SMALL(IF($M$8:$M$32&lt;&gt;0,ROW($M$8:$M$32)-7),ROW(D20))))</f>
        <v/>
      </c>
      <c r="E27" s="129" t="str">
        <f t="array" ref="E27">IF(ISERROR(INDEX($M$8:$M$32,SMALL(IF($M$8:$M$32&lt;&gt;0,ROW($M$8:$M$32)-7),ROW(E20)))),"",INDEX($M$8:$M$32,SMALL(IF($M$8:$M$32&lt;&gt;0,ROW($M$8:$M$32)-7),ROW(E20))))</f>
        <v/>
      </c>
      <c r="F27" s="129" t="str">
        <f t="array" ref="F27">IF(ISERROR(INDEX($K$8:$K$32,SMALL(IF($N$8:$N$32&lt;&gt;0,ROW($N$8:$N$32)-7),ROW(F20)))),"",INDEX($K$8:$K$32,SMALL(IF($N$8:$N$32&lt;&gt;0,ROW($N$8:$N$32)-7),ROW(F20))))</f>
        <v/>
      </c>
      <c r="G27" s="129" t="str">
        <f t="array" ref="G27">IF(ISERROR(INDEX($N$8:$N$32,SMALL(IF($N$8:$N$32&lt;&gt;0,ROW($N$8:$N$32)-7),ROW(G20)))),"",INDEX($N$8:$N$32,SMALL(IF($N$8:$N$32&lt;&gt;0,ROW($N$8:$N$32)-7),ROW(G20))))</f>
        <v/>
      </c>
      <c r="H27" s="129" t="str">
        <f t="array" ref="H27">IF(ISERROR(INDEX($K$8:$K$33,SMALL(IF($O$8:$O$33&lt;&gt;0,ROW($O$8:$O$33)-7),ROW(H20)))),"",INDEX($K$8:$K$33,SMALL(IF($O$8:$O$33&lt;&gt;0,ROW($O$8:$O$33)-7),ROW(H20))))</f>
        <v/>
      </c>
      <c r="I27" s="130" t="str">
        <f t="array" ref="I27">IF(ISERROR(INDEX($O$8:$O$33,SMALL(IF($O$8:$O$33&lt;&gt;0,ROW($O$8:$O$33)-7),ROW(I20)))),"",INDEX($O$8:$O$33,SMALL(IF($O$8:$O$33&lt;&gt;0,ROW($O$8:$O$33)-7),ROW(I20))))</f>
        <v/>
      </c>
      <c r="J27" s="928"/>
      <c r="K27" s="927"/>
      <c r="L27" s="512">
        <f>IF(BASIC_TOOL!$C$23=1,M27,IF(BASIC_TOOL!$C$23=2,N27,IF(BASIC_TOOL!$C$23=3,O27)))</f>
        <v>0</v>
      </c>
      <c r="M27" s="915">
        <f t="shared" si="1"/>
        <v>0</v>
      </c>
      <c r="N27" s="915"/>
      <c r="O27" s="620">
        <f t="shared" si="2"/>
        <v>0</v>
      </c>
      <c r="P27" s="919"/>
      <c r="Q27" s="676"/>
      <c r="R27" s="676"/>
      <c r="S27" s="515"/>
      <c r="T27" s="515"/>
      <c r="U27" s="516"/>
      <c r="V27" s="516"/>
      <c r="W27" s="516"/>
      <c r="X27" s="515"/>
      <c r="Y27" s="516"/>
    </row>
    <row r="28" spans="1:25" ht="18">
      <c r="A28" s="128" t="str">
        <f>IF(B28="","",(VLOOKUP(B:B,'0.39'!B:F,5,FALSE)))</f>
        <v/>
      </c>
      <c r="B28" s="128" t="str">
        <f>IF(BASIC_TOOL!$C$23=1,D28,IF(BASIC_TOOL!$C$23=2,F28,IF(BASIC_TOOL!$C$23=3,H28)))</f>
        <v/>
      </c>
      <c r="C28" s="128" t="str">
        <f>IF(BASIC_TOOL!$C$23=1,E28,IF(BASIC_TOOL!$C$23=2,G28,IF(BASIC_TOOL!$C$23=3,I28)))</f>
        <v/>
      </c>
      <c r="D28" s="129" t="str">
        <f t="array" ref="D28">IF( ISERROR(INDEX($K$8:$K$32,SMALL(IF($M$8:$M$32&lt;&gt;0,ROW($M$8:$M$32)-7),ROW(D21)))),"",INDEX($K$8:$K$32,SMALL(IF($M$8:$M$32&lt;&gt;0,ROW($M$8:$M$32)-7),ROW(D21))))</f>
        <v/>
      </c>
      <c r="E28" s="129" t="str">
        <f t="array" ref="E28">IF(ISERROR(INDEX($M$8:$M$32,SMALL(IF($M$8:$M$32&lt;&gt;0,ROW($M$8:$M$32)-7),ROW(E21)))),"",INDEX($M$8:$M$32,SMALL(IF($M$8:$M$32&lt;&gt;0,ROW($M$8:$M$32)-7),ROW(E21))))</f>
        <v/>
      </c>
      <c r="F28" s="129" t="str">
        <f t="array" ref="F28">IF(ISERROR(INDEX($K$8:$K$32,SMALL(IF($N$8:$N$32&lt;&gt;0,ROW($N$8:$N$32)-7),ROW(F21)))),"",INDEX($K$8:$K$32,SMALL(IF($N$8:$N$32&lt;&gt;0,ROW($N$8:$N$32)-7),ROW(F21))))</f>
        <v/>
      </c>
      <c r="G28" s="129" t="str">
        <f t="array" ref="G28">IF(ISERROR(INDEX($N$8:$N$32,SMALL(IF($N$8:$N$32&lt;&gt;0,ROW($N$8:$N$32)-7),ROW(G21)))),"",INDEX($N$8:$N$32,SMALL(IF($N$8:$N$32&lt;&gt;0,ROW($N$8:$N$32)-7),ROW(G21))))</f>
        <v/>
      </c>
      <c r="H28" s="129" t="str">
        <f t="array" ref="H28">IF(ISERROR(INDEX($K$8:$K$33,SMALL(IF($O$8:$O$33&lt;&gt;0,ROW($O$8:$O$33)-7),ROW(H21)))),"",INDEX($K$8:$K$33,SMALL(IF($O$8:$O$33&lt;&gt;0,ROW($O$8:$O$33)-7),ROW(H21))))</f>
        <v/>
      </c>
      <c r="I28" s="130" t="str">
        <f t="array" ref="I28">IF(ISERROR(INDEX($O$8:$O$33,SMALL(IF($O$8:$O$33&lt;&gt;0,ROW($O$8:$O$33)-7),ROW(I21)))),"",INDEX($O$8:$O$33,SMALL(IF($O$8:$O$33&lt;&gt;0,ROW($O$8:$O$33)-7),ROW(I21))))</f>
        <v/>
      </c>
      <c r="J28" s="928"/>
      <c r="K28" s="927"/>
      <c r="L28" s="512">
        <f>IF(BASIC_TOOL!$C$23=1,M28,IF(BASIC_TOOL!$C$23=2,N28,IF(BASIC_TOOL!$C$23=3,O28)))</f>
        <v>0</v>
      </c>
      <c r="M28" s="915">
        <f t="shared" si="1"/>
        <v>0</v>
      </c>
      <c r="N28" s="915"/>
      <c r="O28" s="620">
        <f t="shared" si="2"/>
        <v>0</v>
      </c>
      <c r="P28" s="919"/>
      <c r="Q28" s="676"/>
      <c r="R28" s="676"/>
      <c r="S28" s="515"/>
      <c r="T28" s="515"/>
      <c r="U28" s="516"/>
      <c r="V28" s="516"/>
      <c r="W28" s="516"/>
      <c r="X28" s="515"/>
      <c r="Y28" s="516"/>
    </row>
    <row r="29" spans="1:25" s="20" customFormat="1" ht="18">
      <c r="A29" s="128" t="str">
        <f>IF(B29="","",(VLOOKUP(B:B,'0.39'!B:F,5,FALSE)))</f>
        <v/>
      </c>
      <c r="B29" s="128" t="str">
        <f>IF(BASIC_TOOL!$C$23=1,D29,IF(BASIC_TOOL!$C$23=2,F29,IF(BASIC_TOOL!$C$23=3,H29)))</f>
        <v/>
      </c>
      <c r="C29" s="128" t="str">
        <f>IF(BASIC_TOOL!$C$23=1,E29,IF(BASIC_TOOL!$C$23=2,G29,IF(BASIC_TOOL!$C$23=3,I29)))</f>
        <v/>
      </c>
      <c r="D29" s="129" t="str">
        <f t="array" ref="D29">IF( ISERROR(INDEX($K$8:$K$32,SMALL(IF($M$8:$M$32&lt;&gt;0,ROW($M$8:$M$32)-7),ROW(D22)))),"",INDEX($K$8:$K$32,SMALL(IF($M$8:$M$32&lt;&gt;0,ROW($M$8:$M$32)-7),ROW(D22))))</f>
        <v/>
      </c>
      <c r="E29" s="129" t="str">
        <f t="array" ref="E29">IF(ISERROR(INDEX($M$8:$M$32,SMALL(IF($M$8:$M$32&lt;&gt;0,ROW($M$8:$M$32)-7),ROW(E22)))),"",INDEX($M$8:$M$32,SMALL(IF($M$8:$M$32&lt;&gt;0,ROW($M$8:$M$32)-7),ROW(E22))))</f>
        <v/>
      </c>
      <c r="F29" s="129" t="str">
        <f t="array" ref="F29">IF(ISERROR(INDEX($K$8:$K$32,SMALL(IF($N$8:$N$32&lt;&gt;0,ROW($N$8:$N$32)-7),ROW(F22)))),"",INDEX($K$8:$K$32,SMALL(IF($N$8:$N$32&lt;&gt;0,ROW($N$8:$N$32)-7),ROW(F22))))</f>
        <v/>
      </c>
      <c r="G29" s="129" t="str">
        <f t="array" ref="G29">IF(ISERROR(INDEX($N$8:$N$32,SMALL(IF($N$8:$N$32&lt;&gt;0,ROW($N$8:$N$32)-7),ROW(G22)))),"",INDEX($N$8:$N$32,SMALL(IF($N$8:$N$32&lt;&gt;0,ROW($N$8:$N$32)-7),ROW(G22))))</f>
        <v/>
      </c>
      <c r="H29" s="129" t="str">
        <f t="array" ref="H29">IF(ISERROR(INDEX($K$8:$K$33,SMALL(IF($O$8:$O$33&lt;&gt;0,ROW($O$8:$O$33)-7),ROW(H22)))),"",INDEX($K$8:$K$33,SMALL(IF($O$8:$O$33&lt;&gt;0,ROW($O$8:$O$33)-7),ROW(H22))))</f>
        <v/>
      </c>
      <c r="I29" s="130" t="str">
        <f t="array" ref="I29">IF(ISERROR(INDEX($O$8:$O$33,SMALL(IF($O$8:$O$33&lt;&gt;0,ROW($O$8:$O$33)-7),ROW(I22)))),"",INDEX($O$8:$O$33,SMALL(IF($O$8:$O$33&lt;&gt;0,ROW($O$8:$O$33)-7),ROW(I22))))</f>
        <v/>
      </c>
      <c r="J29" s="1615"/>
      <c r="K29" s="927"/>
      <c r="L29" s="512">
        <f>IF(BASIC_TOOL!$C$23=1,M29,IF(BASIC_TOOL!$C$23=2,N29,IF(BASIC_TOOL!$C$23=3,O29)))</f>
        <v>0</v>
      </c>
      <c r="M29" s="915">
        <f t="shared" si="1"/>
        <v>0</v>
      </c>
      <c r="N29" s="915"/>
      <c r="O29" s="620">
        <f t="shared" si="2"/>
        <v>0</v>
      </c>
      <c r="P29" s="919"/>
      <c r="Q29" s="676"/>
      <c r="R29" s="922"/>
      <c r="S29" s="515"/>
      <c r="T29" s="515"/>
      <c r="U29" s="516"/>
      <c r="V29" s="516"/>
      <c r="W29" s="516"/>
      <c r="X29" s="515"/>
      <c r="Y29" s="516"/>
    </row>
    <row r="30" spans="1:25" s="20" customFormat="1" ht="18">
      <c r="A30" s="128" t="str">
        <f>IF(B30="","",(VLOOKUP(B:B,'0.39'!B:F,5,FALSE)))</f>
        <v/>
      </c>
      <c r="B30" s="128" t="str">
        <f>IF(BASIC_TOOL!$C$23=1,D30,IF(BASIC_TOOL!$C$23=2,F30,IF(BASIC_TOOL!$C$23=3,H30)))</f>
        <v/>
      </c>
      <c r="C30" s="128" t="str">
        <f>IF(BASIC_TOOL!$C$23=1,E30,IF(BASIC_TOOL!$C$23=2,G30,IF(BASIC_TOOL!$C$23=3,I30)))</f>
        <v/>
      </c>
      <c r="D30" s="129" t="str">
        <f t="array" ref="D30">IF( ISERROR(INDEX($K$8:$K$32,SMALL(IF($M$8:$M$32&lt;&gt;0,ROW($M$8:$M$32)-7),ROW(D23)))),"",INDEX($K$8:$K$32,SMALL(IF($M$8:$M$32&lt;&gt;0,ROW($M$8:$M$32)-7),ROW(D23))))</f>
        <v/>
      </c>
      <c r="E30" s="129" t="str">
        <f t="array" ref="E30">IF(ISERROR(INDEX($M$8:$M$32,SMALL(IF($M$8:$M$32&lt;&gt;0,ROW($M$8:$M$32)-7),ROW(E23)))),"",INDEX($M$8:$M$32,SMALL(IF($M$8:$M$32&lt;&gt;0,ROW($M$8:$M$32)-7),ROW(E23))))</f>
        <v/>
      </c>
      <c r="F30" s="129" t="str">
        <f t="array" ref="F30">IF(ISERROR(INDEX($K$8:$K$32,SMALL(IF($N$8:$N$32&lt;&gt;0,ROW($N$8:$N$32)-7),ROW(F23)))),"",INDEX($K$8:$K$32,SMALL(IF($N$8:$N$32&lt;&gt;0,ROW($N$8:$N$32)-7),ROW(F23))))</f>
        <v/>
      </c>
      <c r="G30" s="129" t="str">
        <f t="array" ref="G30">IF(ISERROR(INDEX($N$8:$N$32,SMALL(IF($N$8:$N$32&lt;&gt;0,ROW($N$8:$N$32)-7),ROW(G23)))),"",INDEX($N$8:$N$32,SMALL(IF($N$8:$N$32&lt;&gt;0,ROW($N$8:$N$32)-7),ROW(G23))))</f>
        <v/>
      </c>
      <c r="H30" s="129" t="str">
        <f t="array" ref="H30">IF(ISERROR(INDEX($K$8:$K$33,SMALL(IF($O$8:$O$33&lt;&gt;0,ROW($O$8:$O$33)-7),ROW(H23)))),"",INDEX($K$8:$K$33,SMALL(IF($O$8:$O$33&lt;&gt;0,ROW($O$8:$O$33)-7),ROW(H23))))</f>
        <v/>
      </c>
      <c r="I30" s="130" t="str">
        <f t="array" ref="I30">IF(ISERROR(INDEX($O$8:$O$33,SMALL(IF($O$8:$O$33&lt;&gt;0,ROW($O$8:$O$33)-7),ROW(I23)))),"",INDEX($O$8:$O$33,SMALL(IF($O$8:$O$33&lt;&gt;0,ROW($O$8:$O$33)-7),ROW(I23))))</f>
        <v/>
      </c>
      <c r="J30" s="1615"/>
      <c r="K30" s="927"/>
      <c r="L30" s="512">
        <f>IF(BASIC_TOOL!$C$23=1,M30,IF(BASIC_TOOL!$C$23=2,N30,IF(BASIC_TOOL!$C$23=3,O30)))</f>
        <v>0</v>
      </c>
      <c r="M30" s="915">
        <f t="shared" si="1"/>
        <v>0</v>
      </c>
      <c r="N30" s="915"/>
      <c r="O30" s="620">
        <f t="shared" si="2"/>
        <v>0</v>
      </c>
      <c r="P30" s="919"/>
      <c r="Q30" s="676"/>
      <c r="R30" s="676"/>
      <c r="S30" s="517"/>
      <c r="T30" s="515"/>
      <c r="U30" s="516"/>
      <c r="V30" s="516"/>
      <c r="W30" s="516"/>
      <c r="X30" s="515"/>
      <c r="Y30" s="516"/>
    </row>
    <row r="31" spans="1:25" s="20" customFormat="1" ht="18">
      <c r="A31" s="128" t="str">
        <f>IF(B31="","",(VLOOKUP(B:B,'0.39'!B:F,5,FALSE)))</f>
        <v/>
      </c>
      <c r="B31" s="128" t="str">
        <f>IF(BASIC_TOOL!$C$23=1,D31,IF(BASIC_TOOL!$C$23=2,F31,IF(BASIC_TOOL!$C$23=3,H31)))</f>
        <v/>
      </c>
      <c r="C31" s="128" t="str">
        <f>IF(BASIC_TOOL!$C$23=1,E31,IF(BASIC_TOOL!$C$23=2,G31,IF(BASIC_TOOL!$C$23=3,I31)))</f>
        <v/>
      </c>
      <c r="D31" s="129" t="str">
        <f t="array" ref="D31">IF( ISERROR(INDEX($K$8:$K$32,SMALL(IF($M$8:$M$32&lt;&gt;0,ROW($M$8:$M$32)-7),ROW(D24)))),"",INDEX($K$8:$K$32,SMALL(IF($M$8:$M$32&lt;&gt;0,ROW($M$8:$M$32)-7),ROW(D24))))</f>
        <v/>
      </c>
      <c r="E31" s="129" t="str">
        <f t="array" ref="E31">IF(ISERROR(INDEX($M$8:$M$32,SMALL(IF($M$8:$M$32&lt;&gt;0,ROW($M$8:$M$32)-7),ROW(E24)))),"",INDEX($M$8:$M$32,SMALL(IF($M$8:$M$32&lt;&gt;0,ROW($M$8:$M$32)-7),ROW(E24))))</f>
        <v/>
      </c>
      <c r="F31" s="129" t="str">
        <f t="array" ref="F31">IF(ISERROR(INDEX($K$8:$K$32,SMALL(IF($N$8:$N$32&lt;&gt;0,ROW($N$8:$N$32)-7),ROW(F24)))),"",INDEX($K$8:$K$32,SMALL(IF($N$8:$N$32&lt;&gt;0,ROW($N$8:$N$32)-7),ROW(F24))))</f>
        <v/>
      </c>
      <c r="G31" s="129" t="str">
        <f t="array" ref="G31">IF(ISERROR(INDEX($N$8:$N$32,SMALL(IF($N$8:$N$32&lt;&gt;0,ROW($N$8:$N$32)-7),ROW(G24)))),"",INDEX($N$8:$N$32,SMALL(IF($N$8:$N$32&lt;&gt;0,ROW($N$8:$N$32)-7),ROW(G24))))</f>
        <v/>
      </c>
      <c r="H31" s="129" t="str">
        <f t="array" ref="H31">IF(ISERROR(INDEX($K$8:$K$33,SMALL(IF($O$8:$O$33&lt;&gt;0,ROW($O$8:$O$33)-7),ROW(H24)))),"",INDEX($K$8:$K$33,SMALL(IF($O$8:$O$33&lt;&gt;0,ROW($O$8:$O$33)-7),ROW(H24))))</f>
        <v/>
      </c>
      <c r="I31" s="130" t="str">
        <f t="array" ref="I31">IF(ISERROR(INDEX($O$8:$O$33,SMALL(IF($O$8:$O$33&lt;&gt;0,ROW($O$8:$O$33)-7),ROW(I24)))),"",INDEX($O$8:$O$33,SMALL(IF($O$8:$O$33&lt;&gt;0,ROW($O$8:$O$33)-7),ROW(I24))))</f>
        <v/>
      </c>
      <c r="J31" s="1615"/>
      <c r="K31" s="927"/>
      <c r="L31" s="512">
        <f>IF(BASIC_TOOL!$C$23=1,M31,IF(BASIC_TOOL!$C$23=2,N31,IF(BASIC_TOOL!$C$23=3,O31)))</f>
        <v>0</v>
      </c>
      <c r="M31" s="915">
        <f t="shared" ref="M31:M33" si="3">P31+Q31+R31+S31+T31+U31+V31+X31+Y31</f>
        <v>0</v>
      </c>
      <c r="N31" s="915"/>
      <c r="O31" s="620">
        <f t="shared" si="2"/>
        <v>0</v>
      </c>
      <c r="P31" s="919"/>
      <c r="Q31" s="676"/>
      <c r="R31" s="676"/>
      <c r="S31" s="515"/>
      <c r="T31" s="515"/>
      <c r="U31" s="516"/>
      <c r="V31" s="516"/>
      <c r="W31" s="516"/>
      <c r="X31" s="515"/>
      <c r="Y31" s="516"/>
    </row>
    <row r="32" spans="1:25" s="20" customFormat="1" ht="18">
      <c r="A32" s="128" t="str">
        <f>IF(B32="","",(VLOOKUP(B:B,'0.39'!B:F,5,FALSE)))</f>
        <v/>
      </c>
      <c r="B32" s="128" t="str">
        <f>IF(BASIC_TOOL!$C$23=1,D32,IF(BASIC_TOOL!$C$23=2,F32,IF(BASIC_TOOL!$C$23=3,H32)))</f>
        <v/>
      </c>
      <c r="C32" s="128" t="str">
        <f>IF(BASIC_TOOL!$C$23=1,E32,IF(BASIC_TOOL!$C$23=2,G32,IF(BASIC_TOOL!$C$23=3,I32)))</f>
        <v/>
      </c>
      <c r="D32" s="129" t="str">
        <f t="array" ref="D32">IF( ISERROR(INDEX($K$8:$K$32,SMALL(IF($M$8:$M$32&lt;&gt;0,ROW($M$8:$M$32)-7),ROW(D25)))),"",INDEX($K$8:$K$32,SMALL(IF($M$8:$M$32&lt;&gt;0,ROW($M$8:$M$32)-7),ROW(D25))))</f>
        <v/>
      </c>
      <c r="E32" s="129" t="str">
        <f t="array" ref="E32">IF(ISERROR(INDEX($M$8:$M$32,SMALL(IF($M$8:$M$32&lt;&gt;0,ROW($M$8:$M$32)-7),ROW(E25)))),"",INDEX($M$8:$M$32,SMALL(IF($M$8:$M$32&lt;&gt;0,ROW($M$8:$M$32)-7),ROW(E25))))</f>
        <v/>
      </c>
      <c r="F32" s="129" t="str">
        <f t="array" ref="F32">IF(ISERROR(INDEX($K$8:$K$32,SMALL(IF($N$8:$N$32&lt;&gt;0,ROW($N$8:$N$32)-7),ROW(F25)))),"",INDEX($K$8:$K$32,SMALL(IF($N$8:$N$32&lt;&gt;0,ROW($N$8:$N$32)-7),ROW(F25))))</f>
        <v/>
      </c>
      <c r="G32" s="129" t="str">
        <f t="array" ref="G32">IF(ISERROR(INDEX($N$8:$N$32,SMALL(IF($N$8:$N$32&lt;&gt;0,ROW($N$8:$N$32)-7),ROW(G25)))),"",INDEX($N$8:$N$32,SMALL(IF($N$8:$N$32&lt;&gt;0,ROW($N$8:$N$32)-7),ROW(G25))))</f>
        <v/>
      </c>
      <c r="H32" s="129" t="str">
        <f t="array" ref="H32">IF(ISERROR(INDEX($K$8:$K$33,SMALL(IF($O$8:$O$33&lt;&gt;0,ROW($O$8:$O$33)-7),ROW(H25)))),"",INDEX($K$8:$K$33,SMALL(IF($O$8:$O$33&lt;&gt;0,ROW($O$8:$O$33)-7),ROW(H25))))</f>
        <v/>
      </c>
      <c r="I32" s="130" t="str">
        <f t="array" ref="I32">IF(ISERROR(INDEX($O$8:$O$33,SMALL(IF($O$8:$O$33&lt;&gt;0,ROW($O$8:$O$33)-7),ROW(I25)))),"",INDEX($O$8:$O$33,SMALL(IF($O$8:$O$33&lt;&gt;0,ROW($O$8:$O$33)-7),ROW(I25))))</f>
        <v/>
      </c>
      <c r="J32" s="1615"/>
      <c r="K32" s="927"/>
      <c r="L32" s="512">
        <f>IF(BASIC_TOOL!$C$23=1,M32,IF(BASIC_TOOL!$C$23=2,N32,IF(BASIC_TOOL!$C$23=3,O32)))</f>
        <v>0</v>
      </c>
      <c r="M32" s="915">
        <f t="shared" si="3"/>
        <v>0</v>
      </c>
      <c r="N32" s="915"/>
      <c r="O32" s="620">
        <f t="shared" si="2"/>
        <v>0</v>
      </c>
      <c r="P32" s="919"/>
      <c r="Q32" s="676"/>
      <c r="R32" s="676"/>
      <c r="S32" s="515"/>
      <c r="T32" s="515"/>
      <c r="U32" s="516"/>
      <c r="V32" s="516"/>
      <c r="W32" s="516"/>
      <c r="X32" s="515"/>
      <c r="Y32" s="516"/>
    </row>
    <row r="33" spans="1:25" ht="18.75" thickBot="1">
      <c r="A33" s="128" t="str">
        <f>IF(B33="","",(VLOOKUP(B:B,'0.39'!B:F,5,FALSE)))</f>
        <v/>
      </c>
      <c r="B33" s="128" t="str">
        <f>IF(BASIC_TOOL!$C$23=1,D33,IF(BASIC_TOOL!$C$23=2,F33,IF(BASIC_TOOL!$C$23=3,H33)))</f>
        <v/>
      </c>
      <c r="C33" s="128" t="str">
        <f>IF(BASIC_TOOL!$C$23=1,E33,IF(BASIC_TOOL!$C$23=2,G33,IF(BASIC_TOOL!$C$23=3,I33)))</f>
        <v/>
      </c>
      <c r="D33" s="129" t="str">
        <f t="array" ref="D33">IF( ISERROR(INDEX($K$8:$K$32,SMALL(IF($M$8:$M$32&lt;&gt;0,ROW($M$8:$M$32)-7),ROW(D26)))),"",INDEX($K$8:$K$32,SMALL(IF($M$8:$M$32&lt;&gt;0,ROW($M$8:$M$32)-7),ROW(D26))))</f>
        <v/>
      </c>
      <c r="E33" s="129" t="str">
        <f t="array" ref="E33">IF(ISERROR(INDEX($M$8:$M$32,SMALL(IF($M$8:$M$32&lt;&gt;0,ROW($M$8:$M$32)-7),ROW(E26)))),"",INDEX($M$8:$M$32,SMALL(IF($M$8:$M$32&lt;&gt;0,ROW($M$8:$M$32)-7),ROW(E26))))</f>
        <v/>
      </c>
      <c r="F33" s="129" t="str">
        <f t="array" ref="F33">IF(ISERROR(INDEX($K$8:$K$32,SMALL(IF($N$8:$N$32&lt;&gt;0,ROW($N$8:$N$32)-7),ROW(F26)))),"",INDEX($K$8:$K$32,SMALL(IF($N$8:$N$32&lt;&gt;0,ROW($N$8:$N$32)-7),ROW(F26))))</f>
        <v/>
      </c>
      <c r="G33" s="129" t="str">
        <f t="array" ref="G33">IF(ISERROR(INDEX($N$8:$N$32,SMALL(IF($N$8:$N$32&lt;&gt;0,ROW($N$8:$N$32)-7),ROW(G26)))),"",INDEX($N$8:$N$32,SMALL(IF($N$8:$N$32&lt;&gt;0,ROW($N$8:$N$32)-7),ROW(G26))))</f>
        <v/>
      </c>
      <c r="H33" s="129" t="str">
        <f t="array" ref="H33">IF(ISERROR(INDEX($K$8:$K$33,SMALL(IF($O$8:$O$33&lt;&gt;0,ROW($O$8:$O$33)-7),ROW(H26)))),"",INDEX($K$8:$K$33,SMALL(IF($O$8:$O$33&lt;&gt;0,ROW($O$8:$O$33)-7),ROW(H26))))</f>
        <v/>
      </c>
      <c r="I33" s="130" t="str">
        <f t="array" ref="I33">IF(ISERROR(INDEX($O$8:$O$33,SMALL(IF($O$8:$O$33&lt;&gt;0,ROW($O$8:$O$33)-7),ROW(I26)))),"",INDEX($O$8:$O$33,SMALL(IF($O$8:$O$33&lt;&gt;0,ROW($O$8:$O$33)-7),ROW(I26))))</f>
        <v/>
      </c>
      <c r="J33" s="1616"/>
      <c r="K33" s="927"/>
      <c r="L33" s="512">
        <f>IF(BASIC_TOOL!$C$23=1,M33,IF(BASIC_TOOL!$C$23=2,N33,IF(BASIC_TOOL!$C$23=3,O33)))</f>
        <v>0</v>
      </c>
      <c r="M33" s="915">
        <f t="shared" si="3"/>
        <v>0</v>
      </c>
      <c r="N33" s="915"/>
      <c r="O33" s="620">
        <f t="shared" si="2"/>
        <v>0</v>
      </c>
      <c r="P33" s="919"/>
      <c r="Q33" s="676"/>
      <c r="R33" s="676"/>
      <c r="S33" s="515"/>
      <c r="T33" s="515"/>
      <c r="U33" s="516"/>
      <c r="V33" s="516"/>
      <c r="W33" s="516"/>
      <c r="X33" s="515"/>
      <c r="Y33" s="516"/>
    </row>
    <row r="34" spans="1:25" ht="18">
      <c r="I34" s="179" t="str">
        <f t="array" ref="I34">IF(ISERROR(INDEX($O$8:$O$33,SMALL(IF($O$8:$O$33&lt;&gt;0,ROW($O$8:$O$33)-7),ROW(I28)))),"",INDEX($O$8:$O$33,SMALL(IF($O$8:$O$33&lt;&gt;0,ROW($O$8:$O$33)-7),ROW(I28))))</f>
        <v/>
      </c>
    </row>
    <row r="35" spans="1:25" ht="18">
      <c r="I35" s="179" t="str">
        <f t="array" ref="I35">IF(ISERROR(INDEX($O$8:$O$33,SMALL(IF($O$8:$O$33&lt;&gt;0,ROW($O$8:$O$33)-7),ROW(I29)))),"",INDEX($O$8:$O$33,SMALL(IF($O$8:$O$33&lt;&gt;0,ROW($O$8:$O$33)-7),ROW(I29))))</f>
        <v/>
      </c>
      <c r="P35" s="14">
        <f>W_F+L1_F+L2_F+L3_F+L4_F</f>
        <v>0</v>
      </c>
    </row>
    <row r="36" spans="1:25" ht="18">
      <c r="I36" s="179"/>
      <c r="T36" s="11"/>
      <c r="U36" s="15"/>
      <c r="V36" s="15"/>
      <c r="W36" s="15"/>
      <c r="X36" s="11"/>
      <c r="Y36" s="15"/>
    </row>
    <row r="37" spans="1:25" ht="18">
      <c r="I37" s="179"/>
      <c r="T37" s="16"/>
      <c r="U37" s="11"/>
      <c r="V37" s="11"/>
      <c r="W37" s="17"/>
      <c r="X37" s="16"/>
      <c r="Y37" s="17"/>
    </row>
    <row r="38" spans="1:25" ht="18">
      <c r="I38" s="179"/>
      <c r="S38" s="493"/>
      <c r="T38" s="16"/>
      <c r="U38" s="11"/>
      <c r="V38" s="11"/>
      <c r="W38" s="17"/>
      <c r="X38" s="16"/>
      <c r="Y38" s="17"/>
    </row>
    <row r="39" spans="1:25" ht="19.5">
      <c r="I39" s="179"/>
      <c r="P39" s="1617"/>
      <c r="Q39" s="1617"/>
      <c r="R39" s="1617"/>
      <c r="S39" s="508"/>
      <c r="T39" s="10"/>
      <c r="U39" s="10"/>
      <c r="V39" s="10"/>
      <c r="W39" s="10"/>
      <c r="X39" s="10"/>
      <c r="Y39" s="10"/>
    </row>
    <row r="40" spans="1:25" ht="19.5">
      <c r="I40" s="179"/>
      <c r="J40" s="20"/>
      <c r="K40" s="505"/>
      <c r="L40" s="505"/>
      <c r="M40" s="506"/>
      <c r="N40" s="21"/>
      <c r="O40" s="21"/>
      <c r="P40" s="508"/>
      <c r="Q40" s="508"/>
      <c r="R40" s="508"/>
      <c r="S40" s="508"/>
      <c r="T40" s="507"/>
      <c r="U40" s="508"/>
      <c r="V40" s="505"/>
      <c r="W40" s="505"/>
      <c r="X40" s="505"/>
      <c r="Y40" s="505"/>
    </row>
    <row r="41" spans="1:25" ht="19.5">
      <c r="I41" s="179"/>
      <c r="J41" s="20"/>
      <c r="K41" s="505"/>
      <c r="L41" s="505"/>
      <c r="M41" s="509"/>
      <c r="N41" s="505"/>
      <c r="O41" s="505"/>
      <c r="P41" s="111"/>
      <c r="Q41" s="508"/>
      <c r="R41" s="508"/>
      <c r="S41" s="505"/>
      <c r="T41" s="505"/>
      <c r="U41" s="508"/>
      <c r="V41" s="508"/>
      <c r="W41" s="508"/>
      <c r="X41" s="505"/>
      <c r="Y41" s="505"/>
    </row>
    <row r="42" spans="1:25" ht="17.649999999999999" customHeight="1">
      <c r="I42" s="179"/>
      <c r="J42" s="494"/>
      <c r="L42" s="505"/>
      <c r="N42" s="13"/>
      <c r="O42" s="495"/>
      <c r="P42" s="496"/>
      <c r="Q42" s="497"/>
      <c r="R42" s="10"/>
      <c r="S42" s="16"/>
      <c r="T42" s="16"/>
      <c r="U42" s="498"/>
      <c r="V42" s="498"/>
      <c r="W42" s="17"/>
      <c r="X42" s="16"/>
      <c r="Y42" s="17"/>
    </row>
    <row r="43" spans="1:25" ht="19.5">
      <c r="I43" s="179"/>
      <c r="J43" s="20"/>
      <c r="L43" s="505"/>
      <c r="N43" s="13"/>
      <c r="O43" s="495"/>
      <c r="P43" s="497"/>
      <c r="Q43" s="499"/>
      <c r="R43" s="10"/>
      <c r="S43" s="499"/>
      <c r="T43" s="10"/>
      <c r="U43" s="498"/>
      <c r="V43" s="498"/>
      <c r="W43" s="17"/>
      <c r="X43" s="499"/>
      <c r="Y43" s="17"/>
    </row>
    <row r="44" spans="1:25" ht="19.5">
      <c r="I44" s="179"/>
      <c r="J44" s="20"/>
      <c r="L44" s="505"/>
      <c r="N44" s="13"/>
      <c r="O44" s="495"/>
      <c r="P44" s="496"/>
      <c r="Q44" s="497"/>
      <c r="R44" s="10"/>
      <c r="S44" s="16"/>
      <c r="T44" s="16"/>
      <c r="U44" s="498"/>
      <c r="V44" s="498"/>
      <c r="W44" s="17"/>
      <c r="X44" s="16"/>
      <c r="Y44" s="17"/>
    </row>
    <row r="45" spans="1:25" ht="19.5">
      <c r="I45" s="179"/>
      <c r="J45" s="20"/>
      <c r="L45" s="505"/>
      <c r="N45" s="13"/>
      <c r="O45" s="495"/>
      <c r="P45" s="497"/>
      <c r="Q45" s="499"/>
      <c r="R45" s="10"/>
      <c r="S45" s="499"/>
      <c r="T45" s="16"/>
      <c r="U45" s="500"/>
      <c r="V45" s="498"/>
      <c r="W45" s="17"/>
      <c r="X45" s="16"/>
      <c r="Y45" s="17"/>
    </row>
    <row r="46" spans="1:25" ht="19.5">
      <c r="I46" s="179"/>
      <c r="J46" s="20"/>
      <c r="L46" s="505"/>
      <c r="N46" s="13"/>
      <c r="O46" s="495"/>
      <c r="P46" s="501"/>
      <c r="Q46" s="502"/>
      <c r="R46" s="503"/>
      <c r="S46" s="499"/>
      <c r="T46" s="10"/>
      <c r="U46" s="500"/>
      <c r="V46" s="498"/>
      <c r="W46" s="17"/>
      <c r="X46" s="17"/>
      <c r="Y46" s="17"/>
    </row>
    <row r="47" spans="1:25" ht="19.5">
      <c r="I47" s="179"/>
      <c r="J47" s="20"/>
      <c r="L47" s="505"/>
      <c r="N47" s="13"/>
      <c r="O47" s="495"/>
      <c r="P47" s="496"/>
      <c r="Q47" s="499"/>
      <c r="R47" s="10"/>
      <c r="S47" s="499"/>
      <c r="T47" s="16"/>
      <c r="U47" s="498"/>
      <c r="V47" s="498"/>
      <c r="W47" s="17"/>
      <c r="X47" s="16"/>
      <c r="Y47" s="17"/>
    </row>
    <row r="48" spans="1:25" ht="19.5">
      <c r="I48" s="179"/>
      <c r="J48" s="20"/>
      <c r="L48" s="505"/>
      <c r="N48" s="13"/>
      <c r="O48" s="495"/>
      <c r="P48" s="496"/>
      <c r="Q48" s="10"/>
      <c r="R48" s="10"/>
      <c r="S48" s="16"/>
      <c r="T48" s="16"/>
      <c r="U48" s="498"/>
      <c r="V48" s="498"/>
      <c r="W48" s="17"/>
      <c r="X48" s="16"/>
      <c r="Y48" s="10"/>
    </row>
    <row r="49" spans="9:25" ht="19.5">
      <c r="I49" s="179"/>
      <c r="J49" s="20"/>
      <c r="L49" s="505"/>
      <c r="N49" s="13"/>
      <c r="O49" s="495"/>
      <c r="P49" s="496"/>
      <c r="Q49" s="10"/>
      <c r="R49" s="10"/>
      <c r="S49" s="16"/>
      <c r="T49" s="16"/>
      <c r="U49" s="498"/>
      <c r="V49" s="498"/>
      <c r="W49" s="17"/>
      <c r="X49" s="16"/>
      <c r="Y49" s="10"/>
    </row>
    <row r="50" spans="9:25" ht="19.5">
      <c r="I50" s="179"/>
      <c r="J50" s="20"/>
      <c r="L50" s="505"/>
      <c r="N50" s="13"/>
      <c r="O50" s="495"/>
      <c r="P50" s="496"/>
      <c r="Q50" s="10"/>
      <c r="R50" s="10"/>
      <c r="S50" s="16"/>
      <c r="T50" s="16"/>
      <c r="U50" s="498"/>
      <c r="V50" s="498"/>
      <c r="W50" s="17"/>
      <c r="X50" s="16"/>
      <c r="Y50" s="17"/>
    </row>
    <row r="51" spans="9:25" ht="19.5">
      <c r="I51" s="179"/>
      <c r="J51" s="20"/>
      <c r="L51" s="505"/>
      <c r="N51" s="13"/>
      <c r="O51" s="495"/>
      <c r="P51" s="504"/>
      <c r="Q51" s="20"/>
      <c r="R51" s="20"/>
      <c r="S51" s="16"/>
      <c r="T51" s="16"/>
      <c r="U51" s="498"/>
      <c r="V51" s="498"/>
      <c r="W51" s="17"/>
      <c r="X51" s="16"/>
      <c r="Y51" s="17"/>
    </row>
    <row r="52" spans="9:25" ht="19.5">
      <c r="I52" s="179"/>
      <c r="J52" s="20"/>
      <c r="L52" s="505"/>
      <c r="N52" s="13"/>
      <c r="O52" s="495"/>
      <c r="P52" s="496"/>
      <c r="Q52" s="10"/>
      <c r="R52" s="10"/>
      <c r="S52" s="16"/>
      <c r="T52" s="16"/>
      <c r="U52" s="498"/>
      <c r="V52" s="498"/>
      <c r="W52" s="17"/>
      <c r="X52" s="16"/>
      <c r="Y52" s="17"/>
    </row>
    <row r="53" spans="9:25" ht="19.5">
      <c r="I53" s="179"/>
      <c r="J53" s="20"/>
      <c r="L53" s="505"/>
      <c r="N53" s="13"/>
      <c r="O53" s="495"/>
      <c r="P53" s="504"/>
      <c r="Q53" s="20"/>
      <c r="R53" s="20"/>
      <c r="S53" s="16"/>
      <c r="T53" s="16"/>
      <c r="U53" s="498"/>
      <c r="V53" s="498"/>
      <c r="W53" s="17"/>
      <c r="X53" s="16"/>
      <c r="Y53" s="17"/>
    </row>
    <row r="54" spans="9:25" ht="19.5">
      <c r="J54" s="20"/>
      <c r="L54" s="505"/>
      <c r="N54" s="13"/>
      <c r="O54" s="495"/>
      <c r="P54" s="504"/>
      <c r="Q54" s="20"/>
      <c r="R54" s="20"/>
      <c r="X54" s="11"/>
      <c r="Y54" s="15"/>
    </row>
    <row r="55" spans="9:25" ht="19.5">
      <c r="J55" s="20"/>
      <c r="L55" s="505"/>
      <c r="N55" s="13"/>
      <c r="O55" s="495"/>
      <c r="P55" s="496"/>
      <c r="Q55" s="10"/>
      <c r="R55" s="10"/>
      <c r="S55" s="16"/>
      <c r="T55" s="16"/>
      <c r="U55" s="498"/>
      <c r="V55" s="498"/>
      <c r="W55" s="17"/>
      <c r="X55" s="16"/>
      <c r="Y55" s="17"/>
    </row>
    <row r="56" spans="9:25" ht="17.649999999999999" customHeight="1">
      <c r="J56" s="494"/>
      <c r="L56" s="505"/>
      <c r="N56" s="13"/>
      <c r="O56" s="495"/>
      <c r="P56" s="504"/>
      <c r="Q56" s="20"/>
      <c r="R56" s="21"/>
      <c r="S56" s="16"/>
      <c r="T56" s="16"/>
      <c r="U56" s="498"/>
      <c r="V56" s="17"/>
      <c r="W56" s="17"/>
      <c r="X56" s="16"/>
      <c r="Y56" s="17"/>
    </row>
    <row r="57" spans="9:25" ht="19.5">
      <c r="J57" s="494"/>
      <c r="L57" s="505"/>
      <c r="N57" s="13"/>
      <c r="O57" s="495"/>
      <c r="P57" s="504"/>
      <c r="Q57" s="20"/>
      <c r="R57" s="20"/>
      <c r="S57" s="499"/>
      <c r="T57" s="16"/>
      <c r="U57" s="498"/>
      <c r="V57" s="17"/>
      <c r="W57" s="17"/>
      <c r="X57" s="16"/>
      <c r="Y57" s="17"/>
    </row>
    <row r="58" spans="9:25" ht="19.5">
      <c r="J58" s="494"/>
      <c r="L58" s="505"/>
      <c r="N58" s="13"/>
      <c r="O58" s="495"/>
      <c r="P58" s="504"/>
      <c r="Q58" s="20"/>
      <c r="R58" s="20"/>
      <c r="S58" s="16"/>
      <c r="T58" s="16"/>
      <c r="U58" s="498"/>
      <c r="V58" s="17"/>
      <c r="W58" s="17"/>
      <c r="X58" s="16"/>
      <c r="Y58" s="17"/>
    </row>
    <row r="59" spans="9:25" ht="19.5">
      <c r="J59" s="494"/>
      <c r="L59" s="505"/>
      <c r="N59" s="13"/>
      <c r="O59" s="495"/>
      <c r="P59" s="504"/>
      <c r="Q59" s="20"/>
      <c r="R59" s="20"/>
      <c r="S59" s="16"/>
      <c r="T59" s="16"/>
      <c r="U59" s="498"/>
      <c r="V59" s="17"/>
      <c r="W59" s="17"/>
      <c r="X59" s="16"/>
      <c r="Y59" s="17"/>
    </row>
    <row r="60" spans="9:25" ht="17.25">
      <c r="J60" s="494"/>
      <c r="L60" s="11"/>
      <c r="N60" s="13"/>
      <c r="O60" s="495"/>
      <c r="P60" s="504"/>
      <c r="Q60" s="20"/>
      <c r="R60" s="20"/>
      <c r="S60" s="16"/>
      <c r="T60" s="16"/>
      <c r="U60" s="498"/>
      <c r="V60" s="17"/>
      <c r="W60" s="17"/>
      <c r="X60" s="16"/>
      <c r="Y60" s="17"/>
    </row>
  </sheetData>
  <mergeCells count="7">
    <mergeCell ref="D6:E6"/>
    <mergeCell ref="F6:G6"/>
    <mergeCell ref="H6:I6"/>
    <mergeCell ref="J29:J33"/>
    <mergeCell ref="P39:R39"/>
    <mergeCell ref="J8:J21"/>
    <mergeCell ref="J22:J26"/>
  </mergeCells>
  <phoneticPr fontId="13" type="noConversion"/>
  <pageMargins left="0.7" right="0.7" top="0.75" bottom="0.75" header="0.3" footer="0.3"/>
  <pageSetup paperSize="9" scale="33" fitToHeight="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pageSetUpPr fitToPage="1"/>
  </sheetPr>
  <dimension ref="A1:AB49"/>
  <sheetViews>
    <sheetView zoomScale="70" zoomScaleNormal="70" workbookViewId="0">
      <selection activeCell="Q24" sqref="Q24"/>
    </sheetView>
  </sheetViews>
  <sheetFormatPr defaultColWidth="8.875" defaultRowHeight="18"/>
  <cols>
    <col min="1" max="1" width="22.25" style="176" bestFit="1" customWidth="1"/>
    <col min="2" max="2" width="17.875" style="176" bestFit="1" customWidth="1"/>
    <col min="3" max="3" width="5.375" style="176" customWidth="1"/>
    <col min="4" max="4" width="18.625" style="181" hidden="1" customWidth="1"/>
    <col min="5" max="5" width="5.875" style="181" hidden="1" customWidth="1"/>
    <col min="6" max="6" width="19.875" style="181" hidden="1" customWidth="1"/>
    <col min="7" max="7" width="5.125" style="181" hidden="1" customWidth="1"/>
    <col min="8" max="8" width="21" style="181" bestFit="1" customWidth="1"/>
    <col min="9" max="9" width="6.125" style="176" bestFit="1" customWidth="1"/>
    <col min="10" max="10" width="5.125" style="176" customWidth="1"/>
    <col min="11" max="11" width="20.75" style="176" customWidth="1"/>
    <col min="12" max="12" width="26.375" style="176" bestFit="1" customWidth="1"/>
    <col min="13" max="13" width="11.375" style="187" bestFit="1" customWidth="1"/>
    <col min="14" max="14" width="9.125" style="188" hidden="1" customWidth="1"/>
    <col min="15" max="15" width="9.25" style="176" hidden="1" customWidth="1"/>
    <col min="16" max="16" width="9.25" style="176" customWidth="1"/>
    <col min="17" max="17" width="18.125" style="189" bestFit="1" customWidth="1"/>
    <col min="18" max="18" width="15.75" style="181" customWidth="1"/>
    <col min="19" max="19" width="13.125" style="181" customWidth="1"/>
    <col min="20" max="20" width="12.875" style="181" bestFit="1" customWidth="1"/>
    <col min="21" max="21" width="16.125" style="181" bestFit="1" customWidth="1"/>
    <col min="22" max="22" width="13.125" style="189" customWidth="1"/>
    <col min="23" max="24" width="18.375" style="189" bestFit="1" customWidth="1"/>
    <col min="25" max="25" width="18.125" style="181" customWidth="1"/>
    <col min="26" max="26" width="18.125" style="189" customWidth="1"/>
    <col min="27" max="16384" width="8.875" style="176"/>
  </cols>
  <sheetData>
    <row r="1" spans="1:28" ht="49.9" customHeight="1">
      <c r="L1" s="176" t="str">
        <f>"▣ Size : "&amp;W_O&amp;" x ("&amp;L1_O&amp;"+"&amp;L2_O&amp;"+"&amp;L3_O&amp;"+"&amp;L4_O&amp;") x"&amp;H_O&amp;"mH ="&amp;BASIC_TOOL!H11&amp;" [TON]/ 1[SET]"&amp;"         "</f>
        <v xml:space="preserve">▣ Size : 10 x (5+0+0+0) x3mH =150 [TON]/ 1[SET]         </v>
      </c>
      <c r="R1" s="946" t="str">
        <f>BASIC_TOOL!D13</f>
        <v>Use Side Panel
(1mx1m)</v>
      </c>
      <c r="S1" s="947" t="str">
        <f>BASIC_TOOL!E14</f>
        <v>NO</v>
      </c>
    </row>
    <row r="2" spans="1:28">
      <c r="D2" s="111"/>
      <c r="G2" s="111"/>
      <c r="H2" s="111"/>
      <c r="M2" s="187">
        <f>(W_C+W_F-1+L_O_C+L_O_F-1-N_PA)*2</f>
        <v>26</v>
      </c>
      <c r="U2" s="111"/>
      <c r="V2" s="187"/>
      <c r="W2" s="187"/>
      <c r="X2" s="187"/>
      <c r="Y2" s="111"/>
      <c r="Z2" s="187"/>
    </row>
    <row r="3" spans="1:28">
      <c r="D3" s="111"/>
      <c r="E3" s="111"/>
      <c r="F3" s="111"/>
      <c r="G3" s="111"/>
      <c r="H3" s="111"/>
      <c r="U3" s="177"/>
      <c r="V3" s="111"/>
      <c r="W3" s="111"/>
      <c r="X3" s="190"/>
      <c r="Y3" s="177"/>
      <c r="Z3" s="190"/>
    </row>
    <row r="4" spans="1:28" ht="43.5" customHeight="1">
      <c r="D4" s="177"/>
      <c r="E4" s="177"/>
      <c r="F4" s="177"/>
      <c r="G4" s="177"/>
      <c r="H4" s="177"/>
      <c r="T4" s="175" t="s">
        <v>379</v>
      </c>
      <c r="U4" s="177"/>
      <c r="V4" s="111"/>
      <c r="W4" s="111"/>
      <c r="X4" s="190"/>
      <c r="Y4" s="177"/>
      <c r="Z4" s="190"/>
    </row>
    <row r="5" spans="1:28" ht="21" thickBot="1">
      <c r="B5" s="181" t="s">
        <v>393</v>
      </c>
      <c r="D5" s="177"/>
      <c r="E5" s="111"/>
      <c r="F5" s="178" t="s">
        <v>384</v>
      </c>
      <c r="G5" s="177"/>
      <c r="H5" s="177"/>
      <c r="Q5" s="176"/>
      <c r="R5" s="176"/>
      <c r="S5" s="176"/>
      <c r="T5" s="191"/>
      <c r="U5" s="176"/>
      <c r="V5" s="176"/>
      <c r="W5" s="176"/>
      <c r="X5" s="176"/>
      <c r="Y5" s="176"/>
      <c r="Z5" s="176"/>
    </row>
    <row r="6" spans="1:28" s="179" customFormat="1" ht="21.75" customHeight="1">
      <c r="B6" s="180">
        <f>BASIC_TOOL!C23</f>
        <v>3</v>
      </c>
      <c r="D6" s="1627" t="s">
        <v>385</v>
      </c>
      <c r="E6" s="1627"/>
      <c r="F6" s="1627" t="s">
        <v>386</v>
      </c>
      <c r="G6" s="1627"/>
      <c r="H6" s="1628" t="s">
        <v>387</v>
      </c>
      <c r="I6" s="1620"/>
      <c r="J6" s="111"/>
      <c r="K6" s="528"/>
      <c r="L6" s="529"/>
      <c r="M6" s="530" t="s">
        <v>318</v>
      </c>
      <c r="N6" s="531"/>
      <c r="O6" s="532"/>
      <c r="P6" s="532"/>
      <c r="Q6" s="533"/>
      <c r="R6" s="533"/>
      <c r="S6" s="533"/>
      <c r="T6" s="533"/>
      <c r="U6" s="533"/>
      <c r="V6" s="534"/>
      <c r="W6" s="535"/>
      <c r="X6" s="535"/>
      <c r="Y6" s="535"/>
      <c r="Z6" s="617"/>
      <c r="AA6" s="1619" t="s">
        <v>1256</v>
      </c>
      <c r="AB6" s="1620"/>
    </row>
    <row r="7" spans="1:28" s="179" customFormat="1" ht="45.75" thickBot="1">
      <c r="A7" s="185"/>
      <c r="B7" s="186" t="s">
        <v>382</v>
      </c>
      <c r="C7" s="186" t="s">
        <v>383</v>
      </c>
      <c r="D7" s="186" t="s">
        <v>382</v>
      </c>
      <c r="E7" s="186" t="s">
        <v>383</v>
      </c>
      <c r="F7" s="186" t="s">
        <v>382</v>
      </c>
      <c r="G7" s="527" t="s">
        <v>383</v>
      </c>
      <c r="H7" s="551" t="s">
        <v>382</v>
      </c>
      <c r="I7" s="552" t="s">
        <v>383</v>
      </c>
      <c r="J7" s="111"/>
      <c r="K7" s="536"/>
      <c r="L7" s="192" t="s">
        <v>382</v>
      </c>
      <c r="M7" s="510" t="str">
        <f>IF(BASIC_TOOL!$C$23=1,N7,IF(BASIC_TOOL!$C$23=2,O7,IF(BASIC_TOOL!$C$23=3,P7)))</f>
        <v>Type1</v>
      </c>
      <c r="N7" s="511" t="s">
        <v>388</v>
      </c>
      <c r="O7" s="512" t="s">
        <v>389</v>
      </c>
      <c r="P7" s="512" t="s">
        <v>387</v>
      </c>
      <c r="Q7" s="513" t="s">
        <v>374</v>
      </c>
      <c r="R7" s="513" t="s">
        <v>375</v>
      </c>
      <c r="S7" s="513" t="s">
        <v>376</v>
      </c>
      <c r="T7" s="513" t="s">
        <v>377</v>
      </c>
      <c r="U7" s="514" t="s">
        <v>378</v>
      </c>
      <c r="V7" s="513" t="s">
        <v>390</v>
      </c>
      <c r="W7" s="513" t="s">
        <v>391</v>
      </c>
      <c r="X7" s="513" t="s">
        <v>392</v>
      </c>
      <c r="Y7" s="514" t="s">
        <v>380</v>
      </c>
      <c r="Z7" s="929" t="s">
        <v>381</v>
      </c>
      <c r="AA7" s="1621" t="s">
        <v>1257</v>
      </c>
      <c r="AB7" s="1622"/>
    </row>
    <row r="8" spans="1:28" ht="17.649999999999999" customHeight="1">
      <c r="A8" s="183" t="str">
        <f>IF(B8="","",(VLOOKUP(B:B,'0.39'!B:F,5,FALSE)))</f>
        <v>IN-BRKT(2 tierod)_SS316</v>
      </c>
      <c r="B8" s="184" t="str">
        <f>IF(BASIC_TOOL!$C$23=1,D8,IF(BASIC_TOOL!$C$23=2,F8,IF(BASIC_TOOL!$C$23=3,H8)))</f>
        <v>WCP-17160SA4</v>
      </c>
      <c r="C8" s="184">
        <f>IF(BASIC_TOOL!$C$23=1,E8,IF(BASIC_TOOL!$C$23=2,G8,IF(BASIC_TOOL!$C$23=3,I8)))</f>
        <v>26</v>
      </c>
      <c r="D8" s="182" t="str">
        <f t="array" ref="D8">IF( ISERROR(INDEX($L$8:$L$24,SMALL(IF($N$8:$N$24&lt;&gt;0,ROW($N$8:$N$24)-7),ROW(D1)))),"",INDEX($L$8:$L$24,SMALL(IF($N$8:$N$24&lt;&gt;0,ROW($N$8:$N$24)-7),ROW(D1))))</f>
        <v>WBR-9090SA4</v>
      </c>
      <c r="E8" s="182">
        <f t="array" ref="E8">IF(ISERROR(INDEX($N$8:$N$24,SMALL(IF($N$8:$N$24&lt;&gt;0,ROW($N$8:$N$24)-7),ROW(E1)))),"",INDEX($N$8:$N$24,SMALL(IF($N$8:$N$24&lt;&gt;0,ROW($N$8:$N$24)-7),ROW(E1))))</f>
        <v>4</v>
      </c>
      <c r="F8" s="182" t="str">
        <f t="array" ref="F8">IF(ISERROR(INDEX($L$8:$L$24,SMALL(IF($O$8:$O$24&lt;&gt;0,ROW($O$8:$O$24)-7),ROW(F1)))),"",INDEX($L$8:$L$24,SMALL(IF($O$8:$O$24&lt;&gt;0,ROW($O$8:$O$24)-7),ROW(F1))))</f>
        <v>WBR-9090SA4</v>
      </c>
      <c r="G8" s="341">
        <f t="array" ref="G8">IF(ISERROR(INDEX($O$8:$O$24,SMALL(IF($O$8:$O$24&lt;&gt;0,ROW($O$8:$O$24)-7),ROW(G1)))),"",INDEX($O$8:$O$24,SMALL(IF($O$8:$O$24&lt;&gt;0,ROW($O$8:$O$24)-7),ROW(G1))))</f>
        <v>4</v>
      </c>
      <c r="H8" s="553" t="str">
        <f t="array" ref="H8">IF(ISERROR(INDEX($L$8:$L$26,SMALL(IF($P$8:$P$26&lt;&gt;0,ROW($P$8:$P$26)-7),ROW(H1)))),"",INDEX($L$8:$L$26,SMALL(IF($P$8:$P$26&lt;&gt;0,ROW($P$8:$P$26)-7),ROW(H1))))</f>
        <v>WCP-17160SA4</v>
      </c>
      <c r="I8" s="554">
        <f t="array" ref="I8">IF(ISERROR(INDEX($P$8:$P$26,SMALL(IF($P$8:$P$26&lt;&gt;0,ROW($P$8:$P$26)-7),ROW(I1)))),"",INDEX($P$8:$P$26,SMALL(IF($P$8:$P$26&lt;&gt;0,ROW($P$8:$P$26)-7),ROW(I1))))</f>
        <v>26</v>
      </c>
      <c r="J8" s="179"/>
      <c r="K8" s="1624" t="s">
        <v>1241</v>
      </c>
      <c r="L8" s="927" t="str">
        <f>IF(BASIC_TOOL!E23=2,"WFB-1200SA2","WFB-1200SA4")</f>
        <v>WFB-1200SA4</v>
      </c>
      <c r="M8" s="455">
        <f>표2_4[[#This Row],[열2]]</f>
        <v>0</v>
      </c>
      <c r="N8" s="455"/>
      <c r="O8" s="454"/>
      <c r="P8" s="454">
        <f>Q8+R8+S8+T8+U8+V8+W8+X8+Y8+Z8</f>
        <v>0</v>
      </c>
      <c r="Q8" s="455"/>
      <c r="R8" s="914"/>
      <c r="S8" s="914"/>
      <c r="T8" s="515"/>
      <c r="U8" s="515"/>
      <c r="V8" s="516"/>
      <c r="W8" s="516">
        <f>IF(OR(BASIC_TOOL!E15=0),IF(OR(H_O=1.5,H_O=2,H_O=2.5,H_O=3,H_O=3.5,H_O=4,H_O=4.5,H_O=5),(W_C+W_F-1)*N_PA,0),IF(OR(H_O=1.5),(W_C+W_F-1)*N_PA,0))</f>
        <v>0</v>
      </c>
      <c r="X8" s="516"/>
      <c r="Y8" s="515"/>
      <c r="Z8" s="930"/>
      <c r="AA8" s="619"/>
      <c r="AB8" s="918"/>
    </row>
    <row r="9" spans="1:28">
      <c r="A9" s="183" t="str">
        <f>IF(B9="","",(VLOOKUP(B:B,'0.39'!B:F,5,FALSE)))</f>
        <v>IN-BRKT(1 tierod)_SS316</v>
      </c>
      <c r="B9" s="184" t="str">
        <f>IF(BASIC_TOOL!$C$23=1,D9,IF(BASIC_TOOL!$C$23=2,F9,IF(BASIC_TOOL!$C$23=3,H9)))</f>
        <v>WCP-1760SA4</v>
      </c>
      <c r="C9" s="184">
        <f>IF(BASIC_TOOL!$C$23=1,E9,IF(BASIC_TOOL!$C$23=2,G9,IF(BASIC_TOOL!$C$23=3,I9)))</f>
        <v>26</v>
      </c>
      <c r="D9" s="182" t="str">
        <f t="array" ref="D9">IF( ISERROR(INDEX($L$8:$L$24,SMALL(IF($N$8:$N$24&lt;&gt;0,ROW($N$8:$N$24)-7),ROW(D2)))),"",INDEX($L$8:$L$24,SMALL(IF($N$8:$N$24&lt;&gt;0,ROW($N$8:$N$24)-7),ROW(D2))))</f>
        <v/>
      </c>
      <c r="E9" s="182" t="str">
        <f t="array" ref="E9">IF(ISERROR(INDEX($N$8:$N$24,SMALL(IF($N$8:$N$24&lt;&gt;0,ROW($N$8:$N$24)-7),ROW(E2)))),"",INDEX($N$8:$N$24,SMALL(IF($N$8:$N$24&lt;&gt;0,ROW($N$8:$N$24)-7),ROW(E2))))</f>
        <v/>
      </c>
      <c r="F9" s="182" t="str">
        <f t="array" ref="F9">IF(ISERROR(INDEX($L$8:$L$24,SMALL(IF($O$8:$O$24&lt;&gt;0,ROW($O$8:$O$24)-7),ROW(F2)))),"",INDEX($L$8:$L$24,SMALL(IF($O$8:$O$24&lt;&gt;0,ROW($O$8:$O$24)-7),ROW(F2))))</f>
        <v/>
      </c>
      <c r="G9" s="341" t="str">
        <f t="array" ref="G9">IF(ISERROR(INDEX($O$8:$O$24,SMALL(IF($O$8:$O$24&lt;&gt;0,ROW($O$8:$O$24)-7),ROW(G2)))),"",INDEX($O$8:$O$24,SMALL(IF($O$8:$O$24&lt;&gt;0,ROW($O$8:$O$24)-7),ROW(G2))))</f>
        <v/>
      </c>
      <c r="H9" s="553" t="str">
        <f t="array" ref="H9">IF(ISERROR(INDEX($L$8:$L$26,SMALL(IF($P$8:$P$26&lt;&gt;0,ROW($P$8:$P$26)-7),ROW(H2)))),"",INDEX($L$8:$L$26,SMALL(IF($P$8:$P$26&lt;&gt;0,ROW($P$8:$P$26)-7),ROW(H2))))</f>
        <v>WCP-1760SA4</v>
      </c>
      <c r="I9" s="554">
        <f t="array" ref="I9">IF(ISERROR(INDEX($P$8:$P$26,SMALL(IF($P$8:$P$26&lt;&gt;0,ROW($P$8:$P$26)-7),ROW(I2)))),"",INDEX($P$8:$P$26,SMALL(IF($P$8:$P$26&lt;&gt;0,ROW($P$8:$P$26)-7),ROW(I2))))</f>
        <v>26</v>
      </c>
      <c r="J9" s="179"/>
      <c r="K9" s="1625"/>
      <c r="L9" s="927" t="str">
        <f>IF(BASIC_TOOL!E23=2,"WFB-0880SA2","WFB-0880SA4")</f>
        <v>WFB-0880SA4</v>
      </c>
      <c r="M9" s="455">
        <f>표2_4[[#This Row],[열2]]</f>
        <v>0</v>
      </c>
      <c r="N9" s="455">
        <f>IF(BASIC_TOOL!C11&gt;0,Q9+R9+S9+T9+U9+V9+W9+X9+Y9+Z9,0)</f>
        <v>0</v>
      </c>
      <c r="O9" s="454">
        <f>IF(BASIC_TOOL!C11&gt;0,Q9+R9+S9+T9+U9+V9+W9+X9+Y9+Z9,0)</f>
        <v>0</v>
      </c>
      <c r="P9" s="454">
        <f>Q9+R9+S9+T9+U9+V9+W9+X9+Y9+Z9</f>
        <v>0</v>
      </c>
      <c r="Q9" s="455"/>
      <c r="R9" s="914"/>
      <c r="S9" s="914"/>
      <c r="T9" s="515"/>
      <c r="U9" s="515"/>
      <c r="V9" s="516"/>
      <c r="W9" s="516">
        <f>IF(AND(BASIC_TOOL!E15=1,H_O&gt;1.5),(W_C+W_F-1)*N_PA,0)+IF(AND(BASIC_TOOL!E15=0,H_O&gt;2),(W_C+W_F-1)*N_PA,0)</f>
        <v>0</v>
      </c>
      <c r="X9" s="516"/>
      <c r="Y9" s="515"/>
      <c r="Z9" s="930">
        <f>IF(BASIC_TOOL!B1=1,IF(H_O&gt;3.3,2*N_PA,0),0)</f>
        <v>0</v>
      </c>
      <c r="AA9" s="619"/>
      <c r="AB9" s="918"/>
    </row>
    <row r="10" spans="1:28">
      <c r="A10" s="183" t="str">
        <f>IF(B10="","",(VLOOKUP(B:B,'0.39'!B:F,5,FALSE)))</f>
        <v>Corner BRKT(SS316)</v>
      </c>
      <c r="B10" s="184" t="str">
        <f>IF(BASIC_TOOL!$C$23=1,D10,IF(BASIC_TOOL!$C$23=2,F10,IF(BASIC_TOOL!$C$23=3,H10)))</f>
        <v>WBR-9090SA4</v>
      </c>
      <c r="C10" s="184">
        <f>IF(BASIC_TOOL!$C$23=1,E10,IF(BASIC_TOOL!$C$23=2,G10,IF(BASIC_TOOL!$C$23=3,I10)))</f>
        <v>4</v>
      </c>
      <c r="D10" s="182" t="str">
        <f t="array" ref="D10">IF( ISERROR(INDEX($L$8:$L$24,SMALL(IF($N$8:$N$24&lt;&gt;0,ROW($N$8:$N$24)-7),ROW(D3)))),"",INDEX($L$8:$L$24,SMALL(IF($N$8:$N$24&lt;&gt;0,ROW($N$8:$N$24)-7),ROW(D3))))</f>
        <v/>
      </c>
      <c r="E10" s="182" t="str">
        <f t="array" ref="E10">IF(ISERROR(INDEX($N$8:$N$24,SMALL(IF($N$8:$N$24&lt;&gt;0,ROW($N$8:$N$24)-7),ROW(E3)))),"",INDEX($N$8:$N$24,SMALL(IF($N$8:$N$24&lt;&gt;0,ROW($N$8:$N$24)-7),ROW(E3))))</f>
        <v/>
      </c>
      <c r="F10" s="182" t="str">
        <f t="array" ref="F10">IF(ISERROR(INDEX($L$8:$L$24,SMALL(IF($O$8:$O$24&lt;&gt;0,ROW($O$8:$O$24)-7),ROW(F3)))),"",INDEX($L$8:$L$24,SMALL(IF($O$8:$O$24&lt;&gt;0,ROW($O$8:$O$24)-7),ROW(F3))))</f>
        <v/>
      </c>
      <c r="G10" s="341" t="str">
        <f t="array" ref="G10">IF(ISERROR(INDEX($O$8:$O$24,SMALL(IF($O$8:$O$24&lt;&gt;0,ROW($O$8:$O$24)-7),ROW(G3)))),"",INDEX($O$8:$O$24,SMALL(IF($O$8:$O$24&lt;&gt;0,ROW($O$8:$O$24)-7),ROW(G3))))</f>
        <v/>
      </c>
      <c r="H10" s="553" t="str">
        <f t="array" ref="H10">IF(ISERROR(INDEX($L$8:$L$26,SMALL(IF($P$8:$P$26&lt;&gt;0,ROW($P$8:$P$26)-7),ROW(H3)))),"",INDEX($L$8:$L$26,SMALL(IF($P$8:$P$26&lt;&gt;0,ROW($P$8:$P$26)-7),ROW(H3))))</f>
        <v>WBR-9090SA4</v>
      </c>
      <c r="I10" s="554">
        <f t="array" ref="I10">IF(ISERROR(INDEX($P$8:$P$26,SMALL(IF($P$8:$P$26&lt;&gt;0,ROW($P$8:$P$26)-7),ROW(I3)))),"",INDEX($P$8:$P$26,SMALL(IF($P$8:$P$26&lt;&gt;0,ROW($P$8:$P$26)-7),ROW(I3))))</f>
        <v>4</v>
      </c>
      <c r="J10" s="179"/>
      <c r="K10" s="1625"/>
      <c r="L10" s="927" t="str">
        <f>IF(BASIC_TOOL!E23=2,"WFB-0880LSA2","WFB-0880LSA4")</f>
        <v>WFB-0880LSA4</v>
      </c>
      <c r="M10" s="455">
        <f>표2_4[[#This Row],[열2]]</f>
        <v>0</v>
      </c>
      <c r="N10" s="455"/>
      <c r="O10" s="454"/>
      <c r="P10" s="454">
        <f t="shared" ref="P10:P24" si="0">Q10+R10+S10+T10+U10+V10+W10+X10+Y10+Z10</f>
        <v>0</v>
      </c>
      <c r="Q10" s="455"/>
      <c r="R10" s="914"/>
      <c r="S10" s="914"/>
      <c r="T10" s="515"/>
      <c r="U10" s="515"/>
      <c r="V10" s="516"/>
      <c r="W10" s="516"/>
      <c r="X10" s="516"/>
      <c r="Y10" s="515"/>
      <c r="Z10" s="930"/>
      <c r="AA10" s="619"/>
      <c r="AB10" s="918"/>
    </row>
    <row r="11" spans="1:28">
      <c r="A11" s="183" t="str">
        <f>IF(B11="","",(VLOOKUP(B:B,'0.39'!B:F,5,FALSE)))</f>
        <v/>
      </c>
      <c r="B11" s="184" t="str">
        <f>IF(BASIC_TOOL!$C$23=1,D11,IF(BASIC_TOOL!$C$23=2,F11,IF(BASIC_TOOL!$C$23=3,H11)))</f>
        <v/>
      </c>
      <c r="C11" s="184" t="str">
        <f>IF(BASIC_TOOL!$C$23=1,E11,IF(BASIC_TOOL!$C$23=2,G11,IF(BASIC_TOOL!$C$23=3,I11)))</f>
        <v/>
      </c>
      <c r="D11" s="182" t="str">
        <f t="array" ref="D11">IF( ISERROR(INDEX($L$8:$L$24,SMALL(IF($N$8:$N$24&lt;&gt;0,ROW($N$8:$N$24)-7),ROW(D4)))),"",INDEX($L$8:$L$24,SMALL(IF($N$8:$N$24&lt;&gt;0,ROW($N$8:$N$24)-7),ROW(D4))))</f>
        <v/>
      </c>
      <c r="E11" s="182" t="str">
        <f t="array" ref="E11">IF(ISERROR(INDEX($N$8:$N$24,SMALL(IF($N$8:$N$24&lt;&gt;0,ROW($N$8:$N$24)-7),ROW(E4)))),"",INDEX($N$8:$N$24,SMALL(IF($N$8:$N$24&lt;&gt;0,ROW($N$8:$N$24)-7),ROW(E4))))</f>
        <v/>
      </c>
      <c r="F11" s="182" t="str">
        <f t="array" ref="F11">IF(ISERROR(INDEX($L$8:$L$24,SMALL(IF($O$8:$O$24&lt;&gt;0,ROW($O$8:$O$24)-7),ROW(F4)))),"",INDEX($L$8:$L$24,SMALL(IF($O$8:$O$24&lt;&gt;0,ROW($O$8:$O$24)-7),ROW(F4))))</f>
        <v/>
      </c>
      <c r="G11" s="341" t="str">
        <f t="array" ref="G11">IF(ISERROR(INDEX($O$8:$O$24,SMALL(IF($O$8:$O$24&lt;&gt;0,ROW($O$8:$O$24)-7),ROW(G4)))),"",INDEX($O$8:$O$24,SMALL(IF($O$8:$O$24&lt;&gt;0,ROW($O$8:$O$24)-7),ROW(G4))))</f>
        <v/>
      </c>
      <c r="H11" s="553" t="str">
        <f t="array" ref="H11">IF(ISERROR(INDEX($L$8:$L$26,SMALL(IF($P$8:$P$26&lt;&gt;0,ROW($P$8:$P$26)-7),ROW(H4)))),"",INDEX($L$8:$L$26,SMALL(IF($P$8:$P$26&lt;&gt;0,ROW($P$8:$P$26)-7),ROW(H4))))</f>
        <v/>
      </c>
      <c r="I11" s="554" t="str">
        <f t="array" ref="I11">IF(ISERROR(INDEX($P$8:$P$26,SMALL(IF($P$8:$P$26&lt;&gt;0,ROW($P$8:$P$26)-7),ROW(I4)))),"",INDEX($P$8:$P$26,SMALL(IF($P$8:$P$26&lt;&gt;0,ROW($P$8:$P$26)-7),ROW(I4))))</f>
        <v/>
      </c>
      <c r="J11" s="179"/>
      <c r="K11" s="1625"/>
      <c r="L11" s="927" t="str">
        <f>IF(BASIC_TOOL!E23=2,"WFB-0880PSA2","WFB-0880PSA4")</f>
        <v>WFB-0880PSA4</v>
      </c>
      <c r="M11" s="455">
        <f>표2_4[[#This Row],[열2]]</f>
        <v>0</v>
      </c>
      <c r="N11" s="455">
        <f>IF(BASIC_TOOL!C11&gt;0,Q11+R11+S11+T11+U11+V11+W11+X11+Y11+Z11,0)</f>
        <v>0</v>
      </c>
      <c r="O11" s="454"/>
      <c r="P11" s="454">
        <f t="shared" si="0"/>
        <v>0</v>
      </c>
      <c r="Q11" s="455"/>
      <c r="R11" s="914"/>
      <c r="S11" s="914"/>
      <c r="T11" s="515"/>
      <c r="U11" s="515"/>
      <c r="V11" s="516"/>
      <c r="W11" s="516">
        <f>IF((H_O&gt;2.5),(W_C+W_F-1)*N_PA,0)</f>
        <v>0</v>
      </c>
      <c r="X11" s="516"/>
      <c r="Y11" s="515"/>
      <c r="Z11" s="930">
        <f>IF(H_O&gt;2.5,2*N_PA,0)</f>
        <v>0</v>
      </c>
      <c r="AA11" s="619"/>
      <c r="AB11" s="918"/>
    </row>
    <row r="12" spans="1:28">
      <c r="A12" s="183" t="str">
        <f>IF(B12="","",(VLOOKUP(B:B,'0.39'!B:F,5,FALSE)))</f>
        <v/>
      </c>
      <c r="B12" s="184" t="str">
        <f>IF(BASIC_TOOL!$C$23=1,D12,IF(BASIC_TOOL!$C$23=2,F12,IF(BASIC_TOOL!$C$23=3,H12)))</f>
        <v/>
      </c>
      <c r="C12" s="184" t="str">
        <f>IF(BASIC_TOOL!$C$23=1,E12,IF(BASIC_TOOL!$C$23=2,G12,IF(BASIC_TOOL!$C$23=3,I12)))</f>
        <v/>
      </c>
      <c r="D12" s="182" t="str">
        <f t="array" ref="D12">IF( ISERROR(INDEX($L$8:$L$24,SMALL(IF($N$8:$N$24&lt;&gt;0,ROW($N$8:$N$24)-7),ROW(D5)))),"",INDEX($L$8:$L$24,SMALL(IF($N$8:$N$24&lt;&gt;0,ROW($N$8:$N$24)-7),ROW(D5))))</f>
        <v/>
      </c>
      <c r="E12" s="182" t="str">
        <f t="array" ref="E12">IF(ISERROR(INDEX($N$8:$N$24,SMALL(IF($N$8:$N$24&lt;&gt;0,ROW($N$8:$N$24)-7),ROW(E5)))),"",INDEX($N$8:$N$24,SMALL(IF($N$8:$N$24&lt;&gt;0,ROW($N$8:$N$24)-7),ROW(E5))))</f>
        <v/>
      </c>
      <c r="F12" s="182" t="str">
        <f t="array" ref="F12">IF(ISERROR(INDEX($L$8:$L$24,SMALL(IF($O$8:$O$24&lt;&gt;0,ROW($O$8:$O$24)-7),ROW(F5)))),"",INDEX($L$8:$L$24,SMALL(IF($O$8:$O$24&lt;&gt;0,ROW($O$8:$O$24)-7),ROW(F5))))</f>
        <v/>
      </c>
      <c r="G12" s="341" t="str">
        <f t="array" ref="G12">IF(ISERROR(INDEX($O$8:$O$24,SMALL(IF($O$8:$O$24&lt;&gt;0,ROW($O$8:$O$24)-7),ROW(G5)))),"",INDEX($O$8:$O$24,SMALL(IF($O$8:$O$24&lt;&gt;0,ROW($O$8:$O$24)-7),ROW(G5))))</f>
        <v/>
      </c>
      <c r="H12" s="553" t="str">
        <f t="array" ref="H12">IF(ISERROR(INDEX($L$8:$L$26,SMALL(IF($P$8:$P$26&lt;&gt;0,ROW($P$8:$P$26)-7),ROW(H5)))),"",INDEX($L$8:$L$26,SMALL(IF($P$8:$P$26&lt;&gt;0,ROW($P$8:$P$26)-7),ROW(H5))))</f>
        <v/>
      </c>
      <c r="I12" s="554" t="str">
        <f t="array" ref="I12">IF(ISERROR(INDEX($P$8:$P$26,SMALL(IF($P$8:$P$26&lt;&gt;0,ROW($P$8:$P$26)-7),ROW(I5)))),"",INDEX($P$8:$P$26,SMALL(IF($P$8:$P$26&lt;&gt;0,ROW($P$8:$P$26)-7),ROW(I5))))</f>
        <v/>
      </c>
      <c r="J12" s="179"/>
      <c r="K12" s="1625"/>
      <c r="L12" s="927" t="str">
        <f>IF(BASIC_TOOL!E23=2,"WFB-0950SA2","WFB-0950SA4")</f>
        <v>WFB-0950SA4</v>
      </c>
      <c r="M12" s="455">
        <f>표2_4[[#This Row],[열2]]</f>
        <v>0</v>
      </c>
      <c r="N12" s="455">
        <f>IF(BASIC_TOOL!C11&gt;0,Q12+R12+S12+T12+U12+V12+W12+X12+Y12+Z12,0)</f>
        <v>0</v>
      </c>
      <c r="O12" s="454">
        <f>IF(BASIC_TOOL!C11&gt;0,Q12+R12+S12+T12+U12+V12+W12+X12+Y12+Z12,0)</f>
        <v>0</v>
      </c>
      <c r="P12" s="454">
        <f t="shared" si="0"/>
        <v>0</v>
      </c>
      <c r="Q12" s="455"/>
      <c r="R12" s="914"/>
      <c r="S12" s="914"/>
      <c r="T12" s="515"/>
      <c r="U12" s="515"/>
      <c r="V12" s="516"/>
      <c r="W12" s="455">
        <f>IF(BASIC_TOOL!E15=0,IF(OR(H_O=3.5,H_O=4),(W_C+W_F-1)*N_PA,0)+IF(OR(H_O=4.5,H_O=5),(W_C+W_F-1)*2*N_PA,0), IF(OR(H_O=3,H_O=3.5),(W_C+W_F-1)*N_PA,0)+IF(OR(H_O=4,H_O=4.5),(W_C+W_F-1)*2*N_PA,0))</f>
        <v>0</v>
      </c>
      <c r="X12" s="516">
        <f>((IF(OR(H_O=2.5,H_O=3),W_C,0)+IF(OR(H_O=3.5,H_O=4),W_C*2,0)+IF(OR(H_O=4.5,H_O=5),W_C*3,0))*N_PA+IF(AND(BASIC_TOOL!E15=1,OR(H_O=2,H_O=2.5,H_O=3,H_O=3.5,H_O=4,H_O=4.5,H_O=5)),W_C,0))*N_PA</f>
        <v>0</v>
      </c>
      <c r="Y12" s="517"/>
      <c r="Z12" s="930"/>
      <c r="AA12" s="619"/>
      <c r="AB12" s="918"/>
    </row>
    <row r="13" spans="1:28">
      <c r="A13" s="183" t="str">
        <f>IF(B13="","",(VLOOKUP(B:B,'0.39'!B:F,5,FALSE)))</f>
        <v/>
      </c>
      <c r="B13" s="184" t="str">
        <f>IF(BASIC_TOOL!$C$23=1,D13,IF(BASIC_TOOL!$C$23=2,F13,IF(BASIC_TOOL!$C$23=3,H13)))</f>
        <v/>
      </c>
      <c r="C13" s="184" t="str">
        <f>IF(BASIC_TOOL!$C$23=1,E13,IF(BASIC_TOOL!$C$23=2,G13,IF(BASIC_TOOL!$C$23=3,I13)))</f>
        <v/>
      </c>
      <c r="D13" s="182" t="str">
        <f t="array" ref="D13">IF( ISERROR(INDEX($L$8:$L$24,SMALL(IF($N$8:$N$24&lt;&gt;0,ROW($N$8:$N$24)-7),ROW(D6)))),"",INDEX($L$8:$L$24,SMALL(IF($N$8:$N$24&lt;&gt;0,ROW($N$8:$N$24)-7),ROW(D6))))</f>
        <v/>
      </c>
      <c r="E13" s="182" t="str">
        <f t="array" ref="E13">IF(ISERROR(INDEX($N$8:$N$24,SMALL(IF($N$8:$N$24&lt;&gt;0,ROW($N$8:$N$24)-7),ROW(E6)))),"",INDEX($N$8:$N$24,SMALL(IF($N$8:$N$24&lt;&gt;0,ROW($N$8:$N$24)-7),ROW(E6))))</f>
        <v/>
      </c>
      <c r="F13" s="182" t="str">
        <f t="array" ref="F13">IF(ISERROR(INDEX($L$8:$L$24,SMALL(IF($O$8:$O$24&lt;&gt;0,ROW($O$8:$O$24)-7),ROW(F6)))),"",INDEX($L$8:$L$24,SMALL(IF($O$8:$O$24&lt;&gt;0,ROW($O$8:$O$24)-7),ROW(F6))))</f>
        <v/>
      </c>
      <c r="G13" s="341" t="str">
        <f t="array" ref="G13">IF(ISERROR(INDEX($O$8:$O$24,SMALL(IF($O$8:$O$24&lt;&gt;0,ROW($O$8:$O$24)-7),ROW(G6)))),"",INDEX($O$8:$O$24,SMALL(IF($O$8:$O$24&lt;&gt;0,ROW($O$8:$O$24)-7),ROW(G6))))</f>
        <v/>
      </c>
      <c r="H13" s="553" t="str">
        <f t="array" ref="H13">IF(ISERROR(INDEX($L$8:$L$26,SMALL(IF($P$8:$P$26&lt;&gt;0,ROW($P$8:$P$26)-7),ROW(H6)))),"",INDEX($L$8:$L$26,SMALL(IF($P$8:$P$26&lt;&gt;0,ROW($P$8:$P$26)-7),ROW(H6))))</f>
        <v/>
      </c>
      <c r="I13" s="554" t="str">
        <f t="array" ref="I13">IF(ISERROR(INDEX($P$8:$P$26,SMALL(IF($P$8:$P$26&lt;&gt;0,ROW($P$8:$P$26)-7),ROW(I6)))),"",INDEX($P$8:$P$26,SMALL(IF($P$8:$P$26&lt;&gt;0,ROW($P$8:$P$26)-7),ROW(I6))))</f>
        <v/>
      </c>
      <c r="J13" s="179"/>
      <c r="K13" s="1625"/>
      <c r="L13" s="927" t="str">
        <f>IF(BASIC_TOOL!E23=2,"WFB-0950PSA2","WFB-0950PSA4")</f>
        <v>WFB-0950PSA4</v>
      </c>
      <c r="M13" s="455">
        <f>표2_4[[#This Row],[열2]]</f>
        <v>0</v>
      </c>
      <c r="N13" s="455">
        <f>IF(BASIC_TOOL!C11&gt;0,Q13+R13+S13+T13+U13+V13+W13+X13+Y13+Z13,0)</f>
        <v>0</v>
      </c>
      <c r="O13" s="454">
        <f>IF(BASIC_TOOL!C11&gt;0,Q13+R13+S13+T13+U13+V13+W13+X13+Y13+Z13,0)</f>
        <v>0</v>
      </c>
      <c r="P13" s="454">
        <f t="shared" si="0"/>
        <v>0</v>
      </c>
      <c r="Q13" s="455"/>
      <c r="R13" s="914"/>
      <c r="S13" s="914"/>
      <c r="T13" s="515"/>
      <c r="U13" s="515"/>
      <c r="V13" s="516"/>
      <c r="W13" s="455">
        <f>IF(BASIC_TOOL!E15=1,
                           IF(H_O=4,(W_C+W_F-1)*N_PA,0)
                          +IF(OR(H_O=4.5,H_O=5),(W_C+W_F-1)*2*N_PA,0),
    IF(OR(H_O=4),(W_C+W_F-1)*N_PA,0)
    +IF(OR(H_O=4.5,H_O=5),(W_C+W_F-1)*2*N_PA,0))</f>
        <v>0</v>
      </c>
      <c r="X13" s="516">
        <f>IF(OR(H_O=3.5,H_O=4,H_O=4.5,H_O=5),(W_C)*N_PA,0)+IF(OR(H_O=4.5,H_O=5),(W_C)*N_PA,0)</f>
        <v>0</v>
      </c>
      <c r="Y13" s="517"/>
      <c r="Z13" s="930">
        <f>IF(OR(H_O=4,H_O=4.5),2*N_PA,0)+IF(OR(H_O=5,H_O=5.5),2*2*N_PA,0)</f>
        <v>0</v>
      </c>
      <c r="AA13" s="619"/>
      <c r="AB13" s="918"/>
    </row>
    <row r="14" spans="1:28">
      <c r="A14" s="183" t="str">
        <f>IF(B14="","",(VLOOKUP(B:B,'0.39'!B:F,5,FALSE)))</f>
        <v/>
      </c>
      <c r="B14" s="184" t="str">
        <f>IF(BASIC_TOOL!$C$23=1,D14,IF(BASIC_TOOL!$C$23=2,F14,IF(BASIC_TOOL!$C$23=3,H14)))</f>
        <v/>
      </c>
      <c r="C14" s="184" t="str">
        <f>IF(BASIC_TOOL!$C$23=1,E14,IF(BASIC_TOOL!$C$23=2,G14,IF(BASIC_TOOL!$C$23=3,I14)))</f>
        <v/>
      </c>
      <c r="D14" s="182" t="str">
        <f t="array" ref="D14">IF( ISERROR(INDEX($L$8:$L$24,SMALL(IF($N$8:$N$24&lt;&gt;0,ROW($N$8:$N$24)-7),ROW(D7)))),"",INDEX($L$8:$L$24,SMALL(IF($N$8:$N$24&lt;&gt;0,ROW($N$8:$N$24)-7),ROW(D7))))</f>
        <v/>
      </c>
      <c r="E14" s="182" t="str">
        <f t="array" ref="E14">IF(ISERROR(INDEX($N$8:$N$24,SMALL(IF($N$8:$N$24&lt;&gt;0,ROW($N$8:$N$24)-7),ROW(E7)))),"",INDEX($N$8:$N$24,SMALL(IF($N$8:$N$24&lt;&gt;0,ROW($N$8:$N$24)-7),ROW(E7))))</f>
        <v/>
      </c>
      <c r="F14" s="182" t="str">
        <f t="array" ref="F14">IF(ISERROR(INDEX($L$8:$L$24,SMALL(IF($O$8:$O$24&lt;&gt;0,ROW($O$8:$O$24)-7),ROW(F7)))),"",INDEX($L$8:$L$24,SMALL(IF($O$8:$O$24&lt;&gt;0,ROW($O$8:$O$24)-7),ROW(F7))))</f>
        <v/>
      </c>
      <c r="G14" s="341" t="str">
        <f t="array" ref="G14">IF(ISERROR(INDEX($O$8:$O$24,SMALL(IF($O$8:$O$24&lt;&gt;0,ROW($O$8:$O$24)-7),ROW(G7)))),"",INDEX($O$8:$O$24,SMALL(IF($O$8:$O$24&lt;&gt;0,ROW($O$8:$O$24)-7),ROW(G7))))</f>
        <v/>
      </c>
      <c r="H14" s="553" t="str">
        <f t="array" ref="H14">IF(ISERROR(INDEX($L$8:$L$26,SMALL(IF($P$8:$P$26&lt;&gt;0,ROW($P$8:$P$26)-7),ROW(H7)))),"",INDEX($L$8:$L$26,SMALL(IF($P$8:$P$26&lt;&gt;0,ROW($P$8:$P$26)-7),ROW(H7))))</f>
        <v/>
      </c>
      <c r="I14" s="554" t="str">
        <f t="array" ref="I14">IF(ISERROR(INDEX($P$8:$P$26,SMALL(IF($P$8:$P$26&lt;&gt;0,ROW($P$8:$P$26)-7),ROW(I7)))),"",INDEX($P$8:$P$26,SMALL(IF($P$8:$P$26&lt;&gt;0,ROW($P$8:$P$26)-7),ROW(I7))))</f>
        <v/>
      </c>
      <c r="J14" s="179"/>
      <c r="K14" s="1625"/>
      <c r="L14" s="927" t="str">
        <f>IF(BASIC_TOOL!E23=2,"WFB-0950LSA2","WFB-0950LSA4")</f>
        <v>WFB-0950LSA4</v>
      </c>
      <c r="M14" s="455">
        <f>표2_4[[#This Row],[열2]]</f>
        <v>0</v>
      </c>
      <c r="N14" s="455"/>
      <c r="O14" s="454"/>
      <c r="P14" s="454">
        <f t="shared" si="0"/>
        <v>0</v>
      </c>
      <c r="Q14" s="455"/>
      <c r="R14" s="914"/>
      <c r="S14" s="914"/>
      <c r="T14" s="515"/>
      <c r="U14" s="515"/>
      <c r="V14" s="516"/>
      <c r="W14" s="455"/>
      <c r="X14" s="516">
        <f>IF(H_O&gt;4,(W_C)*(H_C+H_F-3),0)*N_PA</f>
        <v>0</v>
      </c>
      <c r="Y14" s="517"/>
      <c r="Z14" s="930"/>
      <c r="AA14" s="619"/>
      <c r="AB14" s="918"/>
    </row>
    <row r="15" spans="1:28">
      <c r="A15" s="183" t="str">
        <f>IF(B15="","",(VLOOKUP(B:B,'0.39'!B:F,5,FALSE)))</f>
        <v/>
      </c>
      <c r="B15" s="184" t="str">
        <f>IF(BASIC_TOOL!$C$23=1,D15,IF(BASIC_TOOL!$C$23=2,F15,IF(BASIC_TOOL!$C$23=3,H15)))</f>
        <v/>
      </c>
      <c r="C15" s="184" t="str">
        <f>IF(BASIC_TOOL!$C$23=1,E15,IF(BASIC_TOOL!$C$23=2,G15,IF(BASIC_TOOL!$C$23=3,I15)))</f>
        <v/>
      </c>
      <c r="D15" s="182" t="str">
        <f t="array" ref="D15">IF( ISERROR(INDEX($L$8:$L$24,SMALL(IF($N$8:$N$24&lt;&gt;0,ROW($N$8:$N$24)-7),ROW(D8)))),"",INDEX($L$8:$L$24,SMALL(IF($N$8:$N$24&lt;&gt;0,ROW($N$8:$N$24)-7),ROW(D8))))</f>
        <v/>
      </c>
      <c r="E15" s="182" t="str">
        <f t="array" ref="E15">IF(ISERROR(INDEX($N$8:$N$24,SMALL(IF($N$8:$N$24&lt;&gt;0,ROW($N$8:$N$24)-7),ROW(E8)))),"",INDEX($N$8:$N$24,SMALL(IF($N$8:$N$24&lt;&gt;0,ROW($N$8:$N$24)-7),ROW(E8))))</f>
        <v/>
      </c>
      <c r="F15" s="182" t="str">
        <f t="array" ref="F15">IF(ISERROR(INDEX($L$8:$L$24,SMALL(IF($O$8:$O$24&lt;&gt;0,ROW($O$8:$O$24)-7),ROW(F8)))),"",INDEX($L$8:$L$24,SMALL(IF($O$8:$O$24&lt;&gt;0,ROW($O$8:$O$24)-7),ROW(F8))))</f>
        <v/>
      </c>
      <c r="G15" s="341" t="str">
        <f t="array" ref="G15">IF(ISERROR(INDEX($O$8:$O$24,SMALL(IF($O$8:$O$24&lt;&gt;0,ROW($O$8:$O$24)-7),ROW(G8)))),"",INDEX($O$8:$O$24,SMALL(IF($O$8:$O$24&lt;&gt;0,ROW($O$8:$O$24)-7),ROW(G8))))</f>
        <v/>
      </c>
      <c r="H15" s="553" t="str">
        <f t="array" ref="H15">IF(ISERROR(INDEX($L$8:$L$26,SMALL(IF($P$8:$P$26&lt;&gt;0,ROW($P$8:$P$26)-7),ROW(H8)))),"",INDEX($L$8:$L$26,SMALL(IF($P$8:$P$26&lt;&gt;0,ROW($P$8:$P$26)-7),ROW(H8))))</f>
        <v/>
      </c>
      <c r="I15" s="554" t="str">
        <f t="array" ref="I15">IF(ISERROR(INDEX($P$8:$P$26,SMALL(IF($P$8:$P$26&lt;&gt;0,ROW($P$8:$P$26)-7),ROW(I8)))),"",INDEX($P$8:$P$26,SMALL(IF($P$8:$P$26&lt;&gt;0,ROW($P$8:$P$26)-7),ROW(I8))))</f>
        <v/>
      </c>
      <c r="J15" s="179"/>
      <c r="K15" s="1625"/>
      <c r="L15" s="927" t="str">
        <f>IF(BASIC_TOOL!E23=2,"WFB-0450SA2","WFB-0450SA4")</f>
        <v>WFB-0450SA4</v>
      </c>
      <c r="M15" s="455">
        <f>표2_4[[#This Row],[열2]]</f>
        <v>0</v>
      </c>
      <c r="N15" s="455">
        <f>IF(BASIC_TOOL!C11&gt;0,Q15+R15+S15+T15+U15+V15+W15+X15+Y15+Z15,0)</f>
        <v>0</v>
      </c>
      <c r="O15" s="454">
        <f>IF(BASIC_TOOL!C11&gt;0,Q15+R15+S15+T15+U15+V15+W15+X15+Y15+Z15,0)</f>
        <v>0</v>
      </c>
      <c r="P15" s="454">
        <f t="shared" si="0"/>
        <v>0</v>
      </c>
      <c r="Q15" s="455"/>
      <c r="R15" s="914"/>
      <c r="S15" s="914"/>
      <c r="T15" s="515"/>
      <c r="U15" s="515"/>
      <c r="V15" s="516"/>
      <c r="W15" s="455">
        <f>IF(BASIC_TOOL!E15=1,IF(OR(H_O=2.5,H_O=3.5,H_O=4.5),(W_C+W_F-1)*N_PA,0),0)</f>
        <v>0</v>
      </c>
      <c r="X15" s="516">
        <f>(IF(OR(H_O=2),W_F,0)+IF(OR(H_O=2.5,H_O=3),W_F*2,0)+IF(OR(H_O=3.5,H_O=4),W_F*3,0)+IF(OR(H_O=4.5,H_O=5),W_F*4,0))*N_PA</f>
        <v>0</v>
      </c>
      <c r="Y15" s="515"/>
      <c r="Z15" s="930"/>
      <c r="AA15" s="619"/>
      <c r="AB15" s="918"/>
    </row>
    <row r="16" spans="1:28">
      <c r="A16" s="183" t="str">
        <f>IF(B16="","",(VLOOKUP(B:B,'0.39'!B:F,5,FALSE)))</f>
        <v/>
      </c>
      <c r="B16" s="184" t="str">
        <f>IF(BASIC_TOOL!$C$23=1,D16,IF(BASIC_TOOL!$C$23=2,F16,IF(BASIC_TOOL!$C$23=3,H16)))</f>
        <v/>
      </c>
      <c r="C16" s="184" t="str">
        <f>IF(BASIC_TOOL!$C$23=1,E16,IF(BASIC_TOOL!$C$23=2,G16,IF(BASIC_TOOL!$C$23=3,I16)))</f>
        <v/>
      </c>
      <c r="D16" s="182" t="str">
        <f t="array" ref="D16">IF( ISERROR(INDEX($L$8:$L$24,SMALL(IF($N$8:$N$24&lt;&gt;0,ROW($N$8:$N$24)-7),ROW(D9)))),"",INDEX($L$8:$L$24,SMALL(IF($N$8:$N$24&lt;&gt;0,ROW($N$8:$N$24)-7),ROW(D9))))</f>
        <v/>
      </c>
      <c r="E16" s="182" t="str">
        <f t="array" ref="E16">IF(ISERROR(INDEX($N$8:$N$24,SMALL(IF($N$8:$N$24&lt;&gt;0,ROW($N$8:$N$24)-7),ROW(E9)))),"",INDEX($N$8:$N$24,SMALL(IF($N$8:$N$24&lt;&gt;0,ROW($N$8:$N$24)-7),ROW(E9))))</f>
        <v/>
      </c>
      <c r="F16" s="182" t="str">
        <f t="array" ref="F16">IF(ISERROR(INDEX($L$8:$L$24,SMALL(IF($O$8:$O$24&lt;&gt;0,ROW($O$8:$O$24)-7),ROW(F9)))),"",INDEX($L$8:$L$24,SMALL(IF($O$8:$O$24&lt;&gt;0,ROW($O$8:$O$24)-7),ROW(F9))))</f>
        <v/>
      </c>
      <c r="G16" s="341" t="str">
        <f t="array" ref="G16">IF(ISERROR(INDEX($O$8:$O$24,SMALL(IF($O$8:$O$24&lt;&gt;0,ROW($O$8:$O$24)-7),ROW(G9)))),"",INDEX($O$8:$O$24,SMALL(IF($O$8:$O$24&lt;&gt;0,ROW($O$8:$O$24)-7),ROW(G9))))</f>
        <v/>
      </c>
      <c r="H16" s="553" t="str">
        <f t="array" ref="H16">IF(ISERROR(INDEX($L$8:$L$26,SMALL(IF($P$8:$P$26&lt;&gt;0,ROW($P$8:$P$26)-7),ROW(H9)))),"",INDEX($L$8:$L$26,SMALL(IF($P$8:$P$26&lt;&gt;0,ROW($P$8:$P$26)-7),ROW(H9))))</f>
        <v/>
      </c>
      <c r="I16" s="554" t="str">
        <f t="array" ref="I16">IF(ISERROR(INDEX($P$8:$P$26,SMALL(IF($P$8:$P$26&lt;&gt;0,ROW($P$8:$P$26)-7),ROW(I9)))),"",INDEX($P$8:$P$26,SMALL(IF($P$8:$P$26&lt;&gt;0,ROW($P$8:$P$26)-7),ROW(I9))))</f>
        <v/>
      </c>
      <c r="J16" s="179"/>
      <c r="K16" s="1625"/>
      <c r="L16" s="927" t="str">
        <f>IF(BASIC_TOOL!E23=2,"WFB-0450PSA2","WFB-0450PSA4")</f>
        <v>WFB-0450PSA4</v>
      </c>
      <c r="M16" s="455">
        <f>표2_4[[#This Row],[열2]]</f>
        <v>0</v>
      </c>
      <c r="N16" s="455">
        <f>IF(BASIC_TOOL!C11&gt;0,Q16+R16+S16+T16+U16+V16+W16+X16+Y16+Z16,0)</f>
        <v>0</v>
      </c>
      <c r="O16" s="454">
        <f>IF(BASIC_TOOL!C11&gt;0,Q16+R16+S16+T16+U16+V16+W16+X16+Y16+Z16,0)</f>
        <v>0</v>
      </c>
      <c r="P16" s="454">
        <f t="shared" si="0"/>
        <v>0</v>
      </c>
      <c r="Q16" s="455"/>
      <c r="R16" s="914"/>
      <c r="S16" s="914"/>
      <c r="T16" s="515"/>
      <c r="U16" s="515"/>
      <c r="V16" s="516"/>
      <c r="W16" s="516"/>
      <c r="X16" s="516">
        <f>IF(H_O&gt;3.3,(W_F)*(H_C+H_F-3),0)*N_PA</f>
        <v>0</v>
      </c>
      <c r="Y16" s="515"/>
      <c r="Z16" s="930"/>
      <c r="AA16" s="619"/>
      <c r="AB16" s="918"/>
    </row>
    <row r="17" spans="1:28" ht="18.75" thickBot="1">
      <c r="A17" s="183" t="str">
        <f>IF(B17="","",(VLOOKUP(B:B,'0.39'!B:F,5,FALSE)))</f>
        <v/>
      </c>
      <c r="B17" s="184" t="str">
        <f>IF(BASIC_TOOL!$C$23=1,D17,IF(BASIC_TOOL!$C$23=2,F17,IF(BASIC_TOOL!$C$23=3,H17)))</f>
        <v/>
      </c>
      <c r="C17" s="184" t="str">
        <f>IF(BASIC_TOOL!$C$23=1,E17,IF(BASIC_TOOL!$C$23=2,G17,IF(BASIC_TOOL!$C$23=3,I17)))</f>
        <v/>
      </c>
      <c r="D17" s="182" t="str">
        <f t="array" ref="D17">IF( ISERROR(INDEX($L$8:$L$24,SMALL(IF($N$8:$N$24&lt;&gt;0,ROW($N$8:$N$24)-7),ROW(D10)))),"",INDEX($L$8:$L$24,SMALL(IF($N$8:$N$24&lt;&gt;0,ROW($N$8:$N$24)-7),ROW(D10))))</f>
        <v/>
      </c>
      <c r="E17" s="182" t="str">
        <f t="array" ref="E17">IF(ISERROR(INDEX($N$8:$N$24,SMALL(IF($N$8:$N$24&lt;&gt;0,ROW($N$8:$N$24)-7),ROW(E10)))),"",INDEX($N$8:$N$24,SMALL(IF($N$8:$N$24&lt;&gt;0,ROW($N$8:$N$24)-7),ROW(E10))))</f>
        <v/>
      </c>
      <c r="F17" s="182" t="str">
        <f t="array" ref="F17">IF(ISERROR(INDEX($L$8:$L$24,SMALL(IF($O$8:$O$24&lt;&gt;0,ROW($O$8:$O$24)-7),ROW(F10)))),"",INDEX($L$8:$L$24,SMALL(IF($O$8:$O$24&lt;&gt;0,ROW($O$8:$O$24)-7),ROW(F10))))</f>
        <v/>
      </c>
      <c r="G17" s="341" t="str">
        <f t="array" ref="G17">IF(ISERROR(INDEX($O$8:$O$24,SMALL(IF($O$8:$O$24&lt;&gt;0,ROW($O$8:$O$24)-7),ROW(G10)))),"",INDEX($O$8:$O$24,SMALL(IF($O$8:$O$24&lt;&gt;0,ROW($O$8:$O$24)-7),ROW(G10))))</f>
        <v/>
      </c>
      <c r="H17" s="553" t="str">
        <f t="array" ref="H17">IF(ISERROR(INDEX($L$8:$L$26,SMALL(IF($P$8:$P$26&lt;&gt;0,ROW($P$8:$P$26)-7),ROW(H10)))),"",INDEX($L$8:$L$26,SMALL(IF($P$8:$P$26&lt;&gt;0,ROW($P$8:$P$26)-7),ROW(H10))))</f>
        <v/>
      </c>
      <c r="I17" s="554" t="str">
        <f t="array" ref="I17">IF(ISERROR(INDEX($P$8:$P$26,SMALL(IF($P$8:$P$26&lt;&gt;0,ROW($P$8:$P$26)-7),ROW(I10)))),"",INDEX($P$8:$P$26,SMALL(IF($P$8:$P$26&lt;&gt;0,ROW($P$8:$P$26)-7),ROW(I10))))</f>
        <v/>
      </c>
      <c r="J17" s="179"/>
      <c r="K17" s="1626"/>
      <c r="L17" s="927" t="str">
        <f>IF(BASIC_TOOL!E23=2,"WFB-0450LSA2","WFB-0450LSA4")</f>
        <v>WFB-0450LSA4</v>
      </c>
      <c r="M17" s="455">
        <f>표2_4[[#This Row],[열2]]</f>
        <v>0</v>
      </c>
      <c r="N17" s="455"/>
      <c r="O17" s="454"/>
      <c r="P17" s="454">
        <f t="shared" si="0"/>
        <v>0</v>
      </c>
      <c r="Q17" s="455"/>
      <c r="R17" s="914"/>
      <c r="S17" s="914"/>
      <c r="T17" s="517"/>
      <c r="U17" s="515"/>
      <c r="V17" s="516"/>
      <c r="W17" s="516"/>
      <c r="X17" s="516">
        <f>IF(H_O&gt;4.3,(W_F)*(H_C+H_F-2),0)*N_PA</f>
        <v>0</v>
      </c>
      <c r="Y17" s="515"/>
      <c r="Z17" s="930"/>
      <c r="AA17" s="619"/>
      <c r="AB17" s="918"/>
    </row>
    <row r="18" spans="1:28" ht="18" customHeight="1">
      <c r="A18" s="183" t="str">
        <f>IF(B18="","",(VLOOKUP(B:B,'0.39'!B:F,5,FALSE)))</f>
        <v/>
      </c>
      <c r="B18" s="184" t="str">
        <f>IF(BASIC_TOOL!$C$23=1,D18,IF(BASIC_TOOL!$C$23=2,F18,IF(BASIC_TOOL!$C$23=3,H18)))</f>
        <v/>
      </c>
      <c r="C18" s="184" t="str">
        <f>IF(BASIC_TOOL!$C$23=1,E18,IF(BASIC_TOOL!$C$23=2,G18,IF(BASIC_TOOL!$C$23=3,I18)))</f>
        <v/>
      </c>
      <c r="D18" s="182" t="str">
        <f t="array" ref="D18">IF( ISERROR(INDEX($L$8:$L$24,SMALL(IF($N$8:$N$24&lt;&gt;0,ROW($N$8:$N$24)-7),ROW(D11)))),"",INDEX($L$8:$L$24,SMALL(IF($N$8:$N$24&lt;&gt;0,ROW($N$8:$N$24)-7),ROW(D11))))</f>
        <v/>
      </c>
      <c r="E18" s="182" t="str">
        <f t="array" ref="E18">IF(ISERROR(INDEX($N$8:$N$24,SMALL(IF($N$8:$N$24&lt;&gt;0,ROW($N$8:$N$24)-7),ROW(E11)))),"",INDEX($N$8:$N$24,SMALL(IF($N$8:$N$24&lt;&gt;0,ROW($N$8:$N$24)-7),ROW(E11))))</f>
        <v/>
      </c>
      <c r="F18" s="182" t="str">
        <f t="array" ref="F18">IF(ISERROR(INDEX($L$8:$L$24,SMALL(IF($O$8:$O$24&lt;&gt;0,ROW($O$8:$O$24)-7),ROW(F11)))),"",INDEX($L$8:$L$24,SMALL(IF($O$8:$O$24&lt;&gt;0,ROW($O$8:$O$24)-7),ROW(F11))))</f>
        <v/>
      </c>
      <c r="G18" s="341" t="str">
        <f t="array" ref="G18">IF(ISERROR(INDEX($O$8:$O$24,SMALL(IF($O$8:$O$24&lt;&gt;0,ROW($O$8:$O$24)-7),ROW(G11)))),"",INDEX($O$8:$O$24,SMALL(IF($O$8:$O$24&lt;&gt;0,ROW($O$8:$O$24)-7),ROW(G11))))</f>
        <v/>
      </c>
      <c r="H18" s="553" t="str">
        <f t="array" ref="H18">IF(ISERROR(INDEX($L$8:$L$26,SMALL(IF($P$8:$P$26&lt;&gt;0,ROW($P$8:$P$26)-7),ROW(H11)))),"",INDEX($L$8:$L$26,SMALL(IF($P$8:$P$26&lt;&gt;0,ROW($P$8:$P$26)-7),ROW(H11))))</f>
        <v/>
      </c>
      <c r="I18" s="554" t="str">
        <f t="array" ref="I18">IF(ISERROR(INDEX($P$8:$P$26,SMALL(IF($P$8:$P$26&lt;&gt;0,ROW($P$8:$P$26)-7),ROW(I11)))),"",INDEX($P$8:$P$26,SMALL(IF($P$8:$P$26&lt;&gt;0,ROW($P$8:$P$26)-7),ROW(I11))))</f>
        <v/>
      </c>
      <c r="J18" s="179"/>
      <c r="K18" s="1624" t="s">
        <v>1242</v>
      </c>
      <c r="L18" s="927" t="str">
        <f>IF(BASIC_TOOL!E23=2,"WCP-1616SA2","WCP-1616SA4")</f>
        <v>WCP-1616SA4</v>
      </c>
      <c r="M18" s="455">
        <f>표2_4[[#This Row],[열2]]</f>
        <v>0</v>
      </c>
      <c r="N18" s="455"/>
      <c r="O18" s="454"/>
      <c r="P18" s="454">
        <f t="shared" si="0"/>
        <v>0</v>
      </c>
      <c r="Q18" s="455"/>
      <c r="R18" s="914"/>
      <c r="S18" s="914"/>
      <c r="T18" s="517">
        <f>IF(H_O&gt;1,T5,0)</f>
        <v>0</v>
      </c>
      <c r="U18" s="515"/>
      <c r="V18" s="516">
        <f>IF(OR(H_O=3.5,H_O=4.5,H_O=3,H_O=4,H_O=5),((W_C+W_F-1)*N_PA*(H_C+H_F-2)),0)</f>
        <v>0</v>
      </c>
      <c r="W18" s="516"/>
      <c r="X18" s="516"/>
      <c r="Y18" s="515"/>
      <c r="Z18" s="930"/>
      <c r="AA18" s="619"/>
      <c r="AB18" s="918"/>
    </row>
    <row r="19" spans="1:28" ht="18.75" customHeight="1">
      <c r="A19" s="183" t="str">
        <f>IF(B19="","",(VLOOKUP(B:B,'0.39'!B:F,5,FALSE)))</f>
        <v/>
      </c>
      <c r="B19" s="184" t="str">
        <f>IF(BASIC_TOOL!$C$23=1,D19,IF(BASIC_TOOL!$C$23=2,F19,IF(BASIC_TOOL!$C$23=3,H19)))</f>
        <v/>
      </c>
      <c r="C19" s="184" t="str">
        <f>IF(BASIC_TOOL!$C$23=1,E19,IF(BASIC_TOOL!$C$23=2,G19,IF(BASIC_TOOL!$C$23=3,I19)))</f>
        <v/>
      </c>
      <c r="D19" s="182" t="str">
        <f t="array" ref="D19">IF( ISERROR(INDEX($L$8:$L$24,SMALL(IF($N$8:$N$24&lt;&gt;0,ROW($N$8:$N$24)-7),ROW(D12)))),"",INDEX($L$8:$L$24,SMALL(IF($N$8:$N$24&lt;&gt;0,ROW($N$8:$N$24)-7),ROW(D12))))</f>
        <v/>
      </c>
      <c r="E19" s="182" t="str">
        <f t="array" ref="E19">IF(ISERROR(INDEX($N$8:$N$24,SMALL(IF($N$8:$N$24&lt;&gt;0,ROW($N$8:$N$24)-7),ROW(E12)))),"",INDEX($N$8:$N$24,SMALL(IF($N$8:$N$24&lt;&gt;0,ROW($N$8:$N$24)-7),ROW(E12))))</f>
        <v/>
      </c>
      <c r="F19" s="182" t="str">
        <f t="array" ref="F19">IF(ISERROR(INDEX($L$8:$L$24,SMALL(IF($O$8:$O$24&lt;&gt;0,ROW($O$8:$O$24)-7),ROW(F12)))),"",INDEX($L$8:$L$24,SMALL(IF($O$8:$O$24&lt;&gt;0,ROW($O$8:$O$24)-7),ROW(F12))))</f>
        <v/>
      </c>
      <c r="G19" s="341" t="str">
        <f t="array" ref="G19">IF(ISERROR(INDEX($O$8:$O$24,SMALL(IF($O$8:$O$24&lt;&gt;0,ROW($O$8:$O$24)-7),ROW(G12)))),"",INDEX($O$8:$O$24,SMALL(IF($O$8:$O$24&lt;&gt;0,ROW($O$8:$O$24)-7),ROW(G12))))</f>
        <v/>
      </c>
      <c r="H19" s="553" t="str">
        <f t="array" ref="H19">IF(ISERROR(INDEX($L$8:$L$26,SMALL(IF($P$8:$P$26&lt;&gt;0,ROW($P$8:$P$26)-7),ROW(H12)))),"",INDEX($L$8:$L$26,SMALL(IF($P$8:$P$26&lt;&gt;0,ROW($P$8:$P$26)-7),ROW(H12))))</f>
        <v/>
      </c>
      <c r="I19" s="554" t="str">
        <f t="array" ref="I19">IF(ISERROR(INDEX($P$8:$P$26,SMALL(IF($P$8:$P$26&lt;&gt;0,ROW($P$8:$P$26)-7),ROW(I12)))),"",INDEX($P$8:$P$26,SMALL(IF($P$8:$P$26&lt;&gt;0,ROW($P$8:$P$26)-7),ROW(I12))))</f>
        <v/>
      </c>
      <c r="J19" s="179"/>
      <c r="K19" s="1625"/>
      <c r="L19" s="927" t="str">
        <f>IF(BASIC_TOOL!E23=2,"WCP-1780SA2","WCP-1780SA4")</f>
        <v>WCP-1780SA4</v>
      </c>
      <c r="M19" s="455">
        <f>표2_4[[#This Row],[열2]]</f>
        <v>0</v>
      </c>
      <c r="N19" s="455"/>
      <c r="O19" s="454"/>
      <c r="P19" s="454">
        <f t="shared" si="0"/>
        <v>0</v>
      </c>
      <c r="Q19" s="455"/>
      <c r="R19" s="914"/>
      <c r="S19" s="914"/>
      <c r="T19" s="515"/>
      <c r="U19" s="515"/>
      <c r="V19" s="516">
        <f>IF(H_O&gt;1,((W_C+W_F-1)*N_PA),0)</f>
        <v>0</v>
      </c>
      <c r="W19" s="516"/>
      <c r="X19" s="516"/>
      <c r="Y19" s="515"/>
      <c r="Z19" s="930"/>
      <c r="AA19" s="619"/>
      <c r="AB19" s="918"/>
    </row>
    <row r="20" spans="1:28">
      <c r="A20" s="183" t="str">
        <f>IF(B20="","",(VLOOKUP(B:B,'0.39'!B:F,5,FALSE)))</f>
        <v/>
      </c>
      <c r="B20" s="184" t="str">
        <f>IF(BASIC_TOOL!$C$23=1,D20,IF(BASIC_TOOL!$C$23=2,F20,IF(BASIC_TOOL!$C$23=3,H20)))</f>
        <v/>
      </c>
      <c r="C20" s="184" t="str">
        <f>IF(BASIC_TOOL!$C$23=1,E20,IF(BASIC_TOOL!$C$23=2,G20,IF(BASIC_TOOL!$C$23=3,I20)))</f>
        <v/>
      </c>
      <c r="D20" s="182" t="str">
        <f t="array" ref="D20">IF( ISERROR(INDEX($L$8:$L$24,SMALL(IF($N$8:$N$24&lt;&gt;0,ROW($N$8:$N$24)-7),ROW(D13)))),"",INDEX($L$8:$L$24,SMALL(IF($N$8:$N$24&lt;&gt;0,ROW($N$8:$N$24)-7),ROW(D13))))</f>
        <v/>
      </c>
      <c r="E20" s="182" t="str">
        <f t="array" ref="E20">IF(ISERROR(INDEX($N$8:$N$24,SMALL(IF($N$8:$N$24&lt;&gt;0,ROW($N$8:$N$24)-7),ROW(E13)))),"",INDEX($N$8:$N$24,SMALL(IF($N$8:$N$24&lt;&gt;0,ROW($N$8:$N$24)-7),ROW(E13))))</f>
        <v/>
      </c>
      <c r="F20" s="182" t="str">
        <f t="array" ref="F20">IF(ISERROR(INDEX($L$8:$L$24,SMALL(IF($O$8:$O$24&lt;&gt;0,ROW($O$8:$O$24)-7),ROW(F13)))),"",INDEX($L$8:$L$24,SMALL(IF($O$8:$O$24&lt;&gt;0,ROW($O$8:$O$24)-7),ROW(F13))))</f>
        <v/>
      </c>
      <c r="G20" s="341" t="str">
        <f t="array" ref="G20">IF(ISERROR(INDEX($O$8:$O$24,SMALL(IF($O$8:$O$24&lt;&gt;0,ROW($O$8:$O$24)-7),ROW(G13)))),"",INDEX($O$8:$O$24,SMALL(IF($O$8:$O$24&lt;&gt;0,ROW($O$8:$O$24)-7),ROW(G13))))</f>
        <v/>
      </c>
      <c r="H20" s="553" t="str">
        <f t="array" ref="H20">IF(ISERROR(INDEX($L$8:$L$26,SMALL(IF($P$8:$P$26&lt;&gt;0,ROW($P$8:$P$26)-7),ROW(H13)))),"",INDEX($L$8:$L$26,SMALL(IF($P$8:$P$26&lt;&gt;0,ROW($P$8:$P$26)-7),ROW(H13))))</f>
        <v/>
      </c>
      <c r="I20" s="554" t="str">
        <f t="array" ref="I20">IF(ISERROR(INDEX($P$8:$P$26,SMALL(IF($P$8:$P$26&lt;&gt;0,ROW($P$8:$P$26)-7),ROW(I13)))),"",INDEX($P$8:$P$26,SMALL(IF($P$8:$P$26&lt;&gt;0,ROW($P$8:$P$26)-7),ROW(I13))))</f>
        <v/>
      </c>
      <c r="J20" s="179"/>
      <c r="K20" s="1625"/>
      <c r="L20" s="927" t="str">
        <f>IF(BASIC_TOOL!E23=2,"WCP-17160SA2","WCP-17160SA4")</f>
        <v>WCP-17160SA4</v>
      </c>
      <c r="M20" s="455">
        <f>표2_4[[#This Row],[열2]]</f>
        <v>26</v>
      </c>
      <c r="N20" s="455"/>
      <c r="O20" s="454"/>
      <c r="P20" s="454">
        <f t="shared" si="0"/>
        <v>26</v>
      </c>
      <c r="Q20" s="455"/>
      <c r="R20" s="914"/>
      <c r="S20" s="914"/>
      <c r="T20" s="515"/>
      <c r="U20" s="515"/>
      <c r="V20" s="516">
        <f>IF(H_O=3,((W_C+W_F-1+L_O_C+L_O_F-1-N_PA)*2+2*(W_C+W_F-1)*N_PA),0)
+IF(H_O=3.5,((W_C+W_F-1+L_O_C+L_O_F-1-N_PA)*2+2*(W_C+W_F-1)*N_PA),0)
+IF(H_O=4,((W_C+W_F-1+L_O_C+L_O_F-1-N_PA)*2*2+2*2*(W_C+W_F-1)*N_PA),0)
+IF(H_O=4.5,((W_C+W_F-1+L_O_C+L_O_F-1-N_PA)*2*2+2*2*(W_C+W_F-1)*N_PA),0)
+IF(H_O=5,((W_C+W_F-1+L_O_C+L_O_F-1-N_PA)*2*3+3*2*(W_C+W_F-1)*N_PA),0)</f>
        <v>26</v>
      </c>
      <c r="W20" s="516"/>
      <c r="X20" s="516"/>
      <c r="Y20" s="515"/>
      <c r="Z20" s="930"/>
      <c r="AA20" s="619">
        <f>0.17*3*2</f>
        <v>1.02</v>
      </c>
      <c r="AB20" s="931">
        <f>AA20*표2_4[[#This Row],[열2]]</f>
        <v>26.52</v>
      </c>
    </row>
    <row r="21" spans="1:28">
      <c r="A21" s="183" t="str">
        <f>IF(B21="","",(VLOOKUP(B:B,'0.39'!B:F,5,FALSE)))</f>
        <v/>
      </c>
      <c r="B21" s="184" t="str">
        <f>IF(BASIC_TOOL!$C$23=1,D21,IF(BASIC_TOOL!$C$23=2,F21,IF(BASIC_TOOL!$C$23=3,H21)))</f>
        <v/>
      </c>
      <c r="C21" s="184" t="str">
        <f>IF(BASIC_TOOL!$C$23=1,E21,IF(BASIC_TOOL!$C$23=2,G21,IF(BASIC_TOOL!$C$23=3,I21)))</f>
        <v/>
      </c>
      <c r="D21" s="182" t="str">
        <f t="array" ref="D21">IF( ISERROR(INDEX($L$8:$L$24,SMALL(IF($N$8:$N$24&lt;&gt;0,ROW($N$8:$N$24)-7),ROW(D14)))),"",INDEX($L$8:$L$24,SMALL(IF($N$8:$N$24&lt;&gt;0,ROW($N$8:$N$24)-7),ROW(D14))))</f>
        <v/>
      </c>
      <c r="E21" s="182" t="str">
        <f t="array" ref="E21">IF(ISERROR(INDEX($N$8:$N$24,SMALL(IF($N$8:$N$24&lt;&gt;0,ROW($N$8:$N$24)-7),ROW(E14)))),"",INDEX($N$8:$N$24,SMALL(IF($N$8:$N$24&lt;&gt;0,ROW($N$8:$N$24)-7),ROW(E14))))</f>
        <v/>
      </c>
      <c r="F21" s="182" t="str">
        <f t="array" ref="F21">IF(ISERROR(INDEX($L$8:$L$24,SMALL(IF($O$8:$O$24&lt;&gt;0,ROW($O$8:$O$24)-7),ROW(F14)))),"",INDEX($L$8:$L$24,SMALL(IF($O$8:$O$24&lt;&gt;0,ROW($O$8:$O$24)-7),ROW(F14))))</f>
        <v/>
      </c>
      <c r="G21" s="341" t="str">
        <f t="array" ref="G21">IF(ISERROR(INDEX($O$8:$O$24,SMALL(IF($O$8:$O$24&lt;&gt;0,ROW($O$8:$O$24)-7),ROW(G14)))),"",INDEX($O$8:$O$24,SMALL(IF($O$8:$O$24&lt;&gt;0,ROW($O$8:$O$24)-7),ROW(G14))))</f>
        <v/>
      </c>
      <c r="H21" s="553" t="str">
        <f t="array" ref="H21">IF(ISERROR(INDEX($L$8:$L$26,SMALL(IF($P$8:$P$26&lt;&gt;0,ROW($P$8:$P$26)-7),ROW(H14)))),"",INDEX($L$8:$L$26,SMALL(IF($P$8:$P$26&lt;&gt;0,ROW($P$8:$P$26)-7),ROW(H14))))</f>
        <v/>
      </c>
      <c r="I21" s="554" t="str">
        <f t="array" ref="I21">IF(ISERROR(INDEX($P$8:$P$26,SMALL(IF($P$8:$P$26&lt;&gt;0,ROW($P$8:$P$26)-7),ROW(I14)))),"",INDEX($P$8:$P$26,SMALL(IF($P$8:$P$26&lt;&gt;0,ROW($P$8:$P$26)-7),ROW(I14))))</f>
        <v/>
      </c>
      <c r="J21" s="179"/>
      <c r="K21" s="1625"/>
      <c r="L21" s="927" t="str">
        <f>IF(BASIC_TOOL!E23=2,"WCP-1760SA2","WCP-1760SA4")</f>
        <v>WCP-1760SA4</v>
      </c>
      <c r="M21" s="455">
        <f>표2_4[[#This Row],[열2]]</f>
        <v>26</v>
      </c>
      <c r="N21" s="455"/>
      <c r="O21" s="454"/>
      <c r="P21" s="454">
        <f t="shared" si="0"/>
        <v>26</v>
      </c>
      <c r="Q21" s="455"/>
      <c r="R21" s="914"/>
      <c r="S21" s="914"/>
      <c r="T21" s="515"/>
      <c r="U21" s="515"/>
      <c r="V21" s="516">
        <f>IF(H_O=1,0,((W_C+W_F-1+L_O_C+L_O_F-1-N_PA)*2)+(W_C+W_F-1)*N_PA*2
+IF(H_O=2.5,((W_C+W_F-1+L_O_C+L_O_F-1-N_PA)*2+2*(W_C+W_F-1)*N_PA+N_PA*2),0))
+IF(H_O=3,(N_PA*2),0)
+IF(H_O=3.5,((W_C+W_F-1+L_O_C+L_O_F-1-N_PA)*2+2*(W_C+W_F-1)*N_PA+N_PA*4),0)
+IF(H_O=4,(N_PA*4),0)
+IF(H_O=4.5,((W_C+W_F-1+L_O_C+L_O_F-1-N_PA)*2+2*(W_C+W_F-1)*N_PA+N_PA*6),0)
+IF(H_O=5,(N_PA*6),0)</f>
        <v>26</v>
      </c>
      <c r="W21" s="516"/>
      <c r="X21" s="516"/>
      <c r="Y21" s="515"/>
      <c r="Z21" s="930"/>
      <c r="AA21" s="619">
        <f>0.1*3</f>
        <v>0.30000000000000004</v>
      </c>
      <c r="AB21" s="931">
        <f>AA21*표2_4[[#This Row],[열2]]</f>
        <v>7.8000000000000007</v>
      </c>
    </row>
    <row r="22" spans="1:28">
      <c r="A22" s="183" t="str">
        <f>IF(B22="","",(VLOOKUP(B:B,'0.39'!B:F,5,FALSE)))</f>
        <v/>
      </c>
      <c r="B22" s="184" t="str">
        <f>IF(BASIC_TOOL!$C$23=1,D22,IF(BASIC_TOOL!$C$23=2,F22,IF(BASIC_TOOL!$C$23=3,H22)))</f>
        <v/>
      </c>
      <c r="C22" s="184" t="str">
        <f>IF(BASIC_TOOL!$C$23=1,E22,IF(BASIC_TOOL!$C$23=2,G22,IF(BASIC_TOOL!$C$23=3,I22)))</f>
        <v/>
      </c>
      <c r="D22" s="182" t="str">
        <f t="array" ref="D22">IF( ISERROR(INDEX($L$8:$L$24,SMALL(IF($N$8:$N$24&lt;&gt;0,ROW($N$8:$N$24)-7),ROW(D15)))),"",INDEX($L$8:$L$24,SMALL(IF($N$8:$N$24&lt;&gt;0,ROW($N$8:$N$24)-7),ROW(D15))))</f>
        <v/>
      </c>
      <c r="E22" s="182" t="str">
        <f t="array" ref="E22">IF(ISERROR(INDEX($N$8:$N$24,SMALL(IF($N$8:$N$24&lt;&gt;0,ROW($N$8:$N$24)-7),ROW(E15)))),"",INDEX($N$8:$N$24,SMALL(IF($N$8:$N$24&lt;&gt;0,ROW($N$8:$N$24)-7),ROW(E15))))</f>
        <v/>
      </c>
      <c r="F22" s="182" t="str">
        <f t="array" ref="F22">IF(ISERROR(INDEX($L$8:$L$24,SMALL(IF($O$8:$O$24&lt;&gt;0,ROW($O$8:$O$24)-7),ROW(F15)))),"",INDEX($L$8:$L$24,SMALL(IF($O$8:$O$24&lt;&gt;0,ROW($O$8:$O$24)-7),ROW(F15))))</f>
        <v/>
      </c>
      <c r="G22" s="341" t="str">
        <f t="array" ref="G22">IF(ISERROR(INDEX($O$8:$O$24,SMALL(IF($O$8:$O$24&lt;&gt;0,ROW($O$8:$O$24)-7),ROW(G15)))),"",INDEX($O$8:$O$24,SMALL(IF($O$8:$O$24&lt;&gt;0,ROW($O$8:$O$24)-7),ROW(G15))))</f>
        <v/>
      </c>
      <c r="H22" s="553" t="str">
        <f t="array" ref="H22">IF(ISERROR(INDEX($L$8:$L$26,SMALL(IF($P$8:$P$26&lt;&gt;0,ROW($P$8:$P$26)-7),ROW(H15)))),"",INDEX($L$8:$L$26,SMALL(IF($P$8:$P$26&lt;&gt;0,ROW($P$8:$P$26)-7),ROW(H15))))</f>
        <v/>
      </c>
      <c r="I22" s="554" t="str">
        <f t="array" ref="I22">IF(ISERROR(INDEX($P$8:$P$26,SMALL(IF($P$8:$P$26&lt;&gt;0,ROW($P$8:$P$26)-7),ROW(I15)))),"",INDEX($P$8:$P$26,SMALL(IF($P$8:$P$26&lt;&gt;0,ROW($P$8:$P$26)-7),ROW(I15))))</f>
        <v/>
      </c>
      <c r="J22" s="179"/>
      <c r="K22" s="1625"/>
      <c r="L22" s="927" t="str">
        <f>IF(BASIC_TOOL!E23=2,"WCP-17120SA2","WCP-17120SA4")</f>
        <v>WCP-17120SA4</v>
      </c>
      <c r="M22" s="455">
        <f>표2_4[[#This Row],[열2]]</f>
        <v>0</v>
      </c>
      <c r="N22" s="455"/>
      <c r="O22" s="454"/>
      <c r="P22" s="454">
        <f t="shared" si="0"/>
        <v>0</v>
      </c>
      <c r="Q22" s="455"/>
      <c r="R22" s="914"/>
      <c r="S22" s="914"/>
      <c r="T22" s="515"/>
      <c r="U22" s="515"/>
      <c r="V22" s="516"/>
      <c r="W22" s="516"/>
      <c r="X22" s="516"/>
      <c r="Y22" s="515"/>
      <c r="Z22" s="930"/>
      <c r="AA22" s="619"/>
      <c r="AB22" s="931">
        <f>AA22*표2_4[[#This Row],[열2]]</f>
        <v>0</v>
      </c>
    </row>
    <row r="23" spans="1:28">
      <c r="A23" s="183" t="str">
        <f>IF(B23="","",(VLOOKUP(B:B,'0.39'!B:F,5,FALSE)))</f>
        <v/>
      </c>
      <c r="B23" s="184" t="str">
        <f>IF(BASIC_TOOL!$C$23=1,D23,IF(BASIC_TOOL!$C$23=2,F23,IF(BASIC_TOOL!$C$23=3,H23)))</f>
        <v/>
      </c>
      <c r="C23" s="184" t="str">
        <f>IF(BASIC_TOOL!$C$23=1,E23,IF(BASIC_TOOL!$C$23=2,G23,IF(BASIC_TOOL!$C$23=3,I23)))</f>
        <v/>
      </c>
      <c r="D23" s="182" t="str">
        <f t="array" ref="D23">IF( ISERROR(INDEX($L$8:$L$24,SMALL(IF($N$8:$N$24&lt;&gt;0,ROW($N$8:$N$24)-7),ROW(D16)))),"",INDEX($L$8:$L$24,SMALL(IF($N$8:$N$24&lt;&gt;0,ROW($N$8:$N$24)-7),ROW(D16))))</f>
        <v/>
      </c>
      <c r="E23" s="182" t="str">
        <f t="array" ref="E23">IF(ISERROR(INDEX($N$8:$N$24,SMALL(IF($N$8:$N$24&lt;&gt;0,ROW($N$8:$N$24)-7),ROW(E16)))),"",INDEX($N$8:$N$24,SMALL(IF($N$8:$N$24&lt;&gt;0,ROW($N$8:$N$24)-7),ROW(E16))))</f>
        <v/>
      </c>
      <c r="F23" s="182" t="str">
        <f t="array" ref="F23">IF(ISERROR(INDEX($L$8:$L$24,SMALL(IF($O$8:$O$24&lt;&gt;0,ROW($O$8:$O$24)-7),ROW(F16)))),"",INDEX($L$8:$L$24,SMALL(IF($O$8:$O$24&lt;&gt;0,ROW($O$8:$O$24)-7),ROW(F16))))</f>
        <v/>
      </c>
      <c r="G23" s="341" t="str">
        <f t="array" ref="G23">IF(ISERROR(INDEX($O$8:$O$24,SMALL(IF($O$8:$O$24&lt;&gt;0,ROW($O$8:$O$24)-7),ROW(G16)))),"",INDEX($O$8:$O$24,SMALL(IF($O$8:$O$24&lt;&gt;0,ROW($O$8:$O$24)-7),ROW(G16))))</f>
        <v/>
      </c>
      <c r="H23" s="553" t="str">
        <f t="array" ref="H23">IF(ISERROR(INDEX($L$8:$L$26,SMALL(IF($P$8:$P$26&lt;&gt;0,ROW($P$8:$P$26)-7),ROW(H16)))),"",INDEX($L$8:$L$26,SMALL(IF($P$8:$P$26&lt;&gt;0,ROW($P$8:$P$26)-7),ROW(H16))))</f>
        <v/>
      </c>
      <c r="I23" s="554" t="str">
        <f t="array" ref="I23">IF(ISERROR(INDEX($P$8:$P$26,SMALL(IF($P$8:$P$26&lt;&gt;0,ROW($P$8:$P$26)-7),ROW(I16)))),"",INDEX($P$8:$P$26,SMALL(IF($P$8:$P$26&lt;&gt;0,ROW($P$8:$P$26)-7),ROW(I16))))</f>
        <v/>
      </c>
      <c r="J23" s="179"/>
      <c r="K23" s="1625"/>
      <c r="L23" s="927" t="str">
        <f>IF(BASIC_TOOL!E23=2,"WBR-9090SA2","WBR-9090SA4")</f>
        <v>WBR-9090SA4</v>
      </c>
      <c r="M23" s="455">
        <f>표2_4[[#This Row],[열2]]</f>
        <v>4</v>
      </c>
      <c r="N23" s="455">
        <f>Q23+R23+S23+T23+U23+V23+W23+X23+Y23+Z23</f>
        <v>4</v>
      </c>
      <c r="O23" s="455">
        <f>Q23+R23+S23+T23+U23+V23+W23+X23+Y23+Z23</f>
        <v>4</v>
      </c>
      <c r="P23" s="454">
        <f t="shared" si="0"/>
        <v>4</v>
      </c>
      <c r="Q23" s="455">
        <f>IF(H_O&gt;3,((W_C+W_F-1)+L_O_C+L_O_F-N_PA-1)*2,0)</f>
        <v>0</v>
      </c>
      <c r="R23" s="914"/>
      <c r="S23" s="914">
        <f>IF(H_O=2.5,4,0)+IF(H_O=3,4,0)+IF(H_O=3.5,8,0)+IF(H_O=4,8,0)+IF(H_O=4.5,8,0)+IF(H_O=5,12,0)</f>
        <v>4</v>
      </c>
      <c r="T23" s="515"/>
      <c r="U23" s="515"/>
      <c r="V23" s="516"/>
      <c r="W23" s="516"/>
      <c r="X23" s="516"/>
      <c r="Y23" s="515"/>
      <c r="Z23" s="930"/>
      <c r="AA23" s="619">
        <f>0.09*2*3</f>
        <v>0.54</v>
      </c>
      <c r="AB23" s="931">
        <f>AA23*표2_4[[#This Row],[열2]]</f>
        <v>2.16</v>
      </c>
    </row>
    <row r="24" spans="1:28" ht="18.75" thickBot="1">
      <c r="A24" s="183" t="str">
        <f>IF(B24="","",(VLOOKUP(B:B,'0.39'!B:F,5,FALSE)))</f>
        <v/>
      </c>
      <c r="B24" s="184" t="str">
        <f>IF(BASIC_TOOL!$C$23=1,D24,IF(BASIC_TOOL!$C$23=2,F24,IF(BASIC_TOOL!$C$23=3,H24)))</f>
        <v/>
      </c>
      <c r="C24" s="184" t="str">
        <f>IF(BASIC_TOOL!$C$23=1,E24,IF(BASIC_TOOL!$C$23=2,G24,IF(BASIC_TOOL!$C$23=3,I24)))</f>
        <v/>
      </c>
      <c r="D24" s="182" t="str">
        <f t="array" ref="D24">IF( ISERROR(INDEX($L$8:$L$24,SMALL(IF($N$8:$N$24&lt;&gt;0,ROW($N$8:$N$24)-7),ROW(D17)))),"",INDEX($L$8:$L$24,SMALL(IF($N$8:$N$24&lt;&gt;0,ROW($N$8:$N$24)-7),ROW(D17))))</f>
        <v/>
      </c>
      <c r="E24" s="182" t="str">
        <f t="array" ref="E24">IF(ISERROR(INDEX($N$8:$N$24,SMALL(IF($N$8:$N$24&lt;&gt;0,ROW($N$8:$N$24)-7),ROW(E17)))),"",INDEX($N$8:$N$24,SMALL(IF($N$8:$N$24&lt;&gt;0,ROW($N$8:$N$24)-7),ROW(E17))))</f>
        <v/>
      </c>
      <c r="F24" s="182" t="str">
        <f t="array" ref="F24">IF(ISERROR(INDEX($L$8:$L$24,SMALL(IF($O$8:$O$24&lt;&gt;0,ROW($O$8:$O$24)-7),ROW(F17)))),"",INDEX($L$8:$L$24,SMALL(IF($O$8:$O$24&lt;&gt;0,ROW($O$8:$O$24)-7),ROW(F17))))</f>
        <v/>
      </c>
      <c r="G24" s="341" t="str">
        <f t="array" ref="G24">IF(ISERROR(INDEX($O$8:$O$24,SMALL(IF($O$8:$O$24&lt;&gt;0,ROW($O$8:$O$24)-7),ROW(G17)))),"",INDEX($O$8:$O$24,SMALL(IF($O$8:$O$24&lt;&gt;0,ROW($O$8:$O$24)-7),ROW(G17))))</f>
        <v/>
      </c>
      <c r="H24" s="553" t="str">
        <f t="array" ref="H24">IF(ISERROR(INDEX($L$8:$L$26,SMALL(IF($P$8:$P$26&lt;&gt;0,ROW($P$8:$P$26)-7),ROW(H17)))),"",INDEX($L$8:$L$26,SMALL(IF($P$8:$P$26&lt;&gt;0,ROW($P$8:$P$26)-7),ROW(H17))))</f>
        <v/>
      </c>
      <c r="I24" s="554" t="str">
        <f t="array" ref="I24">IF(ISERROR(INDEX($P$8:$P$26,SMALL(IF($P$8:$P$26&lt;&gt;0,ROW($P$8:$P$26)-7),ROW(I17)))),"",INDEX($P$8:$P$26,SMALL(IF($P$8:$P$26&lt;&gt;0,ROW($P$8:$P$26)-7),ROW(I17))))</f>
        <v/>
      </c>
      <c r="J24" s="179"/>
      <c r="K24" s="1626"/>
      <c r="L24" s="537" t="str">
        <f>IF(BASIC_TOOL!E23=2,"WBR-1010SA2","WBR-1010SA4")</f>
        <v>WBR-1010SA4</v>
      </c>
      <c r="M24" s="538">
        <f>표2_4[[#This Row],[열2]]</f>
        <v>0</v>
      </c>
      <c r="N24" s="538">
        <f>Q24+R24+S24+T24+U24+V24+W24+X24+Y24+Z24</f>
        <v>0</v>
      </c>
      <c r="O24" s="539">
        <f>Q24+R24+S24+T24+U24+V24+W24+X24+Y24+Z24</f>
        <v>0</v>
      </c>
      <c r="P24" s="454">
        <f t="shared" si="0"/>
        <v>0</v>
      </c>
      <c r="Q24" s="538"/>
      <c r="R24" s="540"/>
      <c r="S24" s="540"/>
      <c r="T24" s="541"/>
      <c r="U24" s="541"/>
      <c r="V24" s="542"/>
      <c r="W24" s="542"/>
      <c r="X24" s="542"/>
      <c r="Y24" s="541"/>
      <c r="Z24" s="618"/>
      <c r="AA24" s="932"/>
      <c r="AB24" s="555"/>
    </row>
    <row r="25" spans="1:28">
      <c r="L25" s="1083"/>
      <c r="M25" s="1084"/>
      <c r="N25" s="1085"/>
      <c r="O25" s="1086"/>
      <c r="P25" s="454"/>
      <c r="Q25" s="1087"/>
      <c r="R25" s="1088"/>
      <c r="S25" s="1088"/>
      <c r="T25" s="1089"/>
      <c r="U25" s="1089"/>
      <c r="V25" s="1090"/>
      <c r="W25" s="1090"/>
      <c r="X25" s="1090"/>
      <c r="Y25" s="1091"/>
      <c r="Z25" s="1092"/>
      <c r="AB25" s="176">
        <f>SUM(AB8:AB24)</f>
        <v>36.480000000000004</v>
      </c>
    </row>
    <row r="26" spans="1:28">
      <c r="L26" s="1083"/>
      <c r="M26" s="1084"/>
      <c r="N26" s="1085"/>
      <c r="O26" s="1086"/>
      <c r="P26" s="454"/>
      <c r="Q26" s="1087"/>
      <c r="R26" s="1088"/>
      <c r="S26" s="1088"/>
      <c r="T26" s="1089"/>
      <c r="U26" s="1089"/>
      <c r="V26" s="1090"/>
      <c r="W26" s="1090"/>
      <c r="X26" s="1090"/>
      <c r="Y26" s="1091"/>
      <c r="Z26" s="1092"/>
    </row>
    <row r="28" spans="1:28">
      <c r="T28" s="523"/>
      <c r="U28" s="177"/>
      <c r="V28" s="111"/>
      <c r="W28" s="111"/>
      <c r="X28" s="190"/>
      <c r="Y28" s="177"/>
      <c r="Z28" s="190"/>
    </row>
    <row r="29" spans="1:28">
      <c r="Q29" s="176"/>
      <c r="R29" s="176"/>
      <c r="S29" s="176"/>
      <c r="T29" s="518"/>
      <c r="U29" s="176"/>
      <c r="V29" s="176"/>
      <c r="W29" s="176"/>
      <c r="X29" s="176"/>
      <c r="Y29" s="176"/>
      <c r="Z29" s="176"/>
    </row>
    <row r="30" spans="1:28">
      <c r="K30" s="179"/>
      <c r="L30" s="111"/>
      <c r="N30" s="524"/>
      <c r="O30" s="180"/>
      <c r="P30" s="180"/>
      <c r="Q30" s="525"/>
      <c r="R30" s="525"/>
      <c r="S30" s="525"/>
      <c r="T30" s="525"/>
      <c r="U30" s="525"/>
      <c r="V30" s="434"/>
      <c r="W30" s="111"/>
      <c r="X30" s="111"/>
      <c r="Y30" s="111"/>
      <c r="Z30" s="111"/>
    </row>
    <row r="31" spans="1:28">
      <c r="K31" s="179"/>
      <c r="L31" s="111"/>
      <c r="N31" s="524"/>
      <c r="O31" s="111"/>
      <c r="P31" s="111"/>
      <c r="Q31" s="526"/>
      <c r="R31" s="526"/>
      <c r="S31" s="526"/>
      <c r="T31" s="526"/>
      <c r="U31" s="82"/>
      <c r="V31" s="526"/>
      <c r="W31" s="526"/>
      <c r="X31" s="526"/>
      <c r="Y31" s="82"/>
      <c r="Z31" s="82"/>
    </row>
    <row r="32" spans="1:28">
      <c r="K32" s="1623"/>
      <c r="N32" s="187"/>
      <c r="O32" s="468"/>
      <c r="P32" s="468"/>
      <c r="Q32" s="187"/>
      <c r="R32" s="111"/>
      <c r="S32" s="111"/>
      <c r="T32" s="177"/>
      <c r="U32" s="177"/>
      <c r="V32" s="519"/>
      <c r="W32" s="519"/>
      <c r="X32" s="190"/>
      <c r="Y32" s="177"/>
      <c r="Z32" s="190"/>
    </row>
    <row r="33" spans="11:26">
      <c r="K33" s="1623"/>
      <c r="N33" s="187"/>
      <c r="O33" s="468"/>
      <c r="P33" s="468"/>
      <c r="Q33" s="187"/>
      <c r="R33" s="111"/>
      <c r="S33" s="111"/>
      <c r="T33" s="177"/>
      <c r="U33" s="177"/>
      <c r="V33" s="519"/>
      <c r="W33" s="519"/>
      <c r="X33" s="190"/>
      <c r="Y33" s="177"/>
      <c r="Z33" s="190"/>
    </row>
    <row r="34" spans="11:26">
      <c r="K34" s="1623"/>
      <c r="N34" s="187"/>
      <c r="O34" s="468"/>
      <c r="P34" s="468"/>
      <c r="Q34" s="187"/>
      <c r="R34" s="111"/>
      <c r="S34" s="111"/>
      <c r="T34" s="177"/>
      <c r="U34" s="177"/>
      <c r="V34" s="519"/>
      <c r="W34" s="519"/>
      <c r="X34" s="190"/>
      <c r="Y34" s="177"/>
      <c r="Z34" s="190"/>
    </row>
    <row r="35" spans="11:26">
      <c r="K35" s="1623"/>
      <c r="N35" s="187"/>
      <c r="O35" s="468"/>
      <c r="P35" s="468"/>
      <c r="Q35" s="187"/>
      <c r="R35" s="111"/>
      <c r="S35" s="111"/>
      <c r="T35" s="177"/>
      <c r="U35" s="177"/>
      <c r="V35" s="519"/>
      <c r="W35" s="519"/>
      <c r="X35" s="190"/>
      <c r="Y35" s="177"/>
      <c r="Z35" s="519"/>
    </row>
    <row r="36" spans="11:26">
      <c r="K36" s="1623"/>
      <c r="N36" s="187"/>
      <c r="O36" s="468"/>
      <c r="P36" s="468"/>
      <c r="Q36" s="187"/>
      <c r="R36" s="111"/>
      <c r="S36" s="111"/>
      <c r="T36" s="177"/>
      <c r="U36" s="177"/>
      <c r="V36" s="519"/>
      <c r="W36" s="520"/>
      <c r="X36" s="519"/>
      <c r="Y36" s="521"/>
      <c r="Z36" s="190"/>
    </row>
    <row r="37" spans="11:26">
      <c r="K37" s="1623"/>
      <c r="N37" s="187"/>
      <c r="O37" s="468"/>
      <c r="P37" s="468"/>
      <c r="Q37" s="187"/>
      <c r="R37" s="111"/>
      <c r="S37" s="111"/>
      <c r="T37" s="177"/>
      <c r="U37" s="177"/>
      <c r="V37" s="519"/>
      <c r="W37" s="520"/>
      <c r="X37" s="519"/>
      <c r="Y37" s="522"/>
      <c r="Z37" s="519"/>
    </row>
    <row r="38" spans="11:26">
      <c r="K38" s="1623"/>
      <c r="N38" s="187"/>
      <c r="O38" s="468"/>
      <c r="P38" s="468"/>
      <c r="Q38" s="187"/>
      <c r="R38" s="111"/>
      <c r="S38" s="111"/>
      <c r="T38" s="177"/>
      <c r="U38" s="177"/>
      <c r="V38" s="519"/>
      <c r="W38" s="520"/>
      <c r="X38" s="190"/>
      <c r="Y38" s="521"/>
      <c r="Z38" s="190"/>
    </row>
    <row r="39" spans="11:26">
      <c r="K39" s="1623"/>
      <c r="N39" s="187"/>
      <c r="O39" s="468"/>
      <c r="P39" s="468"/>
      <c r="Q39" s="187"/>
      <c r="R39" s="111"/>
      <c r="S39" s="111"/>
      <c r="T39" s="177"/>
      <c r="U39" s="177"/>
      <c r="V39" s="519"/>
      <c r="W39" s="520"/>
      <c r="X39" s="519"/>
      <c r="Y39" s="177"/>
      <c r="Z39" s="190"/>
    </row>
    <row r="40" spans="11:26">
      <c r="K40" s="1623"/>
      <c r="N40" s="187"/>
      <c r="O40" s="468"/>
      <c r="P40" s="468"/>
      <c r="Q40" s="187"/>
      <c r="R40" s="111"/>
      <c r="S40" s="111"/>
      <c r="T40" s="177"/>
      <c r="U40" s="177"/>
      <c r="V40" s="519"/>
      <c r="W40" s="519"/>
      <c r="X40" s="519"/>
      <c r="Y40" s="177"/>
      <c r="Z40" s="190"/>
    </row>
    <row r="41" spans="11:26">
      <c r="K41" s="1623"/>
      <c r="N41" s="187"/>
      <c r="O41" s="468"/>
      <c r="P41" s="468"/>
      <c r="Q41" s="187"/>
      <c r="R41" s="111"/>
      <c r="S41" s="111"/>
      <c r="T41" s="521"/>
      <c r="U41" s="177"/>
      <c r="V41" s="519"/>
      <c r="W41" s="519"/>
      <c r="X41" s="190"/>
      <c r="Y41" s="177"/>
      <c r="Z41" s="190"/>
    </row>
    <row r="42" spans="11:26">
      <c r="K42" s="1623"/>
      <c r="N42" s="187"/>
      <c r="O42" s="468"/>
      <c r="P42" s="468"/>
      <c r="Q42" s="187"/>
      <c r="R42" s="111"/>
      <c r="S42" s="111"/>
      <c r="T42" s="521"/>
      <c r="U42" s="177"/>
      <c r="V42" s="519"/>
      <c r="W42" s="190"/>
      <c r="X42" s="190"/>
      <c r="Y42" s="177"/>
      <c r="Z42" s="190"/>
    </row>
    <row r="43" spans="11:26">
      <c r="K43" s="1623"/>
      <c r="N43" s="187"/>
      <c r="O43" s="468"/>
      <c r="P43" s="468"/>
      <c r="Q43" s="187"/>
      <c r="R43" s="111"/>
      <c r="S43" s="111"/>
      <c r="T43" s="177"/>
      <c r="U43" s="177"/>
      <c r="V43" s="519"/>
      <c r="W43" s="190"/>
      <c r="X43" s="190"/>
      <c r="Y43" s="177"/>
      <c r="Z43" s="190"/>
    </row>
    <row r="44" spans="11:26">
      <c r="K44" s="1623"/>
      <c r="N44" s="187"/>
      <c r="O44" s="468"/>
      <c r="P44" s="468"/>
      <c r="Q44" s="187"/>
      <c r="R44" s="111"/>
      <c r="S44" s="111"/>
      <c r="T44" s="177"/>
      <c r="U44" s="177"/>
      <c r="V44" s="519"/>
      <c r="W44" s="190"/>
      <c r="X44" s="190"/>
      <c r="Y44" s="177"/>
      <c r="Z44" s="190"/>
    </row>
    <row r="45" spans="11:26">
      <c r="K45" s="1623"/>
      <c r="N45" s="187"/>
      <c r="O45" s="468"/>
      <c r="P45" s="468"/>
      <c r="Q45" s="187"/>
      <c r="R45" s="111"/>
      <c r="S45" s="111"/>
      <c r="T45" s="177"/>
      <c r="U45" s="177"/>
      <c r="V45" s="190"/>
      <c r="W45" s="190"/>
      <c r="X45" s="190"/>
      <c r="Y45" s="177"/>
      <c r="Z45" s="190"/>
    </row>
    <row r="46" spans="11:26">
      <c r="K46" s="1623"/>
      <c r="N46" s="187"/>
      <c r="O46" s="468"/>
      <c r="P46" s="468"/>
      <c r="Q46" s="187"/>
      <c r="R46" s="111"/>
      <c r="S46" s="111"/>
      <c r="T46" s="177"/>
      <c r="U46" s="177"/>
      <c r="V46" s="519"/>
      <c r="W46" s="190"/>
      <c r="X46" s="190"/>
      <c r="Y46" s="177"/>
      <c r="Z46" s="190"/>
    </row>
    <row r="47" spans="11:26">
      <c r="K47" s="1623"/>
      <c r="N47" s="187"/>
      <c r="O47" s="187"/>
      <c r="P47" s="187"/>
      <c r="Q47" s="187"/>
      <c r="R47" s="111"/>
      <c r="S47" s="111"/>
      <c r="T47" s="177"/>
      <c r="U47" s="177"/>
      <c r="V47" s="519"/>
      <c r="W47" s="190"/>
      <c r="X47" s="190"/>
      <c r="Y47" s="177"/>
      <c r="Z47" s="190"/>
    </row>
    <row r="48" spans="11:26">
      <c r="K48" s="1623"/>
      <c r="N48" s="187"/>
      <c r="O48" s="468"/>
      <c r="P48" s="468"/>
      <c r="Q48" s="187"/>
      <c r="R48" s="111"/>
      <c r="S48" s="111"/>
      <c r="T48" s="177"/>
      <c r="U48" s="177"/>
      <c r="V48" s="519"/>
      <c r="W48" s="190"/>
      <c r="X48" s="190"/>
      <c r="Y48" s="177"/>
      <c r="Z48" s="190"/>
    </row>
    <row r="49" spans="11:26">
      <c r="K49" s="1623"/>
      <c r="N49" s="187"/>
      <c r="O49" s="468"/>
      <c r="P49" s="468"/>
      <c r="Q49" s="187"/>
      <c r="R49" s="111"/>
      <c r="S49" s="111"/>
      <c r="T49" s="521"/>
      <c r="U49" s="177"/>
      <c r="V49" s="519"/>
      <c r="W49" s="190"/>
      <c r="X49" s="190"/>
      <c r="Y49" s="177"/>
      <c r="Z49" s="190"/>
    </row>
  </sheetData>
  <mergeCells count="9">
    <mergeCell ref="D6:E6"/>
    <mergeCell ref="F6:G6"/>
    <mergeCell ref="H6:I6"/>
    <mergeCell ref="K18:K24"/>
    <mergeCell ref="AA6:AB6"/>
    <mergeCell ref="AA7:AB7"/>
    <mergeCell ref="K32:K41"/>
    <mergeCell ref="K42:K49"/>
    <mergeCell ref="K8:K17"/>
  </mergeCells>
  <phoneticPr fontId="13" type="noConversion"/>
  <pageMargins left="0.7" right="0.7" top="0.75" bottom="0.75" header="0.3" footer="0.3"/>
  <pageSetup paperSize="9" scale="35" fitToHeight="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BFA04-293C-4A84-9BC6-AFDE86AE37FD}">
  <sheetPr codeName="Sheet24">
    <pageSetUpPr fitToPage="1"/>
  </sheetPr>
  <dimension ref="A1:Y91"/>
  <sheetViews>
    <sheetView zoomScale="70" zoomScaleNormal="70" zoomScalePageLayoutView="40" workbookViewId="0">
      <selection activeCell="A8" sqref="A8"/>
    </sheetView>
  </sheetViews>
  <sheetFormatPr defaultColWidth="8.875" defaultRowHeight="17.25"/>
  <cols>
    <col min="1" max="1" width="24" style="706" bestFit="1" customWidth="1"/>
    <col min="2" max="2" width="19.125" style="706" bestFit="1" customWidth="1"/>
    <col min="3" max="3" width="6.875" style="706" bestFit="1" customWidth="1"/>
    <col min="4" max="4" width="14.625" style="743" bestFit="1" customWidth="1"/>
    <col min="5" max="5" width="5.875" style="743" bestFit="1" customWidth="1"/>
    <col min="6" max="6" width="16.25" style="743" customWidth="1"/>
    <col min="7" max="7" width="5.875" style="743" bestFit="1" customWidth="1"/>
    <col min="8" max="8" width="16.125" style="743" bestFit="1" customWidth="1"/>
    <col min="9" max="9" width="8.875" style="706" customWidth="1"/>
    <col min="10" max="10" width="17.875" style="706" bestFit="1" customWidth="1"/>
    <col min="11" max="11" width="20.125" style="706" customWidth="1"/>
    <col min="12" max="12" width="9.75" style="706" bestFit="1" customWidth="1"/>
    <col min="13" max="13" width="13.625" style="747" bestFit="1" customWidth="1"/>
    <col min="14" max="15" width="9.75" style="706" bestFit="1" customWidth="1"/>
    <col min="16" max="16" width="17.125" style="748" customWidth="1"/>
    <col min="17" max="17" width="19.125" style="743" customWidth="1"/>
    <col min="18" max="18" width="23.625" style="743" bestFit="1" customWidth="1"/>
    <col min="19" max="19" width="19.125" style="743" customWidth="1"/>
    <col min="20" max="20" width="17.125" style="743" customWidth="1"/>
    <col min="21" max="21" width="17.125" style="748" customWidth="1"/>
    <col min="22" max="23" width="13.75" style="748" bestFit="1" customWidth="1"/>
    <col min="24" max="24" width="16.25" style="743" bestFit="1" customWidth="1"/>
    <col min="25" max="25" width="16.25" style="748" bestFit="1" customWidth="1"/>
    <col min="26" max="28" width="8.875" style="706"/>
    <col min="29" max="29" width="25" style="706" bestFit="1" customWidth="1"/>
    <col min="30" max="16384" width="8.875" style="706"/>
  </cols>
  <sheetData>
    <row r="1" spans="1:25">
      <c r="K1" s="768" t="str">
        <f>"▣ Size : "&amp;W_O&amp;" x ("&amp;L1_O&amp;"+"&amp;L2_O&amp;"+"&amp;L3_O&amp;"+"&amp;L4_O&amp;") x"&amp;H_O&amp;"mH ="&amp;BASIC_TOOL!H11&amp;" [TON]/ 1[SET]"&amp;"         "</f>
        <v xml:space="preserve">▣ Size : 10 x (5+0+0+0) x3mH =150 [TON]/ 1[SET]         </v>
      </c>
    </row>
    <row r="2" spans="1:25">
      <c r="D2" s="749"/>
      <c r="G2" s="749"/>
      <c r="H2" s="749"/>
      <c r="L2" s="706">
        <f>W_C</f>
        <v>10</v>
      </c>
      <c r="M2" s="747">
        <f>L1_C</f>
        <v>5</v>
      </c>
      <c r="N2" s="706">
        <f>L2_C</f>
        <v>0</v>
      </c>
      <c r="S2" s="743">
        <f>W_C+W_F-1+L_O_C+L_O_F-1-N_PA</f>
        <v>13</v>
      </c>
      <c r="T2" s="749"/>
      <c r="U2" s="750"/>
      <c r="V2" s="750"/>
      <c r="W2" s="750"/>
      <c r="X2" s="749"/>
      <c r="Y2" s="750"/>
    </row>
    <row r="3" spans="1:25">
      <c r="D3" s="749"/>
      <c r="E3" s="749"/>
      <c r="F3" s="749"/>
      <c r="G3" s="749"/>
      <c r="H3" s="749"/>
      <c r="T3" s="751"/>
      <c r="U3" s="749"/>
      <c r="V3" s="749"/>
      <c r="W3" s="752"/>
      <c r="X3" s="751"/>
      <c r="Y3" s="752"/>
    </row>
    <row r="4" spans="1:25">
      <c r="D4" s="751"/>
      <c r="E4" s="751"/>
      <c r="F4" s="751"/>
      <c r="G4" s="751"/>
      <c r="H4" s="751"/>
      <c r="S4" s="769" t="s">
        <v>426</v>
      </c>
      <c r="T4" s="751"/>
      <c r="U4" s="749"/>
      <c r="V4" s="749"/>
      <c r="W4" s="752"/>
      <c r="X4" s="751"/>
      <c r="Y4" s="752"/>
    </row>
    <row r="5" spans="1:25" ht="18" thickBot="1">
      <c r="B5" s="706" t="s">
        <v>318</v>
      </c>
      <c r="D5" s="751"/>
      <c r="E5" s="749"/>
      <c r="F5" s="770" t="s">
        <v>8</v>
      </c>
      <c r="G5" s="751"/>
      <c r="H5" s="751"/>
      <c r="P5" s="706"/>
      <c r="Q5" s="706"/>
      <c r="R5" s="706"/>
      <c r="S5" s="771"/>
      <c r="T5" s="706"/>
      <c r="U5" s="706"/>
      <c r="V5" s="706"/>
      <c r="W5" s="706"/>
      <c r="X5" s="706"/>
      <c r="Y5" s="706"/>
    </row>
    <row r="6" spans="1:25" s="699" customFormat="1" ht="21.75" customHeight="1">
      <c r="B6" s="757">
        <f>BASIC_TOOL!C23</f>
        <v>3</v>
      </c>
      <c r="D6" s="1630" t="s">
        <v>396</v>
      </c>
      <c r="E6" s="1630"/>
      <c r="F6" s="1631"/>
      <c r="G6" s="1631"/>
      <c r="H6" s="1631"/>
      <c r="I6" s="1631"/>
      <c r="J6" s="693"/>
      <c r="K6" s="772"/>
      <c r="L6" s="773">
        <f>IF(BASIC_TOOL!$C$23=1,M6,IF(BASIC_TOOL!$C$23=2,N6,IF(BASIC_TOOL!$C$23=3,O6)))</f>
        <v>0</v>
      </c>
      <c r="M6" s="774"/>
      <c r="N6" s="775"/>
      <c r="O6" s="776"/>
      <c r="P6" s="777"/>
      <c r="Q6" s="777"/>
      <c r="R6" s="777"/>
      <c r="S6" s="777"/>
      <c r="T6" s="777"/>
      <c r="U6" s="778"/>
      <c r="V6" s="779"/>
      <c r="W6" s="780"/>
      <c r="X6" s="780"/>
      <c r="Y6" s="781"/>
    </row>
    <row r="7" spans="1:25" s="699" customFormat="1" ht="33.75" thickBot="1">
      <c r="A7" s="715"/>
      <c r="B7" s="716" t="s">
        <v>176</v>
      </c>
      <c r="C7" s="716" t="s">
        <v>168</v>
      </c>
      <c r="D7" s="716" t="s">
        <v>176</v>
      </c>
      <c r="E7" s="716" t="s">
        <v>168</v>
      </c>
      <c r="F7" s="82"/>
      <c r="G7" s="82"/>
      <c r="H7" s="82"/>
      <c r="I7" s="82"/>
      <c r="J7" s="693"/>
      <c r="K7" s="694"/>
      <c r="L7" s="694" t="str">
        <f>IF(BASIC_TOOL!$C$23=1,M7,IF(BASIC_TOOL!$C$23=2,N7,IF(BASIC_TOOL!$C$23=3,O7)))</f>
        <v>Type3</v>
      </c>
      <c r="M7" s="695" t="s">
        <v>387</v>
      </c>
      <c r="N7" s="694" t="s">
        <v>400</v>
      </c>
      <c r="O7" s="694" t="s">
        <v>401</v>
      </c>
      <c r="P7" s="694" t="s">
        <v>374</v>
      </c>
      <c r="Q7" s="696" t="s">
        <v>435</v>
      </c>
      <c r="R7" s="696" t="s">
        <v>436</v>
      </c>
      <c r="S7" s="696" t="s">
        <v>437</v>
      </c>
      <c r="T7" s="696" t="s">
        <v>438</v>
      </c>
      <c r="U7" s="696" t="s">
        <v>439</v>
      </c>
      <c r="V7" s="697" t="s">
        <v>1282</v>
      </c>
      <c r="W7" s="696" t="s">
        <v>1283</v>
      </c>
      <c r="X7" s="694" t="s">
        <v>1284</v>
      </c>
      <c r="Y7" s="698" t="s">
        <v>1285</v>
      </c>
    </row>
    <row r="8" spans="1:25" s="699" customFormat="1" ht="18" customHeight="1">
      <c r="A8" s="715" t="str">
        <f>IF(B8="","",(VLOOKUP(B:B,'0.39'!B:F,5,FALSE)))</f>
        <v>F/L Reinforcing plate</v>
      </c>
      <c r="B8" s="715" t="str">
        <f>D8</f>
        <v>WFB-0950ZP</v>
      </c>
      <c r="C8" s="715">
        <f>E8</f>
        <v>38</v>
      </c>
      <c r="D8" s="715" t="str">
        <f t="array" ref="D8">IF( ISERROR(INDEX($K$8:$K$60,SMALL(IF($M$8:$M$60&lt;&gt;0,ROW($M$8:$M$60)-7),ROW(D1)))),"",INDEX($K$8:$K$60,SMALL(IF($M$8:$M$60&lt;&gt;0,ROW($M$8:$M$60)-7),ROW(D1))))</f>
        <v>WFB-0950ZP</v>
      </c>
      <c r="E8" s="715">
        <f t="array" ref="E8">IF(ISERROR(INDEX($M$8:$M$60,SMALL(IF($M$8:$M$60&lt;&gt;0,ROW($M$8:$M$60)-7),ROW(E1)))),"",INDEX($M$8:$M$60,SMALL(IF($M$8:$M$60&lt;&gt;0,ROW($M$8:$M$60)-7),ROW(E1))))</f>
        <v>38</v>
      </c>
      <c r="F8" s="693"/>
      <c r="G8" s="693"/>
      <c r="H8" s="693"/>
      <c r="I8" s="693"/>
      <c r="J8" s="1632" t="s">
        <v>306</v>
      </c>
      <c r="K8" s="783" t="s">
        <v>573</v>
      </c>
      <c r="L8" s="718">
        <f>표2_4523[[#This Row],[열3]]</f>
        <v>0</v>
      </c>
      <c r="M8" s="784">
        <f t="shared" ref="M8:M13" si="0">P8+Q8+R8+S8+T8+U8+V8+X8+Y8</f>
        <v>0</v>
      </c>
      <c r="N8" s="784"/>
      <c r="O8" s="785">
        <f>P8+Q8+R8+S8+T8+X8+Y8+W8</f>
        <v>0</v>
      </c>
      <c r="P8" s="786"/>
      <c r="Q8" s="700">
        <f>IF(OR(H_O=4.5,H_O=5),(W_F+L1_F+L2_F+L3_F+L4_F)*2,0)</f>
        <v>0</v>
      </c>
      <c r="R8" s="787"/>
      <c r="S8" s="701"/>
      <c r="T8" s="701"/>
      <c r="U8" s="702"/>
      <c r="V8" s="703"/>
      <c r="W8" s="704"/>
      <c r="X8" s="701"/>
      <c r="Y8" s="705"/>
    </row>
    <row r="9" spans="1:25" s="699" customFormat="1">
      <c r="A9" s="715" t="str">
        <f>IF(B9="","",(VLOOKUP(B:B,'0.39'!B:F,5,FALSE)))</f>
        <v>F/L Reinforcing Angle</v>
      </c>
      <c r="B9" s="715" t="str">
        <f t="shared" ref="B9:B34" si="1">D9</f>
        <v>WFB-0950Z</v>
      </c>
      <c r="C9" s="715">
        <f t="shared" ref="C9:C34" si="2">E9</f>
        <v>14</v>
      </c>
      <c r="D9" s="715" t="str">
        <f t="array" ref="D9">IF( ISERROR(INDEX($K$8:$K$60,SMALL(IF($M$8:$M$60&lt;&gt;0,ROW($M$8:$M$60)-7),ROW(D2)))),"",INDEX($K$8:$K$60,SMALL(IF($M$8:$M$60&lt;&gt;0,ROW($M$8:$M$60)-7),ROW(D2))))</f>
        <v>WFB-0950Z</v>
      </c>
      <c r="E9" s="715">
        <f t="array" ref="E9">IF(ISERROR(INDEX($M$8:$M$60,SMALL(IF($M$8:$M$60&lt;&gt;0,ROW($M$8:$M$60)-7),ROW(E2)))),"",INDEX($M$8:$M$60,SMALL(IF($M$8:$M$60&lt;&gt;0,ROW($M$8:$M$60)-7),ROW(E2))))</f>
        <v>14</v>
      </c>
      <c r="F9" s="693"/>
      <c r="G9" s="693"/>
      <c r="H9" s="693"/>
      <c r="I9" s="693"/>
      <c r="J9" s="1633"/>
      <c r="K9" s="788" t="s">
        <v>574</v>
      </c>
      <c r="L9" s="718">
        <f>표2_4523[[#This Row],[열3]]</f>
        <v>0</v>
      </c>
      <c r="M9" s="789">
        <f t="shared" si="0"/>
        <v>0</v>
      </c>
      <c r="N9" s="789">
        <f>P9+Q9+R9+S9+T9+U9+V9+X9+Y9+IF(OR(H_O=3.5,H_O=4,H_O=4.5,H_O=5),(W_F+L1_F+L2_F+L3_F+L4_F)*2,0)</f>
        <v>0</v>
      </c>
      <c r="O9" s="718">
        <f>P9+Q9+R9+S9+T9+U9+V9+X9+Y9</f>
        <v>0</v>
      </c>
      <c r="P9" s="707">
        <f>IF(H_O&gt;1,(W_F+L1_F+L2_F+L3_F+L4_F)*2,0)+IF(H_O&gt;3.3,(W_F+L1_F+L2_F+L3_F+L4_F)*2,0)</f>
        <v>0</v>
      </c>
      <c r="Q9" s="708">
        <f>IF(OR(H_O=3.5,H_O=5,H_O=4,H_O=4.5),(W_F+L1_F+L2_F+L3_F+L4_F)*2,0)</f>
        <v>0</v>
      </c>
      <c r="R9" s="715"/>
      <c r="S9" s="708">
        <f>IF(H_O&gt;2,S5*2,0)</f>
        <v>0</v>
      </c>
      <c r="T9" s="715">
        <f>IF(H_O=4,(L1_F+L2_F+L3_F+L4_F)*(W_C+W_F-1)+W_F*(L1_C+L2_C+L3_C+L4_C+L1_F+L2_F+L3_F+L4_F-1),0)+IF(OR(H_O=4.5,H_O=5),((L1_F+L2_F+L3_F+L4_F)*(W_C+W_F-1)+W_F*(L1_C+L2_C+L3_C+L4_C+L1_F+L2_F+L3_F+L4_F-1))*2,0)</f>
        <v>0</v>
      </c>
      <c r="U9" s="709"/>
      <c r="V9" s="710"/>
      <c r="W9" s="711"/>
      <c r="X9" s="708">
        <f>W_F*N_PA</f>
        <v>0</v>
      </c>
      <c r="Y9" s="712">
        <f>IF(H_O=1.5,(N_PA)*2,0)+IF(H_O=2.5,(N_PA)*2,0)+IF(H_O=3.5,(N_PA)*2,0)+IF(H_O=4.5,(N_PA)*2,0)</f>
        <v>0</v>
      </c>
    </row>
    <row r="10" spans="1:25" s="699" customFormat="1">
      <c r="A10" s="715" t="str">
        <f>IF(B10="","",(VLOOKUP(B:B,'0.39'!B:F,5,FALSE)))</f>
        <v>Corner Frame</v>
      </c>
      <c r="B10" s="715" t="str">
        <f t="shared" si="1"/>
        <v>WCF-1000Z</v>
      </c>
      <c r="C10" s="715">
        <f t="shared" si="2"/>
        <v>4</v>
      </c>
      <c r="D10" s="715" t="str">
        <f t="array" ref="D10">IF( ISERROR(INDEX($K$8:$K$60,SMALL(IF($M$8:$M$60&lt;&gt;0,ROW($M$8:$M$60)-7),ROW(D3)))),"",INDEX($K$8:$K$60,SMALL(IF($M$8:$M$60&lt;&gt;0,ROW($M$8:$M$60)-7),ROW(D3))))</f>
        <v>WCF-1000Z</v>
      </c>
      <c r="E10" s="715">
        <f t="array" ref="E10">IF(ISERROR(INDEX($M$8:$M$60,SMALL(IF($M$8:$M$60&lt;&gt;0,ROW($M$8:$M$60)-7),ROW(E3)))),"",INDEX($M$8:$M$60,SMALL(IF($M$8:$M$60&lt;&gt;0,ROW($M$8:$M$60)-7),ROW(E3))))</f>
        <v>4</v>
      </c>
      <c r="F10" s="693"/>
      <c r="G10" s="693"/>
      <c r="H10" s="693"/>
      <c r="I10" s="693"/>
      <c r="J10" s="1633"/>
      <c r="K10" s="788" t="s">
        <v>575</v>
      </c>
      <c r="L10" s="718">
        <f>표2_4523[[#This Row],[열3]]</f>
        <v>0</v>
      </c>
      <c r="M10" s="789">
        <f t="shared" si="0"/>
        <v>0</v>
      </c>
      <c r="N10" s="789">
        <f>P10+Q10+R10+S10+T10+U10+V10+X10+Y10</f>
        <v>0</v>
      </c>
      <c r="O10" s="718">
        <f>P10+Q10+R10+S10+T10+U10+V10+X10+Y10</f>
        <v>0</v>
      </c>
      <c r="P10" s="714"/>
      <c r="Q10" s="707">
        <f>IF(OR(H_O=1.5,H_O=2),(W_F+L1_F+L2_F+L3_F+L4_F)*2,0)+IF(OR(H_O=2.5,H_O=3),(W_F+L1_F+L2_F+L3_F+L4_F)*2*2,0)+IF(OR(H_O=3.5,H_O=4),(W_F+L1_F+L2_F+L3_F+L4_F)*2*3)+IF(OR(H_O=4.5,H_O=5),(W_F+L1_F+L2_F+L3_F+L4_F)*2*4)</f>
        <v>0</v>
      </c>
      <c r="R10" s="715"/>
      <c r="S10" s="713"/>
      <c r="T10" s="713"/>
      <c r="U10" s="709"/>
      <c r="V10" s="710"/>
      <c r="W10" s="711"/>
      <c r="X10" s="713"/>
      <c r="Y10" s="712"/>
    </row>
    <row r="11" spans="1:25" s="699" customFormat="1">
      <c r="A11" s="715" t="str">
        <f>IF(B11="","",(VLOOKUP(B:B,'0.39'!B:F,5,FALSE)))</f>
        <v>Corner Frame</v>
      </c>
      <c r="B11" s="715" t="str">
        <f t="shared" si="1"/>
        <v>WCF-2000Z</v>
      </c>
      <c r="C11" s="715">
        <f t="shared" si="2"/>
        <v>4</v>
      </c>
      <c r="D11" s="715" t="str">
        <f t="array" ref="D11">IF( ISERROR(INDEX($K$8:$K$60,SMALL(IF($M$8:$M$60&lt;&gt;0,ROW($M$8:$M$60)-7),ROW(D4)))),"",INDEX($K$8:$K$60,SMALL(IF($M$8:$M$60&lt;&gt;0,ROW($M$8:$M$60)-7),ROW(D4))))</f>
        <v>WCF-2000Z</v>
      </c>
      <c r="E11" s="715">
        <f t="array" ref="E11">IF(ISERROR(INDEX($M$8:$M$60,SMALL(IF($M$8:$M$60&lt;&gt;0,ROW($M$8:$M$60)-7),ROW(E4)))),"",INDEX($M$8:$M$60,SMALL(IF($M$8:$M$60&lt;&gt;0,ROW($M$8:$M$60)-7),ROW(E4))))</f>
        <v>4</v>
      </c>
      <c r="F11" s="693"/>
      <c r="G11" s="693"/>
      <c r="H11" s="693"/>
      <c r="I11" s="693"/>
      <c r="J11" s="1633"/>
      <c r="K11" s="788" t="s">
        <v>576</v>
      </c>
      <c r="L11" s="718">
        <f>표2_4523[[#This Row],[열3]]</f>
        <v>0</v>
      </c>
      <c r="M11" s="789">
        <f t="shared" si="0"/>
        <v>0</v>
      </c>
      <c r="N11" s="789"/>
      <c r="O11" s="718">
        <f>P11+Q11+R11+S11+T11+U11+V11+X11+Y11</f>
        <v>0</v>
      </c>
      <c r="P11" s="707"/>
      <c r="Q11" s="708">
        <f>IF(OR(H_O=4.5,H_O=5),(W_C+L1_C+L2_C+L3_C+L4_C)*2,0)</f>
        <v>0</v>
      </c>
      <c r="R11" s="715"/>
      <c r="S11" s="708">
        <f>IF(OR(H_O=3.5,H_O=4),S5*1,0)+IF(OR(H_O=3.5,H_O=4),S5*1,0)*N_PA</f>
        <v>0</v>
      </c>
      <c r="T11" s="713"/>
      <c r="U11" s="790"/>
      <c r="V11" s="710"/>
      <c r="W11" s="711"/>
      <c r="X11" s="713"/>
      <c r="Y11" s="712"/>
    </row>
    <row r="12" spans="1:25" s="699" customFormat="1">
      <c r="A12" s="715" t="e">
        <f>IF(B12="","",(VLOOKUP(B:B,'0.39'!B:F,5,FALSE)))</f>
        <v>#N/A</v>
      </c>
      <c r="B12" s="715" t="str">
        <f t="shared" si="1"/>
        <v>WFR-3000Z</v>
      </c>
      <c r="C12" s="715">
        <f t="shared" si="2"/>
        <v>26</v>
      </c>
      <c r="D12" s="715" t="str">
        <f t="array" ref="D12">IF( ISERROR(INDEX($K$8:$K$60,SMALL(IF($M$8:$M$60&lt;&gt;0,ROW($M$8:$M$60)-7),ROW(D5)))),"",INDEX($K$8:$K$60,SMALL(IF($M$8:$M$60&lt;&gt;0,ROW($M$8:$M$60)-7),ROW(D5))))</f>
        <v>WFR-3000Z</v>
      </c>
      <c r="E12" s="715">
        <f t="array" ref="E12">IF(ISERROR(INDEX($M$8:$M$60,SMALL(IF($M$8:$M$60&lt;&gt;0,ROW($M$8:$M$60)-7),ROW(E5)))),"",INDEX($M$8:$M$60,SMALL(IF($M$8:$M$60&lt;&gt;0,ROW($M$8:$M$60)-7),ROW(E5))))</f>
        <v>26</v>
      </c>
      <c r="F12" s="693"/>
      <c r="G12" s="693"/>
      <c r="H12" s="693"/>
      <c r="I12" s="693"/>
      <c r="J12" s="1633"/>
      <c r="K12" s="788" t="s">
        <v>577</v>
      </c>
      <c r="L12" s="718">
        <f>표2_4523[[#This Row],[열3]]</f>
        <v>38</v>
      </c>
      <c r="M12" s="789">
        <f t="shared" si="0"/>
        <v>38</v>
      </c>
      <c r="N12" s="789">
        <f>P12+Q12+R12+S12+T12+U12+V12+X12+Y12+IF(OR(H_O=4,H_O=4.5,H_O=5),(W_C+L1_C+L2_C+L3_C+L4_C)*2,0)</f>
        <v>38</v>
      </c>
      <c r="O12" s="718">
        <f>P12+Q12+R12+S12+T12+U12+V12+X12+Y12</f>
        <v>38</v>
      </c>
      <c r="P12" s="707">
        <f>IF(H_O&gt;1.3,(W_C+L1_C+L2_C+L3_C+L4_C)*2,0)+IF(H_O&gt;3.3,(W_C+L1_C+L2_C+L3_C+L4_C)*2,0)</f>
        <v>30</v>
      </c>
      <c r="Q12" s="708">
        <f>IF(OR(H_O=3.5,H_O=4,H_O=4.5,H_O=5),(W_C+L1_C+L2_C+L3_C+L4_C)*2,0)</f>
        <v>0</v>
      </c>
      <c r="R12" s="715">
        <f>IF(OR(H_O=3.5,H_O=3),4*2,0)+IF(OR(H_O=4,H_O=4.5),4*2*2,0)+IF(OR(H_O=5),4*3*2,0)</f>
        <v>8</v>
      </c>
      <c r="S12" s="708">
        <f>IF(OR(H_O=3,H_O=3.5,H_O=4),1*S5,0)</f>
        <v>0</v>
      </c>
      <c r="T12" s="715">
        <f>IF(OR(H_O=4),W_C*(L1_C+L2_C+L3_C+L4_C+L1_F+L2_F+L3_F+L4_F-1)+(L1_C+L2_C+L3_C+L4_C)*(W_C+W_F-1),0)+IF(OR(H_O=4.5,H_O=5),(W_C*(L1_C+L2_C+L3_C+L4_C+L1_F+L2_F+L3_F+L4_F-1)+(L1_C+L2_C+L3_C+L4_C)*(W_C+W_F-1))*2,0)</f>
        <v>0</v>
      </c>
      <c r="U12" s="790"/>
      <c r="V12" s="710"/>
      <c r="W12" s="711"/>
      <c r="X12" s="711">
        <f>IF(H_O&gt;1,W_C*N_PA,0)</f>
        <v>0</v>
      </c>
      <c r="Y12" s="712">
        <f>IF(H_O=2.5,(N_PA)*4,0)
+IF(H_O=3,(N_PA)*6,0)
+IF(H_O=3.5,(N_PA)*6,0)
+IF(H_O=4,(N_PA)*8,0)
+IF(H_O=4.5,(N_PA)*8,0)
+IF(H_O=5,(N_PA)*8,0)
+IF(H_O=2,(N_PA)*4,0)
+IF(H_O=1.5,2*N_PA,0)</f>
        <v>0</v>
      </c>
    </row>
    <row r="13" spans="1:25" s="699" customFormat="1" ht="18" thickBot="1">
      <c r="A13" s="715" t="e">
        <f>IF(B13="","",(VLOOKUP(B:B,'0.39'!B:F,5,FALSE)))</f>
        <v>#N/A</v>
      </c>
      <c r="B13" s="715" t="str">
        <f t="shared" si="1"/>
        <v>WLF-3000Z</v>
      </c>
      <c r="C13" s="715">
        <f t="shared" si="2"/>
        <v>26</v>
      </c>
      <c r="D13" s="715" t="str">
        <f t="array" ref="D13">IF( ISERROR(INDEX($K$8:$K$60,SMALL(IF($M$8:$M$60&lt;&gt;0,ROW($M$8:$M$60)-7),ROW(D6)))),"",INDEX($K$8:$K$60,SMALL(IF($M$8:$M$60&lt;&gt;0,ROW($M$8:$M$60)-7),ROW(D6))))</f>
        <v>WLF-3000Z</v>
      </c>
      <c r="E13" s="715">
        <f t="array" ref="E13">IF(ISERROR(INDEX($M$8:$M$60,SMALL(IF($M$8:$M$60&lt;&gt;0,ROW($M$8:$M$60)-7),ROW(E6)))),"",INDEX($M$8:$M$60,SMALL(IF($M$8:$M$60&lt;&gt;0,ROW($M$8:$M$60)-7),ROW(E6))))</f>
        <v>26</v>
      </c>
      <c r="F13" s="693"/>
      <c r="G13" s="693"/>
      <c r="H13" s="693"/>
      <c r="I13" s="693"/>
      <c r="J13" s="1633"/>
      <c r="K13" s="788" t="s">
        <v>578</v>
      </c>
      <c r="L13" s="718">
        <f>표2_4523[[#This Row],[열3]]</f>
        <v>14</v>
      </c>
      <c r="M13" s="789">
        <f t="shared" si="0"/>
        <v>14</v>
      </c>
      <c r="N13" s="789">
        <f>P13+Q13+R13+S13+T13+U13+V13+X13+Y13</f>
        <v>14</v>
      </c>
      <c r="O13" s="718">
        <f>P13+Q13+R13+S13+T13+U13+V13+X13+Y13</f>
        <v>14</v>
      </c>
      <c r="P13" s="714"/>
      <c r="Q13" s="708">
        <v>14</v>
      </c>
      <c r="R13" s="715"/>
      <c r="S13" s="708">
        <f>IF(H_O&gt;2.3,$S$5,0)</f>
        <v>0</v>
      </c>
      <c r="T13" s="713"/>
      <c r="U13" s="709"/>
      <c r="V13" s="710"/>
      <c r="W13" s="711"/>
      <c r="X13" s="713"/>
      <c r="Y13" s="712"/>
    </row>
    <row r="14" spans="1:25" s="699" customFormat="1">
      <c r="A14" s="715" t="e">
        <f>IF(B14="","",(VLOOKUP(B:B,'0.39'!B:F,5,FALSE)))</f>
        <v>#N/A</v>
      </c>
      <c r="B14" s="715" t="str">
        <f t="shared" si="1"/>
        <v>WTF-3000Z</v>
      </c>
      <c r="C14" s="715">
        <f t="shared" si="2"/>
        <v>26</v>
      </c>
      <c r="D14" s="715" t="str">
        <f t="array" ref="D14">IF( ISERROR(INDEX($K$8:$K$60,SMALL(IF($M$8:$M$60&lt;&gt;0,ROW($M$8:$M$60)-7),ROW(D7)))),"",INDEX($K$8:$K$60,SMALL(IF($M$8:$M$60&lt;&gt;0,ROW($M$8:$M$60)-7),ROW(D7))))</f>
        <v>WTF-3000Z</v>
      </c>
      <c r="E14" s="715">
        <f t="array" ref="E14">IF(ISERROR(INDEX($M$8:$M$60,SMALL(IF($M$8:$M$60&lt;&gt;0,ROW($M$8:$M$60)-7),ROW(E7)))),"",INDEX($M$8:$M$60,SMALL(IF($M$8:$M$60&lt;&gt;0,ROW($M$8:$M$60)-7),ROW(E7))))</f>
        <v>26</v>
      </c>
      <c r="F14" s="693"/>
      <c r="G14" s="693"/>
      <c r="H14" s="693"/>
      <c r="I14" s="693"/>
      <c r="J14" s="1633"/>
      <c r="K14" s="783" t="s">
        <v>579</v>
      </c>
      <c r="L14" s="718">
        <f>표2_4523[[#This Row],[열3]]</f>
        <v>0</v>
      </c>
      <c r="M14" s="789"/>
      <c r="N14" s="789"/>
      <c r="O14" s="718"/>
      <c r="P14" s="714"/>
      <c r="Q14" s="715"/>
      <c r="R14" s="715"/>
      <c r="S14" s="713"/>
      <c r="T14" s="713"/>
      <c r="U14" s="709"/>
      <c r="V14" s="710"/>
      <c r="W14" s="711"/>
      <c r="X14" s="713"/>
      <c r="Y14" s="421"/>
    </row>
    <row r="15" spans="1:25" s="699" customFormat="1">
      <c r="A15" s="715" t="str">
        <f>IF(B15="","",(VLOOKUP(B:B,'0.39'!B:F,5,FALSE)))</f>
        <v>Cross Plate BKT(2 Hole)</v>
      </c>
      <c r="B15" s="715" t="str">
        <f t="shared" si="1"/>
        <v>WCP-1780Z</v>
      </c>
      <c r="C15" s="715">
        <f t="shared" si="2"/>
        <v>8</v>
      </c>
      <c r="D15" s="715" t="str">
        <f t="array" ref="D15">IF( ISERROR(INDEX($K$8:$K$60,SMALL(IF($M$8:$M$60&lt;&gt;0,ROW($M$8:$M$60)-7),ROW(D8)))),"",INDEX($K$8:$K$60,SMALL(IF($M$8:$M$60&lt;&gt;0,ROW($M$8:$M$60)-7),ROW(D8))))</f>
        <v>WCP-1780Z</v>
      </c>
      <c r="E15" s="715">
        <f t="array" ref="E15">IF(ISERROR(INDEX($M$8:$M$60,SMALL(IF($M$8:$M$60&lt;&gt;0,ROW($M$8:$M$60)-7),ROW(E8)))),"",INDEX($M$8:$M$60,SMALL(IF($M$8:$M$60&lt;&gt;0,ROW($M$8:$M$60)-7),ROW(E8))))</f>
        <v>8</v>
      </c>
      <c r="F15" s="693"/>
      <c r="G15" s="693"/>
      <c r="H15" s="693"/>
      <c r="I15" s="693"/>
      <c r="J15" s="1633"/>
      <c r="K15" s="788"/>
      <c r="L15" s="718"/>
      <c r="M15" s="789"/>
      <c r="N15" s="789"/>
      <c r="O15" s="718"/>
      <c r="P15" s="714"/>
      <c r="Q15" s="715"/>
      <c r="R15" s="715"/>
      <c r="S15" s="713"/>
      <c r="T15" s="713"/>
      <c r="U15" s="709"/>
      <c r="V15" s="710"/>
      <c r="W15" s="711"/>
      <c r="X15" s="713"/>
      <c r="Y15" s="421"/>
    </row>
    <row r="16" spans="1:25" s="699" customFormat="1">
      <c r="A16" s="715" t="e">
        <f>IF(B16="","",(VLOOKUP(B:B,'0.39'!B:F,5,FALSE)))</f>
        <v>#N/A</v>
      </c>
      <c r="B16" s="715" t="str">
        <f t="shared" si="1"/>
        <v>WBR-9090S(316)</v>
      </c>
      <c r="C16" s="715">
        <f t="shared" si="2"/>
        <v>4</v>
      </c>
      <c r="D16" s="715" t="str">
        <f t="array" ref="D16">IF( ISERROR(INDEX($K$8:$K$60,SMALL(IF($M$8:$M$60&lt;&gt;0,ROW($M$8:$M$60)-7),ROW(D9)))),"",INDEX($K$8:$K$60,SMALL(IF($M$8:$M$60&lt;&gt;0,ROW($M$8:$M$60)-7),ROW(D9))))</f>
        <v>WBR-9090S(316)</v>
      </c>
      <c r="E16" s="715">
        <f t="array" ref="E16">IF(ISERROR(INDEX($M$8:$M$60,SMALL(IF($M$8:$M$60&lt;&gt;0,ROW($M$8:$M$60)-7),ROW(E9)))),"",INDEX($M$8:$M$60,SMALL(IF($M$8:$M$60&lt;&gt;0,ROW($M$8:$M$60)-7),ROW(E9))))</f>
        <v>4</v>
      </c>
      <c r="F16" s="693"/>
      <c r="G16" s="693"/>
      <c r="H16" s="693"/>
      <c r="I16" s="693"/>
      <c r="J16" s="1633"/>
      <c r="K16" s="788" t="s">
        <v>580</v>
      </c>
      <c r="L16" s="718">
        <f>표2_4523[[#This Row],[열3]]</f>
        <v>0</v>
      </c>
      <c r="M16" s="789">
        <f t="shared" ref="M16:M49" si="3">P16+Q16+R16+S16+T16+U16+V16+X16+Y16</f>
        <v>0</v>
      </c>
      <c r="N16" s="789">
        <f t="shared" ref="N16:N49" si="4">P16+Q16+R16+S16+T16+U16+V16+X16+Y16</f>
        <v>0</v>
      </c>
      <c r="O16" s="718">
        <f t="shared" ref="O16:O49" si="5">P16+Q16+R16+S16+T16+U16+V16+X16+Y16</f>
        <v>0</v>
      </c>
      <c r="P16" s="714"/>
      <c r="Q16" s="715"/>
      <c r="R16" s="715"/>
      <c r="S16" s="713"/>
      <c r="T16" s="713"/>
      <c r="U16" s="709"/>
      <c r="V16" s="710"/>
      <c r="W16" s="711"/>
      <c r="X16" s="713"/>
      <c r="Y16" s="712"/>
    </row>
    <row r="17" spans="1:25" s="699" customFormat="1">
      <c r="A17" s="715" t="str">
        <f>IF(B17="","",(VLOOKUP(B:B,'0.39'!B:F,5,FALSE)))</f>
        <v/>
      </c>
      <c r="B17" s="715" t="str">
        <f t="shared" si="1"/>
        <v/>
      </c>
      <c r="C17" s="715" t="str">
        <f t="shared" si="2"/>
        <v/>
      </c>
      <c r="D17" s="715" t="str">
        <f t="array" ref="D17">IF( ISERROR(INDEX($K$8:$K$60,SMALL(IF($M$8:$M$60&lt;&gt;0,ROW($M$8:$M$60)-7),ROW(D10)))),"",INDEX($K$8:$K$60,SMALL(IF($M$8:$M$60&lt;&gt;0,ROW($M$8:$M$60)-7),ROW(D10))))</f>
        <v/>
      </c>
      <c r="E17" s="715" t="str">
        <f t="array" ref="E17">IF(ISERROR(INDEX($M$8:$M$60,SMALL(IF($M$8:$M$60&lt;&gt;0,ROW($M$8:$M$60)-7),ROW(E10)))),"",INDEX($M$8:$M$60,SMALL(IF($M$8:$M$60&lt;&gt;0,ROW($M$8:$M$60)-7),ROW(E10))))</f>
        <v/>
      </c>
      <c r="F17" s="693"/>
      <c r="G17" s="693"/>
      <c r="H17" s="693"/>
      <c r="I17" s="693"/>
      <c r="J17" s="1633"/>
      <c r="K17" s="788"/>
      <c r="L17" s="718"/>
      <c r="M17" s="789"/>
      <c r="N17" s="789"/>
      <c r="O17" s="718"/>
      <c r="P17" s="714"/>
      <c r="Q17" s="715"/>
      <c r="R17" s="715"/>
      <c r="S17" s="713"/>
      <c r="T17" s="713"/>
      <c r="U17" s="709"/>
      <c r="V17" s="710"/>
      <c r="W17" s="711"/>
      <c r="X17" s="713"/>
      <c r="Y17" s="712"/>
    </row>
    <row r="18" spans="1:25" s="699" customFormat="1">
      <c r="A18" s="715" t="str">
        <f>IF(B18="","",(VLOOKUP(B:B,'0.39'!B:F,5,FALSE)))</f>
        <v/>
      </c>
      <c r="B18" s="715" t="str">
        <f t="shared" si="1"/>
        <v/>
      </c>
      <c r="C18" s="715" t="str">
        <f t="shared" si="2"/>
        <v/>
      </c>
      <c r="D18" s="715" t="str">
        <f t="array" ref="D18">IF( ISERROR(INDEX($K$8:$K$60,SMALL(IF($M$8:$M$60&lt;&gt;0,ROW($M$8:$M$60)-7),ROW(D11)))),"",INDEX($K$8:$K$60,SMALL(IF($M$8:$M$60&lt;&gt;0,ROW($M$8:$M$60)-7),ROW(D11))))</f>
        <v/>
      </c>
      <c r="E18" s="715" t="str">
        <f t="array" ref="E18">IF(ISERROR(INDEX($M$8:$M$60,SMALL(IF($M$8:$M$60&lt;&gt;0,ROW($M$8:$M$60)-7),ROW(E11)))),"",INDEX($M$8:$M$60,SMALL(IF($M$8:$M$60&lt;&gt;0,ROW($M$8:$M$60)-7),ROW(E11))))</f>
        <v/>
      </c>
      <c r="F18" s="693"/>
      <c r="G18" s="693"/>
      <c r="H18" s="693"/>
      <c r="I18" s="693"/>
      <c r="J18" s="1633"/>
      <c r="K18" s="788" t="s">
        <v>581</v>
      </c>
      <c r="L18" s="718">
        <f>표2_4523[[#This Row],[열3]]</f>
        <v>4</v>
      </c>
      <c r="M18" s="789">
        <f t="shared" si="3"/>
        <v>4</v>
      </c>
      <c r="N18" s="789">
        <f t="shared" si="4"/>
        <v>4</v>
      </c>
      <c r="O18" s="718">
        <f t="shared" si="5"/>
        <v>4</v>
      </c>
      <c r="P18" s="714"/>
      <c r="Q18" s="715"/>
      <c r="R18" s="715">
        <f>IF(H_O=1,4,0)+IF(H_O=2.5,4,0)+IF(H_O=3,4,0)</f>
        <v>4</v>
      </c>
      <c r="S18" s="713"/>
      <c r="T18" s="713"/>
      <c r="U18" s="709"/>
      <c r="V18" s="710"/>
      <c r="W18" s="711"/>
      <c r="X18" s="713"/>
      <c r="Y18" s="712"/>
    </row>
    <row r="19" spans="1:25" s="699" customFormat="1">
      <c r="A19" s="715" t="str">
        <f>IF(B19="","",(VLOOKUP(B:B,'0.39'!B:F,5,FALSE)))</f>
        <v/>
      </c>
      <c r="B19" s="715" t="str">
        <f t="shared" si="1"/>
        <v/>
      </c>
      <c r="C19" s="715" t="str">
        <f t="shared" si="2"/>
        <v/>
      </c>
      <c r="D19" s="715" t="str">
        <f t="array" ref="D19">IF( ISERROR(INDEX($K$8:$K$60,SMALL(IF($M$8:$M$60&lt;&gt;0,ROW($M$8:$M$60)-7),ROW(D12)))),"",INDEX($K$8:$K$60,SMALL(IF($M$8:$M$60&lt;&gt;0,ROW($M$8:$M$60)-7),ROW(D12))))</f>
        <v/>
      </c>
      <c r="E19" s="715" t="str">
        <f t="array" ref="E19">IF(ISERROR(INDEX($M$8:$M$60,SMALL(IF($M$8:$M$60&lt;&gt;0,ROW($M$8:$M$60)-7),ROW(E12)))),"",INDEX($M$8:$M$60,SMALL(IF($M$8:$M$60&lt;&gt;0,ROW($M$8:$M$60)-7),ROW(E12))))</f>
        <v/>
      </c>
      <c r="F19" s="693"/>
      <c r="G19" s="693"/>
      <c r="H19" s="693"/>
      <c r="I19" s="693"/>
      <c r="J19" s="1633"/>
      <c r="K19" s="788" t="s">
        <v>582</v>
      </c>
      <c r="L19" s="718">
        <f>표2_4523[[#This Row],[열3]]</f>
        <v>0</v>
      </c>
      <c r="M19" s="789">
        <f t="shared" si="3"/>
        <v>0</v>
      </c>
      <c r="N19" s="789">
        <f t="shared" si="4"/>
        <v>0</v>
      </c>
      <c r="O19" s="718">
        <f t="shared" si="5"/>
        <v>0</v>
      </c>
      <c r="P19" s="714"/>
      <c r="Q19" s="715"/>
      <c r="R19" s="715">
        <f>IF(H_O=1.5,4,0)+IF(H_O=3.5,4,0)+IF(H_O=2.5,4,0)+IF(H_O=4.5,12,0)+IF(H_O=5,8,0)</f>
        <v>0</v>
      </c>
      <c r="S19" s="713"/>
      <c r="T19" s="713"/>
      <c r="U19" s="711"/>
      <c r="V19" s="710"/>
      <c r="W19" s="711"/>
      <c r="X19" s="713"/>
      <c r="Y19" s="712"/>
    </row>
    <row r="20" spans="1:25" s="699" customFormat="1">
      <c r="A20" s="715" t="str">
        <f>IF(B20="","",(VLOOKUP(B:B,'0.39'!B:F,5,FALSE)))</f>
        <v/>
      </c>
      <c r="B20" s="715" t="str">
        <f t="shared" si="1"/>
        <v/>
      </c>
      <c r="C20" s="715" t="str">
        <f t="shared" si="2"/>
        <v/>
      </c>
      <c r="D20" s="715" t="str">
        <f t="array" ref="D20">IF( ISERROR(INDEX($K$8:$K$60,SMALL(IF($M$8:$M$60&lt;&gt;0,ROW($M$8:$M$60)-7),ROW(D13)))),"",INDEX($K$8:$K$60,SMALL(IF($M$8:$M$60&lt;&gt;0,ROW($M$8:$M$60)-7),ROW(D13))))</f>
        <v/>
      </c>
      <c r="E20" s="715" t="str">
        <f t="array" ref="E20">IF(ISERROR(INDEX($M$8:$M$60,SMALL(IF($M$8:$M$60&lt;&gt;0,ROW($M$8:$M$60)-7),ROW(E13)))),"",INDEX($M$8:$M$60,SMALL(IF($M$8:$M$60&lt;&gt;0,ROW($M$8:$M$60)-7),ROW(E13))))</f>
        <v/>
      </c>
      <c r="F20" s="693"/>
      <c r="G20" s="693"/>
      <c r="H20" s="693"/>
      <c r="I20" s="693"/>
      <c r="J20" s="1633"/>
      <c r="K20" s="788" t="s">
        <v>583</v>
      </c>
      <c r="L20" s="718">
        <f>표2_4523[[#This Row],[열3]]</f>
        <v>4</v>
      </c>
      <c r="M20" s="789">
        <f t="shared" si="3"/>
        <v>4</v>
      </c>
      <c r="N20" s="789">
        <f t="shared" si="4"/>
        <v>4</v>
      </c>
      <c r="O20" s="718">
        <f t="shared" si="5"/>
        <v>4</v>
      </c>
      <c r="P20" s="714"/>
      <c r="Q20" s="715"/>
      <c r="R20" s="715">
        <f>IF(H_O=2,4,0)+IF(H_O=3.5,4,0)+IF(H_O=4,8,0)+IF(H_O=5,4,0)+IF(H_O=3,4,0)</f>
        <v>4</v>
      </c>
      <c r="S20" s="716"/>
      <c r="T20" s="716"/>
      <c r="U20" s="791"/>
      <c r="V20" s="792"/>
      <c r="W20" s="791"/>
      <c r="X20" s="716"/>
      <c r="Y20" s="717"/>
    </row>
    <row r="21" spans="1:25" s="699" customFormat="1" ht="18" thickBot="1">
      <c r="A21" s="715" t="str">
        <f>IF(B21="","",(VLOOKUP(B:B,'0.39'!B:F,5,FALSE)))</f>
        <v/>
      </c>
      <c r="B21" s="715" t="str">
        <f t="shared" si="1"/>
        <v/>
      </c>
      <c r="C21" s="715" t="str">
        <f t="shared" si="2"/>
        <v/>
      </c>
      <c r="D21" s="715" t="str">
        <f t="array" ref="D21">IF( ISERROR(INDEX($K$8:$K$60,SMALL(IF($M$8:$M$60&lt;&gt;0,ROW($M$8:$M$60)-7),ROW(D14)))),"",INDEX($K$8:$K$60,SMALL(IF($M$8:$M$60&lt;&gt;0,ROW($M$8:$M$60)-7),ROW(D14))))</f>
        <v/>
      </c>
      <c r="E21" s="715" t="str">
        <f t="array" ref="E21">IF(ISERROR(INDEX($M$8:$M$60,SMALL(IF($M$8:$M$60&lt;&gt;0,ROW($M$8:$M$60)-7),ROW(E14)))),"",INDEX($M$8:$M$60,SMALL(IF($M$8:$M$60&lt;&gt;0,ROW($M$8:$M$60)-7),ROW(E14))))</f>
        <v/>
      </c>
      <c r="F21" s="693"/>
      <c r="G21" s="693"/>
      <c r="H21" s="693"/>
      <c r="I21" s="693"/>
      <c r="J21" s="1634"/>
      <c r="K21" s="788" t="s">
        <v>151</v>
      </c>
      <c r="L21" s="718">
        <f>표2_4523[[#This Row],[열3]]</f>
        <v>0</v>
      </c>
      <c r="M21" s="789">
        <f t="shared" si="3"/>
        <v>0</v>
      </c>
      <c r="N21" s="789">
        <f t="shared" si="4"/>
        <v>0</v>
      </c>
      <c r="O21" s="718">
        <f t="shared" si="5"/>
        <v>0</v>
      </c>
      <c r="P21" s="714"/>
      <c r="Q21" s="715"/>
      <c r="R21" s="715"/>
      <c r="S21" s="713"/>
      <c r="T21" s="713"/>
      <c r="U21" s="709"/>
      <c r="V21" s="710"/>
      <c r="W21" s="711"/>
      <c r="X21" s="713"/>
      <c r="Y21" s="712"/>
    </row>
    <row r="22" spans="1:25" s="699" customFormat="1">
      <c r="A22" s="715" t="str">
        <f>IF(B22="","",(VLOOKUP(B:B,'0.39'!B:F,5,FALSE)))</f>
        <v/>
      </c>
      <c r="B22" s="715" t="str">
        <f t="shared" si="1"/>
        <v/>
      </c>
      <c r="C22" s="715" t="str">
        <f t="shared" si="2"/>
        <v/>
      </c>
      <c r="D22" s="715" t="str">
        <f t="array" ref="D22">IF( ISERROR(INDEX($K$8:$K$60,SMALL(IF($M$8:$M$60&lt;&gt;0,ROW($M$8:$M$60)-7),ROW(D15)))),"",INDEX($K$8:$K$60,SMALL(IF($M$8:$M$60&lt;&gt;0,ROW($M$8:$M$60)-7),ROW(D15))))</f>
        <v/>
      </c>
      <c r="E22" s="715" t="str">
        <f t="array" ref="E22">IF(ISERROR(INDEX($M$8:$M$60,SMALL(IF($M$8:$M$60&lt;&gt;0,ROW($M$8:$M$60)-7),ROW(E15)))),"",INDEX($M$8:$M$60,SMALL(IF($M$8:$M$60&lt;&gt;0,ROW($M$8:$M$60)-7),ROW(E15))))</f>
        <v/>
      </c>
      <c r="F22" s="693"/>
      <c r="G22" s="693"/>
      <c r="H22" s="693"/>
      <c r="I22" s="693"/>
      <c r="J22" s="1632"/>
      <c r="K22" s="788"/>
      <c r="L22" s="718">
        <f>표2_4523[[#This Row],[열3]]</f>
        <v>0</v>
      </c>
      <c r="M22" s="789">
        <f t="shared" si="3"/>
        <v>0</v>
      </c>
      <c r="N22" s="789">
        <f t="shared" si="4"/>
        <v>0</v>
      </c>
      <c r="O22" s="718">
        <f t="shared" si="5"/>
        <v>0</v>
      </c>
      <c r="P22" s="714"/>
      <c r="Q22" s="715"/>
      <c r="R22" s="718"/>
      <c r="S22" s="713"/>
      <c r="T22" s="713"/>
      <c r="U22" s="709"/>
      <c r="V22" s="710"/>
      <c r="W22" s="711"/>
      <c r="X22" s="713"/>
      <c r="Y22" s="712"/>
    </row>
    <row r="23" spans="1:25" s="699" customFormat="1">
      <c r="A23" s="715" t="str">
        <f>IF(B23="","",(VLOOKUP(B:B,'0.39'!B:F,5,FALSE)))</f>
        <v/>
      </c>
      <c r="B23" s="715" t="str">
        <f t="shared" si="1"/>
        <v/>
      </c>
      <c r="C23" s="715" t="str">
        <f t="shared" si="2"/>
        <v/>
      </c>
      <c r="D23" s="715" t="str">
        <f t="array" ref="D23">IF( ISERROR(INDEX($K$8:$K$60,SMALL(IF($M$8:$M$60&lt;&gt;0,ROW($M$8:$M$60)-7),ROW(D16)))),"",INDEX($K$8:$K$60,SMALL(IF($M$8:$M$60&lt;&gt;0,ROW($M$8:$M$60)-7),ROW(D16))))</f>
        <v/>
      </c>
      <c r="E23" s="715" t="str">
        <f t="array" ref="E23">IF(ISERROR(INDEX($M$8:$M$60,SMALL(IF($M$8:$M$60&lt;&gt;0,ROW($M$8:$M$60)-7),ROW(E16)))),"",INDEX($M$8:$M$60,SMALL(IF($M$8:$M$60&lt;&gt;0,ROW($M$8:$M$60)-7),ROW(E16))))</f>
        <v/>
      </c>
      <c r="F23" s="693"/>
      <c r="G23" s="693"/>
      <c r="H23" s="693"/>
      <c r="I23" s="693"/>
      <c r="J23" s="1633"/>
      <c r="K23" s="788" t="s">
        <v>1555</v>
      </c>
      <c r="L23" s="718">
        <f>표2_4523[[#This Row],[열3]]</f>
        <v>0</v>
      </c>
      <c r="M23" s="789">
        <f t="shared" si="3"/>
        <v>0</v>
      </c>
      <c r="N23" s="789">
        <f t="shared" si="4"/>
        <v>0</v>
      </c>
      <c r="O23" s="718">
        <f t="shared" si="5"/>
        <v>0</v>
      </c>
      <c r="P23" s="714"/>
      <c r="Q23" s="715"/>
      <c r="R23" s="715"/>
      <c r="S23" s="708"/>
      <c r="T23" s="713"/>
      <c r="U23" s="709">
        <f>IF(OR(H_O=1.5),((W_C+W_F-1)+(L1_C+L1_F+L2_C+L2_F+L3_C+L3_F+L4_C+L4_F-1))*2,0)</f>
        <v>0</v>
      </c>
      <c r="V23" s="710"/>
      <c r="W23" s="711"/>
      <c r="X23" s="713"/>
      <c r="Y23" s="712"/>
    </row>
    <row r="24" spans="1:25" s="699" customFormat="1">
      <c r="A24" s="715" t="str">
        <f>IF(B24="","",(VLOOKUP(B:B,'0.39'!B:F,5,FALSE)))</f>
        <v/>
      </c>
      <c r="B24" s="715" t="str">
        <f t="shared" si="1"/>
        <v/>
      </c>
      <c r="C24" s="715" t="str">
        <f t="shared" si="2"/>
        <v/>
      </c>
      <c r="D24" s="715" t="str">
        <f t="array" ref="D24">IF( ISERROR(INDEX($K$8:$K$60,SMALL(IF($M$8:$M$60&lt;&gt;0,ROW($M$8:$M$60)-7),ROW(D17)))),"",INDEX($K$8:$K$60,SMALL(IF($M$8:$M$60&lt;&gt;0,ROW($M$8:$M$60)-7),ROW(D17))))</f>
        <v/>
      </c>
      <c r="E24" s="715" t="str">
        <f t="array" ref="E24">IF(ISERROR(INDEX($M$8:$M$60,SMALL(IF($M$8:$M$60&lt;&gt;0,ROW($M$8:$M$60)-7),ROW(E17)))),"",INDEX($M$8:$M$60,SMALL(IF($M$8:$M$60&lt;&gt;0,ROW($M$8:$M$60)-7),ROW(E17))))</f>
        <v/>
      </c>
      <c r="F24" s="693"/>
      <c r="G24" s="693"/>
      <c r="H24" s="693"/>
      <c r="I24" s="693"/>
      <c r="J24" s="1633"/>
      <c r="K24" s="788" t="s">
        <v>1556</v>
      </c>
      <c r="L24" s="718">
        <f>표2_4523[[#This Row],[열3]]</f>
        <v>0</v>
      </c>
      <c r="M24" s="789">
        <f t="shared" si="3"/>
        <v>0</v>
      </c>
      <c r="N24" s="789">
        <f t="shared" si="4"/>
        <v>0</v>
      </c>
      <c r="O24" s="718">
        <f t="shared" si="5"/>
        <v>0</v>
      </c>
      <c r="P24" s="714"/>
      <c r="Q24" s="715"/>
      <c r="R24" s="715"/>
      <c r="S24" s="713"/>
      <c r="T24" s="713"/>
      <c r="U24" s="709">
        <f>IF(OR(H_O=2),((W_C+W_F-1)+(L1_C+L1_F+L2_C+L2_F+L3_C+L3_F+L4_C+L4_F-1))*2,0)</f>
        <v>0</v>
      </c>
      <c r="V24" s="710"/>
      <c r="W24" s="711"/>
      <c r="X24" s="713"/>
      <c r="Y24" s="712"/>
    </row>
    <row r="25" spans="1:25" s="699" customFormat="1">
      <c r="A25" s="715" t="str">
        <f>IF(B25="","",(VLOOKUP(B:B,'0.39'!B:F,5,FALSE)))</f>
        <v/>
      </c>
      <c r="B25" s="715" t="str">
        <f t="shared" si="1"/>
        <v/>
      </c>
      <c r="C25" s="715" t="str">
        <f t="shared" si="2"/>
        <v/>
      </c>
      <c r="D25" s="715" t="str">
        <f t="array" ref="D25">IF( ISERROR(INDEX($K$8:$K$60,SMALL(IF($M$8:$M$60&lt;&gt;0,ROW($M$8:$M$60)-7),ROW(D18)))),"",INDEX($K$8:$K$60,SMALL(IF($M$8:$M$60&lt;&gt;0,ROW($M$8:$M$60)-7),ROW(D18))))</f>
        <v/>
      </c>
      <c r="E25" s="715" t="str">
        <f t="array" ref="E25">IF(ISERROR(INDEX($M$8:$M$60,SMALL(IF($M$8:$M$60&lt;&gt;0,ROW($M$8:$M$60)-7),ROW(E18)))),"",INDEX($M$8:$M$60,SMALL(IF($M$8:$M$60&lt;&gt;0,ROW($M$8:$M$60)-7),ROW(E18))))</f>
        <v/>
      </c>
      <c r="F25" s="693"/>
      <c r="G25" s="693"/>
      <c r="H25" s="693"/>
      <c r="I25" s="693"/>
      <c r="J25" s="1633"/>
      <c r="K25" s="788" t="s">
        <v>1558</v>
      </c>
      <c r="L25" s="718">
        <f>표2_4523[[#This Row],[열3]]</f>
        <v>0</v>
      </c>
      <c r="M25" s="789">
        <f t="shared" si="3"/>
        <v>0</v>
      </c>
      <c r="N25" s="789">
        <f t="shared" si="4"/>
        <v>0</v>
      </c>
      <c r="O25" s="718">
        <f t="shared" si="5"/>
        <v>0</v>
      </c>
      <c r="P25" s="719"/>
      <c r="Q25" s="720"/>
      <c r="R25" s="720"/>
      <c r="S25" s="721"/>
      <c r="T25" s="721"/>
      <c r="U25" s="722">
        <f>IF(OR(H_O=2.5),((W_C+W_F-1)+(L1_C+L1_F+L2_C+L2_F+L3_C+L3_F+L4_C+L4_F-1))*2,0)</f>
        <v>0</v>
      </c>
      <c r="V25" s="723"/>
      <c r="W25" s="722"/>
      <c r="X25" s="721"/>
      <c r="Y25" s="724"/>
    </row>
    <row r="26" spans="1:25" s="699" customFormat="1" ht="18" thickBot="1">
      <c r="A26" s="715" t="str">
        <f>IF(B26="","",(VLOOKUP(B:B,'0.39'!B:F,5,FALSE)))</f>
        <v/>
      </c>
      <c r="B26" s="715" t="str">
        <f t="shared" si="1"/>
        <v/>
      </c>
      <c r="C26" s="715" t="str">
        <f t="shared" si="2"/>
        <v/>
      </c>
      <c r="D26" s="715" t="str">
        <f t="array" ref="D26">IF( ISERROR(INDEX($K$8:$K$60,SMALL(IF($M$8:$M$60&lt;&gt;0,ROW($M$8:$M$60)-7),ROW(D19)))),"",INDEX($K$8:$K$60,SMALL(IF($M$8:$M$60&lt;&gt;0,ROW($M$8:$M$60)-7),ROW(D19))))</f>
        <v/>
      </c>
      <c r="E26" s="715" t="str">
        <f t="array" ref="E26">IF(ISERROR(INDEX($M$8:$M$60,SMALL(IF($M$8:$M$60&lt;&gt;0,ROW($M$8:$M$60)-7),ROW(E19)))),"",INDEX($M$8:$M$60,SMALL(IF($M$8:$M$60&lt;&gt;0,ROW($M$8:$M$60)-7),ROW(E19))))</f>
        <v/>
      </c>
      <c r="F26" s="693"/>
      <c r="G26" s="693"/>
      <c r="H26" s="693"/>
      <c r="I26" s="693"/>
      <c r="J26" s="1634"/>
      <c r="K26" s="788" t="s">
        <v>1557</v>
      </c>
      <c r="L26" s="718">
        <f>표2_4523[[#This Row],[열3]]</f>
        <v>26</v>
      </c>
      <c r="M26" s="789">
        <f t="shared" si="3"/>
        <v>26</v>
      </c>
      <c r="N26" s="789">
        <f t="shared" si="4"/>
        <v>26</v>
      </c>
      <c r="O26" s="718">
        <f t="shared" si="5"/>
        <v>26</v>
      </c>
      <c r="P26" s="725"/>
      <c r="Q26" s="726"/>
      <c r="R26" s="726"/>
      <c r="S26" s="727"/>
      <c r="T26" s="728"/>
      <c r="U26" s="722">
        <f>IF(OR(H_O=3),((W_C+W_F-1)+(L1_C+L1_F+L2_C+L2_F+L3_C+L3_F+L4_C+L4_F-1))*2,0)</f>
        <v>26</v>
      </c>
      <c r="V26" s="710"/>
      <c r="W26" s="729"/>
      <c r="X26" s="728"/>
      <c r="Y26" s="730"/>
    </row>
    <row r="27" spans="1:25" s="699" customFormat="1">
      <c r="A27" s="715" t="str">
        <f>IF(B27="","",(VLOOKUP(B:B,'0.39'!B:F,5,FALSE)))</f>
        <v/>
      </c>
      <c r="B27" s="715" t="str">
        <f t="shared" si="1"/>
        <v/>
      </c>
      <c r="C27" s="715" t="str">
        <f t="shared" si="2"/>
        <v/>
      </c>
      <c r="D27" s="715" t="str">
        <f t="array" ref="D27">IF( ISERROR(INDEX($K$8:$K$60,SMALL(IF($M$8:$M$60&lt;&gt;0,ROW($M$8:$M$60)-7),ROW(D20)))),"",INDEX($K$8:$K$60,SMALL(IF($M$8:$M$60&lt;&gt;0,ROW($M$8:$M$60)-7),ROW(D20))))</f>
        <v/>
      </c>
      <c r="E27" s="715" t="str">
        <f t="array" ref="E27">IF(ISERROR(INDEX($M$8:$M$60,SMALL(IF($M$8:$M$60&lt;&gt;0,ROW($M$8:$M$60)-7),ROW(E20)))),"",INDEX($M$8:$M$60,SMALL(IF($M$8:$M$60&lt;&gt;0,ROW($M$8:$M$60)-7),ROW(E20))))</f>
        <v/>
      </c>
      <c r="F27" s="693"/>
      <c r="G27" s="693"/>
      <c r="H27" s="693"/>
      <c r="I27" s="693"/>
      <c r="J27" s="881"/>
      <c r="K27" s="788" t="str">
        <f>IF(BASIC_TOOL!E23=2,"WFR-1500SA2","WFR-15000SA4")</f>
        <v>WFR-15000SA4</v>
      </c>
      <c r="L27" s="718">
        <f>표2_4523[[#This Row],[열3]]</f>
        <v>0</v>
      </c>
      <c r="M27" s="789">
        <f t="shared" si="3"/>
        <v>0</v>
      </c>
      <c r="N27" s="789">
        <f t="shared" si="4"/>
        <v>0</v>
      </c>
      <c r="O27" s="718">
        <f t="shared" si="5"/>
        <v>0</v>
      </c>
      <c r="P27" s="731"/>
      <c r="Q27" s="732"/>
      <c r="R27" s="732"/>
      <c r="S27" s="733"/>
      <c r="T27" s="733"/>
      <c r="U27" s="734">
        <f>IF(H_O=1.5,(W_C+W_F-1)*N_PA*2,0)</f>
        <v>0</v>
      </c>
      <c r="V27" s="710"/>
      <c r="W27" s="734"/>
      <c r="X27" s="733"/>
      <c r="Y27" s="712"/>
    </row>
    <row r="28" spans="1:25" s="699" customFormat="1" ht="18" thickBot="1">
      <c r="A28" s="715" t="str">
        <f>IF(B28="","",(VLOOKUP(B:B,'0.39'!B:F,5,FALSE)))</f>
        <v/>
      </c>
      <c r="B28" s="715" t="str">
        <f t="shared" si="1"/>
        <v/>
      </c>
      <c r="C28" s="715" t="str">
        <f t="shared" si="2"/>
        <v/>
      </c>
      <c r="D28" s="715" t="str">
        <f t="array" ref="D28">IF( ISERROR(INDEX($K$8:$K$60,SMALL(IF($M$8:$M$60&lt;&gt;0,ROW($M$8:$M$60)-7),ROW(D21)))),"",INDEX($K$8:$K$60,SMALL(IF($M$8:$M$60&lt;&gt;0,ROW($M$8:$M$60)-7),ROW(D21))))</f>
        <v/>
      </c>
      <c r="E28" s="715" t="str">
        <f t="array" ref="E28">IF(ISERROR(INDEX($M$8:$M$60,SMALL(IF($M$8:$M$60&lt;&gt;0,ROW($M$8:$M$60)-7),ROW(E21)))),"",INDEX($M$8:$M$60,SMALL(IF($M$8:$M$60&lt;&gt;0,ROW($M$8:$M$60)-7),ROW(E21))))</f>
        <v/>
      </c>
      <c r="F28" s="693"/>
      <c r="G28" s="693"/>
      <c r="H28" s="693"/>
      <c r="I28" s="693"/>
      <c r="J28" s="882"/>
      <c r="K28" s="788" t="str">
        <f>IF(BASIC_TOOL!E23=2,"WFR-2000SA2","WFR-2000SA4")</f>
        <v>WFR-2000SA4</v>
      </c>
      <c r="L28" s="718">
        <f>표2_4523[[#This Row],[열3]]</f>
        <v>0</v>
      </c>
      <c r="M28" s="789">
        <f t="shared" si="3"/>
        <v>0</v>
      </c>
      <c r="N28" s="789">
        <f t="shared" si="4"/>
        <v>0</v>
      </c>
      <c r="O28" s="718">
        <f t="shared" si="5"/>
        <v>0</v>
      </c>
      <c r="P28" s="731"/>
      <c r="Q28" s="732"/>
      <c r="R28" s="732"/>
      <c r="S28" s="733"/>
      <c r="T28" s="733"/>
      <c r="U28" s="734">
        <f>IF(H_O=2,(W_C+W_F-1)*N_PA*2,0)</f>
        <v>0</v>
      </c>
      <c r="V28" s="710"/>
      <c r="W28" s="734"/>
      <c r="X28" s="733"/>
      <c r="Y28" s="712"/>
    </row>
    <row r="29" spans="1:25" s="699" customFormat="1" ht="18.75" customHeight="1">
      <c r="A29" s="715" t="str">
        <f>IF(B29="","",(VLOOKUP(B:B,'0.39'!B:F,5,FALSE)))</f>
        <v/>
      </c>
      <c r="B29" s="715" t="str">
        <f t="shared" si="1"/>
        <v/>
      </c>
      <c r="C29" s="715" t="str">
        <f t="shared" si="2"/>
        <v/>
      </c>
      <c r="D29" s="715" t="str">
        <f t="array" ref="D29">IF( ISERROR(INDEX($K$8:$K$60,SMALL(IF($M$8:$M$60&lt;&gt;0,ROW($M$8:$M$60)-7),ROW(D22)))),"",INDEX($K$8:$K$60,SMALL(IF($M$8:$M$60&lt;&gt;0,ROW($M$8:$M$60)-7),ROW(D22))))</f>
        <v/>
      </c>
      <c r="E29" s="715" t="str">
        <f t="array" ref="E29">IF(ISERROR(INDEX($M$8:$M$60,SMALL(IF($M$8:$M$60&lt;&gt;0,ROW($M$8:$M$60)-7),ROW(E22)))),"",INDEX($M$8:$M$60,SMALL(IF($M$8:$M$60&lt;&gt;0,ROW($M$8:$M$60)-7),ROW(E22))))</f>
        <v/>
      </c>
      <c r="F29" s="693"/>
      <c r="G29" s="693"/>
      <c r="H29" s="693"/>
      <c r="I29" s="693"/>
      <c r="J29" s="1632"/>
      <c r="K29" s="788" t="str">
        <f>IF(BASIC_TOOL!E23=2,"WFR-2500SA2","WFB-2500SA4")</f>
        <v>WFB-2500SA4</v>
      </c>
      <c r="L29" s="718">
        <f>표2_4523[[#This Row],[열3]]</f>
        <v>0</v>
      </c>
      <c r="M29" s="789">
        <f>P29+Q29+R29+S29+T29+U29+V29+X29+Y29</f>
        <v>0</v>
      </c>
      <c r="N29" s="789">
        <f>P29+Q29+R29+S29+T29+U29+V29+X29+Y29</f>
        <v>0</v>
      </c>
      <c r="O29" s="718">
        <f>P29+Q29+R29+S29+T29+U29+V29+X29+Y29</f>
        <v>0</v>
      </c>
      <c r="P29" s="725"/>
      <c r="Q29" s="726"/>
      <c r="R29" s="726"/>
      <c r="S29" s="727"/>
      <c r="T29" s="728"/>
      <c r="U29" s="735">
        <f>IF(H_O=2.5,(W_C+W_F-1)*N_PA*2,0)</f>
        <v>0</v>
      </c>
      <c r="V29" s="710"/>
      <c r="W29" s="729"/>
      <c r="X29" s="728"/>
      <c r="Y29" s="730"/>
    </row>
    <row r="30" spans="1:25" s="699" customFormat="1" ht="15.75" thickBot="1">
      <c r="A30" s="715" t="str">
        <f>IF(B30="","",(VLOOKUP(B:B,'0.39'!B:F,5,FALSE)))</f>
        <v/>
      </c>
      <c r="B30" s="715" t="str">
        <f t="shared" si="1"/>
        <v/>
      </c>
      <c r="C30" s="715" t="str">
        <f t="shared" si="2"/>
        <v/>
      </c>
      <c r="D30" s="715" t="str">
        <f t="array" ref="D30">IF( ISERROR(INDEX($K$8:$K$60,SMALL(IF($M$8:$M$60&lt;&gt;0,ROW($M$8:$M$60)-7),ROW(D23)))),"",INDEX($K$8:$K$60,SMALL(IF($M$8:$M$60&lt;&gt;0,ROW($M$8:$M$60)-7),ROW(D23))))</f>
        <v/>
      </c>
      <c r="E30" s="715" t="str">
        <f t="array" ref="E30">IF(ISERROR(INDEX($M$8:$M$60,SMALL(IF($M$8:$M$60&lt;&gt;0,ROW($M$8:$M$60)-7),ROW(E23)))),"",INDEX($M$8:$M$60,SMALL(IF($M$8:$M$60&lt;&gt;0,ROW($M$8:$M$60)-7),ROW(E23))))</f>
        <v/>
      </c>
      <c r="F30" s="693"/>
      <c r="G30" s="693"/>
      <c r="H30" s="693"/>
      <c r="I30" s="693"/>
      <c r="J30" s="1633"/>
      <c r="K30" s="788" t="str">
        <f>IF(BASIC_TOOL!E23=2,"WFR-3000SA2","WFB-3000SA4")</f>
        <v>WFB-3000SA4</v>
      </c>
      <c r="L30" s="718">
        <f>표2_4523[[#This Row],[열3]]</f>
        <v>0</v>
      </c>
      <c r="M30" s="789">
        <f>P30+Q30+R30+S30+T30+U30+V30+X30+Y30</f>
        <v>0</v>
      </c>
      <c r="N30" s="789">
        <f>P30+Q30+R30+S30+T30+U30+V30+X30+Y30</f>
        <v>0</v>
      </c>
      <c r="O30" s="718">
        <f>P30+Q30+R30+S30+T30+U30+V30+X30+Y30</f>
        <v>0</v>
      </c>
      <c r="P30" s="736"/>
      <c r="Q30" s="737"/>
      <c r="R30" s="737"/>
      <c r="S30" s="738"/>
      <c r="T30" s="738"/>
      <c r="U30" s="739">
        <f>IF(H_O=3,(W_C+W_F-1)*N_PA*2,0)</f>
        <v>0</v>
      </c>
      <c r="V30" s="740"/>
      <c r="W30" s="741"/>
      <c r="X30" s="738"/>
      <c r="Y30" s="742"/>
    </row>
    <row r="31" spans="1:25" s="699" customFormat="1" ht="15">
      <c r="A31" s="715" t="str">
        <f>IF(B31="","",(VLOOKUP(B:B,'0.39'!B:F,5,FALSE)))</f>
        <v/>
      </c>
      <c r="B31" s="715" t="str">
        <f t="shared" si="1"/>
        <v/>
      </c>
      <c r="C31" s="715" t="str">
        <f t="shared" si="2"/>
        <v/>
      </c>
      <c r="D31" s="715" t="str">
        <f t="array" ref="D31">IF( ISERROR(INDEX($K$8:$K$60,SMALL(IF($M$8:$M$60&lt;&gt;0,ROW($M$8:$M$60)-7),ROW(D24)))),"",INDEX($K$8:$K$60,SMALL(IF($M$8:$M$60&lt;&gt;0,ROW($M$8:$M$60)-7),ROW(D24))))</f>
        <v/>
      </c>
      <c r="E31" s="715" t="str">
        <f t="array" ref="E31">IF(ISERROR(INDEX($M$8:$M$60,SMALL(IF($M$8:$M$60&lt;&gt;0,ROW($M$8:$M$60)-7),ROW(E24)))),"",INDEX($M$8:$M$60,SMALL(IF($M$8:$M$60&lt;&gt;0,ROW($M$8:$M$60)-7),ROW(E24))))</f>
        <v/>
      </c>
      <c r="F31" s="693"/>
      <c r="G31" s="693"/>
      <c r="H31" s="693"/>
      <c r="I31" s="693"/>
      <c r="J31" s="1633"/>
      <c r="K31" s="788" t="s">
        <v>1325</v>
      </c>
      <c r="L31" s="718"/>
      <c r="M31" s="789"/>
      <c r="N31" s="789"/>
      <c r="O31" s="718"/>
      <c r="P31" s="725"/>
      <c r="Q31" s="726"/>
      <c r="R31" s="726"/>
      <c r="S31" s="728"/>
      <c r="T31" s="728"/>
      <c r="U31" s="735"/>
      <c r="V31" s="710"/>
      <c r="W31" s="729"/>
      <c r="X31" s="728"/>
      <c r="Y31" s="730"/>
    </row>
    <row r="32" spans="1:25" s="699" customFormat="1" ht="15">
      <c r="A32" s="715" t="str">
        <f>IF(B32="","",(VLOOKUP(B:B,'0.39'!B:F,5,FALSE)))</f>
        <v/>
      </c>
      <c r="B32" s="715" t="str">
        <f t="shared" si="1"/>
        <v/>
      </c>
      <c r="C32" s="715" t="str">
        <f t="shared" si="2"/>
        <v/>
      </c>
      <c r="D32" s="715" t="str">
        <f t="array" ref="D32">IF( ISERROR(INDEX($K$8:$K$60,SMALL(IF($M$8:$M$60&lt;&gt;0,ROW($M$8:$M$60)-7),ROW(D25)))),"",INDEX($K$8:$K$60,SMALL(IF($M$8:$M$60&lt;&gt;0,ROW($M$8:$M$60)-7),ROW(D25))))</f>
        <v/>
      </c>
      <c r="E32" s="715" t="str">
        <f t="array" ref="E32">IF(ISERROR(INDEX($M$8:$M$60,SMALL(IF($M$8:$M$60&lt;&gt;0,ROW($M$8:$M$60)-7),ROW(E25)))),"",INDEX($M$8:$M$60,SMALL(IF($M$8:$M$60&lt;&gt;0,ROW($M$8:$M$60)-7),ROW(E25))))</f>
        <v/>
      </c>
      <c r="F32" s="693"/>
      <c r="G32" s="693"/>
      <c r="H32" s="693"/>
      <c r="I32" s="693"/>
      <c r="J32" s="1633"/>
      <c r="K32" s="788" t="s">
        <v>1559</v>
      </c>
      <c r="L32" s="718">
        <f>표2_4523[[#This Row],[열3]]</f>
        <v>0</v>
      </c>
      <c r="M32" s="789">
        <f t="shared" ref="M32:M37" si="6">P32+Q32+R32+S32+T32+U32+V32+X32+Y32</f>
        <v>0</v>
      </c>
      <c r="N32" s="789">
        <f t="shared" ref="N32:N37" si="7">P32+Q32+R32+S32+T32+U32+V32+X32+Y32</f>
        <v>0</v>
      </c>
      <c r="O32" s="718">
        <f t="shared" ref="O32:O37" si="8">P32+Q32+R32+S32+T32+U32+V32+X32+Y32</f>
        <v>0</v>
      </c>
      <c r="P32" s="714"/>
      <c r="Q32" s="715"/>
      <c r="R32" s="715"/>
      <c r="S32" s="708"/>
      <c r="T32" s="713"/>
      <c r="U32" s="709">
        <f>IF(OR(H_O=1.5),((W_C+W_F-1)+(L1_C+L1_F+L2_C+L2_F+L3_C+L3_F+L4_C+L4_F-1))*2,0)</f>
        <v>0</v>
      </c>
      <c r="V32" s="857"/>
      <c r="W32" s="744"/>
      <c r="X32" s="716"/>
      <c r="Y32" s="745"/>
    </row>
    <row r="33" spans="1:25" s="699" customFormat="1" ht="15.75" thickBot="1">
      <c r="A33" s="715" t="str">
        <f>IF(B33="","",(VLOOKUP(B:B,'0.39'!B:F,5,FALSE)))</f>
        <v/>
      </c>
      <c r="B33" s="715" t="str">
        <f t="shared" si="1"/>
        <v/>
      </c>
      <c r="C33" s="715" t="str">
        <f t="shared" si="2"/>
        <v/>
      </c>
      <c r="D33" s="715" t="str">
        <f t="array" ref="D33">IF( ISERROR(INDEX($K$8:$K$60,SMALL(IF($M$8:$M$60&lt;&gt;0,ROW($M$8:$M$60)-7),ROW(D26)))),"",INDEX($K$8:$K$60,SMALL(IF($M$8:$M$60&lt;&gt;0,ROW($M$8:$M$60)-7),ROW(D26))))</f>
        <v/>
      </c>
      <c r="E33" s="715" t="str">
        <f t="array" ref="E33">IF(ISERROR(INDEX($M$8:$M$60,SMALL(IF($M$8:$M$60&lt;&gt;0,ROW($M$8:$M$60)-7),ROW(E26)))),"",INDEX($M$8:$M$60,SMALL(IF($M$8:$M$60&lt;&gt;0,ROW($M$8:$M$60)-7),ROW(E26))))</f>
        <v/>
      </c>
      <c r="F33" s="693"/>
      <c r="G33" s="693"/>
      <c r="H33" s="693"/>
      <c r="I33" s="693"/>
      <c r="J33" s="1634"/>
      <c r="K33" s="788" t="s">
        <v>1560</v>
      </c>
      <c r="L33" s="718">
        <f>표2_4523[[#This Row],[열3]]</f>
        <v>0</v>
      </c>
      <c r="M33" s="789">
        <f t="shared" si="6"/>
        <v>0</v>
      </c>
      <c r="N33" s="789">
        <f t="shared" si="7"/>
        <v>0</v>
      </c>
      <c r="O33" s="718">
        <f t="shared" si="8"/>
        <v>0</v>
      </c>
      <c r="P33" s="714"/>
      <c r="Q33" s="715"/>
      <c r="R33" s="715"/>
      <c r="S33" s="713"/>
      <c r="T33" s="713"/>
      <c r="U33" s="709">
        <f>IF(OR(H_O=2),((W_C+W_F-1)+(L1_C+L1_F+L2_C+L2_F+L3_C+L3_F+L4_C+L4_F-1))*2,0)</f>
        <v>0</v>
      </c>
      <c r="V33" s="723"/>
      <c r="W33" s="722"/>
      <c r="X33" s="721"/>
      <c r="Y33" s="724"/>
    </row>
    <row r="34" spans="1:25" s="699" customFormat="1" ht="15">
      <c r="A34" s="883"/>
      <c r="B34" s="715" t="str">
        <f t="shared" si="1"/>
        <v/>
      </c>
      <c r="C34" s="715" t="str">
        <f t="shared" si="2"/>
        <v/>
      </c>
      <c r="D34" s="715" t="str">
        <f t="array" ref="D34">IF( ISERROR(INDEX($K$8:$K$60,SMALL(IF($M$8:$M$60&lt;&gt;0,ROW($M$8:$M$60)-7),ROW(D27)))),"",INDEX($K$8:$K$60,SMALL(IF($M$8:$M$60&lt;&gt;0,ROW($M$8:$M$60)-7),ROW(D27))))</f>
        <v/>
      </c>
      <c r="E34" s="715" t="str">
        <f t="array" ref="E34">IF(ISERROR(INDEX($M$8:$M$60,SMALL(IF($M$8:$M$60&lt;&gt;0,ROW($M$8:$M$60)-7),ROW(E27)))),"",INDEX($M$8:$M$60,SMALL(IF($M$8:$M$60&lt;&gt;0,ROW($M$8:$M$60)-7),ROW(E27))))</f>
        <v/>
      </c>
      <c r="F34" s="749"/>
      <c r="G34" s="749"/>
      <c r="H34" s="749"/>
      <c r="I34" s="693"/>
      <c r="J34" s="693"/>
      <c r="K34" s="788" t="s">
        <v>1561</v>
      </c>
      <c r="L34" s="718">
        <f>표2_4523[[#This Row],[열3]]</f>
        <v>0</v>
      </c>
      <c r="M34" s="789">
        <f t="shared" si="6"/>
        <v>0</v>
      </c>
      <c r="N34" s="789">
        <f t="shared" si="7"/>
        <v>0</v>
      </c>
      <c r="O34" s="718">
        <f t="shared" si="8"/>
        <v>0</v>
      </c>
      <c r="P34" s="719"/>
      <c r="Q34" s="720"/>
      <c r="R34" s="720"/>
      <c r="S34" s="721"/>
      <c r="T34" s="721"/>
      <c r="U34" s="722">
        <f>IF(OR(H_O=2.5),((W_C+W_F-1)+(L1_C+L1_F+L2_C+L2_F+L3_C+L3_F+L4_C+L4_F-1))*2,0)</f>
        <v>0</v>
      </c>
      <c r="V34" s="794"/>
      <c r="W34" s="793"/>
      <c r="X34" s="716"/>
      <c r="Y34" s="745"/>
    </row>
    <row r="35" spans="1:25" s="699" customFormat="1" ht="15">
      <c r="D35" s="749"/>
      <c r="E35" s="749"/>
      <c r="F35" s="749"/>
      <c r="G35" s="749"/>
      <c r="H35" s="749"/>
      <c r="I35" s="693"/>
      <c r="J35" s="693"/>
      <c r="K35" s="788" t="s">
        <v>1562</v>
      </c>
      <c r="L35" s="718">
        <f>표2_4523[[#This Row],[열3]]</f>
        <v>26</v>
      </c>
      <c r="M35" s="789">
        <f t="shared" si="6"/>
        <v>26</v>
      </c>
      <c r="N35" s="789">
        <f t="shared" si="7"/>
        <v>26</v>
      </c>
      <c r="O35" s="718">
        <f t="shared" si="8"/>
        <v>26</v>
      </c>
      <c r="P35" s="725"/>
      <c r="Q35" s="726"/>
      <c r="R35" s="726"/>
      <c r="S35" s="727"/>
      <c r="T35" s="728"/>
      <c r="U35" s="722">
        <f>IF(OR(H_O=3),((W_C+W_F-1)+(L1_C+L1_F+L2_C+L2_F+L3_C+L3_F+L4_C+L4_F-1))*2,0)</f>
        <v>26</v>
      </c>
      <c r="V35" s="794"/>
      <c r="W35" s="793"/>
      <c r="X35" s="716"/>
      <c r="Y35" s="745"/>
    </row>
    <row r="36" spans="1:25" s="699" customFormat="1" ht="15">
      <c r="D36" s="749"/>
      <c r="E36" s="749"/>
      <c r="F36" s="749"/>
      <c r="G36" s="749"/>
      <c r="H36" s="749"/>
      <c r="I36" s="693"/>
      <c r="J36" s="693"/>
      <c r="K36" s="788" t="str">
        <f>IF(BASIC_TOOL!E32=2,"WLF-1500SA2","WLF-15000SA4")</f>
        <v>WLF-15000SA4</v>
      </c>
      <c r="L36" s="718">
        <f>표2_4523[[#This Row],[열3]]</f>
        <v>0</v>
      </c>
      <c r="M36" s="789">
        <f t="shared" si="6"/>
        <v>0</v>
      </c>
      <c r="N36" s="789">
        <f t="shared" si="7"/>
        <v>0</v>
      </c>
      <c r="O36" s="718">
        <f t="shared" si="8"/>
        <v>0</v>
      </c>
      <c r="P36" s="731"/>
      <c r="Q36" s="732"/>
      <c r="R36" s="732"/>
      <c r="S36" s="733"/>
      <c r="T36" s="733"/>
      <c r="U36" s="734">
        <f>IF(H_O=1.5,(W_C+W_F-1)*N_PA*2,0)</f>
        <v>0</v>
      </c>
      <c r="V36" s="794"/>
      <c r="W36" s="793"/>
      <c r="X36" s="716"/>
      <c r="Y36" s="745"/>
    </row>
    <row r="37" spans="1:25" s="699" customFormat="1" ht="15">
      <c r="D37" s="749"/>
      <c r="E37" s="749"/>
      <c r="F37" s="749"/>
      <c r="G37" s="749"/>
      <c r="H37" s="749"/>
      <c r="I37" s="693"/>
      <c r="J37" s="693"/>
      <c r="K37" s="788" t="str">
        <f>IF(BASIC_TOOL!E32=2,"WLF-2000SA2","WLF-2000SA4")</f>
        <v>WLF-2000SA4</v>
      </c>
      <c r="L37" s="718">
        <f>표2_4523[[#This Row],[열3]]</f>
        <v>0</v>
      </c>
      <c r="M37" s="789">
        <f t="shared" si="6"/>
        <v>0</v>
      </c>
      <c r="N37" s="789">
        <f t="shared" si="7"/>
        <v>0</v>
      </c>
      <c r="O37" s="718">
        <f t="shared" si="8"/>
        <v>0</v>
      </c>
      <c r="P37" s="731"/>
      <c r="Q37" s="732"/>
      <c r="R37" s="732"/>
      <c r="S37" s="733"/>
      <c r="T37" s="733"/>
      <c r="U37" s="734">
        <f>IF(H_O=2,(W_C+W_F-1)*N_PA*2,0)</f>
        <v>0</v>
      </c>
      <c r="V37" s="794"/>
      <c r="W37" s="793"/>
      <c r="X37" s="716"/>
      <c r="Y37" s="745"/>
    </row>
    <row r="38" spans="1:25" s="699" customFormat="1" ht="15">
      <c r="D38" s="749"/>
      <c r="E38" s="749"/>
      <c r="F38" s="749"/>
      <c r="G38" s="749"/>
      <c r="H38" s="749"/>
      <c r="I38" s="693"/>
      <c r="J38" s="693"/>
      <c r="K38" s="788" t="str">
        <f>IF(BASIC_TOOL!E32=2,"WLF-2500SA2","WLF-2500SA4")</f>
        <v>WLF-2500SA4</v>
      </c>
      <c r="L38" s="718">
        <f>표2_4523[[#This Row],[열3]]</f>
        <v>0</v>
      </c>
      <c r="M38" s="789">
        <f>P38+Q38+R38+S38+T38+U38+V38+X38+Y38</f>
        <v>0</v>
      </c>
      <c r="N38" s="789">
        <f>P38+Q38+R38+S38+T38+U38+V38+X38+Y38</f>
        <v>0</v>
      </c>
      <c r="O38" s="718">
        <f>P38+Q38+R38+S38+T38+U38+V38+X38+Y38</f>
        <v>0</v>
      </c>
      <c r="P38" s="725"/>
      <c r="Q38" s="726"/>
      <c r="R38" s="726"/>
      <c r="S38" s="727"/>
      <c r="T38" s="728"/>
      <c r="U38" s="735">
        <f>IF(H_O=2.5,(W_C+W_F-1)*N_PA*2,0)</f>
        <v>0</v>
      </c>
      <c r="V38" s="794"/>
      <c r="W38" s="793"/>
      <c r="X38" s="716"/>
      <c r="Y38" s="745"/>
    </row>
    <row r="39" spans="1:25" s="699" customFormat="1" ht="15.75" thickBot="1">
      <c r="D39" s="749"/>
      <c r="E39" s="749"/>
      <c r="F39" s="749"/>
      <c r="G39" s="749"/>
      <c r="H39" s="749"/>
      <c r="I39" s="693"/>
      <c r="J39" s="693"/>
      <c r="K39" s="788" t="str">
        <f>IF(BASIC_TOOL!E32=2,"WLF-3000SA2","WLF-3000SA4")</f>
        <v>WLF-3000SA4</v>
      </c>
      <c r="L39" s="718">
        <f>표2_4523[[#This Row],[열3]]</f>
        <v>0</v>
      </c>
      <c r="M39" s="789">
        <f>P39+Q39+R39+S39+T39+U39+V39+X39+Y39</f>
        <v>0</v>
      </c>
      <c r="N39" s="789">
        <f>P39+Q39+R39+S39+T39+U39+V39+X39+Y39</f>
        <v>0</v>
      </c>
      <c r="O39" s="718">
        <f>P39+Q39+R39+S39+T39+U39+V39+X39+Y39</f>
        <v>0</v>
      </c>
      <c r="P39" s="736"/>
      <c r="Q39" s="737"/>
      <c r="R39" s="737"/>
      <c r="S39" s="738"/>
      <c r="T39" s="738"/>
      <c r="U39" s="739">
        <f>IF(H_O=3,(W_C+W_F-1)*N_PA*2,0)</f>
        <v>0</v>
      </c>
      <c r="V39" s="794"/>
      <c r="W39" s="793"/>
      <c r="X39" s="716"/>
      <c r="Y39" s="745"/>
    </row>
    <row r="40" spans="1:25" s="699" customFormat="1" ht="15">
      <c r="D40" s="749"/>
      <c r="E40" s="749"/>
      <c r="F40" s="749"/>
      <c r="G40" s="749"/>
      <c r="H40" s="749"/>
      <c r="I40" s="693"/>
      <c r="J40" s="693"/>
      <c r="K40" s="788"/>
      <c r="L40" s="718"/>
      <c r="M40" s="789"/>
      <c r="N40" s="789"/>
      <c r="O40" s="718"/>
      <c r="P40" s="744"/>
      <c r="Q40" s="715"/>
      <c r="R40" s="715"/>
      <c r="S40" s="716"/>
      <c r="T40" s="716"/>
      <c r="U40" s="793"/>
      <c r="V40" s="794"/>
      <c r="W40" s="793"/>
      <c r="X40" s="716"/>
      <c r="Y40" s="745"/>
    </row>
    <row r="41" spans="1:25" s="699" customFormat="1" ht="15">
      <c r="D41" s="749"/>
      <c r="E41" s="749"/>
      <c r="F41" s="749"/>
      <c r="G41" s="749"/>
      <c r="H41" s="749"/>
      <c r="I41" s="693"/>
      <c r="J41" s="693"/>
      <c r="K41" s="788" t="s">
        <v>1563</v>
      </c>
      <c r="L41" s="718">
        <f>표2_4523[[#This Row],[열3]]</f>
        <v>0</v>
      </c>
      <c r="M41" s="789">
        <f t="shared" ref="M41:M46" si="9">P41+Q41+R41+S41+T41+U41+V41+X41+Y41</f>
        <v>0</v>
      </c>
      <c r="N41" s="789">
        <f t="shared" ref="N41:N46" si="10">P41+Q41+R41+S41+T41+U41+V41+X41+Y41</f>
        <v>0</v>
      </c>
      <c r="O41" s="718">
        <f t="shared" ref="O41:O46" si="11">P41+Q41+R41+S41+T41+U41+V41+X41+Y41</f>
        <v>0</v>
      </c>
      <c r="P41" s="714"/>
      <c r="Q41" s="715"/>
      <c r="R41" s="715"/>
      <c r="S41" s="708"/>
      <c r="T41" s="713"/>
      <c r="U41" s="709">
        <f>IF(OR(H_O=1.5),((W_C+W_F-1)+(L1_C+L1_F+L2_C+L2_F+L3_C+L3_F+L4_C+L4_F-1))*2,0)</f>
        <v>0</v>
      </c>
      <c r="V41" s="794"/>
      <c r="W41" s="793"/>
      <c r="X41" s="716"/>
      <c r="Y41" s="745"/>
    </row>
    <row r="42" spans="1:25" s="699" customFormat="1" ht="15">
      <c r="D42" s="749"/>
      <c r="E42" s="749"/>
      <c r="F42" s="749"/>
      <c r="G42" s="749"/>
      <c r="H42" s="749"/>
      <c r="I42" s="693"/>
      <c r="J42" s="693"/>
      <c r="K42" s="788" t="s">
        <v>1564</v>
      </c>
      <c r="L42" s="718">
        <f>표2_4523[[#This Row],[열3]]</f>
        <v>0</v>
      </c>
      <c r="M42" s="789">
        <f t="shared" si="9"/>
        <v>0</v>
      </c>
      <c r="N42" s="789">
        <f t="shared" si="10"/>
        <v>0</v>
      </c>
      <c r="O42" s="718">
        <f t="shared" si="11"/>
        <v>0</v>
      </c>
      <c r="P42" s="714"/>
      <c r="Q42" s="715"/>
      <c r="R42" s="715"/>
      <c r="S42" s="713"/>
      <c r="T42" s="713"/>
      <c r="U42" s="709">
        <f>IF(OR(H_O=2),((W_C+W_F-1)+(L1_C+L1_F+L2_C+L2_F+L3_C+L3_F+L4_C+L4_F-1))*2,0)</f>
        <v>0</v>
      </c>
      <c r="V42" s="794"/>
      <c r="W42" s="793"/>
      <c r="X42" s="716"/>
      <c r="Y42" s="745"/>
    </row>
    <row r="43" spans="1:25" s="699" customFormat="1" ht="17.649999999999999" customHeight="1">
      <c r="D43" s="749"/>
      <c r="E43" s="749"/>
      <c r="F43" s="749"/>
      <c r="G43" s="749"/>
      <c r="H43" s="749"/>
      <c r="I43" s="693"/>
      <c r="J43" s="746"/>
      <c r="K43" s="788" t="s">
        <v>1565</v>
      </c>
      <c r="L43" s="718">
        <f>표2_4523[[#This Row],[열3]]</f>
        <v>0</v>
      </c>
      <c r="M43" s="789">
        <f t="shared" si="9"/>
        <v>0</v>
      </c>
      <c r="N43" s="789">
        <f t="shared" si="10"/>
        <v>0</v>
      </c>
      <c r="O43" s="718">
        <f t="shared" si="11"/>
        <v>0</v>
      </c>
      <c r="P43" s="719"/>
      <c r="Q43" s="720"/>
      <c r="R43" s="720"/>
      <c r="S43" s="721"/>
      <c r="T43" s="721"/>
      <c r="U43" s="722">
        <f>IF(OR(H_O=2.5),((W_C+W_F-1)+(L1_C+L1_F+L2_C+L2_F+L3_C+L3_F+L4_C+L4_F-1))*2,0)</f>
        <v>0</v>
      </c>
      <c r="V43" s="794"/>
      <c r="W43" s="793"/>
      <c r="X43" s="716"/>
      <c r="Y43" s="745"/>
    </row>
    <row r="44" spans="1:25" s="699" customFormat="1" ht="15">
      <c r="D44" s="749"/>
      <c r="E44" s="749"/>
      <c r="F44" s="749"/>
      <c r="G44" s="749"/>
      <c r="H44" s="749"/>
      <c r="I44" s="693"/>
      <c r="J44" s="693"/>
      <c r="K44" s="788" t="s">
        <v>1566</v>
      </c>
      <c r="L44" s="718">
        <f>표2_4523[[#This Row],[열3]]</f>
        <v>26</v>
      </c>
      <c r="M44" s="789">
        <f t="shared" si="9"/>
        <v>26</v>
      </c>
      <c r="N44" s="789">
        <f t="shared" si="10"/>
        <v>26</v>
      </c>
      <c r="O44" s="718">
        <f t="shared" si="11"/>
        <v>26</v>
      </c>
      <c r="P44" s="725"/>
      <c r="Q44" s="726"/>
      <c r="R44" s="726"/>
      <c r="S44" s="727"/>
      <c r="T44" s="728"/>
      <c r="U44" s="722">
        <f>IF(OR(H_O=3),((W_C+W_F-1)+(L1_C+L1_F+L2_C+L2_F+L3_C+L3_F+L4_C+L4_F-1))*2,0)</f>
        <v>26</v>
      </c>
      <c r="V44" s="794"/>
      <c r="W44" s="793"/>
      <c r="X44" s="716"/>
      <c r="Y44" s="745"/>
    </row>
    <row r="45" spans="1:25" s="699" customFormat="1" ht="15">
      <c r="D45" s="749"/>
      <c r="E45" s="749"/>
      <c r="F45" s="749"/>
      <c r="G45" s="749"/>
      <c r="H45" s="749"/>
      <c r="I45" s="693"/>
      <c r="J45" s="693"/>
      <c r="K45" s="788" t="str">
        <f>IF(BASIC_TOOL!E41=2,"WTF-1500SA2","WTF-15000SA4")</f>
        <v>WTF-15000SA4</v>
      </c>
      <c r="L45" s="718">
        <f>표2_4523[[#This Row],[열3]]</f>
        <v>0</v>
      </c>
      <c r="M45" s="789">
        <f t="shared" si="9"/>
        <v>0</v>
      </c>
      <c r="N45" s="789">
        <f t="shared" si="10"/>
        <v>0</v>
      </c>
      <c r="O45" s="718">
        <f t="shared" si="11"/>
        <v>0</v>
      </c>
      <c r="P45" s="731"/>
      <c r="Q45" s="732"/>
      <c r="R45" s="732"/>
      <c r="S45" s="733"/>
      <c r="T45" s="733"/>
      <c r="U45" s="734">
        <f>IF(H_O=1.5,(W_C+W_F-1)*N_PA*2,0)</f>
        <v>0</v>
      </c>
      <c r="V45" s="794"/>
      <c r="W45" s="793"/>
      <c r="X45" s="716"/>
      <c r="Y45" s="745"/>
    </row>
    <row r="46" spans="1:25" s="699" customFormat="1" ht="15">
      <c r="D46" s="749"/>
      <c r="E46" s="749"/>
      <c r="F46" s="749"/>
      <c r="G46" s="749"/>
      <c r="H46" s="749"/>
      <c r="I46" s="693"/>
      <c r="J46" s="693"/>
      <c r="K46" s="788" t="str">
        <f>IF(BASIC_TOOL!E41=2,"WTF-2000SA2","WTF-2000SA4")</f>
        <v>WTF-2000SA4</v>
      </c>
      <c r="L46" s="718">
        <f>표2_4523[[#This Row],[열3]]</f>
        <v>0</v>
      </c>
      <c r="M46" s="789">
        <f t="shared" si="9"/>
        <v>0</v>
      </c>
      <c r="N46" s="789">
        <f t="shared" si="10"/>
        <v>0</v>
      </c>
      <c r="O46" s="718">
        <f t="shared" si="11"/>
        <v>0</v>
      </c>
      <c r="P46" s="731"/>
      <c r="Q46" s="732"/>
      <c r="R46" s="732"/>
      <c r="S46" s="733"/>
      <c r="T46" s="733"/>
      <c r="U46" s="734">
        <f>IF(H_O=2,(W_C+W_F-1)*N_PA*2,0)</f>
        <v>0</v>
      </c>
      <c r="V46" s="794"/>
      <c r="W46" s="793"/>
      <c r="X46" s="716"/>
      <c r="Y46" s="745"/>
    </row>
    <row r="47" spans="1:25" s="699" customFormat="1" ht="15">
      <c r="D47" s="749"/>
      <c r="E47" s="749"/>
      <c r="F47" s="749"/>
      <c r="G47" s="749"/>
      <c r="H47" s="749"/>
      <c r="I47" s="693"/>
      <c r="J47" s="693"/>
      <c r="K47" s="788" t="str">
        <f>IF(BASIC_TOOL!E41=2,"WTF-2500SA2","WTF-2500SA4")</f>
        <v>WTF-2500SA4</v>
      </c>
      <c r="L47" s="718">
        <f>표2_4523[[#This Row],[열3]]</f>
        <v>0</v>
      </c>
      <c r="M47" s="789">
        <f>P47+Q47+R47+S47+T47+U47+V47+X47+Y47</f>
        <v>0</v>
      </c>
      <c r="N47" s="789">
        <f>P47+Q47+R47+S47+T47+U47+V47+X47+Y47</f>
        <v>0</v>
      </c>
      <c r="O47" s="718">
        <f>P47+Q47+R47+S47+T47+U47+V47+X47+Y47</f>
        <v>0</v>
      </c>
      <c r="P47" s="725"/>
      <c r="Q47" s="726"/>
      <c r="R47" s="726"/>
      <c r="S47" s="727"/>
      <c r="T47" s="728"/>
      <c r="U47" s="735">
        <f>IF(H_O=2.5,(W_C+W_F-1)*N_PA*2,0)</f>
        <v>0</v>
      </c>
      <c r="V47" s="794"/>
      <c r="W47" s="793"/>
      <c r="X47" s="716"/>
      <c r="Y47" s="745"/>
    </row>
    <row r="48" spans="1:25" s="699" customFormat="1" ht="15.75" thickBot="1">
      <c r="D48" s="749"/>
      <c r="E48" s="749"/>
      <c r="F48" s="749"/>
      <c r="G48" s="749"/>
      <c r="H48" s="749"/>
      <c r="I48" s="693"/>
      <c r="J48" s="693"/>
      <c r="K48" s="788" t="str">
        <f>IF(BASIC_TOOL!E41=2,"WTF-3000SA2","WTF-3000SA4")</f>
        <v>WTF-3000SA4</v>
      </c>
      <c r="L48" s="718">
        <f>표2_4523[[#This Row],[열3]]</f>
        <v>0</v>
      </c>
      <c r="M48" s="789">
        <f>P48+Q48+R48+S48+T48+U48+V48+X48+Y48</f>
        <v>0</v>
      </c>
      <c r="N48" s="789">
        <f>P48+Q48+R48+S48+T48+U48+V48+X48+Y48</f>
        <v>0</v>
      </c>
      <c r="O48" s="718">
        <f>P48+Q48+R48+S48+T48+U48+V48+X48+Y48</f>
        <v>0</v>
      </c>
      <c r="P48" s="736"/>
      <c r="Q48" s="737"/>
      <c r="R48" s="737"/>
      <c r="S48" s="738"/>
      <c r="T48" s="738"/>
      <c r="U48" s="739">
        <f>IF(H_O=3,(W_C+W_F-1)*N_PA*2,0)</f>
        <v>0</v>
      </c>
      <c r="V48" s="794"/>
      <c r="W48" s="793"/>
      <c r="X48" s="716"/>
      <c r="Y48" s="745"/>
    </row>
    <row r="49" spans="4:25" s="699" customFormat="1" ht="15">
      <c r="D49" s="749"/>
      <c r="E49" s="749"/>
      <c r="F49" s="749"/>
      <c r="G49" s="749"/>
      <c r="H49" s="749"/>
      <c r="I49" s="693"/>
      <c r="J49" s="693"/>
      <c r="K49" s="788"/>
      <c r="L49" s="718">
        <f>표2_4523[[#This Row],[열3]]</f>
        <v>0</v>
      </c>
      <c r="M49" s="789">
        <f t="shared" si="3"/>
        <v>0</v>
      </c>
      <c r="N49" s="789">
        <f t="shared" si="4"/>
        <v>0</v>
      </c>
      <c r="O49" s="718">
        <f t="shared" si="5"/>
        <v>0</v>
      </c>
      <c r="P49" s="744"/>
      <c r="Q49" s="715"/>
      <c r="R49" s="715"/>
      <c r="S49" s="716"/>
      <c r="T49" s="716"/>
      <c r="U49" s="793"/>
      <c r="V49" s="794"/>
      <c r="W49" s="793"/>
      <c r="X49" s="716"/>
      <c r="Y49" s="745"/>
    </row>
    <row r="50" spans="4:25" s="699" customFormat="1" ht="15">
      <c r="D50" s="749"/>
      <c r="E50" s="749"/>
      <c r="F50" s="749"/>
      <c r="G50" s="749"/>
      <c r="H50" s="749"/>
      <c r="I50" s="693"/>
      <c r="J50" s="693"/>
      <c r="K50" s="788" t="s">
        <v>584</v>
      </c>
      <c r="L50" s="718">
        <f>표2_4523[[#This Row],[열3]]</f>
        <v>8</v>
      </c>
      <c r="M50" s="789">
        <f>P50+Q50+R50+S50+T50+U50+V50+X50+Y50</f>
        <v>8</v>
      </c>
      <c r="N50" s="789">
        <f>P50+Q50+R50+S50+T50+U50+V50+X50+Y50</f>
        <v>8</v>
      </c>
      <c r="O50" s="718">
        <f>P50+Q50+R50+S50+T50+U50+V50+X50+Y50</f>
        <v>8</v>
      </c>
      <c r="P50" s="744"/>
      <c r="Q50" s="715"/>
      <c r="R50" s="715">
        <f>4*2*(H_C+H_F-2)</f>
        <v>8</v>
      </c>
      <c r="S50" s="716"/>
      <c r="T50" s="716"/>
      <c r="U50" s="793"/>
      <c r="V50" s="794"/>
      <c r="W50" s="793"/>
      <c r="X50" s="716"/>
      <c r="Y50" s="745"/>
    </row>
    <row r="51" spans="4:25" s="699" customFormat="1" ht="15">
      <c r="D51" s="749"/>
      <c r="E51" s="749"/>
      <c r="F51" s="749"/>
      <c r="G51" s="749"/>
      <c r="H51" s="749"/>
      <c r="I51" s="693"/>
      <c r="J51" s="693"/>
      <c r="K51" s="855" t="s">
        <v>1292</v>
      </c>
      <c r="L51" s="715">
        <f>표2_4523[[#This Row],[열3]]</f>
        <v>0</v>
      </c>
      <c r="M51" s="856">
        <f t="shared" ref="M51:M52" si="12">P51+Q51+R51+S51+T51+U51+V51+X51+Y51</f>
        <v>0</v>
      </c>
      <c r="N51" s="880">
        <f t="shared" ref="N51:N52" si="13">P51+Q51+R51+S51+T51+U51+V51+X51+Y51</f>
        <v>0</v>
      </c>
      <c r="O51" s="718">
        <f t="shared" ref="O51:O52" si="14">P51+Q51+R51+S51+T51+U51+V51+X51+Y51</f>
        <v>0</v>
      </c>
      <c r="P51" s="744"/>
      <c r="Q51" s="715"/>
      <c r="R51" s="715"/>
      <c r="S51" s="716"/>
      <c r="T51" s="716"/>
      <c r="U51" s="793"/>
      <c r="V51" s="794"/>
      <c r="W51" s="793"/>
      <c r="X51" s="716"/>
      <c r="Y51" s="745"/>
    </row>
    <row r="52" spans="4:25" s="699" customFormat="1" ht="15">
      <c r="D52" s="749"/>
      <c r="E52" s="749"/>
      <c r="F52" s="749"/>
      <c r="G52" s="749"/>
      <c r="H52" s="749"/>
      <c r="I52" s="693"/>
      <c r="J52" s="693"/>
      <c r="K52" s="855" t="s">
        <v>1291</v>
      </c>
      <c r="L52" s="715">
        <f>표2_4523[[#This Row],[열3]]</f>
        <v>4</v>
      </c>
      <c r="M52" s="856">
        <f t="shared" si="12"/>
        <v>4</v>
      </c>
      <c r="N52" s="880">
        <f t="shared" si="13"/>
        <v>4</v>
      </c>
      <c r="O52" s="718">
        <f t="shared" si="14"/>
        <v>4</v>
      </c>
      <c r="P52" s="744"/>
      <c r="Q52" s="715"/>
      <c r="R52" s="793">
        <f>4*(H_C+H_F-2)</f>
        <v>4</v>
      </c>
      <c r="S52" s="716"/>
      <c r="T52" s="716"/>
      <c r="U52" s="793"/>
      <c r="V52" s="794"/>
      <c r="W52" s="793"/>
      <c r="X52" s="716"/>
      <c r="Y52" s="745"/>
    </row>
    <row r="53" spans="4:25" s="699" customFormat="1" ht="15">
      <c r="D53" s="749"/>
      <c r="E53" s="749"/>
      <c r="F53" s="749"/>
      <c r="G53" s="749"/>
      <c r="H53" s="749"/>
      <c r="I53" s="693"/>
      <c r="J53" s="693"/>
      <c r="K53" s="855"/>
      <c r="L53" s="715"/>
      <c r="M53" s="856"/>
      <c r="N53" s="718"/>
      <c r="O53" s="718"/>
      <c r="P53" s="744"/>
      <c r="Q53" s="715"/>
      <c r="R53" s="715"/>
      <c r="S53" s="715"/>
      <c r="T53" s="715"/>
      <c r="U53" s="744"/>
      <c r="V53" s="857"/>
      <c r="W53" s="744"/>
      <c r="X53" s="716"/>
      <c r="Y53" s="745"/>
    </row>
    <row r="54" spans="4:25" s="699" customFormat="1" ht="15">
      <c r="D54" s="749"/>
      <c r="E54" s="749"/>
      <c r="F54" s="749"/>
      <c r="G54" s="749"/>
      <c r="H54" s="749"/>
      <c r="I54" s="693"/>
      <c r="J54" s="693"/>
      <c r="K54" s="788"/>
      <c r="L54" s="718"/>
      <c r="M54" s="789"/>
      <c r="N54" s="789"/>
      <c r="O54" s="718"/>
      <c r="P54" s="744"/>
      <c r="Q54" s="715"/>
      <c r="R54" s="715"/>
      <c r="S54" s="716"/>
      <c r="T54" s="716"/>
      <c r="U54" s="793"/>
      <c r="V54" s="794"/>
      <c r="W54" s="793"/>
      <c r="X54" s="716"/>
      <c r="Y54" s="745"/>
    </row>
    <row r="55" spans="4:25" s="699" customFormat="1" ht="15">
      <c r="D55" s="749"/>
      <c r="E55" s="749"/>
      <c r="F55" s="749"/>
      <c r="G55" s="749"/>
      <c r="H55" s="749"/>
      <c r="J55" s="693"/>
      <c r="K55" s="788"/>
      <c r="L55" s="718"/>
      <c r="M55" s="789"/>
      <c r="N55" s="789"/>
      <c r="O55" s="718"/>
      <c r="P55" s="744"/>
      <c r="Q55" s="715"/>
      <c r="R55" s="715"/>
      <c r="S55" s="716"/>
      <c r="T55" s="716"/>
      <c r="U55" s="793"/>
      <c r="V55" s="794"/>
      <c r="W55" s="793"/>
      <c r="X55" s="716"/>
      <c r="Y55" s="745"/>
    </row>
    <row r="56" spans="4:25" s="699" customFormat="1" ht="15">
      <c r="D56" s="749"/>
      <c r="E56" s="749"/>
      <c r="F56" s="749"/>
      <c r="G56" s="749"/>
      <c r="H56" s="749"/>
      <c r="J56" s="693"/>
      <c r="K56" s="788"/>
      <c r="L56" s="718"/>
      <c r="M56" s="789"/>
      <c r="N56" s="789"/>
      <c r="O56" s="718"/>
      <c r="P56" s="744"/>
      <c r="Q56" s="715"/>
      <c r="R56" s="715"/>
      <c r="S56" s="716"/>
      <c r="T56" s="716"/>
      <c r="U56" s="793"/>
      <c r="V56" s="794"/>
      <c r="W56" s="793"/>
      <c r="X56" s="716"/>
      <c r="Y56" s="745"/>
    </row>
    <row r="57" spans="4:25" s="699" customFormat="1" ht="17.649999999999999" customHeight="1">
      <c r="D57" s="749"/>
      <c r="E57" s="749"/>
      <c r="F57" s="749"/>
      <c r="G57" s="749"/>
      <c r="H57" s="749"/>
      <c r="J57" s="746"/>
      <c r="K57" s="788"/>
      <c r="L57" s="718"/>
      <c r="M57" s="789"/>
      <c r="N57" s="789"/>
      <c r="O57" s="718"/>
      <c r="P57" s="744"/>
      <c r="Q57" s="715"/>
      <c r="R57" s="715"/>
      <c r="S57" s="716"/>
      <c r="T57" s="716"/>
      <c r="U57" s="793"/>
      <c r="V57" s="794"/>
      <c r="W57" s="793"/>
      <c r="X57" s="716"/>
      <c r="Y57" s="745"/>
    </row>
    <row r="58" spans="4:25" s="699" customFormat="1" ht="15">
      <c r="D58" s="749"/>
      <c r="E58" s="749"/>
      <c r="F58" s="749"/>
      <c r="G58" s="749"/>
      <c r="H58" s="749"/>
      <c r="J58" s="746"/>
      <c r="K58" s="788"/>
      <c r="L58" s="718"/>
      <c r="M58" s="789"/>
      <c r="N58" s="789"/>
      <c r="O58" s="718"/>
      <c r="P58" s="744"/>
      <c r="Q58" s="715"/>
      <c r="R58" s="715"/>
      <c r="S58" s="716"/>
      <c r="T58" s="716"/>
      <c r="U58" s="793"/>
      <c r="V58" s="794"/>
      <c r="W58" s="793"/>
      <c r="X58" s="716"/>
      <c r="Y58" s="745"/>
    </row>
    <row r="59" spans="4:25" s="699" customFormat="1" ht="15">
      <c r="D59" s="749"/>
      <c r="E59" s="749"/>
      <c r="F59" s="749"/>
      <c r="G59" s="749"/>
      <c r="H59" s="749"/>
      <c r="J59" s="746"/>
      <c r="K59" s="788"/>
      <c r="L59" s="718"/>
      <c r="M59" s="789"/>
      <c r="N59" s="789"/>
      <c r="O59" s="718"/>
      <c r="P59" s="744"/>
      <c r="Q59" s="715"/>
      <c r="R59" s="715"/>
      <c r="S59" s="716"/>
      <c r="T59" s="716"/>
      <c r="U59" s="793"/>
      <c r="V59" s="794"/>
      <c r="W59" s="793"/>
      <c r="X59" s="716"/>
      <c r="Y59" s="745"/>
    </row>
    <row r="60" spans="4:25" s="699" customFormat="1" ht="15">
      <c r="D60" s="749"/>
      <c r="E60" s="749"/>
      <c r="F60" s="749"/>
      <c r="G60" s="749"/>
      <c r="H60" s="749"/>
      <c r="J60" s="746"/>
      <c r="K60" s="788"/>
      <c r="L60" s="718"/>
      <c r="M60" s="789"/>
      <c r="N60" s="789"/>
      <c r="O60" s="718"/>
      <c r="P60" s="744"/>
      <c r="Q60" s="715"/>
      <c r="R60" s="715"/>
      <c r="S60" s="716"/>
      <c r="T60" s="716"/>
      <c r="U60" s="793"/>
      <c r="V60" s="794"/>
      <c r="W60" s="793"/>
      <c r="X60" s="716"/>
      <c r="Y60" s="745"/>
    </row>
    <row r="61" spans="4:25" s="699" customFormat="1" ht="15">
      <c r="D61" s="749"/>
      <c r="E61" s="749"/>
      <c r="F61" s="749"/>
      <c r="G61" s="749"/>
      <c r="H61" s="749"/>
      <c r="J61" s="746"/>
      <c r="K61" s="788"/>
      <c r="L61" s="718"/>
      <c r="M61" s="789"/>
      <c r="N61" s="789"/>
      <c r="O61" s="718"/>
      <c r="P61" s="744"/>
      <c r="Q61" s="715"/>
      <c r="R61" s="715"/>
      <c r="S61" s="716"/>
      <c r="T61" s="716"/>
      <c r="U61" s="793"/>
      <c r="V61" s="794"/>
      <c r="W61" s="793"/>
      <c r="X61" s="716"/>
      <c r="Y61" s="745"/>
    </row>
    <row r="62" spans="4:25" s="699" customFormat="1" ht="15">
      <c r="D62" s="749"/>
      <c r="E62" s="749"/>
      <c r="F62" s="749"/>
      <c r="G62" s="749"/>
      <c r="H62" s="749"/>
      <c r="J62" s="693"/>
      <c r="K62" s="788"/>
      <c r="L62" s="718"/>
      <c r="M62" s="789"/>
      <c r="N62" s="789"/>
      <c r="O62" s="718"/>
      <c r="P62" s="744"/>
      <c r="Q62" s="715"/>
      <c r="R62" s="715"/>
      <c r="S62" s="716"/>
      <c r="T62" s="716"/>
      <c r="U62" s="793"/>
      <c r="V62" s="794"/>
      <c r="W62" s="793"/>
      <c r="X62" s="716"/>
      <c r="Y62" s="745"/>
    </row>
    <row r="63" spans="4:25" s="699" customFormat="1" ht="15">
      <c r="D63" s="749"/>
      <c r="E63" s="749"/>
      <c r="F63" s="749"/>
      <c r="G63" s="749"/>
      <c r="H63" s="749"/>
      <c r="J63" s="693"/>
      <c r="K63" s="788"/>
      <c r="L63" s="718"/>
      <c r="M63" s="789"/>
      <c r="N63" s="789"/>
      <c r="O63" s="718"/>
      <c r="P63" s="744"/>
      <c r="Q63" s="715"/>
      <c r="R63" s="715"/>
      <c r="S63" s="716"/>
      <c r="T63" s="716"/>
      <c r="U63" s="793"/>
      <c r="V63" s="794"/>
      <c r="W63" s="793"/>
      <c r="X63" s="716"/>
      <c r="Y63" s="745"/>
    </row>
    <row r="64" spans="4:25" s="699" customFormat="1" ht="15">
      <c r="D64" s="749"/>
      <c r="E64" s="749"/>
      <c r="F64" s="749"/>
      <c r="G64" s="749"/>
      <c r="H64" s="749"/>
      <c r="J64" s="693"/>
      <c r="K64" s="788"/>
      <c r="L64" s="718"/>
      <c r="M64" s="789"/>
      <c r="N64" s="789"/>
      <c r="O64" s="718"/>
      <c r="P64" s="744"/>
      <c r="Q64" s="715"/>
      <c r="R64" s="715"/>
      <c r="S64" s="716"/>
      <c r="T64" s="716"/>
      <c r="U64" s="793"/>
      <c r="V64" s="794"/>
      <c r="W64" s="793"/>
      <c r="X64" s="716"/>
      <c r="Y64" s="745"/>
    </row>
    <row r="65" spans="4:25" s="699" customFormat="1" ht="15">
      <c r="D65" s="749"/>
      <c r="E65" s="749"/>
      <c r="F65" s="749"/>
      <c r="G65" s="749"/>
      <c r="H65" s="749"/>
      <c r="J65" s="693"/>
      <c r="K65" s="788"/>
      <c r="L65" s="718"/>
      <c r="M65" s="789"/>
      <c r="N65" s="789"/>
      <c r="O65" s="718"/>
      <c r="P65" s="744"/>
      <c r="Q65" s="715"/>
      <c r="R65" s="715"/>
      <c r="S65" s="716"/>
      <c r="T65" s="716"/>
      <c r="U65" s="793"/>
      <c r="V65" s="794"/>
      <c r="W65" s="793"/>
      <c r="X65" s="716"/>
      <c r="Y65" s="745"/>
    </row>
    <row r="66" spans="4:25" ht="14.25">
      <c r="P66" s="748">
        <f>W_F+L1_F+L2_F+L3_F+L4_F</f>
        <v>0</v>
      </c>
    </row>
    <row r="67" spans="4:25" ht="14.25">
      <c r="T67" s="749"/>
      <c r="U67" s="750"/>
      <c r="V67" s="750"/>
      <c r="W67" s="750"/>
      <c r="X67" s="749"/>
      <c r="Y67" s="750"/>
    </row>
    <row r="68" spans="4:25" ht="14.25">
      <c r="T68" s="751"/>
      <c r="U68" s="749"/>
      <c r="V68" s="749"/>
      <c r="W68" s="752"/>
      <c r="X68" s="751"/>
      <c r="Y68" s="752"/>
    </row>
    <row r="69" spans="4:25" ht="14.25">
      <c r="S69" s="753"/>
      <c r="T69" s="751"/>
      <c r="U69" s="749"/>
      <c r="V69" s="749"/>
      <c r="W69" s="752"/>
      <c r="X69" s="751"/>
      <c r="Y69" s="752"/>
    </row>
    <row r="70" spans="4:25" ht="16.5">
      <c r="P70" s="1629"/>
      <c r="Q70" s="1629"/>
      <c r="R70" s="1629"/>
      <c r="S70" s="754"/>
      <c r="T70" s="706"/>
      <c r="U70" s="706"/>
      <c r="V70" s="706"/>
      <c r="W70" s="706"/>
      <c r="X70" s="706"/>
      <c r="Y70" s="706"/>
    </row>
    <row r="71" spans="4:25" ht="16.5">
      <c r="K71" s="755"/>
      <c r="L71" s="755"/>
      <c r="M71" s="756"/>
      <c r="N71" s="757"/>
      <c r="O71" s="757"/>
      <c r="P71" s="754"/>
      <c r="Q71" s="754"/>
      <c r="R71" s="754"/>
      <c r="S71" s="754"/>
      <c r="T71" s="758"/>
      <c r="U71" s="754"/>
      <c r="V71" s="755"/>
      <c r="W71" s="755"/>
      <c r="X71" s="755"/>
      <c r="Y71" s="755"/>
    </row>
    <row r="72" spans="4:25" ht="16.5">
      <c r="K72" s="755"/>
      <c r="L72" s="755"/>
      <c r="M72" s="759"/>
      <c r="N72" s="755"/>
      <c r="O72" s="755"/>
      <c r="P72" s="82"/>
      <c r="Q72" s="754"/>
      <c r="R72" s="754"/>
      <c r="S72" s="755"/>
      <c r="T72" s="755"/>
      <c r="U72" s="754"/>
      <c r="V72" s="754"/>
      <c r="W72" s="754"/>
      <c r="X72" s="755"/>
      <c r="Y72" s="755"/>
    </row>
    <row r="73" spans="4:25" ht="16.5">
      <c r="L73" s="755"/>
      <c r="N73" s="747"/>
      <c r="O73" s="760"/>
      <c r="P73" s="761"/>
      <c r="Q73" s="762"/>
      <c r="R73" s="706"/>
      <c r="S73" s="751"/>
      <c r="T73" s="751"/>
      <c r="U73" s="763"/>
      <c r="V73" s="763"/>
      <c r="W73" s="752"/>
      <c r="X73" s="751"/>
      <c r="Y73" s="752"/>
    </row>
    <row r="74" spans="4:25" ht="16.5">
      <c r="L74" s="755"/>
      <c r="N74" s="747"/>
      <c r="O74" s="760"/>
      <c r="P74" s="762"/>
      <c r="Q74" s="764"/>
      <c r="R74" s="706"/>
      <c r="S74" s="764"/>
      <c r="T74" s="706"/>
      <c r="U74" s="763"/>
      <c r="V74" s="763"/>
      <c r="W74" s="752"/>
      <c r="X74" s="764"/>
      <c r="Y74" s="752"/>
    </row>
    <row r="75" spans="4:25" ht="16.5">
      <c r="L75" s="755"/>
      <c r="N75" s="747"/>
      <c r="O75" s="760"/>
      <c r="P75" s="761"/>
      <c r="Q75" s="762"/>
      <c r="R75" s="706"/>
      <c r="S75" s="751"/>
      <c r="T75" s="751"/>
      <c r="U75" s="763"/>
      <c r="V75" s="763"/>
      <c r="W75" s="752"/>
      <c r="X75" s="751"/>
      <c r="Y75" s="752"/>
    </row>
    <row r="76" spans="4:25" ht="16.5">
      <c r="L76" s="755"/>
      <c r="N76" s="747"/>
      <c r="O76" s="760"/>
      <c r="P76" s="762"/>
      <c r="Q76" s="764"/>
      <c r="R76" s="706"/>
      <c r="S76" s="764"/>
      <c r="T76" s="751"/>
      <c r="U76" s="765"/>
      <c r="V76" s="763"/>
      <c r="W76" s="752"/>
      <c r="X76" s="751"/>
      <c r="Y76" s="752"/>
    </row>
    <row r="77" spans="4:25" ht="16.5">
      <c r="L77" s="755"/>
      <c r="N77" s="747"/>
      <c r="O77" s="760"/>
      <c r="P77" s="766"/>
      <c r="Q77" s="767"/>
      <c r="R77" s="768"/>
      <c r="S77" s="764"/>
      <c r="T77" s="706"/>
      <c r="U77" s="765"/>
      <c r="V77" s="763"/>
      <c r="W77" s="752"/>
      <c r="X77" s="752"/>
      <c r="Y77" s="752"/>
    </row>
    <row r="78" spans="4:25" ht="16.5">
      <c r="L78" s="755"/>
      <c r="N78" s="747"/>
      <c r="O78" s="760"/>
      <c r="P78" s="761"/>
      <c r="Q78" s="764"/>
      <c r="R78" s="706"/>
      <c r="S78" s="764"/>
      <c r="T78" s="751"/>
      <c r="U78" s="763"/>
      <c r="V78" s="763"/>
      <c r="W78" s="752"/>
      <c r="X78" s="751"/>
      <c r="Y78" s="752"/>
    </row>
    <row r="79" spans="4:25" ht="16.5">
      <c r="L79" s="755"/>
      <c r="N79" s="747"/>
      <c r="O79" s="760"/>
      <c r="P79" s="761"/>
      <c r="Q79" s="706"/>
      <c r="R79" s="706"/>
      <c r="S79" s="751"/>
      <c r="T79" s="751"/>
      <c r="U79" s="763"/>
      <c r="V79" s="763"/>
      <c r="W79" s="752"/>
      <c r="X79" s="751"/>
      <c r="Y79" s="706"/>
    </row>
    <row r="80" spans="4:25" ht="16.5">
      <c r="L80" s="755"/>
      <c r="N80" s="747"/>
      <c r="O80" s="760"/>
      <c r="P80" s="761"/>
      <c r="Q80" s="706"/>
      <c r="R80" s="706"/>
      <c r="S80" s="751"/>
      <c r="T80" s="751"/>
      <c r="U80" s="763"/>
      <c r="V80" s="763"/>
      <c r="W80" s="752"/>
      <c r="X80" s="751"/>
      <c r="Y80" s="706"/>
    </row>
    <row r="81" spans="12:25" ht="16.5">
      <c r="L81" s="755"/>
      <c r="N81" s="747"/>
      <c r="O81" s="760"/>
      <c r="P81" s="761"/>
      <c r="Q81" s="706"/>
      <c r="R81" s="706"/>
      <c r="S81" s="751"/>
      <c r="T81" s="751"/>
      <c r="U81" s="763"/>
      <c r="V81" s="763"/>
      <c r="W81" s="752"/>
      <c r="X81" s="751"/>
      <c r="Y81" s="752"/>
    </row>
    <row r="82" spans="12:25" ht="16.5">
      <c r="L82" s="755"/>
      <c r="N82" s="747"/>
      <c r="O82" s="760"/>
      <c r="P82" s="782"/>
      <c r="Q82" s="699"/>
      <c r="R82" s="699"/>
      <c r="S82" s="751"/>
      <c r="T82" s="751"/>
      <c r="U82" s="763"/>
      <c r="V82" s="763"/>
      <c r="W82" s="752"/>
      <c r="X82" s="751"/>
      <c r="Y82" s="752"/>
    </row>
    <row r="83" spans="12:25" ht="16.5">
      <c r="L83" s="755"/>
      <c r="N83" s="747"/>
      <c r="O83" s="760"/>
      <c r="P83" s="761"/>
      <c r="Q83" s="706"/>
      <c r="R83" s="706"/>
      <c r="S83" s="751"/>
      <c r="T83" s="751"/>
      <c r="U83" s="763"/>
      <c r="V83" s="763"/>
      <c r="W83" s="752"/>
      <c r="X83" s="751"/>
      <c r="Y83" s="752"/>
    </row>
    <row r="84" spans="12:25" ht="16.5">
      <c r="L84" s="755"/>
      <c r="N84" s="747"/>
      <c r="O84" s="760"/>
      <c r="P84" s="782"/>
      <c r="Q84" s="699"/>
      <c r="R84" s="699"/>
      <c r="S84" s="751"/>
      <c r="T84" s="751"/>
      <c r="U84" s="763"/>
      <c r="V84" s="763"/>
      <c r="W84" s="752"/>
      <c r="X84" s="751"/>
      <c r="Y84" s="752"/>
    </row>
    <row r="85" spans="12:25" ht="16.5">
      <c r="L85" s="755"/>
      <c r="N85" s="747"/>
      <c r="O85" s="760"/>
      <c r="P85" s="782"/>
      <c r="Q85" s="699"/>
      <c r="R85" s="699"/>
      <c r="X85" s="749"/>
      <c r="Y85" s="750"/>
    </row>
    <row r="86" spans="12:25" ht="16.5">
      <c r="L86" s="755"/>
      <c r="N86" s="747"/>
      <c r="O86" s="760"/>
      <c r="P86" s="761"/>
      <c r="Q86" s="706"/>
      <c r="R86" s="706"/>
      <c r="S86" s="751"/>
      <c r="T86" s="751"/>
      <c r="U86" s="763"/>
      <c r="V86" s="763"/>
      <c r="W86" s="752"/>
      <c r="X86" s="751"/>
      <c r="Y86" s="752"/>
    </row>
    <row r="87" spans="12:25" ht="16.5">
      <c r="L87" s="755"/>
      <c r="N87" s="747"/>
      <c r="O87" s="760"/>
      <c r="P87" s="782"/>
      <c r="Q87" s="699"/>
      <c r="R87" s="757"/>
      <c r="S87" s="751"/>
      <c r="T87" s="751"/>
      <c r="U87" s="763"/>
      <c r="V87" s="752"/>
      <c r="W87" s="752"/>
      <c r="X87" s="751"/>
      <c r="Y87" s="752"/>
    </row>
    <row r="88" spans="12:25" ht="16.5">
      <c r="L88" s="755"/>
      <c r="N88" s="747"/>
      <c r="O88" s="760"/>
      <c r="P88" s="782"/>
      <c r="Q88" s="699"/>
      <c r="R88" s="699"/>
      <c r="S88" s="764"/>
      <c r="T88" s="751"/>
      <c r="U88" s="763"/>
      <c r="V88" s="752"/>
      <c r="W88" s="752"/>
      <c r="X88" s="751"/>
      <c r="Y88" s="752"/>
    </row>
    <row r="89" spans="12:25" ht="16.5">
      <c r="L89" s="755"/>
      <c r="N89" s="747"/>
      <c r="O89" s="760"/>
      <c r="P89" s="782"/>
      <c r="Q89" s="699"/>
      <c r="R89" s="699"/>
      <c r="S89" s="751"/>
      <c r="T89" s="751"/>
      <c r="U89" s="763"/>
      <c r="V89" s="752"/>
      <c r="W89" s="752"/>
      <c r="X89" s="751"/>
      <c r="Y89" s="752"/>
    </row>
    <row r="90" spans="12:25" ht="16.5">
      <c r="L90" s="755"/>
      <c r="N90" s="747"/>
      <c r="O90" s="760"/>
      <c r="P90" s="782"/>
      <c r="Q90" s="699"/>
      <c r="R90" s="699"/>
      <c r="S90" s="751"/>
      <c r="T90" s="751"/>
      <c r="U90" s="763"/>
      <c r="V90" s="752"/>
      <c r="W90" s="752"/>
      <c r="X90" s="751"/>
      <c r="Y90" s="752"/>
    </row>
    <row r="91" spans="12:25" ht="14.25">
      <c r="L91" s="749"/>
      <c r="N91" s="747"/>
      <c r="O91" s="760"/>
      <c r="P91" s="782"/>
      <c r="Q91" s="699"/>
      <c r="R91" s="699"/>
      <c r="S91" s="751"/>
      <c r="T91" s="751"/>
      <c r="U91" s="763"/>
      <c r="V91" s="752"/>
      <c r="W91" s="752"/>
      <c r="X91" s="751"/>
      <c r="Y91" s="752"/>
    </row>
  </sheetData>
  <mergeCells count="7">
    <mergeCell ref="P70:R70"/>
    <mergeCell ref="D6:E6"/>
    <mergeCell ref="F6:G6"/>
    <mergeCell ref="H6:I6"/>
    <mergeCell ref="J8:J21"/>
    <mergeCell ref="J22:J26"/>
    <mergeCell ref="J29:J33"/>
  </mergeCells>
  <phoneticPr fontId="13" type="noConversion"/>
  <pageMargins left="0.7" right="0.7" top="0.75" bottom="0.75" header="0.3" footer="0.3"/>
  <pageSetup paperSize="9" scale="30" fitToHeight="0" orientation="landscape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pageSetUpPr fitToPage="1"/>
  </sheetPr>
  <dimension ref="A2:CK124"/>
  <sheetViews>
    <sheetView view="pageBreakPreview" topLeftCell="A8" zoomScale="70" zoomScaleNormal="91" zoomScaleSheetLayoutView="70" workbookViewId="0">
      <selection activeCell="S33" sqref="S33"/>
    </sheetView>
  </sheetViews>
  <sheetFormatPr defaultRowHeight="20.25"/>
  <cols>
    <col min="1" max="1" width="22.25" style="10" bestFit="1" customWidth="1"/>
    <col min="2" max="2" width="16.75" style="10" customWidth="1"/>
    <col min="3" max="3" width="6.875" style="10" bestFit="1" customWidth="1"/>
    <col min="4" max="4" width="23.875" style="12" customWidth="1"/>
    <col min="5" max="5" width="12.25" style="14" customWidth="1"/>
    <col min="7" max="7" width="14.875" bestFit="1" customWidth="1"/>
    <col min="8" max="8" width="16" style="1" customWidth="1"/>
    <col min="9" max="9" width="7.625" style="1" bestFit="1" customWidth="1"/>
    <col min="10" max="10" width="13.75" style="2" customWidth="1"/>
    <col min="11" max="11" width="9.625" style="2" customWidth="1"/>
    <col min="12" max="13" width="6.875" customWidth="1"/>
    <col min="14" max="14" width="8.875" customWidth="1"/>
    <col min="15" max="15" width="6.875" customWidth="1"/>
    <col min="16" max="16" width="7.375" customWidth="1"/>
    <col min="17" max="17" width="6.875" customWidth="1"/>
    <col min="18" max="18" width="8.875" customWidth="1"/>
    <col min="19" max="19" width="8.625" customWidth="1"/>
    <col min="20" max="20" width="7.125" customWidth="1"/>
    <col min="21" max="21" width="9" customWidth="1"/>
    <col min="22" max="22" width="9.125" customWidth="1"/>
    <col min="23" max="23" width="6" customWidth="1"/>
    <col min="24" max="24" width="7.125" customWidth="1"/>
    <col min="25" max="25" width="7" customWidth="1"/>
    <col min="26" max="26" width="9.125" customWidth="1"/>
    <col min="27" max="27" width="6.875" customWidth="1"/>
    <col min="28" max="28" width="7.125" customWidth="1"/>
    <col min="29" max="29" width="7" customWidth="1"/>
    <col min="59" max="59" width="13.75" customWidth="1"/>
    <col min="82" max="82" width="8.75" customWidth="1"/>
  </cols>
  <sheetData>
    <row r="2" spans="1:57">
      <c r="E2" s="15"/>
    </row>
    <row r="3" spans="1:57">
      <c r="D3" s="11"/>
      <c r="E3" s="15"/>
    </row>
    <row r="4" spans="1:57">
      <c r="D4" s="16"/>
      <c r="E4" s="17"/>
    </row>
    <row r="5" spans="1:57" ht="43.5" customHeight="1">
      <c r="B5" s="12" t="s">
        <v>318</v>
      </c>
      <c r="D5" s="19" t="s">
        <v>8</v>
      </c>
      <c r="E5" s="17"/>
      <c r="F5" s="124"/>
      <c r="G5" s="125"/>
      <c r="H5" s="1636" t="s">
        <v>316</v>
      </c>
      <c r="I5" s="1636"/>
      <c r="J5" s="1636"/>
      <c r="K5" s="1636"/>
      <c r="L5" s="1636"/>
      <c r="M5" s="1636"/>
      <c r="N5" s="1636"/>
      <c r="O5" s="1636"/>
      <c r="P5" s="1636"/>
      <c r="Q5" s="1636"/>
      <c r="R5" s="1636"/>
      <c r="S5" s="1636"/>
      <c r="T5" s="1636"/>
      <c r="U5" s="1636"/>
      <c r="V5" s="1636"/>
      <c r="W5" s="1636"/>
      <c r="X5" s="1636"/>
      <c r="Y5" s="1636"/>
      <c r="Z5" s="1636"/>
      <c r="AA5" s="1636"/>
      <c r="AB5" s="1636"/>
      <c r="AC5" s="1636"/>
      <c r="AD5">
        <f>LOOKUP(H_O,AG11:AG19,AH11:AH19)</f>
        <v>3</v>
      </c>
    </row>
    <row r="6" spans="1:57" ht="26.25" thickBot="1">
      <c r="A6" s="20"/>
      <c r="B6" s="21">
        <f>BASIC_TOOL!B23</f>
        <v>1</v>
      </c>
      <c r="C6" s="20"/>
      <c r="D6" s="1635" t="s">
        <v>181</v>
      </c>
      <c r="E6" s="1635"/>
      <c r="H6" s="4" t="str">
        <f>"▣ Size : "&amp;W_O&amp;" x ("&amp;L1_O&amp;"+"&amp;L2_O&amp;"+"&amp;L3_O&amp;"+"&amp;L4_O&amp;") x"&amp;H_O&amp;"mH ="&amp;BASIC_TOOL!H11&amp;" [TON]/ 1[SET]"&amp;"         "</f>
        <v xml:space="preserve">▣ Size : 10 x (5+0+0+0) x3mH =150 [TON]/ 1[SET]         </v>
      </c>
      <c r="I6" s="5"/>
      <c r="J6" s="3"/>
      <c r="K6" s="6"/>
      <c r="L6" s="6"/>
      <c r="M6" s="6"/>
      <c r="N6" s="7"/>
      <c r="O6" s="8"/>
      <c r="P6" s="8"/>
      <c r="Q6" s="8"/>
      <c r="R6" s="9"/>
      <c r="S6" s="9"/>
      <c r="T6" s="9"/>
      <c r="U6" s="9"/>
      <c r="V6" s="9">
        <f>(L3_O)*1000</f>
        <v>0</v>
      </c>
      <c r="W6" s="9"/>
      <c r="X6" s="9"/>
      <c r="Y6" s="9"/>
      <c r="Z6" s="8"/>
      <c r="AA6" s="8"/>
      <c r="AB6" s="8"/>
      <c r="AC6" s="8"/>
      <c r="AG6" s="1641" t="s">
        <v>429</v>
      </c>
      <c r="AH6" s="1641"/>
      <c r="AI6" s="1641"/>
      <c r="AJ6" s="1641"/>
      <c r="AK6" s="1641"/>
      <c r="AL6" s="1640"/>
      <c r="AM6" s="556"/>
      <c r="AN6" s="251"/>
      <c r="AO6" s="251"/>
      <c r="AP6" s="251"/>
    </row>
    <row r="7" spans="1:57" ht="39" customHeight="1">
      <c r="A7" s="255"/>
      <c r="B7" s="255" t="str">
        <f>IF(BASIC_TOOL!$B$23=1,D7,0)</f>
        <v>Part Name</v>
      </c>
      <c r="C7" s="123" t="str">
        <f>IF(BASIC_TOOL!$B$23=1,E7,0)</f>
        <v>Q'ty</v>
      </c>
      <c r="D7" s="559" t="s">
        <v>176</v>
      </c>
      <c r="E7" s="560" t="s">
        <v>317</v>
      </c>
      <c r="H7" s="1638" t="s">
        <v>176</v>
      </c>
      <c r="I7" s="1639" t="s">
        <v>168</v>
      </c>
      <c r="J7" s="1637" t="s">
        <v>311</v>
      </c>
      <c r="K7" s="1637"/>
      <c r="L7" s="1106" t="s">
        <v>168</v>
      </c>
      <c r="M7" s="1106" t="s">
        <v>191</v>
      </c>
      <c r="N7" s="1637" t="s">
        <v>312</v>
      </c>
      <c r="O7" s="1637"/>
      <c r="P7" s="1106" t="s">
        <v>168</v>
      </c>
      <c r="Q7" s="1106" t="s">
        <v>191</v>
      </c>
      <c r="R7" s="1637" t="s">
        <v>313</v>
      </c>
      <c r="S7" s="1637"/>
      <c r="T7" s="1106" t="s">
        <v>168</v>
      </c>
      <c r="U7" s="1106" t="s">
        <v>191</v>
      </c>
      <c r="V7" s="1637" t="s">
        <v>314</v>
      </c>
      <c r="W7" s="1637"/>
      <c r="X7" s="1106" t="s">
        <v>168</v>
      </c>
      <c r="Y7" s="1106" t="s">
        <v>191</v>
      </c>
      <c r="Z7" s="1637" t="s">
        <v>315</v>
      </c>
      <c r="AA7" s="1637"/>
      <c r="AB7" s="1106" t="s">
        <v>168</v>
      </c>
      <c r="AC7" s="1106" t="s">
        <v>191</v>
      </c>
      <c r="AG7" s="1642"/>
      <c r="AH7" s="267" t="s">
        <v>431</v>
      </c>
      <c r="AI7" s="389"/>
      <c r="AJ7" s="389"/>
      <c r="AN7" s="1644"/>
      <c r="AO7" s="1644"/>
      <c r="AP7" s="1644"/>
    </row>
    <row r="8" spans="1:57" ht="21.75" customHeight="1">
      <c r="A8" s="123" t="str">
        <f>IF(B8="","",(VLOOKUP(B:B,'0.39'!B:F,5,FALSE)))</f>
        <v xml:space="preserve">SS316 Tie-Rod </v>
      </c>
      <c r="B8" s="123" t="str">
        <f>IF(BASIC_TOOL!$B$23=1,D8,0)</f>
        <v>TR-12M1880SA4</v>
      </c>
      <c r="C8" s="123">
        <f>IF(BASIC_TOOL!$B$23=1,E8,0)</f>
        <v>12</v>
      </c>
      <c r="D8" s="561" t="str">
        <f t="array" ref="D8">IF(ISERROR(INDEX($H$8:$H$36,SMALL(IF($I$8:$I$36&lt;&gt;0,ROW($I$8:$I$36)-7),ROW(D1)))),"",INDEX($H$8:$H$36,SMALL(IF($I$8:$I$36&lt;&gt;0,ROW($I$8:$I$36)-7),ROW(D1))))</f>
        <v>TR-12M1880SA4</v>
      </c>
      <c r="E8" s="562">
        <f t="array" ref="E8">IF(ISERROR(INDEX($I$8:$I$36,SMALL(IF($I$8:$I$36&lt;&gt;0,ROW($I$8:$I$36)-7),ROW(E1)))),"",INDEX($I$8:$I$36,SMALL(IF($I$8:$I$36&lt;&gt;0,ROW($I$8:$I$36)-7),ROW(E1))))</f>
        <v>12</v>
      </c>
      <c r="H8" s="1638"/>
      <c r="I8" s="1639"/>
      <c r="J8" s="1638">
        <f>(W_O)*1000-120</f>
        <v>9880</v>
      </c>
      <c r="K8" s="1638"/>
      <c r="L8" s="1107">
        <f>LOOKUP(H_O,AG11:AG19,AH11:AH19)*((L1_C+L1_F-1)+IF(L2_O&gt;1,(L2_C+L2_F-1),0)+IF(L3_O&gt;1,(L3_C+L3_F-1),0)+IF(L4_O&gt;1,(L4_C+L4_F-1),0))+IF(H_O&gt;2,(H_F+H_C-2)*N_PA,0)</f>
        <v>12</v>
      </c>
      <c r="M8" s="1106"/>
      <c r="N8" s="1638">
        <f>(L1_O)*1000-120</f>
        <v>4880</v>
      </c>
      <c r="O8" s="1638"/>
      <c r="P8" s="1106">
        <f>LOOKUP(H_O,AG11:AG19,AH11:AH19)*(W_C+W_F-1)</f>
        <v>27</v>
      </c>
      <c r="Q8" s="1106"/>
      <c r="R8" s="1638">
        <f>(L2_O)*1000-120</f>
        <v>-120</v>
      </c>
      <c r="S8" s="1638"/>
      <c r="T8" s="1106">
        <f>IF(R8&gt;0,LOOKUP(H_O,AG11:AG19,AH11:AH19)*(W_C+W_F-1),0)</f>
        <v>0</v>
      </c>
      <c r="U8" s="1106"/>
      <c r="V8" s="1638">
        <f>(L3_O)*1000-120</f>
        <v>-120</v>
      </c>
      <c r="W8" s="1638"/>
      <c r="X8" s="1106">
        <f>IF(V8&gt;0,LOOKUP(H_O,AG11:AG19,AH11:AH19)*(W_C+W_F-1),0)</f>
        <v>0</v>
      </c>
      <c r="Y8" s="1106"/>
      <c r="Z8" s="1638">
        <f>(L4_O)*1000-120</f>
        <v>-120</v>
      </c>
      <c r="AA8" s="1638"/>
      <c r="AB8" s="1106">
        <f>IF(Z8&gt;0,LOOKUP(H_O,AG11:AG19,AH11:AH19)*(W_C+W_F-1),0)</f>
        <v>0</v>
      </c>
      <c r="AC8" s="1106"/>
      <c r="AG8" s="1643"/>
      <c r="AH8" s="262" t="s">
        <v>430</v>
      </c>
      <c r="AI8" s="261"/>
      <c r="AJ8" s="261"/>
      <c r="AN8" s="258"/>
      <c r="AO8" s="258"/>
      <c r="AP8" s="258"/>
    </row>
    <row r="9" spans="1:57" ht="21.75" customHeight="1">
      <c r="A9" s="123" t="str">
        <f>IF(B9="","",(VLOOKUP(B:B,'0.39'!B:F,5,FALSE)))</f>
        <v xml:space="preserve">SS316 Tie-Rod </v>
      </c>
      <c r="B9" s="123" t="str">
        <f>IF(BASIC_TOOL!$B$23=1,D9,0)</f>
        <v>TR-12M4000SA4</v>
      </c>
      <c r="C9" s="123">
        <f>IF(BASIC_TOOL!$B$23=1,E9,0)</f>
        <v>24</v>
      </c>
      <c r="D9" s="561" t="str">
        <f t="array" ref="D9">IF(ISERROR(INDEX($H$8:$H$36,SMALL(IF($I$8:$I$36&lt;&gt;0,ROW($I$8:$I$36)-7),ROW(D2)))),"",INDEX($H$8:$H$36,SMALL(IF($I$8:$I$36&lt;&gt;0,ROW($I$8:$I$36)-7),ROW(D2))))</f>
        <v>TR-12M4000SA4</v>
      </c>
      <c r="E9" s="562">
        <f t="array" ref="E9">IF(ISERROR(INDEX($I$8:$I$36,SMALL(IF($I$8:$I$36&lt;&gt;0,ROW($I$8:$I$36)-7),ROW(E2)))),"",INDEX($I$8:$I$36,SMALL(IF($I$8:$I$36&lt;&gt;0,ROW($I$8:$I$36)-7),ROW(E2))))</f>
        <v>24</v>
      </c>
      <c r="F9" s="558"/>
      <c r="H9" s="1101" t="str">
        <f>IF(BASIC_TOOL!$E$23=2,"TR-12M0280SA2","TR-12M0280SA4")</f>
        <v>TR-12M0280SA4</v>
      </c>
      <c r="I9" s="1102">
        <f t="shared" ref="I9:I36" si="0">Q9+M9+U9+Y9+AC9</f>
        <v>0</v>
      </c>
      <c r="J9" s="1108">
        <v>280</v>
      </c>
      <c r="K9" s="1109">
        <f>IFERROR(VLOOKUP(W_O,$AG$24:$BF$123,COLUMN(AH24)-COLUMN($AG$24)+1,0),0)</f>
        <v>0</v>
      </c>
      <c r="L9" s="1109">
        <f>IF(K9&lt;&gt;0,$L$8,0)</f>
        <v>0</v>
      </c>
      <c r="M9" s="1103">
        <f>K9*L9</f>
        <v>0</v>
      </c>
      <c r="N9" s="1108">
        <v>280</v>
      </c>
      <c r="O9" s="1109">
        <f>IFERROR(VLOOKUP(L1_O,$AG$24:$BF$123,COLUMN(AH24)-COLUMN($AG$24)+1,0),0)</f>
        <v>0</v>
      </c>
      <c r="P9" s="1109">
        <f>IF(O9&lt;&gt;0,$P$8,0)</f>
        <v>0</v>
      </c>
      <c r="Q9" s="1103">
        <f>O9*P9</f>
        <v>0</v>
      </c>
      <c r="R9" s="1108">
        <v>280</v>
      </c>
      <c r="S9" s="1109">
        <f>IFERROR(VLOOKUP(L2_O,$BJ$24:$CI$123,COLUMN(BK24)-COLUMN($BJ$24)+1,0),0)</f>
        <v>0</v>
      </c>
      <c r="T9" s="1109">
        <f t="shared" ref="T9:T33" si="1">IF(S9&lt;&gt;0,$T$8,0)</f>
        <v>0</v>
      </c>
      <c r="U9" s="1103">
        <f t="shared" ref="U9:U33" si="2">S9*T9</f>
        <v>0</v>
      </c>
      <c r="V9" s="1108">
        <v>280</v>
      </c>
      <c r="W9" s="1109">
        <f>IFERROR(VLOOKUP(L3_O,$BJ$24:$CI$123,COLUMN(BK24)-COLUMN($BJ$24)+1,0),0)</f>
        <v>0</v>
      </c>
      <c r="X9" s="1109">
        <f t="shared" ref="X9:X33" si="3">IF(W9&lt;&gt;0,$X$8,0)</f>
        <v>0</v>
      </c>
      <c r="Y9" s="1103">
        <f t="shared" ref="Y9:Y27" si="4">W9*X9</f>
        <v>0</v>
      </c>
      <c r="Z9" s="1108">
        <v>280</v>
      </c>
      <c r="AA9" s="1106">
        <f>IFERROR(VLOOKUP(L4_O,$BJ$24:$CI$123,COLUMN(BK24)-COLUMN($BJ$24)+1,0),0)</f>
        <v>0</v>
      </c>
      <c r="AB9" s="1109">
        <f>IF(AA9&lt;&gt;0,$AB$8,0)</f>
        <v>0</v>
      </c>
      <c r="AC9" s="1103">
        <f t="shared" ref="AC9:AC27" si="5">AA9*AB9</f>
        <v>0</v>
      </c>
      <c r="AG9" s="386"/>
      <c r="AH9" s="394"/>
      <c r="AI9" s="261"/>
      <c r="AJ9" s="261"/>
      <c r="AN9" s="258"/>
      <c r="AO9" s="258"/>
      <c r="AP9" s="258"/>
    </row>
    <row r="10" spans="1:57" ht="21.75" customHeight="1">
      <c r="A10" s="123" t="str">
        <f>IF(B10="","",(VLOOKUP(B:B,'0.39'!B:F,5,FALSE)))</f>
        <v xml:space="preserve">SS316 Tie-Rod </v>
      </c>
      <c r="B10" s="123" t="str">
        <f>IF(BASIC_TOOL!$B$23=1,D10,0)</f>
        <v>TR-12M4880SA4</v>
      </c>
      <c r="C10" s="123">
        <f>IF(BASIC_TOOL!$B$23=1,E10,0)</f>
        <v>27</v>
      </c>
      <c r="D10" s="561" t="str">
        <f t="array" ref="D10">IF(ISERROR(INDEX($H$8:$H$36,SMALL(IF($I$8:$I$36&lt;&gt;0,ROW($I$8:$I$36)-7),ROW(D3)))),"",INDEX($H$8:$H$36,SMALL(IF($I$8:$I$36&lt;&gt;0,ROW($I$8:$I$36)-7),ROW(D3))))</f>
        <v>TR-12M4880SA4</v>
      </c>
      <c r="E10" s="562">
        <f t="array" ref="E10">IF(ISERROR(INDEX($I$8:$I$36,SMALL(IF($I$8:$I$36&lt;&gt;0,ROW($I$8:$I$36)-7),ROW(E3)))),"",INDEX($I$8:$I$36,SMALL(IF($I$8:$I$36&lt;&gt;0,ROW($I$8:$I$36)-7),ROW(E3))))</f>
        <v>27</v>
      </c>
      <c r="F10" s="558"/>
      <c r="H10" s="1101" t="str">
        <f>IF(BASIC_TOOL!$E$23=2,"TR-12M0380SA2","TR-12M0380SA4")</f>
        <v>TR-12M0380SA4</v>
      </c>
      <c r="I10" s="1102">
        <f t="shared" si="0"/>
        <v>0</v>
      </c>
      <c r="J10" s="1108">
        <v>380</v>
      </c>
      <c r="K10" s="1109">
        <f>IFERROR(VLOOKUP(W_O,$AG$24:$BF$123,COLUMN(AI24)-COLUMN($AG$24)+1,0),0)</f>
        <v>0</v>
      </c>
      <c r="L10" s="1109">
        <f>IF(K10&lt;&gt;0,$L$8,0)</f>
        <v>0</v>
      </c>
      <c r="M10" s="1103">
        <f>K10*L10</f>
        <v>0</v>
      </c>
      <c r="N10" s="1108">
        <v>380</v>
      </c>
      <c r="O10" s="1109">
        <f>IFERROR(VLOOKUP(L1_O,$AG$24:$BF$123,COLUMN(AI24)-COLUMN($AG$24)+1,0),0)</f>
        <v>0</v>
      </c>
      <c r="P10" s="1109">
        <f>IF(O10&lt;&gt;0,$P$8,0)</f>
        <v>0</v>
      </c>
      <c r="Q10" s="1103">
        <f t="shared" ref="Q10:Q28" si="6">O10*P10</f>
        <v>0</v>
      </c>
      <c r="R10" s="1108">
        <v>380</v>
      </c>
      <c r="S10" s="1109">
        <f>IFERROR(VLOOKUP(L2_O,$BJ$24:$CI$123,COLUMN(BL24)-COLUMN($BJ$24)+1,0),0)</f>
        <v>0</v>
      </c>
      <c r="T10" s="1109">
        <f t="shared" si="1"/>
        <v>0</v>
      </c>
      <c r="U10" s="1103">
        <f t="shared" si="2"/>
        <v>0</v>
      </c>
      <c r="V10" s="1108">
        <v>380</v>
      </c>
      <c r="W10" s="1109">
        <f>IFERROR(VLOOKUP(L3_O,$BJ$24:$CI$123,COLUMN(BL24)-COLUMN($BJ$24)+1,0),0)</f>
        <v>0</v>
      </c>
      <c r="X10" s="1109">
        <f t="shared" si="3"/>
        <v>0</v>
      </c>
      <c r="Y10" s="1103">
        <f t="shared" si="4"/>
        <v>0</v>
      </c>
      <c r="Z10" s="1108">
        <v>380</v>
      </c>
      <c r="AA10" s="1106">
        <f>IFERROR(VLOOKUP(L4_O,$BJ$24:$CI$123,COLUMN(BL24)-COLUMN($BJ$24)+1,0),0)</f>
        <v>0</v>
      </c>
      <c r="AB10" s="1109">
        <f>IF(AA10&lt;&gt;0,$AB$8,0)</f>
        <v>0</v>
      </c>
      <c r="AC10" s="1103">
        <f t="shared" si="5"/>
        <v>0</v>
      </c>
      <c r="AG10" s="386"/>
      <c r="AH10" s="394"/>
      <c r="AI10" s="261"/>
      <c r="AJ10" s="261"/>
      <c r="AN10" s="258"/>
      <c r="AO10" s="258"/>
      <c r="AP10" s="258"/>
    </row>
    <row r="11" spans="1:57" ht="21.75" customHeight="1">
      <c r="A11" s="123" t="str">
        <f>IF(B11="","",(VLOOKUP(B:B,'0.39'!B:F,5,FALSE)))</f>
        <v>SS316 T/Rod Nut</v>
      </c>
      <c r="B11" s="123" t="str">
        <f>IF(BASIC_TOOL!$B$23=1,D11,0)</f>
        <v>M12 NUT(SA4)</v>
      </c>
      <c r="C11" s="123">
        <f>IF(BASIC_TOOL!$B$23=1,E11,0)</f>
        <v>156</v>
      </c>
      <c r="D11" s="561" t="str">
        <f t="array" ref="D11">IF(ISERROR(INDEX($H$8:$H$36,SMALL(IF($I$8:$I$36&lt;&gt;0,ROW($I$8:$I$36)-7),ROW(D4)))),"",INDEX($H$8:$H$36,SMALL(IF($I$8:$I$36&lt;&gt;0,ROW($I$8:$I$36)-7),ROW(D4))))</f>
        <v>M12 NUT(SA4)</v>
      </c>
      <c r="E11" s="562">
        <f t="array" ref="E11">IF(ISERROR(INDEX($I$8:$I$36,SMALL(IF($I$8:$I$36&lt;&gt;0,ROW($I$8:$I$36)-7),ROW(E4)))),"",INDEX($I$8:$I$36,SMALL(IF($I$8:$I$36&lt;&gt;0,ROW($I$8:$I$36)-7),ROW(E4))))</f>
        <v>156</v>
      </c>
      <c r="F11" s="558"/>
      <c r="H11" s="1101" t="str">
        <f>IF(BASIC_TOOL!$E$23=2,"TR-12M0780SA2","TR-12M0780SA4")</f>
        <v>TR-12M0780SA4</v>
      </c>
      <c r="I11" s="1102">
        <f t="shared" si="0"/>
        <v>0</v>
      </c>
      <c r="J11" s="1108">
        <v>780</v>
      </c>
      <c r="K11" s="1109">
        <f>IFERROR(VLOOKUP(W_O,$AG$24:$BF$123,COLUMN(AJ24)-COLUMN($AG$24)+1,0),0)</f>
        <v>0</v>
      </c>
      <c r="L11" s="1109">
        <f>IF(K11&lt;&gt;0,$L$8,0)</f>
        <v>0</v>
      </c>
      <c r="M11" s="1103">
        <f>K11*L11</f>
        <v>0</v>
      </c>
      <c r="N11" s="1108">
        <v>780</v>
      </c>
      <c r="O11" s="1109">
        <f>IFERROR(VLOOKUP(L1_O,$AG$24:$BF$123,COLUMN(AJ24)-COLUMN($AG$24)+1,0),0)</f>
        <v>0</v>
      </c>
      <c r="P11" s="1109">
        <f>IF(O11&lt;&gt;0,$P$8,0)</f>
        <v>0</v>
      </c>
      <c r="Q11" s="1103">
        <f t="shared" si="6"/>
        <v>0</v>
      </c>
      <c r="R11" s="1108">
        <v>780</v>
      </c>
      <c r="S11" s="1109">
        <f>IFERROR(VLOOKUP(L2_O,$BJ$24:$CI$123,COLUMN(BM24)-COLUMN($BJ$24)+1,0),0)</f>
        <v>0</v>
      </c>
      <c r="T11" s="1109">
        <f t="shared" si="1"/>
        <v>0</v>
      </c>
      <c r="U11" s="1103">
        <f t="shared" si="2"/>
        <v>0</v>
      </c>
      <c r="V11" s="1108">
        <v>780</v>
      </c>
      <c r="W11" s="1109">
        <f>IFERROR(VLOOKUP(L3_O,$BJ$24:$CI$123,COLUMN(BM24)-COLUMN($BJ$24)+1,0),0)</f>
        <v>0</v>
      </c>
      <c r="X11" s="1109">
        <f t="shared" si="3"/>
        <v>0</v>
      </c>
      <c r="Y11" s="1103">
        <f t="shared" si="4"/>
        <v>0</v>
      </c>
      <c r="Z11" s="1108">
        <v>780</v>
      </c>
      <c r="AA11" s="1109">
        <f>IFERROR(VLOOKUP(L4_O,$BJ$24:$CI$123,COLUMN(BM24)-COLUMN($BJ$24)+1,0),0)</f>
        <v>0</v>
      </c>
      <c r="AB11" s="1109">
        <f>IF(AA11&lt;&gt;0,$AB$8,0)</f>
        <v>0</v>
      </c>
      <c r="AC11" s="1103">
        <f t="shared" si="5"/>
        <v>0</v>
      </c>
      <c r="AG11" s="263">
        <v>1</v>
      </c>
      <c r="AH11" s="264">
        <v>0</v>
      </c>
      <c r="AI11" s="390"/>
      <c r="AJ11" s="390"/>
      <c r="AN11" s="259"/>
      <c r="AO11" s="259"/>
      <c r="AP11" s="260"/>
    </row>
    <row r="12" spans="1:57" ht="21.75" customHeight="1">
      <c r="A12" s="123" t="str">
        <f>IF(B12="","",(VLOOKUP(B:B,'0.39'!B:F,5,FALSE)))</f>
        <v xml:space="preserve">SS316 T/Rod Washer </v>
      </c>
      <c r="B12" s="123" t="str">
        <f>IF(BASIC_TOOL!$B$23=1,D12,0)</f>
        <v>M12 BW(SA4)</v>
      </c>
      <c r="C12" s="123">
        <f>IF(BASIC_TOOL!$B$23=1,E12,0)</f>
        <v>156</v>
      </c>
      <c r="D12" s="561" t="str">
        <f t="array" ref="D12">IF(ISERROR(INDEX($H$8:$H$36,SMALL(IF($I$8:$I$36&lt;&gt;0,ROW($I$8:$I$36)-7),ROW(D5)))),"",INDEX($H$8:$H$36,SMALL(IF($I$8:$I$36&lt;&gt;0,ROW($I$8:$I$36)-7),ROW(D5))))</f>
        <v>M12 BW(SA4)</v>
      </c>
      <c r="E12" s="562">
        <f t="array" ref="E12">IF(ISERROR(INDEX($I$8:$I$36,SMALL(IF($I$8:$I$36&lt;&gt;0,ROW($I$8:$I$36)-7),ROW(E5)))),"",INDEX($I$8:$I$36,SMALL(IF($I$8:$I$36&lt;&gt;0,ROW($I$8:$I$36)-7),ROW(E5))))</f>
        <v>156</v>
      </c>
      <c r="F12" s="558"/>
      <c r="H12" s="1101" t="str">
        <f>IF(BASIC_TOOL!$E$23=2,"TR-12M0880SA2","TR-12M0880SA4")</f>
        <v>TR-12M0880SA4</v>
      </c>
      <c r="I12" s="1102">
        <f t="shared" si="0"/>
        <v>0</v>
      </c>
      <c r="J12" s="1108">
        <v>880</v>
      </c>
      <c r="K12" s="1109">
        <f>IFERROR(VLOOKUP(W_O,$AG$24:$BF$123,COLUMN(AK24)-COLUMN($AG$24)+1,0),0)</f>
        <v>0</v>
      </c>
      <c r="L12" s="1109">
        <f>IF(K12&lt;&gt;0,$L$8,0)</f>
        <v>0</v>
      </c>
      <c r="M12" s="1103">
        <f>K12*L12</f>
        <v>0</v>
      </c>
      <c r="N12" s="1108">
        <v>880</v>
      </c>
      <c r="O12" s="1109">
        <f>IFERROR(VLOOKUP(L1_O,$AG$24:$BF$123,COLUMN(AK24)-COLUMN($AG$24)+1,0),0)</f>
        <v>0</v>
      </c>
      <c r="P12" s="1109">
        <f>IF(O12&lt;&gt;0,$P$8,0)</f>
        <v>0</v>
      </c>
      <c r="Q12" s="1103">
        <f t="shared" si="6"/>
        <v>0</v>
      </c>
      <c r="R12" s="1108">
        <v>880</v>
      </c>
      <c r="S12" s="1109">
        <f>IFERROR(VLOOKUP(L2_O,$BJ$24:$CI$123,COLUMN(BN24)-COLUMN($BJ$24)+1,0),0)</f>
        <v>0</v>
      </c>
      <c r="T12" s="1109">
        <f t="shared" si="1"/>
        <v>0</v>
      </c>
      <c r="U12" s="1103">
        <f t="shared" si="2"/>
        <v>0</v>
      </c>
      <c r="V12" s="1108">
        <v>880</v>
      </c>
      <c r="W12" s="1109">
        <f>IFERROR(VLOOKUP(L3_O,$BJ$24:$CI$123,COLUMN(BN24)-COLUMN($BJ$24)+1,0),0)</f>
        <v>0</v>
      </c>
      <c r="X12" s="1109">
        <f t="shared" si="3"/>
        <v>0</v>
      </c>
      <c r="Y12" s="1103">
        <f t="shared" si="4"/>
        <v>0</v>
      </c>
      <c r="Z12" s="1108">
        <v>880</v>
      </c>
      <c r="AA12" s="1109">
        <f>IFERROR(VLOOKUP(L4_O,$BJ$24:$CI$123,COLUMN(BN24)-COLUMN($BJ$24)+1,0),0)</f>
        <v>0</v>
      </c>
      <c r="AB12" s="1109">
        <f>IF(AA12&lt;&gt;0,$AB$8,0)</f>
        <v>0</v>
      </c>
      <c r="AC12" s="1103">
        <f t="shared" si="5"/>
        <v>0</v>
      </c>
      <c r="AG12" s="263">
        <v>1.5</v>
      </c>
      <c r="AH12" s="264">
        <v>1</v>
      </c>
      <c r="AI12" s="390"/>
      <c r="AJ12" s="390"/>
      <c r="AN12" s="259"/>
      <c r="AO12" s="259"/>
      <c r="AP12" s="260"/>
    </row>
    <row r="13" spans="1:57" ht="21.75" customHeight="1">
      <c r="A13" s="123" t="str">
        <f>IF(B13="","",(VLOOKUP(B:B,'0.39'!B:F,5,FALSE)))</f>
        <v>STS316 Tie-Rod Connector</v>
      </c>
      <c r="B13" s="123" t="str">
        <f>IF(BASIC_TOOL!$B$23=1,D13,0)</f>
        <v>TC-12M60SA4</v>
      </c>
      <c r="C13" s="123">
        <f>IF(BASIC_TOOL!$B$23=1,E13,0)</f>
        <v>24</v>
      </c>
      <c r="D13" s="561" t="str">
        <f t="array" ref="D13">IF(ISERROR(INDEX($H$8:$H$36,SMALL(IF($I$8:$I$36&lt;&gt;0,ROW($I$8:$I$36)-7),ROW(D6)))),"",INDEX($H$8:$H$36,SMALL(IF($I$8:$I$36&lt;&gt;0,ROW($I$8:$I$36)-7),ROW(D6))))</f>
        <v>TC-12M60SA4</v>
      </c>
      <c r="E13" s="562">
        <f t="array" ref="E13">IF(ISERROR(INDEX($I$8:$I$36,SMALL(IF($I$8:$I$36&lt;&gt;0,ROW($I$8:$I$36)-7),ROW(E6)))),"",INDEX($I$8:$I$36,SMALL(IF($I$8:$I$36&lt;&gt;0,ROW($I$8:$I$36)-7),ROW(E6))))</f>
        <v>24</v>
      </c>
      <c r="F13" s="558"/>
      <c r="H13" s="1101" t="str">
        <f>IF(BASIC_TOOL!$E$23=2,"TR-12M1000SA2","TR-12M1000SA4")</f>
        <v>TR-12M1000SA4</v>
      </c>
      <c r="I13" s="1102">
        <f t="shared" si="0"/>
        <v>0</v>
      </c>
      <c r="J13" s="1108">
        <v>1000</v>
      </c>
      <c r="K13" s="1109">
        <f>IFERROR(VLOOKUP(W_O,$AG$24:$BF$123,COLUMN(AL24)-COLUMN($AG$24)+1,0),0)</f>
        <v>0</v>
      </c>
      <c r="L13" s="1109">
        <f t="shared" ref="L13:L27" si="7">IF(K13&lt;&gt;0,$L$8,0)</f>
        <v>0</v>
      </c>
      <c r="M13" s="1103">
        <f t="shared" ref="M13:M27" si="8">K13*L13</f>
        <v>0</v>
      </c>
      <c r="N13" s="1108">
        <v>1000</v>
      </c>
      <c r="O13" s="1109">
        <f>IFERROR(VLOOKUP(L1_O,$AG$24:$BF$123,COLUMN(AL24)-COLUMN($AG$24)+1,0),0)</f>
        <v>0</v>
      </c>
      <c r="P13" s="1109">
        <f t="shared" ref="P13:P27" si="9">IF(O13&lt;&gt;0,$P$8,0)</f>
        <v>0</v>
      </c>
      <c r="Q13" s="1103">
        <f t="shared" si="6"/>
        <v>0</v>
      </c>
      <c r="R13" s="1108">
        <v>1000</v>
      </c>
      <c r="S13" s="1109">
        <f>IFERROR(VLOOKUP(L2_O,$BJ$24:$CI$123,COLUMN(BO24)-COLUMN($BJ$24)+1,0),0)</f>
        <v>0</v>
      </c>
      <c r="T13" s="1109">
        <f t="shared" si="1"/>
        <v>0</v>
      </c>
      <c r="U13" s="1103">
        <f t="shared" si="2"/>
        <v>0</v>
      </c>
      <c r="V13" s="1108">
        <v>1000</v>
      </c>
      <c r="W13" s="1109">
        <f>IFERROR(VLOOKUP(L3_O,$BJ$24:$CI$123,COLUMN(BO24)-COLUMN($BJ$24)+1,0),0)</f>
        <v>0</v>
      </c>
      <c r="X13" s="1109">
        <f t="shared" si="3"/>
        <v>0</v>
      </c>
      <c r="Y13" s="1103">
        <f t="shared" si="4"/>
        <v>0</v>
      </c>
      <c r="Z13" s="1108">
        <v>1000</v>
      </c>
      <c r="AA13" s="1109">
        <f>IFERROR(VLOOKUP(L4_O,$BJ$24:$CI$123,COLUMN(BO24)-COLUMN($BJ$24)+1,0),0)</f>
        <v>0</v>
      </c>
      <c r="AB13" s="1109">
        <f t="shared" ref="AB13:AB27" si="10">IF(AA13&lt;&gt;0,$AB$8,0)</f>
        <v>0</v>
      </c>
      <c r="AC13" s="1103">
        <f t="shared" si="5"/>
        <v>0</v>
      </c>
      <c r="AG13" s="263">
        <v>2</v>
      </c>
      <c r="AH13" s="264">
        <v>1</v>
      </c>
      <c r="AI13" s="390"/>
      <c r="AJ13" s="390"/>
      <c r="AN13" s="259"/>
      <c r="AO13" s="259"/>
      <c r="AP13" s="260"/>
    </row>
    <row r="14" spans="1:57" ht="18.75" customHeight="1">
      <c r="A14" s="123" t="str">
        <f>IF(B14="","",(VLOOKUP(B:B,'0.39'!B:F,5,FALSE)))</f>
        <v/>
      </c>
      <c r="B14" s="123" t="str">
        <f>IF(BASIC_TOOL!$B$23=1,D14,0)</f>
        <v/>
      </c>
      <c r="C14" s="123" t="str">
        <f>IF(BASIC_TOOL!$B$23=1,E14,0)</f>
        <v/>
      </c>
      <c r="D14" s="561" t="str">
        <f t="array" ref="D14">IF(ISERROR(INDEX($H$8:$H$36,SMALL(IF($I$8:$I$36&lt;&gt;0,ROW($I$8:$I$36)-7),ROW(D7)))),"",INDEX($H$8:$H$36,SMALL(IF($I$8:$I$36&lt;&gt;0,ROW($I$8:$I$36)-7),ROW(D7))))</f>
        <v/>
      </c>
      <c r="E14" s="562" t="str">
        <f t="array" ref="E14">IF(ISERROR(INDEX($I$8:$I$36,SMALL(IF($I$8:$I$36&lt;&gt;0,ROW($I$8:$I$36)-7),ROW(E7)))),"",INDEX($I$8:$I$36,SMALL(IF($I$8:$I$36&lt;&gt;0,ROW($I$8:$I$36)-7),ROW(E7))))</f>
        <v/>
      </c>
      <c r="F14" s="558"/>
      <c r="H14" s="1101" t="str">
        <f>IF(BASIC_TOOL!$E$23=2,"TR-12M1280SA2","TR-12M1280SA4")</f>
        <v>TR-12M1280SA4</v>
      </c>
      <c r="I14" s="1102">
        <f t="shared" si="0"/>
        <v>0</v>
      </c>
      <c r="J14" s="1108">
        <v>1280</v>
      </c>
      <c r="K14" s="1109">
        <f>IFERROR(VLOOKUP(W_O,$AG$24:$BF$123,COLUMN(AM24)-COLUMN($AG$24)+1,0),0)</f>
        <v>0</v>
      </c>
      <c r="L14" s="1109">
        <f t="shared" si="7"/>
        <v>0</v>
      </c>
      <c r="M14" s="1103">
        <f t="shared" si="8"/>
        <v>0</v>
      </c>
      <c r="N14" s="1108">
        <v>1280</v>
      </c>
      <c r="O14" s="1109">
        <f>IFERROR(VLOOKUP(L1_O,$AG$24:$BF$123,COLUMN(AM24)-COLUMN($AG$24)+1,0),0)</f>
        <v>0</v>
      </c>
      <c r="P14" s="1109">
        <f t="shared" si="9"/>
        <v>0</v>
      </c>
      <c r="Q14" s="1103">
        <f t="shared" si="6"/>
        <v>0</v>
      </c>
      <c r="R14" s="1108">
        <v>1280</v>
      </c>
      <c r="S14" s="1109">
        <f>IFERROR(VLOOKUP(L2_O,$BJ$24:$CI$123,COLUMN(BP24)-COLUMN($BJ$24)+1,0),0)</f>
        <v>0</v>
      </c>
      <c r="T14" s="1109">
        <f t="shared" si="1"/>
        <v>0</v>
      </c>
      <c r="U14" s="1103">
        <f t="shared" si="2"/>
        <v>0</v>
      </c>
      <c r="V14" s="1108">
        <v>1280</v>
      </c>
      <c r="W14" s="1109">
        <f>IFERROR(VLOOKUP(L3_O,$BJ$24:$CI$123,COLUMN(BP24)-COLUMN($BJ$24)+1,0),0)</f>
        <v>0</v>
      </c>
      <c r="X14" s="1109">
        <f t="shared" si="3"/>
        <v>0</v>
      </c>
      <c r="Y14" s="1103">
        <f t="shared" si="4"/>
        <v>0</v>
      </c>
      <c r="Z14" s="1108">
        <v>1280</v>
      </c>
      <c r="AA14" s="1109">
        <f>IFERROR(VLOOKUP(L4_O,$BJ$24:$CI$123,COLUMN(BP24)-COLUMN($BJ$24)+1,0),0)</f>
        <v>0</v>
      </c>
      <c r="AB14" s="1109">
        <f t="shared" si="10"/>
        <v>0</v>
      </c>
      <c r="AC14" s="1103">
        <f t="shared" si="5"/>
        <v>0</v>
      </c>
      <c r="AG14" s="263">
        <v>2.5</v>
      </c>
      <c r="AH14" s="264">
        <v>2</v>
      </c>
      <c r="AI14" s="390"/>
      <c r="AJ14" s="390"/>
      <c r="AN14" s="259"/>
      <c r="AO14" s="259"/>
      <c r="AP14" s="260"/>
    </row>
    <row r="15" spans="1:57" ht="18.75" customHeight="1">
      <c r="A15" s="123" t="str">
        <f>IF(B15="","",(VLOOKUP(B:B,'0.39'!B:F,5,FALSE)))</f>
        <v/>
      </c>
      <c r="B15" s="123" t="str">
        <f>IF(BASIC_TOOL!$B$23=1,D15,0)</f>
        <v/>
      </c>
      <c r="C15" s="123" t="str">
        <f>IF(BASIC_TOOL!$B$23=1,E15,0)</f>
        <v/>
      </c>
      <c r="D15" s="561" t="str">
        <f t="array" ref="D15">IF(ISERROR(INDEX($H$8:$H$36,SMALL(IF($I$8:$I$36&lt;&gt;0,ROW($I$8:$I$36)-7),ROW(D8)))),"",INDEX($H$8:$H$36,SMALL(IF($I$8:$I$36&lt;&gt;0,ROW($I$8:$I$36)-7),ROW(D8))))</f>
        <v/>
      </c>
      <c r="E15" s="562" t="str">
        <f t="array" ref="E15">IF(ISERROR(INDEX($I$8:$I$36,SMALL(IF($I$8:$I$36&lt;&gt;0,ROW($I$8:$I$36)-7),ROW(E8)))),"",INDEX($I$8:$I$36,SMALL(IF($I$8:$I$36&lt;&gt;0,ROW($I$8:$I$36)-7),ROW(E8))))</f>
        <v/>
      </c>
      <c r="F15" s="558"/>
      <c r="H15" s="1101" t="str">
        <f>IF(BASIC_TOOL!$E$23=2,"TR-12M1380SA2","TR-12M1380SA4")</f>
        <v>TR-12M1380SA4</v>
      </c>
      <c r="I15" s="1102">
        <f t="shared" si="0"/>
        <v>0</v>
      </c>
      <c r="J15" s="1108">
        <v>1380</v>
      </c>
      <c r="K15" s="1109">
        <f>IFERROR(VLOOKUP(W_O,$AG$24:$BF$123,COLUMN(AN24)-COLUMN($AG$24)+1,0),0)</f>
        <v>0</v>
      </c>
      <c r="L15" s="1109">
        <f t="shared" si="7"/>
        <v>0</v>
      </c>
      <c r="M15" s="1103">
        <f t="shared" si="8"/>
        <v>0</v>
      </c>
      <c r="N15" s="1108">
        <v>1380</v>
      </c>
      <c r="O15" s="1109">
        <f>IFERROR(VLOOKUP(L1_O,$AG$24:$BF$123,COLUMN(AN24)-COLUMN($AG$24)+1,0),0)</f>
        <v>0</v>
      </c>
      <c r="P15" s="1109">
        <f t="shared" si="9"/>
        <v>0</v>
      </c>
      <c r="Q15" s="1103">
        <f t="shared" si="6"/>
        <v>0</v>
      </c>
      <c r="R15" s="1108">
        <v>1380</v>
      </c>
      <c r="S15" s="1109">
        <f>IFERROR(VLOOKUP(L2_O,$BJ$24:$CI$123,COLUMN(BQ24)-COLUMN($BJ$24)+1,0),0)</f>
        <v>0</v>
      </c>
      <c r="T15" s="1109">
        <f t="shared" si="1"/>
        <v>0</v>
      </c>
      <c r="U15" s="1103">
        <f t="shared" si="2"/>
        <v>0</v>
      </c>
      <c r="V15" s="1108">
        <v>1380</v>
      </c>
      <c r="W15" s="1109">
        <f>IFERROR(VLOOKUP(L3_O,$BJ$24:$CI$123,COLUMN(BQ24)-COLUMN($BJ$24)+1,0),0)</f>
        <v>0</v>
      </c>
      <c r="X15" s="1109">
        <f t="shared" si="3"/>
        <v>0</v>
      </c>
      <c r="Y15" s="1103">
        <f t="shared" si="4"/>
        <v>0</v>
      </c>
      <c r="Z15" s="1108">
        <v>1380</v>
      </c>
      <c r="AA15" s="1109">
        <f>IFERROR(VLOOKUP(L4_O,$BJ$24:$CI$123,COLUMN(BQ24)-COLUMN($BJ$24)+1,0),0)</f>
        <v>0</v>
      </c>
      <c r="AB15" s="1109">
        <f t="shared" si="10"/>
        <v>0</v>
      </c>
      <c r="AC15" s="1103">
        <f t="shared" si="5"/>
        <v>0</v>
      </c>
      <c r="AG15" s="263">
        <v>3</v>
      </c>
      <c r="AH15" s="264">
        <f>2+BASIC_TOOL!H23</f>
        <v>3</v>
      </c>
      <c r="AI15" s="390"/>
      <c r="AJ15" s="390"/>
      <c r="AN15" s="259"/>
      <c r="AO15" s="259"/>
      <c r="AP15" s="260"/>
      <c r="BE15">
        <f>3750+215*2</f>
        <v>4180</v>
      </c>
    </row>
    <row r="16" spans="1:57" ht="18.75" customHeight="1">
      <c r="A16" s="123" t="str">
        <f>IF(B16="","",(VLOOKUP(B:B,'0.39'!B:F,5,FALSE)))</f>
        <v/>
      </c>
      <c r="B16" s="123" t="str">
        <f>IF(BASIC_TOOL!$B$23=1,D16,0)</f>
        <v/>
      </c>
      <c r="C16" s="123" t="str">
        <f>IF(BASIC_TOOL!$B$23=1,E16,0)</f>
        <v/>
      </c>
      <c r="D16" s="561" t="str">
        <f t="array" ref="D16">IF(ISERROR(INDEX($H$8:$H$36,SMALL(IF($I$8:$I$36&lt;&gt;0,ROW($I$8:$I$36)-7),ROW(D9)))),"",INDEX($H$8:$H$36,SMALL(IF($I$8:$I$36&lt;&gt;0,ROW($I$8:$I$36)-7),ROW(D9))))</f>
        <v/>
      </c>
      <c r="E16" s="562" t="str">
        <f t="array" ref="E16">IF(ISERROR(INDEX($I$8:$I$36,SMALL(IF($I$8:$I$36&lt;&gt;0,ROW($I$8:$I$36)-7),ROW(E9)))),"",INDEX($I$8:$I$36,SMALL(IF($I$8:$I$36&lt;&gt;0,ROW($I$8:$I$36)-7),ROW(E9))))</f>
        <v/>
      </c>
      <c r="F16" s="558"/>
      <c r="H16" s="1101" t="str">
        <f>IF(BASIC_TOOL!$E$23=2,"TR-12M1780SA2","TR-12M1780SA4")</f>
        <v>TR-12M1780SA4</v>
      </c>
      <c r="I16" s="1102">
        <f t="shared" si="0"/>
        <v>0</v>
      </c>
      <c r="J16" s="1108">
        <v>1780</v>
      </c>
      <c r="K16" s="1109">
        <f>IFERROR(VLOOKUP(W_O,$AG$24:$BF$123,COLUMN(AO24)-COLUMN($AG$24)+1,0),0)</f>
        <v>0</v>
      </c>
      <c r="L16" s="1109">
        <f t="shared" si="7"/>
        <v>0</v>
      </c>
      <c r="M16" s="1103">
        <f t="shared" si="8"/>
        <v>0</v>
      </c>
      <c r="N16" s="1108">
        <v>1780</v>
      </c>
      <c r="O16" s="1109">
        <f>IFERROR(VLOOKUP(L1_O,$AG$24:$BF$123,COLUMN(AO24)-COLUMN($AG$24)+1,0),0)</f>
        <v>0</v>
      </c>
      <c r="P16" s="1109">
        <f t="shared" si="9"/>
        <v>0</v>
      </c>
      <c r="Q16" s="1103">
        <f t="shared" si="6"/>
        <v>0</v>
      </c>
      <c r="R16" s="1108">
        <v>1780</v>
      </c>
      <c r="S16" s="1109">
        <f>IFERROR(VLOOKUP(L2_O,$BJ$24:$CI$123,COLUMN(BR24)-COLUMN($BJ$24)+1,0),0)</f>
        <v>0</v>
      </c>
      <c r="T16" s="1109">
        <f t="shared" si="1"/>
        <v>0</v>
      </c>
      <c r="U16" s="1103">
        <f t="shared" si="2"/>
        <v>0</v>
      </c>
      <c r="V16" s="1108">
        <v>1780</v>
      </c>
      <c r="W16" s="1109">
        <f>IFERROR(VLOOKUP(L3_O,$BJ$24:$CI$123,COLUMN(BR24)-COLUMN($BJ$24)+1,0),0)</f>
        <v>0</v>
      </c>
      <c r="X16" s="1109">
        <f t="shared" si="3"/>
        <v>0</v>
      </c>
      <c r="Y16" s="1103">
        <f t="shared" si="4"/>
        <v>0</v>
      </c>
      <c r="Z16" s="1108">
        <v>1780</v>
      </c>
      <c r="AA16" s="1109">
        <f>IFERROR(VLOOKUP(L4_O,$BJ$24:$CI$123,COLUMN(BR24)-COLUMN($BJ$24)+1,0),0)</f>
        <v>0</v>
      </c>
      <c r="AB16" s="1109">
        <f t="shared" si="10"/>
        <v>0</v>
      </c>
      <c r="AC16" s="1103">
        <f t="shared" si="5"/>
        <v>0</v>
      </c>
      <c r="AG16" s="263">
        <v>3.5</v>
      </c>
      <c r="AH16" s="264">
        <v>4</v>
      </c>
      <c r="AI16" s="390"/>
      <c r="AJ16" s="390"/>
      <c r="AN16" s="259"/>
      <c r="AO16" s="259"/>
      <c r="AP16" s="260"/>
    </row>
    <row r="17" spans="1:89" ht="18.600000000000001" customHeight="1">
      <c r="A17" s="123" t="str">
        <f>IF(B17="","",(VLOOKUP(B:B,'0.39'!B:F,5,FALSE)))</f>
        <v/>
      </c>
      <c r="B17" s="123" t="str">
        <f>IF(BASIC_TOOL!$B$23=1,D17,0)</f>
        <v/>
      </c>
      <c r="C17" s="123" t="str">
        <f>IF(BASIC_TOOL!$B$23=1,E17,0)</f>
        <v/>
      </c>
      <c r="D17" s="561" t="str">
        <f t="array" ref="D17">IF(ISERROR(INDEX($H$8:$H$36,SMALL(IF($I$8:$I$36&lt;&gt;0,ROW($I$8:$I$36)-7),ROW(D10)))),"",INDEX($H$8:$H$36,SMALL(IF($I$8:$I$36&lt;&gt;0,ROW($I$8:$I$36)-7),ROW(D10))))</f>
        <v/>
      </c>
      <c r="E17" s="562" t="str">
        <f t="array" ref="E17">IF(ISERROR(INDEX($I$8:$I$36,SMALL(IF($I$8:$I$36&lt;&gt;0,ROW($I$8:$I$36)-7),ROW(E10)))),"",INDEX($I$8:$I$36,SMALL(IF($I$8:$I$36&lt;&gt;0,ROW($I$8:$I$36)-7),ROW(E10))))</f>
        <v/>
      </c>
      <c r="F17" s="558"/>
      <c r="H17" s="1101" t="str">
        <f>IF(BASIC_TOOL!$E$23=2,"TR-12M1880SA2","TR-12M1880SA4")</f>
        <v>TR-12M1880SA4</v>
      </c>
      <c r="I17" s="1102">
        <f t="shared" si="0"/>
        <v>12</v>
      </c>
      <c r="J17" s="1108">
        <v>1880</v>
      </c>
      <c r="K17" s="1109">
        <f>IFERROR(VLOOKUP(W_O,$AG$24:$BF$123,COLUMN(AP24)-COLUMN($AG$24)+1,0),0)</f>
        <v>1</v>
      </c>
      <c r="L17" s="1109">
        <f t="shared" si="7"/>
        <v>12</v>
      </c>
      <c r="M17" s="1103">
        <f t="shared" si="8"/>
        <v>12</v>
      </c>
      <c r="N17" s="1108">
        <v>1880</v>
      </c>
      <c r="O17" s="1109">
        <f>IFERROR(VLOOKUP(L1_O,$AG$24:$BF$123,COLUMN(AP24)-COLUMN($AG$24)+1,0),0)</f>
        <v>0</v>
      </c>
      <c r="P17" s="1109">
        <f t="shared" si="9"/>
        <v>0</v>
      </c>
      <c r="Q17" s="1103">
        <f t="shared" si="6"/>
        <v>0</v>
      </c>
      <c r="R17" s="1108">
        <v>1880</v>
      </c>
      <c r="S17" s="1109">
        <f>IFERROR(VLOOKUP(L2_O,$BJ$24:$CI$123,COLUMN(BS24)-COLUMN($BJ$24)+1,0),0)</f>
        <v>0</v>
      </c>
      <c r="T17" s="1109">
        <f t="shared" si="1"/>
        <v>0</v>
      </c>
      <c r="U17" s="1103">
        <f t="shared" si="2"/>
        <v>0</v>
      </c>
      <c r="V17" s="1108">
        <v>1880</v>
      </c>
      <c r="W17" s="1109">
        <f>IFERROR(VLOOKUP(L3_O,$BJ$24:$CI$123,COLUMN(BS24)-COLUMN($BJ$24)+1,0),0)</f>
        <v>0</v>
      </c>
      <c r="X17" s="1109">
        <f t="shared" si="3"/>
        <v>0</v>
      </c>
      <c r="Y17" s="1103">
        <f t="shared" si="4"/>
        <v>0</v>
      </c>
      <c r="Z17" s="1108">
        <v>1880</v>
      </c>
      <c r="AA17" s="1109">
        <f>IFERROR(VLOOKUP(L4_O,$BJ$24:$CI$123,COLUMN(BS24)-COLUMN($BJ$24)+1,0),0)</f>
        <v>0</v>
      </c>
      <c r="AB17" s="1109">
        <f t="shared" si="10"/>
        <v>0</v>
      </c>
      <c r="AC17" s="1103">
        <f t="shared" si="5"/>
        <v>0</v>
      </c>
      <c r="AG17" s="263">
        <v>4</v>
      </c>
      <c r="AH17" s="264">
        <v>5</v>
      </c>
      <c r="AI17" s="390"/>
      <c r="AJ17" s="390"/>
      <c r="AN17" s="259"/>
      <c r="AO17" s="259"/>
      <c r="AP17" s="260"/>
    </row>
    <row r="18" spans="1:89" ht="18.75" customHeight="1">
      <c r="A18" s="123" t="str">
        <f>IF(B18="","",(VLOOKUP(B:B,'0.39'!B:F,5,FALSE)))</f>
        <v/>
      </c>
      <c r="B18" s="123" t="str">
        <f>IF(BASIC_TOOL!$B$23=1,D18,0)</f>
        <v/>
      </c>
      <c r="C18" s="123" t="str">
        <f>IF(BASIC_TOOL!$B$23=1,E18,0)</f>
        <v/>
      </c>
      <c r="D18" s="561" t="str">
        <f t="array" ref="D18">IF(ISERROR(INDEX($H$8:$H$36,SMALL(IF($I$8:$I$36&lt;&gt;0,ROW($I$8:$I$36)-7),ROW(D11)))),"",INDEX($H$8:$H$36,SMALL(IF($I$8:$I$36&lt;&gt;0,ROW($I$8:$I$36)-7),ROW(D11))))</f>
        <v/>
      </c>
      <c r="E18" s="562" t="str">
        <f t="array" ref="E18">IF(ISERROR(INDEX($I$8:$I$36,SMALL(IF($I$8:$I$36&lt;&gt;0,ROW($I$8:$I$36)-7),ROW(E11)))),"",INDEX($I$8:$I$36,SMALL(IF($I$8:$I$36&lt;&gt;0,ROW($I$8:$I$36)-7),ROW(E11))))</f>
        <v/>
      </c>
      <c r="F18" s="558"/>
      <c r="H18" s="1101" t="str">
        <f>IF(BASIC_TOOL!$E$23=2,"TR-12M2000SA2","TR-12M2000SA4")</f>
        <v>TR-12M2000SA4</v>
      </c>
      <c r="I18" s="1102">
        <f t="shared" si="0"/>
        <v>0</v>
      </c>
      <c r="J18" s="1108">
        <v>2000</v>
      </c>
      <c r="K18" s="1109">
        <f>IFERROR(VLOOKUP(W_O,$AG$24:$BF$123,COLUMN(AQ24)-COLUMN($AG$24)+1,0),0)</f>
        <v>0</v>
      </c>
      <c r="L18" s="1109">
        <f t="shared" si="7"/>
        <v>0</v>
      </c>
      <c r="M18" s="1103">
        <f t="shared" si="8"/>
        <v>0</v>
      </c>
      <c r="N18" s="1108">
        <v>2000</v>
      </c>
      <c r="O18" s="1109">
        <f>IFERROR(VLOOKUP(L1_O,$AG$24:$BF$123,COLUMN(AQ24)-COLUMN($AG$24)+1,0),0)</f>
        <v>0</v>
      </c>
      <c r="P18" s="1109">
        <f t="shared" si="9"/>
        <v>0</v>
      </c>
      <c r="Q18" s="1103">
        <f t="shared" si="6"/>
        <v>0</v>
      </c>
      <c r="R18" s="1108">
        <v>2000</v>
      </c>
      <c r="S18" s="1109">
        <f>IFERROR(VLOOKUP(L2_O,$BJ$24:$CI$123,COLUMN(BT24)-COLUMN($BJ$24)+1,0),0)</f>
        <v>0</v>
      </c>
      <c r="T18" s="1109">
        <f t="shared" si="1"/>
        <v>0</v>
      </c>
      <c r="U18" s="1103">
        <f t="shared" si="2"/>
        <v>0</v>
      </c>
      <c r="V18" s="1108">
        <v>2000</v>
      </c>
      <c r="W18" s="1109">
        <f>IFERROR(VLOOKUP(L3_O,$BJ$24:$CI$123,COLUMN(BT24)-COLUMN($BJ$24)+1,0),0)</f>
        <v>0</v>
      </c>
      <c r="X18" s="1109">
        <f t="shared" si="3"/>
        <v>0</v>
      </c>
      <c r="Y18" s="1103">
        <f t="shared" si="4"/>
        <v>0</v>
      </c>
      <c r="Z18" s="1108">
        <v>2000</v>
      </c>
      <c r="AA18" s="1109">
        <f>IFERROR(VLOOKUP(L4_O,$BJ$24:$CI$123,COLUMN(BT24)-COLUMN($BJ$24)+1,0),0)</f>
        <v>0</v>
      </c>
      <c r="AB18" s="1109">
        <f t="shared" si="10"/>
        <v>0</v>
      </c>
      <c r="AC18" s="1103">
        <f t="shared" si="5"/>
        <v>0</v>
      </c>
      <c r="AG18" s="263">
        <v>4.5</v>
      </c>
      <c r="AH18" s="264">
        <v>6</v>
      </c>
      <c r="AI18" s="390"/>
      <c r="AJ18" s="390"/>
      <c r="AN18" s="259"/>
      <c r="AO18" s="259"/>
      <c r="AP18" s="260"/>
    </row>
    <row r="19" spans="1:89" ht="18.75" customHeight="1" thickBot="1">
      <c r="A19" s="123" t="str">
        <f>IF(B19="","",(VLOOKUP(B:B,'0.39'!B:F,5,FALSE)))</f>
        <v/>
      </c>
      <c r="B19" s="123" t="str">
        <f>IF(BASIC_TOOL!$B$23=1,D19,0)</f>
        <v/>
      </c>
      <c r="C19" s="123" t="str">
        <f>IF(BASIC_TOOL!$B$23=1,E19,0)</f>
        <v/>
      </c>
      <c r="D19" s="561" t="str">
        <f t="array" ref="D19">IF(ISERROR(INDEX($H$8:$H$36,SMALL(IF($I$8:$I$36&lt;&gt;0,ROW($I$8:$I$36)-7),ROW(D12)))),"",INDEX($H$8:$H$36,SMALL(IF($I$8:$I$36&lt;&gt;0,ROW($I$8:$I$36)-7),ROW(D12))))</f>
        <v/>
      </c>
      <c r="E19" s="562" t="str">
        <f t="array" ref="E19">IF(ISERROR(INDEX($I$8:$I$36,SMALL(IF($I$8:$I$36&lt;&gt;0,ROW($I$8:$I$36)-7),ROW(E12)))),"",INDEX($I$8:$I$36,SMALL(IF($I$8:$I$36&lt;&gt;0,ROW($I$8:$I$36)-7),ROW(E12))))</f>
        <v/>
      </c>
      <c r="F19" s="558"/>
      <c r="H19" s="1101" t="str">
        <f>IF(BASIC_TOOL!$E$23=2,"TR-12M2280SA2","TR-12M2280SA4")</f>
        <v>TR-12M2280SA4</v>
      </c>
      <c r="I19" s="1102">
        <f t="shared" si="0"/>
        <v>0</v>
      </c>
      <c r="J19" s="1108">
        <v>2280</v>
      </c>
      <c r="K19" s="1109">
        <f>IFERROR(VLOOKUP(W_O,$AG$24:$BF$123,COLUMN(AR24)-COLUMN($AG$24)+1,0),0)</f>
        <v>0</v>
      </c>
      <c r="L19" s="1109">
        <f t="shared" si="7"/>
        <v>0</v>
      </c>
      <c r="M19" s="1103">
        <f t="shared" si="8"/>
        <v>0</v>
      </c>
      <c r="N19" s="1108">
        <v>2280</v>
      </c>
      <c r="O19" s="1109">
        <f>IFERROR(VLOOKUP(L1_O,$AG$24:$BF$123,COLUMN(AR24)-COLUMN($AG$24)+1,0),0)</f>
        <v>0</v>
      </c>
      <c r="P19" s="1109">
        <f t="shared" si="9"/>
        <v>0</v>
      </c>
      <c r="Q19" s="1103">
        <f t="shared" si="6"/>
        <v>0</v>
      </c>
      <c r="R19" s="1108">
        <v>2280</v>
      </c>
      <c r="S19" s="1109">
        <f>IFERROR(VLOOKUP(L2_O,$BJ$24:$CI$123,COLUMN(BU24)-COLUMN($BJ$24)+1,0),0)</f>
        <v>0</v>
      </c>
      <c r="T19" s="1109">
        <f t="shared" si="1"/>
        <v>0</v>
      </c>
      <c r="U19" s="1103">
        <f t="shared" si="2"/>
        <v>0</v>
      </c>
      <c r="V19" s="1108">
        <v>2280</v>
      </c>
      <c r="W19" s="1109">
        <f>IFERROR(VLOOKUP(L3_O,$BJ$24:$CI$123,COLUMN(BU24)-COLUMN($BJ$24)+1,0),0)</f>
        <v>0</v>
      </c>
      <c r="X19" s="1109">
        <f t="shared" si="3"/>
        <v>0</v>
      </c>
      <c r="Y19" s="1103">
        <f t="shared" si="4"/>
        <v>0</v>
      </c>
      <c r="Z19" s="1108">
        <v>2280</v>
      </c>
      <c r="AA19" s="1109">
        <f>IFERROR(VLOOKUP(L4_O,$BJ$24:$CI$123,COLUMN(BU24)-COLUMN($BJ$24)+1,0),0)</f>
        <v>0</v>
      </c>
      <c r="AB19" s="1109">
        <f t="shared" si="10"/>
        <v>0</v>
      </c>
      <c r="AC19" s="1103">
        <f t="shared" si="5"/>
        <v>0</v>
      </c>
      <c r="AG19" s="265">
        <v>5</v>
      </c>
      <c r="AH19" s="266">
        <v>7</v>
      </c>
      <c r="AI19" s="391"/>
      <c r="AJ19" s="391"/>
      <c r="AN19" s="259"/>
      <c r="AO19" s="259"/>
      <c r="AP19" s="260"/>
    </row>
    <row r="20" spans="1:89" ht="18.75" customHeight="1">
      <c r="A20" s="123" t="str">
        <f>IF(B20="","",(VLOOKUP(B:B,'0.39'!B:F,5,FALSE)))</f>
        <v/>
      </c>
      <c r="B20" s="123" t="str">
        <f>IF(BASIC_TOOL!$B$23=1,D20,0)</f>
        <v/>
      </c>
      <c r="C20" s="123" t="str">
        <f>IF(BASIC_TOOL!$B$23=1,E20,0)</f>
        <v/>
      </c>
      <c r="D20" s="561" t="str">
        <f t="array" ref="D20">IF(ISERROR(INDEX($H$8:$H$36,SMALL(IF($I$8:$I$36&lt;&gt;0,ROW($I$8:$I$36)-7),ROW(D13)))),"",INDEX($H$8:$H$36,SMALL(IF($I$8:$I$36&lt;&gt;0,ROW($I$8:$I$36)-7),ROW(D13))))</f>
        <v/>
      </c>
      <c r="E20" s="562" t="str">
        <f t="array" ref="E20">IF(ISERROR(INDEX($I$8:$I$36,SMALL(IF($I$8:$I$36&lt;&gt;0,ROW($I$8:$I$36)-7),ROW(E13)))),"",INDEX($I$8:$I$36,SMALL(IF($I$8:$I$36&lt;&gt;0,ROW($I$8:$I$36)-7),ROW(E13))))</f>
        <v/>
      </c>
      <c r="F20" s="558"/>
      <c r="H20" s="1101" t="str">
        <f>IF(BASIC_TOOL!$E$23=2,"TR-12M2380SA2","TR-12M2380SA4")</f>
        <v>TR-12M2380SA4</v>
      </c>
      <c r="I20" s="1102">
        <f t="shared" si="0"/>
        <v>0</v>
      </c>
      <c r="J20" s="1108">
        <v>2380</v>
      </c>
      <c r="K20" s="1109">
        <f>IFERROR(VLOOKUP(W_O,$AG$24:$BF$123,COLUMN(AS24)-COLUMN($AG$24)+1,0),0)</f>
        <v>0</v>
      </c>
      <c r="L20" s="1109">
        <f t="shared" si="7"/>
        <v>0</v>
      </c>
      <c r="M20" s="1103">
        <f t="shared" si="8"/>
        <v>0</v>
      </c>
      <c r="N20" s="1108">
        <v>2380</v>
      </c>
      <c r="O20" s="1109">
        <f>IFERROR(VLOOKUP(L1_O,$AG$24:$BF$123,COLUMN(AS24)-COLUMN($AG$24)+1,0),0)</f>
        <v>0</v>
      </c>
      <c r="P20" s="1109">
        <f t="shared" si="9"/>
        <v>0</v>
      </c>
      <c r="Q20" s="1103">
        <f t="shared" si="6"/>
        <v>0</v>
      </c>
      <c r="R20" s="1108">
        <v>2380</v>
      </c>
      <c r="S20" s="1109">
        <f>IFERROR(VLOOKUP(L2_O,$BJ$24:$CI$123,COLUMN(BV24)-COLUMN($BJ$24)+1,0),0)</f>
        <v>0</v>
      </c>
      <c r="T20" s="1109">
        <f t="shared" si="1"/>
        <v>0</v>
      </c>
      <c r="U20" s="1103">
        <f t="shared" si="2"/>
        <v>0</v>
      </c>
      <c r="V20" s="1108">
        <v>2380</v>
      </c>
      <c r="W20" s="1109">
        <f>IFERROR(VLOOKUP(L3_O,$BJ$24:$CI$123,COLUMN(BV24)-COLUMN($BJ$24)+1,0),0)</f>
        <v>0</v>
      </c>
      <c r="X20" s="1109">
        <f t="shared" si="3"/>
        <v>0</v>
      </c>
      <c r="Y20" s="1103">
        <f t="shared" si="4"/>
        <v>0</v>
      </c>
      <c r="Z20" s="1108">
        <v>2380</v>
      </c>
      <c r="AA20" s="1109">
        <f>IFERROR(VLOOKUP(L4_O,$BJ$24:$CI$123,COLUMN(BV24)-COLUMN($BJ$24)+1,0),0)</f>
        <v>0</v>
      </c>
      <c r="AB20" s="1109">
        <f t="shared" si="10"/>
        <v>0</v>
      </c>
      <c r="AC20" s="1103">
        <f t="shared" si="5"/>
        <v>0</v>
      </c>
      <c r="AG20" s="251"/>
      <c r="AH20" s="251"/>
      <c r="AI20" s="251"/>
      <c r="AJ20" s="251"/>
      <c r="AK20" s="254"/>
      <c r="AL20" s="254"/>
      <c r="AM20" s="254"/>
      <c r="AN20" s="254"/>
      <c r="AO20" s="254"/>
      <c r="AP20" s="254"/>
    </row>
    <row r="21" spans="1:89" ht="18.75" customHeight="1">
      <c r="A21" s="123" t="str">
        <f>IF(B21="","",(VLOOKUP(B:B,'0.39'!B:F,5,FALSE)))</f>
        <v/>
      </c>
      <c r="B21" s="123" t="str">
        <f>IF(BASIC_TOOL!$B$23=1,D21,0)</f>
        <v/>
      </c>
      <c r="C21" s="123" t="str">
        <f>IF(BASIC_TOOL!$B$23=1,E21,0)</f>
        <v/>
      </c>
      <c r="D21" s="561" t="str">
        <f t="array" ref="D21">IF(ISERROR(INDEX($H$8:$H$36,SMALL(IF($I$8:$I$36&lt;&gt;0,ROW($I$8:$I$36)-7),ROW(D14)))),"",INDEX($H$8:$H$36,SMALL(IF($I$8:$I$36&lt;&gt;0,ROW($I$8:$I$36)-7),ROW(D14))))</f>
        <v/>
      </c>
      <c r="E21" s="562" t="str">
        <f t="array" ref="E21">IF(ISERROR(INDEX($I$8:$I$36,SMALL(IF($I$8:$I$36&lt;&gt;0,ROW($I$8:$I$36)-7),ROW(E14)))),"",INDEX($I$8:$I$36,SMALL(IF($I$8:$I$36&lt;&gt;0,ROW($I$8:$I$36)-7),ROW(E14))))</f>
        <v/>
      </c>
      <c r="F21" s="558"/>
      <c r="H21" s="1101" t="str">
        <f>IF(BASIC_TOOL!$E$23=2,"TR-12M2780SA2","TR-12M2780SA4")</f>
        <v>TR-12M2780SA4</v>
      </c>
      <c r="I21" s="1102">
        <f t="shared" si="0"/>
        <v>0</v>
      </c>
      <c r="J21" s="1108">
        <v>2780</v>
      </c>
      <c r="K21" s="1109">
        <f>IFERROR(VLOOKUP(W_O,$AG$24:$BF$123,COLUMN(AT24)-COLUMN($AG$24)+1,0),0)</f>
        <v>0</v>
      </c>
      <c r="L21" s="1109">
        <f t="shared" si="7"/>
        <v>0</v>
      </c>
      <c r="M21" s="1103">
        <f t="shared" si="8"/>
        <v>0</v>
      </c>
      <c r="N21" s="1108">
        <v>2780</v>
      </c>
      <c r="O21" s="1109">
        <f>IFERROR(VLOOKUP(L1_O,$AG$24:$BF$123,COLUMN(AT24)-COLUMN($AG$24)+1,0),0)</f>
        <v>0</v>
      </c>
      <c r="P21" s="1109">
        <f t="shared" si="9"/>
        <v>0</v>
      </c>
      <c r="Q21" s="1103">
        <f t="shared" si="6"/>
        <v>0</v>
      </c>
      <c r="R21" s="1108">
        <v>2780</v>
      </c>
      <c r="S21" s="1109">
        <f>IFERROR(VLOOKUP(L2_O,$BJ$24:$CI$123,COLUMN(BW24)-COLUMN($BJ$24)+1,0),0)</f>
        <v>0</v>
      </c>
      <c r="T21" s="1109">
        <f t="shared" si="1"/>
        <v>0</v>
      </c>
      <c r="U21" s="1103">
        <f t="shared" si="2"/>
        <v>0</v>
      </c>
      <c r="V21" s="1108">
        <v>2780</v>
      </c>
      <c r="W21" s="1109">
        <f>IFERROR(VLOOKUP(L3_O,$BJ$24:$CI$123,COLUMN(BW24)-COLUMN($BJ$24)+1,0),0)</f>
        <v>0</v>
      </c>
      <c r="X21" s="1109">
        <f t="shared" si="3"/>
        <v>0</v>
      </c>
      <c r="Y21" s="1103">
        <f t="shared" si="4"/>
        <v>0</v>
      </c>
      <c r="Z21" s="1108">
        <v>2780</v>
      </c>
      <c r="AA21" s="1109">
        <f>IFERROR(VLOOKUP(L4_O,$BJ$24:$CI$123,COLUMN(BW24)-COLUMN($BJ$24)+1,0),0)</f>
        <v>0</v>
      </c>
      <c r="AB21" s="1109">
        <f t="shared" si="10"/>
        <v>0</v>
      </c>
      <c r="AC21" s="1103">
        <f t="shared" si="5"/>
        <v>0</v>
      </c>
      <c r="AG21" s="251">
        <f>LOOKUP(H_O,AG11:AG19,AH11:AH19)</f>
        <v>3</v>
      </c>
      <c r="AH21" s="251"/>
      <c r="AI21" s="251"/>
      <c r="AJ21" s="251"/>
      <c r="AK21" s="251"/>
      <c r="AL21" s="251"/>
      <c r="AM21" s="251"/>
      <c r="AN21" s="251"/>
      <c r="AO21" s="251"/>
      <c r="AP21" s="251"/>
    </row>
    <row r="22" spans="1:89" ht="18.75" customHeight="1">
      <c r="A22" s="123" t="str">
        <f>IF(B22="","",(VLOOKUP(B:B,'0.39'!B:F,5,FALSE)))</f>
        <v/>
      </c>
      <c r="B22" s="123" t="str">
        <f>IF(BASIC_TOOL!$B$23=1,D22,0)</f>
        <v/>
      </c>
      <c r="C22" s="123" t="str">
        <f>IF(BASIC_TOOL!$B$23=1,E22,0)</f>
        <v/>
      </c>
      <c r="D22" s="561" t="str">
        <f t="array" ref="D22">IF(ISERROR(INDEX($H$8:$H$36,SMALL(IF($I$8:$I$36&lt;&gt;0,ROW($I$8:$I$36)-7),ROW(D15)))),"",INDEX($H$8:$H$36,SMALL(IF($I$8:$I$36&lt;&gt;0,ROW($I$8:$I$36)-7),ROW(D15))))</f>
        <v/>
      </c>
      <c r="E22" s="562" t="str">
        <f t="array" ref="E22">IF(ISERROR(INDEX($I$8:$I$36,SMALL(IF($I$8:$I$36&lt;&gt;0,ROW($I$8:$I$36)-7),ROW(E15)))),"",INDEX($I$8:$I$36,SMALL(IF($I$8:$I$36&lt;&gt;0,ROW($I$8:$I$36)-7),ROW(E15))))</f>
        <v/>
      </c>
      <c r="F22" s="558"/>
      <c r="H22" s="1101" t="str">
        <f>IF(BASIC_TOOL!$E$23=2,"TR-12M2880SA2","TR-12M2880SA4")</f>
        <v>TR-12M2880SA4</v>
      </c>
      <c r="I22" s="1102">
        <f t="shared" si="0"/>
        <v>0</v>
      </c>
      <c r="J22" s="1108">
        <v>2880</v>
      </c>
      <c r="K22" s="1109">
        <f>IFERROR(VLOOKUP(W_O,$AG$24:$BF$123,COLUMN(AU24)-COLUMN($AG$24)+1,0),0)</f>
        <v>0</v>
      </c>
      <c r="L22" s="1109">
        <f t="shared" si="7"/>
        <v>0</v>
      </c>
      <c r="M22" s="1103">
        <f t="shared" si="8"/>
        <v>0</v>
      </c>
      <c r="N22" s="1108">
        <v>2880</v>
      </c>
      <c r="O22" s="1109">
        <f>IFERROR(VLOOKUP(L1_O,$AG$24:$BF$123,COLUMN(AU24)-COLUMN($AG$24)+1,0),0)</f>
        <v>0</v>
      </c>
      <c r="P22" s="1109">
        <f t="shared" si="9"/>
        <v>0</v>
      </c>
      <c r="Q22" s="1103">
        <f t="shared" si="6"/>
        <v>0</v>
      </c>
      <c r="R22" s="1108">
        <v>2880</v>
      </c>
      <c r="S22" s="1109">
        <f>IFERROR(VLOOKUP(L2_O,$BJ$24:$CI$123,COLUMN(BX24)-COLUMN($BJ$24)+1,0),0)</f>
        <v>0</v>
      </c>
      <c r="T22" s="1109">
        <f t="shared" si="1"/>
        <v>0</v>
      </c>
      <c r="U22" s="1103">
        <f t="shared" si="2"/>
        <v>0</v>
      </c>
      <c r="V22" s="1108">
        <v>2880</v>
      </c>
      <c r="W22" s="1109">
        <f>IFERROR(VLOOKUP(L3_O,$BJ$24:$CI$123,COLUMN(BX24)-COLUMN($BJ$24)+1,0),0)</f>
        <v>0</v>
      </c>
      <c r="X22" s="1109">
        <f t="shared" si="3"/>
        <v>0</v>
      </c>
      <c r="Y22" s="1103">
        <f t="shared" si="4"/>
        <v>0</v>
      </c>
      <c r="Z22" s="1108">
        <v>2880</v>
      </c>
      <c r="AA22" s="1109">
        <f>IFERROR(VLOOKUP(L4_O,$BJ$24:$CI$123,COLUMN(BX24)-COLUMN($BJ$24)+1,0),0)</f>
        <v>0</v>
      </c>
      <c r="AB22" s="1109">
        <f t="shared" si="10"/>
        <v>0</v>
      </c>
      <c r="AC22" s="1103">
        <f t="shared" si="5"/>
        <v>0</v>
      </c>
      <c r="AG22">
        <f>IFERROR(VLOOKUP(W_O,AG24:BF123,COLUMN(AK24)-COLUMN(AG24)+1,0),0)</f>
        <v>0</v>
      </c>
    </row>
    <row r="23" spans="1:89" ht="18.75" customHeight="1">
      <c r="A23" s="123" t="str">
        <f>IF(B23="","",(VLOOKUP(B:B,'0.39'!B:F,5,FALSE)))</f>
        <v/>
      </c>
      <c r="B23" s="123" t="str">
        <f>IF(BASIC_TOOL!$B$23=1,D23,0)</f>
        <v/>
      </c>
      <c r="C23" s="123" t="str">
        <f>IF(BASIC_TOOL!$B$23=1,E23,0)</f>
        <v/>
      </c>
      <c r="D23" s="561" t="str">
        <f t="array" ref="D23">IF(ISERROR(INDEX($H$8:$H$36,SMALL(IF($I$8:$I$36&lt;&gt;0,ROW($I$8:$I$36)-7),ROW(D16)))),"",INDEX($H$8:$H$36,SMALL(IF($I$8:$I$36&lt;&gt;0,ROW($I$8:$I$36)-7),ROW(D16))))</f>
        <v/>
      </c>
      <c r="E23" s="562" t="str">
        <f t="array" ref="E23">IF(ISERROR(INDEX($I$8:$I$36,SMALL(IF($I$8:$I$36&lt;&gt;0,ROW($I$8:$I$36)-7),ROW(E16)))),"",INDEX($I$8:$I$36,SMALL(IF($I$8:$I$36&lt;&gt;0,ROW($I$8:$I$36)-7),ROW(E16))))</f>
        <v/>
      </c>
      <c r="F23" s="558"/>
      <c r="H23" s="1101" t="str">
        <f>IF(BASIC_TOOL!$E$23=2,"TR-12M3000SA2","TR-12M3000SA4")</f>
        <v>TR-12M3000SA4</v>
      </c>
      <c r="I23" s="1102">
        <f t="shared" si="0"/>
        <v>0</v>
      </c>
      <c r="J23" s="1108">
        <v>3000</v>
      </c>
      <c r="K23" s="1109">
        <f>IFERROR(VLOOKUP(W_O,$AG$24:$BF$123,COLUMN(AV24)-COLUMN($AG$24)+1,0),0)</f>
        <v>0</v>
      </c>
      <c r="L23" s="1109">
        <f t="shared" si="7"/>
        <v>0</v>
      </c>
      <c r="M23" s="1103">
        <f t="shared" si="8"/>
        <v>0</v>
      </c>
      <c r="N23" s="1108">
        <v>3000</v>
      </c>
      <c r="O23" s="1109">
        <f>IFERROR(VLOOKUP(L1_O,$AG$24:$BF$123,COLUMN(AV24)-COLUMN($AG$24)+1,0),0)</f>
        <v>0</v>
      </c>
      <c r="P23" s="1109">
        <f t="shared" si="9"/>
        <v>0</v>
      </c>
      <c r="Q23" s="1103">
        <f t="shared" si="6"/>
        <v>0</v>
      </c>
      <c r="R23" s="1108">
        <v>3000</v>
      </c>
      <c r="S23" s="1109">
        <f>IFERROR(VLOOKUP(L2_O,$BJ$24:$CI$123,COLUMN(BY24)-COLUMN($BJ$24)+1,0),0)</f>
        <v>0</v>
      </c>
      <c r="T23" s="1109">
        <f t="shared" si="1"/>
        <v>0</v>
      </c>
      <c r="U23" s="1103">
        <f t="shared" si="2"/>
        <v>0</v>
      </c>
      <c r="V23" s="1108">
        <v>3000</v>
      </c>
      <c r="W23" s="1109">
        <f>IFERROR(VLOOKUP(L3_O,$BJ$24:$CI$123,COLUMN(BY24)-COLUMN($BJ$24)+1,0),0)</f>
        <v>0</v>
      </c>
      <c r="X23" s="1109">
        <f t="shared" si="3"/>
        <v>0</v>
      </c>
      <c r="Y23" s="1103">
        <f t="shared" si="4"/>
        <v>0</v>
      </c>
      <c r="Z23" s="1108">
        <v>3000</v>
      </c>
      <c r="AA23" s="1109">
        <f>IFERROR(VLOOKUP(L4_O,$BJ$24:$CI$123,COLUMN(BY24)-COLUMN($BJ$24)+1,0),0)</f>
        <v>0</v>
      </c>
      <c r="AB23" s="1109">
        <f t="shared" si="10"/>
        <v>0</v>
      </c>
      <c r="AC23" s="1103">
        <f t="shared" si="5"/>
        <v>0</v>
      </c>
      <c r="AG23" s="1640" t="s">
        <v>453</v>
      </c>
      <c r="AH23" s="1640"/>
      <c r="AI23" s="1640"/>
      <c r="AJ23" s="1640"/>
      <c r="AK23" s="1640"/>
      <c r="AL23" s="1640"/>
      <c r="AM23" s="1640"/>
      <c r="AN23" s="1640"/>
      <c r="AO23" s="1640"/>
      <c r="AP23" s="1640"/>
      <c r="AQ23" s="1640"/>
      <c r="AR23" s="1640"/>
      <c r="AS23" s="1640"/>
      <c r="AT23" s="1640"/>
      <c r="AU23" s="1640"/>
      <c r="AV23" s="1640"/>
      <c r="AW23" s="1640"/>
      <c r="AX23" s="1640"/>
      <c r="AY23" s="1640"/>
      <c r="AZ23" s="1640"/>
      <c r="BA23" s="1640"/>
      <c r="BB23" s="1640"/>
      <c r="BC23" s="1640"/>
      <c r="BD23" s="1640"/>
      <c r="BE23" s="1640"/>
      <c r="BF23" s="1640"/>
      <c r="BG23" s="1640"/>
      <c r="BJ23" s="1640" t="s">
        <v>454</v>
      </c>
      <c r="BK23" s="1640"/>
      <c r="BL23" s="1640"/>
      <c r="BM23" s="1640"/>
      <c r="BN23" s="1640"/>
      <c r="BO23" s="1640"/>
      <c r="BP23" s="1640"/>
      <c r="BQ23" s="1640"/>
      <c r="BR23" s="1640"/>
      <c r="BS23" s="1640"/>
      <c r="BT23" s="1640"/>
      <c r="BU23" s="1640"/>
      <c r="BV23" s="1640"/>
      <c r="BW23" s="1640"/>
      <c r="BX23" s="1640"/>
      <c r="BY23" s="1640"/>
      <c r="BZ23" s="1640"/>
      <c r="CA23" s="1640"/>
      <c r="CB23" s="1640"/>
      <c r="CC23" s="1640"/>
      <c r="CD23" s="1640"/>
      <c r="CE23" s="1640"/>
      <c r="CF23" s="1640"/>
      <c r="CG23" s="1640"/>
      <c r="CH23" s="1640"/>
      <c r="CI23" s="1640"/>
      <c r="CJ23" s="1640"/>
    </row>
    <row r="24" spans="1:89" ht="18.75" customHeight="1">
      <c r="A24" s="123" t="str">
        <f>IF(B24="","",(VLOOKUP(B:B,'0.39'!B:F,5,FALSE)))</f>
        <v/>
      </c>
      <c r="B24" s="123" t="str">
        <f>IF(BASIC_TOOL!$B$23=1,D24,0)</f>
        <v/>
      </c>
      <c r="C24" s="123" t="str">
        <f>IF(BASIC_TOOL!$B$23=1,E24,0)</f>
        <v/>
      </c>
      <c r="D24" s="561" t="str">
        <f t="array" ref="D24">IF(ISERROR(INDEX($H$8:$H$36,SMALL(IF($I$8:$I$36&lt;&gt;0,ROW($I$8:$I$36)-7),ROW(D17)))),"",INDEX($H$8:$H$36,SMALL(IF($I$8:$I$36&lt;&gt;0,ROW($I$8:$I$36)-7),ROW(D17))))</f>
        <v/>
      </c>
      <c r="E24" s="562" t="str">
        <f t="array" ref="E24">IF(ISERROR(INDEX($I$8:$I$36,SMALL(IF($I$8:$I$36&lt;&gt;0,ROW($I$8:$I$36)-7),ROW(E17)))),"",INDEX($I$8:$I$36,SMALL(IF($I$8:$I$36&lt;&gt;0,ROW($I$8:$I$36)-7),ROW(E17))))</f>
        <v/>
      </c>
      <c r="F24" s="558"/>
      <c r="H24" s="1101" t="str">
        <f>IF(BASIC_TOOL!$E$23=2,"TR-12M3280SA2","TR-12M3280SA4")</f>
        <v>TR-12M3280SA4</v>
      </c>
      <c r="I24" s="1102">
        <f t="shared" si="0"/>
        <v>0</v>
      </c>
      <c r="J24" s="1108">
        <v>3280</v>
      </c>
      <c r="K24" s="1109">
        <f>IFERROR(VLOOKUP(W_O,$AG$24:$BF$123,COLUMN(AW24)-COLUMN($AG$24)+1,0),0)</f>
        <v>0</v>
      </c>
      <c r="L24" s="1109">
        <f t="shared" si="7"/>
        <v>0</v>
      </c>
      <c r="M24" s="1103">
        <f t="shared" si="8"/>
        <v>0</v>
      </c>
      <c r="N24" s="1108">
        <v>3280</v>
      </c>
      <c r="O24" s="1109">
        <f>IFERROR(VLOOKUP(L1_O,$AG$24:$BF$123,COLUMN(AW24)-COLUMN($AG$24)+1,0),0)</f>
        <v>0</v>
      </c>
      <c r="P24" s="1109">
        <f t="shared" si="9"/>
        <v>0</v>
      </c>
      <c r="Q24" s="1103">
        <f t="shared" si="6"/>
        <v>0</v>
      </c>
      <c r="R24" s="1108">
        <v>3280</v>
      </c>
      <c r="S24" s="1109">
        <f>IFERROR(VLOOKUP(L2_O,$BJ$24:$CI$123,COLUMN(BZ24)-COLUMN($BJ$24)+1,0),0)</f>
        <v>0</v>
      </c>
      <c r="T24" s="1109">
        <f t="shared" si="1"/>
        <v>0</v>
      </c>
      <c r="U24" s="1103">
        <f t="shared" si="2"/>
        <v>0</v>
      </c>
      <c r="V24" s="1108">
        <v>3280</v>
      </c>
      <c r="W24" s="1109">
        <f>IFERROR(VLOOKUP(L3_O,$BJ$24:$CI$123,COLUMN(BZ24)-COLUMN($BJ$24)+1,0),0)</f>
        <v>0</v>
      </c>
      <c r="X24" s="1109">
        <f t="shared" si="3"/>
        <v>0</v>
      </c>
      <c r="Y24" s="1103">
        <f t="shared" si="4"/>
        <v>0</v>
      </c>
      <c r="Z24" s="1108">
        <v>3280</v>
      </c>
      <c r="AA24" s="1109">
        <f>IFERROR(VLOOKUP(L4_O,$BJ$24:$CI$123,COLUMN(BZ24)-COLUMN($BJ$24)+1,0),0)</f>
        <v>0</v>
      </c>
      <c r="AB24" s="1109">
        <f t="shared" si="10"/>
        <v>0</v>
      </c>
      <c r="AC24" s="1103">
        <f t="shared" si="5"/>
        <v>0</v>
      </c>
      <c r="AG24" s="252"/>
      <c r="AH24" s="392">
        <v>280</v>
      </c>
      <c r="AI24" s="392">
        <v>380</v>
      </c>
      <c r="AJ24" s="392">
        <v>780</v>
      </c>
      <c r="AK24" s="252">
        <v>880</v>
      </c>
      <c r="AL24" s="392">
        <v>1000</v>
      </c>
      <c r="AM24" s="392">
        <v>1280</v>
      </c>
      <c r="AN24" s="252">
        <v>1380</v>
      </c>
      <c r="AO24" s="252">
        <v>1780</v>
      </c>
      <c r="AP24" s="252">
        <v>1880</v>
      </c>
      <c r="AQ24" s="392">
        <v>2000</v>
      </c>
      <c r="AR24" s="252">
        <v>2280</v>
      </c>
      <c r="AS24" s="252">
        <v>2380</v>
      </c>
      <c r="AT24" s="252">
        <v>2780</v>
      </c>
      <c r="AU24" s="252">
        <v>2880</v>
      </c>
      <c r="AV24" s="392">
        <v>3000</v>
      </c>
      <c r="AW24" s="252">
        <v>3280</v>
      </c>
      <c r="AX24" s="252">
        <v>3380</v>
      </c>
      <c r="AY24" s="1099">
        <v>3780</v>
      </c>
      <c r="AZ24" s="252">
        <v>3880</v>
      </c>
      <c r="BA24" s="252">
        <v>4000</v>
      </c>
      <c r="BB24" s="392">
        <v>4280</v>
      </c>
      <c r="BC24" s="252">
        <v>4380</v>
      </c>
      <c r="BD24" s="392">
        <v>4780</v>
      </c>
      <c r="BE24" s="252">
        <v>4880</v>
      </c>
      <c r="BF24" s="252">
        <v>5000</v>
      </c>
      <c r="BG24" s="252"/>
      <c r="BJ24" s="252"/>
      <c r="BK24" s="392">
        <v>280</v>
      </c>
      <c r="BL24" s="392">
        <v>380</v>
      </c>
      <c r="BM24" s="252">
        <v>780</v>
      </c>
      <c r="BN24" s="252">
        <v>880</v>
      </c>
      <c r="BO24" s="392">
        <v>1000</v>
      </c>
      <c r="BP24" s="252">
        <v>1280</v>
      </c>
      <c r="BQ24" s="252">
        <v>1380</v>
      </c>
      <c r="BR24" s="252">
        <v>1780</v>
      </c>
      <c r="BS24" s="252">
        <v>1880</v>
      </c>
      <c r="BT24" s="392">
        <v>2000</v>
      </c>
      <c r="BU24" s="252">
        <v>2280</v>
      </c>
      <c r="BV24" s="392">
        <v>2380</v>
      </c>
      <c r="BW24" s="252">
        <v>2780</v>
      </c>
      <c r="BX24" s="392">
        <v>2880</v>
      </c>
      <c r="BY24" s="392">
        <v>3000</v>
      </c>
      <c r="BZ24" s="252">
        <v>3280</v>
      </c>
      <c r="CA24" s="392">
        <v>3380</v>
      </c>
      <c r="CB24" s="252">
        <v>3780</v>
      </c>
      <c r="CC24" s="252">
        <v>3880</v>
      </c>
      <c r="CD24" s="252">
        <v>4000</v>
      </c>
      <c r="CE24" s="252">
        <v>4280</v>
      </c>
      <c r="CF24" s="252">
        <v>4380</v>
      </c>
      <c r="CG24" s="252">
        <v>4780</v>
      </c>
      <c r="CH24" s="252">
        <v>4880</v>
      </c>
      <c r="CI24" s="252">
        <v>5000</v>
      </c>
      <c r="CJ24" s="252"/>
    </row>
    <row r="25" spans="1:89" ht="18.75" customHeight="1">
      <c r="A25" s="123" t="str">
        <f>IF(B25="","",(VLOOKUP(B:B,'0.39'!B:F,5,FALSE)))</f>
        <v/>
      </c>
      <c r="B25" s="123" t="str">
        <f>IF(BASIC_TOOL!$B$23=1,D25,0)</f>
        <v/>
      </c>
      <c r="C25" s="123" t="str">
        <f>IF(BASIC_TOOL!$B$23=1,E25,0)</f>
        <v/>
      </c>
      <c r="D25" s="561" t="str">
        <f t="array" ref="D25">IF(ISERROR(INDEX($H$8:$H$36,SMALL(IF($I$8:$I$36&lt;&gt;0,ROW($I$8:$I$36)-7),ROW(D18)))),"",INDEX($H$8:$H$36,SMALL(IF($I$8:$I$36&lt;&gt;0,ROW($I$8:$I$36)-7),ROW(D18))))</f>
        <v/>
      </c>
      <c r="E25" s="562" t="str">
        <f t="array" ref="E25">IF(ISERROR(INDEX($I$8:$I$36,SMALL(IF($I$8:$I$36&lt;&gt;0,ROW($I$8:$I$36)-7),ROW(E18)))),"",INDEX($I$8:$I$36,SMALL(IF($I$8:$I$36&lt;&gt;0,ROW($I$8:$I$36)-7),ROW(E18))))</f>
        <v/>
      </c>
      <c r="F25" s="558"/>
      <c r="H25" s="1101" t="str">
        <f>IF(BASIC_TOOL!$E$23=2,"TR-12M3380SA2","TR-12M3380SA4")</f>
        <v>TR-12M3380SA4</v>
      </c>
      <c r="I25" s="1102">
        <f t="shared" si="0"/>
        <v>0</v>
      </c>
      <c r="J25" s="1108">
        <v>3380</v>
      </c>
      <c r="K25" s="1109">
        <f>IFERROR(VLOOKUP(W_O,$AG$24:$BF$123,COLUMN(AX24)-COLUMN($AG$24)+1,0),0)</f>
        <v>0</v>
      </c>
      <c r="L25" s="1109">
        <f t="shared" si="7"/>
        <v>0</v>
      </c>
      <c r="M25" s="1103">
        <f t="shared" si="8"/>
        <v>0</v>
      </c>
      <c r="N25" s="1108">
        <v>3380</v>
      </c>
      <c r="O25" s="1109">
        <f>IFERROR(VLOOKUP(L1_O,$AG$24:$BF$123,COLUMN(AX24)-COLUMN($AG$24)+1,0),0)</f>
        <v>0</v>
      </c>
      <c r="P25" s="1109">
        <f t="shared" si="9"/>
        <v>0</v>
      </c>
      <c r="Q25" s="1103">
        <f t="shared" si="6"/>
        <v>0</v>
      </c>
      <c r="R25" s="1108">
        <v>3380</v>
      </c>
      <c r="S25" s="1109">
        <f>IFERROR(VLOOKUP(L2_O,$BJ$24:$CI$123,COLUMN(CA24)-COLUMN($BJ$24)+1,0),0)</f>
        <v>0</v>
      </c>
      <c r="T25" s="1109">
        <f t="shared" si="1"/>
        <v>0</v>
      </c>
      <c r="U25" s="1103">
        <f t="shared" si="2"/>
        <v>0</v>
      </c>
      <c r="V25" s="1108">
        <v>3380</v>
      </c>
      <c r="W25" s="1109">
        <f>IFERROR(VLOOKUP(L3_O,$BJ$24:$CI$123,COLUMN(CA24)-COLUMN($BJ$24)+1,0),0)</f>
        <v>0</v>
      </c>
      <c r="X25" s="1109">
        <f t="shared" si="3"/>
        <v>0</v>
      </c>
      <c r="Y25" s="1103">
        <f t="shared" si="4"/>
        <v>0</v>
      </c>
      <c r="Z25" s="1108">
        <v>3380</v>
      </c>
      <c r="AA25" s="1109">
        <f>IFERROR(VLOOKUP(L4_O,$BJ$24:$CI$123,COLUMN(CA24)-COLUMN($BJ$24)+1,0),0)</f>
        <v>0</v>
      </c>
      <c r="AB25" s="1109">
        <f t="shared" si="10"/>
        <v>0</v>
      </c>
      <c r="AC25" s="1103">
        <f t="shared" si="5"/>
        <v>0</v>
      </c>
      <c r="AG25" s="398">
        <v>1</v>
      </c>
      <c r="AH25" s="398"/>
      <c r="AI25" s="398"/>
      <c r="AJ25" s="398"/>
      <c r="AK25" s="399">
        <v>1</v>
      </c>
      <c r="AL25" s="399"/>
      <c r="AM25" s="399"/>
      <c r="AN25" s="399"/>
      <c r="AO25" s="399"/>
      <c r="AP25" s="399"/>
      <c r="AQ25" s="399"/>
      <c r="AR25" s="399"/>
      <c r="AS25" s="399"/>
      <c r="AT25" s="399"/>
      <c r="AU25" s="399"/>
      <c r="AV25" s="399"/>
      <c r="AW25" s="399"/>
      <c r="AX25" s="399"/>
      <c r="AY25" s="1100"/>
      <c r="AZ25" s="399"/>
      <c r="BA25" s="399"/>
      <c r="BB25" s="399"/>
      <c r="BC25" s="399"/>
      <c r="BD25" s="399"/>
      <c r="BE25" s="399"/>
      <c r="BF25" s="399"/>
      <c r="BG25" s="253">
        <f t="shared" ref="BG25:BG56" si="11">(SUMPRODUCT($AK$24:$BF$24,AK25:BF25))+120</f>
        <v>1000</v>
      </c>
      <c r="BH25" s="393" t="str">
        <f t="shared" ref="BH25:BH56" si="12">IF(BG25=AG25*1000,"OK","NG")</f>
        <v>OK</v>
      </c>
      <c r="BJ25" s="398">
        <v>1</v>
      </c>
      <c r="BK25" s="398"/>
      <c r="BL25" s="398"/>
      <c r="BM25" s="398"/>
      <c r="BN25" s="399">
        <v>1</v>
      </c>
      <c r="BO25" s="399"/>
      <c r="BP25" s="399"/>
      <c r="BQ25" s="399"/>
      <c r="BR25" s="399"/>
      <c r="BS25" s="399"/>
      <c r="BT25" s="399"/>
      <c r="BU25" s="399"/>
      <c r="BV25" s="399"/>
      <c r="BW25" s="399"/>
      <c r="BX25" s="399"/>
      <c r="BY25" s="399"/>
      <c r="BZ25" s="399"/>
      <c r="CA25" s="399"/>
      <c r="CB25" s="1100"/>
      <c r="CC25" s="399"/>
      <c r="CD25" s="399"/>
      <c r="CE25" s="399"/>
      <c r="CF25" s="399"/>
      <c r="CG25" s="399"/>
      <c r="CH25" s="399"/>
      <c r="CI25" s="399"/>
      <c r="CJ25" s="399"/>
      <c r="CK25" s="393" t="str">
        <f t="shared" ref="CK25:CK56" si="13">IF(CJ25=BJ25*1000,"OK","NG")</f>
        <v>NG</v>
      </c>
    </row>
    <row r="26" spans="1:89" ht="18.75" customHeight="1">
      <c r="A26" s="123" t="str">
        <f>IF(B26="","",(VLOOKUP(B:B,'0.39'!B:F,5,FALSE)))</f>
        <v/>
      </c>
      <c r="B26" s="123" t="str">
        <f>IF(BASIC_TOOL!$B$23=1,D26,0)</f>
        <v/>
      </c>
      <c r="C26" s="123" t="str">
        <f>IF(BASIC_TOOL!$B$23=1,E26,0)</f>
        <v/>
      </c>
      <c r="D26" s="561" t="str">
        <f t="array" ref="D26">IF(ISERROR(INDEX($H$8:$H$36,SMALL(IF($I$8:$I$36&lt;&gt;0,ROW($I$8:$I$36)-7),ROW(D19)))),"",INDEX($H$8:$H$36,SMALL(IF($I$8:$I$36&lt;&gt;0,ROW($I$8:$I$36)-7),ROW(D19))))</f>
        <v/>
      </c>
      <c r="E26" s="562" t="str">
        <f t="array" ref="E26">IF(ISERROR(INDEX($I$8:$I$36,SMALL(IF($I$8:$I$36&lt;&gt;0,ROW($I$8:$I$36)-7),ROW(E19)))),"",INDEX($I$8:$I$36,SMALL(IF($I$8:$I$36&lt;&gt;0,ROW($I$8:$I$36)-7),ROW(E19))))</f>
        <v/>
      </c>
      <c r="F26" s="558"/>
      <c r="H26" s="1101" t="str">
        <f>IF(BASIC_TOOL!$E$23=2,"TR-12M3780SA2","TR-12M3780SA4")</f>
        <v>TR-12M3780SA4</v>
      </c>
      <c r="I26" s="1102">
        <f t="shared" si="0"/>
        <v>0</v>
      </c>
      <c r="J26" s="1108">
        <v>3780</v>
      </c>
      <c r="K26" s="1109">
        <f>IFERROR(VLOOKUP(W_O,$AG$24:$BF$123,COLUMN(AY24)-COLUMN($AG$24)+1,0),0)</f>
        <v>0</v>
      </c>
      <c r="L26" s="1109">
        <f t="shared" si="7"/>
        <v>0</v>
      </c>
      <c r="M26" s="1103">
        <f t="shared" si="8"/>
        <v>0</v>
      </c>
      <c r="N26" s="1108">
        <v>3780</v>
      </c>
      <c r="O26" s="1109">
        <f>IFERROR(VLOOKUP(L1_O,$AG$24:$BF$123,COLUMN(AY24)-COLUMN($AG$24)+1,0),0)</f>
        <v>0</v>
      </c>
      <c r="P26" s="1109">
        <f t="shared" si="9"/>
        <v>0</v>
      </c>
      <c r="Q26" s="1103">
        <f t="shared" si="6"/>
        <v>0</v>
      </c>
      <c r="R26" s="1108">
        <v>3780</v>
      </c>
      <c r="S26" s="1109">
        <f>IFERROR(VLOOKUP(L2_O,$BJ$24:$CI$123,COLUMN(CB24)-COLUMN($BJ$24)+1,0),0)</f>
        <v>0</v>
      </c>
      <c r="T26" s="1109">
        <f t="shared" si="1"/>
        <v>0</v>
      </c>
      <c r="U26" s="1103">
        <f t="shared" si="2"/>
        <v>0</v>
      </c>
      <c r="V26" s="1108">
        <v>3780</v>
      </c>
      <c r="W26" s="1109">
        <f>IFERROR(VLOOKUP(L3_O,$BJ$24:$CI$123,COLUMN(CB24)-COLUMN($BJ$24)+1,0),0)</f>
        <v>0</v>
      </c>
      <c r="X26" s="1109">
        <f t="shared" si="3"/>
        <v>0</v>
      </c>
      <c r="Y26" s="1103">
        <f t="shared" si="4"/>
        <v>0</v>
      </c>
      <c r="Z26" s="1108">
        <v>3780</v>
      </c>
      <c r="AA26" s="1109">
        <f>IFERROR(VLOOKUP(L4_O,$BJ$24:$CI$123,COLUMN(CB24)-COLUMN($BJ$24)+1,0),0)</f>
        <v>0</v>
      </c>
      <c r="AB26" s="1109">
        <f t="shared" si="10"/>
        <v>0</v>
      </c>
      <c r="AC26" s="1103">
        <f t="shared" si="5"/>
        <v>0</v>
      </c>
      <c r="AG26" s="398">
        <v>1.5</v>
      </c>
      <c r="AH26" s="398"/>
      <c r="AI26" s="398"/>
      <c r="AJ26" s="398"/>
      <c r="AK26" s="399"/>
      <c r="AL26" s="400"/>
      <c r="AM26" s="400"/>
      <c r="AN26" s="400">
        <v>1</v>
      </c>
      <c r="AO26" s="400"/>
      <c r="AP26" s="400"/>
      <c r="AQ26" s="400"/>
      <c r="AR26" s="400"/>
      <c r="AS26" s="400"/>
      <c r="AT26" s="400"/>
      <c r="AU26" s="400"/>
      <c r="AV26" s="400"/>
      <c r="AW26" s="400"/>
      <c r="AX26" s="400"/>
      <c r="AY26" s="400"/>
      <c r="AZ26" s="400"/>
      <c r="BA26" s="399"/>
      <c r="BB26" s="399"/>
      <c r="BC26" s="399"/>
      <c r="BD26" s="399"/>
      <c r="BE26" s="399"/>
      <c r="BF26" s="399"/>
      <c r="BG26" s="253">
        <f t="shared" si="11"/>
        <v>1500</v>
      </c>
      <c r="BH26" s="393" t="str">
        <f t="shared" si="12"/>
        <v>OK</v>
      </c>
      <c r="BJ26" s="398">
        <v>1.5</v>
      </c>
      <c r="BK26" s="398"/>
      <c r="BL26" s="398"/>
      <c r="BM26" s="398"/>
      <c r="BN26" s="399"/>
      <c r="BO26" s="400"/>
      <c r="BP26" s="400"/>
      <c r="BQ26" s="400">
        <v>1</v>
      </c>
      <c r="BR26" s="400"/>
      <c r="BS26" s="400"/>
      <c r="BT26" s="400"/>
      <c r="BU26" s="400"/>
      <c r="BV26" s="400"/>
      <c r="BW26" s="400"/>
      <c r="BX26" s="400"/>
      <c r="BY26" s="400"/>
      <c r="BZ26" s="400"/>
      <c r="CA26" s="400"/>
      <c r="CB26" s="400"/>
      <c r="CC26" s="400"/>
      <c r="CD26" s="399"/>
      <c r="CE26" s="399"/>
      <c r="CF26" s="399"/>
      <c r="CG26" s="399"/>
      <c r="CH26" s="399"/>
      <c r="CI26" s="399"/>
      <c r="CJ26" s="399"/>
      <c r="CK26" s="393" t="str">
        <f t="shared" si="13"/>
        <v>NG</v>
      </c>
    </row>
    <row r="27" spans="1:89" ht="18.75" customHeight="1">
      <c r="A27" s="123" t="str">
        <f>IF(B27="","",(VLOOKUP(B:B,'0.39'!B:F,5,FALSE)))</f>
        <v/>
      </c>
      <c r="B27" s="123" t="str">
        <f>IF(BASIC_TOOL!$B$23=1,D27,0)</f>
        <v/>
      </c>
      <c r="C27" s="123" t="str">
        <f>IF(BASIC_TOOL!$B$23=1,E27,0)</f>
        <v/>
      </c>
      <c r="D27" s="561" t="str">
        <f t="array" ref="D27">IF(ISERROR(INDEX($H$8:$H$36,SMALL(IF($I$8:$I$36&lt;&gt;0,ROW($I$8:$I$36)-7),ROW(D20)))),"",INDEX($H$8:$H$36,SMALL(IF($I$8:$I$36&lt;&gt;0,ROW($I$8:$I$36)-7),ROW(D20))))</f>
        <v/>
      </c>
      <c r="E27" s="562" t="str">
        <f t="array" ref="E27">IF(ISERROR(INDEX($I$8:$I$36,SMALL(IF($I$8:$I$36&lt;&gt;0,ROW($I$8:$I$36)-7),ROW(E20)))),"",INDEX($I$8:$I$36,SMALL(IF($I$8:$I$36&lt;&gt;0,ROW($I$8:$I$36)-7),ROW(E20))))</f>
        <v/>
      </c>
      <c r="F27" s="558"/>
      <c r="H27" s="1101" t="str">
        <f>IF(BASIC_TOOL!$E$23=2,"TR-12M3880SA2","TR-12M3880SA4")</f>
        <v>TR-12M3880SA4</v>
      </c>
      <c r="I27" s="1102">
        <f t="shared" si="0"/>
        <v>0</v>
      </c>
      <c r="J27" s="1108">
        <v>3880</v>
      </c>
      <c r="K27" s="1109">
        <f>IFERROR(VLOOKUP(W_O,$AG$24:$BF$123,COLUMN(AZ24)-COLUMN($AG$24)+1,0),0)</f>
        <v>0</v>
      </c>
      <c r="L27" s="1109">
        <f t="shared" si="7"/>
        <v>0</v>
      </c>
      <c r="M27" s="1103">
        <f t="shared" si="8"/>
        <v>0</v>
      </c>
      <c r="N27" s="1108">
        <v>3880</v>
      </c>
      <c r="O27" s="1109">
        <f>IFERROR(VLOOKUP(L1_O,$AG$24:$BF$123,COLUMN(AZ24)-COLUMN($AG$24)+1,0),0)</f>
        <v>0</v>
      </c>
      <c r="P27" s="1109">
        <f t="shared" si="9"/>
        <v>0</v>
      </c>
      <c r="Q27" s="1103">
        <f t="shared" si="6"/>
        <v>0</v>
      </c>
      <c r="R27" s="1108">
        <v>3880</v>
      </c>
      <c r="S27" s="1109">
        <f>IFERROR(VLOOKUP(L2_O,$BJ$24:$CI$123,COLUMN(CC24)-COLUMN($BJ$24)+1,0),0)</f>
        <v>0</v>
      </c>
      <c r="T27" s="1109">
        <f t="shared" si="1"/>
        <v>0</v>
      </c>
      <c r="U27" s="1103">
        <f t="shared" si="2"/>
        <v>0</v>
      </c>
      <c r="V27" s="1108">
        <v>3880</v>
      </c>
      <c r="W27" s="1109">
        <f>IFERROR(VLOOKUP(L3_O,$BJ$24:$CI$123,COLUMN(CC24)-COLUMN($BJ$24)+1,0),0)</f>
        <v>0</v>
      </c>
      <c r="X27" s="1109">
        <f t="shared" si="3"/>
        <v>0</v>
      </c>
      <c r="Y27" s="1103">
        <f t="shared" si="4"/>
        <v>0</v>
      </c>
      <c r="Z27" s="1108">
        <v>3880</v>
      </c>
      <c r="AA27" s="1109">
        <f>IFERROR(VLOOKUP(L4_O,$BJ$24:$CI$123,COLUMN(CC24)-COLUMN($BJ$24)+1,0),0)</f>
        <v>0</v>
      </c>
      <c r="AB27" s="1109">
        <f t="shared" si="10"/>
        <v>0</v>
      </c>
      <c r="AC27" s="1103">
        <f t="shared" si="5"/>
        <v>0</v>
      </c>
      <c r="AG27" s="398">
        <v>2</v>
      </c>
      <c r="AH27" s="398"/>
      <c r="AI27" s="398"/>
      <c r="AJ27" s="398"/>
      <c r="AK27" s="399"/>
      <c r="AL27" s="399"/>
      <c r="AM27" s="399"/>
      <c r="AN27" s="399"/>
      <c r="AO27" s="399"/>
      <c r="AP27" s="399">
        <v>1</v>
      </c>
      <c r="AQ27" s="399"/>
      <c r="AR27" s="399"/>
      <c r="AS27" s="399"/>
      <c r="AT27" s="399"/>
      <c r="AU27" s="399"/>
      <c r="AV27" s="399"/>
      <c r="AW27" s="399"/>
      <c r="AX27" s="399"/>
      <c r="AY27" s="1100"/>
      <c r="AZ27" s="399"/>
      <c r="BA27" s="399"/>
      <c r="BB27" s="399"/>
      <c r="BC27" s="399"/>
      <c r="BD27" s="399"/>
      <c r="BE27" s="399"/>
      <c r="BF27" s="399"/>
      <c r="BG27" s="253">
        <f t="shared" si="11"/>
        <v>2000</v>
      </c>
      <c r="BH27" s="393" t="str">
        <f t="shared" si="12"/>
        <v>OK</v>
      </c>
      <c r="BJ27" s="398">
        <v>2</v>
      </c>
      <c r="BK27" s="398"/>
      <c r="BL27" s="398"/>
      <c r="BM27" s="398"/>
      <c r="BN27" s="399"/>
      <c r="BO27" s="399"/>
      <c r="BP27" s="399"/>
      <c r="BQ27" s="399"/>
      <c r="BR27" s="399"/>
      <c r="BS27" s="399">
        <v>1</v>
      </c>
      <c r="BT27" s="399"/>
      <c r="BU27" s="399"/>
      <c r="BV27" s="399"/>
      <c r="BW27" s="399"/>
      <c r="BX27" s="399"/>
      <c r="BY27" s="399"/>
      <c r="BZ27" s="399"/>
      <c r="CA27" s="399"/>
      <c r="CB27" s="1100"/>
      <c r="CC27" s="399"/>
      <c r="CD27" s="399"/>
      <c r="CE27" s="399"/>
      <c r="CF27" s="399"/>
      <c r="CG27" s="399"/>
      <c r="CH27" s="399"/>
      <c r="CI27" s="399"/>
      <c r="CJ27" s="399"/>
      <c r="CK27" s="393" t="str">
        <f t="shared" si="13"/>
        <v>NG</v>
      </c>
    </row>
    <row r="28" spans="1:89" ht="18.75" customHeight="1">
      <c r="A28" s="123" t="str">
        <f>IF(B28="","",(VLOOKUP(B:B,'0.39'!B:F,5,FALSE)))</f>
        <v/>
      </c>
      <c r="B28" s="123" t="str">
        <f>IF(BASIC_TOOL!$B$23=1,D28,0)</f>
        <v/>
      </c>
      <c r="C28" s="123" t="str">
        <f>IF(BASIC_TOOL!$B$23=1,E28,0)</f>
        <v/>
      </c>
      <c r="D28" s="561" t="str">
        <f t="array" ref="D28">IF(ISERROR(INDEX($H$8:$H$36,SMALL(IF($I$8:$I$36&lt;&gt;0,ROW($I$8:$I$36)-7),ROW(D21)))),"",INDEX($H$8:$H$36,SMALL(IF($I$8:$I$36&lt;&gt;0,ROW($I$8:$I$36)-7),ROW(D21))))</f>
        <v/>
      </c>
      <c r="E28" s="562" t="str">
        <f t="array" ref="E28">IF(ISERROR(INDEX($I$8:$I$36,SMALL(IF($I$8:$I$36&lt;&gt;0,ROW($I$8:$I$36)-7),ROW(E21)))),"",INDEX($I$8:$I$36,SMALL(IF($I$8:$I$36&lt;&gt;0,ROW($I$8:$I$36)-7),ROW(E21))))</f>
        <v/>
      </c>
      <c r="F28" s="558"/>
      <c r="H28" s="1101" t="str">
        <f>IF(BASIC_TOOL!$E$23=2,"TR-12M4000SA2","TR-12M4000SA4")</f>
        <v>TR-12M4000SA4</v>
      </c>
      <c r="I28" s="1102">
        <f t="shared" si="0"/>
        <v>24</v>
      </c>
      <c r="J28" s="1108">
        <v>4000</v>
      </c>
      <c r="K28" s="1109">
        <f>IFERROR(VLOOKUP(W_O,$AG$24:$BF$123,COLUMN(BA24)-COLUMN($AG$24)+1,0),0)</f>
        <v>2</v>
      </c>
      <c r="L28" s="1109">
        <f t="shared" ref="L28:L33" si="14">IF(K28&lt;&gt;0,$L$8,0)</f>
        <v>12</v>
      </c>
      <c r="M28" s="1103">
        <f t="shared" ref="M28:M36" si="15">K28*L28</f>
        <v>24</v>
      </c>
      <c r="N28" s="1108">
        <v>4000</v>
      </c>
      <c r="O28" s="1109">
        <f>IFERROR(VLOOKUP(L1_O,$AG$24:$BF$123,COLUMN(BA24)-COLUMN($AG$24)+1,0),0)</f>
        <v>0</v>
      </c>
      <c r="P28" s="1109">
        <f t="shared" ref="P28:P33" si="16">IF(O28&lt;&gt;0,$P$8,0)</f>
        <v>0</v>
      </c>
      <c r="Q28" s="1103">
        <f t="shared" si="6"/>
        <v>0</v>
      </c>
      <c r="R28" s="1108">
        <v>4000</v>
      </c>
      <c r="S28" s="1109">
        <f>IFERROR(VLOOKUP(L2_O,$BJ$24:$CI$123,COLUMN(CD24)-COLUMN($BJ$24)+1,0),0)</f>
        <v>0</v>
      </c>
      <c r="T28" s="1109">
        <f t="shared" si="1"/>
        <v>0</v>
      </c>
      <c r="U28" s="1103">
        <f t="shared" si="2"/>
        <v>0</v>
      </c>
      <c r="V28" s="1108">
        <v>4000</v>
      </c>
      <c r="W28" s="1109">
        <f>IFERROR(VLOOKUP(L3_O,$BJ$24:$CI$123,COLUMN(CD24)-COLUMN($BJ$24)+1,0),0)</f>
        <v>0</v>
      </c>
      <c r="X28" s="1109">
        <f t="shared" si="3"/>
        <v>0</v>
      </c>
      <c r="Y28" s="1103">
        <v>0</v>
      </c>
      <c r="Z28" s="1108">
        <v>4000</v>
      </c>
      <c r="AA28" s="1109">
        <f>IFERROR(VLOOKUP(L4_O,$BJ$24:$CI$123,COLUMN(CD24)-COLUMN($BJ$24)+1,0),0)</f>
        <v>0</v>
      </c>
      <c r="AB28" s="1109">
        <f t="shared" ref="AB28:AB33" si="17">IF(AA28&lt;&gt;0,$AB$8,0)</f>
        <v>0</v>
      </c>
      <c r="AC28" s="1103">
        <f>AA28*AB28+IF(AA28*AB28,(H_F+H_C-2)*BASIC_TOOL!$K$11,0)</f>
        <v>0</v>
      </c>
      <c r="AG28" s="398">
        <v>2.5</v>
      </c>
      <c r="AH28" s="398"/>
      <c r="AI28" s="398"/>
      <c r="AJ28" s="398"/>
      <c r="AK28" s="399"/>
      <c r="AL28" s="399"/>
      <c r="AM28" s="399"/>
      <c r="AN28" s="399"/>
      <c r="AO28" s="399"/>
      <c r="AP28" s="399"/>
      <c r="AQ28" s="399"/>
      <c r="AR28" s="399"/>
      <c r="AS28" s="399">
        <v>1</v>
      </c>
      <c r="AT28" s="399"/>
      <c r="AU28" s="399"/>
      <c r="AV28" s="399"/>
      <c r="AW28" s="399"/>
      <c r="AX28" s="399"/>
      <c r="AY28" s="1100"/>
      <c r="AZ28" s="399"/>
      <c r="BA28" s="399"/>
      <c r="BB28" s="399"/>
      <c r="BC28" s="399"/>
      <c r="BD28" s="399"/>
      <c r="BE28" s="399"/>
      <c r="BF28" s="399"/>
      <c r="BG28" s="253">
        <f t="shared" si="11"/>
        <v>2500</v>
      </c>
      <c r="BH28" s="393" t="str">
        <f t="shared" si="12"/>
        <v>OK</v>
      </c>
      <c r="BJ28" s="398">
        <v>2.5</v>
      </c>
      <c r="BK28" s="398"/>
      <c r="BL28" s="398"/>
      <c r="BM28" s="398"/>
      <c r="BN28" s="399"/>
      <c r="BO28" s="399"/>
      <c r="BP28" s="399"/>
      <c r="BQ28" s="399"/>
      <c r="BR28" s="399"/>
      <c r="BS28" s="399"/>
      <c r="BT28" s="399"/>
      <c r="BU28" s="399"/>
      <c r="BV28" s="399">
        <v>1</v>
      </c>
      <c r="BW28" s="399"/>
      <c r="BX28" s="399"/>
      <c r="BY28" s="399"/>
      <c r="BZ28" s="399"/>
      <c r="CA28" s="399"/>
      <c r="CB28" s="1100"/>
      <c r="CC28" s="399"/>
      <c r="CD28" s="399"/>
      <c r="CE28" s="399"/>
      <c r="CF28" s="399"/>
      <c r="CG28" s="399"/>
      <c r="CH28" s="399"/>
      <c r="CI28" s="399"/>
      <c r="CJ28" s="399"/>
      <c r="CK28" s="393" t="str">
        <f t="shared" si="13"/>
        <v>NG</v>
      </c>
    </row>
    <row r="29" spans="1:89" ht="18.75" customHeight="1">
      <c r="A29" s="123" t="str">
        <f>IF(B29="","",(VLOOKUP(B:B,'0.39'!B:F,5,FALSE)))</f>
        <v/>
      </c>
      <c r="B29" s="123" t="str">
        <f>IF(BASIC_TOOL!$B$23=1,D29,0)</f>
        <v/>
      </c>
      <c r="C29" s="123" t="str">
        <f>IF(BASIC_TOOL!$B$23=1,E29,0)</f>
        <v/>
      </c>
      <c r="D29" s="561" t="str">
        <f t="array" ref="D29">IF(ISERROR(INDEX($H$8:$H$36,SMALL(IF($I$8:$I$36&lt;&gt;0,ROW($I$8:$I$36)-7),ROW(D22)))),"",INDEX($H$8:$H$36,SMALL(IF($I$8:$I$36&lt;&gt;0,ROW($I$8:$I$36)-7),ROW(D22))))</f>
        <v/>
      </c>
      <c r="E29" s="562" t="str">
        <f t="array" ref="E29">IF(ISERROR(INDEX($I$8:$I$36,SMALL(IF($I$8:$I$36&lt;&gt;0,ROW($I$8:$I$36)-7),ROW(E22)))),"",INDEX($I$8:$I$36,SMALL(IF($I$8:$I$36&lt;&gt;0,ROW($I$8:$I$36)-7),ROW(E22))))</f>
        <v/>
      </c>
      <c r="F29" s="558"/>
      <c r="H29" s="1101" t="str">
        <f>IF(BASIC_TOOL!$E$23=2,"TR-12M4280SA2","TR-12M4280SA4")</f>
        <v>TR-12M4280SA4</v>
      </c>
      <c r="I29" s="1102">
        <f t="shared" si="0"/>
        <v>0</v>
      </c>
      <c r="J29" s="1108">
        <v>4280</v>
      </c>
      <c r="K29" s="1109">
        <f>IFERROR(VLOOKUP(W_O,$AG$24:$BF$123,COLUMN(BB24)-COLUMN($AG$24)+1,0),0)</f>
        <v>0</v>
      </c>
      <c r="L29" s="1109">
        <f t="shared" si="14"/>
        <v>0</v>
      </c>
      <c r="M29" s="1103">
        <f t="shared" si="15"/>
        <v>0</v>
      </c>
      <c r="N29" s="1108">
        <v>4280</v>
      </c>
      <c r="O29" s="1109">
        <f>IFERROR(VLOOKUP(L1_O,$AG$24:$BF$123,COLUMN(BB24)-COLUMN($AG$24)+1,0),0)</f>
        <v>0</v>
      </c>
      <c r="P29" s="1109">
        <f t="shared" si="16"/>
        <v>0</v>
      </c>
      <c r="Q29" s="1103">
        <f t="shared" ref="Q29:Q35" si="18">O29*P29</f>
        <v>0</v>
      </c>
      <c r="R29" s="1108">
        <v>4280</v>
      </c>
      <c r="S29" s="1109">
        <f>IFERROR(VLOOKUP(L2_O,$BJ$24:$CI$123,COLUMN(CE24)-COLUMN($BJ$24)+1,0),0)</f>
        <v>0</v>
      </c>
      <c r="T29" s="1109">
        <f t="shared" si="1"/>
        <v>0</v>
      </c>
      <c r="U29" s="1103">
        <f t="shared" si="2"/>
        <v>0</v>
      </c>
      <c r="V29" s="1108">
        <v>4280</v>
      </c>
      <c r="W29" s="1109">
        <f>IFERROR(VLOOKUP(L3_O,$BJ$24:$CI$123,COLUMN(CE24)-COLUMN($BJ$24)+1,0),0)</f>
        <v>0</v>
      </c>
      <c r="X29" s="1109">
        <f t="shared" si="3"/>
        <v>0</v>
      </c>
      <c r="Y29" s="1103">
        <f>W29*X29</f>
        <v>0</v>
      </c>
      <c r="Z29" s="1108">
        <v>4280</v>
      </c>
      <c r="AA29" s="1109">
        <f>IFERROR(VLOOKUP(L4_O,$BJ$24:$CI$123,COLUMN(CE24)-COLUMN($BJ$24)+1,0),0)</f>
        <v>0</v>
      </c>
      <c r="AB29" s="1109">
        <f t="shared" si="17"/>
        <v>0</v>
      </c>
      <c r="AC29" s="1103">
        <f>AA29*AB29</f>
        <v>0</v>
      </c>
      <c r="AG29" s="398">
        <v>3</v>
      </c>
      <c r="AH29" s="398"/>
      <c r="AI29" s="398"/>
      <c r="AJ29" s="398"/>
      <c r="AK29" s="399"/>
      <c r="AL29" s="399"/>
      <c r="AM29" s="399"/>
      <c r="AN29" s="399"/>
      <c r="AO29" s="399"/>
      <c r="AP29" s="399"/>
      <c r="AQ29" s="399"/>
      <c r="AR29" s="399"/>
      <c r="AS29" s="399"/>
      <c r="AT29" s="399"/>
      <c r="AU29" s="399">
        <v>1</v>
      </c>
      <c r="AV29" s="399"/>
      <c r="AW29" s="399"/>
      <c r="AX29" s="399"/>
      <c r="AY29" s="1100"/>
      <c r="AZ29" s="399"/>
      <c r="BA29" s="399"/>
      <c r="BB29" s="399"/>
      <c r="BC29" s="399"/>
      <c r="BD29" s="399"/>
      <c r="BE29" s="399"/>
      <c r="BF29" s="399"/>
      <c r="BG29" s="253">
        <f t="shared" si="11"/>
        <v>3000</v>
      </c>
      <c r="BH29" s="393" t="str">
        <f t="shared" si="12"/>
        <v>OK</v>
      </c>
      <c r="BJ29" s="398">
        <v>3</v>
      </c>
      <c r="BK29" s="398"/>
      <c r="BL29" s="398"/>
      <c r="BM29" s="398"/>
      <c r="BN29" s="399"/>
      <c r="BO29" s="399"/>
      <c r="BP29" s="399"/>
      <c r="BQ29" s="399"/>
      <c r="BR29" s="399"/>
      <c r="BS29" s="399"/>
      <c r="BT29" s="399"/>
      <c r="BU29" s="399"/>
      <c r="BV29" s="399"/>
      <c r="BW29" s="399"/>
      <c r="BX29" s="399">
        <v>1</v>
      </c>
      <c r="BY29" s="399"/>
      <c r="BZ29" s="399"/>
      <c r="CA29" s="399"/>
      <c r="CB29" s="1100"/>
      <c r="CC29" s="399"/>
      <c r="CD29" s="399"/>
      <c r="CE29" s="399"/>
      <c r="CF29" s="399"/>
      <c r="CG29" s="399"/>
      <c r="CH29" s="399"/>
      <c r="CI29" s="399"/>
      <c r="CJ29" s="399"/>
      <c r="CK29" s="393" t="str">
        <f t="shared" si="13"/>
        <v>NG</v>
      </c>
    </row>
    <row r="30" spans="1:89" ht="17.25">
      <c r="A30" s="123" t="str">
        <f>IF(B30="","",(VLOOKUP(B:B,'0.39'!B:F,5,FALSE)))</f>
        <v/>
      </c>
      <c r="B30" s="123" t="str">
        <f>IF(BASIC_TOOL!$B$23=1,D30,0)</f>
        <v/>
      </c>
      <c r="C30" s="123" t="str">
        <f>IF(BASIC_TOOL!$B$23=1,E30,0)</f>
        <v/>
      </c>
      <c r="D30" s="561" t="str">
        <f t="array" ref="D30">IF(ISERROR(INDEX($H$8:$H$36,SMALL(IF($I$8:$I$36&lt;&gt;0,ROW($I$8:$I$36)-7),ROW(D23)))),"",INDEX($H$8:$H$36,SMALL(IF($I$8:$I$36&lt;&gt;0,ROW($I$8:$I$36)-7),ROW(D23))))</f>
        <v/>
      </c>
      <c r="E30" s="562" t="str">
        <f t="array" ref="E30">IF(ISERROR(INDEX($I$8:$I$36,SMALL(IF($I$8:$I$36&lt;&gt;0,ROW($I$8:$I$36)-7),ROW(E23)))),"",INDEX($I$8:$I$36,SMALL(IF($I$8:$I$36&lt;&gt;0,ROW($I$8:$I$36)-7),ROW(E23))))</f>
        <v/>
      </c>
      <c r="F30" s="558"/>
      <c r="H30" s="1101" t="str">
        <f>IF(BASIC_TOOL!$E$23=2,"TR-12M4380SA2","TR-12M4380SA4")</f>
        <v>TR-12M4380SA4</v>
      </c>
      <c r="I30" s="1102">
        <f t="shared" si="0"/>
        <v>0</v>
      </c>
      <c r="J30" s="1108">
        <v>4380</v>
      </c>
      <c r="K30" s="1109">
        <f>IFERROR(VLOOKUP(W_O,$AG$24:$BF$123,COLUMN(BC24)-COLUMN($AG$24)+1,0),0)</f>
        <v>0</v>
      </c>
      <c r="L30" s="1109">
        <f t="shared" si="14"/>
        <v>0</v>
      </c>
      <c r="M30" s="1103">
        <f t="shared" si="15"/>
        <v>0</v>
      </c>
      <c r="N30" s="1108">
        <v>4380</v>
      </c>
      <c r="O30" s="1109">
        <f>IFERROR(VLOOKUP(L1_O,$AG$24:$BF$123,COLUMN(BC24)-COLUMN($AG$24)+1,0),0)</f>
        <v>0</v>
      </c>
      <c r="P30" s="1109">
        <f t="shared" si="16"/>
        <v>0</v>
      </c>
      <c r="Q30" s="1103">
        <f t="shared" si="18"/>
        <v>0</v>
      </c>
      <c r="R30" s="1108">
        <v>4380</v>
      </c>
      <c r="S30" s="1109">
        <f>IFERROR(VLOOKUP(L2_O,$BJ$24:$CI$123,COLUMN(CF24)-COLUMN($BJ$24)+1,0),0)</f>
        <v>0</v>
      </c>
      <c r="T30" s="1109">
        <f t="shared" si="1"/>
        <v>0</v>
      </c>
      <c r="U30" s="1103">
        <f t="shared" si="2"/>
        <v>0</v>
      </c>
      <c r="V30" s="1108">
        <v>4380</v>
      </c>
      <c r="W30" s="1109">
        <f>IFERROR(VLOOKUP(L3_O,$BJ$24:$CI$123,COLUMN(CF24)-COLUMN($BJ$24)+1,0),0)</f>
        <v>0</v>
      </c>
      <c r="X30" s="1109">
        <f t="shared" si="3"/>
        <v>0</v>
      </c>
      <c r="Y30" s="1103">
        <v>0</v>
      </c>
      <c r="Z30" s="1108">
        <v>4380</v>
      </c>
      <c r="AA30" s="1109">
        <f>IFERROR(VLOOKUP(L4_O,$BJ$24:$CI$123,COLUMN(CF24)-COLUMN($BJ$24)+1,0),0)</f>
        <v>0</v>
      </c>
      <c r="AB30" s="1109">
        <f t="shared" si="17"/>
        <v>0</v>
      </c>
      <c r="AC30" s="1103">
        <f>AA30*AB30+IF(AA30*AB30,(H_F+H_C-2)*BASIC_TOOL!$K$11,0)</f>
        <v>0</v>
      </c>
      <c r="AG30" s="398">
        <v>3.5</v>
      </c>
      <c r="AH30" s="398"/>
      <c r="AI30" s="398"/>
      <c r="AJ30" s="398"/>
      <c r="AK30" s="399"/>
      <c r="AL30" s="399"/>
      <c r="AM30" s="399"/>
      <c r="AN30" s="399"/>
      <c r="AO30" s="399"/>
      <c r="AP30" s="399"/>
      <c r="AQ30" s="399"/>
      <c r="AR30" s="399"/>
      <c r="AS30" s="399"/>
      <c r="AT30" s="399"/>
      <c r="AU30" s="399"/>
      <c r="AV30" s="399"/>
      <c r="AW30" s="399"/>
      <c r="AX30" s="399">
        <v>1</v>
      </c>
      <c r="AY30" s="1100"/>
      <c r="AZ30" s="399"/>
      <c r="BA30" s="399"/>
      <c r="BB30" s="399"/>
      <c r="BC30" s="399"/>
      <c r="BD30" s="399"/>
      <c r="BE30" s="399"/>
      <c r="BF30" s="399"/>
      <c r="BG30" s="253">
        <f t="shared" si="11"/>
        <v>3500</v>
      </c>
      <c r="BH30" s="393" t="str">
        <f t="shared" si="12"/>
        <v>OK</v>
      </c>
      <c r="BJ30" s="398">
        <v>3.5</v>
      </c>
      <c r="BK30" s="398"/>
      <c r="BL30" s="398"/>
      <c r="BM30" s="398"/>
      <c r="BN30" s="399"/>
      <c r="BO30" s="399"/>
      <c r="BP30" s="399"/>
      <c r="BQ30" s="399"/>
      <c r="BR30" s="399"/>
      <c r="BS30" s="399"/>
      <c r="BT30" s="399"/>
      <c r="BU30" s="399"/>
      <c r="BV30" s="399"/>
      <c r="BW30" s="399"/>
      <c r="BX30" s="399"/>
      <c r="BY30" s="399"/>
      <c r="BZ30" s="399"/>
      <c r="CA30" s="399">
        <v>1</v>
      </c>
      <c r="CB30" s="1100"/>
      <c r="CC30" s="399"/>
      <c r="CD30" s="399"/>
      <c r="CE30" s="399"/>
      <c r="CF30" s="399"/>
      <c r="CG30" s="399"/>
      <c r="CH30" s="399"/>
      <c r="CI30" s="399"/>
      <c r="CJ30" s="399"/>
      <c r="CK30" s="393" t="str">
        <f t="shared" si="13"/>
        <v>NG</v>
      </c>
    </row>
    <row r="31" spans="1:89" ht="17.25">
      <c r="A31" s="123" t="str">
        <f>IF(B31="","",(VLOOKUP(B:B,'0.39'!B:F,5,FALSE)))</f>
        <v/>
      </c>
      <c r="B31" s="123" t="str">
        <f>IF(BASIC_TOOL!$B$23=1,D31,0)</f>
        <v/>
      </c>
      <c r="C31" s="123" t="str">
        <f>IF(BASIC_TOOL!$B$23=1,E31,0)</f>
        <v/>
      </c>
      <c r="D31" s="561" t="str">
        <f t="array" ref="D31">IF(ISERROR(INDEX($H$8:$H$36,SMALL(IF($I$8:$I$36&lt;&gt;0,ROW($I$8:$I$36)-7),ROW(D24)))),"",INDEX($H$8:$H$36,SMALL(IF($I$8:$I$36&lt;&gt;0,ROW($I$8:$I$36)-7),ROW(D24))))</f>
        <v/>
      </c>
      <c r="E31" s="562" t="str">
        <f t="array" ref="E31">IF(ISERROR(INDEX($I$8:$I$36,SMALL(IF($I$8:$I$36&lt;&gt;0,ROW($I$8:$I$36)-7),ROW(E24)))),"",INDEX($I$8:$I$36,SMALL(IF($I$8:$I$36&lt;&gt;0,ROW($I$8:$I$36)-7),ROW(E24))))</f>
        <v/>
      </c>
      <c r="F31" s="558"/>
      <c r="H31" s="1101" t="str">
        <f>IF(BASIC_TOOL!$E$23=2,"TR-12M4780SA2","TR-12M4780SA4")</f>
        <v>TR-12M4780SA4</v>
      </c>
      <c r="I31" s="1102">
        <f t="shared" si="0"/>
        <v>0</v>
      </c>
      <c r="J31" s="1108">
        <v>4780</v>
      </c>
      <c r="K31" s="1109">
        <f>IFERROR(VLOOKUP(W_O,$AG$24:$BF$123,COLUMN(BD24)-COLUMN($AG$24)+1,0),0)</f>
        <v>0</v>
      </c>
      <c r="L31" s="1109">
        <f t="shared" si="14"/>
        <v>0</v>
      </c>
      <c r="M31" s="1103">
        <f t="shared" si="15"/>
        <v>0</v>
      </c>
      <c r="N31" s="1108">
        <v>4780</v>
      </c>
      <c r="O31" s="1109">
        <f>IFERROR(VLOOKUP(L1_O,$AG$24:$BF$123,COLUMN(BD24)-COLUMN($AG$24)+1,0),0)</f>
        <v>0</v>
      </c>
      <c r="P31" s="1109">
        <f t="shared" si="16"/>
        <v>0</v>
      </c>
      <c r="Q31" s="1103">
        <f t="shared" si="18"/>
        <v>0</v>
      </c>
      <c r="R31" s="1108">
        <v>4780</v>
      </c>
      <c r="S31" s="1109">
        <f>IFERROR(VLOOKUP(L2_O,$BJ$24:$CI$123,COLUMN(CG24)-COLUMN($BJ$24)+1,0),0)</f>
        <v>0</v>
      </c>
      <c r="T31" s="1109">
        <f t="shared" si="1"/>
        <v>0</v>
      </c>
      <c r="U31" s="1103">
        <f t="shared" si="2"/>
        <v>0</v>
      </c>
      <c r="V31" s="1108">
        <v>4780</v>
      </c>
      <c r="W31" s="1109">
        <f>IFERROR(VLOOKUP(L3_O,$BJ$24:$CI$123,COLUMN(CG24)-COLUMN($BJ$24)+1,0),0)</f>
        <v>0</v>
      </c>
      <c r="X31" s="1109">
        <f t="shared" si="3"/>
        <v>0</v>
      </c>
      <c r="Y31" s="1103">
        <v>0</v>
      </c>
      <c r="Z31" s="1108">
        <v>4780</v>
      </c>
      <c r="AA31" s="1109">
        <f>IFERROR(VLOOKUP(L4_O,$BJ$24:$CI$123,COLUMN(CG24)-COLUMN($BJ$24)+1,0),0)</f>
        <v>0</v>
      </c>
      <c r="AB31" s="1109">
        <f t="shared" si="17"/>
        <v>0</v>
      </c>
      <c r="AC31" s="1103">
        <f>AA31*AB31+IF(AA31*AB31,(H_F+H_C-2)*BASIC_TOOL!$K$11,0)</f>
        <v>0</v>
      </c>
      <c r="AG31" s="398">
        <v>4</v>
      </c>
      <c r="AH31" s="398"/>
      <c r="AI31" s="398"/>
      <c r="AJ31" s="398"/>
      <c r="AK31" s="399"/>
      <c r="AL31" s="399"/>
      <c r="AM31" s="399"/>
      <c r="AN31" s="399"/>
      <c r="AO31" s="399"/>
      <c r="AP31" s="399"/>
      <c r="AQ31" s="399"/>
      <c r="AR31" s="399"/>
      <c r="AS31" s="399"/>
      <c r="AT31" s="399"/>
      <c r="AU31" s="399"/>
      <c r="AV31" s="399"/>
      <c r="AW31" s="399"/>
      <c r="AX31" s="399"/>
      <c r="AY31" s="1100"/>
      <c r="AZ31" s="399">
        <v>1</v>
      </c>
      <c r="BA31" s="399"/>
      <c r="BB31" s="399"/>
      <c r="BC31" s="399"/>
      <c r="BD31" s="399"/>
      <c r="BE31" s="399"/>
      <c r="BF31" s="399"/>
      <c r="BG31" s="253">
        <f t="shared" si="11"/>
        <v>4000</v>
      </c>
      <c r="BH31" s="393" t="str">
        <f t="shared" si="12"/>
        <v>OK</v>
      </c>
      <c r="BJ31" s="398">
        <v>4</v>
      </c>
      <c r="BK31" s="398"/>
      <c r="BL31" s="398"/>
      <c r="BM31" s="398"/>
      <c r="BN31" s="399"/>
      <c r="BO31" s="399"/>
      <c r="BP31" s="399"/>
      <c r="BQ31" s="399"/>
      <c r="BR31" s="399"/>
      <c r="BS31" s="399"/>
      <c r="BT31" s="399"/>
      <c r="BU31" s="399"/>
      <c r="BV31" s="399"/>
      <c r="BW31" s="399"/>
      <c r="BX31" s="399"/>
      <c r="BY31" s="399"/>
      <c r="BZ31" s="399"/>
      <c r="CA31" s="399"/>
      <c r="CB31" s="1100"/>
      <c r="CC31" s="399">
        <v>1</v>
      </c>
      <c r="CD31" s="399"/>
      <c r="CE31" s="399"/>
      <c r="CF31" s="399"/>
      <c r="CG31" s="399"/>
      <c r="CH31" s="399"/>
      <c r="CI31" s="399"/>
      <c r="CJ31" s="399"/>
      <c r="CK31" s="393" t="str">
        <f t="shared" si="13"/>
        <v>NG</v>
      </c>
    </row>
    <row r="32" spans="1:89" ht="17.25">
      <c r="A32" s="123" t="str">
        <f>IF(B32="","",(VLOOKUP(B:B,'0.39'!B:F,5,FALSE)))</f>
        <v/>
      </c>
      <c r="B32" s="123" t="str">
        <f>IF(BASIC_TOOL!$B$23=1,D32,0)</f>
        <v/>
      </c>
      <c r="C32" s="123" t="str">
        <f>IF(BASIC_TOOL!$B$23=1,E32,0)</f>
        <v/>
      </c>
      <c r="D32" s="561" t="str">
        <f t="array" ref="D32">IF(ISERROR(INDEX($H$8:$H$36,SMALL(IF($I$8:$I$36&lt;&gt;0,ROW($I$8:$I$36)-7),ROW(D25)))),"",INDEX($H$8:$H$36,SMALL(IF($I$8:$I$36&lt;&gt;0,ROW($I$8:$I$36)-7),ROW(D25))))</f>
        <v/>
      </c>
      <c r="E32" s="562" t="str">
        <f t="array" ref="E32">IF(ISERROR(INDEX($I$8:$I$36,SMALL(IF($I$8:$I$36&lt;&gt;0,ROW($I$8:$I$36)-7),ROW(E25)))),"",INDEX($I$8:$I$36,SMALL(IF($I$8:$I$36&lt;&gt;0,ROW($I$8:$I$36)-7),ROW(E25))))</f>
        <v/>
      </c>
      <c r="F32" s="558"/>
      <c r="H32" s="1101" t="str">
        <f>IF(BASIC_TOOL!$E$23=2,"TR-12M4880SA2","TR-12M4880SA4")</f>
        <v>TR-12M4880SA4</v>
      </c>
      <c r="I32" s="1102">
        <f t="shared" si="0"/>
        <v>27</v>
      </c>
      <c r="J32" s="1108">
        <v>4880</v>
      </c>
      <c r="K32" s="1109">
        <f>IFERROR(VLOOKUP(W_O,$AG$24:$BF$123,COLUMN(BE24)-COLUMN($AG$24)+1,0),0)</f>
        <v>0</v>
      </c>
      <c r="L32" s="1109">
        <f t="shared" si="14"/>
        <v>0</v>
      </c>
      <c r="M32" s="1103">
        <f t="shared" si="15"/>
        <v>0</v>
      </c>
      <c r="N32" s="1108">
        <v>4880</v>
      </c>
      <c r="O32" s="1109">
        <f>IFERROR(VLOOKUP(L1_O,$AG$24:$BF$123,COLUMN(BE24)-COLUMN($AG$24)+1,0),0)</f>
        <v>1</v>
      </c>
      <c r="P32" s="1109">
        <f t="shared" si="16"/>
        <v>27</v>
      </c>
      <c r="Q32" s="1103">
        <f t="shared" si="18"/>
        <v>27</v>
      </c>
      <c r="R32" s="1108">
        <v>4880</v>
      </c>
      <c r="S32" s="1109">
        <f>IFERROR(VLOOKUP(L2_O,$BJ$24:$CI$123,COLUMN(CH24)-COLUMN($BJ$24)+1,0),0)</f>
        <v>0</v>
      </c>
      <c r="T32" s="1109">
        <f t="shared" si="1"/>
        <v>0</v>
      </c>
      <c r="U32" s="1103">
        <f t="shared" si="2"/>
        <v>0</v>
      </c>
      <c r="V32" s="1108">
        <v>4880</v>
      </c>
      <c r="W32" s="1109">
        <f>IFERROR(VLOOKUP(L3_O,$BJ$24:$CI$123,COLUMN(CH24)-COLUMN($BJ$24)+1,0),0)</f>
        <v>0</v>
      </c>
      <c r="X32" s="1109">
        <f t="shared" si="3"/>
        <v>0</v>
      </c>
      <c r="Y32" s="1103">
        <v>0</v>
      </c>
      <c r="Z32" s="1108">
        <v>4880</v>
      </c>
      <c r="AA32" s="1109">
        <f>IFERROR(VLOOKUP(L4_O,$BJ$24:$CI$123,COLUMN(CH24)-COLUMN($BJ$24)+1,0),0)</f>
        <v>0</v>
      </c>
      <c r="AB32" s="1109">
        <f t="shared" si="17"/>
        <v>0</v>
      </c>
      <c r="AC32" s="1103">
        <f>AA32*AB32+IF(AA32*AB32,(H_F+H_C-2)*BASIC_TOOL!$K$11,0)</f>
        <v>0</v>
      </c>
      <c r="AG32" s="398">
        <v>4.5</v>
      </c>
      <c r="AH32" s="398"/>
      <c r="AI32" s="398"/>
      <c r="AJ32" s="398"/>
      <c r="AK32" s="399"/>
      <c r="AL32" s="399"/>
      <c r="AM32" s="399"/>
      <c r="AN32" s="399"/>
      <c r="AO32" s="399"/>
      <c r="AP32" s="399"/>
      <c r="AQ32" s="399"/>
      <c r="AR32" s="399"/>
      <c r="AS32" s="399"/>
      <c r="AT32" s="399"/>
      <c r="AU32" s="399"/>
      <c r="AV32" s="399"/>
      <c r="AW32" s="399"/>
      <c r="AX32" s="399"/>
      <c r="AY32" s="1100"/>
      <c r="AZ32" s="399"/>
      <c r="BA32" s="399"/>
      <c r="BB32" s="399"/>
      <c r="BC32" s="399">
        <v>1</v>
      </c>
      <c r="BD32" s="399"/>
      <c r="BE32" s="399"/>
      <c r="BF32" s="399"/>
      <c r="BG32" s="253">
        <f t="shared" si="11"/>
        <v>4500</v>
      </c>
      <c r="BH32" s="393" t="str">
        <f t="shared" si="12"/>
        <v>OK</v>
      </c>
      <c r="BJ32" s="398">
        <v>4.5</v>
      </c>
      <c r="BK32" s="398"/>
      <c r="BL32" s="398"/>
      <c r="BM32" s="398"/>
      <c r="BN32" s="399"/>
      <c r="BO32" s="399"/>
      <c r="BP32" s="399"/>
      <c r="BQ32" s="399"/>
      <c r="BR32" s="399"/>
      <c r="BS32" s="399"/>
      <c r="BT32" s="399"/>
      <c r="BU32" s="399"/>
      <c r="BV32" s="399"/>
      <c r="BW32" s="399"/>
      <c r="BX32" s="399"/>
      <c r="BY32" s="399"/>
      <c r="BZ32" s="399"/>
      <c r="CA32" s="399"/>
      <c r="CB32" s="1100"/>
      <c r="CC32" s="399"/>
      <c r="CD32" s="399"/>
      <c r="CE32" s="399"/>
      <c r="CF32" s="399"/>
      <c r="CG32" s="399">
        <v>1</v>
      </c>
      <c r="CH32" s="399"/>
      <c r="CI32" s="399"/>
      <c r="CJ32" s="399"/>
      <c r="CK32" s="393" t="str">
        <f t="shared" si="13"/>
        <v>NG</v>
      </c>
    </row>
    <row r="33" spans="4:89">
      <c r="D33" s="561" t="str">
        <f t="array" ref="D33">IF(ISERROR(INDEX($H$8:$H$36,SMALL(IF($I$8:$I$36&lt;&gt;0,ROW($I$8:$I$36)-7),ROW(D26)))),"",INDEX($H$8:$H$36,SMALL(IF($I$8:$I$36&lt;&gt;0,ROW($I$8:$I$36)-7),ROW(D26))))</f>
        <v/>
      </c>
      <c r="E33" s="562" t="str">
        <f t="array" ref="E33">IF(ISERROR(INDEX($I$8:$I$36,SMALL(IF($I$8:$I$36&lt;&gt;0,ROW($I$8:$I$36)-7),ROW(E26)))),"",INDEX($I$8:$I$36,SMALL(IF($I$8:$I$36&lt;&gt;0,ROW($I$8:$I$36)-7),ROW(E26))))</f>
        <v/>
      </c>
      <c r="F33" s="558"/>
      <c r="H33" s="1101" t="str">
        <f>IF(BASIC_TOOL!$E$23=2,"TR-12M5000SA2","TR-12M5000SA4")</f>
        <v>TR-12M5000SA4</v>
      </c>
      <c r="I33" s="1102">
        <f t="shared" si="0"/>
        <v>0</v>
      </c>
      <c r="J33" s="1108">
        <v>5000</v>
      </c>
      <c r="K33" s="1109">
        <f>IFERROR(VLOOKUP(W_O,$AG$24:$BF$123,COLUMN(BF24)-COLUMN($AG$24)+1,0),0)</f>
        <v>0</v>
      </c>
      <c r="L33" s="1109">
        <f t="shared" si="14"/>
        <v>0</v>
      </c>
      <c r="M33" s="1103">
        <f t="shared" si="15"/>
        <v>0</v>
      </c>
      <c r="N33" s="1108">
        <v>5000</v>
      </c>
      <c r="O33" s="1109">
        <f>IFERROR(VLOOKUP(L1_O,$AG$24:$BF$123,COLUMN(BF24)-COLUMN($AG$24)+1,0),0)</f>
        <v>0</v>
      </c>
      <c r="P33" s="1109">
        <f t="shared" si="16"/>
        <v>0</v>
      </c>
      <c r="Q33" s="1103">
        <f t="shared" si="18"/>
        <v>0</v>
      </c>
      <c r="R33" s="1108">
        <v>5000</v>
      </c>
      <c r="S33" s="1109">
        <f>IFERROR(VLOOKUP(L2_O,$BJ$24:$CI$123,COLUMN(CI24)-COLUMN($BJ$24)+1,0),0)</f>
        <v>0</v>
      </c>
      <c r="T33" s="1109">
        <f t="shared" si="1"/>
        <v>0</v>
      </c>
      <c r="U33" s="1103">
        <f t="shared" si="2"/>
        <v>0</v>
      </c>
      <c r="V33" s="1108">
        <v>5000</v>
      </c>
      <c r="W33" s="1109">
        <f>IFERROR(VLOOKUP(L3_O,$BJ$24:$CI$123,COLUMN(CI24)-COLUMN($BJ$24)+1,0),0)</f>
        <v>0</v>
      </c>
      <c r="X33" s="1109">
        <f t="shared" si="3"/>
        <v>0</v>
      </c>
      <c r="Y33" s="1103">
        <f>W33*X33</f>
        <v>0</v>
      </c>
      <c r="Z33" s="1108">
        <v>5000</v>
      </c>
      <c r="AA33" s="1109">
        <f>IFERROR(VLOOKUP(L4_O,$BJ$24:$CI$123,COLUMN(CI24)-COLUMN($BJ$24)+1,0),0)</f>
        <v>0</v>
      </c>
      <c r="AB33" s="1109">
        <f t="shared" si="17"/>
        <v>0</v>
      </c>
      <c r="AC33" s="1103">
        <f>AA33*AB33</f>
        <v>0</v>
      </c>
      <c r="AG33" s="398">
        <v>5</v>
      </c>
      <c r="AH33" s="398"/>
      <c r="AI33" s="398"/>
      <c r="AJ33" s="398"/>
      <c r="AK33" s="399"/>
      <c r="AL33" s="399"/>
      <c r="AM33" s="399"/>
      <c r="AN33" s="399"/>
      <c r="AO33" s="399"/>
      <c r="AP33" s="399"/>
      <c r="AQ33" s="399"/>
      <c r="AR33" s="399"/>
      <c r="AS33" s="399"/>
      <c r="AT33" s="399"/>
      <c r="AU33" s="399"/>
      <c r="AV33" s="399"/>
      <c r="AW33" s="399"/>
      <c r="AX33" s="399"/>
      <c r="AY33" s="1100"/>
      <c r="AZ33" s="399"/>
      <c r="BA33" s="399"/>
      <c r="BB33" s="399"/>
      <c r="BC33" s="399"/>
      <c r="BD33" s="399"/>
      <c r="BE33" s="399">
        <v>1</v>
      </c>
      <c r="BF33" s="399"/>
      <c r="BG33" s="253">
        <f t="shared" si="11"/>
        <v>5000</v>
      </c>
      <c r="BH33" s="393" t="str">
        <f t="shared" si="12"/>
        <v>OK</v>
      </c>
      <c r="BJ33" s="398">
        <v>5</v>
      </c>
      <c r="BK33" s="398"/>
      <c r="BL33" s="398"/>
      <c r="BM33" s="398"/>
      <c r="BN33" s="399"/>
      <c r="BO33" s="399"/>
      <c r="BP33" s="399"/>
      <c r="BQ33" s="399"/>
      <c r="BR33" s="399"/>
      <c r="BS33" s="399"/>
      <c r="BT33" s="399"/>
      <c r="BU33" s="399"/>
      <c r="BV33" s="399"/>
      <c r="BW33" s="399"/>
      <c r="BX33" s="399"/>
      <c r="BY33" s="399"/>
      <c r="BZ33" s="399"/>
      <c r="CA33" s="399"/>
      <c r="CB33" s="1100"/>
      <c r="CC33" s="399"/>
      <c r="CD33" s="399"/>
      <c r="CE33" s="399"/>
      <c r="CF33" s="399"/>
      <c r="CG33" s="399"/>
      <c r="CH33" s="399"/>
      <c r="CI33" s="399">
        <v>1</v>
      </c>
      <c r="CJ33" s="399"/>
      <c r="CK33" s="393" t="str">
        <f t="shared" si="13"/>
        <v>NG</v>
      </c>
    </row>
    <row r="34" spans="4:89">
      <c r="D34" s="256"/>
      <c r="E34" s="257"/>
      <c r="F34" s="558"/>
      <c r="H34" s="1101" t="str">
        <f>IF(BASIC_TOOL!$G$23=2,"M12 NUT(SA2)","M12 NUT(SA4)")</f>
        <v>M12 NUT(SA4)</v>
      </c>
      <c r="I34" s="1102">
        <f t="shared" si="0"/>
        <v>156</v>
      </c>
      <c r="J34" s="1104"/>
      <c r="K34" s="1109">
        <v>4</v>
      </c>
      <c r="L34" s="1109">
        <f>L8</f>
        <v>12</v>
      </c>
      <c r="M34" s="1103">
        <f t="shared" si="15"/>
        <v>48</v>
      </c>
      <c r="N34" s="1110"/>
      <c r="O34" s="1109">
        <v>4</v>
      </c>
      <c r="P34" s="1109">
        <f>P8</f>
        <v>27</v>
      </c>
      <c r="Q34" s="1103">
        <f t="shared" si="18"/>
        <v>108</v>
      </c>
      <c r="R34" s="1110"/>
      <c r="S34" s="1109">
        <v>4</v>
      </c>
      <c r="T34" s="1109">
        <f>SUM(T9:T33)</f>
        <v>0</v>
      </c>
      <c r="U34" s="1103">
        <f>S34*T34</f>
        <v>0</v>
      </c>
      <c r="V34" s="1110"/>
      <c r="W34" s="1109">
        <v>4</v>
      </c>
      <c r="X34" s="1109">
        <f>SUM(X9:X33)</f>
        <v>0</v>
      </c>
      <c r="Y34" s="1103">
        <f>W34*X34</f>
        <v>0</v>
      </c>
      <c r="Z34" s="1110"/>
      <c r="AA34" s="1109">
        <v>4</v>
      </c>
      <c r="AB34" s="1109">
        <f>SUM(AB9:AB33)</f>
        <v>0</v>
      </c>
      <c r="AC34" s="1103">
        <f>AA34*AB34</f>
        <v>0</v>
      </c>
      <c r="AG34" s="398">
        <v>5.5</v>
      </c>
      <c r="AH34" s="398"/>
      <c r="AI34" s="398"/>
      <c r="AJ34" s="398"/>
      <c r="AK34" s="399"/>
      <c r="AL34" s="400"/>
      <c r="AM34" s="400"/>
      <c r="AN34" s="400">
        <v>1</v>
      </c>
      <c r="AO34" s="400"/>
      <c r="AP34" s="400"/>
      <c r="AQ34" s="400"/>
      <c r="AR34" s="400"/>
      <c r="AS34" s="400"/>
      <c r="AT34" s="400"/>
      <c r="AU34" s="400"/>
      <c r="AV34" s="400"/>
      <c r="AW34" s="400"/>
      <c r="AX34" s="400"/>
      <c r="AY34" s="400"/>
      <c r="AZ34" s="400"/>
      <c r="BA34" s="399">
        <v>1</v>
      </c>
      <c r="BB34" s="399"/>
      <c r="BC34" s="399"/>
      <c r="BD34" s="399"/>
      <c r="BE34" s="399"/>
      <c r="BF34" s="399"/>
      <c r="BG34" s="253">
        <f t="shared" si="11"/>
        <v>5500</v>
      </c>
      <c r="BH34" s="393" t="str">
        <f t="shared" si="12"/>
        <v>OK</v>
      </c>
      <c r="BJ34" s="398">
        <v>5.5</v>
      </c>
      <c r="BK34" s="398"/>
      <c r="BL34" s="398"/>
      <c r="BM34" s="398"/>
      <c r="BN34" s="399"/>
      <c r="BO34" s="400"/>
      <c r="BP34" s="400"/>
      <c r="BQ34" s="400">
        <v>1</v>
      </c>
      <c r="BR34" s="400"/>
      <c r="BS34" s="400"/>
      <c r="BT34" s="400"/>
      <c r="BU34" s="400"/>
      <c r="BV34" s="400"/>
      <c r="BW34" s="400"/>
      <c r="BX34" s="400"/>
      <c r="BY34" s="400"/>
      <c r="BZ34" s="400"/>
      <c r="CA34" s="400"/>
      <c r="CB34" s="400"/>
      <c r="CC34" s="400"/>
      <c r="CD34" s="399">
        <v>1</v>
      </c>
      <c r="CE34" s="399"/>
      <c r="CF34" s="399"/>
      <c r="CG34" s="399"/>
      <c r="CH34" s="399"/>
      <c r="CI34" s="399"/>
      <c r="CJ34" s="399"/>
      <c r="CK34" s="393" t="str">
        <f t="shared" si="13"/>
        <v>NG</v>
      </c>
    </row>
    <row r="35" spans="4:89">
      <c r="D35" s="256"/>
      <c r="E35" s="257"/>
      <c r="F35" s="558"/>
      <c r="H35" s="1101" t="str">
        <f>IF(BASIC_TOOL!$G$23=2,"M12 BW(SA2)","M12 BW(SA4)")</f>
        <v>M12 BW(SA4)</v>
      </c>
      <c r="I35" s="1102">
        <f t="shared" si="0"/>
        <v>156</v>
      </c>
      <c r="J35" s="1104"/>
      <c r="K35" s="1109">
        <v>4</v>
      </c>
      <c r="L35" s="1109">
        <f>L34</f>
        <v>12</v>
      </c>
      <c r="M35" s="1103">
        <f t="shared" si="15"/>
        <v>48</v>
      </c>
      <c r="N35" s="1110"/>
      <c r="O35" s="1109">
        <v>4</v>
      </c>
      <c r="P35" s="1109">
        <f>P34</f>
        <v>27</v>
      </c>
      <c r="Q35" s="1103">
        <f t="shared" si="18"/>
        <v>108</v>
      </c>
      <c r="R35" s="1110"/>
      <c r="S35" s="1109">
        <v>4</v>
      </c>
      <c r="T35" s="1109">
        <f>T34</f>
        <v>0</v>
      </c>
      <c r="U35" s="1103">
        <f>S35*T35</f>
        <v>0</v>
      </c>
      <c r="V35" s="1110"/>
      <c r="W35" s="1109">
        <v>4</v>
      </c>
      <c r="X35" s="1109">
        <f>X34</f>
        <v>0</v>
      </c>
      <c r="Y35" s="1103">
        <f>W35*X35</f>
        <v>0</v>
      </c>
      <c r="Z35" s="1110"/>
      <c r="AA35" s="1109">
        <v>4</v>
      </c>
      <c r="AB35" s="1109">
        <f>AB34</f>
        <v>0</v>
      </c>
      <c r="AC35" s="1103">
        <f>AA35*AB35</f>
        <v>0</v>
      </c>
      <c r="AG35" s="398">
        <v>6</v>
      </c>
      <c r="AH35" s="398"/>
      <c r="AI35" s="398"/>
      <c r="AJ35" s="398"/>
      <c r="AK35" s="399"/>
      <c r="AL35" s="399"/>
      <c r="AM35" s="399"/>
      <c r="AN35" s="399"/>
      <c r="AO35" s="399"/>
      <c r="AP35" s="399">
        <v>1</v>
      </c>
      <c r="AQ35" s="399"/>
      <c r="AR35" s="399"/>
      <c r="AS35" s="399"/>
      <c r="AT35" s="399"/>
      <c r="AU35" s="399"/>
      <c r="AV35" s="399"/>
      <c r="AW35" s="399"/>
      <c r="AX35" s="399"/>
      <c r="AY35" s="1100"/>
      <c r="AZ35" s="399"/>
      <c r="BA35" s="399">
        <v>1</v>
      </c>
      <c r="BB35" s="399"/>
      <c r="BC35" s="399"/>
      <c r="BD35" s="399"/>
      <c r="BE35" s="399"/>
      <c r="BF35" s="399"/>
      <c r="BG35" s="253">
        <f t="shared" si="11"/>
        <v>6000</v>
      </c>
      <c r="BH35" s="393" t="str">
        <f t="shared" si="12"/>
        <v>OK</v>
      </c>
      <c r="BJ35" s="398">
        <v>6</v>
      </c>
      <c r="BK35" s="398"/>
      <c r="BL35" s="398"/>
      <c r="BM35" s="398"/>
      <c r="BN35" s="399"/>
      <c r="BO35" s="399"/>
      <c r="BP35" s="399"/>
      <c r="BQ35" s="399"/>
      <c r="BR35" s="399"/>
      <c r="BS35" s="399">
        <v>1</v>
      </c>
      <c r="BT35" s="399"/>
      <c r="BU35" s="399"/>
      <c r="BV35" s="399"/>
      <c r="BW35" s="399"/>
      <c r="BX35" s="399"/>
      <c r="BY35" s="399"/>
      <c r="BZ35" s="399"/>
      <c r="CA35" s="399"/>
      <c r="CB35" s="1100"/>
      <c r="CC35" s="399"/>
      <c r="CD35" s="399">
        <v>1</v>
      </c>
      <c r="CE35" s="399"/>
      <c r="CF35" s="399"/>
      <c r="CG35" s="399"/>
      <c r="CH35" s="399"/>
      <c r="CI35" s="399"/>
      <c r="CJ35" s="399"/>
      <c r="CK35" s="393" t="str">
        <f t="shared" si="13"/>
        <v>NG</v>
      </c>
    </row>
    <row r="36" spans="4:89">
      <c r="D36" s="256"/>
      <c r="E36" s="257"/>
      <c r="F36" s="558"/>
      <c r="H36" s="1101" t="str">
        <f>IF(BASIC_TOOL!$E$23=2,"TC-12M60SA2","TC-12M60SA4")</f>
        <v>TC-12M60SA4</v>
      </c>
      <c r="I36" s="1102">
        <f t="shared" si="0"/>
        <v>24</v>
      </c>
      <c r="J36" s="1104"/>
      <c r="K36" s="1105">
        <f>SUM(K9:K33)-1</f>
        <v>2</v>
      </c>
      <c r="L36" s="1111">
        <f>L8</f>
        <v>12</v>
      </c>
      <c r="M36" s="1103">
        <f t="shared" si="15"/>
        <v>24</v>
      </c>
      <c r="N36" s="1110"/>
      <c r="O36" s="1105">
        <f>SUM(O9:O33)-1</f>
        <v>0</v>
      </c>
      <c r="P36" s="1111">
        <f>P8</f>
        <v>27</v>
      </c>
      <c r="Q36" s="1103">
        <f>O36*P36</f>
        <v>0</v>
      </c>
      <c r="R36" s="1110"/>
      <c r="S36" s="1105">
        <f>SUM(S9:S33)-1</f>
        <v>-1</v>
      </c>
      <c r="T36" s="1111">
        <f>T8</f>
        <v>0</v>
      </c>
      <c r="U36" s="1103">
        <f>S36*T36</f>
        <v>0</v>
      </c>
      <c r="V36" s="1110"/>
      <c r="W36" s="1105">
        <f>SUM(W9:W33)-1</f>
        <v>-1</v>
      </c>
      <c r="X36" s="1111">
        <f>X8</f>
        <v>0</v>
      </c>
      <c r="Y36" s="1103">
        <f>W36*X36</f>
        <v>0</v>
      </c>
      <c r="Z36" s="1110"/>
      <c r="AA36" s="1105">
        <f>SUM(AA9:AA33)-1</f>
        <v>-1</v>
      </c>
      <c r="AB36" s="1111">
        <f>AB8</f>
        <v>0</v>
      </c>
      <c r="AC36" s="1103">
        <f>AA36*AB36</f>
        <v>0</v>
      </c>
      <c r="AG36" s="398">
        <v>6.5</v>
      </c>
      <c r="AH36" s="398"/>
      <c r="AI36" s="398"/>
      <c r="AJ36" s="398"/>
      <c r="AK36" s="399"/>
      <c r="AL36" s="399"/>
      <c r="AM36" s="399"/>
      <c r="AN36" s="399"/>
      <c r="AO36" s="399"/>
      <c r="AP36" s="399"/>
      <c r="AQ36" s="399"/>
      <c r="AR36" s="399"/>
      <c r="AS36" s="399">
        <v>1</v>
      </c>
      <c r="AT36" s="399"/>
      <c r="AU36" s="399"/>
      <c r="AV36" s="399"/>
      <c r="AW36" s="399"/>
      <c r="AX36" s="399"/>
      <c r="AY36" s="1100"/>
      <c r="AZ36" s="399"/>
      <c r="BA36" s="399">
        <v>1</v>
      </c>
      <c r="BB36" s="399"/>
      <c r="BC36" s="399"/>
      <c r="BD36" s="399"/>
      <c r="BE36" s="399"/>
      <c r="BF36" s="399"/>
      <c r="BG36" s="253">
        <f t="shared" si="11"/>
        <v>6500</v>
      </c>
      <c r="BH36" s="393" t="str">
        <f t="shared" si="12"/>
        <v>OK</v>
      </c>
      <c r="BJ36" s="398">
        <v>6.5</v>
      </c>
      <c r="BK36" s="398"/>
      <c r="BL36" s="398"/>
      <c r="BM36" s="398"/>
      <c r="BN36" s="399"/>
      <c r="BO36" s="399"/>
      <c r="BP36" s="399"/>
      <c r="BQ36" s="399"/>
      <c r="BR36" s="399"/>
      <c r="BS36" s="399"/>
      <c r="BT36" s="399"/>
      <c r="BU36" s="399"/>
      <c r="BV36" s="399">
        <v>1</v>
      </c>
      <c r="BW36" s="399"/>
      <c r="BX36" s="399"/>
      <c r="BY36" s="399"/>
      <c r="BZ36" s="399"/>
      <c r="CA36" s="399"/>
      <c r="CB36" s="1100"/>
      <c r="CC36" s="399"/>
      <c r="CD36" s="399">
        <v>1</v>
      </c>
      <c r="CE36" s="399"/>
      <c r="CF36" s="399"/>
      <c r="CG36" s="399"/>
      <c r="CH36" s="399"/>
      <c r="CI36" s="399"/>
      <c r="CJ36" s="399"/>
      <c r="CK36" s="393" t="str">
        <f t="shared" si="13"/>
        <v>NG</v>
      </c>
    </row>
    <row r="37" spans="4:89">
      <c r="D37" s="256"/>
      <c r="E37" s="257"/>
      <c r="AG37" s="398">
        <v>7</v>
      </c>
      <c r="AH37" s="398"/>
      <c r="AI37" s="398"/>
      <c r="AJ37" s="398"/>
      <c r="AK37" s="399"/>
      <c r="AL37" s="399"/>
      <c r="AM37" s="399"/>
      <c r="AN37" s="399"/>
      <c r="AO37" s="399"/>
      <c r="AP37" s="399"/>
      <c r="AQ37" s="399"/>
      <c r="AR37" s="399"/>
      <c r="AS37" s="399"/>
      <c r="AT37" s="399"/>
      <c r="AU37" s="399">
        <v>1</v>
      </c>
      <c r="AV37" s="399"/>
      <c r="AW37" s="399"/>
      <c r="AX37" s="399"/>
      <c r="AY37" s="1100"/>
      <c r="AZ37" s="399"/>
      <c r="BA37" s="399">
        <v>1</v>
      </c>
      <c r="BB37" s="399"/>
      <c r="BC37" s="399"/>
      <c r="BD37" s="399"/>
      <c r="BE37" s="399"/>
      <c r="BF37" s="399"/>
      <c r="BG37" s="253">
        <f t="shared" si="11"/>
        <v>7000</v>
      </c>
      <c r="BH37" s="393" t="str">
        <f t="shared" si="12"/>
        <v>OK</v>
      </c>
      <c r="BJ37" s="398">
        <v>7</v>
      </c>
      <c r="BK37" s="398"/>
      <c r="BL37" s="398"/>
      <c r="BM37" s="398"/>
      <c r="BN37" s="399"/>
      <c r="BO37" s="399"/>
      <c r="BP37" s="399"/>
      <c r="BQ37" s="399"/>
      <c r="BR37" s="399"/>
      <c r="BS37" s="399"/>
      <c r="BT37" s="399"/>
      <c r="BU37" s="399"/>
      <c r="BV37" s="399"/>
      <c r="BW37" s="399"/>
      <c r="BX37" s="399">
        <v>1</v>
      </c>
      <c r="BY37" s="399"/>
      <c r="BZ37" s="399"/>
      <c r="CA37" s="399"/>
      <c r="CB37" s="1100"/>
      <c r="CC37" s="399"/>
      <c r="CD37" s="399">
        <v>1</v>
      </c>
      <c r="CE37" s="399"/>
      <c r="CF37" s="399"/>
      <c r="CG37" s="399"/>
      <c r="CH37" s="399"/>
      <c r="CI37" s="399"/>
      <c r="CJ37" s="399"/>
      <c r="CK37" s="393" t="str">
        <f t="shared" si="13"/>
        <v>NG</v>
      </c>
    </row>
    <row r="38" spans="4:89">
      <c r="D38" s="256"/>
      <c r="E38" s="257"/>
      <c r="AG38" s="398">
        <v>7.5</v>
      </c>
      <c r="AH38" s="398"/>
      <c r="AI38" s="398"/>
      <c r="AJ38" s="398"/>
      <c r="AK38" s="399"/>
      <c r="AL38" s="399"/>
      <c r="AM38" s="399"/>
      <c r="AN38" s="399"/>
      <c r="AO38" s="399"/>
      <c r="AP38" s="399"/>
      <c r="AQ38" s="399"/>
      <c r="AR38" s="399"/>
      <c r="AS38" s="399"/>
      <c r="AT38" s="399"/>
      <c r="AU38" s="399"/>
      <c r="AV38" s="399"/>
      <c r="AW38" s="399"/>
      <c r="AX38" s="399">
        <v>1</v>
      </c>
      <c r="AY38" s="1100"/>
      <c r="AZ38" s="399"/>
      <c r="BA38" s="399">
        <v>1</v>
      </c>
      <c r="BB38" s="399"/>
      <c r="BC38" s="399"/>
      <c r="BD38" s="399"/>
      <c r="BE38" s="399"/>
      <c r="BF38" s="399"/>
      <c r="BG38" s="253">
        <f t="shared" si="11"/>
        <v>7500</v>
      </c>
      <c r="BH38" s="393" t="str">
        <f t="shared" si="12"/>
        <v>OK</v>
      </c>
      <c r="BJ38" s="398">
        <v>7.5</v>
      </c>
      <c r="BK38" s="398"/>
      <c r="BL38" s="398"/>
      <c r="BM38" s="398"/>
      <c r="BN38" s="399"/>
      <c r="BO38" s="399"/>
      <c r="BP38" s="399"/>
      <c r="BQ38" s="399"/>
      <c r="BR38" s="399"/>
      <c r="BS38" s="399"/>
      <c r="BT38" s="399"/>
      <c r="BU38" s="399"/>
      <c r="BV38" s="399"/>
      <c r="BW38" s="399"/>
      <c r="BX38" s="399"/>
      <c r="BY38" s="399"/>
      <c r="BZ38" s="399"/>
      <c r="CA38" s="399">
        <v>1</v>
      </c>
      <c r="CB38" s="1100"/>
      <c r="CC38" s="399"/>
      <c r="CD38" s="399">
        <v>1</v>
      </c>
      <c r="CE38" s="399"/>
      <c r="CF38" s="399"/>
      <c r="CG38" s="399"/>
      <c r="CH38" s="399"/>
      <c r="CI38" s="399"/>
      <c r="CJ38" s="399"/>
      <c r="CK38" s="393" t="str">
        <f t="shared" si="13"/>
        <v>NG</v>
      </c>
    </row>
    <row r="39" spans="4:89">
      <c r="D39" s="256"/>
      <c r="E39" s="257"/>
      <c r="AG39" s="398">
        <v>8</v>
      </c>
      <c r="AH39" s="398"/>
      <c r="AI39" s="398"/>
      <c r="AJ39" s="398"/>
      <c r="AK39" s="399"/>
      <c r="AL39" s="399"/>
      <c r="AM39" s="399"/>
      <c r="AN39" s="399"/>
      <c r="AO39" s="399"/>
      <c r="AP39" s="399"/>
      <c r="AQ39" s="399"/>
      <c r="AR39" s="399"/>
      <c r="AS39" s="399"/>
      <c r="AT39" s="399"/>
      <c r="AU39" s="399"/>
      <c r="AV39" s="399"/>
      <c r="AW39" s="399"/>
      <c r="AX39" s="399"/>
      <c r="AY39" s="1100"/>
      <c r="AZ39" s="399">
        <v>1</v>
      </c>
      <c r="BA39" s="399">
        <v>1</v>
      </c>
      <c r="BB39" s="399"/>
      <c r="BC39" s="399"/>
      <c r="BD39" s="399"/>
      <c r="BE39" s="399"/>
      <c r="BF39" s="399"/>
      <c r="BG39" s="253">
        <f t="shared" si="11"/>
        <v>8000</v>
      </c>
      <c r="BH39" s="393" t="str">
        <f t="shared" si="12"/>
        <v>OK</v>
      </c>
      <c r="BJ39" s="398">
        <v>8</v>
      </c>
      <c r="BK39" s="398"/>
      <c r="BL39" s="398"/>
      <c r="BM39" s="398"/>
      <c r="BN39" s="399"/>
      <c r="BO39" s="399"/>
      <c r="BP39" s="399"/>
      <c r="BQ39" s="399"/>
      <c r="BR39" s="399"/>
      <c r="BS39" s="399"/>
      <c r="BT39" s="399"/>
      <c r="BU39" s="399"/>
      <c r="BV39" s="399"/>
      <c r="BW39" s="399"/>
      <c r="BX39" s="399"/>
      <c r="BY39" s="399"/>
      <c r="BZ39" s="399"/>
      <c r="CA39" s="399"/>
      <c r="CB39" s="1100"/>
      <c r="CC39" s="399">
        <v>1</v>
      </c>
      <c r="CD39" s="399">
        <v>1</v>
      </c>
      <c r="CE39" s="399"/>
      <c r="CF39" s="399"/>
      <c r="CG39" s="399"/>
      <c r="CH39" s="399"/>
      <c r="CI39" s="399"/>
      <c r="CJ39" s="399"/>
      <c r="CK39" s="393" t="str">
        <f t="shared" si="13"/>
        <v>NG</v>
      </c>
    </row>
    <row r="40" spans="4:89">
      <c r="D40" s="256"/>
      <c r="E40" s="257"/>
      <c r="AG40" s="398">
        <v>8.5</v>
      </c>
      <c r="AH40" s="398"/>
      <c r="AI40" s="398"/>
      <c r="AJ40" s="398"/>
      <c r="AK40" s="399"/>
      <c r="AL40" s="399"/>
      <c r="AM40" s="399"/>
      <c r="AN40" s="399"/>
      <c r="AO40" s="399"/>
      <c r="AP40" s="399"/>
      <c r="AQ40" s="399"/>
      <c r="AR40" s="399"/>
      <c r="AS40" s="399"/>
      <c r="AT40" s="399"/>
      <c r="AU40" s="399"/>
      <c r="AV40" s="399"/>
      <c r="AW40" s="399"/>
      <c r="AX40" s="399"/>
      <c r="AY40" s="1100"/>
      <c r="AZ40" s="399"/>
      <c r="BA40" s="399">
        <v>1</v>
      </c>
      <c r="BB40" s="399"/>
      <c r="BC40" s="399">
        <v>1</v>
      </c>
      <c r="BD40" s="399"/>
      <c r="BE40" s="399"/>
      <c r="BF40" s="399"/>
      <c r="BG40" s="253">
        <f t="shared" si="11"/>
        <v>8500</v>
      </c>
      <c r="BH40" s="393" t="str">
        <f t="shared" si="12"/>
        <v>OK</v>
      </c>
      <c r="BJ40" s="398">
        <v>8.5</v>
      </c>
      <c r="BK40" s="398"/>
      <c r="BL40" s="398"/>
      <c r="BM40" s="398"/>
      <c r="BN40" s="399"/>
      <c r="BO40" s="399"/>
      <c r="BP40" s="399"/>
      <c r="BQ40" s="399"/>
      <c r="BR40" s="399"/>
      <c r="BS40" s="399"/>
      <c r="BT40" s="399"/>
      <c r="BU40" s="399"/>
      <c r="BV40" s="399"/>
      <c r="BW40" s="399"/>
      <c r="BX40" s="399"/>
      <c r="BY40" s="399"/>
      <c r="BZ40" s="399"/>
      <c r="CA40" s="399"/>
      <c r="CB40" s="1100"/>
      <c r="CC40" s="399"/>
      <c r="CD40" s="399">
        <v>1</v>
      </c>
      <c r="CE40" s="399"/>
      <c r="CF40" s="399"/>
      <c r="CG40" s="399">
        <v>1</v>
      </c>
      <c r="CH40" s="399"/>
      <c r="CI40" s="399"/>
      <c r="CJ40" s="399"/>
      <c r="CK40" s="393" t="str">
        <f t="shared" si="13"/>
        <v>NG</v>
      </c>
    </row>
    <row r="41" spans="4:89">
      <c r="D41" s="256"/>
      <c r="E41" s="257"/>
      <c r="AG41" s="398">
        <v>9</v>
      </c>
      <c r="AH41" s="398"/>
      <c r="AI41" s="398"/>
      <c r="AJ41" s="398"/>
      <c r="AK41" s="399"/>
      <c r="AL41" s="399"/>
      <c r="AM41" s="399"/>
      <c r="AN41" s="399"/>
      <c r="AO41" s="399"/>
      <c r="AP41" s="399"/>
      <c r="AQ41" s="399"/>
      <c r="AR41" s="399"/>
      <c r="AS41" s="399"/>
      <c r="AT41" s="399"/>
      <c r="AU41" s="399"/>
      <c r="AV41" s="399"/>
      <c r="AW41" s="399"/>
      <c r="AX41" s="399"/>
      <c r="AY41" s="1100"/>
      <c r="AZ41" s="399"/>
      <c r="BA41" s="399">
        <v>1</v>
      </c>
      <c r="BB41" s="399"/>
      <c r="BC41" s="399"/>
      <c r="BD41" s="399"/>
      <c r="BE41" s="399">
        <v>1</v>
      </c>
      <c r="BF41" s="399"/>
      <c r="BG41" s="253">
        <f t="shared" si="11"/>
        <v>9000</v>
      </c>
      <c r="BH41" s="393" t="str">
        <f t="shared" si="12"/>
        <v>OK</v>
      </c>
      <c r="BJ41" s="398">
        <v>9</v>
      </c>
      <c r="BK41" s="398"/>
      <c r="BL41" s="398"/>
      <c r="BM41" s="398"/>
      <c r="BN41" s="399"/>
      <c r="BO41" s="399"/>
      <c r="BP41" s="399"/>
      <c r="BQ41" s="399"/>
      <c r="BR41" s="399"/>
      <c r="BS41" s="399"/>
      <c r="BT41" s="399"/>
      <c r="BU41" s="399"/>
      <c r="BV41" s="399"/>
      <c r="BW41" s="399"/>
      <c r="BX41" s="399"/>
      <c r="BY41" s="399"/>
      <c r="BZ41" s="399"/>
      <c r="CA41" s="399"/>
      <c r="CB41" s="1100"/>
      <c r="CC41" s="399"/>
      <c r="CD41" s="399">
        <v>1</v>
      </c>
      <c r="CE41" s="399"/>
      <c r="CF41" s="399"/>
      <c r="CG41" s="399"/>
      <c r="CH41" s="399"/>
      <c r="CI41" s="399">
        <v>1</v>
      </c>
      <c r="CJ41" s="399"/>
      <c r="CK41" s="393" t="str">
        <f t="shared" si="13"/>
        <v>NG</v>
      </c>
    </row>
    <row r="42" spans="4:89">
      <c r="D42" s="256"/>
      <c r="E42" s="257"/>
      <c r="AG42" s="398">
        <v>9.5</v>
      </c>
      <c r="AH42" s="398"/>
      <c r="AI42" s="398"/>
      <c r="AJ42" s="398"/>
      <c r="AK42" s="399"/>
      <c r="AL42" s="399"/>
      <c r="AM42" s="399"/>
      <c r="AN42" s="399">
        <v>1</v>
      </c>
      <c r="AO42" s="399"/>
      <c r="AP42" s="399"/>
      <c r="AQ42" s="399"/>
      <c r="AR42" s="399"/>
      <c r="AS42" s="399"/>
      <c r="AT42" s="399"/>
      <c r="AU42" s="399"/>
      <c r="AV42" s="399"/>
      <c r="AW42" s="399"/>
      <c r="AX42" s="399"/>
      <c r="AY42" s="1100"/>
      <c r="AZ42" s="399"/>
      <c r="BA42" s="399">
        <v>2</v>
      </c>
      <c r="BB42" s="399"/>
      <c r="BC42" s="399"/>
      <c r="BD42" s="399"/>
      <c r="BE42" s="399"/>
      <c r="BF42" s="399"/>
      <c r="BG42" s="253">
        <f t="shared" si="11"/>
        <v>9500</v>
      </c>
      <c r="BH42" s="393" t="str">
        <f t="shared" si="12"/>
        <v>OK</v>
      </c>
      <c r="BJ42" s="398">
        <v>9.5</v>
      </c>
      <c r="BK42" s="398"/>
      <c r="BL42" s="398"/>
      <c r="BM42" s="398"/>
      <c r="BN42" s="399"/>
      <c r="BO42" s="399"/>
      <c r="BP42" s="399"/>
      <c r="BQ42" s="399">
        <v>1</v>
      </c>
      <c r="BR42" s="399"/>
      <c r="BS42" s="399"/>
      <c r="BT42" s="399"/>
      <c r="BU42" s="399"/>
      <c r="BV42" s="399"/>
      <c r="BW42" s="399"/>
      <c r="BX42" s="399"/>
      <c r="BY42" s="399"/>
      <c r="BZ42" s="399"/>
      <c r="CA42" s="399"/>
      <c r="CB42" s="1100"/>
      <c r="CC42" s="399"/>
      <c r="CD42" s="399">
        <v>2</v>
      </c>
      <c r="CE42" s="399"/>
      <c r="CF42" s="399"/>
      <c r="CG42" s="399"/>
      <c r="CH42" s="399"/>
      <c r="CI42" s="399"/>
      <c r="CJ42" s="399"/>
      <c r="CK42" s="393" t="str">
        <f t="shared" si="13"/>
        <v>NG</v>
      </c>
    </row>
    <row r="43" spans="4:89">
      <c r="D43" s="256"/>
      <c r="E43" s="257"/>
      <c r="AG43" s="398">
        <v>10</v>
      </c>
      <c r="AH43" s="398"/>
      <c r="AI43" s="398"/>
      <c r="AJ43" s="398"/>
      <c r="AK43" s="399"/>
      <c r="AL43" s="399"/>
      <c r="AM43" s="399"/>
      <c r="AN43" s="399"/>
      <c r="AO43" s="399"/>
      <c r="AP43" s="399">
        <v>1</v>
      </c>
      <c r="AQ43" s="399"/>
      <c r="AR43" s="399"/>
      <c r="AS43" s="399"/>
      <c r="AT43" s="399"/>
      <c r="AU43" s="399"/>
      <c r="AV43" s="399"/>
      <c r="AW43" s="399"/>
      <c r="AX43" s="399"/>
      <c r="AY43" s="1100"/>
      <c r="AZ43" s="399"/>
      <c r="BA43" s="399">
        <v>2</v>
      </c>
      <c r="BB43" s="399"/>
      <c r="BC43" s="399"/>
      <c r="BD43" s="399"/>
      <c r="BE43" s="399"/>
      <c r="BF43" s="399"/>
      <c r="BG43" s="253">
        <f t="shared" si="11"/>
        <v>10000</v>
      </c>
      <c r="BH43" s="393" t="str">
        <f t="shared" si="12"/>
        <v>OK</v>
      </c>
      <c r="BJ43" s="398">
        <v>10</v>
      </c>
      <c r="BK43" s="398"/>
      <c r="BL43" s="398"/>
      <c r="BM43" s="398"/>
      <c r="BN43" s="399"/>
      <c r="BO43" s="399"/>
      <c r="BP43" s="399"/>
      <c r="BQ43" s="399"/>
      <c r="BR43" s="399"/>
      <c r="BS43" s="399">
        <v>1</v>
      </c>
      <c r="BT43" s="399"/>
      <c r="BU43" s="399"/>
      <c r="BV43" s="399"/>
      <c r="BW43" s="399"/>
      <c r="BX43" s="399"/>
      <c r="BY43" s="399"/>
      <c r="BZ43" s="399"/>
      <c r="CA43" s="399"/>
      <c r="CB43" s="1100"/>
      <c r="CC43" s="399"/>
      <c r="CD43" s="399">
        <v>2</v>
      </c>
      <c r="CE43" s="399"/>
      <c r="CF43" s="399"/>
      <c r="CG43" s="399"/>
      <c r="CH43" s="399"/>
      <c r="CI43" s="399"/>
      <c r="CJ43" s="399"/>
      <c r="CK43" s="393" t="str">
        <f t="shared" si="13"/>
        <v>NG</v>
      </c>
    </row>
    <row r="44" spans="4:89">
      <c r="D44" s="256"/>
      <c r="E44" s="257"/>
      <c r="H44" s="543" t="s">
        <v>1116</v>
      </c>
      <c r="AG44" s="398">
        <v>10.5</v>
      </c>
      <c r="AH44" s="398"/>
      <c r="AI44" s="398"/>
      <c r="AJ44" s="398"/>
      <c r="AK44" s="399"/>
      <c r="AL44" s="399"/>
      <c r="AM44" s="399"/>
      <c r="AN44" s="399"/>
      <c r="AO44" s="399"/>
      <c r="AP44" s="399"/>
      <c r="AQ44" s="399"/>
      <c r="AR44" s="399"/>
      <c r="AS44" s="399">
        <v>1</v>
      </c>
      <c r="AT44" s="399"/>
      <c r="AU44" s="399"/>
      <c r="AV44" s="399"/>
      <c r="AW44" s="399"/>
      <c r="AX44" s="399"/>
      <c r="AY44" s="1100"/>
      <c r="AZ44" s="399"/>
      <c r="BA44" s="399">
        <v>2</v>
      </c>
      <c r="BB44" s="399"/>
      <c r="BC44" s="399"/>
      <c r="BD44" s="399"/>
      <c r="BE44" s="399"/>
      <c r="BF44" s="399"/>
      <c r="BG44" s="253">
        <f t="shared" si="11"/>
        <v>10500</v>
      </c>
      <c r="BH44" s="393" t="str">
        <f t="shared" si="12"/>
        <v>OK</v>
      </c>
      <c r="BJ44" s="398">
        <v>10.5</v>
      </c>
      <c r="BK44" s="398"/>
      <c r="BL44" s="398"/>
      <c r="BM44" s="398"/>
      <c r="BN44" s="399"/>
      <c r="BO44" s="399"/>
      <c r="BP44" s="399"/>
      <c r="BQ44" s="399"/>
      <c r="BR44" s="399"/>
      <c r="BS44" s="399"/>
      <c r="BT44" s="399"/>
      <c r="BU44" s="399"/>
      <c r="BV44" s="399">
        <v>1</v>
      </c>
      <c r="BW44" s="399"/>
      <c r="BX44" s="399"/>
      <c r="BY44" s="399"/>
      <c r="BZ44" s="399"/>
      <c r="CA44" s="399"/>
      <c r="CB44" s="1100"/>
      <c r="CC44" s="399"/>
      <c r="CD44" s="399">
        <v>2</v>
      </c>
      <c r="CE44" s="399"/>
      <c r="CF44" s="399"/>
      <c r="CG44" s="399"/>
      <c r="CH44" s="399"/>
      <c r="CI44" s="399"/>
      <c r="CJ44" s="399"/>
      <c r="CK44" s="393" t="str">
        <f t="shared" si="13"/>
        <v>NG</v>
      </c>
    </row>
    <row r="45" spans="4:89">
      <c r="D45" s="256"/>
      <c r="E45" s="257"/>
      <c r="H45" s="543" t="s">
        <v>1117</v>
      </c>
      <c r="AG45" s="398">
        <v>11</v>
      </c>
      <c r="AH45" s="398"/>
      <c r="AI45" s="398"/>
      <c r="AJ45" s="398"/>
      <c r="AK45" s="399"/>
      <c r="AL45" s="399"/>
      <c r="AM45" s="399"/>
      <c r="AN45" s="399"/>
      <c r="AO45" s="399"/>
      <c r="AP45" s="399"/>
      <c r="AQ45" s="399"/>
      <c r="AR45" s="399"/>
      <c r="AS45" s="399"/>
      <c r="AT45" s="399"/>
      <c r="AU45" s="399">
        <v>1</v>
      </c>
      <c r="AV45" s="399"/>
      <c r="AW45" s="399"/>
      <c r="AX45" s="399"/>
      <c r="AY45" s="1100"/>
      <c r="AZ45" s="399"/>
      <c r="BA45" s="399">
        <v>2</v>
      </c>
      <c r="BB45" s="399"/>
      <c r="BC45" s="399"/>
      <c r="BD45" s="399"/>
      <c r="BE45" s="399"/>
      <c r="BF45" s="399"/>
      <c r="BG45" s="253">
        <f t="shared" si="11"/>
        <v>11000</v>
      </c>
      <c r="BH45" s="393" t="str">
        <f t="shared" si="12"/>
        <v>OK</v>
      </c>
      <c r="BJ45" s="398">
        <v>11</v>
      </c>
      <c r="BK45" s="398"/>
      <c r="BL45" s="398"/>
      <c r="BM45" s="398"/>
      <c r="BN45" s="399"/>
      <c r="BO45" s="399"/>
      <c r="BP45" s="399"/>
      <c r="BQ45" s="399"/>
      <c r="BR45" s="399"/>
      <c r="BS45" s="399"/>
      <c r="BT45" s="399"/>
      <c r="BU45" s="399"/>
      <c r="BV45" s="399"/>
      <c r="BW45" s="399"/>
      <c r="BX45" s="399">
        <v>1</v>
      </c>
      <c r="BY45" s="399"/>
      <c r="BZ45" s="399"/>
      <c r="CA45" s="399"/>
      <c r="CB45" s="1100"/>
      <c r="CC45" s="399"/>
      <c r="CD45" s="399">
        <v>2</v>
      </c>
      <c r="CE45" s="399"/>
      <c r="CF45" s="399"/>
      <c r="CG45" s="399"/>
      <c r="CH45" s="399"/>
      <c r="CI45" s="399"/>
      <c r="CJ45" s="399"/>
      <c r="CK45" s="393" t="str">
        <f t="shared" si="13"/>
        <v>NG</v>
      </c>
    </row>
    <row r="46" spans="4:89">
      <c r="D46" s="256"/>
      <c r="E46" s="257"/>
      <c r="H46" s="543" t="s">
        <v>1118</v>
      </c>
      <c r="AG46" s="398">
        <v>11.5</v>
      </c>
      <c r="AH46" s="398"/>
      <c r="AI46" s="398"/>
      <c r="AJ46" s="398"/>
      <c r="AK46" s="399"/>
      <c r="AL46" s="399"/>
      <c r="AM46" s="399"/>
      <c r="AN46" s="399"/>
      <c r="AO46" s="399"/>
      <c r="AP46" s="399"/>
      <c r="AQ46" s="399"/>
      <c r="AR46" s="399"/>
      <c r="AS46" s="399"/>
      <c r="AT46" s="399"/>
      <c r="AU46" s="399"/>
      <c r="AV46" s="399"/>
      <c r="AW46" s="399"/>
      <c r="AX46" s="399">
        <v>1</v>
      </c>
      <c r="AY46" s="1100"/>
      <c r="AZ46" s="399"/>
      <c r="BA46" s="399">
        <v>2</v>
      </c>
      <c r="BB46" s="399"/>
      <c r="BC46" s="399"/>
      <c r="BD46" s="399"/>
      <c r="BE46" s="399"/>
      <c r="BF46" s="399"/>
      <c r="BG46" s="253">
        <f t="shared" si="11"/>
        <v>11500</v>
      </c>
      <c r="BH46" s="393" t="str">
        <f t="shared" si="12"/>
        <v>OK</v>
      </c>
      <c r="BJ46" s="398">
        <v>11.5</v>
      </c>
      <c r="BK46" s="398"/>
      <c r="BL46" s="398"/>
      <c r="BM46" s="398"/>
      <c r="BN46" s="399"/>
      <c r="BO46" s="399"/>
      <c r="BP46" s="399"/>
      <c r="BQ46" s="399"/>
      <c r="BR46" s="399"/>
      <c r="BS46" s="399"/>
      <c r="BT46" s="399"/>
      <c r="BU46" s="399"/>
      <c r="BV46" s="399"/>
      <c r="BW46" s="399"/>
      <c r="BX46" s="399"/>
      <c r="BY46" s="399"/>
      <c r="BZ46" s="399"/>
      <c r="CA46" s="399">
        <v>1</v>
      </c>
      <c r="CB46" s="1100"/>
      <c r="CC46" s="399"/>
      <c r="CD46" s="399">
        <v>2</v>
      </c>
      <c r="CE46" s="399"/>
      <c r="CF46" s="399"/>
      <c r="CG46" s="399"/>
      <c r="CH46" s="399"/>
      <c r="CI46" s="399"/>
      <c r="CJ46" s="399"/>
      <c r="CK46" s="393" t="str">
        <f t="shared" si="13"/>
        <v>NG</v>
      </c>
    </row>
    <row r="47" spans="4:89">
      <c r="D47" s="256"/>
      <c r="E47" s="257"/>
      <c r="AG47" s="398">
        <v>12</v>
      </c>
      <c r="AH47" s="398"/>
      <c r="AI47" s="398"/>
      <c r="AJ47" s="398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1100"/>
      <c r="AZ47" s="399">
        <v>1</v>
      </c>
      <c r="BA47" s="399">
        <v>2</v>
      </c>
      <c r="BB47" s="399"/>
      <c r="BC47" s="399"/>
      <c r="BD47" s="399"/>
      <c r="BE47" s="399"/>
      <c r="BF47" s="399"/>
      <c r="BG47" s="253">
        <f t="shared" si="11"/>
        <v>12000</v>
      </c>
      <c r="BH47" s="393" t="str">
        <f t="shared" si="12"/>
        <v>OK</v>
      </c>
      <c r="BJ47" s="398">
        <v>12</v>
      </c>
      <c r="BK47" s="398"/>
      <c r="BL47" s="398"/>
      <c r="BM47" s="398"/>
      <c r="BN47" s="399"/>
      <c r="BO47" s="399"/>
      <c r="BP47" s="399"/>
      <c r="BQ47" s="399"/>
      <c r="BR47" s="399"/>
      <c r="BS47" s="399"/>
      <c r="BT47" s="399"/>
      <c r="BU47" s="399"/>
      <c r="BV47" s="399"/>
      <c r="BW47" s="399"/>
      <c r="BX47" s="399"/>
      <c r="BY47" s="399"/>
      <c r="BZ47" s="399"/>
      <c r="CA47" s="399"/>
      <c r="CB47" s="1100"/>
      <c r="CC47" s="399">
        <v>1</v>
      </c>
      <c r="CD47" s="399">
        <v>2</v>
      </c>
      <c r="CE47" s="399"/>
      <c r="CF47" s="399"/>
      <c r="CG47" s="399"/>
      <c r="CH47" s="399"/>
      <c r="CI47" s="399"/>
      <c r="CJ47" s="399"/>
      <c r="CK47" s="393" t="str">
        <f t="shared" si="13"/>
        <v>NG</v>
      </c>
    </row>
    <row r="48" spans="4:89">
      <c r="D48" s="256"/>
      <c r="E48" s="257"/>
      <c r="AG48" s="398">
        <v>12.5</v>
      </c>
      <c r="AH48" s="398"/>
      <c r="AI48" s="398"/>
      <c r="AJ48" s="398"/>
      <c r="AK48" s="399"/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1100"/>
      <c r="AZ48" s="399"/>
      <c r="BA48" s="399">
        <v>2</v>
      </c>
      <c r="BB48" s="399"/>
      <c r="BC48" s="399">
        <v>1</v>
      </c>
      <c r="BD48" s="399"/>
      <c r="BE48" s="399"/>
      <c r="BF48" s="399"/>
      <c r="BG48" s="253">
        <f t="shared" si="11"/>
        <v>12500</v>
      </c>
      <c r="BH48" s="393" t="str">
        <f t="shared" si="12"/>
        <v>OK</v>
      </c>
      <c r="BJ48" s="398">
        <v>12.5</v>
      </c>
      <c r="BK48" s="398"/>
      <c r="BL48" s="398"/>
      <c r="BM48" s="398"/>
      <c r="BN48" s="399"/>
      <c r="BO48" s="399"/>
      <c r="BP48" s="399"/>
      <c r="BQ48" s="399"/>
      <c r="BR48" s="399"/>
      <c r="BS48" s="399"/>
      <c r="BT48" s="399"/>
      <c r="BU48" s="399"/>
      <c r="BV48" s="399"/>
      <c r="BW48" s="399"/>
      <c r="BX48" s="399"/>
      <c r="BY48" s="399"/>
      <c r="BZ48" s="399"/>
      <c r="CA48" s="399"/>
      <c r="CB48" s="1100"/>
      <c r="CC48" s="399"/>
      <c r="CD48" s="399">
        <v>2</v>
      </c>
      <c r="CE48" s="399"/>
      <c r="CF48" s="399"/>
      <c r="CG48" s="399">
        <v>1</v>
      </c>
      <c r="CH48" s="399"/>
      <c r="CI48" s="399"/>
      <c r="CJ48" s="399"/>
      <c r="CK48" s="393" t="str">
        <f t="shared" si="13"/>
        <v>NG</v>
      </c>
    </row>
    <row r="49" spans="4:89">
      <c r="D49" s="256"/>
      <c r="E49" s="257"/>
      <c r="AG49" s="398">
        <v>13</v>
      </c>
      <c r="AH49" s="398"/>
      <c r="AI49" s="398"/>
      <c r="AJ49" s="398"/>
      <c r="AK49" s="399"/>
      <c r="AL49" s="399"/>
      <c r="AM49" s="399"/>
      <c r="AN49" s="399"/>
      <c r="AO49" s="399"/>
      <c r="AP49" s="399"/>
      <c r="AQ49" s="399"/>
      <c r="AR49" s="399"/>
      <c r="AS49" s="399"/>
      <c r="AT49" s="399"/>
      <c r="AU49" s="399"/>
      <c r="AV49" s="399"/>
      <c r="AW49" s="399"/>
      <c r="AX49" s="399"/>
      <c r="AY49" s="1100"/>
      <c r="AZ49" s="399"/>
      <c r="BA49" s="399">
        <v>2</v>
      </c>
      <c r="BB49" s="399"/>
      <c r="BC49" s="399"/>
      <c r="BD49" s="399"/>
      <c r="BE49" s="399">
        <v>1</v>
      </c>
      <c r="BF49" s="399"/>
      <c r="BG49" s="253">
        <f t="shared" si="11"/>
        <v>13000</v>
      </c>
      <c r="BH49" s="393" t="str">
        <f t="shared" si="12"/>
        <v>OK</v>
      </c>
      <c r="BJ49" s="398">
        <v>13</v>
      </c>
      <c r="BK49" s="398"/>
      <c r="BL49" s="398"/>
      <c r="BM49" s="398"/>
      <c r="BN49" s="399"/>
      <c r="BO49" s="399"/>
      <c r="BP49" s="399"/>
      <c r="BQ49" s="399"/>
      <c r="BR49" s="399"/>
      <c r="BS49" s="399"/>
      <c r="BT49" s="399"/>
      <c r="BU49" s="399"/>
      <c r="BV49" s="399"/>
      <c r="BW49" s="399"/>
      <c r="BX49" s="399"/>
      <c r="BY49" s="399"/>
      <c r="BZ49" s="399"/>
      <c r="CA49" s="399"/>
      <c r="CB49" s="1100"/>
      <c r="CC49" s="399"/>
      <c r="CD49" s="399">
        <v>2</v>
      </c>
      <c r="CE49" s="399"/>
      <c r="CF49" s="399"/>
      <c r="CG49" s="399"/>
      <c r="CH49" s="399"/>
      <c r="CI49" s="399">
        <v>1</v>
      </c>
      <c r="CJ49" s="399"/>
      <c r="CK49" s="393" t="str">
        <f t="shared" si="13"/>
        <v>NG</v>
      </c>
    </row>
    <row r="50" spans="4:89">
      <c r="D50" s="256"/>
      <c r="E50" s="257"/>
      <c r="AG50" s="398">
        <v>13.5</v>
      </c>
      <c r="AH50" s="398"/>
      <c r="AI50" s="398"/>
      <c r="AJ50" s="398"/>
      <c r="AK50" s="399"/>
      <c r="AL50" s="399"/>
      <c r="AM50" s="399"/>
      <c r="AN50" s="399">
        <v>1</v>
      </c>
      <c r="AO50" s="399"/>
      <c r="AP50" s="399"/>
      <c r="AQ50" s="399"/>
      <c r="AR50" s="399"/>
      <c r="AS50" s="399"/>
      <c r="AT50" s="399"/>
      <c r="AU50" s="399"/>
      <c r="AV50" s="399"/>
      <c r="AW50" s="399"/>
      <c r="AX50" s="399"/>
      <c r="AY50" s="1100"/>
      <c r="AZ50" s="399"/>
      <c r="BA50" s="399">
        <v>3</v>
      </c>
      <c r="BB50" s="399"/>
      <c r="BC50" s="399"/>
      <c r="BD50" s="399"/>
      <c r="BE50" s="399"/>
      <c r="BF50" s="399"/>
      <c r="BG50" s="253">
        <f t="shared" si="11"/>
        <v>13500</v>
      </c>
      <c r="BH50" s="393" t="str">
        <f t="shared" si="12"/>
        <v>OK</v>
      </c>
      <c r="BJ50" s="398">
        <v>13.5</v>
      </c>
      <c r="BK50" s="398"/>
      <c r="BL50" s="398"/>
      <c r="BM50" s="398"/>
      <c r="BN50" s="399"/>
      <c r="BO50" s="399"/>
      <c r="BP50" s="399"/>
      <c r="BQ50" s="399">
        <v>1</v>
      </c>
      <c r="BR50" s="399"/>
      <c r="BS50" s="399"/>
      <c r="BT50" s="399"/>
      <c r="BU50" s="399"/>
      <c r="BV50" s="399"/>
      <c r="BW50" s="399"/>
      <c r="BX50" s="399"/>
      <c r="BY50" s="399"/>
      <c r="BZ50" s="399"/>
      <c r="CA50" s="399"/>
      <c r="CB50" s="1100"/>
      <c r="CC50" s="399"/>
      <c r="CD50" s="399">
        <v>3</v>
      </c>
      <c r="CE50" s="399"/>
      <c r="CF50" s="399"/>
      <c r="CG50" s="399"/>
      <c r="CH50" s="399"/>
      <c r="CI50" s="399"/>
      <c r="CJ50" s="399"/>
      <c r="CK50" s="393" t="str">
        <f t="shared" si="13"/>
        <v>NG</v>
      </c>
    </row>
    <row r="51" spans="4:89">
      <c r="D51" s="256"/>
      <c r="E51" s="257"/>
      <c r="AG51" s="398">
        <v>14</v>
      </c>
      <c r="AH51" s="398"/>
      <c r="AI51" s="398"/>
      <c r="AJ51" s="398"/>
      <c r="AK51" s="399"/>
      <c r="AL51" s="399"/>
      <c r="AM51" s="399"/>
      <c r="AN51" s="399"/>
      <c r="AO51" s="399"/>
      <c r="AP51" s="399">
        <v>1</v>
      </c>
      <c r="AQ51" s="399"/>
      <c r="AR51" s="399"/>
      <c r="AS51" s="399"/>
      <c r="AT51" s="399"/>
      <c r="AU51" s="399"/>
      <c r="AV51" s="399"/>
      <c r="AW51" s="399"/>
      <c r="AX51" s="399"/>
      <c r="AY51" s="1100"/>
      <c r="AZ51" s="399"/>
      <c r="BA51" s="399">
        <v>3</v>
      </c>
      <c r="BB51" s="399"/>
      <c r="BC51" s="399"/>
      <c r="BD51" s="399"/>
      <c r="BE51" s="399"/>
      <c r="BF51" s="399"/>
      <c r="BG51" s="253">
        <f t="shared" si="11"/>
        <v>14000</v>
      </c>
      <c r="BH51" s="393" t="str">
        <f t="shared" si="12"/>
        <v>OK</v>
      </c>
      <c r="BJ51" s="398">
        <v>14</v>
      </c>
      <c r="BK51" s="398"/>
      <c r="BL51" s="398"/>
      <c r="BM51" s="398"/>
      <c r="BN51" s="399"/>
      <c r="BO51" s="399"/>
      <c r="BP51" s="399"/>
      <c r="BQ51" s="399"/>
      <c r="BR51" s="399"/>
      <c r="BS51" s="399">
        <v>1</v>
      </c>
      <c r="BT51" s="399"/>
      <c r="BU51" s="399"/>
      <c r="BV51" s="399"/>
      <c r="BW51" s="399"/>
      <c r="BX51" s="399"/>
      <c r="BY51" s="399"/>
      <c r="BZ51" s="399"/>
      <c r="CA51" s="399"/>
      <c r="CB51" s="1100"/>
      <c r="CC51" s="399"/>
      <c r="CD51" s="399">
        <v>3</v>
      </c>
      <c r="CE51" s="399"/>
      <c r="CF51" s="399"/>
      <c r="CG51" s="399"/>
      <c r="CH51" s="399"/>
      <c r="CI51" s="399"/>
      <c r="CJ51" s="399"/>
      <c r="CK51" s="393" t="str">
        <f t="shared" si="13"/>
        <v>NG</v>
      </c>
    </row>
    <row r="52" spans="4:89">
      <c r="D52" s="256"/>
      <c r="E52" s="257"/>
      <c r="AG52" s="398">
        <v>14.5</v>
      </c>
      <c r="AH52" s="398"/>
      <c r="AI52" s="398"/>
      <c r="AJ52" s="398"/>
      <c r="AK52" s="399"/>
      <c r="AL52" s="399"/>
      <c r="AM52" s="399"/>
      <c r="AN52" s="399"/>
      <c r="AO52" s="399"/>
      <c r="AP52" s="399"/>
      <c r="AQ52" s="399"/>
      <c r="AR52" s="399"/>
      <c r="AS52" s="399">
        <v>1</v>
      </c>
      <c r="AT52" s="399"/>
      <c r="AU52" s="399"/>
      <c r="AV52" s="399"/>
      <c r="AW52" s="399"/>
      <c r="AX52" s="399"/>
      <c r="AY52" s="1100"/>
      <c r="AZ52" s="399"/>
      <c r="BA52" s="399">
        <v>3</v>
      </c>
      <c r="BB52" s="399"/>
      <c r="BC52" s="399"/>
      <c r="BD52" s="399"/>
      <c r="BE52" s="399"/>
      <c r="BF52" s="399"/>
      <c r="BG52" s="253">
        <f t="shared" si="11"/>
        <v>14500</v>
      </c>
      <c r="BH52" s="393" t="str">
        <f t="shared" si="12"/>
        <v>OK</v>
      </c>
      <c r="BJ52" s="398">
        <v>14.5</v>
      </c>
      <c r="BK52" s="398"/>
      <c r="BL52" s="398"/>
      <c r="BM52" s="398"/>
      <c r="BN52" s="399"/>
      <c r="BO52" s="399"/>
      <c r="BP52" s="399"/>
      <c r="BQ52" s="399"/>
      <c r="BR52" s="399"/>
      <c r="BS52" s="399"/>
      <c r="BT52" s="399"/>
      <c r="BU52" s="399"/>
      <c r="BV52" s="399">
        <v>1</v>
      </c>
      <c r="BW52" s="399"/>
      <c r="BX52" s="399"/>
      <c r="BY52" s="399"/>
      <c r="BZ52" s="399"/>
      <c r="CA52" s="399"/>
      <c r="CB52" s="1100"/>
      <c r="CC52" s="399"/>
      <c r="CD52" s="399">
        <v>3</v>
      </c>
      <c r="CE52" s="399"/>
      <c r="CF52" s="399"/>
      <c r="CG52" s="399"/>
      <c r="CH52" s="399"/>
      <c r="CI52" s="399"/>
      <c r="CJ52" s="399"/>
      <c r="CK52" s="393" t="str">
        <f t="shared" si="13"/>
        <v>NG</v>
      </c>
    </row>
    <row r="53" spans="4:89">
      <c r="D53" s="256"/>
      <c r="E53" s="257"/>
      <c r="AG53" s="398">
        <v>15</v>
      </c>
      <c r="AH53" s="398"/>
      <c r="AI53" s="398"/>
      <c r="AJ53" s="398"/>
      <c r="AK53" s="399"/>
      <c r="AL53" s="399"/>
      <c r="AM53" s="399"/>
      <c r="AN53" s="399"/>
      <c r="AO53" s="399"/>
      <c r="AP53" s="399"/>
      <c r="AQ53" s="399"/>
      <c r="AR53" s="399"/>
      <c r="AS53" s="399"/>
      <c r="AT53" s="399"/>
      <c r="AU53" s="399">
        <v>1</v>
      </c>
      <c r="AV53" s="399"/>
      <c r="AW53" s="399"/>
      <c r="AX53" s="399"/>
      <c r="AY53" s="1100"/>
      <c r="AZ53" s="399"/>
      <c r="BA53" s="399">
        <v>3</v>
      </c>
      <c r="BB53" s="399"/>
      <c r="BC53" s="399"/>
      <c r="BD53" s="399"/>
      <c r="BE53" s="399"/>
      <c r="BF53" s="399"/>
      <c r="BG53" s="253">
        <f t="shared" si="11"/>
        <v>15000</v>
      </c>
      <c r="BH53" s="393" t="str">
        <f t="shared" si="12"/>
        <v>OK</v>
      </c>
      <c r="BJ53" s="398">
        <v>15</v>
      </c>
      <c r="BK53" s="398"/>
      <c r="BL53" s="398"/>
      <c r="BM53" s="398"/>
      <c r="BN53" s="399"/>
      <c r="BO53" s="399"/>
      <c r="BP53" s="399"/>
      <c r="BQ53" s="399"/>
      <c r="BR53" s="399"/>
      <c r="BS53" s="399"/>
      <c r="BT53" s="399"/>
      <c r="BU53" s="399"/>
      <c r="BV53" s="399"/>
      <c r="BW53" s="399"/>
      <c r="BX53" s="399">
        <v>1</v>
      </c>
      <c r="BY53" s="399"/>
      <c r="BZ53" s="399"/>
      <c r="CA53" s="399"/>
      <c r="CB53" s="1100"/>
      <c r="CC53" s="399"/>
      <c r="CD53" s="399">
        <v>3</v>
      </c>
      <c r="CE53" s="399"/>
      <c r="CF53" s="399"/>
      <c r="CG53" s="399"/>
      <c r="CH53" s="399"/>
      <c r="CI53" s="399"/>
      <c r="CJ53" s="399"/>
      <c r="CK53" s="393" t="str">
        <f t="shared" si="13"/>
        <v>NG</v>
      </c>
    </row>
    <row r="54" spans="4:89">
      <c r="D54" s="256"/>
      <c r="E54" s="257"/>
      <c r="AG54" s="398">
        <v>15.5</v>
      </c>
      <c r="AH54" s="398"/>
      <c r="AI54" s="398"/>
      <c r="AJ54" s="398"/>
      <c r="AK54" s="399"/>
      <c r="AL54" s="399"/>
      <c r="AM54" s="399"/>
      <c r="AN54" s="399"/>
      <c r="AO54" s="399"/>
      <c r="AP54" s="399"/>
      <c r="AQ54" s="399"/>
      <c r="AR54" s="399"/>
      <c r="AS54" s="399"/>
      <c r="AT54" s="399"/>
      <c r="AU54" s="399"/>
      <c r="AV54" s="399"/>
      <c r="AW54" s="399"/>
      <c r="AX54" s="399">
        <v>1</v>
      </c>
      <c r="AY54" s="1100"/>
      <c r="AZ54" s="399"/>
      <c r="BA54" s="399">
        <v>3</v>
      </c>
      <c r="BB54" s="399"/>
      <c r="BC54" s="399"/>
      <c r="BD54" s="399"/>
      <c r="BE54" s="399"/>
      <c r="BF54" s="399"/>
      <c r="BG54" s="253">
        <f t="shared" si="11"/>
        <v>15500</v>
      </c>
      <c r="BH54" s="393" t="str">
        <f t="shared" si="12"/>
        <v>OK</v>
      </c>
      <c r="BJ54" s="398">
        <v>15.5</v>
      </c>
      <c r="BK54" s="398"/>
      <c r="BL54" s="398"/>
      <c r="BM54" s="398"/>
      <c r="BN54" s="399"/>
      <c r="BO54" s="399"/>
      <c r="BP54" s="399"/>
      <c r="BQ54" s="399"/>
      <c r="BR54" s="399"/>
      <c r="BS54" s="399"/>
      <c r="BT54" s="399"/>
      <c r="BU54" s="399"/>
      <c r="BV54" s="399"/>
      <c r="BW54" s="399"/>
      <c r="BX54" s="399"/>
      <c r="BY54" s="399"/>
      <c r="BZ54" s="399"/>
      <c r="CA54" s="399">
        <v>1</v>
      </c>
      <c r="CB54" s="1100"/>
      <c r="CC54" s="399"/>
      <c r="CD54" s="399">
        <v>3</v>
      </c>
      <c r="CE54" s="399"/>
      <c r="CF54" s="399"/>
      <c r="CG54" s="399"/>
      <c r="CH54" s="399"/>
      <c r="CI54" s="399"/>
      <c r="CJ54" s="399"/>
      <c r="CK54" s="393" t="str">
        <f t="shared" si="13"/>
        <v>NG</v>
      </c>
    </row>
    <row r="55" spans="4:89">
      <c r="D55" s="256"/>
      <c r="E55" s="257"/>
      <c r="AG55" s="398">
        <v>16</v>
      </c>
      <c r="AH55" s="398"/>
      <c r="AI55" s="398"/>
      <c r="AJ55" s="398"/>
      <c r="AK55" s="399"/>
      <c r="AL55" s="399"/>
      <c r="AM55" s="399"/>
      <c r="AN55" s="399"/>
      <c r="AO55" s="399"/>
      <c r="AP55" s="399"/>
      <c r="AQ55" s="399"/>
      <c r="AR55" s="399"/>
      <c r="AS55" s="399"/>
      <c r="AT55" s="399"/>
      <c r="AU55" s="399"/>
      <c r="AV55" s="399"/>
      <c r="AW55" s="399"/>
      <c r="AX55" s="399"/>
      <c r="AY55" s="1100"/>
      <c r="AZ55" s="399">
        <v>1</v>
      </c>
      <c r="BA55" s="399">
        <v>3</v>
      </c>
      <c r="BB55" s="399"/>
      <c r="BC55" s="399"/>
      <c r="BD55" s="399"/>
      <c r="BE55" s="399"/>
      <c r="BF55" s="399"/>
      <c r="BG55" s="253">
        <f t="shared" si="11"/>
        <v>16000</v>
      </c>
      <c r="BH55" s="393" t="str">
        <f t="shared" si="12"/>
        <v>OK</v>
      </c>
      <c r="BJ55" s="398">
        <v>16</v>
      </c>
      <c r="BK55" s="398"/>
      <c r="BL55" s="398"/>
      <c r="BM55" s="398"/>
      <c r="BN55" s="399"/>
      <c r="BO55" s="399"/>
      <c r="BP55" s="399"/>
      <c r="BQ55" s="399"/>
      <c r="BR55" s="399"/>
      <c r="BS55" s="399"/>
      <c r="BT55" s="399"/>
      <c r="BU55" s="399"/>
      <c r="BV55" s="399"/>
      <c r="BW55" s="399"/>
      <c r="BX55" s="399"/>
      <c r="BY55" s="399"/>
      <c r="BZ55" s="399"/>
      <c r="CA55" s="399"/>
      <c r="CB55" s="1100"/>
      <c r="CC55" s="399">
        <v>1</v>
      </c>
      <c r="CD55" s="399">
        <v>3</v>
      </c>
      <c r="CE55" s="399"/>
      <c r="CF55" s="399"/>
      <c r="CG55" s="399"/>
      <c r="CH55" s="399"/>
      <c r="CI55" s="399"/>
      <c r="CJ55" s="399"/>
      <c r="CK55" s="393" t="str">
        <f t="shared" si="13"/>
        <v>NG</v>
      </c>
    </row>
    <row r="56" spans="4:89">
      <c r="D56" s="256"/>
      <c r="E56" s="257"/>
      <c r="AG56" s="398">
        <v>16.5</v>
      </c>
      <c r="AH56" s="398"/>
      <c r="AI56" s="398"/>
      <c r="AJ56" s="398"/>
      <c r="AK56" s="399"/>
      <c r="AL56" s="399"/>
      <c r="AM56" s="399"/>
      <c r="AN56" s="399"/>
      <c r="AO56" s="399"/>
      <c r="AP56" s="399"/>
      <c r="AQ56" s="399"/>
      <c r="AR56" s="399"/>
      <c r="AS56" s="399"/>
      <c r="AT56" s="399"/>
      <c r="AU56" s="399"/>
      <c r="AV56" s="399"/>
      <c r="AW56" s="399"/>
      <c r="AX56" s="399"/>
      <c r="AY56" s="1100"/>
      <c r="AZ56" s="399"/>
      <c r="BA56" s="399">
        <v>3</v>
      </c>
      <c r="BB56" s="399"/>
      <c r="BC56" s="399">
        <v>1</v>
      </c>
      <c r="BD56" s="399"/>
      <c r="BE56" s="399"/>
      <c r="BF56" s="399"/>
      <c r="BG56" s="253">
        <f t="shared" si="11"/>
        <v>16500</v>
      </c>
      <c r="BH56" s="393" t="str">
        <f t="shared" si="12"/>
        <v>OK</v>
      </c>
      <c r="BJ56" s="398">
        <v>16.5</v>
      </c>
      <c r="BK56" s="398"/>
      <c r="BL56" s="398"/>
      <c r="BM56" s="398"/>
      <c r="BN56" s="399"/>
      <c r="BO56" s="399"/>
      <c r="BP56" s="399"/>
      <c r="BQ56" s="399"/>
      <c r="BR56" s="399"/>
      <c r="BS56" s="399"/>
      <c r="BT56" s="399"/>
      <c r="BU56" s="399"/>
      <c r="BV56" s="399"/>
      <c r="BW56" s="399"/>
      <c r="BX56" s="399"/>
      <c r="BY56" s="399"/>
      <c r="BZ56" s="399"/>
      <c r="CA56" s="399"/>
      <c r="CB56" s="1100"/>
      <c r="CC56" s="399"/>
      <c r="CD56" s="399">
        <v>3</v>
      </c>
      <c r="CE56" s="399"/>
      <c r="CF56" s="399"/>
      <c r="CG56" s="399">
        <v>1</v>
      </c>
      <c r="CH56" s="399"/>
      <c r="CI56" s="399"/>
      <c r="CJ56" s="399"/>
      <c r="CK56" s="393" t="str">
        <f t="shared" si="13"/>
        <v>NG</v>
      </c>
    </row>
    <row r="57" spans="4:89">
      <c r="D57" s="256"/>
      <c r="E57" s="257"/>
      <c r="AG57" s="398">
        <v>17</v>
      </c>
      <c r="AH57" s="398"/>
      <c r="AI57" s="398"/>
      <c r="AJ57" s="398"/>
      <c r="AK57" s="399"/>
      <c r="AL57" s="399"/>
      <c r="AM57" s="399"/>
      <c r="AN57" s="399"/>
      <c r="AO57" s="399"/>
      <c r="AP57" s="399"/>
      <c r="AQ57" s="399"/>
      <c r="AR57" s="399"/>
      <c r="AS57" s="399"/>
      <c r="AT57" s="399"/>
      <c r="AU57" s="399"/>
      <c r="AV57" s="399"/>
      <c r="AW57" s="399"/>
      <c r="AX57" s="399"/>
      <c r="AY57" s="1100"/>
      <c r="AZ57" s="399"/>
      <c r="BA57" s="399">
        <v>3</v>
      </c>
      <c r="BB57" s="399"/>
      <c r="BC57" s="399"/>
      <c r="BD57" s="399"/>
      <c r="BE57" s="399">
        <v>1</v>
      </c>
      <c r="BF57" s="399"/>
      <c r="BG57" s="253">
        <f t="shared" ref="BG57:BG88" si="19">(SUMPRODUCT($AK$24:$BF$24,AK57:BF57))+120</f>
        <v>17000</v>
      </c>
      <c r="BH57" s="393" t="str">
        <f t="shared" ref="BH57:BH88" si="20">IF(BG57=AG57*1000,"OK","NG")</f>
        <v>OK</v>
      </c>
      <c r="BJ57" s="398">
        <v>17</v>
      </c>
      <c r="BK57" s="398"/>
      <c r="BL57" s="398"/>
      <c r="BM57" s="398"/>
      <c r="BN57" s="399"/>
      <c r="BO57" s="399"/>
      <c r="BP57" s="399"/>
      <c r="BQ57" s="399"/>
      <c r="BR57" s="399"/>
      <c r="BS57" s="399"/>
      <c r="BT57" s="399"/>
      <c r="BU57" s="399"/>
      <c r="BV57" s="399"/>
      <c r="BW57" s="399"/>
      <c r="BX57" s="399"/>
      <c r="BY57" s="399"/>
      <c r="BZ57" s="399"/>
      <c r="CA57" s="399"/>
      <c r="CB57" s="1100"/>
      <c r="CC57" s="399"/>
      <c r="CD57" s="399">
        <v>3</v>
      </c>
      <c r="CE57" s="399"/>
      <c r="CF57" s="399"/>
      <c r="CG57" s="399"/>
      <c r="CH57" s="399"/>
      <c r="CI57" s="399">
        <v>1</v>
      </c>
      <c r="CJ57" s="399"/>
      <c r="CK57" s="393" t="str">
        <f t="shared" ref="CK57:CK88" si="21">IF(CJ57=BJ57*1000,"OK","NG")</f>
        <v>NG</v>
      </c>
    </row>
    <row r="58" spans="4:89">
      <c r="D58" s="256"/>
      <c r="E58" s="257"/>
      <c r="AG58" s="398">
        <v>17.5</v>
      </c>
      <c r="AH58" s="398"/>
      <c r="AI58" s="398"/>
      <c r="AJ58" s="398"/>
      <c r="AK58" s="399"/>
      <c r="AL58" s="399"/>
      <c r="AM58" s="399"/>
      <c r="AN58" s="399">
        <v>1</v>
      </c>
      <c r="AO58" s="399"/>
      <c r="AP58" s="399"/>
      <c r="AQ58" s="399"/>
      <c r="AR58" s="399"/>
      <c r="AS58" s="399"/>
      <c r="AT58" s="399"/>
      <c r="AU58" s="399"/>
      <c r="AV58" s="399"/>
      <c r="AW58" s="399"/>
      <c r="AX58" s="399"/>
      <c r="AY58" s="1100"/>
      <c r="AZ58" s="399"/>
      <c r="BA58" s="399">
        <v>4</v>
      </c>
      <c r="BB58" s="399"/>
      <c r="BC58" s="399"/>
      <c r="BD58" s="399"/>
      <c r="BE58" s="399"/>
      <c r="BF58" s="399"/>
      <c r="BG58" s="253">
        <f t="shared" si="19"/>
        <v>17500</v>
      </c>
      <c r="BH58" s="393" t="str">
        <f t="shared" si="20"/>
        <v>OK</v>
      </c>
      <c r="BJ58" s="398">
        <v>17.5</v>
      </c>
      <c r="BK58" s="398"/>
      <c r="BL58" s="398"/>
      <c r="BM58" s="398"/>
      <c r="BN58" s="399"/>
      <c r="BO58" s="399"/>
      <c r="BP58" s="399"/>
      <c r="BQ58" s="399">
        <v>1</v>
      </c>
      <c r="BR58" s="399"/>
      <c r="BS58" s="399"/>
      <c r="BT58" s="399"/>
      <c r="BU58" s="399"/>
      <c r="BV58" s="399"/>
      <c r="BW58" s="399"/>
      <c r="BX58" s="399"/>
      <c r="BY58" s="399"/>
      <c r="BZ58" s="399"/>
      <c r="CA58" s="399"/>
      <c r="CB58" s="1100"/>
      <c r="CC58" s="399"/>
      <c r="CD58" s="399">
        <v>4</v>
      </c>
      <c r="CE58" s="399"/>
      <c r="CF58" s="399"/>
      <c r="CG58" s="399"/>
      <c r="CH58" s="399"/>
      <c r="CI58" s="399"/>
      <c r="CJ58" s="399"/>
      <c r="CK58" s="393" t="str">
        <f t="shared" si="21"/>
        <v>NG</v>
      </c>
    </row>
    <row r="59" spans="4:89">
      <c r="D59" s="256"/>
      <c r="E59" s="257"/>
      <c r="AG59" s="398">
        <v>18</v>
      </c>
      <c r="AH59" s="398"/>
      <c r="AI59" s="398"/>
      <c r="AJ59" s="398"/>
      <c r="AK59" s="399"/>
      <c r="AL59" s="399"/>
      <c r="AM59" s="399"/>
      <c r="AN59" s="399"/>
      <c r="AO59" s="399"/>
      <c r="AP59" s="399">
        <v>1</v>
      </c>
      <c r="AQ59" s="399"/>
      <c r="AR59" s="399"/>
      <c r="AS59" s="399"/>
      <c r="AT59" s="399"/>
      <c r="AU59" s="399"/>
      <c r="AV59" s="399"/>
      <c r="AW59" s="399"/>
      <c r="AX59" s="399"/>
      <c r="AY59" s="1100"/>
      <c r="AZ59" s="399"/>
      <c r="BA59" s="399">
        <v>4</v>
      </c>
      <c r="BB59" s="399"/>
      <c r="BC59" s="399"/>
      <c r="BD59" s="399"/>
      <c r="BE59" s="399"/>
      <c r="BF59" s="399"/>
      <c r="BG59" s="253">
        <f t="shared" si="19"/>
        <v>18000</v>
      </c>
      <c r="BH59" s="393" t="str">
        <f t="shared" si="20"/>
        <v>OK</v>
      </c>
      <c r="BJ59" s="398">
        <v>18</v>
      </c>
      <c r="BK59" s="398"/>
      <c r="BL59" s="398"/>
      <c r="BM59" s="398"/>
      <c r="BN59" s="399"/>
      <c r="BO59" s="399"/>
      <c r="BP59" s="399"/>
      <c r="BQ59" s="399"/>
      <c r="BR59" s="399"/>
      <c r="BS59" s="399">
        <v>1</v>
      </c>
      <c r="BT59" s="399"/>
      <c r="BU59" s="399"/>
      <c r="BV59" s="399"/>
      <c r="BW59" s="399"/>
      <c r="BX59" s="399"/>
      <c r="BY59" s="399"/>
      <c r="BZ59" s="399"/>
      <c r="CA59" s="399"/>
      <c r="CB59" s="1100"/>
      <c r="CC59" s="399"/>
      <c r="CD59" s="399">
        <v>4</v>
      </c>
      <c r="CE59" s="399"/>
      <c r="CF59" s="399"/>
      <c r="CG59" s="399"/>
      <c r="CH59" s="399"/>
      <c r="CI59" s="399"/>
      <c r="CJ59" s="399"/>
      <c r="CK59" s="393" t="str">
        <f t="shared" si="21"/>
        <v>NG</v>
      </c>
    </row>
    <row r="60" spans="4:89">
      <c r="D60" s="256"/>
      <c r="E60" s="257"/>
      <c r="AG60" s="398">
        <v>18.5</v>
      </c>
      <c r="AH60" s="398"/>
      <c r="AI60" s="398"/>
      <c r="AJ60" s="398"/>
      <c r="AK60" s="399"/>
      <c r="AL60" s="399"/>
      <c r="AM60" s="399"/>
      <c r="AN60" s="399"/>
      <c r="AO60" s="399"/>
      <c r="AP60" s="399"/>
      <c r="AQ60" s="399"/>
      <c r="AR60" s="399"/>
      <c r="AS60" s="399">
        <v>1</v>
      </c>
      <c r="AT60" s="399"/>
      <c r="AU60" s="399"/>
      <c r="AV60" s="399"/>
      <c r="AW60" s="399"/>
      <c r="AX60" s="399"/>
      <c r="AY60" s="1100"/>
      <c r="AZ60" s="399"/>
      <c r="BA60" s="399">
        <v>4</v>
      </c>
      <c r="BB60" s="399"/>
      <c r="BC60" s="399"/>
      <c r="BD60" s="399"/>
      <c r="BE60" s="399"/>
      <c r="BF60" s="399"/>
      <c r="BG60" s="253">
        <f t="shared" si="19"/>
        <v>18500</v>
      </c>
      <c r="BH60" s="393" t="str">
        <f t="shared" si="20"/>
        <v>OK</v>
      </c>
      <c r="BJ60" s="398">
        <v>18.5</v>
      </c>
      <c r="BK60" s="398"/>
      <c r="BL60" s="398"/>
      <c r="BM60" s="398"/>
      <c r="BN60" s="399"/>
      <c r="BO60" s="399"/>
      <c r="BP60" s="399"/>
      <c r="BQ60" s="399"/>
      <c r="BR60" s="399"/>
      <c r="BS60" s="399"/>
      <c r="BT60" s="399"/>
      <c r="BU60" s="399"/>
      <c r="BV60" s="399">
        <v>1</v>
      </c>
      <c r="BW60" s="399"/>
      <c r="BX60" s="399"/>
      <c r="BY60" s="399"/>
      <c r="BZ60" s="399"/>
      <c r="CA60" s="399"/>
      <c r="CB60" s="1100"/>
      <c r="CC60" s="399"/>
      <c r="CD60" s="399">
        <v>4</v>
      </c>
      <c r="CE60" s="399"/>
      <c r="CF60" s="399"/>
      <c r="CG60" s="399"/>
      <c r="CH60" s="399"/>
      <c r="CI60" s="399"/>
      <c r="CJ60" s="399"/>
      <c r="CK60" s="393" t="str">
        <f t="shared" si="21"/>
        <v>NG</v>
      </c>
    </row>
    <row r="61" spans="4:89">
      <c r="D61" s="256"/>
      <c r="E61" s="257"/>
      <c r="AG61" s="398">
        <v>19</v>
      </c>
      <c r="AH61" s="398"/>
      <c r="AI61" s="398"/>
      <c r="AJ61" s="398"/>
      <c r="AK61" s="399"/>
      <c r="AL61" s="399"/>
      <c r="AM61" s="399"/>
      <c r="AN61" s="399"/>
      <c r="AO61" s="399"/>
      <c r="AP61" s="399"/>
      <c r="AQ61" s="399"/>
      <c r="AR61" s="399"/>
      <c r="AS61" s="399"/>
      <c r="AT61" s="399"/>
      <c r="AU61" s="399">
        <v>1</v>
      </c>
      <c r="AV61" s="399"/>
      <c r="AW61" s="399"/>
      <c r="AX61" s="399"/>
      <c r="AY61" s="1100"/>
      <c r="AZ61" s="399"/>
      <c r="BA61" s="399">
        <v>4</v>
      </c>
      <c r="BB61" s="399"/>
      <c r="BC61" s="399"/>
      <c r="BD61" s="399"/>
      <c r="BE61" s="399"/>
      <c r="BF61" s="399"/>
      <c r="BG61" s="253">
        <f t="shared" si="19"/>
        <v>19000</v>
      </c>
      <c r="BH61" s="393" t="str">
        <f t="shared" si="20"/>
        <v>OK</v>
      </c>
      <c r="BJ61" s="398">
        <v>19</v>
      </c>
      <c r="BK61" s="398"/>
      <c r="BL61" s="398"/>
      <c r="BM61" s="398"/>
      <c r="BN61" s="399"/>
      <c r="BO61" s="399"/>
      <c r="BP61" s="399"/>
      <c r="BQ61" s="399"/>
      <c r="BR61" s="399"/>
      <c r="BS61" s="399"/>
      <c r="BT61" s="399"/>
      <c r="BU61" s="399"/>
      <c r="BV61" s="399"/>
      <c r="BW61" s="399"/>
      <c r="BX61" s="399">
        <v>1</v>
      </c>
      <c r="BY61" s="399"/>
      <c r="BZ61" s="399"/>
      <c r="CA61" s="399"/>
      <c r="CB61" s="1100"/>
      <c r="CC61" s="399"/>
      <c r="CD61" s="399">
        <v>4</v>
      </c>
      <c r="CE61" s="399"/>
      <c r="CF61" s="399"/>
      <c r="CG61" s="399"/>
      <c r="CH61" s="399"/>
      <c r="CI61" s="399"/>
      <c r="CJ61" s="399"/>
      <c r="CK61" s="393" t="str">
        <f t="shared" si="21"/>
        <v>NG</v>
      </c>
    </row>
    <row r="62" spans="4:89">
      <c r="D62" s="256"/>
      <c r="E62" s="257"/>
      <c r="AG62" s="398">
        <v>19.5</v>
      </c>
      <c r="AH62" s="398"/>
      <c r="AI62" s="398"/>
      <c r="AJ62" s="398"/>
      <c r="AK62" s="399"/>
      <c r="AL62" s="399"/>
      <c r="AM62" s="399"/>
      <c r="AN62" s="399"/>
      <c r="AO62" s="399"/>
      <c r="AP62" s="399"/>
      <c r="AQ62" s="399"/>
      <c r="AR62" s="399"/>
      <c r="AS62" s="399"/>
      <c r="AT62" s="399"/>
      <c r="AU62" s="399"/>
      <c r="AV62" s="399"/>
      <c r="AW62" s="399"/>
      <c r="AX62" s="399">
        <v>1</v>
      </c>
      <c r="AY62" s="1100"/>
      <c r="AZ62" s="399"/>
      <c r="BA62" s="399">
        <v>4</v>
      </c>
      <c r="BB62" s="399"/>
      <c r="BC62" s="399"/>
      <c r="BD62" s="399"/>
      <c r="BE62" s="399"/>
      <c r="BF62" s="399"/>
      <c r="BG62" s="253">
        <f t="shared" si="19"/>
        <v>19500</v>
      </c>
      <c r="BH62" s="393" t="str">
        <f t="shared" si="20"/>
        <v>OK</v>
      </c>
      <c r="BJ62" s="398">
        <v>19.5</v>
      </c>
      <c r="BK62" s="398"/>
      <c r="BL62" s="398"/>
      <c r="BM62" s="398"/>
      <c r="BN62" s="399"/>
      <c r="BO62" s="399"/>
      <c r="BP62" s="399"/>
      <c r="BQ62" s="399"/>
      <c r="BR62" s="399"/>
      <c r="BS62" s="399"/>
      <c r="BT62" s="399"/>
      <c r="BU62" s="399"/>
      <c r="BV62" s="399"/>
      <c r="BW62" s="399"/>
      <c r="BX62" s="399"/>
      <c r="BY62" s="399"/>
      <c r="BZ62" s="399"/>
      <c r="CA62" s="399">
        <v>1</v>
      </c>
      <c r="CB62" s="1100"/>
      <c r="CC62" s="399"/>
      <c r="CD62" s="399">
        <v>4</v>
      </c>
      <c r="CE62" s="399"/>
      <c r="CF62" s="399"/>
      <c r="CG62" s="399"/>
      <c r="CH62" s="399"/>
      <c r="CI62" s="399"/>
      <c r="CJ62" s="399"/>
      <c r="CK62" s="393" t="str">
        <f t="shared" si="21"/>
        <v>NG</v>
      </c>
    </row>
    <row r="63" spans="4:89">
      <c r="D63" s="256"/>
      <c r="E63" s="257"/>
      <c r="AG63" s="398">
        <v>20</v>
      </c>
      <c r="AH63" s="398"/>
      <c r="AI63" s="398"/>
      <c r="AJ63" s="398"/>
      <c r="AK63" s="399"/>
      <c r="AL63" s="399"/>
      <c r="AM63" s="399"/>
      <c r="AN63" s="399"/>
      <c r="AO63" s="399"/>
      <c r="AP63" s="399"/>
      <c r="AQ63" s="399"/>
      <c r="AR63" s="399"/>
      <c r="AS63" s="399"/>
      <c r="AT63" s="399"/>
      <c r="AU63" s="399"/>
      <c r="AV63" s="399"/>
      <c r="AW63" s="399"/>
      <c r="AX63" s="399"/>
      <c r="AY63" s="1100"/>
      <c r="AZ63" s="399">
        <v>1</v>
      </c>
      <c r="BA63" s="399">
        <v>4</v>
      </c>
      <c r="BB63" s="399"/>
      <c r="BC63" s="399"/>
      <c r="BD63" s="399"/>
      <c r="BE63" s="399"/>
      <c r="BF63" s="399"/>
      <c r="BG63" s="253">
        <f t="shared" si="19"/>
        <v>20000</v>
      </c>
      <c r="BH63" s="393" t="str">
        <f t="shared" si="20"/>
        <v>OK</v>
      </c>
      <c r="BJ63" s="398">
        <v>20</v>
      </c>
      <c r="BK63" s="398"/>
      <c r="BL63" s="398"/>
      <c r="BM63" s="398"/>
      <c r="BN63" s="399"/>
      <c r="BO63" s="399"/>
      <c r="BP63" s="399"/>
      <c r="BQ63" s="399"/>
      <c r="BR63" s="399"/>
      <c r="BS63" s="399"/>
      <c r="BT63" s="399"/>
      <c r="BU63" s="399"/>
      <c r="BV63" s="399"/>
      <c r="BW63" s="399"/>
      <c r="BX63" s="399"/>
      <c r="BY63" s="399"/>
      <c r="BZ63" s="399"/>
      <c r="CA63" s="399"/>
      <c r="CB63" s="1100"/>
      <c r="CC63" s="399">
        <v>1</v>
      </c>
      <c r="CD63" s="399">
        <v>4</v>
      </c>
      <c r="CE63" s="399"/>
      <c r="CF63" s="399"/>
      <c r="CG63" s="399"/>
      <c r="CH63" s="399"/>
      <c r="CI63" s="399"/>
      <c r="CJ63" s="399"/>
      <c r="CK63" s="393" t="str">
        <f t="shared" si="21"/>
        <v>NG</v>
      </c>
    </row>
    <row r="64" spans="4:89">
      <c r="D64" s="256"/>
      <c r="E64" s="257"/>
      <c r="AG64" s="398">
        <v>20.5</v>
      </c>
      <c r="AH64" s="398"/>
      <c r="AI64" s="398"/>
      <c r="AJ64" s="398"/>
      <c r="AK64" s="399"/>
      <c r="AL64" s="399"/>
      <c r="AM64" s="399"/>
      <c r="AN64" s="399"/>
      <c r="AO64" s="399"/>
      <c r="AP64" s="399"/>
      <c r="AQ64" s="399"/>
      <c r="AR64" s="399"/>
      <c r="AS64" s="399"/>
      <c r="AT64" s="399"/>
      <c r="AU64" s="399"/>
      <c r="AV64" s="399"/>
      <c r="AW64" s="399"/>
      <c r="AX64" s="399"/>
      <c r="AY64" s="1100"/>
      <c r="AZ64" s="399"/>
      <c r="BA64" s="399">
        <v>4</v>
      </c>
      <c r="BB64" s="399"/>
      <c r="BC64" s="399">
        <v>1</v>
      </c>
      <c r="BD64" s="399"/>
      <c r="BE64" s="399"/>
      <c r="BF64" s="399"/>
      <c r="BG64" s="253">
        <f t="shared" si="19"/>
        <v>20500</v>
      </c>
      <c r="BH64" s="393" t="str">
        <f t="shared" si="20"/>
        <v>OK</v>
      </c>
      <c r="BJ64" s="398">
        <v>20.5</v>
      </c>
      <c r="BK64" s="398"/>
      <c r="BL64" s="398"/>
      <c r="BM64" s="398"/>
      <c r="BN64" s="399"/>
      <c r="BO64" s="399"/>
      <c r="BP64" s="399"/>
      <c r="BQ64" s="399"/>
      <c r="BR64" s="399"/>
      <c r="BS64" s="399"/>
      <c r="BT64" s="399"/>
      <c r="BU64" s="399"/>
      <c r="BV64" s="399"/>
      <c r="BW64" s="399"/>
      <c r="BX64" s="399"/>
      <c r="BY64" s="399"/>
      <c r="BZ64" s="399"/>
      <c r="CA64" s="399"/>
      <c r="CB64" s="1100"/>
      <c r="CC64" s="399"/>
      <c r="CD64" s="399">
        <v>4</v>
      </c>
      <c r="CE64" s="399"/>
      <c r="CF64" s="399"/>
      <c r="CG64" s="399">
        <v>1</v>
      </c>
      <c r="CH64" s="399"/>
      <c r="CI64" s="399"/>
      <c r="CJ64" s="399"/>
      <c r="CK64" s="393" t="str">
        <f t="shared" si="21"/>
        <v>NG</v>
      </c>
    </row>
    <row r="65" spans="4:89">
      <c r="D65" s="256"/>
      <c r="E65" s="257"/>
      <c r="AG65" s="398">
        <v>21</v>
      </c>
      <c r="AH65" s="398"/>
      <c r="AI65" s="398"/>
      <c r="AJ65" s="398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1100"/>
      <c r="AZ65" s="399"/>
      <c r="BA65" s="399">
        <v>4</v>
      </c>
      <c r="BB65" s="399"/>
      <c r="BC65" s="399"/>
      <c r="BD65" s="399"/>
      <c r="BE65" s="399">
        <v>1</v>
      </c>
      <c r="BF65" s="399"/>
      <c r="BG65" s="253">
        <f t="shared" si="19"/>
        <v>21000</v>
      </c>
      <c r="BH65" s="393" t="str">
        <f t="shared" si="20"/>
        <v>OK</v>
      </c>
      <c r="BJ65" s="398">
        <v>21</v>
      </c>
      <c r="BK65" s="398"/>
      <c r="BL65" s="398"/>
      <c r="BM65" s="398"/>
      <c r="BN65" s="399"/>
      <c r="BO65" s="399"/>
      <c r="BP65" s="399"/>
      <c r="BQ65" s="399"/>
      <c r="BR65" s="399"/>
      <c r="BS65" s="399"/>
      <c r="BT65" s="399"/>
      <c r="BU65" s="399"/>
      <c r="BV65" s="399"/>
      <c r="BW65" s="399"/>
      <c r="BX65" s="399"/>
      <c r="BY65" s="399"/>
      <c r="BZ65" s="399"/>
      <c r="CA65" s="399"/>
      <c r="CB65" s="1100"/>
      <c r="CC65" s="399"/>
      <c r="CD65" s="399">
        <v>4</v>
      </c>
      <c r="CE65" s="399"/>
      <c r="CF65" s="399"/>
      <c r="CG65" s="399"/>
      <c r="CH65" s="399"/>
      <c r="CI65" s="399">
        <v>1</v>
      </c>
      <c r="CJ65" s="399"/>
      <c r="CK65" s="393" t="str">
        <f t="shared" si="21"/>
        <v>NG</v>
      </c>
    </row>
    <row r="66" spans="4:89">
      <c r="D66" s="256"/>
      <c r="E66" s="257"/>
      <c r="AG66" s="398">
        <v>21.5</v>
      </c>
      <c r="AH66" s="398"/>
      <c r="AI66" s="398"/>
      <c r="AJ66" s="398"/>
      <c r="AK66" s="399"/>
      <c r="AL66" s="399"/>
      <c r="AM66" s="399"/>
      <c r="AN66" s="399">
        <v>1</v>
      </c>
      <c r="AO66" s="399"/>
      <c r="AP66" s="399"/>
      <c r="AQ66" s="399"/>
      <c r="AR66" s="399"/>
      <c r="AS66" s="399"/>
      <c r="AT66" s="399"/>
      <c r="AU66" s="399"/>
      <c r="AV66" s="399"/>
      <c r="AW66" s="399"/>
      <c r="AX66" s="399"/>
      <c r="AY66" s="1100"/>
      <c r="AZ66" s="399"/>
      <c r="BA66" s="399">
        <v>5</v>
      </c>
      <c r="BB66" s="399"/>
      <c r="BC66" s="399"/>
      <c r="BD66" s="399"/>
      <c r="BE66" s="399"/>
      <c r="BF66" s="399"/>
      <c r="BG66" s="253">
        <f t="shared" si="19"/>
        <v>21500</v>
      </c>
      <c r="BH66" s="393" t="str">
        <f t="shared" si="20"/>
        <v>OK</v>
      </c>
      <c r="BJ66" s="398">
        <v>21.5</v>
      </c>
      <c r="BK66" s="398"/>
      <c r="BL66" s="398"/>
      <c r="BM66" s="398"/>
      <c r="BN66" s="399"/>
      <c r="BO66" s="399"/>
      <c r="BP66" s="399"/>
      <c r="BQ66" s="399">
        <v>1</v>
      </c>
      <c r="BR66" s="399"/>
      <c r="BS66" s="399"/>
      <c r="BT66" s="399"/>
      <c r="BU66" s="399"/>
      <c r="BV66" s="399"/>
      <c r="BW66" s="399"/>
      <c r="BX66" s="399"/>
      <c r="BY66" s="399"/>
      <c r="BZ66" s="399"/>
      <c r="CA66" s="399"/>
      <c r="CB66" s="1100"/>
      <c r="CC66" s="399"/>
      <c r="CD66" s="399">
        <v>5</v>
      </c>
      <c r="CE66" s="399"/>
      <c r="CF66" s="399"/>
      <c r="CG66" s="399"/>
      <c r="CH66" s="399"/>
      <c r="CI66" s="399"/>
      <c r="CJ66" s="399"/>
      <c r="CK66" s="393" t="str">
        <f t="shared" si="21"/>
        <v>NG</v>
      </c>
    </row>
    <row r="67" spans="4:89">
      <c r="D67" s="256"/>
      <c r="E67" s="257"/>
      <c r="AG67" s="398">
        <v>22</v>
      </c>
      <c r="AH67" s="398"/>
      <c r="AI67" s="398"/>
      <c r="AJ67" s="398"/>
      <c r="AK67" s="399"/>
      <c r="AL67" s="399"/>
      <c r="AM67" s="399"/>
      <c r="AN67" s="399"/>
      <c r="AO67" s="399"/>
      <c r="AP67" s="399">
        <v>1</v>
      </c>
      <c r="AQ67" s="399"/>
      <c r="AR67" s="399"/>
      <c r="AS67" s="399"/>
      <c r="AT67" s="399"/>
      <c r="AU67" s="399"/>
      <c r="AV67" s="399"/>
      <c r="AW67" s="399"/>
      <c r="AX67" s="399"/>
      <c r="AY67" s="1100"/>
      <c r="AZ67" s="399"/>
      <c r="BA67" s="399">
        <v>5</v>
      </c>
      <c r="BB67" s="399"/>
      <c r="BC67" s="399"/>
      <c r="BD67" s="399"/>
      <c r="BE67" s="399"/>
      <c r="BF67" s="399"/>
      <c r="BG67" s="253">
        <f t="shared" si="19"/>
        <v>22000</v>
      </c>
      <c r="BH67" s="393" t="str">
        <f t="shared" si="20"/>
        <v>OK</v>
      </c>
      <c r="BJ67" s="398">
        <v>22</v>
      </c>
      <c r="BK67" s="398"/>
      <c r="BL67" s="398"/>
      <c r="BM67" s="398"/>
      <c r="BN67" s="399"/>
      <c r="BO67" s="399"/>
      <c r="BP67" s="399"/>
      <c r="BQ67" s="399"/>
      <c r="BR67" s="399"/>
      <c r="BS67" s="399">
        <v>1</v>
      </c>
      <c r="BT67" s="399"/>
      <c r="BU67" s="399"/>
      <c r="BV67" s="399"/>
      <c r="BW67" s="399"/>
      <c r="BX67" s="399"/>
      <c r="BY67" s="399"/>
      <c r="BZ67" s="399"/>
      <c r="CA67" s="399"/>
      <c r="CB67" s="1100"/>
      <c r="CC67" s="399"/>
      <c r="CD67" s="399">
        <v>5</v>
      </c>
      <c r="CE67" s="399"/>
      <c r="CF67" s="399"/>
      <c r="CG67" s="399"/>
      <c r="CH67" s="399"/>
      <c r="CI67" s="399"/>
      <c r="CJ67" s="399"/>
      <c r="CK67" s="393" t="str">
        <f t="shared" si="21"/>
        <v>NG</v>
      </c>
    </row>
    <row r="68" spans="4:89">
      <c r="D68" s="256"/>
      <c r="E68" s="257"/>
      <c r="AG68" s="398">
        <v>22.5</v>
      </c>
      <c r="AH68" s="398"/>
      <c r="AI68" s="398"/>
      <c r="AJ68" s="398"/>
      <c r="AK68" s="399"/>
      <c r="AL68" s="399"/>
      <c r="AM68" s="399"/>
      <c r="AN68" s="399"/>
      <c r="AO68" s="399"/>
      <c r="AP68" s="399"/>
      <c r="AQ68" s="399"/>
      <c r="AR68" s="399"/>
      <c r="AS68" s="399">
        <v>1</v>
      </c>
      <c r="AT68" s="399"/>
      <c r="AU68" s="399"/>
      <c r="AV68" s="399"/>
      <c r="AW68" s="399"/>
      <c r="AX68" s="399"/>
      <c r="AY68" s="1100"/>
      <c r="AZ68" s="399"/>
      <c r="BA68" s="399">
        <v>5</v>
      </c>
      <c r="BB68" s="399"/>
      <c r="BC68" s="399"/>
      <c r="BD68" s="399"/>
      <c r="BE68" s="399"/>
      <c r="BF68" s="399"/>
      <c r="BG68" s="253">
        <f t="shared" si="19"/>
        <v>22500</v>
      </c>
      <c r="BH68" s="393" t="str">
        <f t="shared" si="20"/>
        <v>OK</v>
      </c>
      <c r="BJ68" s="398">
        <v>22.5</v>
      </c>
      <c r="BK68" s="398"/>
      <c r="BL68" s="398"/>
      <c r="BM68" s="398"/>
      <c r="BN68" s="399"/>
      <c r="BO68" s="399"/>
      <c r="BP68" s="399"/>
      <c r="BQ68" s="399"/>
      <c r="BR68" s="399"/>
      <c r="BS68" s="399"/>
      <c r="BT68" s="399"/>
      <c r="BU68" s="399"/>
      <c r="BV68" s="399">
        <v>1</v>
      </c>
      <c r="BW68" s="399"/>
      <c r="BX68" s="399"/>
      <c r="BY68" s="399"/>
      <c r="BZ68" s="399"/>
      <c r="CA68" s="399"/>
      <c r="CB68" s="1100"/>
      <c r="CC68" s="399"/>
      <c r="CD68" s="399">
        <v>5</v>
      </c>
      <c r="CE68" s="399"/>
      <c r="CF68" s="399"/>
      <c r="CG68" s="399"/>
      <c r="CH68" s="399"/>
      <c r="CI68" s="399"/>
      <c r="CJ68" s="399"/>
      <c r="CK68" s="393" t="str">
        <f t="shared" si="21"/>
        <v>NG</v>
      </c>
    </row>
    <row r="69" spans="4:89">
      <c r="D69" s="256"/>
      <c r="E69" s="257"/>
      <c r="AG69" s="398">
        <v>23</v>
      </c>
      <c r="AH69" s="398"/>
      <c r="AI69" s="398"/>
      <c r="AJ69" s="398"/>
      <c r="AK69" s="399"/>
      <c r="AL69" s="399"/>
      <c r="AM69" s="399"/>
      <c r="AN69" s="399"/>
      <c r="AO69" s="399"/>
      <c r="AP69" s="399"/>
      <c r="AQ69" s="399"/>
      <c r="AR69" s="399"/>
      <c r="AS69" s="399"/>
      <c r="AT69" s="399"/>
      <c r="AU69" s="399">
        <v>1</v>
      </c>
      <c r="AV69" s="399"/>
      <c r="AW69" s="399"/>
      <c r="AX69" s="399"/>
      <c r="AY69" s="1100"/>
      <c r="AZ69" s="399"/>
      <c r="BA69" s="399">
        <v>5</v>
      </c>
      <c r="BB69" s="399"/>
      <c r="BC69" s="399"/>
      <c r="BD69" s="399"/>
      <c r="BE69" s="399"/>
      <c r="BF69" s="399"/>
      <c r="BG69" s="253">
        <f t="shared" si="19"/>
        <v>23000</v>
      </c>
      <c r="BH69" s="393" t="str">
        <f t="shared" si="20"/>
        <v>OK</v>
      </c>
      <c r="BJ69" s="398">
        <v>23</v>
      </c>
      <c r="BK69" s="398"/>
      <c r="BL69" s="398"/>
      <c r="BM69" s="398"/>
      <c r="BN69" s="399"/>
      <c r="BO69" s="399"/>
      <c r="BP69" s="399"/>
      <c r="BQ69" s="399"/>
      <c r="BR69" s="399"/>
      <c r="BS69" s="399"/>
      <c r="BT69" s="399"/>
      <c r="BU69" s="399"/>
      <c r="BV69" s="399"/>
      <c r="BW69" s="399"/>
      <c r="BX69" s="399">
        <v>1</v>
      </c>
      <c r="BY69" s="399"/>
      <c r="BZ69" s="399"/>
      <c r="CA69" s="399"/>
      <c r="CB69" s="1100"/>
      <c r="CC69" s="399"/>
      <c r="CD69" s="399">
        <v>5</v>
      </c>
      <c r="CE69" s="399"/>
      <c r="CF69" s="399"/>
      <c r="CG69" s="399"/>
      <c r="CH69" s="399"/>
      <c r="CI69" s="399"/>
      <c r="CJ69" s="399"/>
      <c r="CK69" s="393" t="str">
        <f t="shared" si="21"/>
        <v>NG</v>
      </c>
    </row>
    <row r="70" spans="4:89">
      <c r="D70" s="256"/>
      <c r="E70" s="257"/>
      <c r="AG70" s="398">
        <v>23.5</v>
      </c>
      <c r="AH70" s="398"/>
      <c r="AI70" s="398"/>
      <c r="AJ70" s="398"/>
      <c r="AK70" s="399"/>
      <c r="AL70" s="399"/>
      <c r="AM70" s="399"/>
      <c r="AN70" s="399"/>
      <c r="AO70" s="399"/>
      <c r="AP70" s="399"/>
      <c r="AQ70" s="399"/>
      <c r="AR70" s="399"/>
      <c r="AS70" s="399"/>
      <c r="AT70" s="399"/>
      <c r="AU70" s="399"/>
      <c r="AV70" s="399"/>
      <c r="AW70" s="399"/>
      <c r="AX70" s="399">
        <v>1</v>
      </c>
      <c r="AY70" s="1100"/>
      <c r="AZ70" s="399"/>
      <c r="BA70" s="399">
        <v>5</v>
      </c>
      <c r="BB70" s="399"/>
      <c r="BC70" s="399"/>
      <c r="BD70" s="399"/>
      <c r="BE70" s="399"/>
      <c r="BF70" s="399"/>
      <c r="BG70" s="253">
        <f t="shared" si="19"/>
        <v>23500</v>
      </c>
      <c r="BH70" s="393" t="str">
        <f t="shared" si="20"/>
        <v>OK</v>
      </c>
      <c r="BJ70" s="398">
        <v>23.5</v>
      </c>
      <c r="BK70" s="398"/>
      <c r="BL70" s="398"/>
      <c r="BM70" s="398"/>
      <c r="BN70" s="399"/>
      <c r="BO70" s="399"/>
      <c r="BP70" s="399"/>
      <c r="BQ70" s="399"/>
      <c r="BR70" s="399"/>
      <c r="BS70" s="399"/>
      <c r="BT70" s="399"/>
      <c r="BU70" s="399"/>
      <c r="BV70" s="399"/>
      <c r="BW70" s="399"/>
      <c r="BX70" s="399"/>
      <c r="BY70" s="399"/>
      <c r="BZ70" s="399"/>
      <c r="CA70" s="399">
        <v>1</v>
      </c>
      <c r="CB70" s="1100"/>
      <c r="CC70" s="399"/>
      <c r="CD70" s="399">
        <v>5</v>
      </c>
      <c r="CE70" s="399"/>
      <c r="CF70" s="399"/>
      <c r="CG70" s="399"/>
      <c r="CH70" s="399"/>
      <c r="CI70" s="399"/>
      <c r="CJ70" s="399"/>
      <c r="CK70" s="393" t="str">
        <f t="shared" si="21"/>
        <v>NG</v>
      </c>
    </row>
    <row r="71" spans="4:89">
      <c r="D71" s="256"/>
      <c r="E71" s="257"/>
      <c r="AG71" s="398">
        <v>24</v>
      </c>
      <c r="AH71" s="398"/>
      <c r="AI71" s="398"/>
      <c r="AJ71" s="398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1100"/>
      <c r="AZ71" s="399">
        <v>1</v>
      </c>
      <c r="BA71" s="399">
        <v>5</v>
      </c>
      <c r="BB71" s="399"/>
      <c r="BC71" s="399"/>
      <c r="BD71" s="399"/>
      <c r="BE71" s="399"/>
      <c r="BF71" s="399"/>
      <c r="BG71" s="253">
        <f t="shared" si="19"/>
        <v>24000</v>
      </c>
      <c r="BH71" s="393" t="str">
        <f t="shared" si="20"/>
        <v>OK</v>
      </c>
      <c r="BJ71" s="398">
        <v>24</v>
      </c>
      <c r="BK71" s="398"/>
      <c r="BL71" s="398"/>
      <c r="BM71" s="398"/>
      <c r="BN71" s="399"/>
      <c r="BO71" s="399"/>
      <c r="BP71" s="399"/>
      <c r="BQ71" s="399"/>
      <c r="BR71" s="399"/>
      <c r="BS71" s="399"/>
      <c r="BT71" s="399"/>
      <c r="BU71" s="399"/>
      <c r="BV71" s="399"/>
      <c r="BW71" s="399"/>
      <c r="BX71" s="399"/>
      <c r="BY71" s="399"/>
      <c r="BZ71" s="399"/>
      <c r="CA71" s="399"/>
      <c r="CB71" s="1100"/>
      <c r="CC71" s="399">
        <v>1</v>
      </c>
      <c r="CD71" s="399">
        <v>5</v>
      </c>
      <c r="CE71" s="399"/>
      <c r="CF71" s="399"/>
      <c r="CG71" s="399"/>
      <c r="CH71" s="399"/>
      <c r="CI71" s="399"/>
      <c r="CJ71" s="399"/>
      <c r="CK71" s="393" t="str">
        <f t="shared" si="21"/>
        <v>NG</v>
      </c>
    </row>
    <row r="72" spans="4:89">
      <c r="D72" s="256"/>
      <c r="E72" s="257"/>
      <c r="AG72" s="398">
        <v>24.5</v>
      </c>
      <c r="AH72" s="398"/>
      <c r="AI72" s="398"/>
      <c r="AJ72" s="398"/>
      <c r="AK72" s="399"/>
      <c r="AL72" s="399"/>
      <c r="AM72" s="399"/>
      <c r="AN72" s="399"/>
      <c r="AO72" s="399"/>
      <c r="AP72" s="399"/>
      <c r="AQ72" s="399"/>
      <c r="AR72" s="399"/>
      <c r="AS72" s="399"/>
      <c r="AT72" s="399"/>
      <c r="AU72" s="399"/>
      <c r="AV72" s="399"/>
      <c r="AW72" s="399"/>
      <c r="AX72" s="399"/>
      <c r="AY72" s="1100"/>
      <c r="AZ72" s="399"/>
      <c r="BA72" s="399">
        <v>5</v>
      </c>
      <c r="BB72" s="399"/>
      <c r="BC72" s="399">
        <v>1</v>
      </c>
      <c r="BD72" s="399"/>
      <c r="BE72" s="399"/>
      <c r="BF72" s="399"/>
      <c r="BG72" s="253">
        <f t="shared" si="19"/>
        <v>24500</v>
      </c>
      <c r="BH72" s="393" t="str">
        <f t="shared" si="20"/>
        <v>OK</v>
      </c>
      <c r="BJ72" s="398">
        <v>24.5</v>
      </c>
      <c r="BK72" s="398"/>
      <c r="BL72" s="398"/>
      <c r="BM72" s="398"/>
      <c r="BN72" s="399"/>
      <c r="BO72" s="399"/>
      <c r="BP72" s="399"/>
      <c r="BQ72" s="399"/>
      <c r="BR72" s="399"/>
      <c r="BS72" s="399"/>
      <c r="BT72" s="399"/>
      <c r="BU72" s="399"/>
      <c r="BV72" s="399"/>
      <c r="BW72" s="399"/>
      <c r="BX72" s="399"/>
      <c r="BY72" s="399"/>
      <c r="BZ72" s="399"/>
      <c r="CA72" s="399"/>
      <c r="CB72" s="1100"/>
      <c r="CC72" s="399"/>
      <c r="CD72" s="399">
        <v>5</v>
      </c>
      <c r="CE72" s="399"/>
      <c r="CF72" s="399"/>
      <c r="CG72" s="399">
        <v>1</v>
      </c>
      <c r="CH72" s="399"/>
      <c r="CI72" s="399"/>
      <c r="CJ72" s="399"/>
      <c r="CK72" s="393" t="str">
        <f t="shared" si="21"/>
        <v>NG</v>
      </c>
    </row>
    <row r="73" spans="4:89">
      <c r="D73" s="256"/>
      <c r="E73" s="257"/>
      <c r="AG73" s="398">
        <v>25</v>
      </c>
      <c r="AH73" s="398"/>
      <c r="AI73" s="398"/>
      <c r="AJ73" s="398"/>
      <c r="AK73" s="399"/>
      <c r="AL73" s="399"/>
      <c r="AM73" s="399"/>
      <c r="AN73" s="399"/>
      <c r="AO73" s="399"/>
      <c r="AP73" s="399"/>
      <c r="AQ73" s="399"/>
      <c r="AR73" s="399"/>
      <c r="AS73" s="399"/>
      <c r="AT73" s="399"/>
      <c r="AU73" s="399"/>
      <c r="AV73" s="399"/>
      <c r="AW73" s="399"/>
      <c r="AX73" s="399"/>
      <c r="AY73" s="1100"/>
      <c r="AZ73" s="399"/>
      <c r="BA73" s="399">
        <v>5</v>
      </c>
      <c r="BB73" s="399"/>
      <c r="BC73" s="399"/>
      <c r="BD73" s="399"/>
      <c r="BE73" s="399">
        <v>1</v>
      </c>
      <c r="BF73" s="399"/>
      <c r="BG73" s="253">
        <f t="shared" si="19"/>
        <v>25000</v>
      </c>
      <c r="BH73" s="393" t="str">
        <f t="shared" si="20"/>
        <v>OK</v>
      </c>
      <c r="BJ73" s="398">
        <v>25</v>
      </c>
      <c r="BK73" s="398"/>
      <c r="BL73" s="398"/>
      <c r="BM73" s="398"/>
      <c r="BN73" s="399"/>
      <c r="BO73" s="399"/>
      <c r="BP73" s="399"/>
      <c r="BQ73" s="399"/>
      <c r="BR73" s="399"/>
      <c r="BS73" s="399"/>
      <c r="BT73" s="399"/>
      <c r="BU73" s="399"/>
      <c r="BV73" s="399"/>
      <c r="BW73" s="399"/>
      <c r="BX73" s="399"/>
      <c r="BY73" s="399"/>
      <c r="BZ73" s="399"/>
      <c r="CA73" s="399"/>
      <c r="CB73" s="1100"/>
      <c r="CC73" s="399"/>
      <c r="CD73" s="399">
        <v>5</v>
      </c>
      <c r="CE73" s="399"/>
      <c r="CF73" s="399"/>
      <c r="CG73" s="399"/>
      <c r="CH73" s="399"/>
      <c r="CI73" s="399">
        <v>1</v>
      </c>
      <c r="CJ73" s="399"/>
      <c r="CK73" s="393" t="str">
        <f t="shared" si="21"/>
        <v>NG</v>
      </c>
    </row>
    <row r="74" spans="4:89">
      <c r="D74" s="256"/>
      <c r="E74" s="257"/>
      <c r="AG74" s="398">
        <v>25.5</v>
      </c>
      <c r="AH74" s="398"/>
      <c r="AI74" s="398"/>
      <c r="AJ74" s="398"/>
      <c r="AK74" s="399"/>
      <c r="AL74" s="399"/>
      <c r="AM74" s="399"/>
      <c r="AN74" s="399">
        <v>1</v>
      </c>
      <c r="AO74" s="399"/>
      <c r="AP74" s="399"/>
      <c r="AQ74" s="399"/>
      <c r="AR74" s="399"/>
      <c r="AS74" s="399"/>
      <c r="AT74" s="399"/>
      <c r="AU74" s="399"/>
      <c r="AV74" s="399"/>
      <c r="AW74" s="399"/>
      <c r="AX74" s="399"/>
      <c r="AY74" s="1100"/>
      <c r="AZ74" s="399"/>
      <c r="BA74" s="399">
        <v>6</v>
      </c>
      <c r="BB74" s="399"/>
      <c r="BC74" s="399"/>
      <c r="BD74" s="399"/>
      <c r="BE74" s="399"/>
      <c r="BF74" s="399"/>
      <c r="BG74" s="253">
        <f t="shared" si="19"/>
        <v>25500</v>
      </c>
      <c r="BH74" s="393" t="str">
        <f t="shared" si="20"/>
        <v>OK</v>
      </c>
      <c r="BJ74" s="398">
        <v>25.5</v>
      </c>
      <c r="BK74" s="398"/>
      <c r="BL74" s="398"/>
      <c r="BM74" s="398"/>
      <c r="BN74" s="399"/>
      <c r="BO74" s="399"/>
      <c r="BP74" s="399"/>
      <c r="BQ74" s="399">
        <v>1</v>
      </c>
      <c r="BR74" s="399"/>
      <c r="BS74" s="399"/>
      <c r="BT74" s="399"/>
      <c r="BU74" s="399"/>
      <c r="BV74" s="399"/>
      <c r="BW74" s="399"/>
      <c r="BX74" s="399"/>
      <c r="BY74" s="399"/>
      <c r="BZ74" s="399"/>
      <c r="CA74" s="399"/>
      <c r="CB74" s="1100"/>
      <c r="CC74" s="399"/>
      <c r="CD74" s="399">
        <v>6</v>
      </c>
      <c r="CE74" s="399"/>
      <c r="CF74" s="399"/>
      <c r="CG74" s="399"/>
      <c r="CH74" s="399"/>
      <c r="CI74" s="399"/>
      <c r="CJ74" s="399"/>
      <c r="CK74" s="393" t="str">
        <f t="shared" si="21"/>
        <v>NG</v>
      </c>
    </row>
    <row r="75" spans="4:89">
      <c r="D75" s="256"/>
      <c r="E75" s="257"/>
      <c r="AG75" s="398">
        <v>26</v>
      </c>
      <c r="AH75" s="398"/>
      <c r="AI75" s="398"/>
      <c r="AJ75" s="398"/>
      <c r="AK75" s="399"/>
      <c r="AL75" s="399"/>
      <c r="AM75" s="399"/>
      <c r="AN75" s="399"/>
      <c r="AO75" s="399"/>
      <c r="AP75" s="399">
        <v>1</v>
      </c>
      <c r="AQ75" s="399"/>
      <c r="AR75" s="399"/>
      <c r="AS75" s="399"/>
      <c r="AT75" s="399"/>
      <c r="AU75" s="399"/>
      <c r="AV75" s="399"/>
      <c r="AW75" s="399"/>
      <c r="AX75" s="399"/>
      <c r="AY75" s="1100"/>
      <c r="AZ75" s="399"/>
      <c r="BA75" s="399">
        <v>6</v>
      </c>
      <c r="BB75" s="399"/>
      <c r="BC75" s="399"/>
      <c r="BD75" s="399"/>
      <c r="BE75" s="399"/>
      <c r="BF75" s="399"/>
      <c r="BG75" s="253">
        <f t="shared" si="19"/>
        <v>26000</v>
      </c>
      <c r="BH75" s="393" t="str">
        <f t="shared" si="20"/>
        <v>OK</v>
      </c>
      <c r="BJ75" s="398">
        <v>26</v>
      </c>
      <c r="BK75" s="398"/>
      <c r="BL75" s="398"/>
      <c r="BM75" s="398"/>
      <c r="BN75" s="399"/>
      <c r="BO75" s="399"/>
      <c r="BP75" s="399"/>
      <c r="BQ75" s="399"/>
      <c r="BR75" s="399"/>
      <c r="BS75" s="399">
        <v>1</v>
      </c>
      <c r="BT75" s="399"/>
      <c r="BU75" s="399"/>
      <c r="BV75" s="399"/>
      <c r="BW75" s="399"/>
      <c r="BX75" s="399"/>
      <c r="BY75" s="399"/>
      <c r="BZ75" s="399"/>
      <c r="CA75" s="399"/>
      <c r="CB75" s="1100"/>
      <c r="CC75" s="399"/>
      <c r="CD75" s="399">
        <v>6</v>
      </c>
      <c r="CE75" s="399"/>
      <c r="CF75" s="399"/>
      <c r="CG75" s="399"/>
      <c r="CH75" s="399"/>
      <c r="CI75" s="399"/>
      <c r="CJ75" s="399"/>
      <c r="CK75" s="393" t="str">
        <f t="shared" si="21"/>
        <v>NG</v>
      </c>
    </row>
    <row r="76" spans="4:89">
      <c r="D76" s="256"/>
      <c r="E76" s="257"/>
      <c r="AG76" s="398">
        <v>26.5</v>
      </c>
      <c r="AH76" s="398"/>
      <c r="AI76" s="398"/>
      <c r="AJ76" s="398"/>
      <c r="AK76" s="399"/>
      <c r="AL76" s="399"/>
      <c r="AM76" s="399"/>
      <c r="AN76" s="399"/>
      <c r="AO76" s="399"/>
      <c r="AP76" s="399"/>
      <c r="AQ76" s="399"/>
      <c r="AR76" s="399"/>
      <c r="AS76" s="399">
        <v>1</v>
      </c>
      <c r="AT76" s="399"/>
      <c r="AU76" s="399"/>
      <c r="AV76" s="399"/>
      <c r="AW76" s="399"/>
      <c r="AX76" s="399"/>
      <c r="AY76" s="1100"/>
      <c r="AZ76" s="399"/>
      <c r="BA76" s="399">
        <v>6</v>
      </c>
      <c r="BB76" s="399"/>
      <c r="BC76" s="399"/>
      <c r="BD76" s="399"/>
      <c r="BE76" s="399"/>
      <c r="BF76" s="399"/>
      <c r="BG76" s="253">
        <f t="shared" si="19"/>
        <v>26500</v>
      </c>
      <c r="BH76" s="393" t="str">
        <f t="shared" si="20"/>
        <v>OK</v>
      </c>
      <c r="BJ76" s="398">
        <v>26.5</v>
      </c>
      <c r="BK76" s="398"/>
      <c r="BL76" s="398"/>
      <c r="BM76" s="398"/>
      <c r="BN76" s="399"/>
      <c r="BO76" s="399"/>
      <c r="BP76" s="399"/>
      <c r="BQ76" s="399"/>
      <c r="BR76" s="399"/>
      <c r="BS76" s="399"/>
      <c r="BT76" s="399"/>
      <c r="BU76" s="399"/>
      <c r="BV76" s="399">
        <v>1</v>
      </c>
      <c r="BW76" s="399"/>
      <c r="BX76" s="399"/>
      <c r="BY76" s="399"/>
      <c r="BZ76" s="399"/>
      <c r="CA76" s="399"/>
      <c r="CB76" s="1100"/>
      <c r="CC76" s="399"/>
      <c r="CD76" s="399">
        <v>6</v>
      </c>
      <c r="CE76" s="399"/>
      <c r="CF76" s="399"/>
      <c r="CG76" s="399"/>
      <c r="CH76" s="399"/>
      <c r="CI76" s="399"/>
      <c r="CJ76" s="399"/>
      <c r="CK76" s="393" t="str">
        <f t="shared" si="21"/>
        <v>NG</v>
      </c>
    </row>
    <row r="77" spans="4:89">
      <c r="E77" s="257"/>
      <c r="AG77" s="398">
        <v>27</v>
      </c>
      <c r="AH77" s="398"/>
      <c r="AI77" s="398"/>
      <c r="AJ77" s="398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>
        <v>1</v>
      </c>
      <c r="AV77" s="399"/>
      <c r="AW77" s="399"/>
      <c r="AX77" s="399"/>
      <c r="AY77" s="1100"/>
      <c r="AZ77" s="399"/>
      <c r="BA77" s="399">
        <v>6</v>
      </c>
      <c r="BB77" s="399"/>
      <c r="BC77" s="399"/>
      <c r="BD77" s="399"/>
      <c r="BE77" s="399"/>
      <c r="BF77" s="399"/>
      <c r="BG77" s="253">
        <f t="shared" si="19"/>
        <v>27000</v>
      </c>
      <c r="BH77" s="393" t="str">
        <f t="shared" si="20"/>
        <v>OK</v>
      </c>
      <c r="BJ77" s="398">
        <v>27</v>
      </c>
      <c r="BK77" s="398"/>
      <c r="BL77" s="398"/>
      <c r="BM77" s="398"/>
      <c r="BN77" s="399"/>
      <c r="BO77" s="399"/>
      <c r="BP77" s="399"/>
      <c r="BQ77" s="399"/>
      <c r="BR77" s="399"/>
      <c r="BS77" s="399"/>
      <c r="BT77" s="399"/>
      <c r="BU77" s="399"/>
      <c r="BV77" s="399"/>
      <c r="BW77" s="399"/>
      <c r="BX77" s="399">
        <v>1</v>
      </c>
      <c r="BY77" s="399"/>
      <c r="BZ77" s="399"/>
      <c r="CA77" s="399"/>
      <c r="CB77" s="1100"/>
      <c r="CC77" s="399"/>
      <c r="CD77" s="399">
        <v>6</v>
      </c>
      <c r="CE77" s="399"/>
      <c r="CF77" s="399"/>
      <c r="CG77" s="399"/>
      <c r="CH77" s="399"/>
      <c r="CI77" s="399"/>
      <c r="CJ77" s="399"/>
      <c r="CK77" s="393" t="str">
        <f t="shared" si="21"/>
        <v>NG</v>
      </c>
    </row>
    <row r="78" spans="4:89">
      <c r="AG78" s="398">
        <v>27.5</v>
      </c>
      <c r="AH78" s="398"/>
      <c r="AI78" s="398"/>
      <c r="AJ78" s="398"/>
      <c r="AK78" s="399"/>
      <c r="AL78" s="399"/>
      <c r="AM78" s="399"/>
      <c r="AN78" s="399"/>
      <c r="AO78" s="399"/>
      <c r="AP78" s="399"/>
      <c r="AQ78" s="399"/>
      <c r="AR78" s="399"/>
      <c r="AS78" s="399"/>
      <c r="AT78" s="399"/>
      <c r="AU78" s="399"/>
      <c r="AV78" s="399"/>
      <c r="AW78" s="399"/>
      <c r="AX78" s="399">
        <v>1</v>
      </c>
      <c r="AY78" s="1100"/>
      <c r="AZ78" s="399"/>
      <c r="BA78" s="399">
        <v>6</v>
      </c>
      <c r="BB78" s="399"/>
      <c r="BC78" s="399"/>
      <c r="BD78" s="399"/>
      <c r="BE78" s="399"/>
      <c r="BF78" s="399"/>
      <c r="BG78" s="253">
        <f t="shared" si="19"/>
        <v>27500</v>
      </c>
      <c r="BH78" s="393" t="str">
        <f t="shared" si="20"/>
        <v>OK</v>
      </c>
      <c r="BJ78" s="398">
        <v>27.5</v>
      </c>
      <c r="BK78" s="398"/>
      <c r="BL78" s="398"/>
      <c r="BM78" s="398"/>
      <c r="BN78" s="399"/>
      <c r="BO78" s="399"/>
      <c r="BP78" s="399"/>
      <c r="BQ78" s="399"/>
      <c r="BR78" s="399"/>
      <c r="BS78" s="399"/>
      <c r="BT78" s="399"/>
      <c r="BU78" s="399"/>
      <c r="BV78" s="399"/>
      <c r="BW78" s="399"/>
      <c r="BX78" s="399"/>
      <c r="BY78" s="399"/>
      <c r="BZ78" s="399"/>
      <c r="CA78" s="399">
        <v>1</v>
      </c>
      <c r="CB78" s="1100"/>
      <c r="CC78" s="399"/>
      <c r="CD78" s="399">
        <v>6</v>
      </c>
      <c r="CE78" s="399"/>
      <c r="CF78" s="399"/>
      <c r="CG78" s="399"/>
      <c r="CH78" s="399"/>
      <c r="CI78" s="399"/>
      <c r="CJ78" s="399"/>
      <c r="CK78" s="393" t="str">
        <f t="shared" si="21"/>
        <v>NG</v>
      </c>
    </row>
    <row r="79" spans="4:89">
      <c r="AG79" s="398">
        <v>28</v>
      </c>
      <c r="AH79" s="398"/>
      <c r="AI79" s="398"/>
      <c r="AJ79" s="398"/>
      <c r="AK79" s="399"/>
      <c r="AL79" s="399"/>
      <c r="AM79" s="399"/>
      <c r="AN79" s="399"/>
      <c r="AO79" s="399"/>
      <c r="AP79" s="399"/>
      <c r="AQ79" s="399"/>
      <c r="AR79" s="399"/>
      <c r="AS79" s="399"/>
      <c r="AT79" s="399"/>
      <c r="AU79" s="399"/>
      <c r="AV79" s="399"/>
      <c r="AW79" s="399"/>
      <c r="AX79" s="399"/>
      <c r="AY79" s="1100"/>
      <c r="AZ79" s="399">
        <v>1</v>
      </c>
      <c r="BA79" s="399">
        <v>6</v>
      </c>
      <c r="BB79" s="399"/>
      <c r="BC79" s="399"/>
      <c r="BD79" s="399"/>
      <c r="BE79" s="399"/>
      <c r="BF79" s="399"/>
      <c r="BG79" s="253">
        <f t="shared" si="19"/>
        <v>28000</v>
      </c>
      <c r="BH79" s="393" t="str">
        <f t="shared" si="20"/>
        <v>OK</v>
      </c>
      <c r="BJ79" s="398">
        <v>28</v>
      </c>
      <c r="BK79" s="398"/>
      <c r="BL79" s="398"/>
      <c r="BM79" s="398"/>
      <c r="BN79" s="399"/>
      <c r="BO79" s="399"/>
      <c r="BP79" s="399"/>
      <c r="BQ79" s="399"/>
      <c r="BR79" s="399"/>
      <c r="BS79" s="399"/>
      <c r="BT79" s="399"/>
      <c r="BU79" s="399"/>
      <c r="BV79" s="399"/>
      <c r="BW79" s="399"/>
      <c r="BX79" s="399"/>
      <c r="BY79" s="399"/>
      <c r="BZ79" s="399"/>
      <c r="CA79" s="399"/>
      <c r="CB79" s="1100"/>
      <c r="CC79" s="399">
        <v>1</v>
      </c>
      <c r="CD79" s="399">
        <v>6</v>
      </c>
      <c r="CE79" s="399"/>
      <c r="CF79" s="399"/>
      <c r="CG79" s="399"/>
      <c r="CH79" s="399"/>
      <c r="CI79" s="399"/>
      <c r="CJ79" s="399"/>
      <c r="CK79" s="393" t="str">
        <f t="shared" si="21"/>
        <v>NG</v>
      </c>
    </row>
    <row r="80" spans="4:89">
      <c r="AG80" s="398">
        <v>28.5</v>
      </c>
      <c r="AH80" s="398"/>
      <c r="AI80" s="398"/>
      <c r="AJ80" s="398"/>
      <c r="AK80" s="399"/>
      <c r="AL80" s="399"/>
      <c r="AM80" s="399"/>
      <c r="AN80" s="399"/>
      <c r="AO80" s="399"/>
      <c r="AP80" s="399"/>
      <c r="AQ80" s="399"/>
      <c r="AR80" s="399"/>
      <c r="AS80" s="399"/>
      <c r="AT80" s="399"/>
      <c r="AU80" s="399"/>
      <c r="AV80" s="399"/>
      <c r="AW80" s="399"/>
      <c r="AX80" s="399"/>
      <c r="AY80" s="1100"/>
      <c r="AZ80" s="399"/>
      <c r="BA80" s="399">
        <v>6</v>
      </c>
      <c r="BB80" s="399"/>
      <c r="BC80" s="399">
        <v>1</v>
      </c>
      <c r="BD80" s="399"/>
      <c r="BE80" s="399"/>
      <c r="BF80" s="399"/>
      <c r="BG80" s="253">
        <f t="shared" si="19"/>
        <v>28500</v>
      </c>
      <c r="BH80" s="393" t="str">
        <f t="shared" si="20"/>
        <v>OK</v>
      </c>
      <c r="BJ80" s="398">
        <v>28.5</v>
      </c>
      <c r="BK80" s="398"/>
      <c r="BL80" s="398"/>
      <c r="BM80" s="398"/>
      <c r="BN80" s="399"/>
      <c r="BO80" s="399"/>
      <c r="BP80" s="399"/>
      <c r="BQ80" s="399"/>
      <c r="BR80" s="399"/>
      <c r="BS80" s="399"/>
      <c r="BT80" s="399"/>
      <c r="BU80" s="399"/>
      <c r="BV80" s="399"/>
      <c r="BW80" s="399"/>
      <c r="BX80" s="399"/>
      <c r="BY80" s="399"/>
      <c r="BZ80" s="399"/>
      <c r="CA80" s="399"/>
      <c r="CB80" s="1100"/>
      <c r="CC80" s="399"/>
      <c r="CD80" s="399">
        <v>6</v>
      </c>
      <c r="CE80" s="399"/>
      <c r="CF80" s="399"/>
      <c r="CG80" s="399">
        <v>1</v>
      </c>
      <c r="CH80" s="399"/>
      <c r="CI80" s="399"/>
      <c r="CJ80" s="399"/>
      <c r="CK80" s="393" t="str">
        <f t="shared" si="21"/>
        <v>NG</v>
      </c>
    </row>
    <row r="81" spans="33:89">
      <c r="AG81" s="398">
        <v>29</v>
      </c>
      <c r="AH81" s="398"/>
      <c r="AI81" s="398"/>
      <c r="AJ81" s="398"/>
      <c r="AK81" s="399"/>
      <c r="AL81" s="399"/>
      <c r="AM81" s="399"/>
      <c r="AN81" s="399"/>
      <c r="AO81" s="399"/>
      <c r="AP81" s="399"/>
      <c r="AQ81" s="399"/>
      <c r="AR81" s="399"/>
      <c r="AS81" s="399"/>
      <c r="AT81" s="399"/>
      <c r="AU81" s="399"/>
      <c r="AV81" s="399"/>
      <c r="AW81" s="399"/>
      <c r="AX81" s="399"/>
      <c r="AY81" s="1100"/>
      <c r="AZ81" s="399"/>
      <c r="BA81" s="399">
        <v>6</v>
      </c>
      <c r="BB81" s="399"/>
      <c r="BC81" s="399"/>
      <c r="BD81" s="399"/>
      <c r="BE81" s="399">
        <v>1</v>
      </c>
      <c r="BF81" s="399"/>
      <c r="BG81" s="253">
        <f t="shared" si="19"/>
        <v>29000</v>
      </c>
      <c r="BH81" s="393" t="str">
        <f t="shared" si="20"/>
        <v>OK</v>
      </c>
      <c r="BJ81" s="398">
        <v>29</v>
      </c>
      <c r="BK81" s="398"/>
      <c r="BL81" s="398"/>
      <c r="BM81" s="398"/>
      <c r="BN81" s="399"/>
      <c r="BO81" s="399"/>
      <c r="BP81" s="399"/>
      <c r="BQ81" s="399"/>
      <c r="BR81" s="399"/>
      <c r="BS81" s="399"/>
      <c r="BT81" s="399"/>
      <c r="BU81" s="399"/>
      <c r="BV81" s="399"/>
      <c r="BW81" s="399"/>
      <c r="BX81" s="399"/>
      <c r="BY81" s="399"/>
      <c r="BZ81" s="399"/>
      <c r="CA81" s="399"/>
      <c r="CB81" s="1100"/>
      <c r="CC81" s="399"/>
      <c r="CD81" s="399">
        <v>6</v>
      </c>
      <c r="CE81" s="399"/>
      <c r="CF81" s="399"/>
      <c r="CG81" s="399"/>
      <c r="CH81" s="399"/>
      <c r="CI81" s="399">
        <v>1</v>
      </c>
      <c r="CJ81" s="399"/>
      <c r="CK81" s="393" t="str">
        <f t="shared" si="21"/>
        <v>NG</v>
      </c>
    </row>
    <row r="82" spans="33:89">
      <c r="AG82" s="398">
        <v>29.5</v>
      </c>
      <c r="AH82" s="398"/>
      <c r="AI82" s="398"/>
      <c r="AJ82" s="398"/>
      <c r="AK82" s="399"/>
      <c r="AL82" s="399"/>
      <c r="AM82" s="399"/>
      <c r="AN82" s="399">
        <v>1</v>
      </c>
      <c r="AO82" s="399"/>
      <c r="AP82" s="399"/>
      <c r="AQ82" s="399"/>
      <c r="AR82" s="399"/>
      <c r="AS82" s="399"/>
      <c r="AT82" s="399"/>
      <c r="AU82" s="399"/>
      <c r="AV82" s="399"/>
      <c r="AW82" s="399"/>
      <c r="AX82" s="399"/>
      <c r="AY82" s="1100"/>
      <c r="AZ82" s="399"/>
      <c r="BA82" s="399">
        <v>7</v>
      </c>
      <c r="BB82" s="399"/>
      <c r="BC82" s="399"/>
      <c r="BD82" s="399"/>
      <c r="BE82" s="399"/>
      <c r="BF82" s="399"/>
      <c r="BG82" s="253">
        <f t="shared" si="19"/>
        <v>29500</v>
      </c>
      <c r="BH82" s="393" t="str">
        <f t="shared" si="20"/>
        <v>OK</v>
      </c>
      <c r="BJ82" s="398">
        <v>29.5</v>
      </c>
      <c r="BK82" s="398"/>
      <c r="BL82" s="398"/>
      <c r="BM82" s="398"/>
      <c r="BN82" s="399"/>
      <c r="BO82" s="399"/>
      <c r="BP82" s="399"/>
      <c r="BQ82" s="399">
        <v>1</v>
      </c>
      <c r="BR82" s="399"/>
      <c r="BS82" s="399"/>
      <c r="BT82" s="399"/>
      <c r="BU82" s="399"/>
      <c r="BV82" s="399"/>
      <c r="BW82" s="399"/>
      <c r="BX82" s="399"/>
      <c r="BY82" s="399"/>
      <c r="BZ82" s="399"/>
      <c r="CA82" s="399"/>
      <c r="CB82" s="1100"/>
      <c r="CC82" s="399"/>
      <c r="CD82" s="399">
        <v>7</v>
      </c>
      <c r="CE82" s="399"/>
      <c r="CF82" s="399"/>
      <c r="CG82" s="399"/>
      <c r="CH82" s="399"/>
      <c r="CI82" s="399"/>
      <c r="CJ82" s="399"/>
      <c r="CK82" s="393" t="str">
        <f t="shared" si="21"/>
        <v>NG</v>
      </c>
    </row>
    <row r="83" spans="33:89">
      <c r="AG83" s="398">
        <v>30</v>
      </c>
      <c r="AH83" s="398"/>
      <c r="AI83" s="398"/>
      <c r="AJ83" s="398"/>
      <c r="AK83" s="399"/>
      <c r="AL83" s="399"/>
      <c r="AM83" s="399"/>
      <c r="AN83" s="399"/>
      <c r="AO83" s="399"/>
      <c r="AP83" s="399">
        <v>1</v>
      </c>
      <c r="AQ83" s="399"/>
      <c r="AR83" s="399"/>
      <c r="AS83" s="399"/>
      <c r="AT83" s="399"/>
      <c r="AU83" s="399"/>
      <c r="AV83" s="399"/>
      <c r="AW83" s="399"/>
      <c r="AX83" s="399"/>
      <c r="AY83" s="1100"/>
      <c r="AZ83" s="399"/>
      <c r="BA83" s="399">
        <v>7</v>
      </c>
      <c r="BB83" s="399"/>
      <c r="BC83" s="399"/>
      <c r="BD83" s="399"/>
      <c r="BE83" s="399"/>
      <c r="BF83" s="399"/>
      <c r="BG83" s="253">
        <f t="shared" si="19"/>
        <v>30000</v>
      </c>
      <c r="BH83" s="393" t="str">
        <f t="shared" si="20"/>
        <v>OK</v>
      </c>
      <c r="BJ83" s="398">
        <v>30</v>
      </c>
      <c r="BK83" s="398"/>
      <c r="BL83" s="398"/>
      <c r="BM83" s="398"/>
      <c r="BN83" s="399"/>
      <c r="BO83" s="399"/>
      <c r="BP83" s="399"/>
      <c r="BQ83" s="399"/>
      <c r="BR83" s="399"/>
      <c r="BS83" s="399">
        <v>1</v>
      </c>
      <c r="BT83" s="399"/>
      <c r="BU83" s="399"/>
      <c r="BV83" s="399"/>
      <c r="BW83" s="399"/>
      <c r="BX83" s="399"/>
      <c r="BY83" s="399"/>
      <c r="BZ83" s="399"/>
      <c r="CA83" s="399"/>
      <c r="CB83" s="1100"/>
      <c r="CC83" s="399"/>
      <c r="CD83" s="399">
        <v>7</v>
      </c>
      <c r="CE83" s="399"/>
      <c r="CF83" s="399"/>
      <c r="CG83" s="399"/>
      <c r="CH83" s="399"/>
      <c r="CI83" s="399"/>
      <c r="CJ83" s="399"/>
      <c r="CK83" s="393" t="str">
        <f t="shared" si="21"/>
        <v>NG</v>
      </c>
    </row>
    <row r="84" spans="33:89">
      <c r="AG84" s="398">
        <v>30.5</v>
      </c>
      <c r="AH84" s="398"/>
      <c r="AI84" s="398"/>
      <c r="AJ84" s="398"/>
      <c r="AK84" s="399"/>
      <c r="AL84" s="399"/>
      <c r="AM84" s="399"/>
      <c r="AN84" s="399"/>
      <c r="AO84" s="399"/>
      <c r="AP84" s="399"/>
      <c r="AQ84" s="399"/>
      <c r="AR84" s="399"/>
      <c r="AS84" s="399">
        <v>1</v>
      </c>
      <c r="AT84" s="399"/>
      <c r="AU84" s="399"/>
      <c r="AV84" s="399"/>
      <c r="AW84" s="399"/>
      <c r="AX84" s="399"/>
      <c r="AY84" s="1100"/>
      <c r="AZ84" s="399"/>
      <c r="BA84" s="399">
        <v>7</v>
      </c>
      <c r="BB84" s="399"/>
      <c r="BC84" s="399"/>
      <c r="BD84" s="399"/>
      <c r="BE84" s="399"/>
      <c r="BF84" s="399"/>
      <c r="BG84" s="253">
        <f t="shared" si="19"/>
        <v>30500</v>
      </c>
      <c r="BH84" s="393" t="str">
        <f t="shared" si="20"/>
        <v>OK</v>
      </c>
      <c r="BJ84" s="398">
        <v>30.5</v>
      </c>
      <c r="BK84" s="398"/>
      <c r="BL84" s="398"/>
      <c r="BM84" s="398"/>
      <c r="BN84" s="399"/>
      <c r="BO84" s="399"/>
      <c r="BP84" s="399"/>
      <c r="BQ84" s="399"/>
      <c r="BR84" s="399"/>
      <c r="BS84" s="399"/>
      <c r="BT84" s="399"/>
      <c r="BU84" s="399"/>
      <c r="BV84" s="399">
        <v>1</v>
      </c>
      <c r="BW84" s="399"/>
      <c r="BX84" s="399"/>
      <c r="BY84" s="399"/>
      <c r="BZ84" s="399"/>
      <c r="CA84" s="399"/>
      <c r="CB84" s="1100"/>
      <c r="CC84" s="399"/>
      <c r="CD84" s="399">
        <v>7</v>
      </c>
      <c r="CE84" s="399"/>
      <c r="CF84" s="399"/>
      <c r="CG84" s="399"/>
      <c r="CH84" s="399"/>
      <c r="CI84" s="399"/>
      <c r="CJ84" s="399"/>
      <c r="CK84" s="393" t="str">
        <f t="shared" si="21"/>
        <v>NG</v>
      </c>
    </row>
    <row r="85" spans="33:89">
      <c r="AG85" s="398">
        <v>31</v>
      </c>
      <c r="AH85" s="398"/>
      <c r="AI85" s="398"/>
      <c r="AJ85" s="398"/>
      <c r="AK85" s="399"/>
      <c r="AL85" s="399"/>
      <c r="AM85" s="399"/>
      <c r="AN85" s="399"/>
      <c r="AO85" s="399"/>
      <c r="AP85" s="399"/>
      <c r="AQ85" s="399"/>
      <c r="AR85" s="399"/>
      <c r="AS85" s="399"/>
      <c r="AT85" s="399"/>
      <c r="AU85" s="399">
        <v>1</v>
      </c>
      <c r="AV85" s="399"/>
      <c r="AW85" s="399"/>
      <c r="AX85" s="399"/>
      <c r="AY85" s="1100"/>
      <c r="AZ85" s="399"/>
      <c r="BA85" s="399">
        <v>7</v>
      </c>
      <c r="BB85" s="399"/>
      <c r="BC85" s="399"/>
      <c r="BD85" s="399"/>
      <c r="BE85" s="399"/>
      <c r="BF85" s="399"/>
      <c r="BG85" s="253">
        <f t="shared" si="19"/>
        <v>31000</v>
      </c>
      <c r="BH85" s="393" t="str">
        <f t="shared" si="20"/>
        <v>OK</v>
      </c>
      <c r="BJ85" s="398">
        <v>31</v>
      </c>
      <c r="BK85" s="398"/>
      <c r="BL85" s="398"/>
      <c r="BM85" s="398"/>
      <c r="BN85" s="399"/>
      <c r="BO85" s="399"/>
      <c r="BP85" s="399"/>
      <c r="BQ85" s="399"/>
      <c r="BR85" s="399"/>
      <c r="BS85" s="399"/>
      <c r="BT85" s="399"/>
      <c r="BU85" s="399"/>
      <c r="BV85" s="399"/>
      <c r="BW85" s="399"/>
      <c r="BX85" s="399">
        <v>1</v>
      </c>
      <c r="BY85" s="399"/>
      <c r="BZ85" s="399"/>
      <c r="CA85" s="399"/>
      <c r="CB85" s="1100"/>
      <c r="CC85" s="399"/>
      <c r="CD85" s="399">
        <v>7</v>
      </c>
      <c r="CE85" s="399"/>
      <c r="CF85" s="399"/>
      <c r="CG85" s="399"/>
      <c r="CH85" s="399"/>
      <c r="CI85" s="399"/>
      <c r="CJ85" s="399"/>
      <c r="CK85" s="393" t="str">
        <f t="shared" si="21"/>
        <v>NG</v>
      </c>
    </row>
    <row r="86" spans="33:89">
      <c r="AG86" s="398">
        <v>31.5</v>
      </c>
      <c r="AH86" s="398"/>
      <c r="AI86" s="398"/>
      <c r="AJ86" s="398"/>
      <c r="AK86" s="399"/>
      <c r="AL86" s="399"/>
      <c r="AM86" s="399"/>
      <c r="AN86" s="399"/>
      <c r="AO86" s="399"/>
      <c r="AP86" s="399"/>
      <c r="AQ86" s="399"/>
      <c r="AR86" s="399"/>
      <c r="AS86" s="399"/>
      <c r="AT86" s="399"/>
      <c r="AU86" s="399"/>
      <c r="AV86" s="399"/>
      <c r="AW86" s="399"/>
      <c r="AX86" s="399">
        <v>1</v>
      </c>
      <c r="AY86" s="1100"/>
      <c r="AZ86" s="399"/>
      <c r="BA86" s="399">
        <v>7</v>
      </c>
      <c r="BB86" s="399"/>
      <c r="BC86" s="399"/>
      <c r="BD86" s="399"/>
      <c r="BE86" s="399"/>
      <c r="BF86" s="399"/>
      <c r="BG86" s="253">
        <f t="shared" si="19"/>
        <v>31500</v>
      </c>
      <c r="BH86" s="393" t="str">
        <f t="shared" si="20"/>
        <v>OK</v>
      </c>
      <c r="BJ86" s="398">
        <v>31.5</v>
      </c>
      <c r="BK86" s="398"/>
      <c r="BL86" s="398"/>
      <c r="BM86" s="398"/>
      <c r="BN86" s="399"/>
      <c r="BO86" s="399"/>
      <c r="BP86" s="399"/>
      <c r="BQ86" s="399"/>
      <c r="BR86" s="399"/>
      <c r="BS86" s="399"/>
      <c r="BT86" s="399"/>
      <c r="BU86" s="399"/>
      <c r="BV86" s="399"/>
      <c r="BW86" s="399"/>
      <c r="BX86" s="399"/>
      <c r="BY86" s="399"/>
      <c r="BZ86" s="399"/>
      <c r="CA86" s="399">
        <v>1</v>
      </c>
      <c r="CB86" s="1100"/>
      <c r="CC86" s="399"/>
      <c r="CD86" s="399">
        <v>7</v>
      </c>
      <c r="CE86" s="399"/>
      <c r="CF86" s="399"/>
      <c r="CG86" s="399"/>
      <c r="CH86" s="399"/>
      <c r="CI86" s="399"/>
      <c r="CJ86" s="399"/>
      <c r="CK86" s="393" t="str">
        <f t="shared" si="21"/>
        <v>NG</v>
      </c>
    </row>
    <row r="87" spans="33:89">
      <c r="AG87" s="398">
        <v>32</v>
      </c>
      <c r="AH87" s="398"/>
      <c r="AI87" s="398"/>
      <c r="AJ87" s="398"/>
      <c r="AK87" s="399"/>
      <c r="AL87" s="399"/>
      <c r="AM87" s="399"/>
      <c r="AN87" s="399"/>
      <c r="AO87" s="399"/>
      <c r="AP87" s="399"/>
      <c r="AQ87" s="399"/>
      <c r="AR87" s="399"/>
      <c r="AS87" s="399"/>
      <c r="AT87" s="399"/>
      <c r="AU87" s="399"/>
      <c r="AV87" s="399"/>
      <c r="AW87" s="399"/>
      <c r="AX87" s="399"/>
      <c r="AY87" s="1100"/>
      <c r="AZ87" s="399">
        <v>1</v>
      </c>
      <c r="BA87" s="399">
        <v>7</v>
      </c>
      <c r="BB87" s="399"/>
      <c r="BC87" s="399"/>
      <c r="BD87" s="399"/>
      <c r="BE87" s="399"/>
      <c r="BF87" s="399"/>
      <c r="BG87" s="253">
        <f t="shared" si="19"/>
        <v>32000</v>
      </c>
      <c r="BH87" s="393" t="str">
        <f t="shared" si="20"/>
        <v>OK</v>
      </c>
      <c r="BJ87" s="398">
        <v>32</v>
      </c>
      <c r="BK87" s="398"/>
      <c r="BL87" s="398"/>
      <c r="BM87" s="398"/>
      <c r="BN87" s="399"/>
      <c r="BO87" s="399"/>
      <c r="BP87" s="399"/>
      <c r="BQ87" s="399"/>
      <c r="BR87" s="399"/>
      <c r="BS87" s="399"/>
      <c r="BT87" s="399"/>
      <c r="BU87" s="399"/>
      <c r="BV87" s="399"/>
      <c r="BW87" s="399"/>
      <c r="BX87" s="399"/>
      <c r="BY87" s="399"/>
      <c r="BZ87" s="399"/>
      <c r="CA87" s="399"/>
      <c r="CB87" s="1100"/>
      <c r="CC87" s="399">
        <v>1</v>
      </c>
      <c r="CD87" s="399">
        <v>7</v>
      </c>
      <c r="CE87" s="399"/>
      <c r="CF87" s="399"/>
      <c r="CG87" s="399"/>
      <c r="CH87" s="399"/>
      <c r="CI87" s="399"/>
      <c r="CJ87" s="399"/>
      <c r="CK87" s="393" t="str">
        <f t="shared" si="21"/>
        <v>NG</v>
      </c>
    </row>
    <row r="88" spans="33:89">
      <c r="AG88" s="398">
        <v>32.5</v>
      </c>
      <c r="AH88" s="398"/>
      <c r="AI88" s="398"/>
      <c r="AJ88" s="398"/>
      <c r="AK88" s="399"/>
      <c r="AL88" s="399"/>
      <c r="AM88" s="399"/>
      <c r="AN88" s="399"/>
      <c r="AO88" s="399"/>
      <c r="AP88" s="399"/>
      <c r="AQ88" s="399"/>
      <c r="AR88" s="399"/>
      <c r="AS88" s="399"/>
      <c r="AT88" s="399"/>
      <c r="AU88" s="399"/>
      <c r="AV88" s="399"/>
      <c r="AW88" s="399"/>
      <c r="AX88" s="399"/>
      <c r="AY88" s="1100"/>
      <c r="AZ88" s="399"/>
      <c r="BA88" s="399">
        <v>7</v>
      </c>
      <c r="BB88" s="399"/>
      <c r="BC88" s="399">
        <v>1</v>
      </c>
      <c r="BD88" s="399"/>
      <c r="BE88" s="399"/>
      <c r="BF88" s="399"/>
      <c r="BG88" s="253">
        <f t="shared" si="19"/>
        <v>32500</v>
      </c>
      <c r="BH88" s="393" t="str">
        <f t="shared" si="20"/>
        <v>OK</v>
      </c>
      <c r="BJ88" s="398">
        <v>32.5</v>
      </c>
      <c r="BK88" s="398"/>
      <c r="BL88" s="398"/>
      <c r="BM88" s="398"/>
      <c r="BN88" s="399"/>
      <c r="BO88" s="399"/>
      <c r="BP88" s="399"/>
      <c r="BQ88" s="399"/>
      <c r="BR88" s="399"/>
      <c r="BS88" s="399"/>
      <c r="BT88" s="399"/>
      <c r="BU88" s="399"/>
      <c r="BV88" s="399"/>
      <c r="BW88" s="399"/>
      <c r="BX88" s="399"/>
      <c r="BY88" s="399"/>
      <c r="BZ88" s="399"/>
      <c r="CA88" s="399"/>
      <c r="CB88" s="1100"/>
      <c r="CC88" s="399"/>
      <c r="CD88" s="399">
        <v>7</v>
      </c>
      <c r="CE88" s="399"/>
      <c r="CF88" s="399"/>
      <c r="CG88" s="399">
        <v>1</v>
      </c>
      <c r="CH88" s="399"/>
      <c r="CI88" s="399"/>
      <c r="CJ88" s="399"/>
      <c r="CK88" s="393" t="str">
        <f t="shared" si="21"/>
        <v>NG</v>
      </c>
    </row>
    <row r="89" spans="33:89">
      <c r="AG89" s="398">
        <v>33</v>
      </c>
      <c r="AH89" s="398"/>
      <c r="AI89" s="398"/>
      <c r="AJ89" s="398"/>
      <c r="AK89" s="399"/>
      <c r="AL89" s="399"/>
      <c r="AM89" s="399"/>
      <c r="AN89" s="399"/>
      <c r="AO89" s="399"/>
      <c r="AP89" s="399"/>
      <c r="AQ89" s="399"/>
      <c r="AR89" s="399"/>
      <c r="AS89" s="399"/>
      <c r="AT89" s="399"/>
      <c r="AU89" s="399"/>
      <c r="AV89" s="399"/>
      <c r="AW89" s="399"/>
      <c r="AX89" s="399"/>
      <c r="AY89" s="1100"/>
      <c r="AZ89" s="399"/>
      <c r="BA89" s="399">
        <v>7</v>
      </c>
      <c r="BB89" s="399"/>
      <c r="BC89" s="399"/>
      <c r="BD89" s="399"/>
      <c r="BE89" s="399">
        <v>1</v>
      </c>
      <c r="BF89" s="399"/>
      <c r="BG89" s="253">
        <f t="shared" ref="BG89:BG120" si="22">(SUMPRODUCT($AK$24:$BF$24,AK89:BF89))+120</f>
        <v>33000</v>
      </c>
      <c r="BH89" s="393" t="str">
        <f t="shared" ref="BH89:BH120" si="23">IF(BG89=AG89*1000,"OK","NG")</f>
        <v>OK</v>
      </c>
      <c r="BJ89" s="398">
        <v>33</v>
      </c>
      <c r="BK89" s="398"/>
      <c r="BL89" s="398"/>
      <c r="BM89" s="398"/>
      <c r="BN89" s="399"/>
      <c r="BO89" s="399"/>
      <c r="BP89" s="399"/>
      <c r="BQ89" s="399"/>
      <c r="BR89" s="399"/>
      <c r="BS89" s="399"/>
      <c r="BT89" s="399"/>
      <c r="BU89" s="399"/>
      <c r="BV89" s="399"/>
      <c r="BW89" s="399"/>
      <c r="BX89" s="399"/>
      <c r="BY89" s="399"/>
      <c r="BZ89" s="399"/>
      <c r="CA89" s="399"/>
      <c r="CB89" s="1100"/>
      <c r="CC89" s="399"/>
      <c r="CD89" s="399">
        <v>7</v>
      </c>
      <c r="CE89" s="399"/>
      <c r="CF89" s="399"/>
      <c r="CG89" s="399"/>
      <c r="CH89" s="399"/>
      <c r="CI89" s="399">
        <v>1</v>
      </c>
      <c r="CJ89" s="399"/>
      <c r="CK89" s="393" t="str">
        <f t="shared" ref="CK89:CK120" si="24">IF(CJ89=BJ89*1000,"OK","NG")</f>
        <v>NG</v>
      </c>
    </row>
    <row r="90" spans="33:89">
      <c r="AG90" s="398">
        <v>33.5</v>
      </c>
      <c r="AH90" s="398"/>
      <c r="AI90" s="398"/>
      <c r="AJ90" s="398"/>
      <c r="AK90" s="399"/>
      <c r="AL90" s="399"/>
      <c r="AM90" s="399"/>
      <c r="AN90" s="399">
        <v>1</v>
      </c>
      <c r="AO90" s="399"/>
      <c r="AP90" s="399"/>
      <c r="AQ90" s="399"/>
      <c r="AR90" s="399"/>
      <c r="AS90" s="399"/>
      <c r="AT90" s="399"/>
      <c r="AU90" s="399"/>
      <c r="AV90" s="399"/>
      <c r="AW90" s="399"/>
      <c r="AX90" s="399"/>
      <c r="AY90" s="1100"/>
      <c r="AZ90" s="399"/>
      <c r="BA90" s="399">
        <v>8</v>
      </c>
      <c r="BB90" s="399"/>
      <c r="BC90" s="399"/>
      <c r="BD90" s="399"/>
      <c r="BE90" s="399"/>
      <c r="BF90" s="399"/>
      <c r="BG90" s="253">
        <f t="shared" si="22"/>
        <v>33500</v>
      </c>
      <c r="BH90" s="393" t="str">
        <f t="shared" si="23"/>
        <v>OK</v>
      </c>
      <c r="BJ90" s="398">
        <v>33.5</v>
      </c>
      <c r="BK90" s="398"/>
      <c r="BL90" s="398"/>
      <c r="BM90" s="398"/>
      <c r="BN90" s="399"/>
      <c r="BO90" s="399"/>
      <c r="BP90" s="399"/>
      <c r="BQ90" s="399">
        <v>1</v>
      </c>
      <c r="BR90" s="399"/>
      <c r="BS90" s="399"/>
      <c r="BT90" s="399"/>
      <c r="BU90" s="399"/>
      <c r="BV90" s="399"/>
      <c r="BW90" s="399"/>
      <c r="BX90" s="399"/>
      <c r="BY90" s="399"/>
      <c r="BZ90" s="399"/>
      <c r="CA90" s="399"/>
      <c r="CB90" s="1100"/>
      <c r="CC90" s="399"/>
      <c r="CD90" s="399">
        <v>8</v>
      </c>
      <c r="CE90" s="399"/>
      <c r="CF90" s="399"/>
      <c r="CG90" s="399"/>
      <c r="CH90" s="399"/>
      <c r="CI90" s="399"/>
      <c r="CJ90" s="399"/>
      <c r="CK90" s="393" t="str">
        <f t="shared" si="24"/>
        <v>NG</v>
      </c>
    </row>
    <row r="91" spans="33:89">
      <c r="AG91" s="398">
        <v>34</v>
      </c>
      <c r="AH91" s="398"/>
      <c r="AI91" s="398"/>
      <c r="AJ91" s="398"/>
      <c r="AK91" s="399"/>
      <c r="AL91" s="399"/>
      <c r="AM91" s="399"/>
      <c r="AN91" s="399"/>
      <c r="AO91" s="399"/>
      <c r="AP91" s="399">
        <v>1</v>
      </c>
      <c r="AQ91" s="399"/>
      <c r="AR91" s="399"/>
      <c r="AS91" s="399"/>
      <c r="AT91" s="399"/>
      <c r="AU91" s="399"/>
      <c r="AV91" s="399"/>
      <c r="AW91" s="399"/>
      <c r="AX91" s="399"/>
      <c r="AY91" s="1100"/>
      <c r="AZ91" s="399"/>
      <c r="BA91" s="399">
        <v>8</v>
      </c>
      <c r="BB91" s="399"/>
      <c r="BC91" s="399"/>
      <c r="BD91" s="399"/>
      <c r="BE91" s="399"/>
      <c r="BF91" s="399"/>
      <c r="BG91" s="253">
        <f t="shared" si="22"/>
        <v>34000</v>
      </c>
      <c r="BH91" s="393" t="str">
        <f t="shared" si="23"/>
        <v>OK</v>
      </c>
      <c r="BJ91" s="398">
        <v>34</v>
      </c>
      <c r="BK91" s="398"/>
      <c r="BL91" s="398"/>
      <c r="BM91" s="398"/>
      <c r="BN91" s="399"/>
      <c r="BO91" s="399"/>
      <c r="BP91" s="399"/>
      <c r="BQ91" s="399"/>
      <c r="BR91" s="399"/>
      <c r="BS91" s="399">
        <v>1</v>
      </c>
      <c r="BT91" s="399"/>
      <c r="BU91" s="399"/>
      <c r="BV91" s="399"/>
      <c r="BW91" s="399"/>
      <c r="BX91" s="399"/>
      <c r="BY91" s="399"/>
      <c r="BZ91" s="399"/>
      <c r="CA91" s="399"/>
      <c r="CB91" s="1100"/>
      <c r="CC91" s="399"/>
      <c r="CD91" s="399">
        <v>8</v>
      </c>
      <c r="CE91" s="399"/>
      <c r="CF91" s="399"/>
      <c r="CG91" s="399"/>
      <c r="CH91" s="399"/>
      <c r="CI91" s="399"/>
      <c r="CJ91" s="399"/>
      <c r="CK91" s="393" t="str">
        <f t="shared" si="24"/>
        <v>NG</v>
      </c>
    </row>
    <row r="92" spans="33:89">
      <c r="AG92" s="398">
        <v>34.5</v>
      </c>
      <c r="AH92" s="398"/>
      <c r="AI92" s="398"/>
      <c r="AJ92" s="398"/>
      <c r="AK92" s="399"/>
      <c r="AL92" s="399"/>
      <c r="AM92" s="399"/>
      <c r="AN92" s="399"/>
      <c r="AO92" s="399"/>
      <c r="AP92" s="399"/>
      <c r="AQ92" s="399"/>
      <c r="AR92" s="399"/>
      <c r="AS92" s="399">
        <v>1</v>
      </c>
      <c r="AT92" s="399"/>
      <c r="AU92" s="399"/>
      <c r="AV92" s="399"/>
      <c r="AW92" s="399"/>
      <c r="AX92" s="399"/>
      <c r="AY92" s="1100"/>
      <c r="AZ92" s="399"/>
      <c r="BA92" s="399">
        <v>8</v>
      </c>
      <c r="BB92" s="399"/>
      <c r="BC92" s="399"/>
      <c r="BD92" s="399"/>
      <c r="BE92" s="399"/>
      <c r="BF92" s="399"/>
      <c r="BG92" s="253">
        <f t="shared" si="22"/>
        <v>34500</v>
      </c>
      <c r="BH92" s="393" t="str">
        <f t="shared" si="23"/>
        <v>OK</v>
      </c>
      <c r="BJ92" s="398">
        <v>34.5</v>
      </c>
      <c r="BK92" s="398"/>
      <c r="BL92" s="398"/>
      <c r="BM92" s="398"/>
      <c r="BN92" s="399"/>
      <c r="BO92" s="399"/>
      <c r="BP92" s="399"/>
      <c r="BQ92" s="399"/>
      <c r="BR92" s="399"/>
      <c r="BS92" s="399"/>
      <c r="BT92" s="399"/>
      <c r="BU92" s="399"/>
      <c r="BV92" s="399">
        <v>1</v>
      </c>
      <c r="BW92" s="399"/>
      <c r="BX92" s="399"/>
      <c r="BY92" s="399"/>
      <c r="BZ92" s="399"/>
      <c r="CA92" s="399"/>
      <c r="CB92" s="1100"/>
      <c r="CC92" s="399"/>
      <c r="CD92" s="399">
        <v>8</v>
      </c>
      <c r="CE92" s="399"/>
      <c r="CF92" s="399"/>
      <c r="CG92" s="399"/>
      <c r="CH92" s="399"/>
      <c r="CI92" s="399"/>
      <c r="CJ92" s="399"/>
      <c r="CK92" s="393" t="str">
        <f t="shared" si="24"/>
        <v>NG</v>
      </c>
    </row>
    <row r="93" spans="33:89">
      <c r="AG93" s="398">
        <v>35</v>
      </c>
      <c r="AH93" s="398"/>
      <c r="AI93" s="398"/>
      <c r="AJ93" s="398"/>
      <c r="AK93" s="399"/>
      <c r="AL93" s="399"/>
      <c r="AM93" s="399"/>
      <c r="AN93" s="399"/>
      <c r="AO93" s="399"/>
      <c r="AP93" s="399"/>
      <c r="AQ93" s="399"/>
      <c r="AR93" s="399"/>
      <c r="AS93" s="399"/>
      <c r="AT93" s="399"/>
      <c r="AU93" s="399">
        <v>1</v>
      </c>
      <c r="AV93" s="399"/>
      <c r="AW93" s="399"/>
      <c r="AX93" s="399"/>
      <c r="AY93" s="1100"/>
      <c r="AZ93" s="399"/>
      <c r="BA93" s="399">
        <v>8</v>
      </c>
      <c r="BB93" s="399"/>
      <c r="BC93" s="399"/>
      <c r="BD93" s="399"/>
      <c r="BE93" s="399"/>
      <c r="BF93" s="399"/>
      <c r="BG93" s="253">
        <f t="shared" si="22"/>
        <v>35000</v>
      </c>
      <c r="BH93" s="393" t="str">
        <f t="shared" si="23"/>
        <v>OK</v>
      </c>
      <c r="BJ93" s="398">
        <v>35</v>
      </c>
      <c r="BK93" s="398"/>
      <c r="BL93" s="398"/>
      <c r="BM93" s="398"/>
      <c r="BN93" s="399"/>
      <c r="BO93" s="399"/>
      <c r="BP93" s="399"/>
      <c r="BQ93" s="399"/>
      <c r="BR93" s="399"/>
      <c r="BS93" s="399"/>
      <c r="BT93" s="399"/>
      <c r="BU93" s="399"/>
      <c r="BV93" s="399"/>
      <c r="BW93" s="399"/>
      <c r="BX93" s="399">
        <v>1</v>
      </c>
      <c r="BY93" s="399"/>
      <c r="BZ93" s="399"/>
      <c r="CA93" s="399"/>
      <c r="CB93" s="1100"/>
      <c r="CC93" s="399"/>
      <c r="CD93" s="399">
        <v>8</v>
      </c>
      <c r="CE93" s="399"/>
      <c r="CF93" s="399"/>
      <c r="CG93" s="399"/>
      <c r="CH93" s="399"/>
      <c r="CI93" s="399"/>
      <c r="CJ93" s="399"/>
      <c r="CK93" s="393" t="str">
        <f t="shared" si="24"/>
        <v>NG</v>
      </c>
    </row>
    <row r="94" spans="33:89">
      <c r="AG94" s="398">
        <v>35.5</v>
      </c>
      <c r="AH94" s="398"/>
      <c r="AI94" s="398"/>
      <c r="AJ94" s="398"/>
      <c r="AK94" s="399"/>
      <c r="AL94" s="399"/>
      <c r="AM94" s="399"/>
      <c r="AN94" s="399"/>
      <c r="AO94" s="399"/>
      <c r="AP94" s="399"/>
      <c r="AQ94" s="399"/>
      <c r="AR94" s="399"/>
      <c r="AS94" s="399"/>
      <c r="AT94" s="399"/>
      <c r="AU94" s="399"/>
      <c r="AV94" s="399"/>
      <c r="AW94" s="399"/>
      <c r="AX94" s="399">
        <v>1</v>
      </c>
      <c r="AY94" s="1100"/>
      <c r="AZ94" s="399"/>
      <c r="BA94" s="399">
        <v>8</v>
      </c>
      <c r="BB94" s="399"/>
      <c r="BC94" s="399"/>
      <c r="BD94" s="399"/>
      <c r="BE94" s="399"/>
      <c r="BF94" s="399"/>
      <c r="BG94" s="253">
        <f t="shared" si="22"/>
        <v>35500</v>
      </c>
      <c r="BH94" s="393" t="str">
        <f t="shared" si="23"/>
        <v>OK</v>
      </c>
      <c r="BJ94" s="398">
        <v>35.5</v>
      </c>
      <c r="BK94" s="398"/>
      <c r="BL94" s="398"/>
      <c r="BM94" s="398"/>
      <c r="BN94" s="399"/>
      <c r="BO94" s="399"/>
      <c r="BP94" s="399"/>
      <c r="BQ94" s="399"/>
      <c r="BR94" s="399"/>
      <c r="BS94" s="399"/>
      <c r="BT94" s="399"/>
      <c r="BU94" s="399"/>
      <c r="BV94" s="399"/>
      <c r="BW94" s="399"/>
      <c r="BX94" s="399"/>
      <c r="BY94" s="399"/>
      <c r="BZ94" s="399"/>
      <c r="CA94" s="399">
        <v>1</v>
      </c>
      <c r="CB94" s="1100"/>
      <c r="CC94" s="399"/>
      <c r="CD94" s="399">
        <v>8</v>
      </c>
      <c r="CE94" s="399"/>
      <c r="CF94" s="399"/>
      <c r="CG94" s="399"/>
      <c r="CH94" s="399"/>
      <c r="CI94" s="399"/>
      <c r="CJ94" s="399"/>
      <c r="CK94" s="393" t="str">
        <f t="shared" si="24"/>
        <v>NG</v>
      </c>
    </row>
    <row r="95" spans="33:89">
      <c r="AG95" s="398">
        <v>36</v>
      </c>
      <c r="AH95" s="398"/>
      <c r="AI95" s="398"/>
      <c r="AJ95" s="398"/>
      <c r="AK95" s="399"/>
      <c r="AL95" s="399"/>
      <c r="AM95" s="399"/>
      <c r="AN95" s="399"/>
      <c r="AO95" s="399"/>
      <c r="AP95" s="399"/>
      <c r="AQ95" s="399"/>
      <c r="AR95" s="399"/>
      <c r="AS95" s="399"/>
      <c r="AT95" s="399"/>
      <c r="AU95" s="399"/>
      <c r="AV95" s="399"/>
      <c r="AW95" s="399"/>
      <c r="AX95" s="399"/>
      <c r="AY95" s="1100"/>
      <c r="AZ95" s="399">
        <v>1</v>
      </c>
      <c r="BA95" s="399">
        <v>8</v>
      </c>
      <c r="BB95" s="399"/>
      <c r="BC95" s="399"/>
      <c r="BD95" s="399"/>
      <c r="BE95" s="399"/>
      <c r="BF95" s="399"/>
      <c r="BG95" s="253">
        <f t="shared" si="22"/>
        <v>36000</v>
      </c>
      <c r="BH95" s="393" t="str">
        <f t="shared" si="23"/>
        <v>OK</v>
      </c>
      <c r="BJ95" s="398">
        <v>36</v>
      </c>
      <c r="BK95" s="398"/>
      <c r="BL95" s="398"/>
      <c r="BM95" s="398"/>
      <c r="BN95" s="399"/>
      <c r="BO95" s="399"/>
      <c r="BP95" s="399"/>
      <c r="BQ95" s="399"/>
      <c r="BR95" s="399"/>
      <c r="BS95" s="399"/>
      <c r="BT95" s="399"/>
      <c r="BU95" s="399"/>
      <c r="BV95" s="399"/>
      <c r="BW95" s="399"/>
      <c r="BX95" s="399"/>
      <c r="BY95" s="399"/>
      <c r="BZ95" s="399"/>
      <c r="CA95" s="399"/>
      <c r="CB95" s="1100"/>
      <c r="CC95" s="399">
        <v>1</v>
      </c>
      <c r="CD95" s="399">
        <v>8</v>
      </c>
      <c r="CE95" s="399"/>
      <c r="CF95" s="399"/>
      <c r="CG95" s="399"/>
      <c r="CH95" s="399"/>
      <c r="CI95" s="399"/>
      <c r="CJ95" s="399"/>
      <c r="CK95" s="393" t="str">
        <f t="shared" si="24"/>
        <v>NG</v>
      </c>
    </row>
    <row r="96" spans="33:89">
      <c r="AG96" s="398">
        <v>36.5</v>
      </c>
      <c r="AH96" s="398"/>
      <c r="AI96" s="398"/>
      <c r="AJ96" s="398"/>
      <c r="AK96" s="399"/>
      <c r="AL96" s="399"/>
      <c r="AM96" s="399"/>
      <c r="AN96" s="399"/>
      <c r="AO96" s="399"/>
      <c r="AP96" s="399"/>
      <c r="AQ96" s="399"/>
      <c r="AR96" s="399"/>
      <c r="AS96" s="399"/>
      <c r="AT96" s="399"/>
      <c r="AU96" s="399"/>
      <c r="AV96" s="399"/>
      <c r="AW96" s="399"/>
      <c r="AX96" s="399"/>
      <c r="AY96" s="1100"/>
      <c r="AZ96" s="399"/>
      <c r="BA96" s="399">
        <v>8</v>
      </c>
      <c r="BB96" s="399"/>
      <c r="BC96" s="399">
        <v>1</v>
      </c>
      <c r="BD96" s="399"/>
      <c r="BE96" s="399"/>
      <c r="BF96" s="399"/>
      <c r="BG96" s="253">
        <f t="shared" si="22"/>
        <v>36500</v>
      </c>
      <c r="BH96" s="393" t="str">
        <f t="shared" si="23"/>
        <v>OK</v>
      </c>
      <c r="BJ96" s="398">
        <v>36.5</v>
      </c>
      <c r="BK96" s="398"/>
      <c r="BL96" s="398"/>
      <c r="BM96" s="398"/>
      <c r="BN96" s="399"/>
      <c r="BO96" s="399"/>
      <c r="BP96" s="399"/>
      <c r="BQ96" s="399"/>
      <c r="BR96" s="399"/>
      <c r="BS96" s="399"/>
      <c r="BT96" s="399"/>
      <c r="BU96" s="399"/>
      <c r="BV96" s="399"/>
      <c r="BW96" s="399"/>
      <c r="BX96" s="399"/>
      <c r="BY96" s="399"/>
      <c r="BZ96" s="399"/>
      <c r="CA96" s="399"/>
      <c r="CB96" s="1100"/>
      <c r="CC96" s="399"/>
      <c r="CD96" s="399">
        <v>8</v>
      </c>
      <c r="CE96" s="399"/>
      <c r="CF96" s="399"/>
      <c r="CG96" s="399">
        <v>1</v>
      </c>
      <c r="CH96" s="399"/>
      <c r="CI96" s="399"/>
      <c r="CJ96" s="399"/>
      <c r="CK96" s="393" t="str">
        <f t="shared" si="24"/>
        <v>NG</v>
      </c>
    </row>
    <row r="97" spans="33:89">
      <c r="AG97" s="398">
        <v>37</v>
      </c>
      <c r="AH97" s="398"/>
      <c r="AI97" s="398"/>
      <c r="AJ97" s="398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1100"/>
      <c r="AZ97" s="399"/>
      <c r="BA97" s="399">
        <v>8</v>
      </c>
      <c r="BB97" s="399"/>
      <c r="BC97" s="399"/>
      <c r="BD97" s="399"/>
      <c r="BE97" s="399">
        <v>1</v>
      </c>
      <c r="BF97" s="399"/>
      <c r="BG97" s="253">
        <f t="shared" si="22"/>
        <v>37000</v>
      </c>
      <c r="BH97" s="393" t="str">
        <f t="shared" si="23"/>
        <v>OK</v>
      </c>
      <c r="BJ97" s="398">
        <v>37</v>
      </c>
      <c r="BK97" s="398"/>
      <c r="BL97" s="398"/>
      <c r="BM97" s="398"/>
      <c r="BN97" s="399"/>
      <c r="BO97" s="399"/>
      <c r="BP97" s="399"/>
      <c r="BQ97" s="399"/>
      <c r="BR97" s="399"/>
      <c r="BS97" s="399"/>
      <c r="BT97" s="399"/>
      <c r="BU97" s="399"/>
      <c r="BV97" s="399"/>
      <c r="BW97" s="399"/>
      <c r="BX97" s="399"/>
      <c r="BY97" s="399"/>
      <c r="BZ97" s="399"/>
      <c r="CA97" s="399"/>
      <c r="CB97" s="1100"/>
      <c r="CC97" s="399"/>
      <c r="CD97" s="399">
        <v>8</v>
      </c>
      <c r="CE97" s="399"/>
      <c r="CF97" s="399"/>
      <c r="CG97" s="399"/>
      <c r="CH97" s="399"/>
      <c r="CI97" s="399">
        <v>1</v>
      </c>
      <c r="CJ97" s="399"/>
      <c r="CK97" s="393" t="str">
        <f t="shared" si="24"/>
        <v>NG</v>
      </c>
    </row>
    <row r="98" spans="33:89">
      <c r="AG98" s="398">
        <v>37.5</v>
      </c>
      <c r="AH98" s="398"/>
      <c r="AI98" s="398"/>
      <c r="AJ98" s="398"/>
      <c r="AK98" s="399"/>
      <c r="AL98" s="399"/>
      <c r="AM98" s="399"/>
      <c r="AN98" s="399">
        <v>1</v>
      </c>
      <c r="AO98" s="399"/>
      <c r="AP98" s="399"/>
      <c r="AQ98" s="399"/>
      <c r="AR98" s="399"/>
      <c r="AS98" s="399"/>
      <c r="AT98" s="399"/>
      <c r="AU98" s="399"/>
      <c r="AV98" s="399"/>
      <c r="AW98" s="399"/>
      <c r="AX98" s="399"/>
      <c r="AY98" s="1100"/>
      <c r="AZ98" s="399"/>
      <c r="BA98" s="399">
        <v>9</v>
      </c>
      <c r="BB98" s="399"/>
      <c r="BC98" s="399"/>
      <c r="BD98" s="399"/>
      <c r="BE98" s="399"/>
      <c r="BF98" s="399"/>
      <c r="BG98" s="253">
        <f t="shared" si="22"/>
        <v>37500</v>
      </c>
      <c r="BH98" s="393" t="str">
        <f t="shared" si="23"/>
        <v>OK</v>
      </c>
      <c r="BJ98" s="398">
        <v>37.5</v>
      </c>
      <c r="BK98" s="398"/>
      <c r="BL98" s="398"/>
      <c r="BM98" s="398"/>
      <c r="BN98" s="399"/>
      <c r="BO98" s="399"/>
      <c r="BP98" s="399"/>
      <c r="BQ98" s="399">
        <v>1</v>
      </c>
      <c r="BR98" s="399"/>
      <c r="BS98" s="399"/>
      <c r="BT98" s="399"/>
      <c r="BU98" s="399"/>
      <c r="BV98" s="399"/>
      <c r="BW98" s="399"/>
      <c r="BX98" s="399"/>
      <c r="BY98" s="399"/>
      <c r="BZ98" s="399"/>
      <c r="CA98" s="399"/>
      <c r="CB98" s="1100"/>
      <c r="CC98" s="399"/>
      <c r="CD98" s="399">
        <v>9</v>
      </c>
      <c r="CE98" s="399"/>
      <c r="CF98" s="399"/>
      <c r="CG98" s="399"/>
      <c r="CH98" s="399"/>
      <c r="CI98" s="399"/>
      <c r="CJ98" s="399"/>
      <c r="CK98" s="393" t="str">
        <f t="shared" si="24"/>
        <v>NG</v>
      </c>
    </row>
    <row r="99" spans="33:89">
      <c r="AG99" s="398">
        <v>38</v>
      </c>
      <c r="AH99" s="398"/>
      <c r="AI99" s="398"/>
      <c r="AJ99" s="398"/>
      <c r="AK99" s="399"/>
      <c r="AL99" s="399"/>
      <c r="AM99" s="399"/>
      <c r="AN99" s="399"/>
      <c r="AO99" s="399"/>
      <c r="AP99" s="399">
        <v>1</v>
      </c>
      <c r="AQ99" s="399"/>
      <c r="AR99" s="399"/>
      <c r="AS99" s="399"/>
      <c r="AT99" s="399"/>
      <c r="AU99" s="399"/>
      <c r="AV99" s="399"/>
      <c r="AW99" s="399"/>
      <c r="AX99" s="399"/>
      <c r="AY99" s="1100"/>
      <c r="AZ99" s="399"/>
      <c r="BA99" s="399">
        <v>9</v>
      </c>
      <c r="BB99" s="399"/>
      <c r="BC99" s="399"/>
      <c r="BD99" s="399"/>
      <c r="BE99" s="399"/>
      <c r="BF99" s="399"/>
      <c r="BG99" s="253">
        <f t="shared" si="22"/>
        <v>38000</v>
      </c>
      <c r="BH99" s="393" t="str">
        <f t="shared" si="23"/>
        <v>OK</v>
      </c>
      <c r="BJ99" s="398">
        <v>38</v>
      </c>
      <c r="BK99" s="398"/>
      <c r="BL99" s="398"/>
      <c r="BM99" s="398"/>
      <c r="BN99" s="399"/>
      <c r="BO99" s="399"/>
      <c r="BP99" s="399"/>
      <c r="BQ99" s="399"/>
      <c r="BR99" s="399"/>
      <c r="BS99" s="399">
        <v>1</v>
      </c>
      <c r="BT99" s="399"/>
      <c r="BU99" s="399"/>
      <c r="BV99" s="399"/>
      <c r="BW99" s="399"/>
      <c r="BX99" s="399"/>
      <c r="BY99" s="399"/>
      <c r="BZ99" s="399"/>
      <c r="CA99" s="399"/>
      <c r="CB99" s="1100"/>
      <c r="CC99" s="399"/>
      <c r="CD99" s="399">
        <v>9</v>
      </c>
      <c r="CE99" s="399"/>
      <c r="CF99" s="399"/>
      <c r="CG99" s="399"/>
      <c r="CH99" s="399"/>
      <c r="CI99" s="399"/>
      <c r="CJ99" s="399"/>
      <c r="CK99" s="393" t="str">
        <f t="shared" si="24"/>
        <v>NG</v>
      </c>
    </row>
    <row r="100" spans="33:89">
      <c r="AG100" s="398">
        <v>38.5</v>
      </c>
      <c r="AH100" s="398"/>
      <c r="AI100" s="398"/>
      <c r="AJ100" s="398"/>
      <c r="AK100" s="399"/>
      <c r="AL100" s="399"/>
      <c r="AM100" s="399"/>
      <c r="AN100" s="399"/>
      <c r="AO100" s="399"/>
      <c r="AP100" s="399"/>
      <c r="AQ100" s="399"/>
      <c r="AR100" s="399"/>
      <c r="AS100" s="399">
        <v>1</v>
      </c>
      <c r="AT100" s="399"/>
      <c r="AU100" s="399"/>
      <c r="AV100" s="399"/>
      <c r="AW100" s="399"/>
      <c r="AX100" s="399"/>
      <c r="AY100" s="1100"/>
      <c r="AZ100" s="399"/>
      <c r="BA100" s="399">
        <v>9</v>
      </c>
      <c r="BB100" s="399"/>
      <c r="BC100" s="399"/>
      <c r="BD100" s="399"/>
      <c r="BE100" s="399"/>
      <c r="BF100" s="399"/>
      <c r="BG100" s="253">
        <f t="shared" si="22"/>
        <v>38500</v>
      </c>
      <c r="BH100" s="393" t="str">
        <f t="shared" si="23"/>
        <v>OK</v>
      </c>
      <c r="BJ100" s="398">
        <v>38.5</v>
      </c>
      <c r="BK100" s="398"/>
      <c r="BL100" s="398"/>
      <c r="BM100" s="398"/>
      <c r="BN100" s="399"/>
      <c r="BO100" s="399"/>
      <c r="BP100" s="399"/>
      <c r="BQ100" s="399"/>
      <c r="BR100" s="399"/>
      <c r="BS100" s="399"/>
      <c r="BT100" s="399"/>
      <c r="BU100" s="399"/>
      <c r="BV100" s="399">
        <v>1</v>
      </c>
      <c r="BW100" s="399"/>
      <c r="BX100" s="399"/>
      <c r="BY100" s="399"/>
      <c r="BZ100" s="399"/>
      <c r="CA100" s="399"/>
      <c r="CB100" s="1100"/>
      <c r="CC100" s="399"/>
      <c r="CD100" s="399">
        <v>9</v>
      </c>
      <c r="CE100" s="399"/>
      <c r="CF100" s="399"/>
      <c r="CG100" s="399"/>
      <c r="CH100" s="399"/>
      <c r="CI100" s="399"/>
      <c r="CJ100" s="399"/>
      <c r="CK100" s="393" t="str">
        <f t="shared" si="24"/>
        <v>NG</v>
      </c>
    </row>
    <row r="101" spans="33:89">
      <c r="AG101" s="398">
        <v>39</v>
      </c>
      <c r="AH101" s="398"/>
      <c r="AI101" s="398"/>
      <c r="AJ101" s="398"/>
      <c r="AK101" s="399"/>
      <c r="AL101" s="399"/>
      <c r="AM101" s="399"/>
      <c r="AN101" s="399"/>
      <c r="AO101" s="399"/>
      <c r="AP101" s="399"/>
      <c r="AQ101" s="399"/>
      <c r="AR101" s="399"/>
      <c r="AS101" s="399"/>
      <c r="AT101" s="399"/>
      <c r="AU101" s="399">
        <v>1</v>
      </c>
      <c r="AV101" s="399"/>
      <c r="AW101" s="399"/>
      <c r="AX101" s="399"/>
      <c r="AY101" s="1100"/>
      <c r="AZ101" s="399"/>
      <c r="BA101" s="399">
        <v>9</v>
      </c>
      <c r="BB101" s="399"/>
      <c r="BC101" s="399"/>
      <c r="BD101" s="399"/>
      <c r="BE101" s="399"/>
      <c r="BF101" s="399"/>
      <c r="BG101" s="253">
        <f t="shared" si="22"/>
        <v>39000</v>
      </c>
      <c r="BH101" s="393" t="str">
        <f t="shared" si="23"/>
        <v>OK</v>
      </c>
      <c r="BJ101" s="398">
        <v>39</v>
      </c>
      <c r="BK101" s="398"/>
      <c r="BL101" s="398"/>
      <c r="BM101" s="398"/>
      <c r="BN101" s="399"/>
      <c r="BO101" s="399"/>
      <c r="BP101" s="399"/>
      <c r="BQ101" s="399"/>
      <c r="BR101" s="399"/>
      <c r="BS101" s="399"/>
      <c r="BT101" s="399"/>
      <c r="BU101" s="399"/>
      <c r="BV101" s="399"/>
      <c r="BW101" s="399"/>
      <c r="BX101" s="399">
        <v>1</v>
      </c>
      <c r="BY101" s="399"/>
      <c r="BZ101" s="399"/>
      <c r="CA101" s="399"/>
      <c r="CB101" s="1100"/>
      <c r="CC101" s="399"/>
      <c r="CD101" s="399">
        <v>9</v>
      </c>
      <c r="CE101" s="399"/>
      <c r="CF101" s="399"/>
      <c r="CG101" s="399"/>
      <c r="CH101" s="399"/>
      <c r="CI101" s="399"/>
      <c r="CJ101" s="399"/>
      <c r="CK101" s="393" t="str">
        <f t="shared" si="24"/>
        <v>NG</v>
      </c>
    </row>
    <row r="102" spans="33:89">
      <c r="AG102" s="398">
        <v>39.5</v>
      </c>
      <c r="AH102" s="398"/>
      <c r="AI102" s="398"/>
      <c r="AJ102" s="398"/>
      <c r="AK102" s="399"/>
      <c r="AL102" s="399"/>
      <c r="AM102" s="399"/>
      <c r="AN102" s="399"/>
      <c r="AO102" s="399"/>
      <c r="AP102" s="399"/>
      <c r="AQ102" s="399"/>
      <c r="AR102" s="399"/>
      <c r="AS102" s="399"/>
      <c r="AT102" s="399"/>
      <c r="AU102" s="399"/>
      <c r="AV102" s="399"/>
      <c r="AW102" s="399"/>
      <c r="AX102" s="399">
        <v>1</v>
      </c>
      <c r="AY102" s="1100"/>
      <c r="AZ102" s="399"/>
      <c r="BA102" s="399">
        <v>9</v>
      </c>
      <c r="BB102" s="399"/>
      <c r="BC102" s="399"/>
      <c r="BD102" s="399"/>
      <c r="BE102" s="399"/>
      <c r="BF102" s="399"/>
      <c r="BG102" s="253">
        <f t="shared" si="22"/>
        <v>39500</v>
      </c>
      <c r="BH102" s="393" t="str">
        <f t="shared" si="23"/>
        <v>OK</v>
      </c>
      <c r="BJ102" s="398">
        <v>39.5</v>
      </c>
      <c r="BK102" s="398"/>
      <c r="BL102" s="398"/>
      <c r="BM102" s="398"/>
      <c r="BN102" s="399"/>
      <c r="BO102" s="399"/>
      <c r="BP102" s="399"/>
      <c r="BQ102" s="399"/>
      <c r="BR102" s="399"/>
      <c r="BS102" s="399"/>
      <c r="BT102" s="399"/>
      <c r="BU102" s="399"/>
      <c r="BV102" s="399"/>
      <c r="BW102" s="399"/>
      <c r="BX102" s="399"/>
      <c r="BY102" s="399"/>
      <c r="BZ102" s="399"/>
      <c r="CA102" s="399">
        <v>1</v>
      </c>
      <c r="CB102" s="1100"/>
      <c r="CC102" s="399"/>
      <c r="CD102" s="399">
        <v>9</v>
      </c>
      <c r="CE102" s="399"/>
      <c r="CF102" s="399"/>
      <c r="CG102" s="399"/>
      <c r="CH102" s="399"/>
      <c r="CI102" s="399"/>
      <c r="CJ102" s="399"/>
      <c r="CK102" s="393" t="str">
        <f t="shared" si="24"/>
        <v>NG</v>
      </c>
    </row>
    <row r="103" spans="33:89">
      <c r="AG103" s="398">
        <v>40</v>
      </c>
      <c r="AH103" s="398"/>
      <c r="AI103" s="398"/>
      <c r="AJ103" s="398"/>
      <c r="AK103" s="399"/>
      <c r="AL103" s="399"/>
      <c r="AM103" s="399"/>
      <c r="AN103" s="399"/>
      <c r="AO103" s="399"/>
      <c r="AP103" s="399"/>
      <c r="AQ103" s="399"/>
      <c r="AR103" s="399"/>
      <c r="AS103" s="399"/>
      <c r="AT103" s="399"/>
      <c r="AU103" s="399"/>
      <c r="AV103" s="399"/>
      <c r="AW103" s="399"/>
      <c r="AX103" s="399"/>
      <c r="AY103" s="1100"/>
      <c r="AZ103" s="399">
        <v>1</v>
      </c>
      <c r="BA103" s="399">
        <v>9</v>
      </c>
      <c r="BB103" s="399"/>
      <c r="BC103" s="399"/>
      <c r="BD103" s="399"/>
      <c r="BE103" s="399"/>
      <c r="BF103" s="399"/>
      <c r="BG103" s="253">
        <f t="shared" si="22"/>
        <v>40000</v>
      </c>
      <c r="BH103" s="393" t="str">
        <f t="shared" si="23"/>
        <v>OK</v>
      </c>
      <c r="BJ103" s="398">
        <v>40</v>
      </c>
      <c r="BK103" s="398"/>
      <c r="BL103" s="398"/>
      <c r="BM103" s="398"/>
      <c r="BN103" s="399"/>
      <c r="BO103" s="399"/>
      <c r="BP103" s="399"/>
      <c r="BQ103" s="399"/>
      <c r="BR103" s="399"/>
      <c r="BS103" s="399"/>
      <c r="BT103" s="399"/>
      <c r="BU103" s="399"/>
      <c r="BV103" s="399"/>
      <c r="BW103" s="399"/>
      <c r="BX103" s="399"/>
      <c r="BY103" s="399"/>
      <c r="BZ103" s="399"/>
      <c r="CA103" s="399"/>
      <c r="CB103" s="1100"/>
      <c r="CC103" s="399">
        <v>1</v>
      </c>
      <c r="CD103" s="399">
        <v>9</v>
      </c>
      <c r="CE103" s="399"/>
      <c r="CF103" s="399"/>
      <c r="CG103" s="399"/>
      <c r="CH103" s="399"/>
      <c r="CI103" s="399"/>
      <c r="CJ103" s="399"/>
      <c r="CK103" s="393" t="str">
        <f t="shared" si="24"/>
        <v>NG</v>
      </c>
    </row>
    <row r="104" spans="33:89">
      <c r="AG104" s="398">
        <v>40.5</v>
      </c>
      <c r="AH104" s="398"/>
      <c r="AI104" s="398"/>
      <c r="AJ104" s="398"/>
      <c r="AK104" s="399"/>
      <c r="AL104" s="399"/>
      <c r="AM104" s="399"/>
      <c r="AN104" s="399"/>
      <c r="AO104" s="399"/>
      <c r="AP104" s="399"/>
      <c r="AQ104" s="399"/>
      <c r="AR104" s="399"/>
      <c r="AS104" s="399"/>
      <c r="AT104" s="399"/>
      <c r="AU104" s="399"/>
      <c r="AV104" s="399"/>
      <c r="AW104" s="399"/>
      <c r="AX104" s="399"/>
      <c r="AY104" s="1100"/>
      <c r="AZ104" s="399"/>
      <c r="BA104" s="399">
        <v>9</v>
      </c>
      <c r="BB104" s="399"/>
      <c r="BC104" s="399">
        <v>1</v>
      </c>
      <c r="BD104" s="399"/>
      <c r="BE104" s="399"/>
      <c r="BF104" s="399"/>
      <c r="BG104" s="253">
        <f t="shared" si="22"/>
        <v>40500</v>
      </c>
      <c r="BH104" s="393" t="str">
        <f t="shared" si="23"/>
        <v>OK</v>
      </c>
      <c r="BJ104" s="398">
        <v>40.5</v>
      </c>
      <c r="BK104" s="398"/>
      <c r="BL104" s="398"/>
      <c r="BM104" s="398"/>
      <c r="BN104" s="399"/>
      <c r="BO104" s="399"/>
      <c r="BP104" s="399"/>
      <c r="BQ104" s="399"/>
      <c r="BR104" s="399"/>
      <c r="BS104" s="399"/>
      <c r="BT104" s="399"/>
      <c r="BU104" s="399"/>
      <c r="BV104" s="399"/>
      <c r="BW104" s="399"/>
      <c r="BX104" s="399"/>
      <c r="BY104" s="399"/>
      <c r="BZ104" s="399"/>
      <c r="CA104" s="399"/>
      <c r="CB104" s="1100"/>
      <c r="CC104" s="399"/>
      <c r="CD104" s="399">
        <v>9</v>
      </c>
      <c r="CE104" s="399"/>
      <c r="CF104" s="399"/>
      <c r="CG104" s="399">
        <v>1</v>
      </c>
      <c r="CH104" s="399"/>
      <c r="CI104" s="399"/>
      <c r="CJ104" s="399"/>
      <c r="CK104" s="393" t="str">
        <f t="shared" si="24"/>
        <v>NG</v>
      </c>
    </row>
    <row r="105" spans="33:89">
      <c r="AG105" s="398">
        <v>41</v>
      </c>
      <c r="AH105" s="398"/>
      <c r="AI105" s="398"/>
      <c r="AJ105" s="398"/>
      <c r="AK105" s="399"/>
      <c r="AL105" s="399"/>
      <c r="AM105" s="399"/>
      <c r="AN105" s="399"/>
      <c r="AO105" s="399"/>
      <c r="AP105" s="399"/>
      <c r="AQ105" s="399"/>
      <c r="AR105" s="399"/>
      <c r="AS105" s="399"/>
      <c r="AT105" s="399"/>
      <c r="AU105" s="399"/>
      <c r="AV105" s="399"/>
      <c r="AW105" s="399"/>
      <c r="AX105" s="399"/>
      <c r="AY105" s="1100"/>
      <c r="AZ105" s="399"/>
      <c r="BA105" s="399">
        <v>9</v>
      </c>
      <c r="BB105" s="399"/>
      <c r="BC105" s="399"/>
      <c r="BD105" s="399"/>
      <c r="BE105" s="399">
        <v>1</v>
      </c>
      <c r="BF105" s="399"/>
      <c r="BG105" s="253">
        <f t="shared" si="22"/>
        <v>41000</v>
      </c>
      <c r="BH105" s="393" t="str">
        <f t="shared" si="23"/>
        <v>OK</v>
      </c>
      <c r="BJ105" s="398">
        <v>41</v>
      </c>
      <c r="BK105" s="398"/>
      <c r="BL105" s="398"/>
      <c r="BM105" s="398"/>
      <c r="BN105" s="399"/>
      <c r="BO105" s="399"/>
      <c r="BP105" s="399"/>
      <c r="BQ105" s="399"/>
      <c r="BR105" s="399"/>
      <c r="BS105" s="399"/>
      <c r="BT105" s="399"/>
      <c r="BU105" s="399"/>
      <c r="BV105" s="399"/>
      <c r="BW105" s="399"/>
      <c r="BX105" s="399"/>
      <c r="BY105" s="399"/>
      <c r="BZ105" s="399"/>
      <c r="CA105" s="399"/>
      <c r="CB105" s="1100"/>
      <c r="CC105" s="399"/>
      <c r="CD105" s="399">
        <v>9</v>
      </c>
      <c r="CE105" s="399"/>
      <c r="CF105" s="399"/>
      <c r="CG105" s="399"/>
      <c r="CH105" s="399"/>
      <c r="CI105" s="399">
        <v>1</v>
      </c>
      <c r="CJ105" s="399"/>
      <c r="CK105" s="393" t="str">
        <f t="shared" si="24"/>
        <v>NG</v>
      </c>
    </row>
    <row r="106" spans="33:89">
      <c r="AG106" s="398">
        <v>41.5</v>
      </c>
      <c r="AH106" s="398"/>
      <c r="AI106" s="398"/>
      <c r="AJ106" s="398"/>
      <c r="AK106" s="399"/>
      <c r="AL106" s="399"/>
      <c r="AM106" s="399"/>
      <c r="AN106" s="399">
        <v>1</v>
      </c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1100"/>
      <c r="AZ106" s="399"/>
      <c r="BA106" s="399">
        <v>10</v>
      </c>
      <c r="BB106" s="399"/>
      <c r="BC106" s="399"/>
      <c r="BD106" s="399"/>
      <c r="BE106" s="399"/>
      <c r="BF106" s="399"/>
      <c r="BG106" s="253">
        <f t="shared" si="22"/>
        <v>41500</v>
      </c>
      <c r="BH106" s="393" t="str">
        <f t="shared" si="23"/>
        <v>OK</v>
      </c>
      <c r="BJ106" s="398">
        <v>41.5</v>
      </c>
      <c r="BK106" s="398"/>
      <c r="BL106" s="398"/>
      <c r="BM106" s="398"/>
      <c r="BN106" s="399"/>
      <c r="BO106" s="399"/>
      <c r="BP106" s="399"/>
      <c r="BQ106" s="399">
        <v>1</v>
      </c>
      <c r="BR106" s="399"/>
      <c r="BS106" s="399"/>
      <c r="BT106" s="399"/>
      <c r="BU106" s="399"/>
      <c r="BV106" s="399"/>
      <c r="BW106" s="399"/>
      <c r="BX106" s="399"/>
      <c r="BY106" s="399"/>
      <c r="BZ106" s="399"/>
      <c r="CA106" s="399"/>
      <c r="CB106" s="1100"/>
      <c r="CC106" s="399"/>
      <c r="CD106" s="399">
        <v>10</v>
      </c>
      <c r="CE106" s="399"/>
      <c r="CF106" s="399"/>
      <c r="CG106" s="399"/>
      <c r="CH106" s="399"/>
      <c r="CI106" s="399"/>
      <c r="CJ106" s="399"/>
      <c r="CK106" s="393" t="str">
        <f t="shared" si="24"/>
        <v>NG</v>
      </c>
    </row>
    <row r="107" spans="33:89">
      <c r="AG107" s="398">
        <v>42</v>
      </c>
      <c r="AH107" s="398"/>
      <c r="AI107" s="398"/>
      <c r="AJ107" s="398"/>
      <c r="AK107" s="399"/>
      <c r="AL107" s="399"/>
      <c r="AM107" s="399"/>
      <c r="AN107" s="399"/>
      <c r="AO107" s="399"/>
      <c r="AP107" s="399">
        <v>1</v>
      </c>
      <c r="AQ107" s="399"/>
      <c r="AR107" s="399"/>
      <c r="AS107" s="399"/>
      <c r="AT107" s="399"/>
      <c r="AU107" s="399"/>
      <c r="AV107" s="399"/>
      <c r="AW107" s="399"/>
      <c r="AX107" s="399"/>
      <c r="AY107" s="1100"/>
      <c r="AZ107" s="399"/>
      <c r="BA107" s="399">
        <v>10</v>
      </c>
      <c r="BB107" s="399"/>
      <c r="BC107" s="399"/>
      <c r="BD107" s="399"/>
      <c r="BE107" s="399"/>
      <c r="BF107" s="399"/>
      <c r="BG107" s="253">
        <f t="shared" si="22"/>
        <v>42000</v>
      </c>
      <c r="BH107" s="393" t="str">
        <f t="shared" si="23"/>
        <v>OK</v>
      </c>
      <c r="BJ107" s="398">
        <v>42</v>
      </c>
      <c r="BK107" s="398"/>
      <c r="BL107" s="398"/>
      <c r="BM107" s="398"/>
      <c r="BN107" s="399"/>
      <c r="BO107" s="399"/>
      <c r="BP107" s="399"/>
      <c r="BQ107" s="399"/>
      <c r="BR107" s="399"/>
      <c r="BS107" s="399">
        <v>1</v>
      </c>
      <c r="BT107" s="399"/>
      <c r="BU107" s="399"/>
      <c r="BV107" s="399"/>
      <c r="BW107" s="399"/>
      <c r="BX107" s="399"/>
      <c r="BY107" s="399"/>
      <c r="BZ107" s="399"/>
      <c r="CA107" s="399"/>
      <c r="CB107" s="1100"/>
      <c r="CC107" s="399"/>
      <c r="CD107" s="399">
        <v>10</v>
      </c>
      <c r="CE107" s="399"/>
      <c r="CF107" s="399"/>
      <c r="CG107" s="399"/>
      <c r="CH107" s="399"/>
      <c r="CI107" s="399"/>
      <c r="CJ107" s="399"/>
      <c r="CK107" s="393" t="str">
        <f t="shared" si="24"/>
        <v>NG</v>
      </c>
    </row>
    <row r="108" spans="33:89">
      <c r="AG108" s="398">
        <v>42.5</v>
      </c>
      <c r="AH108" s="398"/>
      <c r="AI108" s="398"/>
      <c r="AJ108" s="398"/>
      <c r="AK108" s="399"/>
      <c r="AL108" s="399"/>
      <c r="AM108" s="399"/>
      <c r="AN108" s="399"/>
      <c r="AO108" s="399"/>
      <c r="AP108" s="399"/>
      <c r="AQ108" s="399"/>
      <c r="AR108" s="399"/>
      <c r="AS108" s="399">
        <v>1</v>
      </c>
      <c r="AT108" s="399"/>
      <c r="AU108" s="399"/>
      <c r="AV108" s="399"/>
      <c r="AW108" s="399"/>
      <c r="AX108" s="399"/>
      <c r="AY108" s="1100"/>
      <c r="AZ108" s="399"/>
      <c r="BA108" s="399">
        <v>10</v>
      </c>
      <c r="BB108" s="399"/>
      <c r="BC108" s="399"/>
      <c r="BD108" s="399"/>
      <c r="BE108" s="399"/>
      <c r="BF108" s="399"/>
      <c r="BG108" s="253">
        <f t="shared" si="22"/>
        <v>42500</v>
      </c>
      <c r="BH108" s="393" t="str">
        <f t="shared" si="23"/>
        <v>OK</v>
      </c>
      <c r="BJ108" s="398">
        <v>42.5</v>
      </c>
      <c r="BK108" s="398"/>
      <c r="BL108" s="398"/>
      <c r="BM108" s="398"/>
      <c r="BN108" s="399"/>
      <c r="BO108" s="399"/>
      <c r="BP108" s="399"/>
      <c r="BQ108" s="399"/>
      <c r="BR108" s="399"/>
      <c r="BS108" s="399"/>
      <c r="BT108" s="399"/>
      <c r="BU108" s="399"/>
      <c r="BV108" s="399">
        <v>1</v>
      </c>
      <c r="BW108" s="399"/>
      <c r="BX108" s="399"/>
      <c r="BY108" s="399"/>
      <c r="BZ108" s="399"/>
      <c r="CA108" s="399"/>
      <c r="CB108" s="1100"/>
      <c r="CC108" s="399"/>
      <c r="CD108" s="399">
        <v>10</v>
      </c>
      <c r="CE108" s="399"/>
      <c r="CF108" s="399"/>
      <c r="CG108" s="399"/>
      <c r="CH108" s="399"/>
      <c r="CI108" s="399"/>
      <c r="CJ108" s="399"/>
      <c r="CK108" s="393" t="str">
        <f t="shared" si="24"/>
        <v>NG</v>
      </c>
    </row>
    <row r="109" spans="33:89">
      <c r="AG109" s="398">
        <v>43</v>
      </c>
      <c r="AH109" s="398"/>
      <c r="AI109" s="398"/>
      <c r="AJ109" s="398"/>
      <c r="AK109" s="399"/>
      <c r="AL109" s="399"/>
      <c r="AM109" s="399"/>
      <c r="AN109" s="399"/>
      <c r="AO109" s="399"/>
      <c r="AP109" s="399"/>
      <c r="AQ109" s="399"/>
      <c r="AR109" s="399"/>
      <c r="AS109" s="399"/>
      <c r="AT109" s="399"/>
      <c r="AU109" s="399">
        <v>1</v>
      </c>
      <c r="AV109" s="399"/>
      <c r="AW109" s="399"/>
      <c r="AX109" s="399"/>
      <c r="AY109" s="1100"/>
      <c r="AZ109" s="399"/>
      <c r="BA109" s="399">
        <v>10</v>
      </c>
      <c r="BB109" s="399"/>
      <c r="BC109" s="399"/>
      <c r="BD109" s="399"/>
      <c r="BE109" s="399"/>
      <c r="BF109" s="399"/>
      <c r="BG109" s="253">
        <f t="shared" si="22"/>
        <v>43000</v>
      </c>
      <c r="BH109" s="393" t="str">
        <f t="shared" si="23"/>
        <v>OK</v>
      </c>
      <c r="BJ109" s="398">
        <v>43</v>
      </c>
      <c r="BK109" s="398"/>
      <c r="BL109" s="398"/>
      <c r="BM109" s="398"/>
      <c r="BN109" s="399"/>
      <c r="BO109" s="399"/>
      <c r="BP109" s="399"/>
      <c r="BQ109" s="399"/>
      <c r="BR109" s="399"/>
      <c r="BS109" s="399"/>
      <c r="BT109" s="399"/>
      <c r="BU109" s="399"/>
      <c r="BV109" s="399"/>
      <c r="BW109" s="399"/>
      <c r="BX109" s="399">
        <v>1</v>
      </c>
      <c r="BY109" s="399"/>
      <c r="BZ109" s="399"/>
      <c r="CA109" s="399"/>
      <c r="CB109" s="1100"/>
      <c r="CC109" s="399"/>
      <c r="CD109" s="399">
        <v>10</v>
      </c>
      <c r="CE109" s="399"/>
      <c r="CF109" s="399"/>
      <c r="CG109" s="399"/>
      <c r="CH109" s="399"/>
      <c r="CI109" s="399"/>
      <c r="CJ109" s="399"/>
      <c r="CK109" s="393" t="str">
        <f t="shared" si="24"/>
        <v>NG</v>
      </c>
    </row>
    <row r="110" spans="33:89">
      <c r="AG110" s="398">
        <v>43.5</v>
      </c>
      <c r="AH110" s="398"/>
      <c r="AI110" s="398"/>
      <c r="AJ110" s="398"/>
      <c r="AK110" s="399"/>
      <c r="AL110" s="399"/>
      <c r="AM110" s="399"/>
      <c r="AN110" s="399"/>
      <c r="AO110" s="399"/>
      <c r="AP110" s="399"/>
      <c r="AQ110" s="399"/>
      <c r="AR110" s="399"/>
      <c r="AS110" s="399"/>
      <c r="AT110" s="399"/>
      <c r="AU110" s="399"/>
      <c r="AV110" s="399"/>
      <c r="AW110" s="399"/>
      <c r="AX110" s="399">
        <v>1</v>
      </c>
      <c r="AY110" s="1100"/>
      <c r="AZ110" s="399"/>
      <c r="BA110" s="399">
        <v>10</v>
      </c>
      <c r="BB110" s="399"/>
      <c r="BC110" s="399"/>
      <c r="BD110" s="399"/>
      <c r="BE110" s="399"/>
      <c r="BF110" s="399"/>
      <c r="BG110" s="253">
        <f t="shared" si="22"/>
        <v>43500</v>
      </c>
      <c r="BH110" s="393" t="str">
        <f t="shared" si="23"/>
        <v>OK</v>
      </c>
      <c r="BJ110" s="398">
        <v>43.5</v>
      </c>
      <c r="BK110" s="398"/>
      <c r="BL110" s="398"/>
      <c r="BM110" s="398"/>
      <c r="BN110" s="399"/>
      <c r="BO110" s="399"/>
      <c r="BP110" s="399"/>
      <c r="BQ110" s="399"/>
      <c r="BR110" s="399"/>
      <c r="BS110" s="399"/>
      <c r="BT110" s="399"/>
      <c r="BU110" s="399"/>
      <c r="BV110" s="399"/>
      <c r="BW110" s="399"/>
      <c r="BX110" s="399"/>
      <c r="BY110" s="399"/>
      <c r="BZ110" s="399"/>
      <c r="CA110" s="399">
        <v>1</v>
      </c>
      <c r="CB110" s="1100"/>
      <c r="CC110" s="399"/>
      <c r="CD110" s="399">
        <v>10</v>
      </c>
      <c r="CE110" s="399"/>
      <c r="CF110" s="399"/>
      <c r="CG110" s="399"/>
      <c r="CH110" s="399"/>
      <c r="CI110" s="399"/>
      <c r="CJ110" s="399"/>
      <c r="CK110" s="393" t="str">
        <f t="shared" si="24"/>
        <v>NG</v>
      </c>
    </row>
    <row r="111" spans="33:89">
      <c r="AG111" s="398">
        <v>44</v>
      </c>
      <c r="AH111" s="398"/>
      <c r="AI111" s="398"/>
      <c r="AJ111" s="398"/>
      <c r="AK111" s="399"/>
      <c r="AL111" s="399"/>
      <c r="AM111" s="399"/>
      <c r="AN111" s="399"/>
      <c r="AO111" s="399"/>
      <c r="AP111" s="399"/>
      <c r="AQ111" s="399"/>
      <c r="AR111" s="399"/>
      <c r="AS111" s="399"/>
      <c r="AT111" s="399"/>
      <c r="AU111" s="399"/>
      <c r="AV111" s="399"/>
      <c r="AW111" s="399"/>
      <c r="AX111" s="399"/>
      <c r="AY111" s="1100"/>
      <c r="AZ111" s="399">
        <v>1</v>
      </c>
      <c r="BA111" s="399">
        <v>10</v>
      </c>
      <c r="BB111" s="399"/>
      <c r="BC111" s="399"/>
      <c r="BD111" s="399"/>
      <c r="BE111" s="399"/>
      <c r="BF111" s="399"/>
      <c r="BG111" s="253">
        <f t="shared" si="22"/>
        <v>44000</v>
      </c>
      <c r="BH111" s="393" t="str">
        <f t="shared" si="23"/>
        <v>OK</v>
      </c>
      <c r="BJ111" s="398">
        <v>44</v>
      </c>
      <c r="BK111" s="398"/>
      <c r="BL111" s="398"/>
      <c r="BM111" s="398"/>
      <c r="BN111" s="399"/>
      <c r="BO111" s="399"/>
      <c r="BP111" s="399"/>
      <c r="BQ111" s="399"/>
      <c r="BR111" s="399"/>
      <c r="BS111" s="399"/>
      <c r="BT111" s="399"/>
      <c r="BU111" s="399"/>
      <c r="BV111" s="399"/>
      <c r="BW111" s="399"/>
      <c r="BX111" s="399"/>
      <c r="BY111" s="399"/>
      <c r="BZ111" s="399"/>
      <c r="CA111" s="399"/>
      <c r="CB111" s="1100"/>
      <c r="CC111" s="399">
        <v>1</v>
      </c>
      <c r="CD111" s="399">
        <v>10</v>
      </c>
      <c r="CE111" s="399"/>
      <c r="CF111" s="399"/>
      <c r="CG111" s="399"/>
      <c r="CH111" s="399"/>
      <c r="CI111" s="399"/>
      <c r="CJ111" s="399"/>
      <c r="CK111" s="393" t="str">
        <f t="shared" si="24"/>
        <v>NG</v>
      </c>
    </row>
    <row r="112" spans="33:89">
      <c r="AG112" s="398">
        <v>44.5</v>
      </c>
      <c r="AH112" s="398"/>
      <c r="AI112" s="398"/>
      <c r="AJ112" s="398"/>
      <c r="AK112" s="399"/>
      <c r="AL112" s="399"/>
      <c r="AM112" s="399"/>
      <c r="AN112" s="399"/>
      <c r="AO112" s="399"/>
      <c r="AP112" s="399"/>
      <c r="AQ112" s="399"/>
      <c r="AR112" s="399"/>
      <c r="AS112" s="399"/>
      <c r="AT112" s="399"/>
      <c r="AU112" s="399"/>
      <c r="AV112" s="399"/>
      <c r="AW112" s="399"/>
      <c r="AX112" s="399"/>
      <c r="AY112" s="1100"/>
      <c r="AZ112" s="399"/>
      <c r="BA112" s="399">
        <v>10</v>
      </c>
      <c r="BB112" s="399"/>
      <c r="BC112" s="399">
        <v>1</v>
      </c>
      <c r="BD112" s="399"/>
      <c r="BE112" s="399"/>
      <c r="BF112" s="399"/>
      <c r="BG112" s="253">
        <f t="shared" si="22"/>
        <v>44500</v>
      </c>
      <c r="BH112" s="393" t="str">
        <f t="shared" si="23"/>
        <v>OK</v>
      </c>
      <c r="BJ112" s="398">
        <v>44.5</v>
      </c>
      <c r="BK112" s="398"/>
      <c r="BL112" s="398"/>
      <c r="BM112" s="398"/>
      <c r="BN112" s="399"/>
      <c r="BO112" s="399"/>
      <c r="BP112" s="399"/>
      <c r="BQ112" s="399"/>
      <c r="BR112" s="399"/>
      <c r="BS112" s="399"/>
      <c r="BT112" s="399"/>
      <c r="BU112" s="399"/>
      <c r="BV112" s="399"/>
      <c r="BW112" s="399"/>
      <c r="BX112" s="399"/>
      <c r="BY112" s="399"/>
      <c r="BZ112" s="399"/>
      <c r="CA112" s="399"/>
      <c r="CB112" s="1100"/>
      <c r="CC112" s="399"/>
      <c r="CD112" s="399">
        <v>10</v>
      </c>
      <c r="CE112" s="399"/>
      <c r="CF112" s="399"/>
      <c r="CG112" s="399">
        <v>1</v>
      </c>
      <c r="CH112" s="399"/>
      <c r="CI112" s="399"/>
      <c r="CJ112" s="399"/>
      <c r="CK112" s="393" t="str">
        <f t="shared" si="24"/>
        <v>NG</v>
      </c>
    </row>
    <row r="113" spans="33:89">
      <c r="AG113" s="398">
        <v>45</v>
      </c>
      <c r="AH113" s="398"/>
      <c r="AI113" s="398"/>
      <c r="AJ113" s="398"/>
      <c r="AK113" s="399"/>
      <c r="AL113" s="399"/>
      <c r="AM113" s="399"/>
      <c r="AN113" s="399"/>
      <c r="AO113" s="399"/>
      <c r="AP113" s="399"/>
      <c r="AQ113" s="399"/>
      <c r="AR113" s="399"/>
      <c r="AS113" s="399"/>
      <c r="AT113" s="399"/>
      <c r="AU113" s="399"/>
      <c r="AV113" s="399"/>
      <c r="AW113" s="399"/>
      <c r="AX113" s="399"/>
      <c r="AY113" s="1100"/>
      <c r="AZ113" s="399"/>
      <c r="BA113" s="399">
        <v>10</v>
      </c>
      <c r="BB113" s="399"/>
      <c r="BC113" s="399"/>
      <c r="BD113" s="399"/>
      <c r="BE113" s="399">
        <v>1</v>
      </c>
      <c r="BF113" s="399"/>
      <c r="BG113" s="253">
        <f t="shared" si="22"/>
        <v>45000</v>
      </c>
      <c r="BH113" s="393" t="str">
        <f t="shared" si="23"/>
        <v>OK</v>
      </c>
      <c r="BJ113" s="398">
        <v>45</v>
      </c>
      <c r="BK113" s="398"/>
      <c r="BL113" s="398"/>
      <c r="BM113" s="398"/>
      <c r="BN113" s="399"/>
      <c r="BO113" s="399"/>
      <c r="BP113" s="399"/>
      <c r="BQ113" s="399"/>
      <c r="BR113" s="399"/>
      <c r="BS113" s="399"/>
      <c r="BT113" s="399"/>
      <c r="BU113" s="399"/>
      <c r="BV113" s="399"/>
      <c r="BW113" s="399"/>
      <c r="BX113" s="399"/>
      <c r="BY113" s="399"/>
      <c r="BZ113" s="399"/>
      <c r="CA113" s="399"/>
      <c r="CB113" s="1100"/>
      <c r="CC113" s="399"/>
      <c r="CD113" s="399">
        <v>10</v>
      </c>
      <c r="CE113" s="399"/>
      <c r="CF113" s="399"/>
      <c r="CG113" s="399"/>
      <c r="CH113" s="399"/>
      <c r="CI113" s="399">
        <v>1</v>
      </c>
      <c r="CJ113" s="399"/>
      <c r="CK113" s="393" t="str">
        <f t="shared" si="24"/>
        <v>NG</v>
      </c>
    </row>
    <row r="114" spans="33:89">
      <c r="AG114" s="398">
        <v>45.5</v>
      </c>
      <c r="AH114" s="398"/>
      <c r="AI114" s="398"/>
      <c r="AJ114" s="398"/>
      <c r="AK114" s="399"/>
      <c r="AL114" s="399"/>
      <c r="AM114" s="399"/>
      <c r="AN114" s="399">
        <v>1</v>
      </c>
      <c r="AO114" s="399"/>
      <c r="AP114" s="399"/>
      <c r="AQ114" s="399"/>
      <c r="AR114" s="399"/>
      <c r="AS114" s="399"/>
      <c r="AT114" s="399"/>
      <c r="AU114" s="399"/>
      <c r="AV114" s="399"/>
      <c r="AW114" s="399"/>
      <c r="AX114" s="399"/>
      <c r="AY114" s="1100"/>
      <c r="AZ114" s="399"/>
      <c r="BA114" s="399">
        <v>11</v>
      </c>
      <c r="BB114" s="399"/>
      <c r="BC114" s="399"/>
      <c r="BD114" s="399"/>
      <c r="BE114" s="399"/>
      <c r="BF114" s="399"/>
      <c r="BG114" s="253">
        <f t="shared" si="22"/>
        <v>45500</v>
      </c>
      <c r="BH114" s="393" t="str">
        <f t="shared" si="23"/>
        <v>OK</v>
      </c>
      <c r="BJ114" s="398">
        <v>45.5</v>
      </c>
      <c r="BK114" s="398"/>
      <c r="BL114" s="398"/>
      <c r="BM114" s="398"/>
      <c r="BN114" s="399"/>
      <c r="BO114" s="399"/>
      <c r="BP114" s="399"/>
      <c r="BQ114" s="399">
        <v>1</v>
      </c>
      <c r="BR114" s="399"/>
      <c r="BS114" s="399"/>
      <c r="BT114" s="399"/>
      <c r="BU114" s="399"/>
      <c r="BV114" s="399"/>
      <c r="BW114" s="399"/>
      <c r="BX114" s="399"/>
      <c r="BY114" s="399"/>
      <c r="BZ114" s="399"/>
      <c r="CA114" s="399"/>
      <c r="CB114" s="1100"/>
      <c r="CC114" s="399"/>
      <c r="CD114" s="399">
        <v>11</v>
      </c>
      <c r="CE114" s="399"/>
      <c r="CF114" s="399"/>
      <c r="CG114" s="399"/>
      <c r="CH114" s="399"/>
      <c r="CI114" s="399"/>
      <c r="CJ114" s="399"/>
      <c r="CK114" s="393" t="str">
        <f t="shared" si="24"/>
        <v>NG</v>
      </c>
    </row>
    <row r="115" spans="33:89">
      <c r="AG115" s="398">
        <v>46</v>
      </c>
      <c r="AH115" s="398"/>
      <c r="AI115" s="398"/>
      <c r="AJ115" s="398"/>
      <c r="AK115" s="399"/>
      <c r="AL115" s="399"/>
      <c r="AM115" s="399"/>
      <c r="AN115" s="399"/>
      <c r="AO115" s="399"/>
      <c r="AP115" s="399">
        <v>1</v>
      </c>
      <c r="AQ115" s="399"/>
      <c r="AR115" s="399"/>
      <c r="AS115" s="399"/>
      <c r="AT115" s="399"/>
      <c r="AU115" s="399"/>
      <c r="AV115" s="399"/>
      <c r="AW115" s="399"/>
      <c r="AX115" s="399"/>
      <c r="AY115" s="1100"/>
      <c r="AZ115" s="399"/>
      <c r="BA115" s="399">
        <v>11</v>
      </c>
      <c r="BB115" s="399"/>
      <c r="BC115" s="399"/>
      <c r="BD115" s="399"/>
      <c r="BE115" s="399"/>
      <c r="BF115" s="399"/>
      <c r="BG115" s="253">
        <f t="shared" si="22"/>
        <v>46000</v>
      </c>
      <c r="BH115" s="393" t="str">
        <f t="shared" si="23"/>
        <v>OK</v>
      </c>
      <c r="BJ115" s="398">
        <v>46</v>
      </c>
      <c r="BK115" s="398"/>
      <c r="BL115" s="398"/>
      <c r="BM115" s="398"/>
      <c r="BN115" s="399"/>
      <c r="BO115" s="399"/>
      <c r="BP115" s="399"/>
      <c r="BQ115" s="399"/>
      <c r="BR115" s="399"/>
      <c r="BS115" s="399">
        <v>1</v>
      </c>
      <c r="BT115" s="399"/>
      <c r="BU115" s="399"/>
      <c r="BV115" s="399"/>
      <c r="BW115" s="399"/>
      <c r="BX115" s="399"/>
      <c r="BY115" s="399"/>
      <c r="BZ115" s="399"/>
      <c r="CA115" s="399"/>
      <c r="CB115" s="1100"/>
      <c r="CC115" s="399"/>
      <c r="CD115" s="399">
        <v>11</v>
      </c>
      <c r="CE115" s="399"/>
      <c r="CF115" s="399"/>
      <c r="CG115" s="399"/>
      <c r="CH115" s="399"/>
      <c r="CI115" s="399"/>
      <c r="CJ115" s="399"/>
      <c r="CK115" s="393" t="str">
        <f t="shared" si="24"/>
        <v>NG</v>
      </c>
    </row>
    <row r="116" spans="33:89">
      <c r="AG116" s="398">
        <v>46.5</v>
      </c>
      <c r="AH116" s="398"/>
      <c r="AI116" s="398"/>
      <c r="AJ116" s="398"/>
      <c r="AK116" s="399"/>
      <c r="AL116" s="399"/>
      <c r="AM116" s="399"/>
      <c r="AN116" s="399"/>
      <c r="AO116" s="399"/>
      <c r="AP116" s="399"/>
      <c r="AQ116" s="399"/>
      <c r="AR116" s="399"/>
      <c r="AS116" s="399">
        <v>1</v>
      </c>
      <c r="AT116" s="399"/>
      <c r="AU116" s="399"/>
      <c r="AV116" s="399"/>
      <c r="AW116" s="399"/>
      <c r="AX116" s="399"/>
      <c r="AY116" s="1100"/>
      <c r="AZ116" s="399"/>
      <c r="BA116" s="399">
        <v>11</v>
      </c>
      <c r="BB116" s="399"/>
      <c r="BC116" s="399"/>
      <c r="BD116" s="399"/>
      <c r="BE116" s="399"/>
      <c r="BF116" s="399"/>
      <c r="BG116" s="253">
        <f t="shared" si="22"/>
        <v>46500</v>
      </c>
      <c r="BH116" s="393" t="str">
        <f t="shared" si="23"/>
        <v>OK</v>
      </c>
      <c r="BJ116" s="398">
        <v>46.5</v>
      </c>
      <c r="BK116" s="398"/>
      <c r="BL116" s="398"/>
      <c r="BM116" s="398"/>
      <c r="BN116" s="399"/>
      <c r="BO116" s="399"/>
      <c r="BP116" s="399"/>
      <c r="BQ116" s="399"/>
      <c r="BR116" s="399"/>
      <c r="BS116" s="399"/>
      <c r="BT116" s="399"/>
      <c r="BU116" s="399"/>
      <c r="BV116" s="399">
        <v>1</v>
      </c>
      <c r="BW116" s="399"/>
      <c r="BX116" s="399"/>
      <c r="BY116" s="399"/>
      <c r="BZ116" s="399"/>
      <c r="CA116" s="399"/>
      <c r="CB116" s="1100"/>
      <c r="CC116" s="399"/>
      <c r="CD116" s="399">
        <v>11</v>
      </c>
      <c r="CE116" s="399"/>
      <c r="CF116" s="399"/>
      <c r="CG116" s="399"/>
      <c r="CH116" s="399"/>
      <c r="CI116" s="399"/>
      <c r="CJ116" s="399"/>
      <c r="CK116" s="393" t="str">
        <f t="shared" si="24"/>
        <v>NG</v>
      </c>
    </row>
    <row r="117" spans="33:89">
      <c r="AG117" s="398">
        <v>47</v>
      </c>
      <c r="AH117" s="398"/>
      <c r="AI117" s="398"/>
      <c r="AJ117" s="398"/>
      <c r="AK117" s="399"/>
      <c r="AL117" s="399"/>
      <c r="AM117" s="399"/>
      <c r="AN117" s="399"/>
      <c r="AO117" s="399"/>
      <c r="AP117" s="399"/>
      <c r="AQ117" s="399"/>
      <c r="AR117" s="399"/>
      <c r="AS117" s="399"/>
      <c r="AT117" s="399"/>
      <c r="AU117" s="399">
        <v>1</v>
      </c>
      <c r="AV117" s="399"/>
      <c r="AW117" s="399"/>
      <c r="AX117" s="399"/>
      <c r="AY117" s="1100"/>
      <c r="AZ117" s="399"/>
      <c r="BA117" s="399">
        <v>11</v>
      </c>
      <c r="BB117" s="399"/>
      <c r="BC117" s="399"/>
      <c r="BD117" s="399"/>
      <c r="BE117" s="399"/>
      <c r="BF117" s="399"/>
      <c r="BG117" s="253">
        <f t="shared" si="22"/>
        <v>47000</v>
      </c>
      <c r="BH117" s="393" t="str">
        <f t="shared" si="23"/>
        <v>OK</v>
      </c>
      <c r="BJ117" s="398">
        <v>47</v>
      </c>
      <c r="BK117" s="398"/>
      <c r="BL117" s="398"/>
      <c r="BM117" s="398"/>
      <c r="BN117" s="399"/>
      <c r="BO117" s="399"/>
      <c r="BP117" s="399"/>
      <c r="BQ117" s="399"/>
      <c r="BR117" s="399"/>
      <c r="BS117" s="399"/>
      <c r="BT117" s="399"/>
      <c r="BU117" s="399"/>
      <c r="BV117" s="399"/>
      <c r="BW117" s="399"/>
      <c r="BX117" s="399">
        <v>1</v>
      </c>
      <c r="BY117" s="399"/>
      <c r="BZ117" s="399"/>
      <c r="CA117" s="399"/>
      <c r="CB117" s="1100"/>
      <c r="CC117" s="399"/>
      <c r="CD117" s="399">
        <v>11</v>
      </c>
      <c r="CE117" s="399"/>
      <c r="CF117" s="399"/>
      <c r="CG117" s="399"/>
      <c r="CH117" s="399"/>
      <c r="CI117" s="399"/>
      <c r="CJ117" s="399"/>
      <c r="CK117" s="393" t="str">
        <f t="shared" si="24"/>
        <v>NG</v>
      </c>
    </row>
    <row r="118" spans="33:89">
      <c r="AG118" s="398">
        <v>47.5</v>
      </c>
      <c r="AH118" s="398"/>
      <c r="AI118" s="398"/>
      <c r="AJ118" s="398"/>
      <c r="AK118" s="399"/>
      <c r="AL118" s="399"/>
      <c r="AM118" s="399"/>
      <c r="AN118" s="399"/>
      <c r="AO118" s="399"/>
      <c r="AP118" s="399"/>
      <c r="AQ118" s="399"/>
      <c r="AR118" s="399"/>
      <c r="AS118" s="399"/>
      <c r="AT118" s="399"/>
      <c r="AU118" s="399"/>
      <c r="AV118" s="399"/>
      <c r="AW118" s="399"/>
      <c r="AX118" s="399">
        <v>1</v>
      </c>
      <c r="AY118" s="1100"/>
      <c r="AZ118" s="399"/>
      <c r="BA118" s="399">
        <v>11</v>
      </c>
      <c r="BB118" s="399"/>
      <c r="BC118" s="399"/>
      <c r="BD118" s="399"/>
      <c r="BE118" s="399"/>
      <c r="BF118" s="399"/>
      <c r="BG118" s="253">
        <f t="shared" si="22"/>
        <v>47500</v>
      </c>
      <c r="BH118" s="393" t="str">
        <f t="shared" si="23"/>
        <v>OK</v>
      </c>
      <c r="BJ118" s="398">
        <v>47.5</v>
      </c>
      <c r="BK118" s="398"/>
      <c r="BL118" s="398"/>
      <c r="BM118" s="398"/>
      <c r="BN118" s="399"/>
      <c r="BO118" s="399"/>
      <c r="BP118" s="399"/>
      <c r="BQ118" s="399"/>
      <c r="BR118" s="399"/>
      <c r="BS118" s="399"/>
      <c r="BT118" s="399"/>
      <c r="BU118" s="399"/>
      <c r="BV118" s="399"/>
      <c r="BW118" s="399"/>
      <c r="BX118" s="399"/>
      <c r="BY118" s="399"/>
      <c r="BZ118" s="399"/>
      <c r="CA118" s="399">
        <v>1</v>
      </c>
      <c r="CB118" s="1100"/>
      <c r="CC118" s="399"/>
      <c r="CD118" s="399">
        <v>11</v>
      </c>
      <c r="CE118" s="399"/>
      <c r="CF118" s="399"/>
      <c r="CG118" s="399"/>
      <c r="CH118" s="399"/>
      <c r="CI118" s="399"/>
      <c r="CJ118" s="399"/>
      <c r="CK118" s="393" t="str">
        <f t="shared" si="24"/>
        <v>NG</v>
      </c>
    </row>
    <row r="119" spans="33:89">
      <c r="AG119" s="398">
        <v>48</v>
      </c>
      <c r="AH119" s="398"/>
      <c r="AI119" s="398"/>
      <c r="AJ119" s="398"/>
      <c r="AK119" s="399"/>
      <c r="AL119" s="399"/>
      <c r="AM119" s="399"/>
      <c r="AN119" s="399"/>
      <c r="AO119" s="399"/>
      <c r="AP119" s="399"/>
      <c r="AQ119" s="399"/>
      <c r="AR119" s="399"/>
      <c r="AS119" s="399"/>
      <c r="AT119" s="399"/>
      <c r="AU119" s="399"/>
      <c r="AV119" s="399"/>
      <c r="AW119" s="399"/>
      <c r="AX119" s="399"/>
      <c r="AY119" s="1100"/>
      <c r="AZ119" s="399">
        <v>1</v>
      </c>
      <c r="BA119" s="399">
        <v>11</v>
      </c>
      <c r="BB119" s="399"/>
      <c r="BC119" s="399"/>
      <c r="BD119" s="399"/>
      <c r="BE119" s="399"/>
      <c r="BF119" s="399"/>
      <c r="BG119" s="253">
        <f t="shared" si="22"/>
        <v>48000</v>
      </c>
      <c r="BH119" s="393" t="str">
        <f t="shared" si="23"/>
        <v>OK</v>
      </c>
      <c r="BJ119" s="398">
        <v>48</v>
      </c>
      <c r="BK119" s="398"/>
      <c r="BL119" s="398"/>
      <c r="BM119" s="398"/>
      <c r="BN119" s="399"/>
      <c r="BO119" s="399"/>
      <c r="BP119" s="399"/>
      <c r="BQ119" s="399"/>
      <c r="BR119" s="399"/>
      <c r="BS119" s="399"/>
      <c r="BT119" s="399"/>
      <c r="BU119" s="399"/>
      <c r="BV119" s="399"/>
      <c r="BW119" s="399"/>
      <c r="BX119" s="399"/>
      <c r="BY119" s="399"/>
      <c r="BZ119" s="399"/>
      <c r="CA119" s="399"/>
      <c r="CB119" s="1100"/>
      <c r="CC119" s="399">
        <v>1</v>
      </c>
      <c r="CD119" s="399">
        <v>11</v>
      </c>
      <c r="CE119" s="399"/>
      <c r="CF119" s="399"/>
      <c r="CG119" s="399"/>
      <c r="CH119" s="399"/>
      <c r="CI119" s="399"/>
      <c r="CJ119" s="399"/>
      <c r="CK119" s="393" t="str">
        <f t="shared" si="24"/>
        <v>NG</v>
      </c>
    </row>
    <row r="120" spans="33:89">
      <c r="AG120" s="398">
        <v>48.5</v>
      </c>
      <c r="AH120" s="398"/>
      <c r="AI120" s="398"/>
      <c r="AJ120" s="398"/>
      <c r="AK120" s="399"/>
      <c r="AL120" s="399"/>
      <c r="AM120" s="399"/>
      <c r="AN120" s="399"/>
      <c r="AO120" s="399"/>
      <c r="AP120" s="399"/>
      <c r="AQ120" s="399"/>
      <c r="AR120" s="399"/>
      <c r="AS120" s="399"/>
      <c r="AT120" s="399"/>
      <c r="AU120" s="399"/>
      <c r="AV120" s="399"/>
      <c r="AW120" s="399"/>
      <c r="AX120" s="399"/>
      <c r="AY120" s="1100"/>
      <c r="AZ120" s="399"/>
      <c r="BA120" s="399">
        <v>11</v>
      </c>
      <c r="BB120" s="399"/>
      <c r="BC120" s="399">
        <v>1</v>
      </c>
      <c r="BD120" s="399"/>
      <c r="BE120" s="399"/>
      <c r="BF120" s="399"/>
      <c r="BG120" s="253">
        <f t="shared" si="22"/>
        <v>48500</v>
      </c>
      <c r="BH120" s="393" t="str">
        <f t="shared" si="23"/>
        <v>OK</v>
      </c>
      <c r="BJ120" s="398">
        <v>48.5</v>
      </c>
      <c r="BK120" s="398"/>
      <c r="BL120" s="398"/>
      <c r="BM120" s="398"/>
      <c r="BN120" s="399"/>
      <c r="BO120" s="399"/>
      <c r="BP120" s="399"/>
      <c r="BQ120" s="399"/>
      <c r="BR120" s="399"/>
      <c r="BS120" s="399"/>
      <c r="BT120" s="399"/>
      <c r="BU120" s="399"/>
      <c r="BV120" s="399"/>
      <c r="BW120" s="399"/>
      <c r="BX120" s="399"/>
      <c r="BY120" s="399"/>
      <c r="BZ120" s="399"/>
      <c r="CA120" s="399"/>
      <c r="CB120" s="1100"/>
      <c r="CC120" s="399"/>
      <c r="CD120" s="399">
        <v>11</v>
      </c>
      <c r="CE120" s="399"/>
      <c r="CF120" s="399"/>
      <c r="CG120" s="399">
        <v>1</v>
      </c>
      <c r="CH120" s="399"/>
      <c r="CI120" s="399"/>
      <c r="CJ120" s="399"/>
      <c r="CK120" s="393" t="str">
        <f t="shared" si="24"/>
        <v>NG</v>
      </c>
    </row>
    <row r="121" spans="33:89">
      <c r="AG121" s="398">
        <v>49</v>
      </c>
      <c r="AH121" s="398"/>
      <c r="AI121" s="398"/>
      <c r="AJ121" s="398"/>
      <c r="AK121" s="399"/>
      <c r="AL121" s="399"/>
      <c r="AM121" s="399"/>
      <c r="AN121" s="399"/>
      <c r="AO121" s="399"/>
      <c r="AP121" s="399"/>
      <c r="AQ121" s="399"/>
      <c r="AR121" s="399"/>
      <c r="AS121" s="399"/>
      <c r="AT121" s="399"/>
      <c r="AU121" s="399"/>
      <c r="AV121" s="399"/>
      <c r="AW121" s="399"/>
      <c r="AX121" s="399"/>
      <c r="AY121" s="1100"/>
      <c r="AZ121" s="399"/>
      <c r="BA121" s="399">
        <v>11</v>
      </c>
      <c r="BB121" s="399"/>
      <c r="BC121" s="399"/>
      <c r="BD121" s="399"/>
      <c r="BE121" s="399">
        <v>1</v>
      </c>
      <c r="BF121" s="399"/>
      <c r="BG121" s="253">
        <f t="shared" ref="BG121:BG123" si="25">(SUMPRODUCT($AK$24:$BF$24,AK121:BF121))+120</f>
        <v>49000</v>
      </c>
      <c r="BH121" s="393" t="str">
        <f t="shared" ref="BH121:BH123" si="26">IF(BG121=AG121*1000,"OK","NG")</f>
        <v>OK</v>
      </c>
      <c r="BJ121" s="398">
        <v>49</v>
      </c>
      <c r="BK121" s="398"/>
      <c r="BL121" s="398"/>
      <c r="BM121" s="398"/>
      <c r="BN121" s="399"/>
      <c r="BO121" s="399"/>
      <c r="BP121" s="399"/>
      <c r="BQ121" s="399"/>
      <c r="BR121" s="399"/>
      <c r="BS121" s="399"/>
      <c r="BT121" s="399"/>
      <c r="BU121" s="399"/>
      <c r="BV121" s="399"/>
      <c r="BW121" s="399"/>
      <c r="BX121" s="399"/>
      <c r="BY121" s="399"/>
      <c r="BZ121" s="399"/>
      <c r="CA121" s="399"/>
      <c r="CB121" s="1100"/>
      <c r="CC121" s="399"/>
      <c r="CD121" s="399">
        <v>11</v>
      </c>
      <c r="CE121" s="399"/>
      <c r="CF121" s="399"/>
      <c r="CG121" s="399"/>
      <c r="CH121" s="399"/>
      <c r="CI121" s="399">
        <v>1</v>
      </c>
      <c r="CJ121" s="399"/>
      <c r="CK121" s="393" t="str">
        <f>IF(CJ121=BJ121*1000,"OK","NG")</f>
        <v>NG</v>
      </c>
    </row>
    <row r="122" spans="33:89">
      <c r="AG122" s="398">
        <v>49.5</v>
      </c>
      <c r="AH122" s="398"/>
      <c r="AI122" s="398"/>
      <c r="AJ122" s="398"/>
      <c r="AK122" s="399"/>
      <c r="AL122" s="399"/>
      <c r="AM122" s="399"/>
      <c r="AN122" s="399">
        <v>1</v>
      </c>
      <c r="AO122" s="399"/>
      <c r="AP122" s="399"/>
      <c r="AQ122" s="399"/>
      <c r="AR122" s="399"/>
      <c r="AS122" s="399"/>
      <c r="AT122" s="399"/>
      <c r="AU122" s="399"/>
      <c r="AV122" s="399"/>
      <c r="AW122" s="399"/>
      <c r="AX122" s="399"/>
      <c r="AY122" s="1100"/>
      <c r="AZ122" s="399"/>
      <c r="BA122" s="399">
        <v>12</v>
      </c>
      <c r="BB122" s="399"/>
      <c r="BC122" s="399"/>
      <c r="BD122" s="399"/>
      <c r="BE122" s="399"/>
      <c r="BF122" s="399"/>
      <c r="BG122" s="253">
        <f t="shared" si="25"/>
        <v>49500</v>
      </c>
      <c r="BH122" s="393" t="str">
        <f t="shared" si="26"/>
        <v>OK</v>
      </c>
      <c r="BJ122" s="398">
        <v>49.5</v>
      </c>
      <c r="BK122" s="398"/>
      <c r="BL122" s="398"/>
      <c r="BM122" s="398"/>
      <c r="BN122" s="399"/>
      <c r="BO122" s="399"/>
      <c r="BP122" s="399"/>
      <c r="BQ122" s="399">
        <v>1</v>
      </c>
      <c r="BR122" s="399"/>
      <c r="BS122" s="399"/>
      <c r="BT122" s="399"/>
      <c r="BU122" s="399"/>
      <c r="BV122" s="399"/>
      <c r="BW122" s="399"/>
      <c r="BX122" s="399"/>
      <c r="BY122" s="399"/>
      <c r="BZ122" s="399"/>
      <c r="CA122" s="399"/>
      <c r="CB122" s="1100"/>
      <c r="CC122" s="399"/>
      <c r="CD122" s="399">
        <v>12</v>
      </c>
      <c r="CE122" s="399"/>
      <c r="CF122" s="399"/>
      <c r="CG122" s="399"/>
      <c r="CH122" s="399"/>
      <c r="CI122" s="399"/>
      <c r="CJ122" s="399"/>
      <c r="CK122" s="393" t="str">
        <f>IF(CJ122=BJ122*1000,"OK","NG")</f>
        <v>NG</v>
      </c>
    </row>
    <row r="123" spans="33:89">
      <c r="AG123" s="398">
        <v>50</v>
      </c>
      <c r="AH123" s="398"/>
      <c r="AI123" s="398"/>
      <c r="AJ123" s="398"/>
      <c r="AK123" s="399"/>
      <c r="AL123" s="399"/>
      <c r="AM123" s="399"/>
      <c r="AN123" s="399"/>
      <c r="AO123" s="399"/>
      <c r="AP123" s="399">
        <v>1</v>
      </c>
      <c r="AQ123" s="399"/>
      <c r="AR123" s="399"/>
      <c r="AS123" s="399"/>
      <c r="AT123" s="399"/>
      <c r="AU123" s="399"/>
      <c r="AV123" s="399"/>
      <c r="AW123" s="399"/>
      <c r="AX123" s="399"/>
      <c r="AY123" s="1100"/>
      <c r="AZ123" s="399"/>
      <c r="BA123" s="399">
        <v>12</v>
      </c>
      <c r="BB123" s="399"/>
      <c r="BC123" s="399"/>
      <c r="BD123" s="399"/>
      <c r="BE123" s="399"/>
      <c r="BF123" s="399"/>
      <c r="BG123" s="253">
        <f t="shared" si="25"/>
        <v>50000</v>
      </c>
      <c r="BH123" s="393" t="str">
        <f t="shared" si="26"/>
        <v>OK</v>
      </c>
      <c r="BJ123" s="398">
        <v>50</v>
      </c>
      <c r="BK123" s="398"/>
      <c r="BL123" s="398"/>
      <c r="BM123" s="398"/>
      <c r="BN123" s="399"/>
      <c r="BO123" s="399"/>
      <c r="BP123" s="399"/>
      <c r="BQ123" s="399"/>
      <c r="BR123" s="399"/>
      <c r="BS123" s="399">
        <v>1</v>
      </c>
      <c r="BT123" s="399"/>
      <c r="BU123" s="399"/>
      <c r="BV123" s="399"/>
      <c r="BW123" s="399"/>
      <c r="BX123" s="399"/>
      <c r="BY123" s="399"/>
      <c r="BZ123" s="399"/>
      <c r="CA123" s="399"/>
      <c r="CB123" s="1100"/>
      <c r="CC123" s="399"/>
      <c r="CD123" s="399">
        <v>12</v>
      </c>
      <c r="CE123" s="399"/>
      <c r="CF123" s="399"/>
      <c r="CG123" s="399"/>
      <c r="CH123" s="399"/>
      <c r="CI123" s="399"/>
      <c r="CJ123" s="399"/>
      <c r="CK123" s="393" t="str">
        <f>IF(CJ123=BJ123*1000,"OK","NG")</f>
        <v>NG</v>
      </c>
    </row>
    <row r="124" spans="33:89">
      <c r="BK124" s="410"/>
      <c r="BL124" s="557"/>
    </row>
  </sheetData>
  <mergeCells count="19">
    <mergeCell ref="BJ23:CJ23"/>
    <mergeCell ref="AG23:BG23"/>
    <mergeCell ref="AG6:AL6"/>
    <mergeCell ref="AG7:AG8"/>
    <mergeCell ref="AN7:AP7"/>
    <mergeCell ref="D6:E6"/>
    <mergeCell ref="H5:AC5"/>
    <mergeCell ref="V7:W7"/>
    <mergeCell ref="N7:O7"/>
    <mergeCell ref="R7:S7"/>
    <mergeCell ref="Z7:AA7"/>
    <mergeCell ref="H7:H8"/>
    <mergeCell ref="I7:I8"/>
    <mergeCell ref="J8:K8"/>
    <mergeCell ref="N8:O8"/>
    <mergeCell ref="J7:K7"/>
    <mergeCell ref="Z8:AA8"/>
    <mergeCell ref="R8:S8"/>
    <mergeCell ref="V8:W8"/>
  </mergeCells>
  <phoneticPr fontId="13" type="noConversion"/>
  <pageMargins left="0.44" right="0.95" top="0.54" bottom="0.31" header="0.3" footer="0.19"/>
  <pageSetup paperSize="9" scale="1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2"/>
  <dimension ref="A1:J19"/>
  <sheetViews>
    <sheetView workbookViewId="0">
      <selection activeCell="E21" sqref="E21"/>
    </sheetView>
  </sheetViews>
  <sheetFormatPr defaultColWidth="8.875" defaultRowHeight="12.75"/>
  <cols>
    <col min="1" max="1" width="19.375" style="142" bestFit="1" customWidth="1"/>
    <col min="2" max="2" width="12.625" style="142" bestFit="1" customWidth="1"/>
    <col min="3" max="3" width="7.625" style="142" bestFit="1" customWidth="1"/>
    <col min="4" max="4" width="5.25" style="195" bestFit="1" customWidth="1"/>
    <col min="5" max="5" width="8.875" style="142"/>
    <col min="6" max="6" width="12.125" style="142" bestFit="1" customWidth="1"/>
    <col min="7" max="7" width="7.625" style="142" bestFit="1" customWidth="1"/>
    <col min="8" max="8" width="5.25" style="142" bestFit="1" customWidth="1"/>
    <col min="9" max="9" width="12.125" style="142" bestFit="1" customWidth="1"/>
    <col min="10" max="16384" width="8.875" style="142"/>
  </cols>
  <sheetData>
    <row r="1" spans="1:10">
      <c r="A1" s="194" t="str">
        <f>IF(B1="","",(VLOOKUP(B:B,'0.39'!B:C,2,FALSE)))</f>
        <v/>
      </c>
      <c r="B1" s="193" t="str">
        <f t="array" ref="B1">IF( ISERROR(INDEX($F$1:$F$19,SMALL(IF($G$1:$G$19&lt;&gt;0,ROW($G$1:$G$19)),ROW(B1)))),"",INDEX($F$1:$F$19,SMALL(IF($G$1:$G$19&lt;&gt;0,ROW($G$1:$G$19)),ROW(B1))))</f>
        <v/>
      </c>
      <c r="C1" s="193" t="str">
        <f t="array" ref="C1">IF( ISERROR(INDEX($G$1:$G$19,SMALL(IF($G$1:$G$19&lt;&gt;0,ROW($G$1:$G$19)),ROW(C1)))),"",INDEX($G$1:$G$19,SMALL(IF($G$1:$G$19&lt;&gt;0,ROW($G$1:$G$19)),ROW(C1))))</f>
        <v/>
      </c>
      <c r="F1" s="196" t="s">
        <v>347</v>
      </c>
      <c r="G1" s="197">
        <f>SUMIF(I1:I5,F1,J1:J5)</f>
        <v>0</v>
      </c>
      <c r="I1" s="198">
        <f>BASIC_TOOL!B30</f>
        <v>0</v>
      </c>
      <c r="J1" s="198">
        <f>BASIC_TOOL!C30</f>
        <v>0</v>
      </c>
    </row>
    <row r="2" spans="1:10">
      <c r="A2" s="194" t="str">
        <f>IF(B2="","",(VLOOKUP(B:B,'0.39'!B:C,2,FALSE)))</f>
        <v/>
      </c>
      <c r="B2" s="193" t="str">
        <f t="array" ref="B2">IF( ISERROR(INDEX($F$1:$F$19,SMALL(IF($G$1:$G$19&lt;&gt;0,ROW($G$1:$G$19)),ROW(B2)))),"",INDEX($F$1:$F$19,SMALL(IF($G$1:$G$19&lt;&gt;0,ROW($G$1:$G$19)),ROW(B2))))</f>
        <v/>
      </c>
      <c r="C2" s="193" t="str">
        <f t="array" ref="C2">IF( ISERROR(INDEX($G$1:$G$19,SMALL(IF($G$1:$G$19&lt;&gt;0,ROW($G$1:$G$19)),ROW(C2)))),"",INDEX($G$1:$G$19,SMALL(IF($G$1:$G$19&lt;&gt;0,ROW($G$1:$G$19)),ROW(C2))))</f>
        <v/>
      </c>
      <c r="F2" s="196" t="s">
        <v>348</v>
      </c>
      <c r="G2" s="197">
        <f>SUMIF(I1:I5,F2,J1:J5)</f>
        <v>0</v>
      </c>
      <c r="I2" s="198">
        <f>BASIC_TOOL!D30</f>
        <v>0</v>
      </c>
      <c r="J2" s="198">
        <f>BASIC_TOOL!E30</f>
        <v>0</v>
      </c>
    </row>
    <row r="3" spans="1:10">
      <c r="A3" s="194" t="str">
        <f>IF(B3="","",(VLOOKUP(B:B,'0.39'!B:C,2,FALSE)))</f>
        <v/>
      </c>
      <c r="B3" s="193" t="str">
        <f t="array" ref="B3">IF( ISERROR(INDEX($F$1:$F$19,SMALL(IF($G$1:$G$19&lt;&gt;0,ROW($G$1:$G$19)),ROW(B3)))),"",INDEX($F$1:$F$19,SMALL(IF($G$1:$G$19&lt;&gt;0,ROW($G$1:$G$19)),ROW(B3))))</f>
        <v/>
      </c>
      <c r="C3" s="193" t="str">
        <f t="array" ref="C3">IF( ISERROR(INDEX($G$1:$G$19,SMALL(IF($G$1:$G$19&lt;&gt;0,ROW($G$1:$G$19)),ROW(C3)))),"",INDEX($G$1:$G$19,SMALL(IF($G$1:$G$19&lt;&gt;0,ROW($G$1:$G$19)),ROW(C3))))</f>
        <v/>
      </c>
      <c r="F3" s="196" t="s">
        <v>349</v>
      </c>
      <c r="G3" s="197">
        <f>SUMIF(I1:I5,F3,J1:J5)</f>
        <v>0</v>
      </c>
      <c r="I3" s="198">
        <f>BASIC_TOOL!F30</f>
        <v>0</v>
      </c>
      <c r="J3" s="198">
        <f>BASIC_TOOL!G30</f>
        <v>0</v>
      </c>
    </row>
    <row r="4" spans="1:10">
      <c r="A4" s="194" t="str">
        <f>IF(B4="","",(VLOOKUP(B:B,'0.39'!B:C,2,FALSE)))</f>
        <v/>
      </c>
      <c r="B4" s="193" t="str">
        <f t="array" ref="B4">IF( ISERROR(INDEX($F$1:$F$19,SMALL(IF($G$1:$G$19&lt;&gt;0,ROW($G$1:$G$19)),ROW(B4)))),"",INDEX($F$1:$F$19,SMALL(IF($G$1:$G$19&lt;&gt;0,ROW($G$1:$G$19)),ROW(B4))))</f>
        <v/>
      </c>
      <c r="C4" s="193" t="str">
        <f t="array" ref="C4">IF( ISERROR(INDEX($G$1:$G$19,SMALL(IF($G$1:$G$19&lt;&gt;0,ROW($G$1:$G$19)),ROW(C4)))),"",INDEX($G$1:$G$19,SMALL(IF($G$1:$G$19&lt;&gt;0,ROW($G$1:$G$19)),ROW(C4))))</f>
        <v/>
      </c>
      <c r="F4" s="196" t="s">
        <v>350</v>
      </c>
      <c r="G4" s="197">
        <f>SUMIF(I1:I5,F4,J1:J5)</f>
        <v>0</v>
      </c>
      <c r="I4" s="198">
        <f>BASIC_TOOL!H30</f>
        <v>0</v>
      </c>
      <c r="J4" s="198">
        <f>BASIC_TOOL!I30</f>
        <v>0</v>
      </c>
    </row>
    <row r="5" spans="1:10">
      <c r="A5" s="194" t="str">
        <f>IF(B5="","",(VLOOKUP(B:B,'0.39'!B:C,2,FALSE)))</f>
        <v/>
      </c>
      <c r="B5" s="193" t="str">
        <f t="array" ref="B5">IF( ISERROR(INDEX($F$1:$F$19,SMALL(IF($G$1:$G$19&lt;&gt;0,ROW($G$1:$G$19)),ROW(B5)))),"",INDEX($F$1:$F$19,SMALL(IF($G$1:$G$19&lt;&gt;0,ROW($G$1:$G$19)),ROW(B5))))</f>
        <v/>
      </c>
      <c r="C5" s="193" t="str">
        <f t="array" ref="C5">IF( ISERROR(INDEX($G$1:$G$19,SMALL(IF($G$1:$G$19&lt;&gt;0,ROW($G$1:$G$19)),ROW(C5)))),"",INDEX($G$1:$G$19,SMALL(IF($G$1:$G$19&lt;&gt;0,ROW($G$1:$G$19)),ROW(C5))))</f>
        <v/>
      </c>
      <c r="F5" s="196" t="s">
        <v>351</v>
      </c>
      <c r="G5" s="197">
        <f>SUMIF(I1:I5,F5,J1:J5)</f>
        <v>0</v>
      </c>
      <c r="I5" s="198">
        <f>BASIC_TOOL!H30</f>
        <v>0</v>
      </c>
      <c r="J5" s="198">
        <f>BASIC_TOOL!I30</f>
        <v>0</v>
      </c>
    </row>
    <row r="6" spans="1:10">
      <c r="A6" s="194" t="str">
        <f>IF(B6="","",(VLOOKUP(B:B,'0.39'!B:C,2,FALSE)))</f>
        <v/>
      </c>
      <c r="B6" s="193" t="str">
        <f t="array" ref="B6">IF( ISERROR(INDEX($F$1:$F$19,SMALL(IF($G$1:$G$19&lt;&gt;0,ROW($G$1:$G$19)),ROW(B6)))),"",INDEX($F$1:$F$19,SMALL(IF($G$1:$G$19&lt;&gt;0,ROW($G$1:$G$19)),ROW(B6))))</f>
        <v/>
      </c>
      <c r="C6" s="193" t="str">
        <f t="array" ref="C6">IF( ISERROR(INDEX($G$1:$G$19,SMALL(IF($G$1:$G$19&lt;&gt;0,ROW($G$1:$G$19)),ROW(C6)))),"",INDEX($G$1:$G$19,SMALL(IF($G$1:$G$19&lt;&gt;0,ROW($G$1:$G$19)),ROW(C6))))</f>
        <v/>
      </c>
      <c r="F6" s="196" t="s">
        <v>352</v>
      </c>
      <c r="G6" s="197">
        <f>SUMIF(I1:I5,F6,J1:J5)</f>
        <v>0</v>
      </c>
    </row>
    <row r="7" spans="1:10">
      <c r="A7" s="194" t="str">
        <f>IF(B7="","",(VLOOKUP(B:B,'0.39'!B:C,2,FALSE)))</f>
        <v/>
      </c>
      <c r="B7" s="193" t="str">
        <f t="array" ref="B7">IF( ISERROR(INDEX($F$1:$F$19,SMALL(IF($G$1:$G$19&lt;&gt;0,ROW($G$1:$G$19)),ROW(B7)))),"",INDEX($F$1:$F$19,SMALL(IF($G$1:$G$19&lt;&gt;0,ROW($G$1:$G$19)),ROW(B7))))</f>
        <v/>
      </c>
      <c r="C7" s="193" t="str">
        <f t="array" ref="C7">IF( ISERROR(INDEX($G$1:$G$19,SMALL(IF($G$1:$G$19&lt;&gt;0,ROW($G$1:$G$19)),ROW(C7)))),"",INDEX($G$1:$G$19,SMALL(IF($G$1:$G$19&lt;&gt;0,ROW($G$1:$G$19)),ROW(C7))))</f>
        <v/>
      </c>
      <c r="F7" s="196" t="s">
        <v>353</v>
      </c>
      <c r="G7" s="197">
        <f>SUMIF(I1:I5,F7,J1:J5)</f>
        <v>0</v>
      </c>
    </row>
    <row r="8" spans="1:10">
      <c r="A8" s="194" t="str">
        <f>IF(B8="","",(VLOOKUP(B:B,'0.39'!B:C,2,FALSE)))</f>
        <v/>
      </c>
      <c r="B8" s="193" t="str">
        <f t="array" ref="B8">IF( ISERROR(INDEX($F$1:$F$19,SMALL(IF($G$1:$G$19&lt;&gt;0,ROW($G$1:$G$19)),ROW(B8)))),"",INDEX($F$1:$F$19,SMALL(IF($G$1:$G$19&lt;&gt;0,ROW($G$1:$G$19)),ROW(B8))))</f>
        <v/>
      </c>
      <c r="C8" s="193" t="str">
        <f t="array" ref="C8">IF( ISERROR(INDEX($G$1:$G$19,SMALL(IF($G$1:$G$19&lt;&gt;0,ROW($G$1:$G$19)),ROW(C8)))),"",INDEX($G$1:$G$19,SMALL(IF($G$1:$G$19&lt;&gt;0,ROW($G$1:$G$19)),ROW(C8))))</f>
        <v/>
      </c>
      <c r="F8" s="196" t="s">
        <v>354</v>
      </c>
      <c r="G8" s="197">
        <f>SUMIF(I1:I5,F8,J1:J5)</f>
        <v>0</v>
      </c>
    </row>
    <row r="9" spans="1:10">
      <c r="A9" s="194" t="str">
        <f>IF(B9="","",(VLOOKUP(B:B,'0.39'!B:C,2,FALSE)))</f>
        <v/>
      </c>
      <c r="B9" s="193" t="str">
        <f t="array" ref="B9">IF( ISERROR(INDEX($F$1:$F$19,SMALL(IF($G$1:$G$19&lt;&gt;0,ROW($G$1:$G$19)),ROW(B9)))),"",INDEX($F$1:$F$19,SMALL(IF($G$1:$G$19&lt;&gt;0,ROW($G$1:$G$19)),ROW(B9))))</f>
        <v/>
      </c>
      <c r="C9" s="193" t="str">
        <f t="array" ref="C9">IF( ISERROR(INDEX($G$1:$G$19,SMALL(IF($G$1:$G$19&lt;&gt;0,ROW($G$1:$G$19)),ROW(C9)))),"",INDEX($G$1:$G$19,SMALL(IF($G$1:$G$19&lt;&gt;0,ROW($G$1:$G$19)),ROW(C9))))</f>
        <v/>
      </c>
      <c r="F9" s="196" t="s">
        <v>355</v>
      </c>
      <c r="G9" s="197">
        <f>SUMIF(I1:I5,F9,J1:J5)</f>
        <v>0</v>
      </c>
    </row>
    <row r="10" spans="1:10">
      <c r="A10" s="194" t="str">
        <f>IF(B10="","",(VLOOKUP(B:B,'0.39'!B:C,2,FALSE)))</f>
        <v/>
      </c>
      <c r="B10" s="193" t="str">
        <f t="array" ref="B10">IF( ISERROR(INDEX($F$1:$F$19,SMALL(IF($G$1:$G$19&lt;&gt;0,ROW($G$1:$G$19)),ROW(B10)))),"",INDEX($F$1:$F$19,SMALL(IF($G$1:$G$19&lt;&gt;0,ROW($G$1:$G$19)),ROW(B10))))</f>
        <v/>
      </c>
      <c r="C10" s="193" t="str">
        <f t="array" ref="C10">IF( ISERROR(INDEX($G$1:$G$19,SMALL(IF($G$1:$G$19&lt;&gt;0,ROW($G$1:$G$19)),ROW(C10)))),"",INDEX($G$1:$G$19,SMALL(IF($G$1:$G$19&lt;&gt;0,ROW($G$1:$G$19)),ROW(C10))))</f>
        <v/>
      </c>
      <c r="F10" s="196" t="s">
        <v>356</v>
      </c>
      <c r="G10" s="197">
        <f>SUMIF(I1:I5,F10,J1:J5)</f>
        <v>0</v>
      </c>
    </row>
    <row r="11" spans="1:10">
      <c r="A11" s="194" t="str">
        <f>IF(B11="","",(VLOOKUP(B:B,'0.39'!B:C,2,FALSE)))</f>
        <v/>
      </c>
      <c r="B11" s="193" t="str">
        <f t="array" ref="B11">IF( ISERROR(INDEX($F$1:$F$19,SMALL(IF($G$1:$G$19&lt;&gt;0,ROW($G$1:$G$19)),ROW(B11)))),"",INDEX($F$1:$F$19,SMALL(IF($G$1:$G$19&lt;&gt;0,ROW($G$1:$G$19)),ROW(B11))))</f>
        <v/>
      </c>
      <c r="C11" s="193" t="str">
        <f t="array" ref="C11">IF( ISERROR(INDEX($G$1:$G$19,SMALL(IF($G$1:$G$19&lt;&gt;0,ROW($G$1:$G$19)),ROW(C11)))),"",INDEX($G$1:$G$19,SMALL(IF($G$1:$G$19&lt;&gt;0,ROW($G$1:$G$19)),ROW(C11))))</f>
        <v/>
      </c>
      <c r="F11" s="196" t="s">
        <v>357</v>
      </c>
      <c r="G11" s="197">
        <f>SUMIF(I1:I5,F11,J1:J5)</f>
        <v>0</v>
      </c>
    </row>
    <row r="12" spans="1:10">
      <c r="A12" s="194" t="str">
        <f>IF(B12="","",(VLOOKUP(B:B,'0.39'!B:C,2,FALSE)))</f>
        <v/>
      </c>
      <c r="B12" s="193" t="str">
        <f t="array" ref="B12">IF( ISERROR(INDEX($F$1:$F$19,SMALL(IF($G$1:$G$19&lt;&gt;0,ROW($G$1:$G$19)),ROW(B12)))),"",INDEX($F$1:$F$19,SMALL(IF($G$1:$G$19&lt;&gt;0,ROW($G$1:$G$19)),ROW(B12))))</f>
        <v/>
      </c>
      <c r="C12" s="193" t="str">
        <f t="array" ref="C12">IF( ISERROR(INDEX($G$1:$G$19,SMALL(IF($G$1:$G$19&lt;&gt;0,ROW($G$1:$G$19)),ROW(C12)))),"",INDEX($G$1:$G$19,SMALL(IF($G$1:$G$19&lt;&gt;0,ROW($G$1:$G$19)),ROW(C12))))</f>
        <v/>
      </c>
      <c r="F12" s="196" t="s">
        <v>358</v>
      </c>
      <c r="G12" s="197">
        <f>SUMIF(I1:I5,F12,J1:J5)</f>
        <v>0</v>
      </c>
    </row>
    <row r="13" spans="1:10">
      <c r="A13" s="194" t="str">
        <f>IF(B13="","",(VLOOKUP(B:B,'0.39'!B:C,2,FALSE)))</f>
        <v/>
      </c>
      <c r="B13" s="193" t="str">
        <f t="array" ref="B13">IF( ISERROR(INDEX($F$1:$F$19,SMALL(IF($G$1:$G$19&lt;&gt;0,ROW($G$1:$G$19)),ROW(B13)))),"",INDEX($F$1:$F$19,SMALL(IF($G$1:$G$19&lt;&gt;0,ROW($G$1:$G$19)),ROW(B13))))</f>
        <v/>
      </c>
      <c r="C13" s="193" t="str">
        <f t="array" ref="C13">IF( ISERROR(INDEX($G$1:$G$19,SMALL(IF($G$1:$G$19&lt;&gt;0,ROW($G$1:$G$19)),ROW(C13)))),"",INDEX($G$1:$G$19,SMALL(IF($G$1:$G$19&lt;&gt;0,ROW($G$1:$G$19)),ROW(C13))))</f>
        <v/>
      </c>
      <c r="F13" s="196" t="s">
        <v>359</v>
      </c>
      <c r="G13" s="197">
        <f>SUMIF(I1:I5,F13,J1:J5)</f>
        <v>0</v>
      </c>
    </row>
    <row r="14" spans="1:10">
      <c r="A14" s="194" t="str">
        <f>IF(B14="","",(VLOOKUP(B:B,'0.39'!B:C,2,FALSE)))</f>
        <v/>
      </c>
      <c r="B14" s="193" t="str">
        <f t="array" ref="B14">IF( ISERROR(INDEX($F$1:$F$19,SMALL(IF($G$1:$G$19&lt;&gt;0,ROW($G$1:$G$19)),ROW(B14)))),"",INDEX($F$1:$F$19,SMALL(IF($G$1:$G$19&lt;&gt;0,ROW($G$1:$G$19)),ROW(B14))))</f>
        <v/>
      </c>
      <c r="C14" s="193" t="str">
        <f t="array" ref="C14">IF( ISERROR(INDEX($G$1:$G$19,SMALL(IF($G$1:$G$19&lt;&gt;0,ROW($G$1:$G$19)),ROW(C14)))),"",INDEX($G$1:$G$19,SMALL(IF($G$1:$G$19&lt;&gt;0,ROW($G$1:$G$19)),ROW(C14))))</f>
        <v/>
      </c>
      <c r="F14" s="196" t="s">
        <v>360</v>
      </c>
      <c r="G14" s="197">
        <f>SUMIF(I1:I5,F14,J1:J5)</f>
        <v>0</v>
      </c>
    </row>
    <row r="15" spans="1:10">
      <c r="A15" s="194" t="str">
        <f>IF(B15="","",(VLOOKUP(B:B,'0.39'!B:C,2,FALSE)))</f>
        <v/>
      </c>
      <c r="B15" s="193" t="str">
        <f t="array" ref="B15">IF( ISERROR(INDEX($F$1:$F$19,SMALL(IF($G$1:$G$19&lt;&gt;0,ROW($G$1:$G$19)),ROW(B15)))),"",INDEX($F$1:$F$19,SMALL(IF($G$1:$G$19&lt;&gt;0,ROW($G$1:$G$19)),ROW(B15))))</f>
        <v/>
      </c>
      <c r="C15" s="193" t="str">
        <f t="array" ref="C15">IF( ISERROR(INDEX($G$1:$G$19,SMALL(IF($G$1:$G$19&lt;&gt;0,ROW($G$1:$G$19)),ROW(C15)))),"",INDEX($G$1:$G$19,SMALL(IF($G$1:$G$19&lt;&gt;0,ROW($G$1:$G$19)),ROW(C15))))</f>
        <v/>
      </c>
      <c r="F15" s="196" t="s">
        <v>361</v>
      </c>
      <c r="G15" s="197">
        <f>SUMIF(I1:I5,F15,J1:J5)</f>
        <v>0</v>
      </c>
    </row>
    <row r="16" spans="1:10">
      <c r="A16" s="194" t="str">
        <f>IF(B16="","",(VLOOKUP(B:B,'0.39'!B:C,2,FALSE)))</f>
        <v/>
      </c>
      <c r="B16" s="193" t="str">
        <f t="array" ref="B16">IF( ISERROR(INDEX($F$1:$F$19,SMALL(IF($G$1:$G$19&lt;&gt;0,ROW($G$1:$G$19)),ROW(B16)))),"",INDEX($F$1:$F$19,SMALL(IF($G$1:$G$19&lt;&gt;0,ROW($G$1:$G$19)),ROW(B16))))</f>
        <v/>
      </c>
      <c r="C16" s="193" t="str">
        <f t="array" ref="C16">IF( ISERROR(INDEX($G$1:$G$19,SMALL(IF($G$1:$G$19&lt;&gt;0,ROW($G$1:$G$19)),ROW(C16)))),"",INDEX($G$1:$G$19,SMALL(IF($G$1:$G$19&lt;&gt;0,ROW($G$1:$G$19)),ROW(C16))))</f>
        <v/>
      </c>
      <c r="F16" s="196" t="s">
        <v>362</v>
      </c>
      <c r="G16" s="197">
        <f>SUMIF(I1:I5,F16,J1:J5)</f>
        <v>0</v>
      </c>
    </row>
    <row r="17" spans="1:7">
      <c r="A17" s="194" t="str">
        <f>IF(B17="","",(VLOOKUP(B:B,'0.39'!B:C,2,FALSE)))</f>
        <v/>
      </c>
      <c r="B17" s="193" t="str">
        <f t="array" ref="B17">IF( ISERROR(INDEX($F$1:$F$19,SMALL(IF($G$1:$G$19&lt;&gt;0,ROW($G$1:$G$19)),ROW(B17)))),"",INDEX($F$1:$F$19,SMALL(IF($G$1:$G$19&lt;&gt;0,ROW($G$1:$G$19)),ROW(B17))))</f>
        <v/>
      </c>
      <c r="C17" s="193" t="str">
        <f t="array" ref="C17">IF( ISERROR(INDEX($G$1:$G$19,SMALL(IF($G$1:$G$19&lt;&gt;0,ROW($G$1:$G$19)),ROW(C17)))),"",INDEX($G$1:$G$19,SMALL(IF($G$1:$G$19&lt;&gt;0,ROW($G$1:$G$19)),ROW(C17))))</f>
        <v/>
      </c>
      <c r="F17" s="196" t="s">
        <v>363</v>
      </c>
      <c r="G17" s="197">
        <f>SUMIF(I1:I5,F17,J1:J5)</f>
        <v>0</v>
      </c>
    </row>
    <row r="18" spans="1:7">
      <c r="A18" s="194" t="str">
        <f>IF(B18="","",(VLOOKUP(B:B,'0.39'!B:C,2,FALSE)))</f>
        <v/>
      </c>
      <c r="B18" s="193" t="str">
        <f t="array" ref="B18">IF( ISERROR(INDEX($F$1:$F$19,SMALL(IF($G$1:$G$19&lt;&gt;0,ROW($G$1:$G$19)),ROW(B18)))),"",INDEX($F$1:$F$19,SMALL(IF($G$1:$G$19&lt;&gt;0,ROW($G$1:$G$19)),ROW(B18))))</f>
        <v/>
      </c>
      <c r="C18" s="193" t="str">
        <f t="array" ref="C18">IF( ISERROR(INDEX($G$1:$G$19,SMALL(IF($G$1:$G$19&lt;&gt;0,ROW($G$1:$G$19)),ROW(C18)))),"",INDEX($G$1:$G$19,SMALL(IF($G$1:$G$19&lt;&gt;0,ROW($G$1:$G$19)),ROW(C18))))</f>
        <v/>
      </c>
      <c r="F18" s="196" t="s">
        <v>364</v>
      </c>
      <c r="G18" s="197">
        <f>SUMIF(I1:I5,F18,J1:J5)</f>
        <v>0</v>
      </c>
    </row>
    <row r="19" spans="1:7">
      <c r="A19" s="194" t="str">
        <f>IF(B19="","",(VLOOKUP(B:B,'0.39'!B:C,2,FALSE)))</f>
        <v/>
      </c>
      <c r="B19" s="193" t="str">
        <f t="array" ref="B19">IF( ISERROR(INDEX($F$1:$F$19,SMALL(IF($G$1:$G$19&lt;&gt;0,ROW($G$1:$G$19)),ROW(B19)))),"",INDEX($F$1:$F$19,SMALL(IF($G$1:$G$19&lt;&gt;0,ROW($G$1:$G$19)),ROW(B19))))</f>
        <v/>
      </c>
      <c r="C19" s="193" t="str">
        <f t="array" ref="C19">IF( ISERROR(INDEX($G$1:$G$19,SMALL(IF($G$1:$G$19&lt;&gt;0,ROW($G$1:$G$19)),ROW(C19)))),"",INDEX($G$1:$G$19,SMALL(IF($G$1:$G$19&lt;&gt;0,ROW($G$1:$G$19)),ROW(C19))))</f>
        <v/>
      </c>
      <c r="F19" s="196" t="s">
        <v>365</v>
      </c>
      <c r="G19" s="197">
        <f>SUMIF(I1:I5,F19,J1:J5)</f>
        <v>0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K25"/>
  <sheetViews>
    <sheetView zoomScaleNormal="100" workbookViewId="0">
      <selection activeCell="C9" sqref="C9:C25"/>
    </sheetView>
  </sheetViews>
  <sheetFormatPr defaultRowHeight="16.5"/>
  <cols>
    <col min="1" max="1" width="38.875" bestFit="1" customWidth="1"/>
    <col min="2" max="2" width="12.625" bestFit="1" customWidth="1"/>
    <col min="3" max="3" width="7.625" bestFit="1" customWidth="1"/>
    <col min="4" max="4" width="5.25" style="1" bestFit="1" customWidth="1"/>
    <col min="6" max="7" width="20.375" bestFit="1" customWidth="1"/>
    <col min="8" max="8" width="8.125" style="22" bestFit="1" customWidth="1"/>
    <col min="9" max="9" width="5.25" bestFit="1" customWidth="1"/>
  </cols>
  <sheetData>
    <row r="1" spans="1:11">
      <c r="A1" s="397" t="str">
        <f>IF(B1="","",(VLOOKUP(B:B,'0.39'!B:F,5,FALSE)))</f>
        <v xml:space="preserve">Air Vent </v>
      </c>
      <c r="B1" s="597" t="str">
        <f t="array" ref="B1">IF( ISERROR(INDEX($G$1:$G$16,SMALL(IF($H$1:$H$16&lt;&gt;0,ROW($H$1:$H$16)),ROW(B1)))),"",INDEX($G$1:$G$16,SMALL(IF($H$1:$H$16&lt;&gt;0,ROW($H$1:$H$16)),ROW(B1))))</f>
        <v>WAV-0100A</v>
      </c>
      <c r="C1" s="597">
        <f t="array" ref="C1">IF( ISERROR(INDEX($H$1:$H$16,SMALL(IF($H$1:$H$16&lt;&gt;0,ROW($H$1:$H$16)),ROW(C1)))),"",INDEX($H$1:$H$16,SMALL(IF($H$1:$H$16&lt;&gt;0,ROW($H$1:$H$16)),ROW(C1))))</f>
        <v>2</v>
      </c>
      <c r="D1" s="132"/>
      <c r="E1" s="133"/>
      <c r="F1" s="397" t="s">
        <v>1248</v>
      </c>
      <c r="G1" s="597" t="str">
        <f>IF(BASIC_TOOL!H11&lt;100,"WAV-0050A","WAV-0100A")</f>
        <v>WAV-0100A</v>
      </c>
      <c r="H1" s="598">
        <f>CEILING(W_C*L1_C/30,1)+CEILING(W_C*L2_C/30,1)+CEILING(W_C*L3_C/30,1)+CEILING(W_C*L4_C/30,1)</f>
        <v>2</v>
      </c>
      <c r="I1" s="133"/>
      <c r="J1" s="133"/>
      <c r="K1" s="133"/>
    </row>
    <row r="2" spans="1:11">
      <c r="A2" s="397" t="str">
        <f>IF(B2="","",(VLOOKUP(B:B,'0.39'!B:F,5,FALSE)))</f>
        <v>Roof Supporter(3.0mH)</v>
      </c>
      <c r="B2" s="597" t="str">
        <f t="array" ref="B2">IF( ISERROR(INDEX($G$1:$G$16,SMALL(IF($H$1:$H$16&lt;&gt;0,ROW($H$1:$H$16)),ROW(B2)))),"",INDEX($G$1:$G$16,SMALL(IF($H$1:$H$16&lt;&gt;0,ROW($H$1:$H$16)),ROW(B2))))</f>
        <v>WRS-3000F</v>
      </c>
      <c r="C2" s="597">
        <f t="array" ref="C2">IF( ISERROR(INDEX($H$1:$H$16,SMALL(IF($H$1:$H$16&lt;&gt;0,ROW($H$1:$H$16)),ROW(C2)))),"",INDEX($H$1:$H$16,SMALL(IF($H$1:$H$16&lt;&gt;0,ROW($H$1:$H$16)),ROW(C2))))</f>
        <v>9</v>
      </c>
      <c r="D2" s="132"/>
      <c r="E2" s="133"/>
      <c r="F2" s="397" t="s">
        <v>1249</v>
      </c>
      <c r="G2" s="597" t="str">
        <f>"WRS-"&amp;H_O*1000&amp;"F"</f>
        <v>WRS-3000F</v>
      </c>
      <c r="H2" s="598">
        <f>ROUNDUP((W_C+W_F-1)*(L1_C+L1_F-1)/4,0)
+IF(L2_O&gt;0,ROUNDUP((W_O-1)*(L2_O-1)/4,0),0)
+IF(L3_O&gt;0,ROUNDDOWN((W_O-2)*(L3_O-2)/4,0),0)
+IF(L4_O&gt;0,ROUNDDOWN((W_O-2)*(L4_O-2)/4,0),0)</f>
        <v>9</v>
      </c>
      <c r="I2" s="133"/>
      <c r="J2" s="133"/>
      <c r="K2" s="133"/>
    </row>
    <row r="3" spans="1:11">
      <c r="A3" s="397" t="str">
        <f>IF(B3="","",(VLOOKUP(B:B,'0.39'!B:F,5,FALSE)))</f>
        <v>Internal Ladder(3.0mH)</v>
      </c>
      <c r="B3" s="597" t="str">
        <f t="array" ref="B3">IF( ISERROR(INDEX($G$1:$G$16,SMALL(IF($H$1:$H$16&lt;&gt;0,ROW($H$1:$H$16)),ROW(B3)))),"",INDEX($G$1:$G$16,SMALL(IF($H$1:$H$16&lt;&gt;0,ROW($H$1:$H$16)),ROW(B3))))</f>
        <v>WLD-3000FI</v>
      </c>
      <c r="C3" s="597">
        <f t="array" ref="C3">IF( ISERROR(INDEX($H$1:$H$16,SMALL(IF($H$1:$H$16&lt;&gt;0,ROW($H$1:$H$16)),ROW(C3)))),"",INDEX($H$1:$H$16,SMALL(IF($H$1:$H$16&lt;&gt;0,ROW($H$1:$H$16)),ROW(C3))))</f>
        <v>1</v>
      </c>
      <c r="D3" s="132"/>
      <c r="E3" s="133"/>
      <c r="F3" s="397" t="s">
        <v>244</v>
      </c>
      <c r="G3" s="597" t="str">
        <f>"WLD-"&amp;H_O*1000&amp;"FI"</f>
        <v>WLD-3000FI</v>
      </c>
      <c r="H3" s="598">
        <f>N_PA+1</f>
        <v>1</v>
      </c>
      <c r="I3" s="133"/>
      <c r="J3" s="133"/>
      <c r="K3" s="133"/>
    </row>
    <row r="4" spans="1:11">
      <c r="A4" s="397" t="str">
        <f>IF(B4="","",(VLOOKUP(B:B,'0.39'!B:F,5,FALSE)))</f>
        <v>EX-Ladder(3mH)</v>
      </c>
      <c r="B4" s="597" t="str">
        <f t="array" ref="B4">IF( ISERROR(INDEX($G$1:$G$16,SMALL(IF($H$1:$H$16&lt;&gt;0,ROW($H$1:$H$16)),ROW(B4)))),"",INDEX($G$1:$G$16,SMALL(IF($H$1:$H$16&lt;&gt;0,ROW($H$1:$H$16)),ROW(B4))))</f>
        <v>WLD-3000ZO</v>
      </c>
      <c r="C4" s="597">
        <f t="array" ref="C4">IF( ISERROR(INDEX($H$1:$H$16,SMALL(IF($H$1:$H$16&lt;&gt;0,ROW($H$1:$H$16)),ROW(C4)))),"",INDEX($H$1:$H$16,SMALL(IF($H$1:$H$16&lt;&gt;0,ROW($H$1:$H$16)),ROW(C4))))</f>
        <v>1</v>
      </c>
      <c r="D4" s="132"/>
      <c r="E4" s="133"/>
      <c r="F4" s="397" t="s">
        <v>1250</v>
      </c>
      <c r="G4" s="597" t="str">
        <f>"WLD-"&amp;H_O*1000&amp;"ZO"</f>
        <v>WLD-3000ZO</v>
      </c>
      <c r="H4" s="598">
        <v>1</v>
      </c>
      <c r="I4" s="133"/>
      <c r="J4" s="133"/>
      <c r="K4" s="133"/>
    </row>
    <row r="5" spans="1:11">
      <c r="A5" s="397" t="str">
        <f>IF(B5="","",(VLOOKUP(B:B,'0.39'!B:F,5,FALSE)))</f>
        <v>Silicon</v>
      </c>
      <c r="B5" s="597" t="str">
        <f t="array" ref="B5">IF( ISERROR(INDEX($G$1:$G$16,SMALL(IF($H$1:$H$16&lt;&gt;0,ROW($H$1:$H$16)),ROW(B5)))),"",INDEX($G$1:$G$16,SMALL(IF($H$1:$H$16&lt;&gt;0,ROW($H$1:$H$16)),ROW(B5))))</f>
        <v>Silicon</v>
      </c>
      <c r="C5" s="597">
        <f t="array" ref="C5">IF( ISERROR(INDEX($H$1:$H$16,SMALL(IF($H$1:$H$16&lt;&gt;0,ROW($H$1:$H$16)),ROW(C5)))),"",INDEX($H$1:$H$16,SMALL(IF($H$1:$H$16&lt;&gt;0,ROW($H$1:$H$16)),ROW(C5))))</f>
        <v>5</v>
      </c>
      <c r="D5" s="132"/>
      <c r="E5" s="133"/>
      <c r="F5" s="397" t="s">
        <v>996</v>
      </c>
      <c r="G5" s="597" t="s">
        <v>996</v>
      </c>
      <c r="H5" s="598">
        <f>ROUNDUP(0.1*(W_C+W_F)*(L_O_C+L_O_F),0)</f>
        <v>5</v>
      </c>
      <c r="I5" s="133"/>
      <c r="J5" s="133"/>
      <c r="K5" s="133"/>
    </row>
    <row r="6" spans="1:11">
      <c r="A6" s="397" t="str">
        <f>IF(B6="","",(VLOOKUP(B:B,'0.39'!B:F,5,FALSE)))</f>
        <v>Level Indicator</v>
      </c>
      <c r="B6" s="597" t="str">
        <f t="array" ref="B6">IF( ISERROR(INDEX($G$1:$G$16,SMALL(IF($H$1:$H$16&lt;&gt;0,ROW($H$1:$H$16)),ROW(B6)))),"",INDEX($G$1:$G$16,SMALL(IF($H$1:$H$16&lt;&gt;0,ROW($H$1:$H$16)),ROW(B6))))</f>
        <v>WLV-3000SET(G)</v>
      </c>
      <c r="C6" s="597">
        <f t="array" ref="C6">IF( ISERROR(INDEX($H$1:$H$16,SMALL(IF($H$1:$H$16&lt;&gt;0,ROW($H$1:$H$16)),ROW(C6)))),"",INDEX($H$1:$H$16,SMALL(IF($H$1:$H$16&lt;&gt;0,ROW($H$1:$H$16)),ROW(C6))))</f>
        <v>1</v>
      </c>
      <c r="D6" s="132"/>
      <c r="E6" s="133"/>
      <c r="F6" s="397" t="s">
        <v>77</v>
      </c>
      <c r="G6" s="597" t="str">
        <f>IF(BASIC_TOOL!B27=1,"WLV-"&amp;H_O*1000&amp;"SET(G)",IF(BASIC_TOOL!B27=2, "WLV-0000"&amp;"SET(S)",""))</f>
        <v>WLV-3000SET(G)</v>
      </c>
      <c r="H6" s="598">
        <f>N_PA+1</f>
        <v>1</v>
      </c>
      <c r="I6" s="133"/>
      <c r="J6" s="133"/>
      <c r="K6" s="133"/>
    </row>
    <row r="7" spans="1:11">
      <c r="A7" s="397" t="str">
        <f>IF(B7="","",(VLOOKUP(B:B,'0.39'!B:F,5,FALSE)))</f>
        <v>Sealing Tape</v>
      </c>
      <c r="B7" s="597" t="str">
        <f t="array" ref="B7">IF( ISERROR(INDEX($G$1:$G$16,SMALL(IF($H$1:$H$16&lt;&gt;0,ROW($H$1:$H$16)),ROW(B7)))),"",INDEX($G$1:$G$16,SMALL(IF($H$1:$H$16&lt;&gt;0,ROW($H$1:$H$16)),ROW(B7))))</f>
        <v>WST-0050RO</v>
      </c>
      <c r="C7" s="597">
        <f t="array" ref="C7">IF( ISERROR(INDEX($H$1:$H$16,SMALL(IF($H$1:$H$16&lt;&gt;0,ROW($H$1:$H$16)),ROW(C7)))),"",INDEX($H$1:$H$16,SMALL(IF($H$1:$H$16&lt;&gt;0,ROW($H$1:$H$16)),ROW(C7))))</f>
        <v>658.48</v>
      </c>
      <c r="D7" s="132"/>
      <c r="E7" s="133"/>
      <c r="F7" s="397" t="s">
        <v>1251</v>
      </c>
      <c r="G7" s="597" t="s">
        <v>1252</v>
      </c>
      <c r="H7" s="599">
        <f>Panel2!AB5+Internal_Reinforcing!AB25</f>
        <v>658.48</v>
      </c>
      <c r="I7" s="133"/>
      <c r="J7" s="133">
        <f>(W_O*(L1_C+L1_F+L2_C+L2_F+L3_C+L3_F+L4_C+L4_F+1)+L_O*(W_C+W_F+1))</f>
        <v>115</v>
      </c>
      <c r="K7" s="133"/>
    </row>
    <row r="8" spans="1:11">
      <c r="A8" s="397" t="str">
        <f>IF(B8="","",(VLOOKUP(B:B,'0.39'!B:F,5,FALSE)))</f>
        <v>Sealing Tape</v>
      </c>
      <c r="B8" s="597" t="str">
        <f t="array" ref="B8">IF( ISERROR(INDEX($G$1:$G$16,SMALL(IF($H$1:$H$16&lt;&gt;0,ROW($H$1:$H$16)),ROW(B8)))),"",INDEX($G$1:$G$16,SMALL(IF($H$1:$H$16&lt;&gt;0,ROW($H$1:$H$16)),ROW(B8))))</f>
        <v>WST-0120RO</v>
      </c>
      <c r="C8" s="597">
        <f t="array" ref="C8">IF( ISERROR(INDEX($H$1:$H$16,SMALL(IF($H$1:$H$16&lt;&gt;0,ROW($H$1:$H$16)),ROW(C8)))),"",INDEX($H$1:$H$16,SMALL(IF($H$1:$H$16&lt;&gt;0,ROW($H$1:$H$16)),ROW(C8))))</f>
        <v>13</v>
      </c>
      <c r="D8" s="132"/>
      <c r="E8" s="133"/>
      <c r="F8" s="397" t="s">
        <v>1253</v>
      </c>
      <c r="G8" s="597" t="s">
        <v>1254</v>
      </c>
      <c r="H8" s="599">
        <f>4*H_O+1</f>
        <v>13</v>
      </c>
      <c r="I8" s="133"/>
      <c r="J8" s="133">
        <f>H_O*(W_C+W_F+1)*(2+N_PA)</f>
        <v>66</v>
      </c>
      <c r="K8" s="133"/>
    </row>
    <row r="9" spans="1:11">
      <c r="A9" s="397" t="str">
        <f>IF(B9="","",(VLOOKUP(B:B,'0.39'!B:F,5,FALSE)))</f>
        <v/>
      </c>
      <c r="B9" s="597" t="str">
        <f t="array" ref="B9">IF( ISERROR(INDEX($G$1:$G$16,SMALL(IF($H$1:$H$16&lt;&gt;0,ROW($H$1:$H$16)),ROW(B9)))),"",INDEX($G$1:$G$16,SMALL(IF($H$1:$H$16&lt;&gt;0,ROW($H$1:$H$16)),ROW(B9))))</f>
        <v/>
      </c>
      <c r="C9" s="597" t="str">
        <f t="array" ref="C9">IF( ISERROR(INDEX($H$1:$H$16,SMALL(IF($H$1:$H$16&lt;&gt;0,ROW($H$1:$H$16)),ROW(C9)))),"",INDEX($H$1:$H$16,SMALL(IF($H$1:$H$16&lt;&gt;0,ROW($H$1:$H$16)),ROW(C9))))</f>
        <v/>
      </c>
      <c r="D9" s="132"/>
      <c r="E9" s="133"/>
      <c r="F9" s="133"/>
      <c r="G9" s="133"/>
      <c r="H9" s="134"/>
      <c r="I9" s="133"/>
      <c r="J9" s="133">
        <f>H_O*(L1_C+L2_C+L3_C+L4_C+L1_F+L2_F+L3_F+L4_F+1)*2</f>
        <v>36</v>
      </c>
      <c r="K9" s="133"/>
    </row>
    <row r="10" spans="1:11">
      <c r="A10" s="397" t="str">
        <f>IF(B10="","",(VLOOKUP(B:B,'0.39'!B:F,5,FALSE)))</f>
        <v/>
      </c>
      <c r="B10" s="597" t="str">
        <f t="array" ref="B10">IF( ISERROR(INDEX($G$1:$G$16,SMALL(IF($H$1:$H$16&lt;&gt;0,ROW($H$1:$H$16)),ROW(B10)))),"",INDEX($G$1:$G$16,SMALL(IF($H$1:$H$16&lt;&gt;0,ROW($H$1:$H$16)),ROW(B10))))</f>
        <v/>
      </c>
      <c r="C10" s="597" t="str">
        <f t="array" ref="C10">IF( ISERROR(INDEX($H$1:$H$16,SMALL(IF($H$1:$H$16&lt;&gt;0,ROW($H$1:$H$16)),ROW(C10)))),"",INDEX($H$1:$H$16,SMALL(IF($H$1:$H$16&lt;&gt;0,ROW($H$1:$H$16)),ROW(C10))))</f>
        <v/>
      </c>
      <c r="D10" s="132"/>
      <c r="E10" s="133"/>
      <c r="F10" s="133"/>
      <c r="G10" s="133"/>
      <c r="H10" s="134"/>
      <c r="I10" s="133"/>
      <c r="J10" s="133"/>
      <c r="K10" s="133"/>
    </row>
    <row r="11" spans="1:11">
      <c r="A11" s="397" t="str">
        <f>IF(B11="","",(VLOOKUP(B:B,'0.39'!B:F,5,FALSE)))</f>
        <v/>
      </c>
      <c r="B11" s="597" t="str">
        <f t="array" ref="B11">IF( ISERROR(INDEX($G$1:$G$16,SMALL(IF($H$1:$H$16&lt;&gt;0,ROW($H$1:$H$16)),ROW(B11)))),"",INDEX($G$1:$G$16,SMALL(IF($H$1:$H$16&lt;&gt;0,ROW($H$1:$H$16)),ROW(B11))))</f>
        <v/>
      </c>
      <c r="C11" s="597" t="str">
        <f t="array" ref="C11">IF( ISERROR(INDEX($H$1:$H$16,SMALL(IF($H$1:$H$16&lt;&gt;0,ROW($H$1:$H$16)),ROW(C11)))),"",INDEX($H$1:$H$16,SMALL(IF($H$1:$H$16&lt;&gt;0,ROW($H$1:$H$16)),ROW(C11))))</f>
        <v/>
      </c>
      <c r="D11" s="132"/>
      <c r="E11" s="133"/>
      <c r="F11" s="133"/>
      <c r="G11" s="133"/>
      <c r="H11" s="134"/>
      <c r="I11" s="133"/>
      <c r="J11" s="133"/>
      <c r="K11" s="133"/>
    </row>
    <row r="12" spans="1:11">
      <c r="A12" s="397" t="str">
        <f>IF(B12="","",(VLOOKUP(B:B,'0.39'!B:F,5,FALSE)))</f>
        <v/>
      </c>
      <c r="B12" s="597" t="str">
        <f t="array" ref="B12">IF( ISERROR(INDEX($G$1:$G$16,SMALL(IF($H$1:$H$16&lt;&gt;0,ROW($H$1:$H$16)),ROW(B12)))),"",INDEX($G$1:$G$16,SMALL(IF($H$1:$H$16&lt;&gt;0,ROW($H$1:$H$16)),ROW(B12))))</f>
        <v/>
      </c>
      <c r="C12" s="597" t="str">
        <f t="array" ref="C12">IF( ISERROR(INDEX($H$1:$H$16,SMALL(IF($H$1:$H$16&lt;&gt;0,ROW($H$1:$H$16)),ROW(C12)))),"",INDEX($H$1:$H$16,SMALL(IF($H$1:$H$16&lt;&gt;0,ROW($H$1:$H$16)),ROW(C12))))</f>
        <v/>
      </c>
      <c r="D12" s="132"/>
      <c r="E12" s="133"/>
      <c r="F12" s="133"/>
      <c r="G12" s="133"/>
      <c r="H12" s="134"/>
      <c r="I12" s="133"/>
      <c r="J12" s="133"/>
      <c r="K12" s="133"/>
    </row>
    <row r="13" spans="1:11">
      <c r="A13" s="397" t="str">
        <f>IF(B13="","",(VLOOKUP(B:B,'0.39'!B:F,5,FALSE)))</f>
        <v/>
      </c>
      <c r="B13" s="597" t="str">
        <f t="array" ref="B13">IF( ISERROR(INDEX($G$1:$G$16,SMALL(IF($H$1:$H$16&lt;&gt;0,ROW($H$1:$H$16)),ROW(B13)))),"",INDEX($G$1:$G$16,SMALL(IF($H$1:$H$16&lt;&gt;0,ROW($H$1:$H$16)),ROW(B13))))</f>
        <v/>
      </c>
      <c r="C13" s="597" t="str">
        <f t="array" ref="C13">IF( ISERROR(INDEX($H$1:$H$16,SMALL(IF($H$1:$H$16&lt;&gt;0,ROW($H$1:$H$16)),ROW(C13)))),"",INDEX($H$1:$H$16,SMALL(IF($H$1:$H$16&lt;&gt;0,ROW($H$1:$H$16)),ROW(C13))))</f>
        <v/>
      </c>
      <c r="D13" s="132"/>
      <c r="E13" s="133"/>
      <c r="F13" s="133"/>
      <c r="G13" s="133"/>
      <c r="H13" s="134"/>
      <c r="I13" s="133"/>
      <c r="J13" s="133"/>
      <c r="K13" s="133"/>
    </row>
    <row r="14" spans="1:11">
      <c r="A14" s="397" t="str">
        <f>IF(B14="","",(VLOOKUP(B:B,'0.39'!B:F,5,FALSE)))</f>
        <v/>
      </c>
      <c r="B14" s="597" t="str">
        <f t="array" ref="B14">IF( ISERROR(INDEX($G$1:$G$16,SMALL(IF($H$1:$H$16&lt;&gt;0,ROW($H$1:$H$16)),ROW(B14)))),"",INDEX($G$1:$G$16,SMALL(IF($H$1:$H$16&lt;&gt;0,ROW($H$1:$H$16)),ROW(B14))))</f>
        <v/>
      </c>
      <c r="C14" s="597" t="str">
        <f t="array" ref="C14">IF( ISERROR(INDEX($H$1:$H$16,SMALL(IF($H$1:$H$16&lt;&gt;0,ROW($H$1:$H$16)),ROW(C14)))),"",INDEX($H$1:$H$16,SMALL(IF($H$1:$H$16&lt;&gt;0,ROW($H$1:$H$16)),ROW(C14))))</f>
        <v/>
      </c>
      <c r="D14" s="132"/>
      <c r="E14" s="133"/>
      <c r="F14" s="133"/>
      <c r="G14" s="135"/>
      <c r="H14" s="134"/>
      <c r="I14" s="133"/>
      <c r="J14" s="133"/>
      <c r="K14" s="133"/>
    </row>
    <row r="15" spans="1:11">
      <c r="A15" s="397" t="str">
        <f>IF(B15="","",(VLOOKUP(B:B,'0.39'!B:F,5,FALSE)))</f>
        <v/>
      </c>
      <c r="B15" s="597" t="str">
        <f t="array" ref="B15">IF( ISERROR(INDEX($G$1:$G$16,SMALL(IF($H$1:$H$16&lt;&gt;0,ROW($H$1:$H$16)),ROW(B15)))),"",INDEX($G$1:$G$16,SMALL(IF($H$1:$H$16&lt;&gt;0,ROW($H$1:$H$16)),ROW(B15))))</f>
        <v/>
      </c>
      <c r="C15" s="597" t="str">
        <f t="array" ref="C15">IF( ISERROR(INDEX($H$1:$H$16,SMALL(IF($H$1:$H$16&lt;&gt;0,ROW($H$1:$H$16)),ROW(C15)))),"",INDEX($H$1:$H$16,SMALL(IF($H$1:$H$16&lt;&gt;0,ROW($H$1:$H$16)),ROW(C15))))</f>
        <v/>
      </c>
      <c r="D15" s="132"/>
      <c r="E15" s="133"/>
      <c r="F15" s="133"/>
      <c r="G15" s="135"/>
      <c r="H15" s="134"/>
      <c r="I15" s="133"/>
      <c r="J15" s="133"/>
      <c r="K15" s="133"/>
    </row>
    <row r="16" spans="1:11">
      <c r="A16" s="397" t="str">
        <f>IF(B16="","",(VLOOKUP(B:B,'0.39'!B:F,5,FALSE)))</f>
        <v/>
      </c>
      <c r="B16" s="597" t="str">
        <f t="array" ref="B16">IF( ISERROR(INDEX($G$1:$G$16,SMALL(IF($H$1:$H$16&lt;&gt;0,ROW($H$1:$H$16)),ROW(B16)))),"",INDEX($G$1:$G$16,SMALL(IF($H$1:$H$16&lt;&gt;0,ROW($H$1:$H$16)),ROW(B16))))</f>
        <v/>
      </c>
      <c r="C16" s="597" t="str">
        <f t="array" ref="C16">IF( ISERROR(INDEX($H$1:$H$16,SMALL(IF($H$1:$H$16&lt;&gt;0,ROW($H$1:$H$16)),ROW(C16)))),"",INDEX($H$1:$H$16,SMALL(IF($H$1:$H$16&lt;&gt;0,ROW($H$1:$H$16)),ROW(C16))))</f>
        <v/>
      </c>
      <c r="D16" s="132"/>
      <c r="E16" s="133"/>
      <c r="F16" s="136"/>
      <c r="G16" s="136"/>
      <c r="H16" s="137"/>
      <c r="I16" s="133"/>
      <c r="J16" s="133"/>
      <c r="K16" s="133"/>
    </row>
    <row r="17" spans="1:11">
      <c r="A17" s="397" t="str">
        <f>IF(B17="","",(VLOOKUP(B:B,'0.39'!B:F,5,FALSE)))</f>
        <v/>
      </c>
      <c r="B17" s="597" t="str">
        <f t="array" ref="B17">IF( ISERROR(INDEX($G$1:$G$16,SMALL(IF($H$1:$H$16&lt;&gt;0,ROW($H$1:$H$16)),ROW(B17)))),"",INDEX($G$1:$G$16,SMALL(IF($H$1:$H$16&lt;&gt;0,ROW($H$1:$H$16)),ROW(B17))))</f>
        <v/>
      </c>
      <c r="C17" s="597" t="str">
        <f t="array" ref="C17">IF( ISERROR(INDEX($H$1:$H$16,SMALL(IF($H$1:$H$16&lt;&gt;0,ROW($H$1:$H$16)),ROW(C17)))),"",INDEX($H$1:$H$16,SMALL(IF($H$1:$H$16&lt;&gt;0,ROW($H$1:$H$16)),ROW(C17))))</f>
        <v/>
      </c>
      <c r="D17" s="132"/>
      <c r="E17" s="133"/>
      <c r="F17" s="133"/>
      <c r="G17" s="133"/>
      <c r="H17" s="134"/>
      <c r="I17" s="133"/>
      <c r="J17" s="133"/>
      <c r="K17" s="133"/>
    </row>
    <row r="18" spans="1:11">
      <c r="A18" s="397" t="str">
        <f>IF(B18="","",(VLOOKUP(B:B,'0.39'!B:F,5,FALSE)))</f>
        <v/>
      </c>
      <c r="B18" s="597" t="str">
        <f t="array" ref="B18">IF( ISERROR(INDEX($G$1:$G$16,SMALL(IF($H$1:$H$16&lt;&gt;0,ROW($H$1:$H$16)),ROW(B18)))),"",INDEX($G$1:$G$16,SMALL(IF($H$1:$H$16&lt;&gt;0,ROW($H$1:$H$16)),ROW(B18))))</f>
        <v/>
      </c>
      <c r="C18" s="597" t="str">
        <f t="array" ref="C18">IF( ISERROR(INDEX($H$1:$H$16,SMALL(IF($H$1:$H$16&lt;&gt;0,ROW($H$1:$H$16)),ROW(C18)))),"",INDEX($H$1:$H$16,SMALL(IF($H$1:$H$16&lt;&gt;0,ROW($H$1:$H$16)),ROW(C18))))</f>
        <v/>
      </c>
      <c r="D18" s="132"/>
      <c r="E18" s="133"/>
      <c r="F18" s="133"/>
      <c r="G18" s="133"/>
      <c r="H18" s="134"/>
      <c r="I18" s="133"/>
      <c r="J18" s="133"/>
      <c r="K18" s="133"/>
    </row>
    <row r="19" spans="1:11">
      <c r="A19" s="397" t="str">
        <f>IF(B19="","",(VLOOKUP(B:B,'0.39'!B:F,5,FALSE)))</f>
        <v/>
      </c>
      <c r="B19" s="597" t="str">
        <f t="array" ref="B19">IF( ISERROR(INDEX($G$1:$G$16,SMALL(IF($H$1:$H$16&lt;&gt;0,ROW($H$1:$H$16)),ROW(B19)))),"",INDEX($G$1:$G$16,SMALL(IF($H$1:$H$16&lt;&gt;0,ROW($H$1:$H$16)),ROW(B19))))</f>
        <v/>
      </c>
      <c r="C19" s="597" t="str">
        <f t="array" ref="C19">IF( ISERROR(INDEX($H$1:$H$16,SMALL(IF($H$1:$H$16&lt;&gt;0,ROW($H$1:$H$16)),ROW(C19)))),"",INDEX($H$1:$H$16,SMALL(IF($H$1:$H$16&lt;&gt;0,ROW($H$1:$H$16)),ROW(C19))))</f>
        <v/>
      </c>
    </row>
    <row r="20" spans="1:11">
      <c r="A20" s="397" t="str">
        <f>IF(B20="","",(VLOOKUP(B:B,'0.39'!B:F,5,FALSE)))</f>
        <v/>
      </c>
      <c r="B20" s="597" t="str">
        <f t="array" ref="B20">IF( ISERROR(INDEX($G$1:$G$16,SMALL(IF($H$1:$H$16&lt;&gt;0,ROW($H$1:$H$16)),ROW(B20)))),"",INDEX($G$1:$G$16,SMALL(IF($H$1:$H$16&lt;&gt;0,ROW($H$1:$H$16)),ROW(B20))))</f>
        <v/>
      </c>
      <c r="C20" s="597" t="str">
        <f t="array" ref="C20">IF( ISERROR(INDEX($H$1:$H$16,SMALL(IF($H$1:$H$16&lt;&gt;0,ROW($H$1:$H$16)),ROW(C20)))),"",INDEX($H$1:$H$16,SMALL(IF($H$1:$H$16&lt;&gt;0,ROW($H$1:$H$16)),ROW(C20))))</f>
        <v/>
      </c>
    </row>
    <row r="21" spans="1:11">
      <c r="A21" s="397" t="str">
        <f>IF(B21="","",(VLOOKUP(B:B,'0.39'!B:F,5,FALSE)))</f>
        <v/>
      </c>
      <c r="B21" s="597" t="str">
        <f t="array" ref="B21">IF( ISERROR(INDEX($G$1:$G$16,SMALL(IF($H$1:$H$16&lt;&gt;0,ROW($H$1:$H$16)),ROW(B21)))),"",INDEX($G$1:$G$16,SMALL(IF($H$1:$H$16&lt;&gt;0,ROW($H$1:$H$16)),ROW(B21))))</f>
        <v/>
      </c>
      <c r="C21" s="597" t="str">
        <f t="array" ref="C21">IF( ISERROR(INDEX($H$1:$H$16,SMALL(IF($H$1:$H$16&lt;&gt;0,ROW($H$1:$H$16)),ROW(C21)))),"",INDEX($H$1:$H$16,SMALL(IF($H$1:$H$16&lt;&gt;0,ROW($H$1:$H$16)),ROW(C21))))</f>
        <v/>
      </c>
    </row>
    <row r="22" spans="1:11">
      <c r="A22" s="397" t="str">
        <f>IF(B22="","",(VLOOKUP(B:B,'0.39'!B:F,5,FALSE)))</f>
        <v/>
      </c>
      <c r="B22" s="597" t="str">
        <f t="array" ref="B22">IF( ISERROR(INDEX($G$1:$G$16,SMALL(IF($H$1:$H$16&lt;&gt;0,ROW($H$1:$H$16)),ROW(B22)))),"",INDEX($G$1:$G$16,SMALL(IF($H$1:$H$16&lt;&gt;0,ROW($H$1:$H$16)),ROW(B22))))</f>
        <v/>
      </c>
      <c r="C22" s="597" t="str">
        <f t="array" ref="C22">IF( ISERROR(INDEX($H$1:$H$16,SMALL(IF($H$1:$H$16&lt;&gt;0,ROW($H$1:$H$16)),ROW(C22)))),"",INDEX($H$1:$H$16,SMALL(IF($H$1:$H$16&lt;&gt;0,ROW($H$1:$H$16)),ROW(C22))))</f>
        <v/>
      </c>
    </row>
    <row r="23" spans="1:11">
      <c r="A23" s="397" t="str">
        <f>IF(B23="","",(VLOOKUP(B:B,'0.39'!B:F,5,FALSE)))</f>
        <v/>
      </c>
      <c r="B23" s="597" t="str">
        <f t="array" ref="B23">IF( ISERROR(INDEX($G$1:$G$16,SMALL(IF($H$1:$H$16&lt;&gt;0,ROW($H$1:$H$16)),ROW(B23)))),"",INDEX($G$1:$G$16,SMALL(IF($H$1:$H$16&lt;&gt;0,ROW($H$1:$H$16)),ROW(B23))))</f>
        <v/>
      </c>
      <c r="C23" s="597" t="str">
        <f t="array" ref="C23">IF( ISERROR(INDEX($H$1:$H$16,SMALL(IF($H$1:$H$16&lt;&gt;0,ROW($H$1:$H$16)),ROW(C23)))),"",INDEX($H$1:$H$16,SMALL(IF($H$1:$H$16&lt;&gt;0,ROW($H$1:$H$16)),ROW(C23))))</f>
        <v/>
      </c>
    </row>
    <row r="24" spans="1:11">
      <c r="A24" s="397" t="str">
        <f>IF(B24="","",(VLOOKUP(B:B,'0.39'!B:F,5,FALSE)))</f>
        <v/>
      </c>
      <c r="B24" s="597" t="str">
        <f t="array" ref="B24">IF( ISERROR(INDEX($G$1:$G$16,SMALL(IF($H$1:$H$16&lt;&gt;0,ROW($H$1:$H$16)),ROW(B24)))),"",INDEX($G$1:$G$16,SMALL(IF($H$1:$H$16&lt;&gt;0,ROW($H$1:$H$16)),ROW(B24))))</f>
        <v/>
      </c>
      <c r="C24" s="597" t="str">
        <f t="array" ref="C24">IF( ISERROR(INDEX($H$1:$H$16,SMALL(IF($H$1:$H$16&lt;&gt;0,ROW($H$1:$H$16)),ROW(C24)))),"",INDEX($H$1:$H$16,SMALL(IF($H$1:$H$16&lt;&gt;0,ROW($H$1:$H$16)),ROW(C24))))</f>
        <v/>
      </c>
    </row>
    <row r="25" spans="1:11">
      <c r="A25" s="397" t="str">
        <f>IF(B25="","",(VLOOKUP(B:B,'0.39'!B:F,5,FALSE)))</f>
        <v/>
      </c>
      <c r="B25" s="597" t="str">
        <f t="array" ref="B25">IF( ISERROR(INDEX($G$1:$G$16,SMALL(IF($H$1:$H$16&lt;&gt;0,ROW($H$1:$H$16)),ROW(B25)))),"",INDEX($G$1:$G$16,SMALL(IF($H$1:$H$16&lt;&gt;0,ROW($H$1:$H$16)),ROW(B25))))</f>
        <v/>
      </c>
      <c r="C25" s="597" t="str">
        <f t="array" ref="C25">IF( ISERROR(INDEX($H$1:$H$16,SMALL(IF($H$1:$H$16&lt;&gt;0,ROW($H$1:$H$16)),ROW(C25)))),"",INDEX($H$1:$H$16,SMALL(IF($H$1:$H$16&lt;&gt;0,ROW($H$1:$H$16)),ROW(C25))))</f>
        <v/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8ECA-49EC-4027-B4D4-71A1A4BAFE61}">
  <sheetPr codeName="Sheet13"/>
  <dimension ref="A2:B392"/>
  <sheetViews>
    <sheetView topLeftCell="A160" workbookViewId="0">
      <selection activeCell="A15" sqref="A15"/>
    </sheetView>
  </sheetViews>
  <sheetFormatPr defaultRowHeight="16.5"/>
  <cols>
    <col min="1" max="1" width="17.875" style="1343" bestFit="1" customWidth="1"/>
    <col min="2" max="2" width="9.375" style="1344" bestFit="1" customWidth="1"/>
  </cols>
  <sheetData>
    <row r="2" spans="1:2">
      <c r="A2" s="1339" t="s">
        <v>1815</v>
      </c>
      <c r="B2" s="1340">
        <v>0.123</v>
      </c>
    </row>
    <row r="3" spans="1:2">
      <c r="A3" s="1341" t="s">
        <v>1943</v>
      </c>
      <c r="B3" s="1342">
        <v>0.05</v>
      </c>
    </row>
    <row r="4" spans="1:2">
      <c r="A4" s="1339" t="s">
        <v>1790</v>
      </c>
      <c r="B4" s="1340">
        <v>0.4</v>
      </c>
    </row>
    <row r="5" spans="1:2">
      <c r="A5" s="1339" t="s">
        <v>1944</v>
      </c>
      <c r="B5" s="1340">
        <v>4.0000000000000008E-2</v>
      </c>
    </row>
    <row r="6" spans="1:2">
      <c r="A6" s="1339" t="s">
        <v>1792</v>
      </c>
      <c r="B6" s="1340">
        <v>0.2</v>
      </c>
    </row>
    <row r="7" spans="1:2">
      <c r="A7" s="1339" t="s">
        <v>1800</v>
      </c>
      <c r="B7" s="1340">
        <v>0.1</v>
      </c>
    </row>
    <row r="8" spans="1:2">
      <c r="A8" s="1343" t="s">
        <v>1779</v>
      </c>
      <c r="B8" s="1344">
        <v>1.06</v>
      </c>
    </row>
    <row r="9" spans="1:2">
      <c r="A9" s="1343" t="s">
        <v>1838</v>
      </c>
      <c r="B9" s="1344">
        <v>1.2</v>
      </c>
    </row>
    <row r="10" spans="1:2">
      <c r="A10" s="1110" t="s">
        <v>1838</v>
      </c>
      <c r="B10" s="1345">
        <v>1.2</v>
      </c>
    </row>
    <row r="11" spans="1:2">
      <c r="A11" s="1110" t="s">
        <v>1836</v>
      </c>
      <c r="B11" s="1345">
        <v>1.33</v>
      </c>
    </row>
    <row r="12" spans="1:2">
      <c r="A12" s="1110" t="s">
        <v>1841</v>
      </c>
      <c r="B12" s="1345">
        <v>0.54</v>
      </c>
    </row>
    <row r="13" spans="1:2">
      <c r="A13" s="1110" t="s">
        <v>1839</v>
      </c>
      <c r="B13" s="1345">
        <v>0.83</v>
      </c>
    </row>
    <row r="14" spans="1:2">
      <c r="A14" s="1110" t="s">
        <v>1840</v>
      </c>
      <c r="B14" s="1345">
        <v>1.17</v>
      </c>
    </row>
    <row r="15" spans="1:2">
      <c r="A15" s="1339" t="s">
        <v>1808</v>
      </c>
      <c r="B15" s="1340">
        <v>4.9000000000000004</v>
      </c>
    </row>
    <row r="16" spans="1:2">
      <c r="A16" s="1110" t="s">
        <v>10</v>
      </c>
      <c r="B16" s="1345">
        <v>0.35</v>
      </c>
    </row>
    <row r="17" spans="1:2">
      <c r="A17" s="1110" t="s">
        <v>9</v>
      </c>
      <c r="B17" s="1345">
        <v>0.74</v>
      </c>
    </row>
    <row r="18" spans="1:2">
      <c r="A18" s="1343" t="s">
        <v>1837</v>
      </c>
      <c r="B18" s="1344">
        <v>0.83</v>
      </c>
    </row>
    <row r="19" spans="1:2">
      <c r="A19" s="1343" t="s">
        <v>1958</v>
      </c>
      <c r="B19" s="1344">
        <v>0.96</v>
      </c>
    </row>
    <row r="20" spans="1:2">
      <c r="A20" s="1339" t="s">
        <v>1956</v>
      </c>
      <c r="B20" s="1345">
        <v>0.78</v>
      </c>
    </row>
    <row r="21" spans="1:2">
      <c r="A21" s="1339" t="s">
        <v>1957</v>
      </c>
      <c r="B21" s="1345">
        <v>0.78</v>
      </c>
    </row>
    <row r="22" spans="1:2">
      <c r="A22" s="1110" t="s">
        <v>2010</v>
      </c>
      <c r="B22" s="1345">
        <v>0.78</v>
      </c>
    </row>
    <row r="23" spans="1:2">
      <c r="A23" s="1339" t="s">
        <v>1959</v>
      </c>
      <c r="B23" s="1340">
        <v>0.05</v>
      </c>
    </row>
    <row r="24" spans="1:2">
      <c r="A24" s="1339" t="s">
        <v>2901</v>
      </c>
      <c r="B24" s="1340">
        <v>0.05</v>
      </c>
    </row>
    <row r="25" spans="1:2">
      <c r="A25" s="1339" t="s">
        <v>2901</v>
      </c>
      <c r="B25" s="1340">
        <v>0.05</v>
      </c>
    </row>
    <row r="26" spans="1:2">
      <c r="A26" s="1339" t="s">
        <v>1783</v>
      </c>
      <c r="B26" s="1340">
        <v>0.05</v>
      </c>
    </row>
    <row r="27" spans="1:2">
      <c r="A27" s="1339" t="s">
        <v>1786</v>
      </c>
      <c r="B27" s="1340">
        <v>0.1</v>
      </c>
    </row>
    <row r="28" spans="1:2">
      <c r="A28" s="1339" t="s">
        <v>1827</v>
      </c>
      <c r="B28" s="1340">
        <v>0.1</v>
      </c>
    </row>
    <row r="29" spans="1:2">
      <c r="A29" s="1339" t="s">
        <v>2902</v>
      </c>
      <c r="B29" s="1340">
        <v>6.8000000000000005E-2</v>
      </c>
    </row>
    <row r="30" spans="1:2">
      <c r="A30" s="1339" t="s">
        <v>2903</v>
      </c>
      <c r="B30" s="1340">
        <v>6.8000000000000005E-2</v>
      </c>
    </row>
    <row r="31" spans="1:2">
      <c r="A31" s="1339" t="s">
        <v>2904</v>
      </c>
      <c r="B31" s="1340">
        <v>7.0000000000000007E-2</v>
      </c>
    </row>
    <row r="32" spans="1:2">
      <c r="A32" s="1339" t="s">
        <v>2905</v>
      </c>
      <c r="B32" s="1340">
        <v>6.83E-2</v>
      </c>
    </row>
    <row r="33" spans="1:2">
      <c r="A33" s="1339" t="s">
        <v>2906</v>
      </c>
      <c r="B33" s="1340">
        <v>6.6600000000000006E-2</v>
      </c>
    </row>
    <row r="34" spans="1:2">
      <c r="A34" s="1339" t="s">
        <v>1942</v>
      </c>
      <c r="B34" s="1340">
        <v>0.1</v>
      </c>
    </row>
    <row r="35" spans="1:2">
      <c r="A35" s="1339" t="s">
        <v>2907</v>
      </c>
      <c r="B35" s="1340">
        <v>7.0000000000000007E-2</v>
      </c>
    </row>
    <row r="36" spans="1:2">
      <c r="A36" s="1339" t="s">
        <v>2908</v>
      </c>
      <c r="B36" s="1340">
        <v>6.83E-2</v>
      </c>
    </row>
    <row r="37" spans="1:2">
      <c r="A37" s="1339" t="s">
        <v>2909</v>
      </c>
      <c r="B37" s="1340">
        <v>6.6600000000000006E-2</v>
      </c>
    </row>
    <row r="38" spans="1:2">
      <c r="A38" s="1339" t="s">
        <v>1788</v>
      </c>
      <c r="B38" s="1340">
        <v>0.26300000000000001</v>
      </c>
    </row>
    <row r="39" spans="1:2">
      <c r="A39" s="1339" t="s">
        <v>1789</v>
      </c>
      <c r="B39" s="1340">
        <v>0.26300000000000001</v>
      </c>
    </row>
    <row r="40" spans="1:2">
      <c r="A40" s="1339" t="s">
        <v>1941</v>
      </c>
      <c r="B40" s="1340">
        <v>0.26300000000000001</v>
      </c>
    </row>
    <row r="41" spans="1:2">
      <c r="A41" s="1339" t="s">
        <v>1940</v>
      </c>
      <c r="B41" s="1340">
        <v>0.1</v>
      </c>
    </row>
    <row r="42" spans="1:2">
      <c r="A42" s="1339" t="s">
        <v>1784</v>
      </c>
      <c r="B42" s="1340">
        <v>0.1</v>
      </c>
    </row>
    <row r="43" spans="1:2">
      <c r="A43" s="1339" t="s">
        <v>1787</v>
      </c>
      <c r="B43" s="1340">
        <v>0.14899999999999999</v>
      </c>
    </row>
    <row r="44" spans="1:2">
      <c r="A44" s="1339" t="s">
        <v>1791</v>
      </c>
      <c r="B44" s="1340">
        <v>9.7000000000000003E-2</v>
      </c>
    </row>
    <row r="45" spans="1:2">
      <c r="A45" s="1339" t="s">
        <v>1785</v>
      </c>
      <c r="B45" s="1340">
        <v>8.9999999999999993E-3</v>
      </c>
    </row>
    <row r="46" spans="1:2">
      <c r="A46" s="1339" t="s">
        <v>1794</v>
      </c>
      <c r="B46" s="1340">
        <v>1.25</v>
      </c>
    </row>
    <row r="47" spans="1:2">
      <c r="A47" s="1339" t="s">
        <v>1793</v>
      </c>
      <c r="B47" s="1340">
        <v>2.5</v>
      </c>
    </row>
    <row r="48" spans="1:2">
      <c r="A48" s="1339" t="s">
        <v>1829</v>
      </c>
      <c r="B48" s="1340">
        <v>2.1</v>
      </c>
    </row>
    <row r="49" spans="1:2">
      <c r="A49" s="1339" t="s">
        <v>1828</v>
      </c>
      <c r="B49" s="1340">
        <v>4</v>
      </c>
    </row>
    <row r="50" spans="1:2">
      <c r="A50" s="1339" t="s">
        <v>1807</v>
      </c>
      <c r="B50" s="1340">
        <v>0.1</v>
      </c>
    </row>
    <row r="51" spans="1:2">
      <c r="A51" s="1339" t="s">
        <v>1807</v>
      </c>
      <c r="B51" s="1340">
        <v>0.1</v>
      </c>
    </row>
    <row r="52" spans="1:2">
      <c r="A52" s="1343" t="s">
        <v>1850</v>
      </c>
      <c r="B52" s="1344">
        <v>5.79</v>
      </c>
    </row>
    <row r="53" spans="1:2">
      <c r="A53" s="1110" t="s">
        <v>1842</v>
      </c>
      <c r="B53" s="1345">
        <v>1.5</v>
      </c>
    </row>
    <row r="54" spans="1:2">
      <c r="A54" s="1339" t="s">
        <v>1805</v>
      </c>
      <c r="B54" s="1340">
        <v>0.88</v>
      </c>
    </row>
    <row r="55" spans="1:2">
      <c r="A55" s="1339" t="s">
        <v>1795</v>
      </c>
      <c r="B55" s="1340">
        <v>1.8</v>
      </c>
    </row>
    <row r="56" spans="1:2">
      <c r="A56" s="1343" t="s">
        <v>1844</v>
      </c>
      <c r="B56" s="1344">
        <v>1.5</v>
      </c>
    </row>
    <row r="57" spans="1:2">
      <c r="A57" s="1339" t="s">
        <v>1811</v>
      </c>
      <c r="B57" s="1340">
        <v>1.33</v>
      </c>
    </row>
    <row r="58" spans="1:2">
      <c r="A58" s="1110" t="s">
        <v>1849</v>
      </c>
      <c r="B58" s="1345">
        <v>1.72</v>
      </c>
    </row>
    <row r="59" spans="1:2">
      <c r="A59" s="1339" t="s">
        <v>2910</v>
      </c>
      <c r="B59" s="1340">
        <v>0.91100000000000003</v>
      </c>
    </row>
    <row r="60" spans="1:2">
      <c r="A60" s="1339" t="s">
        <v>1803</v>
      </c>
      <c r="B60" s="1340">
        <v>2.5</v>
      </c>
    </row>
    <row r="61" spans="1:2">
      <c r="A61" s="1339" t="s">
        <v>1804</v>
      </c>
      <c r="B61" s="1340">
        <v>2.8</v>
      </c>
    </row>
    <row r="62" spans="1:2">
      <c r="A62" s="1339" t="s">
        <v>1806</v>
      </c>
      <c r="B62" s="1340">
        <v>0.4</v>
      </c>
    </row>
    <row r="63" spans="1:2">
      <c r="A63" s="1343" t="s">
        <v>1845</v>
      </c>
      <c r="B63" s="1344">
        <v>0.41</v>
      </c>
    </row>
    <row r="64" spans="1:2">
      <c r="A64" s="1110" t="s">
        <v>1845</v>
      </c>
      <c r="B64" s="1345">
        <v>0.41</v>
      </c>
    </row>
    <row r="65" spans="1:2">
      <c r="A65" s="1343" t="s">
        <v>1848</v>
      </c>
      <c r="B65" s="1344">
        <v>2.33</v>
      </c>
    </row>
    <row r="66" spans="1:2">
      <c r="A66" s="1110" t="s">
        <v>1848</v>
      </c>
      <c r="B66" s="1345">
        <v>2.33</v>
      </c>
    </row>
    <row r="67" spans="1:2">
      <c r="A67" s="1346" t="s">
        <v>1945</v>
      </c>
      <c r="B67" s="1344">
        <v>0.5</v>
      </c>
    </row>
    <row r="68" spans="1:2">
      <c r="A68" s="1339" t="s">
        <v>1810</v>
      </c>
      <c r="B68" s="1340">
        <v>0.8</v>
      </c>
    </row>
    <row r="69" spans="1:2">
      <c r="A69" s="1343" t="s">
        <v>1847</v>
      </c>
      <c r="B69" s="1344">
        <v>1.77</v>
      </c>
    </row>
    <row r="70" spans="1:2">
      <c r="A70" s="1110" t="s">
        <v>1847</v>
      </c>
      <c r="B70" s="1345">
        <v>1.77</v>
      </c>
    </row>
    <row r="71" spans="1:2">
      <c r="A71" s="1339" t="s">
        <v>1809</v>
      </c>
      <c r="B71" s="1340">
        <v>1</v>
      </c>
    </row>
    <row r="72" spans="1:2">
      <c r="A72" s="1343" t="s">
        <v>1854</v>
      </c>
      <c r="B72" s="1344">
        <v>1.97</v>
      </c>
    </row>
    <row r="73" spans="1:2">
      <c r="A73" s="1343" t="s">
        <v>1843</v>
      </c>
      <c r="B73" s="1344">
        <v>2.3571428571428599</v>
      </c>
    </row>
    <row r="74" spans="1:2">
      <c r="A74" s="1343" t="s">
        <v>1846</v>
      </c>
      <c r="B74" s="1344">
        <v>2.16</v>
      </c>
    </row>
    <row r="75" spans="1:2">
      <c r="A75" s="1110" t="s">
        <v>1846</v>
      </c>
      <c r="B75" s="1345">
        <v>2.16</v>
      </c>
    </row>
    <row r="76" spans="1:2">
      <c r="A76" s="1343" t="s">
        <v>1855</v>
      </c>
      <c r="B76" s="1344">
        <v>1.34</v>
      </c>
    </row>
    <row r="77" spans="1:2">
      <c r="A77" s="1110" t="s">
        <v>1855</v>
      </c>
      <c r="B77" s="1345">
        <v>1.34</v>
      </c>
    </row>
    <row r="78" spans="1:2">
      <c r="A78" s="1110" t="s">
        <v>1971</v>
      </c>
      <c r="B78" s="1345">
        <v>5.79</v>
      </c>
    </row>
    <row r="79" spans="1:2">
      <c r="A79" s="1343" t="s">
        <v>1852</v>
      </c>
      <c r="B79" s="1344">
        <v>0.28999999999999998</v>
      </c>
    </row>
    <row r="80" spans="1:2">
      <c r="A80" s="1110" t="s">
        <v>1852</v>
      </c>
      <c r="B80" s="1345">
        <v>0.28999999999999998</v>
      </c>
    </row>
    <row r="81" spans="1:2">
      <c r="A81" s="1343" t="s">
        <v>1853</v>
      </c>
      <c r="B81" s="1344">
        <v>0.43</v>
      </c>
    </row>
    <row r="82" spans="1:2">
      <c r="A82" s="1110" t="s">
        <v>1853</v>
      </c>
      <c r="B82" s="1345">
        <v>0.43</v>
      </c>
    </row>
    <row r="83" spans="1:2">
      <c r="A83" s="1343" t="s">
        <v>1851</v>
      </c>
      <c r="B83" s="1344">
        <v>5.79</v>
      </c>
    </row>
    <row r="84" spans="1:2">
      <c r="A84" s="1110" t="s">
        <v>1851</v>
      </c>
      <c r="B84" s="1345">
        <v>0</v>
      </c>
    </row>
    <row r="85" spans="1:2">
      <c r="A85" s="1343" t="s">
        <v>1856</v>
      </c>
      <c r="B85" s="1344">
        <v>1.68</v>
      </c>
    </row>
    <row r="86" spans="1:2">
      <c r="A86" s="1110" t="s">
        <v>1856</v>
      </c>
      <c r="B86" s="1345">
        <v>1.68</v>
      </c>
    </row>
    <row r="87" spans="1:2">
      <c r="A87" s="1343" t="s">
        <v>1857</v>
      </c>
      <c r="B87" s="1344">
        <v>1.68</v>
      </c>
    </row>
    <row r="88" spans="1:2">
      <c r="A88" s="1110" t="s">
        <v>575</v>
      </c>
      <c r="B88" s="1347">
        <v>0.96437249999999997</v>
      </c>
    </row>
    <row r="89" spans="1:2">
      <c r="A89" s="1110" t="s">
        <v>573</v>
      </c>
      <c r="B89" s="1347">
        <v>0.80364374999999999</v>
      </c>
    </row>
    <row r="90" spans="1:2">
      <c r="A90" s="1110" t="s">
        <v>2025</v>
      </c>
      <c r="B90" s="1347">
        <v>0.33753037500000005</v>
      </c>
    </row>
    <row r="91" spans="1:2">
      <c r="A91" s="1110" t="s">
        <v>2067</v>
      </c>
      <c r="B91" s="1347">
        <v>0.96437249999999997</v>
      </c>
    </row>
    <row r="92" spans="1:2">
      <c r="A92" s="1110" t="s">
        <v>2068</v>
      </c>
      <c r="B92" s="1347">
        <v>0.80364374999999999</v>
      </c>
    </row>
    <row r="93" spans="1:2">
      <c r="A93" s="1110" t="s">
        <v>2069</v>
      </c>
      <c r="B93" s="1347">
        <v>0.33753037500000005</v>
      </c>
    </row>
    <row r="94" spans="1:2">
      <c r="A94" s="1110" t="s">
        <v>2070</v>
      </c>
      <c r="B94" s="1347">
        <v>0.96437249999999997</v>
      </c>
    </row>
    <row r="95" spans="1:2">
      <c r="A95" s="1110" t="s">
        <v>2071</v>
      </c>
      <c r="B95" s="1347">
        <v>0.80364374999999999</v>
      </c>
    </row>
    <row r="96" spans="1:2">
      <c r="A96" s="1110" t="s">
        <v>2072</v>
      </c>
      <c r="B96" s="1347">
        <v>0.33753037500000005</v>
      </c>
    </row>
    <row r="97" spans="1:2">
      <c r="A97" s="1343" t="s">
        <v>2026</v>
      </c>
      <c r="B97" s="1347">
        <v>1.8651600000000002</v>
      </c>
    </row>
    <row r="98" spans="1:2">
      <c r="A98" s="1343" t="s">
        <v>2027</v>
      </c>
      <c r="B98" s="1347">
        <v>1.5543</v>
      </c>
    </row>
    <row r="99" spans="1:2">
      <c r="A99" s="1343" t="s">
        <v>2028</v>
      </c>
      <c r="B99" s="1347">
        <v>0.7253400000000001</v>
      </c>
    </row>
    <row r="100" spans="1:2">
      <c r="A100" s="1343" t="s">
        <v>2061</v>
      </c>
      <c r="B100" s="1347">
        <v>1.8651600000000002</v>
      </c>
    </row>
    <row r="101" spans="1:2">
      <c r="A101" s="1343" t="s">
        <v>2062</v>
      </c>
      <c r="B101" s="1347">
        <v>1.5543</v>
      </c>
    </row>
    <row r="102" spans="1:2">
      <c r="A102" s="1343" t="s">
        <v>2063</v>
      </c>
      <c r="B102" s="1347">
        <v>0.7253400000000001</v>
      </c>
    </row>
    <row r="103" spans="1:2">
      <c r="A103" s="1343" t="s">
        <v>2064</v>
      </c>
      <c r="B103" s="1347">
        <v>1.8651600000000002</v>
      </c>
    </row>
    <row r="104" spans="1:2">
      <c r="A104" s="1343" t="s">
        <v>2065</v>
      </c>
      <c r="B104" s="1347">
        <v>1.5543</v>
      </c>
    </row>
    <row r="105" spans="1:2">
      <c r="A105" s="1343" t="s">
        <v>2066</v>
      </c>
      <c r="B105" s="1347">
        <v>0.7253400000000001</v>
      </c>
    </row>
    <row r="106" spans="1:2">
      <c r="A106" s="1343" t="s">
        <v>1749</v>
      </c>
      <c r="B106" s="1347">
        <v>2.0241225000000003</v>
      </c>
    </row>
    <row r="107" spans="1:2">
      <c r="A107" s="1343" t="s">
        <v>1748</v>
      </c>
      <c r="B107" s="1347">
        <v>1.6867687499999997</v>
      </c>
    </row>
    <row r="108" spans="1:2">
      <c r="A108" s="1343" t="s">
        <v>577</v>
      </c>
      <c r="B108" s="1347">
        <v>0.78715874999999991</v>
      </c>
    </row>
    <row r="109" spans="1:2">
      <c r="A109" s="1343" t="s">
        <v>2055</v>
      </c>
      <c r="B109" s="1347">
        <v>2.0241225000000003</v>
      </c>
    </row>
    <row r="110" spans="1:2">
      <c r="A110" s="1343" t="s">
        <v>2056</v>
      </c>
      <c r="B110" s="1347">
        <v>1.6867687499999997</v>
      </c>
    </row>
    <row r="111" spans="1:2">
      <c r="A111" s="1343" t="s">
        <v>2057</v>
      </c>
      <c r="B111" s="1347">
        <v>0.78715874999999991</v>
      </c>
    </row>
    <row r="112" spans="1:2">
      <c r="A112" s="1343" t="s">
        <v>2058</v>
      </c>
      <c r="B112" s="1347">
        <v>2.0241225000000003</v>
      </c>
    </row>
    <row r="113" spans="1:2">
      <c r="A113" s="1343" t="s">
        <v>2059</v>
      </c>
      <c r="B113" s="1347">
        <v>1.6867687499999997</v>
      </c>
    </row>
    <row r="114" spans="1:2">
      <c r="A114" s="1343" t="s">
        <v>2060</v>
      </c>
      <c r="B114" s="1347">
        <v>0.78715874999999991</v>
      </c>
    </row>
    <row r="115" spans="1:2">
      <c r="A115" s="1343" t="s">
        <v>1781</v>
      </c>
      <c r="B115" s="1347">
        <v>2.5539974999999999</v>
      </c>
    </row>
    <row r="116" spans="1:2">
      <c r="A116" s="1343" t="s">
        <v>2029</v>
      </c>
      <c r="B116" s="1347">
        <v>0.99322124999999994</v>
      </c>
    </row>
    <row r="117" spans="1:2">
      <c r="A117" s="1343" t="s">
        <v>579</v>
      </c>
      <c r="B117" s="1347">
        <v>2.2166437499999994</v>
      </c>
    </row>
    <row r="118" spans="1:2">
      <c r="A118" s="1343" t="s">
        <v>2049</v>
      </c>
      <c r="B118" s="1347">
        <v>2.5539974999999999</v>
      </c>
    </row>
    <row r="119" spans="1:2">
      <c r="A119" s="1343" t="s">
        <v>2050</v>
      </c>
      <c r="B119" s="1347">
        <v>0.99322124999999994</v>
      </c>
    </row>
    <row r="120" spans="1:2">
      <c r="A120" s="1343" t="s">
        <v>2052</v>
      </c>
      <c r="B120" s="1347">
        <v>2.2166437499999994</v>
      </c>
    </row>
    <row r="121" spans="1:2">
      <c r="A121" s="1343" t="s">
        <v>2053</v>
      </c>
      <c r="B121" s="1347">
        <v>2.5539974999999999</v>
      </c>
    </row>
    <row r="122" spans="1:2">
      <c r="A122" s="1343" t="s">
        <v>2054</v>
      </c>
      <c r="B122" s="1347">
        <v>0.99322124999999994</v>
      </c>
    </row>
    <row r="123" spans="1:2">
      <c r="A123" s="1343" t="s">
        <v>2051</v>
      </c>
      <c r="B123" s="1347">
        <v>2.2166437499999994</v>
      </c>
    </row>
    <row r="124" spans="1:2">
      <c r="A124" s="1343" t="s">
        <v>2009</v>
      </c>
      <c r="B124" s="1347">
        <v>4.9343137500000003</v>
      </c>
    </row>
    <row r="125" spans="1:2">
      <c r="A125" s="1343" t="s">
        <v>2009</v>
      </c>
      <c r="B125" s="1347">
        <v>4.4408823750000002</v>
      </c>
    </row>
    <row r="126" spans="1:2">
      <c r="A126" s="1343" t="s">
        <v>2030</v>
      </c>
      <c r="B126" s="1347">
        <v>3.6137475000000006</v>
      </c>
    </row>
    <row r="127" spans="1:2">
      <c r="A127" s="1343" t="s">
        <v>2030</v>
      </c>
      <c r="B127" s="1347">
        <v>3.6137475000000006</v>
      </c>
    </row>
    <row r="128" spans="1:2">
      <c r="A128" s="1343" t="s">
        <v>2031</v>
      </c>
      <c r="B128" s="1347">
        <v>1.40534625</v>
      </c>
    </row>
    <row r="129" spans="1:2">
      <c r="A129" s="1343" t="s">
        <v>2031</v>
      </c>
      <c r="B129" s="1347">
        <v>1.40534625</v>
      </c>
    </row>
    <row r="130" spans="1:2" ht="16.149999999999999" customHeight="1">
      <c r="A130" s="1343" t="s">
        <v>2032</v>
      </c>
      <c r="B130" s="1347">
        <v>5.9587387499999993</v>
      </c>
    </row>
    <row r="131" spans="1:2">
      <c r="A131" s="1343" t="s">
        <v>2032</v>
      </c>
      <c r="B131" s="1347">
        <v>5.3628648749999996</v>
      </c>
    </row>
    <row r="132" spans="1:2">
      <c r="A132" s="1343" t="s">
        <v>2033</v>
      </c>
      <c r="B132" s="1347">
        <v>5.9587387499999993</v>
      </c>
    </row>
    <row r="133" spans="1:2">
      <c r="A133" s="1343" t="s">
        <v>2033</v>
      </c>
      <c r="B133" s="1347">
        <v>5.3628648749999996</v>
      </c>
    </row>
    <row r="134" spans="1:2">
      <c r="A134" s="1343" t="s">
        <v>2034</v>
      </c>
      <c r="B134" s="1347">
        <v>6.3855825000000017</v>
      </c>
    </row>
    <row r="135" spans="1:2">
      <c r="A135" s="1343" t="s">
        <v>2034</v>
      </c>
      <c r="B135" s="1347">
        <v>5.7470242500000017</v>
      </c>
    </row>
    <row r="136" spans="1:2">
      <c r="A136" s="1343" t="s">
        <v>2035</v>
      </c>
      <c r="B136" s="1347">
        <v>6.3855825000000017</v>
      </c>
    </row>
    <row r="137" spans="1:2">
      <c r="A137" s="1343" t="s">
        <v>2035</v>
      </c>
      <c r="B137" s="1347">
        <v>5.7470242500000017</v>
      </c>
    </row>
    <row r="138" spans="1:2">
      <c r="A138" s="1343" t="s">
        <v>2036</v>
      </c>
      <c r="B138" s="1347">
        <v>6.641688750000001</v>
      </c>
    </row>
    <row r="139" spans="1:2">
      <c r="A139" s="1343" t="s">
        <v>2036</v>
      </c>
      <c r="B139" s="1347">
        <v>5.9775198750000005</v>
      </c>
    </row>
    <row r="140" spans="1:2">
      <c r="A140" s="1343" t="s">
        <v>2037</v>
      </c>
      <c r="B140" s="1347">
        <v>7.410007499999999</v>
      </c>
    </row>
    <row r="141" spans="1:2">
      <c r="A141" s="1343" t="s">
        <v>2037</v>
      </c>
      <c r="B141" s="1347">
        <v>6.6690067500000003</v>
      </c>
    </row>
    <row r="142" spans="1:2">
      <c r="A142" s="1343" t="s">
        <v>2038</v>
      </c>
      <c r="B142" s="1347">
        <v>7.410007499999999</v>
      </c>
    </row>
    <row r="143" spans="1:2">
      <c r="A143" s="1343" t="s">
        <v>2038</v>
      </c>
      <c r="B143" s="1347">
        <v>6.6690067500000003</v>
      </c>
    </row>
    <row r="144" spans="1:2">
      <c r="A144" s="1343" t="s">
        <v>2039</v>
      </c>
      <c r="B144" s="1347">
        <v>7.6661137499999992</v>
      </c>
    </row>
    <row r="145" spans="1:2">
      <c r="A145" s="1343" t="s">
        <v>2039</v>
      </c>
      <c r="B145" s="1347">
        <v>6.8995023750000009</v>
      </c>
    </row>
    <row r="146" spans="1:2">
      <c r="A146" s="1343" t="s">
        <v>2040</v>
      </c>
      <c r="B146" s="1347">
        <v>7.6661137499999992</v>
      </c>
    </row>
    <row r="147" spans="1:2">
      <c r="A147" s="1343" t="s">
        <v>2040</v>
      </c>
      <c r="B147" s="1347">
        <v>6.8995023750000009</v>
      </c>
    </row>
    <row r="148" spans="1:2">
      <c r="A148" s="1343" t="s">
        <v>2041</v>
      </c>
      <c r="B148" s="1347">
        <v>8.0929575000000007</v>
      </c>
    </row>
    <row r="149" spans="1:2">
      <c r="A149" s="1343" t="s">
        <v>2041</v>
      </c>
      <c r="B149" s="1347">
        <v>7.2836617500000003</v>
      </c>
    </row>
    <row r="150" spans="1:2">
      <c r="A150" s="1343" t="s">
        <v>2042</v>
      </c>
      <c r="B150" s="1347">
        <v>8.0929575000000007</v>
      </c>
    </row>
    <row r="151" spans="1:2">
      <c r="A151" s="1343" t="s">
        <v>2042</v>
      </c>
      <c r="B151" s="1347">
        <v>7.2836617500000003</v>
      </c>
    </row>
    <row r="152" spans="1:2">
      <c r="A152" s="1343" t="s">
        <v>2043</v>
      </c>
      <c r="B152" s="1347">
        <v>8.3490637499999991</v>
      </c>
    </row>
    <row r="153" spans="1:2">
      <c r="A153" s="1343" t="s">
        <v>2043</v>
      </c>
      <c r="B153" s="1347">
        <v>7.5141573749999999</v>
      </c>
    </row>
    <row r="154" spans="1:2">
      <c r="A154" s="1343" t="s">
        <v>2044</v>
      </c>
      <c r="B154" s="1347">
        <v>9.3734887499999999</v>
      </c>
    </row>
    <row r="155" spans="1:2">
      <c r="A155" s="1343" t="s">
        <v>2044</v>
      </c>
      <c r="B155" s="1347">
        <v>8.4361398750000003</v>
      </c>
    </row>
    <row r="156" spans="1:2">
      <c r="A156" s="1343" t="s">
        <v>2045</v>
      </c>
      <c r="B156" s="1347">
        <v>9.3734887499999999</v>
      </c>
    </row>
    <row r="157" spans="1:2">
      <c r="A157" s="1343" t="s">
        <v>2045</v>
      </c>
      <c r="B157" s="1347">
        <v>8.4361398750000003</v>
      </c>
    </row>
    <row r="158" spans="1:2">
      <c r="A158" s="1343" t="s">
        <v>2046</v>
      </c>
      <c r="B158" s="1347">
        <v>9.8003324999999997</v>
      </c>
    </row>
    <row r="159" spans="1:2">
      <c r="A159" s="1343" t="s">
        <v>2046</v>
      </c>
      <c r="B159" s="1347">
        <v>8.8202992500000015</v>
      </c>
    </row>
    <row r="160" spans="1:2">
      <c r="A160" s="1343" t="s">
        <v>2047</v>
      </c>
      <c r="B160" s="1347">
        <v>9.8003324999999997</v>
      </c>
    </row>
    <row r="161" spans="1:2">
      <c r="A161" s="1343" t="s">
        <v>2047</v>
      </c>
      <c r="B161" s="1347">
        <v>8.8202992500000015</v>
      </c>
    </row>
    <row r="162" spans="1:2">
      <c r="A162" s="1343" t="s">
        <v>2048</v>
      </c>
      <c r="B162" s="1347">
        <v>10.05643875</v>
      </c>
    </row>
    <row r="163" spans="1:2">
      <c r="A163" s="1343" t="s">
        <v>2048</v>
      </c>
      <c r="B163" s="1347">
        <v>9.0507948750000011</v>
      </c>
    </row>
    <row r="164" spans="1:2">
      <c r="A164" s="1339" t="s">
        <v>2023</v>
      </c>
      <c r="B164" s="1340">
        <f>B161*1.3</f>
        <v>11.466389025000002</v>
      </c>
    </row>
    <row r="165" spans="1:2">
      <c r="A165" s="1339" t="s">
        <v>2024</v>
      </c>
      <c r="B165" s="1340">
        <f>B162*1.3</f>
        <v>13.073370375</v>
      </c>
    </row>
    <row r="166" spans="1:2">
      <c r="A166" s="1339" t="s">
        <v>2024</v>
      </c>
      <c r="B166" s="1340">
        <f>B163*1.3</f>
        <v>11.766033337500001</v>
      </c>
    </row>
    <row r="167" spans="1:2">
      <c r="A167" s="1343" t="s">
        <v>1886</v>
      </c>
      <c r="B167" s="1344">
        <v>4.5534059999999998</v>
      </c>
    </row>
    <row r="168" spans="1:2">
      <c r="A168" s="1343" t="s">
        <v>1867</v>
      </c>
      <c r="B168" s="1344">
        <v>4.9343137500000003</v>
      </c>
    </row>
    <row r="169" spans="1:2">
      <c r="A169" s="1343" t="s">
        <v>1887</v>
      </c>
      <c r="B169" s="1344">
        <v>5.5882709999999998</v>
      </c>
    </row>
    <row r="170" spans="1:2">
      <c r="A170" s="1339" t="s">
        <v>1812</v>
      </c>
      <c r="B170" s="1340">
        <v>2.2000000000000002</v>
      </c>
    </row>
    <row r="171" spans="1:2">
      <c r="A171" s="1343" t="s">
        <v>1869</v>
      </c>
      <c r="B171" s="1344">
        <v>5.9587387499999993</v>
      </c>
    </row>
    <row r="172" spans="1:2">
      <c r="A172" s="1343" t="s">
        <v>1868</v>
      </c>
      <c r="B172" s="1344">
        <v>5.9587387499999993</v>
      </c>
    </row>
    <row r="173" spans="1:2">
      <c r="A173" s="1343" t="s">
        <v>1888</v>
      </c>
      <c r="B173" s="1344">
        <v>6.1919422499999985</v>
      </c>
    </row>
    <row r="174" spans="1:2">
      <c r="A174" s="1343" t="s">
        <v>1877</v>
      </c>
      <c r="B174" s="1344">
        <v>6.4506585000000012</v>
      </c>
    </row>
    <row r="175" spans="1:2">
      <c r="A175" s="1343" t="s">
        <v>1876</v>
      </c>
      <c r="B175" s="1344">
        <v>6.4506585000000012</v>
      </c>
    </row>
    <row r="176" spans="1:2">
      <c r="A176" s="1339" t="s">
        <v>1819</v>
      </c>
      <c r="B176" s="1340">
        <v>6.64</v>
      </c>
    </row>
    <row r="177" spans="1:2">
      <c r="A177" s="1343" t="s">
        <v>1892</v>
      </c>
      <c r="B177" s="1344">
        <v>7.2268072500000002</v>
      </c>
    </row>
    <row r="178" spans="1:2">
      <c r="A178" s="1343" t="s">
        <v>1898</v>
      </c>
      <c r="B178" s="1344">
        <v>18.872765600000001</v>
      </c>
    </row>
    <row r="179" spans="1:2">
      <c r="A179" s="1343" t="s">
        <v>1897</v>
      </c>
      <c r="B179" s="1344">
        <v>18.872765600000001</v>
      </c>
    </row>
    <row r="180" spans="1:2">
      <c r="A180" s="1343" t="s">
        <v>1879</v>
      </c>
      <c r="B180" s="1344">
        <v>7.4855234999999993</v>
      </c>
    </row>
    <row r="181" spans="1:2">
      <c r="A181" s="1343" t="s">
        <v>1878</v>
      </c>
      <c r="B181" s="1344">
        <v>7.4855234999999993</v>
      </c>
    </row>
    <row r="182" spans="1:2">
      <c r="A182" s="1343" t="s">
        <v>1893</v>
      </c>
      <c r="B182" s="1344">
        <v>22.363904250000001</v>
      </c>
    </row>
    <row r="183" spans="1:2">
      <c r="A183" s="1343" t="s">
        <v>1871</v>
      </c>
      <c r="B183" s="1344">
        <v>7.6661137499999992</v>
      </c>
    </row>
    <row r="184" spans="1:2">
      <c r="A184" s="1343" t="s">
        <v>1870</v>
      </c>
      <c r="B184" s="1344">
        <v>7.6661137499999992</v>
      </c>
    </row>
    <row r="185" spans="1:2">
      <c r="A185" s="1343" t="s">
        <v>1889</v>
      </c>
      <c r="B185" s="1344">
        <v>7.9167172499999987</v>
      </c>
    </row>
    <row r="186" spans="1:2">
      <c r="A186" s="1343" t="s">
        <v>1899</v>
      </c>
      <c r="B186" s="1344">
        <v>20.674461600000001</v>
      </c>
    </row>
    <row r="187" spans="1:2">
      <c r="A187" s="1343" t="s">
        <v>1881</v>
      </c>
      <c r="B187" s="1344">
        <v>8.1754335000000005</v>
      </c>
    </row>
    <row r="188" spans="1:2">
      <c r="A188" s="1343" t="s">
        <v>1880</v>
      </c>
      <c r="B188" s="1344">
        <v>8.1754335000000005</v>
      </c>
    </row>
    <row r="189" spans="1:2">
      <c r="A189" s="1343" t="s">
        <v>1872</v>
      </c>
      <c r="B189" s="1344">
        <v>8.3490637499999991</v>
      </c>
    </row>
    <row r="190" spans="1:2">
      <c r="A190" s="1348" t="s">
        <v>1894</v>
      </c>
      <c r="B190" s="1349">
        <v>24.35623425</v>
      </c>
    </row>
    <row r="191" spans="1:2">
      <c r="A191" s="1343" t="s">
        <v>1891</v>
      </c>
      <c r="B191" s="1344">
        <v>8.9515822499999995</v>
      </c>
    </row>
    <row r="192" spans="1:2">
      <c r="A192" s="1343" t="s">
        <v>1901</v>
      </c>
      <c r="B192" s="1344">
        <v>23.377005599999997</v>
      </c>
    </row>
    <row r="193" spans="1:2">
      <c r="A193" s="1343" t="s">
        <v>1900</v>
      </c>
      <c r="B193" s="1344">
        <v>23.377005599999997</v>
      </c>
    </row>
    <row r="194" spans="1:2">
      <c r="A194" s="1343" t="s">
        <v>1882</v>
      </c>
      <c r="B194" s="1344">
        <v>9.2102984999999986</v>
      </c>
    </row>
    <row r="195" spans="1:2">
      <c r="A195" s="1343" t="s">
        <v>1895</v>
      </c>
      <c r="B195" s="1344">
        <v>27.34472925</v>
      </c>
    </row>
    <row r="196" spans="1:2">
      <c r="A196" s="1343" t="s">
        <v>1874</v>
      </c>
      <c r="B196" s="1344">
        <v>9.3734887499999999</v>
      </c>
    </row>
    <row r="197" spans="1:2">
      <c r="A197" s="1343" t="s">
        <v>1873</v>
      </c>
      <c r="B197" s="1344">
        <v>9.3734887499999999</v>
      </c>
    </row>
    <row r="198" spans="1:2">
      <c r="A198" s="1339" t="s">
        <v>1802</v>
      </c>
      <c r="B198" s="1340">
        <v>8.1999999999999993</v>
      </c>
    </row>
    <row r="199" spans="1:2">
      <c r="A199" s="1343" t="s">
        <v>1890</v>
      </c>
      <c r="B199" s="1344">
        <v>9.6414922499999989</v>
      </c>
    </row>
    <row r="200" spans="1:2">
      <c r="A200" s="1343" t="s">
        <v>1902</v>
      </c>
      <c r="B200" s="1344">
        <v>25.178701599999997</v>
      </c>
    </row>
    <row r="201" spans="1:2">
      <c r="A201" s="1343" t="s">
        <v>1883</v>
      </c>
      <c r="B201" s="1344">
        <v>9.9002084999999997</v>
      </c>
    </row>
    <row r="202" spans="1:2">
      <c r="A202" s="1343" t="s">
        <v>1885</v>
      </c>
      <c r="B202" s="1344">
        <v>9.9002084999999997</v>
      </c>
    </row>
    <row r="203" spans="1:2">
      <c r="A203" s="1343" t="s">
        <v>1884</v>
      </c>
      <c r="B203" s="1344">
        <v>9.9002084999999997</v>
      </c>
    </row>
    <row r="204" spans="1:2">
      <c r="A204" s="1339" t="s">
        <v>1796</v>
      </c>
      <c r="B204" s="1340">
        <v>12.5</v>
      </c>
    </row>
    <row r="205" spans="1:2">
      <c r="A205" s="1343" t="s">
        <v>1875</v>
      </c>
      <c r="B205" s="1344">
        <v>10.05643875</v>
      </c>
    </row>
    <row r="206" spans="1:2">
      <c r="A206" s="1343" t="s">
        <v>1896</v>
      </c>
      <c r="B206" s="1344">
        <v>29.337059250000003</v>
      </c>
    </row>
    <row r="207" spans="1:2">
      <c r="A207" s="1110" t="s">
        <v>1990</v>
      </c>
      <c r="B207" s="1345">
        <v>2.11</v>
      </c>
    </row>
    <row r="208" spans="1:2">
      <c r="A208" s="1110" t="s">
        <v>2001</v>
      </c>
      <c r="B208" s="1345">
        <v>2.93</v>
      </c>
    </row>
    <row r="209" spans="1:2">
      <c r="A209" s="1110" t="s">
        <v>1964</v>
      </c>
      <c r="B209" s="1345">
        <v>1.44</v>
      </c>
    </row>
    <row r="210" spans="1:2">
      <c r="A210" s="1110" t="s">
        <v>1947</v>
      </c>
      <c r="B210" s="1345">
        <v>4.43</v>
      </c>
    </row>
    <row r="211" spans="1:2">
      <c r="A211" s="1110" t="s">
        <v>1996</v>
      </c>
      <c r="B211" s="1345">
        <v>5.96</v>
      </c>
    </row>
    <row r="212" spans="1:2">
      <c r="A212" s="1110" t="s">
        <v>1948</v>
      </c>
      <c r="B212" s="1345">
        <v>4.47</v>
      </c>
    </row>
    <row r="213" spans="1:2">
      <c r="A213" s="1343" t="s">
        <v>1949</v>
      </c>
      <c r="B213" s="1344">
        <v>4.67</v>
      </c>
    </row>
    <row r="214" spans="1:2">
      <c r="A214" s="1343" t="s">
        <v>1951</v>
      </c>
      <c r="B214" s="1344">
        <v>4.7</v>
      </c>
    </row>
    <row r="215" spans="1:2">
      <c r="A215" s="1110" t="s">
        <v>1950</v>
      </c>
      <c r="B215" s="1345">
        <v>4.7</v>
      </c>
    </row>
    <row r="216" spans="1:2">
      <c r="A216" s="1110" t="s">
        <v>1997</v>
      </c>
      <c r="B216" s="1345">
        <v>6.33</v>
      </c>
    </row>
    <row r="217" spans="1:2">
      <c r="A217" s="1343" t="s">
        <v>1946</v>
      </c>
      <c r="B217" s="1344">
        <v>4.9000000000000004</v>
      </c>
    </row>
    <row r="218" spans="1:2">
      <c r="A218" s="1110" t="s">
        <v>35</v>
      </c>
      <c r="B218" s="1345">
        <v>4.9000000000000004</v>
      </c>
    </row>
    <row r="219" spans="1:2">
      <c r="A219" s="1110" t="s">
        <v>18</v>
      </c>
      <c r="B219" s="1345">
        <v>4.93</v>
      </c>
    </row>
    <row r="220" spans="1:2">
      <c r="A220" s="1110" t="s">
        <v>37</v>
      </c>
      <c r="B220" s="1345">
        <v>5.13</v>
      </c>
    </row>
    <row r="221" spans="1:2">
      <c r="A221" s="1110" t="s">
        <v>1952</v>
      </c>
      <c r="B221" s="1345">
        <v>5.2</v>
      </c>
    </row>
    <row r="222" spans="1:2">
      <c r="A222" s="1110" t="s">
        <v>1998</v>
      </c>
      <c r="B222" s="1345">
        <v>7</v>
      </c>
    </row>
    <row r="223" spans="1:2">
      <c r="A223" s="1110" t="s">
        <v>1975</v>
      </c>
      <c r="B223" s="1345">
        <v>0</v>
      </c>
    </row>
    <row r="224" spans="1:2">
      <c r="A224" s="1343" t="s">
        <v>1953</v>
      </c>
      <c r="B224" s="1344">
        <v>7</v>
      </c>
    </row>
    <row r="225" spans="1:2">
      <c r="A225" s="1110" t="s">
        <v>1954</v>
      </c>
      <c r="B225" s="1345">
        <v>8.06</v>
      </c>
    </row>
    <row r="226" spans="1:2">
      <c r="A226" s="1110" t="s">
        <v>1999</v>
      </c>
      <c r="B226" s="1345">
        <v>10.89</v>
      </c>
    </row>
    <row r="227" spans="1:2">
      <c r="A227" s="1110" t="s">
        <v>36</v>
      </c>
      <c r="B227" s="1345">
        <v>8.1</v>
      </c>
    </row>
    <row r="228" spans="1:2">
      <c r="A228" s="1110" t="s">
        <v>12</v>
      </c>
      <c r="B228" s="1345">
        <v>7.12</v>
      </c>
    </row>
    <row r="229" spans="1:2">
      <c r="A229" s="1110" t="s">
        <v>1780</v>
      </c>
      <c r="B229" s="1345">
        <v>8.3000000000000007</v>
      </c>
    </row>
    <row r="230" spans="1:2">
      <c r="A230" s="1110" t="s">
        <v>21</v>
      </c>
      <c r="B230" s="1345">
        <v>13.93</v>
      </c>
    </row>
    <row r="231" spans="1:2">
      <c r="A231" s="1110" t="s">
        <v>41</v>
      </c>
      <c r="B231" s="1345">
        <v>19.329999999999998</v>
      </c>
    </row>
    <row r="232" spans="1:2">
      <c r="A232" s="1110" t="s">
        <v>19</v>
      </c>
      <c r="B232" s="1345">
        <v>8.33</v>
      </c>
    </row>
    <row r="233" spans="1:2">
      <c r="A233" s="1110" t="s">
        <v>48</v>
      </c>
      <c r="B233" s="1345">
        <v>11.24</v>
      </c>
    </row>
    <row r="234" spans="1:2">
      <c r="A234" s="1110" t="s">
        <v>39</v>
      </c>
      <c r="B234" s="1345">
        <v>8.5299999999999994</v>
      </c>
    </row>
    <row r="235" spans="1:2">
      <c r="A235" s="1110" t="s">
        <v>1955</v>
      </c>
      <c r="B235" s="1345">
        <v>8.57</v>
      </c>
    </row>
    <row r="236" spans="1:2">
      <c r="A236" s="1110" t="s">
        <v>38</v>
      </c>
      <c r="B236" s="1345">
        <v>8.76</v>
      </c>
    </row>
    <row r="237" spans="1:2">
      <c r="A237" s="1110" t="s">
        <v>1972</v>
      </c>
      <c r="B237" s="1345">
        <v>8.83</v>
      </c>
    </row>
    <row r="238" spans="1:2">
      <c r="A238" s="1110" t="s">
        <v>2000</v>
      </c>
      <c r="B238" s="1345">
        <v>11.92</v>
      </c>
    </row>
    <row r="239" spans="1:2">
      <c r="A239" s="1110" t="s">
        <v>27</v>
      </c>
      <c r="B239" s="1345">
        <v>15.76</v>
      </c>
    </row>
    <row r="240" spans="1:2">
      <c r="A240" s="1110" t="s">
        <v>1976</v>
      </c>
      <c r="B240" s="1345">
        <v>8.1999999999999993</v>
      </c>
    </row>
    <row r="241" spans="1:2">
      <c r="A241" s="1110" t="s">
        <v>1973</v>
      </c>
      <c r="B241" s="1345">
        <v>10.24</v>
      </c>
    </row>
    <row r="242" spans="1:2">
      <c r="A242" s="1110" t="s">
        <v>1988</v>
      </c>
      <c r="B242" s="1345">
        <v>10.28</v>
      </c>
    </row>
    <row r="243" spans="1:2">
      <c r="A243" s="1343" t="s">
        <v>1861</v>
      </c>
      <c r="B243" s="1344">
        <v>10.28</v>
      </c>
    </row>
    <row r="244" spans="1:2">
      <c r="A244" s="1343" t="s">
        <v>1858</v>
      </c>
      <c r="B244" s="1344">
        <v>9.3000000000000007</v>
      </c>
    </row>
    <row r="245" spans="1:2">
      <c r="A245" s="1110" t="s">
        <v>1858</v>
      </c>
      <c r="B245" s="1345">
        <v>9.2799999999999994</v>
      </c>
    </row>
    <row r="246" spans="1:2">
      <c r="A246" s="1110" t="s">
        <v>1974</v>
      </c>
      <c r="B246" s="1345">
        <v>0</v>
      </c>
    </row>
    <row r="247" spans="1:2">
      <c r="A247" s="1343" t="s">
        <v>1862</v>
      </c>
      <c r="B247" s="1344">
        <v>10.48</v>
      </c>
    </row>
    <row r="248" spans="1:2">
      <c r="A248" s="1110" t="s">
        <v>1991</v>
      </c>
      <c r="B248" s="1345">
        <v>18.149999999999999</v>
      </c>
    </row>
    <row r="249" spans="1:2">
      <c r="A249" s="1110" t="s">
        <v>1977</v>
      </c>
      <c r="B249" s="1345">
        <v>0</v>
      </c>
    </row>
    <row r="250" spans="1:2">
      <c r="A250" s="1110" t="s">
        <v>1989</v>
      </c>
      <c r="B250" s="1345">
        <v>0</v>
      </c>
    </row>
    <row r="251" spans="1:2">
      <c r="A251" s="1110" t="s">
        <v>1994</v>
      </c>
      <c r="B251" s="1345">
        <v>19.14</v>
      </c>
    </row>
    <row r="252" spans="1:2">
      <c r="A252" s="1110" t="s">
        <v>1978</v>
      </c>
      <c r="B252" s="1345">
        <v>9.85</v>
      </c>
    </row>
    <row r="253" spans="1:2">
      <c r="A253" s="1110" t="s">
        <v>1995</v>
      </c>
      <c r="B253" s="1345">
        <v>19.98</v>
      </c>
    </row>
    <row r="254" spans="1:2">
      <c r="A254" s="1110" t="s">
        <v>1979</v>
      </c>
      <c r="B254" s="1345">
        <v>10.36</v>
      </c>
    </row>
    <row r="255" spans="1:2">
      <c r="A255" s="1343" t="s">
        <v>1863</v>
      </c>
      <c r="B255" s="1344">
        <v>11.72</v>
      </c>
    </row>
    <row r="256" spans="1:2">
      <c r="A256" s="1343" t="s">
        <v>1859</v>
      </c>
      <c r="B256" s="1344">
        <v>10.7</v>
      </c>
    </row>
    <row r="257" spans="1:2">
      <c r="A257" s="1110" t="s">
        <v>1859</v>
      </c>
      <c r="B257" s="1345">
        <v>10.72</v>
      </c>
    </row>
    <row r="258" spans="1:2">
      <c r="A258" s="1110" t="s">
        <v>1992</v>
      </c>
      <c r="B258" s="1345">
        <v>20.96</v>
      </c>
    </row>
    <row r="259" spans="1:2">
      <c r="A259" s="1110" t="s">
        <v>2011</v>
      </c>
      <c r="B259" s="1345">
        <v>20.96</v>
      </c>
    </row>
    <row r="260" spans="1:2">
      <c r="A260" s="1110" t="s">
        <v>2002</v>
      </c>
      <c r="B260" s="1345">
        <v>29.1</v>
      </c>
    </row>
    <row r="261" spans="1:2">
      <c r="A261" s="1110" t="s">
        <v>2012</v>
      </c>
      <c r="B261" s="1345">
        <v>29.1</v>
      </c>
    </row>
    <row r="262" spans="1:2">
      <c r="A262" s="1110" t="s">
        <v>15</v>
      </c>
      <c r="B262" s="1345">
        <v>10.79</v>
      </c>
    </row>
    <row r="263" spans="1:2">
      <c r="A263" s="1110" t="s">
        <v>26</v>
      </c>
      <c r="B263" s="1345">
        <v>21.11</v>
      </c>
    </row>
    <row r="264" spans="1:2">
      <c r="A264" s="1110" t="s">
        <v>44</v>
      </c>
      <c r="B264" s="1345">
        <v>29.3</v>
      </c>
    </row>
    <row r="265" spans="1:2">
      <c r="A265" s="1110" t="s">
        <v>32</v>
      </c>
      <c r="B265" s="1345">
        <v>21.95</v>
      </c>
    </row>
    <row r="266" spans="1:2">
      <c r="A266" s="1110" t="s">
        <v>31</v>
      </c>
      <c r="B266" s="1345">
        <v>21.95</v>
      </c>
    </row>
    <row r="267" spans="1:2">
      <c r="A267" s="1110" t="s">
        <v>1982</v>
      </c>
      <c r="B267" s="1345">
        <v>11.29</v>
      </c>
    </row>
    <row r="268" spans="1:2">
      <c r="A268" s="1110" t="s">
        <v>1983</v>
      </c>
      <c r="B268" s="1345">
        <v>11.29</v>
      </c>
    </row>
    <row r="269" spans="1:2">
      <c r="A269" s="1110" t="s">
        <v>2003</v>
      </c>
      <c r="B269" s="1345">
        <v>30.66</v>
      </c>
    </row>
    <row r="270" spans="1:2">
      <c r="A270" s="1110" t="s">
        <v>2004</v>
      </c>
      <c r="B270" s="1345">
        <v>30.66</v>
      </c>
    </row>
    <row r="271" spans="1:2">
      <c r="A271" s="1110" t="s">
        <v>28</v>
      </c>
      <c r="B271" s="1345">
        <v>22.79</v>
      </c>
    </row>
    <row r="272" spans="1:2">
      <c r="A272" s="1110" t="s">
        <v>16</v>
      </c>
      <c r="B272" s="1345">
        <v>11.8</v>
      </c>
    </row>
    <row r="273" spans="1:2">
      <c r="A273" s="1110" t="s">
        <v>1993</v>
      </c>
      <c r="B273" s="1345">
        <v>0</v>
      </c>
    </row>
    <row r="274" spans="1:2">
      <c r="A274" s="1343" t="s">
        <v>1864</v>
      </c>
      <c r="B274" s="1344">
        <v>13.64</v>
      </c>
    </row>
    <row r="275" spans="1:2">
      <c r="A275" s="1110" t="s">
        <v>17</v>
      </c>
      <c r="B275" s="1345">
        <v>0</v>
      </c>
    </row>
    <row r="276" spans="1:2">
      <c r="A276" s="1343" t="s">
        <v>1865</v>
      </c>
      <c r="B276" s="1344">
        <v>15.35</v>
      </c>
    </row>
    <row r="277" spans="1:2">
      <c r="A277" s="1339" t="s">
        <v>1823</v>
      </c>
      <c r="B277" s="1340">
        <v>26.7</v>
      </c>
    </row>
    <row r="278" spans="1:2">
      <c r="A278" s="1110" t="s">
        <v>11</v>
      </c>
      <c r="B278" s="1345">
        <v>14.31</v>
      </c>
    </row>
    <row r="279" spans="1:2">
      <c r="A279" s="1110" t="s">
        <v>20</v>
      </c>
      <c r="B279" s="1345">
        <v>28</v>
      </c>
    </row>
    <row r="280" spans="1:2">
      <c r="A280" s="1110" t="s">
        <v>40</v>
      </c>
      <c r="B280" s="1345">
        <v>38.869999999999997</v>
      </c>
    </row>
    <row r="281" spans="1:2">
      <c r="A281" s="1339" t="s">
        <v>1826</v>
      </c>
      <c r="B281" s="1340">
        <v>25.5</v>
      </c>
    </row>
    <row r="282" spans="1:2">
      <c r="A282" s="1110" t="s">
        <v>14</v>
      </c>
      <c r="B282" s="1345">
        <v>14.39</v>
      </c>
    </row>
    <row r="283" spans="1:2">
      <c r="A283" s="1110" t="s">
        <v>25</v>
      </c>
      <c r="B283" s="1345">
        <v>28.14</v>
      </c>
    </row>
    <row r="284" spans="1:2">
      <c r="A284" s="1110" t="s">
        <v>43</v>
      </c>
      <c r="B284" s="1345">
        <v>39.06</v>
      </c>
    </row>
    <row r="285" spans="1:2">
      <c r="A285" s="1110" t="s">
        <v>23</v>
      </c>
      <c r="B285" s="1345">
        <v>28.98</v>
      </c>
    </row>
    <row r="286" spans="1:2">
      <c r="A286" s="1110" t="s">
        <v>22</v>
      </c>
      <c r="B286" s="1345">
        <v>28.98</v>
      </c>
    </row>
    <row r="287" spans="1:2">
      <c r="A287" s="1339" t="s">
        <v>1824</v>
      </c>
      <c r="B287" s="1340">
        <v>25.5</v>
      </c>
    </row>
    <row r="288" spans="1:2">
      <c r="A288" s="1110" t="s">
        <v>1984</v>
      </c>
      <c r="B288" s="1345">
        <v>14.89</v>
      </c>
    </row>
    <row r="289" spans="1:2">
      <c r="A289" s="1339" t="s">
        <v>1825</v>
      </c>
      <c r="B289" s="1340">
        <v>25.5</v>
      </c>
    </row>
    <row r="290" spans="1:2">
      <c r="A290" s="1110" t="s">
        <v>1985</v>
      </c>
      <c r="B290" s="1345">
        <v>14.89</v>
      </c>
    </row>
    <row r="291" spans="1:2">
      <c r="A291" s="1110" t="s">
        <v>2005</v>
      </c>
      <c r="B291" s="1345">
        <v>40.43</v>
      </c>
    </row>
    <row r="292" spans="1:2">
      <c r="A292" s="1110" t="s">
        <v>2006</v>
      </c>
      <c r="B292" s="1345">
        <v>40.43</v>
      </c>
    </row>
    <row r="293" spans="1:2">
      <c r="A293" s="1110" t="s">
        <v>29</v>
      </c>
      <c r="B293" s="1345">
        <v>29.83</v>
      </c>
    </row>
    <row r="294" spans="1:2">
      <c r="A294" s="1110" t="s">
        <v>1980</v>
      </c>
      <c r="B294" s="1345">
        <v>15.39</v>
      </c>
    </row>
    <row r="295" spans="1:2">
      <c r="A295" s="1343" t="s">
        <v>1860</v>
      </c>
      <c r="B295" s="1344">
        <v>17.899999999999999</v>
      </c>
    </row>
    <row r="296" spans="1:2">
      <c r="A296" s="1110" t="s">
        <v>13</v>
      </c>
      <c r="B296" s="1345">
        <v>17.98</v>
      </c>
    </row>
    <row r="297" spans="1:2">
      <c r="A297" s="1110" t="s">
        <v>24</v>
      </c>
      <c r="B297" s="1345">
        <v>35.18</v>
      </c>
    </row>
    <row r="298" spans="1:2">
      <c r="A298" s="1110" t="s">
        <v>42</v>
      </c>
      <c r="B298" s="1345">
        <v>48.83</v>
      </c>
    </row>
    <row r="299" spans="1:2">
      <c r="A299" s="1110" t="s">
        <v>34</v>
      </c>
      <c r="B299" s="1345">
        <v>36</v>
      </c>
    </row>
    <row r="300" spans="1:2">
      <c r="A300" s="1110" t="s">
        <v>33</v>
      </c>
      <c r="B300" s="1345">
        <v>36</v>
      </c>
    </row>
    <row r="301" spans="1:2">
      <c r="A301" s="1110" t="s">
        <v>1986</v>
      </c>
      <c r="B301" s="1345">
        <v>18.489999999999998</v>
      </c>
    </row>
    <row r="302" spans="1:2">
      <c r="A302" s="1110" t="s">
        <v>1987</v>
      </c>
      <c r="B302" s="1345">
        <v>18.489999999999998</v>
      </c>
    </row>
    <row r="303" spans="1:2">
      <c r="A303" s="1110" t="s">
        <v>2007</v>
      </c>
      <c r="B303" s="1345">
        <v>50.19</v>
      </c>
    </row>
    <row r="304" spans="1:2">
      <c r="A304" s="1110" t="s">
        <v>2008</v>
      </c>
      <c r="B304" s="1345">
        <v>50.19</v>
      </c>
    </row>
    <row r="305" spans="1:2">
      <c r="A305" s="1110" t="s">
        <v>30</v>
      </c>
      <c r="B305" s="1345">
        <v>36.86</v>
      </c>
    </row>
    <row r="306" spans="1:2">
      <c r="A306" s="1110" t="s">
        <v>1981</v>
      </c>
      <c r="B306" s="1345">
        <v>18.989999999999998</v>
      </c>
    </row>
    <row r="307" spans="1:2">
      <c r="A307" s="1343" t="s">
        <v>1866</v>
      </c>
      <c r="B307" s="1344">
        <v>21.53</v>
      </c>
    </row>
    <row r="308" spans="1:2">
      <c r="A308" s="1343" t="s">
        <v>2013</v>
      </c>
      <c r="B308" s="1344">
        <v>21.5</v>
      </c>
    </row>
    <row r="309" spans="1:2">
      <c r="A309" s="1350" t="s">
        <v>1961</v>
      </c>
      <c r="B309" s="1340">
        <v>5</v>
      </c>
    </row>
    <row r="310" spans="1:2">
      <c r="A310" s="1350" t="s">
        <v>2014</v>
      </c>
      <c r="B310" s="1351">
        <v>2.4000000000000004</v>
      </c>
    </row>
    <row r="311" spans="1:2">
      <c r="A311" s="1339" t="s">
        <v>1960</v>
      </c>
      <c r="B311" s="1340">
        <v>6.4</v>
      </c>
    </row>
    <row r="312" spans="1:2">
      <c r="A312" s="1339" t="s">
        <v>2015</v>
      </c>
      <c r="B312" s="1340">
        <v>3.8</v>
      </c>
    </row>
    <row r="313" spans="1:2">
      <c r="A313" s="1339" t="s">
        <v>1962</v>
      </c>
      <c r="B313" s="1340">
        <v>6.4</v>
      </c>
    </row>
    <row r="314" spans="1:2">
      <c r="A314" s="1350" t="s">
        <v>2016</v>
      </c>
      <c r="B314" s="1351">
        <v>4</v>
      </c>
    </row>
    <row r="315" spans="1:2">
      <c r="A315" s="1350" t="s">
        <v>1963</v>
      </c>
      <c r="B315" s="1351">
        <v>8.1000000000000014</v>
      </c>
    </row>
    <row r="316" spans="1:2">
      <c r="A316" s="1339" t="s">
        <v>2017</v>
      </c>
      <c r="B316" s="1340">
        <v>5.6</v>
      </c>
    </row>
    <row r="317" spans="1:2">
      <c r="A317" s="1339" t="s">
        <v>1965</v>
      </c>
      <c r="B317" s="1340">
        <v>9.6</v>
      </c>
    </row>
    <row r="318" spans="1:2">
      <c r="A318" s="1350" t="s">
        <v>2018</v>
      </c>
      <c r="B318" s="1351">
        <v>5.6</v>
      </c>
    </row>
    <row r="319" spans="1:2">
      <c r="A319" s="1350" t="s">
        <v>1966</v>
      </c>
      <c r="B319" s="1351">
        <v>10.8</v>
      </c>
    </row>
    <row r="320" spans="1:2">
      <c r="A320" s="1350" t="s">
        <v>2019</v>
      </c>
      <c r="B320" s="1351">
        <v>6.4</v>
      </c>
    </row>
    <row r="321" spans="1:2">
      <c r="A321" s="1350" t="s">
        <v>1967</v>
      </c>
      <c r="B321" s="1351">
        <v>12.15</v>
      </c>
    </row>
    <row r="322" spans="1:2">
      <c r="A322" s="1350" t="s">
        <v>2020</v>
      </c>
      <c r="B322" s="1351">
        <v>7.2</v>
      </c>
    </row>
    <row r="323" spans="1:2">
      <c r="A323" s="1350" t="s">
        <v>1968</v>
      </c>
      <c r="B323" s="1351">
        <v>13.5</v>
      </c>
    </row>
    <row r="324" spans="1:2">
      <c r="A324" s="1350" t="s">
        <v>2021</v>
      </c>
      <c r="B324" s="1351">
        <v>8</v>
      </c>
    </row>
    <row r="325" spans="1:2">
      <c r="A325" s="1350" t="s">
        <v>1969</v>
      </c>
      <c r="B325" s="1351">
        <v>14.850000000000001</v>
      </c>
    </row>
    <row r="326" spans="1:2">
      <c r="A326" s="1350" t="s">
        <v>1970</v>
      </c>
      <c r="B326" s="1351">
        <v>16.200000000000003</v>
      </c>
    </row>
    <row r="327" spans="1:2">
      <c r="A327" s="1350" t="s">
        <v>2022</v>
      </c>
      <c r="B327" s="1351">
        <v>9.6000000000000014</v>
      </c>
    </row>
    <row r="328" spans="1:2">
      <c r="A328" s="1350" t="s">
        <v>1903</v>
      </c>
      <c r="B328" s="1344">
        <v>0.94285714285714284</v>
      </c>
    </row>
    <row r="329" spans="1:2">
      <c r="A329" s="1350" t="s">
        <v>1904</v>
      </c>
      <c r="B329" s="1344">
        <v>1.4142857142857141</v>
      </c>
    </row>
    <row r="330" spans="1:2">
      <c r="A330" s="1339" t="s">
        <v>1822</v>
      </c>
      <c r="B330" s="1340">
        <v>9.6</v>
      </c>
    </row>
    <row r="331" spans="1:2">
      <c r="A331" s="1339" t="s">
        <v>1822</v>
      </c>
      <c r="B331" s="1340">
        <v>4.8</v>
      </c>
    </row>
    <row r="332" spans="1:2">
      <c r="A332" s="1350" t="s">
        <v>1905</v>
      </c>
      <c r="B332" s="1344">
        <v>1.8857142857142857</v>
      </c>
    </row>
    <row r="333" spans="1:2">
      <c r="A333" s="1350" t="s">
        <v>1906</v>
      </c>
      <c r="B333" s="1344">
        <v>2.3571428571428572</v>
      </c>
    </row>
    <row r="334" spans="1:2">
      <c r="A334" s="1350" t="s">
        <v>1907</v>
      </c>
      <c r="B334" s="1344">
        <v>2.8285714285714283</v>
      </c>
    </row>
    <row r="335" spans="1:2">
      <c r="A335" s="1350" t="s">
        <v>1908</v>
      </c>
      <c r="B335" s="1340">
        <v>3.3</v>
      </c>
    </row>
    <row r="336" spans="1:2">
      <c r="A336" s="1350" t="s">
        <v>1932</v>
      </c>
      <c r="B336" s="1344">
        <v>2.1290999999999998</v>
      </c>
    </row>
    <row r="337" spans="1:2">
      <c r="A337" s="1339" t="s">
        <v>1818</v>
      </c>
      <c r="B337" s="1340">
        <v>6.4</v>
      </c>
    </row>
    <row r="338" spans="1:2">
      <c r="A338" s="1339" t="s">
        <v>1818</v>
      </c>
      <c r="B338" s="1340">
        <v>4.4400000000000004</v>
      </c>
    </row>
    <row r="339" spans="1:2">
      <c r="A339" s="1350" t="s">
        <v>1933</v>
      </c>
      <c r="B339" s="1351">
        <v>2.8841000000000001</v>
      </c>
    </row>
    <row r="340" spans="1:2">
      <c r="A340" s="1350" t="s">
        <v>1934</v>
      </c>
      <c r="B340" s="1344">
        <v>3.6466500000000002</v>
      </c>
    </row>
    <row r="341" spans="1:2">
      <c r="A341" s="1339" t="s">
        <v>1801</v>
      </c>
      <c r="B341" s="1340">
        <v>4.4400000000000004</v>
      </c>
    </row>
    <row r="342" spans="1:2">
      <c r="A342" s="1350" t="s">
        <v>1935</v>
      </c>
      <c r="B342" s="1344">
        <v>4.4400000000000004</v>
      </c>
    </row>
    <row r="343" spans="1:2">
      <c r="A343" s="1350" t="s">
        <v>1936</v>
      </c>
      <c r="B343" s="1344">
        <v>5.15665</v>
      </c>
    </row>
    <row r="344" spans="1:2">
      <c r="A344" s="1350" t="s">
        <v>1937</v>
      </c>
      <c r="B344" s="1344">
        <v>5.9116499999999998</v>
      </c>
    </row>
    <row r="345" spans="1:2">
      <c r="A345" s="1350" t="s">
        <v>1938</v>
      </c>
      <c r="B345" s="1344">
        <v>6.6666499999999997</v>
      </c>
    </row>
    <row r="346" spans="1:2">
      <c r="A346" s="1350" t="s">
        <v>1939</v>
      </c>
      <c r="B346" s="1344">
        <v>7.4216500000000005</v>
      </c>
    </row>
    <row r="347" spans="1:2">
      <c r="A347" s="1339" t="s">
        <v>1831</v>
      </c>
      <c r="B347" s="1340">
        <v>7.3</v>
      </c>
    </row>
    <row r="348" spans="1:2">
      <c r="A348" s="1339" t="s">
        <v>1832</v>
      </c>
      <c r="B348" s="1340">
        <v>4.3</v>
      </c>
    </row>
    <row r="349" spans="1:2">
      <c r="A349" s="1352" t="s">
        <v>1919</v>
      </c>
      <c r="B349" s="1344">
        <v>30.046799999999998</v>
      </c>
    </row>
    <row r="350" spans="1:2">
      <c r="A350" s="1352" t="s">
        <v>1909</v>
      </c>
      <c r="B350" s="1344">
        <v>3.7667999999999999</v>
      </c>
    </row>
    <row r="351" spans="1:2">
      <c r="A351" s="1339" t="s">
        <v>1820</v>
      </c>
      <c r="B351" s="1340">
        <v>13.3</v>
      </c>
    </row>
    <row r="352" spans="1:2">
      <c r="A352" s="1352" t="s">
        <v>1910</v>
      </c>
      <c r="B352" s="1344">
        <v>6.6867999999999999</v>
      </c>
    </row>
    <row r="353" spans="1:2">
      <c r="A353" s="1352" t="s">
        <v>1912</v>
      </c>
      <c r="B353" s="1344">
        <v>8.9059999999999988</v>
      </c>
    </row>
    <row r="354" spans="1:2">
      <c r="A354" s="1352" t="s">
        <v>1911</v>
      </c>
      <c r="B354" s="1344">
        <v>9.6067999999999998</v>
      </c>
    </row>
    <row r="355" spans="1:2">
      <c r="A355" s="1339" t="s">
        <v>1799</v>
      </c>
      <c r="B355" s="1340">
        <v>4.0999999999999996</v>
      </c>
    </row>
    <row r="356" spans="1:2">
      <c r="A356" s="1339" t="s">
        <v>1798</v>
      </c>
      <c r="B356" s="1340">
        <v>4.3</v>
      </c>
    </row>
    <row r="357" spans="1:2">
      <c r="A357" s="1352" t="s">
        <v>1913</v>
      </c>
      <c r="B357" s="1344">
        <v>12.5268</v>
      </c>
    </row>
    <row r="358" spans="1:2">
      <c r="A358" s="1339" t="s">
        <v>1835</v>
      </c>
      <c r="B358" s="1340">
        <v>1.3</v>
      </c>
    </row>
    <row r="359" spans="1:2">
      <c r="A359" s="1339" t="s">
        <v>1821</v>
      </c>
      <c r="B359" s="1340">
        <v>5.3</v>
      </c>
    </row>
    <row r="360" spans="1:2">
      <c r="A360" s="1352" t="s">
        <v>1914</v>
      </c>
      <c r="B360" s="1344">
        <v>15.4468</v>
      </c>
    </row>
    <row r="361" spans="1:2">
      <c r="A361" s="1352" t="s">
        <v>1915</v>
      </c>
      <c r="B361" s="1344">
        <v>18.366800000000001</v>
      </c>
    </row>
    <row r="362" spans="1:2">
      <c r="A362" s="1339" t="s">
        <v>1834</v>
      </c>
      <c r="B362" s="1340">
        <v>11.3</v>
      </c>
    </row>
    <row r="363" spans="1:2">
      <c r="A363" s="1339" t="s">
        <v>1833</v>
      </c>
      <c r="B363" s="1340">
        <v>10.1</v>
      </c>
    </row>
    <row r="364" spans="1:2">
      <c r="A364" s="1352" t="s">
        <v>1916</v>
      </c>
      <c r="B364" s="1344">
        <v>21.286799999999999</v>
      </c>
    </row>
    <row r="365" spans="1:2">
      <c r="A365" s="1339" t="s">
        <v>1797</v>
      </c>
      <c r="B365" s="1340">
        <v>8.3000000000000007</v>
      </c>
    </row>
    <row r="366" spans="1:2">
      <c r="A366" s="1352" t="s">
        <v>1917</v>
      </c>
      <c r="B366" s="1344">
        <v>24.206799999999998</v>
      </c>
    </row>
    <row r="367" spans="1:2">
      <c r="A367" s="1339" t="s">
        <v>1830</v>
      </c>
      <c r="B367" s="1340">
        <v>7.3</v>
      </c>
    </row>
    <row r="368" spans="1:2">
      <c r="A368" s="1352" t="s">
        <v>1918</v>
      </c>
      <c r="B368" s="1344">
        <v>27.126799999999996</v>
      </c>
    </row>
    <row r="369" spans="1:2">
      <c r="A369" s="1352" t="s">
        <v>1931</v>
      </c>
      <c r="B369" s="1344">
        <v>30.951999999999998</v>
      </c>
    </row>
    <row r="370" spans="1:2">
      <c r="A370" s="1352" t="s">
        <v>1920</v>
      </c>
      <c r="B370" s="1344">
        <v>4.6719999999999997</v>
      </c>
    </row>
    <row r="371" spans="1:2">
      <c r="A371" s="1352" t="s">
        <v>1921</v>
      </c>
      <c r="B371" s="1344">
        <v>6.8911999999999995</v>
      </c>
    </row>
    <row r="372" spans="1:2">
      <c r="A372" s="1352" t="s">
        <v>1922</v>
      </c>
      <c r="B372" s="1344">
        <v>7.5919999999999996</v>
      </c>
    </row>
    <row r="373" spans="1:2">
      <c r="A373" s="1352" t="s">
        <v>1923</v>
      </c>
      <c r="B373" s="1344">
        <v>10.512</v>
      </c>
    </row>
    <row r="374" spans="1:2">
      <c r="A374" s="1352" t="s">
        <v>1924</v>
      </c>
      <c r="B374" s="1344">
        <v>13.431999999999999</v>
      </c>
    </row>
    <row r="375" spans="1:2">
      <c r="A375" s="1352" t="s">
        <v>1925</v>
      </c>
      <c r="B375" s="1344">
        <v>16.352</v>
      </c>
    </row>
    <row r="376" spans="1:2">
      <c r="A376" s="1352" t="s">
        <v>1926</v>
      </c>
      <c r="B376" s="1344">
        <v>18.571200000000001</v>
      </c>
    </row>
    <row r="377" spans="1:2">
      <c r="A377" s="1352" t="s">
        <v>1927</v>
      </c>
      <c r="B377" s="1344">
        <v>19.271999999999998</v>
      </c>
    </row>
    <row r="378" spans="1:2">
      <c r="A378" s="1352" t="s">
        <v>1928</v>
      </c>
      <c r="B378" s="1344">
        <v>22.192</v>
      </c>
    </row>
    <row r="379" spans="1:2">
      <c r="A379" s="1352" t="s">
        <v>1929</v>
      </c>
      <c r="B379" s="1344">
        <v>25.111999999999998</v>
      </c>
    </row>
    <row r="380" spans="1:2">
      <c r="A380" s="1352" t="s">
        <v>1930</v>
      </c>
      <c r="B380" s="1344">
        <v>28.032</v>
      </c>
    </row>
    <row r="381" spans="1:2">
      <c r="A381" s="1339" t="s">
        <v>1817</v>
      </c>
      <c r="B381" s="1340">
        <v>0.6</v>
      </c>
    </row>
    <row r="382" spans="1:2">
      <c r="A382" s="1339" t="s">
        <v>1816</v>
      </c>
      <c r="B382" s="1340">
        <v>5.0999999999999997E-2</v>
      </c>
    </row>
    <row r="383" spans="1:2">
      <c r="A383" s="1339" t="s">
        <v>1813</v>
      </c>
      <c r="B383" s="1340">
        <v>5.0999999999999997E-2</v>
      </c>
    </row>
    <row r="384" spans="1:2">
      <c r="A384" s="1339" t="s">
        <v>1814</v>
      </c>
      <c r="B384" s="1340">
        <v>0.123</v>
      </c>
    </row>
    <row r="385" spans="1:2">
      <c r="A385" s="1339"/>
      <c r="B385" s="1340"/>
    </row>
    <row r="386" spans="1:2">
      <c r="A386" s="1339"/>
      <c r="B386" s="1340"/>
    </row>
    <row r="387" spans="1:2">
      <c r="A387" s="1339"/>
      <c r="B387" s="1340"/>
    </row>
    <row r="388" spans="1:2">
      <c r="A388" s="1339"/>
      <c r="B388" s="1340"/>
    </row>
    <row r="389" spans="1:2">
      <c r="A389" s="1339"/>
      <c r="B389" s="1340"/>
    </row>
    <row r="390" spans="1:2">
      <c r="A390" s="1339"/>
      <c r="B390" s="1340"/>
    </row>
    <row r="391" spans="1:2">
      <c r="A391" s="1339"/>
      <c r="B391" s="1340"/>
    </row>
    <row r="392" spans="1:2">
      <c r="A392" s="1339"/>
      <c r="B392" s="1340"/>
    </row>
  </sheetData>
  <autoFilter ref="A2:B403" xr:uid="{412FD9F6-80ED-4177-A7BC-0DC984D218E8}">
    <sortState xmlns:xlrd2="http://schemas.microsoft.com/office/spreadsheetml/2017/richdata2" ref="A3:B403">
      <sortCondition ref="A2:A403"/>
    </sortState>
  </autoFilter>
  <phoneticPr fontId="1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63FDD-D951-4460-A8B9-9AC4F7F96A36}">
  <sheetPr codeName="Sheet7">
    <pageSetUpPr fitToPage="1"/>
  </sheetPr>
  <dimension ref="A1:S112"/>
  <sheetViews>
    <sheetView view="pageBreakPreview" zoomScale="60" zoomScaleNormal="100" zoomScalePageLayoutView="40" workbookViewId="0">
      <selection activeCell="W44" sqref="W44"/>
    </sheetView>
  </sheetViews>
  <sheetFormatPr defaultColWidth="6.75" defaultRowHeight="16.5"/>
  <cols>
    <col min="1" max="1" width="8.625" style="1122" customWidth="1"/>
    <col min="2" max="2" width="10" style="1122" customWidth="1"/>
    <col min="3" max="3" width="5.125" style="1122" customWidth="1"/>
    <col min="4" max="4" width="10.25" style="1122" customWidth="1"/>
    <col min="5" max="5" width="5.125" style="1122" customWidth="1"/>
    <col min="6" max="6" width="10" style="1122" customWidth="1"/>
    <col min="7" max="7" width="5" style="1122" customWidth="1"/>
    <col min="8" max="8" width="10" style="1122" customWidth="1"/>
    <col min="9" max="9" width="5" style="1122" customWidth="1"/>
    <col min="10" max="10" width="10" style="1122" customWidth="1"/>
    <col min="11" max="11" width="6.25" style="1122" bestFit="1" customWidth="1"/>
    <col min="12" max="12" width="9.875" style="1122" customWidth="1"/>
    <col min="13" max="13" width="5.25" style="1122" customWidth="1"/>
    <col min="14" max="14" width="10.125" style="1122" customWidth="1"/>
    <col min="15" max="15" width="6.25" style="1122" bestFit="1" customWidth="1"/>
    <col min="16" max="16" width="9.875" style="1122" customWidth="1"/>
    <col min="17" max="17" width="6.375" style="1122" bestFit="1" customWidth="1"/>
    <col min="18" max="18" width="9.875" style="1122" customWidth="1"/>
    <col min="19" max="19" width="5.125" style="1122" customWidth="1"/>
    <col min="20" max="220" width="6.75" style="1122"/>
    <col min="221" max="221" width="7.75" style="1122" bestFit="1" customWidth="1"/>
    <col min="222" max="222" width="6.75" style="1122"/>
    <col min="223" max="223" width="3.25" style="1122" customWidth="1"/>
    <col min="224" max="224" width="6.75" style="1122"/>
    <col min="225" max="225" width="3.25" style="1122" customWidth="1"/>
    <col min="226" max="226" width="6.75" style="1122"/>
    <col min="227" max="227" width="3.25" style="1122" customWidth="1"/>
    <col min="228" max="228" width="6.75" style="1122"/>
    <col min="229" max="229" width="3.25" style="1122" customWidth="1"/>
    <col min="230" max="230" width="6.75" style="1122"/>
    <col min="231" max="231" width="3.25" style="1122" customWidth="1"/>
    <col min="232" max="232" width="6.75" style="1122"/>
    <col min="233" max="233" width="3.25" style="1122" customWidth="1"/>
    <col min="234" max="234" width="6.75" style="1122"/>
    <col min="235" max="235" width="3.25" style="1122" customWidth="1"/>
    <col min="236" max="236" width="6.75" style="1122"/>
    <col min="237" max="237" width="3.25" style="1122" customWidth="1"/>
    <col min="238" max="238" width="6.75" style="1122"/>
    <col min="239" max="239" width="3.25" style="1122" customWidth="1"/>
    <col min="240" max="240" width="6.75" style="1122"/>
    <col min="241" max="241" width="3.25" style="1122" customWidth="1"/>
    <col min="242" max="242" width="6.75" style="1122"/>
    <col min="243" max="243" width="3.25" style="1122" customWidth="1"/>
    <col min="244" max="244" width="6.75" style="1122"/>
    <col min="245" max="245" width="3.25" style="1122" customWidth="1"/>
    <col min="246" max="246" width="6.75" style="1122"/>
    <col min="247" max="247" width="3.25" style="1122" customWidth="1"/>
    <col min="248" max="248" width="6.75" style="1122"/>
    <col min="249" max="249" width="3.25" style="1122" customWidth="1"/>
    <col min="250" max="250" width="6.75" style="1122"/>
    <col min="251" max="251" width="3.25" style="1122" customWidth="1"/>
    <col min="252" max="252" width="6.75" style="1122"/>
    <col min="253" max="253" width="3.25" style="1122" customWidth="1"/>
    <col min="254" max="254" width="6.75" style="1122"/>
    <col min="255" max="255" width="3.25" style="1122" customWidth="1"/>
    <col min="256" max="476" width="6.75" style="1122"/>
    <col min="477" max="477" width="7.75" style="1122" bestFit="1" customWidth="1"/>
    <col min="478" max="478" width="6.75" style="1122"/>
    <col min="479" max="479" width="3.25" style="1122" customWidth="1"/>
    <col min="480" max="480" width="6.75" style="1122"/>
    <col min="481" max="481" width="3.25" style="1122" customWidth="1"/>
    <col min="482" max="482" width="6.75" style="1122"/>
    <col min="483" max="483" width="3.25" style="1122" customWidth="1"/>
    <col min="484" max="484" width="6.75" style="1122"/>
    <col min="485" max="485" width="3.25" style="1122" customWidth="1"/>
    <col min="486" max="486" width="6.75" style="1122"/>
    <col min="487" max="487" width="3.25" style="1122" customWidth="1"/>
    <col min="488" max="488" width="6.75" style="1122"/>
    <col min="489" max="489" width="3.25" style="1122" customWidth="1"/>
    <col min="490" max="490" width="6.75" style="1122"/>
    <col min="491" max="491" width="3.25" style="1122" customWidth="1"/>
    <col min="492" max="492" width="6.75" style="1122"/>
    <col min="493" max="493" width="3.25" style="1122" customWidth="1"/>
    <col min="494" max="494" width="6.75" style="1122"/>
    <col min="495" max="495" width="3.25" style="1122" customWidth="1"/>
    <col min="496" max="496" width="6.75" style="1122"/>
    <col min="497" max="497" width="3.25" style="1122" customWidth="1"/>
    <col min="498" max="498" width="6.75" style="1122"/>
    <col min="499" max="499" width="3.25" style="1122" customWidth="1"/>
    <col min="500" max="500" width="6.75" style="1122"/>
    <col min="501" max="501" width="3.25" style="1122" customWidth="1"/>
    <col min="502" max="502" width="6.75" style="1122"/>
    <col min="503" max="503" width="3.25" style="1122" customWidth="1"/>
    <col min="504" max="504" width="6.75" style="1122"/>
    <col min="505" max="505" width="3.25" style="1122" customWidth="1"/>
    <col min="506" max="506" width="6.75" style="1122"/>
    <col min="507" max="507" width="3.25" style="1122" customWidth="1"/>
    <col min="508" max="508" width="6.75" style="1122"/>
    <col min="509" max="509" width="3.25" style="1122" customWidth="1"/>
    <col min="510" max="510" width="6.75" style="1122"/>
    <col min="511" max="511" width="3.25" style="1122" customWidth="1"/>
    <col min="512" max="732" width="6.75" style="1122"/>
    <col min="733" max="733" width="7.75" style="1122" bestFit="1" customWidth="1"/>
    <col min="734" max="734" width="6.75" style="1122"/>
    <col min="735" max="735" width="3.25" style="1122" customWidth="1"/>
    <col min="736" max="736" width="6.75" style="1122"/>
    <col min="737" max="737" width="3.25" style="1122" customWidth="1"/>
    <col min="738" max="738" width="6.75" style="1122"/>
    <col min="739" max="739" width="3.25" style="1122" customWidth="1"/>
    <col min="740" max="740" width="6.75" style="1122"/>
    <col min="741" max="741" width="3.25" style="1122" customWidth="1"/>
    <col min="742" max="742" width="6.75" style="1122"/>
    <col min="743" max="743" width="3.25" style="1122" customWidth="1"/>
    <col min="744" max="744" width="6.75" style="1122"/>
    <col min="745" max="745" width="3.25" style="1122" customWidth="1"/>
    <col min="746" max="746" width="6.75" style="1122"/>
    <col min="747" max="747" width="3.25" style="1122" customWidth="1"/>
    <col min="748" max="748" width="6.75" style="1122"/>
    <col min="749" max="749" width="3.25" style="1122" customWidth="1"/>
    <col min="750" max="750" width="6.75" style="1122"/>
    <col min="751" max="751" width="3.25" style="1122" customWidth="1"/>
    <col min="752" max="752" width="6.75" style="1122"/>
    <col min="753" max="753" width="3.25" style="1122" customWidth="1"/>
    <col min="754" max="754" width="6.75" style="1122"/>
    <col min="755" max="755" width="3.25" style="1122" customWidth="1"/>
    <col min="756" max="756" width="6.75" style="1122"/>
    <col min="757" max="757" width="3.25" style="1122" customWidth="1"/>
    <col min="758" max="758" width="6.75" style="1122"/>
    <col min="759" max="759" width="3.25" style="1122" customWidth="1"/>
    <col min="760" max="760" width="6.75" style="1122"/>
    <col min="761" max="761" width="3.25" style="1122" customWidth="1"/>
    <col min="762" max="762" width="6.75" style="1122"/>
    <col min="763" max="763" width="3.25" style="1122" customWidth="1"/>
    <col min="764" max="764" width="6.75" style="1122"/>
    <col min="765" max="765" width="3.25" style="1122" customWidth="1"/>
    <col min="766" max="766" width="6.75" style="1122"/>
    <col min="767" max="767" width="3.25" style="1122" customWidth="1"/>
    <col min="768" max="988" width="6.75" style="1122"/>
    <col min="989" max="989" width="7.75" style="1122" bestFit="1" customWidth="1"/>
    <col min="990" max="990" width="6.75" style="1122"/>
    <col min="991" max="991" width="3.25" style="1122" customWidth="1"/>
    <col min="992" max="992" width="6.75" style="1122"/>
    <col min="993" max="993" width="3.25" style="1122" customWidth="1"/>
    <col min="994" max="994" width="6.75" style="1122"/>
    <col min="995" max="995" width="3.25" style="1122" customWidth="1"/>
    <col min="996" max="996" width="6.75" style="1122"/>
    <col min="997" max="997" width="3.25" style="1122" customWidth="1"/>
    <col min="998" max="998" width="6.75" style="1122"/>
    <col min="999" max="999" width="3.25" style="1122" customWidth="1"/>
    <col min="1000" max="1000" width="6.75" style="1122"/>
    <col min="1001" max="1001" width="3.25" style="1122" customWidth="1"/>
    <col min="1002" max="1002" width="6.75" style="1122"/>
    <col min="1003" max="1003" width="3.25" style="1122" customWidth="1"/>
    <col min="1004" max="1004" width="6.75" style="1122"/>
    <col min="1005" max="1005" width="3.25" style="1122" customWidth="1"/>
    <col min="1006" max="1006" width="6.75" style="1122"/>
    <col min="1007" max="1007" width="3.25" style="1122" customWidth="1"/>
    <col min="1008" max="1008" width="6.75" style="1122"/>
    <col min="1009" max="1009" width="3.25" style="1122" customWidth="1"/>
    <col min="1010" max="1010" width="6.75" style="1122"/>
    <col min="1011" max="1011" width="3.25" style="1122" customWidth="1"/>
    <col min="1012" max="1012" width="6.75" style="1122"/>
    <col min="1013" max="1013" width="3.25" style="1122" customWidth="1"/>
    <col min="1014" max="1014" width="6.75" style="1122"/>
    <col min="1015" max="1015" width="3.25" style="1122" customWidth="1"/>
    <col min="1016" max="1016" width="6.75" style="1122"/>
    <col min="1017" max="1017" width="3.25" style="1122" customWidth="1"/>
    <col min="1018" max="1018" width="6.75" style="1122"/>
    <col min="1019" max="1019" width="3.25" style="1122" customWidth="1"/>
    <col min="1020" max="1020" width="6.75" style="1122"/>
    <col min="1021" max="1021" width="3.25" style="1122" customWidth="1"/>
    <col min="1022" max="1022" width="6.75" style="1122"/>
    <col min="1023" max="1023" width="3.25" style="1122" customWidth="1"/>
    <col min="1024" max="1244" width="6.75" style="1122"/>
    <col min="1245" max="1245" width="7.75" style="1122" bestFit="1" customWidth="1"/>
    <col min="1246" max="1246" width="6.75" style="1122"/>
    <col min="1247" max="1247" width="3.25" style="1122" customWidth="1"/>
    <col min="1248" max="1248" width="6.75" style="1122"/>
    <col min="1249" max="1249" width="3.25" style="1122" customWidth="1"/>
    <col min="1250" max="1250" width="6.75" style="1122"/>
    <col min="1251" max="1251" width="3.25" style="1122" customWidth="1"/>
    <col min="1252" max="1252" width="6.75" style="1122"/>
    <col min="1253" max="1253" width="3.25" style="1122" customWidth="1"/>
    <col min="1254" max="1254" width="6.75" style="1122"/>
    <col min="1255" max="1255" width="3.25" style="1122" customWidth="1"/>
    <col min="1256" max="1256" width="6.75" style="1122"/>
    <col min="1257" max="1257" width="3.25" style="1122" customWidth="1"/>
    <col min="1258" max="1258" width="6.75" style="1122"/>
    <col min="1259" max="1259" width="3.25" style="1122" customWidth="1"/>
    <col min="1260" max="1260" width="6.75" style="1122"/>
    <col min="1261" max="1261" width="3.25" style="1122" customWidth="1"/>
    <col min="1262" max="1262" width="6.75" style="1122"/>
    <col min="1263" max="1263" width="3.25" style="1122" customWidth="1"/>
    <col min="1264" max="1264" width="6.75" style="1122"/>
    <col min="1265" max="1265" width="3.25" style="1122" customWidth="1"/>
    <col min="1266" max="1266" width="6.75" style="1122"/>
    <col min="1267" max="1267" width="3.25" style="1122" customWidth="1"/>
    <col min="1268" max="1268" width="6.75" style="1122"/>
    <col min="1269" max="1269" width="3.25" style="1122" customWidth="1"/>
    <col min="1270" max="1270" width="6.75" style="1122"/>
    <col min="1271" max="1271" width="3.25" style="1122" customWidth="1"/>
    <col min="1272" max="1272" width="6.75" style="1122"/>
    <col min="1273" max="1273" width="3.25" style="1122" customWidth="1"/>
    <col min="1274" max="1274" width="6.75" style="1122"/>
    <col min="1275" max="1275" width="3.25" style="1122" customWidth="1"/>
    <col min="1276" max="1276" width="6.75" style="1122"/>
    <col min="1277" max="1277" width="3.25" style="1122" customWidth="1"/>
    <col min="1278" max="1278" width="6.75" style="1122"/>
    <col min="1279" max="1279" width="3.25" style="1122" customWidth="1"/>
    <col min="1280" max="1500" width="6.75" style="1122"/>
    <col min="1501" max="1501" width="7.75" style="1122" bestFit="1" customWidth="1"/>
    <col min="1502" max="1502" width="6.75" style="1122"/>
    <col min="1503" max="1503" width="3.25" style="1122" customWidth="1"/>
    <col min="1504" max="1504" width="6.75" style="1122"/>
    <col min="1505" max="1505" width="3.25" style="1122" customWidth="1"/>
    <col min="1506" max="1506" width="6.75" style="1122"/>
    <col min="1507" max="1507" width="3.25" style="1122" customWidth="1"/>
    <col min="1508" max="1508" width="6.75" style="1122"/>
    <col min="1509" max="1509" width="3.25" style="1122" customWidth="1"/>
    <col min="1510" max="1510" width="6.75" style="1122"/>
    <col min="1511" max="1511" width="3.25" style="1122" customWidth="1"/>
    <col min="1512" max="1512" width="6.75" style="1122"/>
    <col min="1513" max="1513" width="3.25" style="1122" customWidth="1"/>
    <col min="1514" max="1514" width="6.75" style="1122"/>
    <col min="1515" max="1515" width="3.25" style="1122" customWidth="1"/>
    <col min="1516" max="1516" width="6.75" style="1122"/>
    <col min="1517" max="1517" width="3.25" style="1122" customWidth="1"/>
    <col min="1518" max="1518" width="6.75" style="1122"/>
    <col min="1519" max="1519" width="3.25" style="1122" customWidth="1"/>
    <col min="1520" max="1520" width="6.75" style="1122"/>
    <col min="1521" max="1521" width="3.25" style="1122" customWidth="1"/>
    <col min="1522" max="1522" width="6.75" style="1122"/>
    <col min="1523" max="1523" width="3.25" style="1122" customWidth="1"/>
    <col min="1524" max="1524" width="6.75" style="1122"/>
    <col min="1525" max="1525" width="3.25" style="1122" customWidth="1"/>
    <col min="1526" max="1526" width="6.75" style="1122"/>
    <col min="1527" max="1527" width="3.25" style="1122" customWidth="1"/>
    <col min="1528" max="1528" width="6.75" style="1122"/>
    <col min="1529" max="1529" width="3.25" style="1122" customWidth="1"/>
    <col min="1530" max="1530" width="6.75" style="1122"/>
    <col min="1531" max="1531" width="3.25" style="1122" customWidth="1"/>
    <col min="1532" max="1532" width="6.75" style="1122"/>
    <col min="1533" max="1533" width="3.25" style="1122" customWidth="1"/>
    <col min="1534" max="1534" width="6.75" style="1122"/>
    <col min="1535" max="1535" width="3.25" style="1122" customWidth="1"/>
    <col min="1536" max="1756" width="6.75" style="1122"/>
    <col min="1757" max="1757" width="7.75" style="1122" bestFit="1" customWidth="1"/>
    <col min="1758" max="1758" width="6.75" style="1122"/>
    <col min="1759" max="1759" width="3.25" style="1122" customWidth="1"/>
    <col min="1760" max="1760" width="6.75" style="1122"/>
    <col min="1761" max="1761" width="3.25" style="1122" customWidth="1"/>
    <col min="1762" max="1762" width="6.75" style="1122"/>
    <col min="1763" max="1763" width="3.25" style="1122" customWidth="1"/>
    <col min="1764" max="1764" width="6.75" style="1122"/>
    <col min="1765" max="1765" width="3.25" style="1122" customWidth="1"/>
    <col min="1766" max="1766" width="6.75" style="1122"/>
    <col min="1767" max="1767" width="3.25" style="1122" customWidth="1"/>
    <col min="1768" max="1768" width="6.75" style="1122"/>
    <col min="1769" max="1769" width="3.25" style="1122" customWidth="1"/>
    <col min="1770" max="1770" width="6.75" style="1122"/>
    <col min="1771" max="1771" width="3.25" style="1122" customWidth="1"/>
    <col min="1772" max="1772" width="6.75" style="1122"/>
    <col min="1773" max="1773" width="3.25" style="1122" customWidth="1"/>
    <col min="1774" max="1774" width="6.75" style="1122"/>
    <col min="1775" max="1775" width="3.25" style="1122" customWidth="1"/>
    <col min="1776" max="1776" width="6.75" style="1122"/>
    <col min="1777" max="1777" width="3.25" style="1122" customWidth="1"/>
    <col min="1778" max="1778" width="6.75" style="1122"/>
    <col min="1779" max="1779" width="3.25" style="1122" customWidth="1"/>
    <col min="1780" max="1780" width="6.75" style="1122"/>
    <col min="1781" max="1781" width="3.25" style="1122" customWidth="1"/>
    <col min="1782" max="1782" width="6.75" style="1122"/>
    <col min="1783" max="1783" width="3.25" style="1122" customWidth="1"/>
    <col min="1784" max="1784" width="6.75" style="1122"/>
    <col min="1785" max="1785" width="3.25" style="1122" customWidth="1"/>
    <col min="1786" max="1786" width="6.75" style="1122"/>
    <col min="1787" max="1787" width="3.25" style="1122" customWidth="1"/>
    <col min="1788" max="1788" width="6.75" style="1122"/>
    <col min="1789" max="1789" width="3.25" style="1122" customWidth="1"/>
    <col min="1790" max="1790" width="6.75" style="1122"/>
    <col min="1791" max="1791" width="3.25" style="1122" customWidth="1"/>
    <col min="1792" max="2012" width="6.75" style="1122"/>
    <col min="2013" max="2013" width="7.75" style="1122" bestFit="1" customWidth="1"/>
    <col min="2014" max="2014" width="6.75" style="1122"/>
    <col min="2015" max="2015" width="3.25" style="1122" customWidth="1"/>
    <col min="2016" max="2016" width="6.75" style="1122"/>
    <col min="2017" max="2017" width="3.25" style="1122" customWidth="1"/>
    <col min="2018" max="2018" width="6.75" style="1122"/>
    <col min="2019" max="2019" width="3.25" style="1122" customWidth="1"/>
    <col min="2020" max="2020" width="6.75" style="1122"/>
    <col min="2021" max="2021" width="3.25" style="1122" customWidth="1"/>
    <col min="2022" max="2022" width="6.75" style="1122"/>
    <col min="2023" max="2023" width="3.25" style="1122" customWidth="1"/>
    <col min="2024" max="2024" width="6.75" style="1122"/>
    <col min="2025" max="2025" width="3.25" style="1122" customWidth="1"/>
    <col min="2026" max="2026" width="6.75" style="1122"/>
    <col min="2027" max="2027" width="3.25" style="1122" customWidth="1"/>
    <col min="2028" max="2028" width="6.75" style="1122"/>
    <col min="2029" max="2029" width="3.25" style="1122" customWidth="1"/>
    <col min="2030" max="2030" width="6.75" style="1122"/>
    <col min="2031" max="2031" width="3.25" style="1122" customWidth="1"/>
    <col min="2032" max="2032" width="6.75" style="1122"/>
    <col min="2033" max="2033" width="3.25" style="1122" customWidth="1"/>
    <col min="2034" max="2034" width="6.75" style="1122"/>
    <col min="2035" max="2035" width="3.25" style="1122" customWidth="1"/>
    <col min="2036" max="2036" width="6.75" style="1122"/>
    <col min="2037" max="2037" width="3.25" style="1122" customWidth="1"/>
    <col min="2038" max="2038" width="6.75" style="1122"/>
    <col min="2039" max="2039" width="3.25" style="1122" customWidth="1"/>
    <col min="2040" max="2040" width="6.75" style="1122"/>
    <col min="2041" max="2041" width="3.25" style="1122" customWidth="1"/>
    <col min="2042" max="2042" width="6.75" style="1122"/>
    <col min="2043" max="2043" width="3.25" style="1122" customWidth="1"/>
    <col min="2044" max="2044" width="6.75" style="1122"/>
    <col min="2045" max="2045" width="3.25" style="1122" customWidth="1"/>
    <col min="2046" max="2046" width="6.75" style="1122"/>
    <col min="2047" max="2047" width="3.25" style="1122" customWidth="1"/>
    <col min="2048" max="2268" width="6.75" style="1122"/>
    <col min="2269" max="2269" width="7.75" style="1122" bestFit="1" customWidth="1"/>
    <col min="2270" max="2270" width="6.75" style="1122"/>
    <col min="2271" max="2271" width="3.25" style="1122" customWidth="1"/>
    <col min="2272" max="2272" width="6.75" style="1122"/>
    <col min="2273" max="2273" width="3.25" style="1122" customWidth="1"/>
    <col min="2274" max="2274" width="6.75" style="1122"/>
    <col min="2275" max="2275" width="3.25" style="1122" customWidth="1"/>
    <col min="2276" max="2276" width="6.75" style="1122"/>
    <col min="2277" max="2277" width="3.25" style="1122" customWidth="1"/>
    <col min="2278" max="2278" width="6.75" style="1122"/>
    <col min="2279" max="2279" width="3.25" style="1122" customWidth="1"/>
    <col min="2280" max="2280" width="6.75" style="1122"/>
    <col min="2281" max="2281" width="3.25" style="1122" customWidth="1"/>
    <col min="2282" max="2282" width="6.75" style="1122"/>
    <col min="2283" max="2283" width="3.25" style="1122" customWidth="1"/>
    <col min="2284" max="2284" width="6.75" style="1122"/>
    <col min="2285" max="2285" width="3.25" style="1122" customWidth="1"/>
    <col min="2286" max="2286" width="6.75" style="1122"/>
    <col min="2287" max="2287" width="3.25" style="1122" customWidth="1"/>
    <col min="2288" max="2288" width="6.75" style="1122"/>
    <col min="2289" max="2289" width="3.25" style="1122" customWidth="1"/>
    <col min="2290" max="2290" width="6.75" style="1122"/>
    <col min="2291" max="2291" width="3.25" style="1122" customWidth="1"/>
    <col min="2292" max="2292" width="6.75" style="1122"/>
    <col min="2293" max="2293" width="3.25" style="1122" customWidth="1"/>
    <col min="2294" max="2294" width="6.75" style="1122"/>
    <col min="2295" max="2295" width="3.25" style="1122" customWidth="1"/>
    <col min="2296" max="2296" width="6.75" style="1122"/>
    <col min="2297" max="2297" width="3.25" style="1122" customWidth="1"/>
    <col min="2298" max="2298" width="6.75" style="1122"/>
    <col min="2299" max="2299" width="3.25" style="1122" customWidth="1"/>
    <col min="2300" max="2300" width="6.75" style="1122"/>
    <col min="2301" max="2301" width="3.25" style="1122" customWidth="1"/>
    <col min="2302" max="2302" width="6.75" style="1122"/>
    <col min="2303" max="2303" width="3.25" style="1122" customWidth="1"/>
    <col min="2304" max="2524" width="6.75" style="1122"/>
    <col min="2525" max="2525" width="7.75" style="1122" bestFit="1" customWidth="1"/>
    <col min="2526" max="2526" width="6.75" style="1122"/>
    <col min="2527" max="2527" width="3.25" style="1122" customWidth="1"/>
    <col min="2528" max="2528" width="6.75" style="1122"/>
    <col min="2529" max="2529" width="3.25" style="1122" customWidth="1"/>
    <col min="2530" max="2530" width="6.75" style="1122"/>
    <col min="2531" max="2531" width="3.25" style="1122" customWidth="1"/>
    <col min="2532" max="2532" width="6.75" style="1122"/>
    <col min="2533" max="2533" width="3.25" style="1122" customWidth="1"/>
    <col min="2534" max="2534" width="6.75" style="1122"/>
    <col min="2535" max="2535" width="3.25" style="1122" customWidth="1"/>
    <col min="2536" max="2536" width="6.75" style="1122"/>
    <col min="2537" max="2537" width="3.25" style="1122" customWidth="1"/>
    <col min="2538" max="2538" width="6.75" style="1122"/>
    <col min="2539" max="2539" width="3.25" style="1122" customWidth="1"/>
    <col min="2540" max="2540" width="6.75" style="1122"/>
    <col min="2541" max="2541" width="3.25" style="1122" customWidth="1"/>
    <col min="2542" max="2542" width="6.75" style="1122"/>
    <col min="2543" max="2543" width="3.25" style="1122" customWidth="1"/>
    <col min="2544" max="2544" width="6.75" style="1122"/>
    <col min="2545" max="2545" width="3.25" style="1122" customWidth="1"/>
    <col min="2546" max="2546" width="6.75" style="1122"/>
    <col min="2547" max="2547" width="3.25" style="1122" customWidth="1"/>
    <col min="2548" max="2548" width="6.75" style="1122"/>
    <col min="2549" max="2549" width="3.25" style="1122" customWidth="1"/>
    <col min="2550" max="2550" width="6.75" style="1122"/>
    <col min="2551" max="2551" width="3.25" style="1122" customWidth="1"/>
    <col min="2552" max="2552" width="6.75" style="1122"/>
    <col min="2553" max="2553" width="3.25" style="1122" customWidth="1"/>
    <col min="2554" max="2554" width="6.75" style="1122"/>
    <col min="2555" max="2555" width="3.25" style="1122" customWidth="1"/>
    <col min="2556" max="2556" width="6.75" style="1122"/>
    <col min="2557" max="2557" width="3.25" style="1122" customWidth="1"/>
    <col min="2558" max="2558" width="6.75" style="1122"/>
    <col min="2559" max="2559" width="3.25" style="1122" customWidth="1"/>
    <col min="2560" max="2780" width="6.75" style="1122"/>
    <col min="2781" max="2781" width="7.75" style="1122" bestFit="1" customWidth="1"/>
    <col min="2782" max="2782" width="6.75" style="1122"/>
    <col min="2783" max="2783" width="3.25" style="1122" customWidth="1"/>
    <col min="2784" max="2784" width="6.75" style="1122"/>
    <col min="2785" max="2785" width="3.25" style="1122" customWidth="1"/>
    <col min="2786" max="2786" width="6.75" style="1122"/>
    <col min="2787" max="2787" width="3.25" style="1122" customWidth="1"/>
    <col min="2788" max="2788" width="6.75" style="1122"/>
    <col min="2789" max="2789" width="3.25" style="1122" customWidth="1"/>
    <col min="2790" max="2790" width="6.75" style="1122"/>
    <col min="2791" max="2791" width="3.25" style="1122" customWidth="1"/>
    <col min="2792" max="2792" width="6.75" style="1122"/>
    <col min="2793" max="2793" width="3.25" style="1122" customWidth="1"/>
    <col min="2794" max="2794" width="6.75" style="1122"/>
    <col min="2795" max="2795" width="3.25" style="1122" customWidth="1"/>
    <col min="2796" max="2796" width="6.75" style="1122"/>
    <col min="2797" max="2797" width="3.25" style="1122" customWidth="1"/>
    <col min="2798" max="2798" width="6.75" style="1122"/>
    <col min="2799" max="2799" width="3.25" style="1122" customWidth="1"/>
    <col min="2800" max="2800" width="6.75" style="1122"/>
    <col min="2801" max="2801" width="3.25" style="1122" customWidth="1"/>
    <col min="2802" max="2802" width="6.75" style="1122"/>
    <col min="2803" max="2803" width="3.25" style="1122" customWidth="1"/>
    <col min="2804" max="2804" width="6.75" style="1122"/>
    <col min="2805" max="2805" width="3.25" style="1122" customWidth="1"/>
    <col min="2806" max="2806" width="6.75" style="1122"/>
    <col min="2807" max="2807" width="3.25" style="1122" customWidth="1"/>
    <col min="2808" max="2808" width="6.75" style="1122"/>
    <col min="2809" max="2809" width="3.25" style="1122" customWidth="1"/>
    <col min="2810" max="2810" width="6.75" style="1122"/>
    <col min="2811" max="2811" width="3.25" style="1122" customWidth="1"/>
    <col min="2812" max="2812" width="6.75" style="1122"/>
    <col min="2813" max="2813" width="3.25" style="1122" customWidth="1"/>
    <col min="2814" max="2814" width="6.75" style="1122"/>
    <col min="2815" max="2815" width="3.25" style="1122" customWidth="1"/>
    <col min="2816" max="3036" width="6.75" style="1122"/>
    <col min="3037" max="3037" width="7.75" style="1122" bestFit="1" customWidth="1"/>
    <col min="3038" max="3038" width="6.75" style="1122"/>
    <col min="3039" max="3039" width="3.25" style="1122" customWidth="1"/>
    <col min="3040" max="3040" width="6.75" style="1122"/>
    <col min="3041" max="3041" width="3.25" style="1122" customWidth="1"/>
    <col min="3042" max="3042" width="6.75" style="1122"/>
    <col min="3043" max="3043" width="3.25" style="1122" customWidth="1"/>
    <col min="3044" max="3044" width="6.75" style="1122"/>
    <col min="3045" max="3045" width="3.25" style="1122" customWidth="1"/>
    <col min="3046" max="3046" width="6.75" style="1122"/>
    <col min="3047" max="3047" width="3.25" style="1122" customWidth="1"/>
    <col min="3048" max="3048" width="6.75" style="1122"/>
    <col min="3049" max="3049" width="3.25" style="1122" customWidth="1"/>
    <col min="3050" max="3050" width="6.75" style="1122"/>
    <col min="3051" max="3051" width="3.25" style="1122" customWidth="1"/>
    <col min="3052" max="3052" width="6.75" style="1122"/>
    <col min="3053" max="3053" width="3.25" style="1122" customWidth="1"/>
    <col min="3054" max="3054" width="6.75" style="1122"/>
    <col min="3055" max="3055" width="3.25" style="1122" customWidth="1"/>
    <col min="3056" max="3056" width="6.75" style="1122"/>
    <col min="3057" max="3057" width="3.25" style="1122" customWidth="1"/>
    <col min="3058" max="3058" width="6.75" style="1122"/>
    <col min="3059" max="3059" width="3.25" style="1122" customWidth="1"/>
    <col min="3060" max="3060" width="6.75" style="1122"/>
    <col min="3061" max="3061" width="3.25" style="1122" customWidth="1"/>
    <col min="3062" max="3062" width="6.75" style="1122"/>
    <col min="3063" max="3063" width="3.25" style="1122" customWidth="1"/>
    <col min="3064" max="3064" width="6.75" style="1122"/>
    <col min="3065" max="3065" width="3.25" style="1122" customWidth="1"/>
    <col min="3066" max="3066" width="6.75" style="1122"/>
    <col min="3067" max="3067" width="3.25" style="1122" customWidth="1"/>
    <col min="3068" max="3068" width="6.75" style="1122"/>
    <col min="3069" max="3069" width="3.25" style="1122" customWidth="1"/>
    <col min="3070" max="3070" width="6.75" style="1122"/>
    <col min="3071" max="3071" width="3.25" style="1122" customWidth="1"/>
    <col min="3072" max="3292" width="6.75" style="1122"/>
    <col min="3293" max="3293" width="7.75" style="1122" bestFit="1" customWidth="1"/>
    <col min="3294" max="3294" width="6.75" style="1122"/>
    <col min="3295" max="3295" width="3.25" style="1122" customWidth="1"/>
    <col min="3296" max="3296" width="6.75" style="1122"/>
    <col min="3297" max="3297" width="3.25" style="1122" customWidth="1"/>
    <col min="3298" max="3298" width="6.75" style="1122"/>
    <col min="3299" max="3299" width="3.25" style="1122" customWidth="1"/>
    <col min="3300" max="3300" width="6.75" style="1122"/>
    <col min="3301" max="3301" width="3.25" style="1122" customWidth="1"/>
    <col min="3302" max="3302" width="6.75" style="1122"/>
    <col min="3303" max="3303" width="3.25" style="1122" customWidth="1"/>
    <col min="3304" max="3304" width="6.75" style="1122"/>
    <col min="3305" max="3305" width="3.25" style="1122" customWidth="1"/>
    <col min="3306" max="3306" width="6.75" style="1122"/>
    <col min="3307" max="3307" width="3.25" style="1122" customWidth="1"/>
    <col min="3308" max="3308" width="6.75" style="1122"/>
    <col min="3309" max="3309" width="3.25" style="1122" customWidth="1"/>
    <col min="3310" max="3310" width="6.75" style="1122"/>
    <col min="3311" max="3311" width="3.25" style="1122" customWidth="1"/>
    <col min="3312" max="3312" width="6.75" style="1122"/>
    <col min="3313" max="3313" width="3.25" style="1122" customWidth="1"/>
    <col min="3314" max="3314" width="6.75" style="1122"/>
    <col min="3315" max="3315" width="3.25" style="1122" customWidth="1"/>
    <col min="3316" max="3316" width="6.75" style="1122"/>
    <col min="3317" max="3317" width="3.25" style="1122" customWidth="1"/>
    <col min="3318" max="3318" width="6.75" style="1122"/>
    <col min="3319" max="3319" width="3.25" style="1122" customWidth="1"/>
    <col min="3320" max="3320" width="6.75" style="1122"/>
    <col min="3321" max="3321" width="3.25" style="1122" customWidth="1"/>
    <col min="3322" max="3322" width="6.75" style="1122"/>
    <col min="3323" max="3323" width="3.25" style="1122" customWidth="1"/>
    <col min="3324" max="3324" width="6.75" style="1122"/>
    <col min="3325" max="3325" width="3.25" style="1122" customWidth="1"/>
    <col min="3326" max="3326" width="6.75" style="1122"/>
    <col min="3327" max="3327" width="3.25" style="1122" customWidth="1"/>
    <col min="3328" max="3548" width="6.75" style="1122"/>
    <col min="3549" max="3549" width="7.75" style="1122" bestFit="1" customWidth="1"/>
    <col min="3550" max="3550" width="6.75" style="1122"/>
    <col min="3551" max="3551" width="3.25" style="1122" customWidth="1"/>
    <col min="3552" max="3552" width="6.75" style="1122"/>
    <col min="3553" max="3553" width="3.25" style="1122" customWidth="1"/>
    <col min="3554" max="3554" width="6.75" style="1122"/>
    <col min="3555" max="3555" width="3.25" style="1122" customWidth="1"/>
    <col min="3556" max="3556" width="6.75" style="1122"/>
    <col min="3557" max="3557" width="3.25" style="1122" customWidth="1"/>
    <col min="3558" max="3558" width="6.75" style="1122"/>
    <col min="3559" max="3559" width="3.25" style="1122" customWidth="1"/>
    <col min="3560" max="3560" width="6.75" style="1122"/>
    <col min="3561" max="3561" width="3.25" style="1122" customWidth="1"/>
    <col min="3562" max="3562" width="6.75" style="1122"/>
    <col min="3563" max="3563" width="3.25" style="1122" customWidth="1"/>
    <col min="3564" max="3564" width="6.75" style="1122"/>
    <col min="3565" max="3565" width="3.25" style="1122" customWidth="1"/>
    <col min="3566" max="3566" width="6.75" style="1122"/>
    <col min="3567" max="3567" width="3.25" style="1122" customWidth="1"/>
    <col min="3568" max="3568" width="6.75" style="1122"/>
    <col min="3569" max="3569" width="3.25" style="1122" customWidth="1"/>
    <col min="3570" max="3570" width="6.75" style="1122"/>
    <col min="3571" max="3571" width="3.25" style="1122" customWidth="1"/>
    <col min="3572" max="3572" width="6.75" style="1122"/>
    <col min="3573" max="3573" width="3.25" style="1122" customWidth="1"/>
    <col min="3574" max="3574" width="6.75" style="1122"/>
    <col min="3575" max="3575" width="3.25" style="1122" customWidth="1"/>
    <col min="3576" max="3576" width="6.75" style="1122"/>
    <col min="3577" max="3577" width="3.25" style="1122" customWidth="1"/>
    <col min="3578" max="3578" width="6.75" style="1122"/>
    <col min="3579" max="3579" width="3.25" style="1122" customWidth="1"/>
    <col min="3580" max="3580" width="6.75" style="1122"/>
    <col min="3581" max="3581" width="3.25" style="1122" customWidth="1"/>
    <col min="3582" max="3582" width="6.75" style="1122"/>
    <col min="3583" max="3583" width="3.25" style="1122" customWidth="1"/>
    <col min="3584" max="3804" width="6.75" style="1122"/>
    <col min="3805" max="3805" width="7.75" style="1122" bestFit="1" customWidth="1"/>
    <col min="3806" max="3806" width="6.75" style="1122"/>
    <col min="3807" max="3807" width="3.25" style="1122" customWidth="1"/>
    <col min="3808" max="3808" width="6.75" style="1122"/>
    <col min="3809" max="3809" width="3.25" style="1122" customWidth="1"/>
    <col min="3810" max="3810" width="6.75" style="1122"/>
    <col min="3811" max="3811" width="3.25" style="1122" customWidth="1"/>
    <col min="3812" max="3812" width="6.75" style="1122"/>
    <col min="3813" max="3813" width="3.25" style="1122" customWidth="1"/>
    <col min="3814" max="3814" width="6.75" style="1122"/>
    <col min="3815" max="3815" width="3.25" style="1122" customWidth="1"/>
    <col min="3816" max="3816" width="6.75" style="1122"/>
    <col min="3817" max="3817" width="3.25" style="1122" customWidth="1"/>
    <col min="3818" max="3818" width="6.75" style="1122"/>
    <col min="3819" max="3819" width="3.25" style="1122" customWidth="1"/>
    <col min="3820" max="3820" width="6.75" style="1122"/>
    <col min="3821" max="3821" width="3.25" style="1122" customWidth="1"/>
    <col min="3822" max="3822" width="6.75" style="1122"/>
    <col min="3823" max="3823" width="3.25" style="1122" customWidth="1"/>
    <col min="3824" max="3824" width="6.75" style="1122"/>
    <col min="3825" max="3825" width="3.25" style="1122" customWidth="1"/>
    <col min="3826" max="3826" width="6.75" style="1122"/>
    <col min="3827" max="3827" width="3.25" style="1122" customWidth="1"/>
    <col min="3828" max="3828" width="6.75" style="1122"/>
    <col min="3829" max="3829" width="3.25" style="1122" customWidth="1"/>
    <col min="3830" max="3830" width="6.75" style="1122"/>
    <col min="3831" max="3831" width="3.25" style="1122" customWidth="1"/>
    <col min="3832" max="3832" width="6.75" style="1122"/>
    <col min="3833" max="3833" width="3.25" style="1122" customWidth="1"/>
    <col min="3834" max="3834" width="6.75" style="1122"/>
    <col min="3835" max="3835" width="3.25" style="1122" customWidth="1"/>
    <col min="3836" max="3836" width="6.75" style="1122"/>
    <col min="3837" max="3837" width="3.25" style="1122" customWidth="1"/>
    <col min="3838" max="3838" width="6.75" style="1122"/>
    <col min="3839" max="3839" width="3.25" style="1122" customWidth="1"/>
    <col min="3840" max="4060" width="6.75" style="1122"/>
    <col min="4061" max="4061" width="7.75" style="1122" bestFit="1" customWidth="1"/>
    <col min="4062" max="4062" width="6.75" style="1122"/>
    <col min="4063" max="4063" width="3.25" style="1122" customWidth="1"/>
    <col min="4064" max="4064" width="6.75" style="1122"/>
    <col min="4065" max="4065" width="3.25" style="1122" customWidth="1"/>
    <col min="4066" max="4066" width="6.75" style="1122"/>
    <col min="4067" max="4067" width="3.25" style="1122" customWidth="1"/>
    <col min="4068" max="4068" width="6.75" style="1122"/>
    <col min="4069" max="4069" width="3.25" style="1122" customWidth="1"/>
    <col min="4070" max="4070" width="6.75" style="1122"/>
    <col min="4071" max="4071" width="3.25" style="1122" customWidth="1"/>
    <col min="4072" max="4072" width="6.75" style="1122"/>
    <col min="4073" max="4073" width="3.25" style="1122" customWidth="1"/>
    <col min="4074" max="4074" width="6.75" style="1122"/>
    <col min="4075" max="4075" width="3.25" style="1122" customWidth="1"/>
    <col min="4076" max="4076" width="6.75" style="1122"/>
    <col min="4077" max="4077" width="3.25" style="1122" customWidth="1"/>
    <col min="4078" max="4078" width="6.75" style="1122"/>
    <col min="4079" max="4079" width="3.25" style="1122" customWidth="1"/>
    <col min="4080" max="4080" width="6.75" style="1122"/>
    <col min="4081" max="4081" width="3.25" style="1122" customWidth="1"/>
    <col min="4082" max="4082" width="6.75" style="1122"/>
    <col min="4083" max="4083" width="3.25" style="1122" customWidth="1"/>
    <col min="4084" max="4084" width="6.75" style="1122"/>
    <col min="4085" max="4085" width="3.25" style="1122" customWidth="1"/>
    <col min="4086" max="4086" width="6.75" style="1122"/>
    <col min="4087" max="4087" width="3.25" style="1122" customWidth="1"/>
    <col min="4088" max="4088" width="6.75" style="1122"/>
    <col min="4089" max="4089" width="3.25" style="1122" customWidth="1"/>
    <col min="4090" max="4090" width="6.75" style="1122"/>
    <col min="4091" max="4091" width="3.25" style="1122" customWidth="1"/>
    <col min="4092" max="4092" width="6.75" style="1122"/>
    <col min="4093" max="4093" width="3.25" style="1122" customWidth="1"/>
    <col min="4094" max="4094" width="6.75" style="1122"/>
    <col min="4095" max="4095" width="3.25" style="1122" customWidth="1"/>
    <col min="4096" max="4316" width="6.75" style="1122"/>
    <col min="4317" max="4317" width="7.75" style="1122" bestFit="1" customWidth="1"/>
    <col min="4318" max="4318" width="6.75" style="1122"/>
    <col min="4319" max="4319" width="3.25" style="1122" customWidth="1"/>
    <col min="4320" max="4320" width="6.75" style="1122"/>
    <col min="4321" max="4321" width="3.25" style="1122" customWidth="1"/>
    <col min="4322" max="4322" width="6.75" style="1122"/>
    <col min="4323" max="4323" width="3.25" style="1122" customWidth="1"/>
    <col min="4324" max="4324" width="6.75" style="1122"/>
    <col min="4325" max="4325" width="3.25" style="1122" customWidth="1"/>
    <col min="4326" max="4326" width="6.75" style="1122"/>
    <col min="4327" max="4327" width="3.25" style="1122" customWidth="1"/>
    <col min="4328" max="4328" width="6.75" style="1122"/>
    <col min="4329" max="4329" width="3.25" style="1122" customWidth="1"/>
    <col min="4330" max="4330" width="6.75" style="1122"/>
    <col min="4331" max="4331" width="3.25" style="1122" customWidth="1"/>
    <col min="4332" max="4332" width="6.75" style="1122"/>
    <col min="4333" max="4333" width="3.25" style="1122" customWidth="1"/>
    <col min="4334" max="4334" width="6.75" style="1122"/>
    <col min="4335" max="4335" width="3.25" style="1122" customWidth="1"/>
    <col min="4336" max="4336" width="6.75" style="1122"/>
    <col min="4337" max="4337" width="3.25" style="1122" customWidth="1"/>
    <col min="4338" max="4338" width="6.75" style="1122"/>
    <col min="4339" max="4339" width="3.25" style="1122" customWidth="1"/>
    <col min="4340" max="4340" width="6.75" style="1122"/>
    <col min="4341" max="4341" width="3.25" style="1122" customWidth="1"/>
    <col min="4342" max="4342" width="6.75" style="1122"/>
    <col min="4343" max="4343" width="3.25" style="1122" customWidth="1"/>
    <col min="4344" max="4344" width="6.75" style="1122"/>
    <col min="4345" max="4345" width="3.25" style="1122" customWidth="1"/>
    <col min="4346" max="4346" width="6.75" style="1122"/>
    <col min="4347" max="4347" width="3.25" style="1122" customWidth="1"/>
    <col min="4348" max="4348" width="6.75" style="1122"/>
    <col min="4349" max="4349" width="3.25" style="1122" customWidth="1"/>
    <col min="4350" max="4350" width="6.75" style="1122"/>
    <col min="4351" max="4351" width="3.25" style="1122" customWidth="1"/>
    <col min="4352" max="4572" width="6.75" style="1122"/>
    <col min="4573" max="4573" width="7.75" style="1122" bestFit="1" customWidth="1"/>
    <col min="4574" max="4574" width="6.75" style="1122"/>
    <col min="4575" max="4575" width="3.25" style="1122" customWidth="1"/>
    <col min="4576" max="4576" width="6.75" style="1122"/>
    <col min="4577" max="4577" width="3.25" style="1122" customWidth="1"/>
    <col min="4578" max="4578" width="6.75" style="1122"/>
    <col min="4579" max="4579" width="3.25" style="1122" customWidth="1"/>
    <col min="4580" max="4580" width="6.75" style="1122"/>
    <col min="4581" max="4581" width="3.25" style="1122" customWidth="1"/>
    <col min="4582" max="4582" width="6.75" style="1122"/>
    <col min="4583" max="4583" width="3.25" style="1122" customWidth="1"/>
    <col min="4584" max="4584" width="6.75" style="1122"/>
    <col min="4585" max="4585" width="3.25" style="1122" customWidth="1"/>
    <col min="4586" max="4586" width="6.75" style="1122"/>
    <col min="4587" max="4587" width="3.25" style="1122" customWidth="1"/>
    <col min="4588" max="4588" width="6.75" style="1122"/>
    <col min="4589" max="4589" width="3.25" style="1122" customWidth="1"/>
    <col min="4590" max="4590" width="6.75" style="1122"/>
    <col min="4591" max="4591" width="3.25" style="1122" customWidth="1"/>
    <col min="4592" max="4592" width="6.75" style="1122"/>
    <col min="4593" max="4593" width="3.25" style="1122" customWidth="1"/>
    <col min="4594" max="4594" width="6.75" style="1122"/>
    <col min="4595" max="4595" width="3.25" style="1122" customWidth="1"/>
    <col min="4596" max="4596" width="6.75" style="1122"/>
    <col min="4597" max="4597" width="3.25" style="1122" customWidth="1"/>
    <col min="4598" max="4598" width="6.75" style="1122"/>
    <col min="4599" max="4599" width="3.25" style="1122" customWidth="1"/>
    <col min="4600" max="4600" width="6.75" style="1122"/>
    <col min="4601" max="4601" width="3.25" style="1122" customWidth="1"/>
    <col min="4602" max="4602" width="6.75" style="1122"/>
    <col min="4603" max="4603" width="3.25" style="1122" customWidth="1"/>
    <col min="4604" max="4604" width="6.75" style="1122"/>
    <col min="4605" max="4605" width="3.25" style="1122" customWidth="1"/>
    <col min="4606" max="4606" width="6.75" style="1122"/>
    <col min="4607" max="4607" width="3.25" style="1122" customWidth="1"/>
    <col min="4608" max="4828" width="6.75" style="1122"/>
    <col min="4829" max="4829" width="7.75" style="1122" bestFit="1" customWidth="1"/>
    <col min="4830" max="4830" width="6.75" style="1122"/>
    <col min="4831" max="4831" width="3.25" style="1122" customWidth="1"/>
    <col min="4832" max="4832" width="6.75" style="1122"/>
    <col min="4833" max="4833" width="3.25" style="1122" customWidth="1"/>
    <col min="4834" max="4834" width="6.75" style="1122"/>
    <col min="4835" max="4835" width="3.25" style="1122" customWidth="1"/>
    <col min="4836" max="4836" width="6.75" style="1122"/>
    <col min="4837" max="4837" width="3.25" style="1122" customWidth="1"/>
    <col min="4838" max="4838" width="6.75" style="1122"/>
    <col min="4839" max="4839" width="3.25" style="1122" customWidth="1"/>
    <col min="4840" max="4840" width="6.75" style="1122"/>
    <col min="4841" max="4841" width="3.25" style="1122" customWidth="1"/>
    <col min="4842" max="4842" width="6.75" style="1122"/>
    <col min="4843" max="4843" width="3.25" style="1122" customWidth="1"/>
    <col min="4844" max="4844" width="6.75" style="1122"/>
    <col min="4845" max="4845" width="3.25" style="1122" customWidth="1"/>
    <col min="4846" max="4846" width="6.75" style="1122"/>
    <col min="4847" max="4847" width="3.25" style="1122" customWidth="1"/>
    <col min="4848" max="4848" width="6.75" style="1122"/>
    <col min="4849" max="4849" width="3.25" style="1122" customWidth="1"/>
    <col min="4850" max="4850" width="6.75" style="1122"/>
    <col min="4851" max="4851" width="3.25" style="1122" customWidth="1"/>
    <col min="4852" max="4852" width="6.75" style="1122"/>
    <col min="4853" max="4853" width="3.25" style="1122" customWidth="1"/>
    <col min="4854" max="4854" width="6.75" style="1122"/>
    <col min="4855" max="4855" width="3.25" style="1122" customWidth="1"/>
    <col min="4856" max="4856" width="6.75" style="1122"/>
    <col min="4857" max="4857" width="3.25" style="1122" customWidth="1"/>
    <col min="4858" max="4858" width="6.75" style="1122"/>
    <col min="4859" max="4859" width="3.25" style="1122" customWidth="1"/>
    <col min="4860" max="4860" width="6.75" style="1122"/>
    <col min="4861" max="4861" width="3.25" style="1122" customWidth="1"/>
    <col min="4862" max="4862" width="6.75" style="1122"/>
    <col min="4863" max="4863" width="3.25" style="1122" customWidth="1"/>
    <col min="4864" max="5084" width="6.75" style="1122"/>
    <col min="5085" max="5085" width="7.75" style="1122" bestFit="1" customWidth="1"/>
    <col min="5086" max="5086" width="6.75" style="1122"/>
    <col min="5087" max="5087" width="3.25" style="1122" customWidth="1"/>
    <col min="5088" max="5088" width="6.75" style="1122"/>
    <col min="5089" max="5089" width="3.25" style="1122" customWidth="1"/>
    <col min="5090" max="5090" width="6.75" style="1122"/>
    <col min="5091" max="5091" width="3.25" style="1122" customWidth="1"/>
    <col min="5092" max="5092" width="6.75" style="1122"/>
    <col min="5093" max="5093" width="3.25" style="1122" customWidth="1"/>
    <col min="5094" max="5094" width="6.75" style="1122"/>
    <col min="5095" max="5095" width="3.25" style="1122" customWidth="1"/>
    <col min="5096" max="5096" width="6.75" style="1122"/>
    <col min="5097" max="5097" width="3.25" style="1122" customWidth="1"/>
    <col min="5098" max="5098" width="6.75" style="1122"/>
    <col min="5099" max="5099" width="3.25" style="1122" customWidth="1"/>
    <col min="5100" max="5100" width="6.75" style="1122"/>
    <col min="5101" max="5101" width="3.25" style="1122" customWidth="1"/>
    <col min="5102" max="5102" width="6.75" style="1122"/>
    <col min="5103" max="5103" width="3.25" style="1122" customWidth="1"/>
    <col min="5104" max="5104" width="6.75" style="1122"/>
    <col min="5105" max="5105" width="3.25" style="1122" customWidth="1"/>
    <col min="5106" max="5106" width="6.75" style="1122"/>
    <col min="5107" max="5107" width="3.25" style="1122" customWidth="1"/>
    <col min="5108" max="5108" width="6.75" style="1122"/>
    <col min="5109" max="5109" width="3.25" style="1122" customWidth="1"/>
    <col min="5110" max="5110" width="6.75" style="1122"/>
    <col min="5111" max="5111" width="3.25" style="1122" customWidth="1"/>
    <col min="5112" max="5112" width="6.75" style="1122"/>
    <col min="5113" max="5113" width="3.25" style="1122" customWidth="1"/>
    <col min="5114" max="5114" width="6.75" style="1122"/>
    <col min="5115" max="5115" width="3.25" style="1122" customWidth="1"/>
    <col min="5116" max="5116" width="6.75" style="1122"/>
    <col min="5117" max="5117" width="3.25" style="1122" customWidth="1"/>
    <col min="5118" max="5118" width="6.75" style="1122"/>
    <col min="5119" max="5119" width="3.25" style="1122" customWidth="1"/>
    <col min="5120" max="5340" width="6.75" style="1122"/>
    <col min="5341" max="5341" width="7.75" style="1122" bestFit="1" customWidth="1"/>
    <col min="5342" max="5342" width="6.75" style="1122"/>
    <col min="5343" max="5343" width="3.25" style="1122" customWidth="1"/>
    <col min="5344" max="5344" width="6.75" style="1122"/>
    <col min="5345" max="5345" width="3.25" style="1122" customWidth="1"/>
    <col min="5346" max="5346" width="6.75" style="1122"/>
    <col min="5347" max="5347" width="3.25" style="1122" customWidth="1"/>
    <col min="5348" max="5348" width="6.75" style="1122"/>
    <col min="5349" max="5349" width="3.25" style="1122" customWidth="1"/>
    <col min="5350" max="5350" width="6.75" style="1122"/>
    <col min="5351" max="5351" width="3.25" style="1122" customWidth="1"/>
    <col min="5352" max="5352" width="6.75" style="1122"/>
    <col min="5353" max="5353" width="3.25" style="1122" customWidth="1"/>
    <col min="5354" max="5354" width="6.75" style="1122"/>
    <col min="5355" max="5355" width="3.25" style="1122" customWidth="1"/>
    <col min="5356" max="5356" width="6.75" style="1122"/>
    <col min="5357" max="5357" width="3.25" style="1122" customWidth="1"/>
    <col min="5358" max="5358" width="6.75" style="1122"/>
    <col min="5359" max="5359" width="3.25" style="1122" customWidth="1"/>
    <col min="5360" max="5360" width="6.75" style="1122"/>
    <col min="5361" max="5361" width="3.25" style="1122" customWidth="1"/>
    <col min="5362" max="5362" width="6.75" style="1122"/>
    <col min="5363" max="5363" width="3.25" style="1122" customWidth="1"/>
    <col min="5364" max="5364" width="6.75" style="1122"/>
    <col min="5365" max="5365" width="3.25" style="1122" customWidth="1"/>
    <col min="5366" max="5366" width="6.75" style="1122"/>
    <col min="5367" max="5367" width="3.25" style="1122" customWidth="1"/>
    <col min="5368" max="5368" width="6.75" style="1122"/>
    <col min="5369" max="5369" width="3.25" style="1122" customWidth="1"/>
    <col min="5370" max="5370" width="6.75" style="1122"/>
    <col min="5371" max="5371" width="3.25" style="1122" customWidth="1"/>
    <col min="5372" max="5372" width="6.75" style="1122"/>
    <col min="5373" max="5373" width="3.25" style="1122" customWidth="1"/>
    <col min="5374" max="5374" width="6.75" style="1122"/>
    <col min="5375" max="5375" width="3.25" style="1122" customWidth="1"/>
    <col min="5376" max="5596" width="6.75" style="1122"/>
    <col min="5597" max="5597" width="7.75" style="1122" bestFit="1" customWidth="1"/>
    <col min="5598" max="5598" width="6.75" style="1122"/>
    <col min="5599" max="5599" width="3.25" style="1122" customWidth="1"/>
    <col min="5600" max="5600" width="6.75" style="1122"/>
    <col min="5601" max="5601" width="3.25" style="1122" customWidth="1"/>
    <col min="5602" max="5602" width="6.75" style="1122"/>
    <col min="5603" max="5603" width="3.25" style="1122" customWidth="1"/>
    <col min="5604" max="5604" width="6.75" style="1122"/>
    <col min="5605" max="5605" width="3.25" style="1122" customWidth="1"/>
    <col min="5606" max="5606" width="6.75" style="1122"/>
    <col min="5607" max="5607" width="3.25" style="1122" customWidth="1"/>
    <col min="5608" max="5608" width="6.75" style="1122"/>
    <col min="5609" max="5609" width="3.25" style="1122" customWidth="1"/>
    <col min="5610" max="5610" width="6.75" style="1122"/>
    <col min="5611" max="5611" width="3.25" style="1122" customWidth="1"/>
    <col min="5612" max="5612" width="6.75" style="1122"/>
    <col min="5613" max="5613" width="3.25" style="1122" customWidth="1"/>
    <col min="5614" max="5614" width="6.75" style="1122"/>
    <col min="5615" max="5615" width="3.25" style="1122" customWidth="1"/>
    <col min="5616" max="5616" width="6.75" style="1122"/>
    <col min="5617" max="5617" width="3.25" style="1122" customWidth="1"/>
    <col min="5618" max="5618" width="6.75" style="1122"/>
    <col min="5619" max="5619" width="3.25" style="1122" customWidth="1"/>
    <col min="5620" max="5620" width="6.75" style="1122"/>
    <col min="5621" max="5621" width="3.25" style="1122" customWidth="1"/>
    <col min="5622" max="5622" width="6.75" style="1122"/>
    <col min="5623" max="5623" width="3.25" style="1122" customWidth="1"/>
    <col min="5624" max="5624" width="6.75" style="1122"/>
    <col min="5625" max="5625" width="3.25" style="1122" customWidth="1"/>
    <col min="5626" max="5626" width="6.75" style="1122"/>
    <col min="5627" max="5627" width="3.25" style="1122" customWidth="1"/>
    <col min="5628" max="5628" width="6.75" style="1122"/>
    <col min="5629" max="5629" width="3.25" style="1122" customWidth="1"/>
    <col min="5630" max="5630" width="6.75" style="1122"/>
    <col min="5631" max="5631" width="3.25" style="1122" customWidth="1"/>
    <col min="5632" max="5852" width="6.75" style="1122"/>
    <col min="5853" max="5853" width="7.75" style="1122" bestFit="1" customWidth="1"/>
    <col min="5854" max="5854" width="6.75" style="1122"/>
    <col min="5855" max="5855" width="3.25" style="1122" customWidth="1"/>
    <col min="5856" max="5856" width="6.75" style="1122"/>
    <col min="5857" max="5857" width="3.25" style="1122" customWidth="1"/>
    <col min="5858" max="5858" width="6.75" style="1122"/>
    <col min="5859" max="5859" width="3.25" style="1122" customWidth="1"/>
    <col min="5860" max="5860" width="6.75" style="1122"/>
    <col min="5861" max="5861" width="3.25" style="1122" customWidth="1"/>
    <col min="5862" max="5862" width="6.75" style="1122"/>
    <col min="5863" max="5863" width="3.25" style="1122" customWidth="1"/>
    <col min="5864" max="5864" width="6.75" style="1122"/>
    <col min="5865" max="5865" width="3.25" style="1122" customWidth="1"/>
    <col min="5866" max="5866" width="6.75" style="1122"/>
    <col min="5867" max="5867" width="3.25" style="1122" customWidth="1"/>
    <col min="5868" max="5868" width="6.75" style="1122"/>
    <col min="5869" max="5869" width="3.25" style="1122" customWidth="1"/>
    <col min="5870" max="5870" width="6.75" style="1122"/>
    <col min="5871" max="5871" width="3.25" style="1122" customWidth="1"/>
    <col min="5872" max="5872" width="6.75" style="1122"/>
    <col min="5873" max="5873" width="3.25" style="1122" customWidth="1"/>
    <col min="5874" max="5874" width="6.75" style="1122"/>
    <col min="5875" max="5875" width="3.25" style="1122" customWidth="1"/>
    <col min="5876" max="5876" width="6.75" style="1122"/>
    <col min="5877" max="5877" width="3.25" style="1122" customWidth="1"/>
    <col min="5878" max="5878" width="6.75" style="1122"/>
    <col min="5879" max="5879" width="3.25" style="1122" customWidth="1"/>
    <col min="5880" max="5880" width="6.75" style="1122"/>
    <col min="5881" max="5881" width="3.25" style="1122" customWidth="1"/>
    <col min="5882" max="5882" width="6.75" style="1122"/>
    <col min="5883" max="5883" width="3.25" style="1122" customWidth="1"/>
    <col min="5884" max="5884" width="6.75" style="1122"/>
    <col min="5885" max="5885" width="3.25" style="1122" customWidth="1"/>
    <col min="5886" max="5886" width="6.75" style="1122"/>
    <col min="5887" max="5887" width="3.25" style="1122" customWidth="1"/>
    <col min="5888" max="6108" width="6.75" style="1122"/>
    <col min="6109" max="6109" width="7.75" style="1122" bestFit="1" customWidth="1"/>
    <col min="6110" max="6110" width="6.75" style="1122"/>
    <col min="6111" max="6111" width="3.25" style="1122" customWidth="1"/>
    <col min="6112" max="6112" width="6.75" style="1122"/>
    <col min="6113" max="6113" width="3.25" style="1122" customWidth="1"/>
    <col min="6114" max="6114" width="6.75" style="1122"/>
    <col min="6115" max="6115" width="3.25" style="1122" customWidth="1"/>
    <col min="6116" max="6116" width="6.75" style="1122"/>
    <col min="6117" max="6117" width="3.25" style="1122" customWidth="1"/>
    <col min="6118" max="6118" width="6.75" style="1122"/>
    <col min="6119" max="6119" width="3.25" style="1122" customWidth="1"/>
    <col min="6120" max="6120" width="6.75" style="1122"/>
    <col min="6121" max="6121" width="3.25" style="1122" customWidth="1"/>
    <col min="6122" max="6122" width="6.75" style="1122"/>
    <col min="6123" max="6123" width="3.25" style="1122" customWidth="1"/>
    <col min="6124" max="6124" width="6.75" style="1122"/>
    <col min="6125" max="6125" width="3.25" style="1122" customWidth="1"/>
    <col min="6126" max="6126" width="6.75" style="1122"/>
    <col min="6127" max="6127" width="3.25" style="1122" customWidth="1"/>
    <col min="6128" max="6128" width="6.75" style="1122"/>
    <col min="6129" max="6129" width="3.25" style="1122" customWidth="1"/>
    <col min="6130" max="6130" width="6.75" style="1122"/>
    <col min="6131" max="6131" width="3.25" style="1122" customWidth="1"/>
    <col min="6132" max="6132" width="6.75" style="1122"/>
    <col min="6133" max="6133" width="3.25" style="1122" customWidth="1"/>
    <col min="6134" max="6134" width="6.75" style="1122"/>
    <col min="6135" max="6135" width="3.25" style="1122" customWidth="1"/>
    <col min="6136" max="6136" width="6.75" style="1122"/>
    <col min="6137" max="6137" width="3.25" style="1122" customWidth="1"/>
    <col min="6138" max="6138" width="6.75" style="1122"/>
    <col min="6139" max="6139" width="3.25" style="1122" customWidth="1"/>
    <col min="6140" max="6140" width="6.75" style="1122"/>
    <col min="6141" max="6141" width="3.25" style="1122" customWidth="1"/>
    <col min="6142" max="6142" width="6.75" style="1122"/>
    <col min="6143" max="6143" width="3.25" style="1122" customWidth="1"/>
    <col min="6144" max="6364" width="6.75" style="1122"/>
    <col min="6365" max="6365" width="7.75" style="1122" bestFit="1" customWidth="1"/>
    <col min="6366" max="6366" width="6.75" style="1122"/>
    <col min="6367" max="6367" width="3.25" style="1122" customWidth="1"/>
    <col min="6368" max="6368" width="6.75" style="1122"/>
    <col min="6369" max="6369" width="3.25" style="1122" customWidth="1"/>
    <col min="6370" max="6370" width="6.75" style="1122"/>
    <col min="6371" max="6371" width="3.25" style="1122" customWidth="1"/>
    <col min="6372" max="6372" width="6.75" style="1122"/>
    <col min="6373" max="6373" width="3.25" style="1122" customWidth="1"/>
    <col min="6374" max="6374" width="6.75" style="1122"/>
    <col min="6375" max="6375" width="3.25" style="1122" customWidth="1"/>
    <col min="6376" max="6376" width="6.75" style="1122"/>
    <col min="6377" max="6377" width="3.25" style="1122" customWidth="1"/>
    <col min="6378" max="6378" width="6.75" style="1122"/>
    <col min="6379" max="6379" width="3.25" style="1122" customWidth="1"/>
    <col min="6380" max="6380" width="6.75" style="1122"/>
    <col min="6381" max="6381" width="3.25" style="1122" customWidth="1"/>
    <col min="6382" max="6382" width="6.75" style="1122"/>
    <col min="6383" max="6383" width="3.25" style="1122" customWidth="1"/>
    <col min="6384" max="6384" width="6.75" style="1122"/>
    <col min="6385" max="6385" width="3.25" style="1122" customWidth="1"/>
    <col min="6386" max="6386" width="6.75" style="1122"/>
    <col min="6387" max="6387" width="3.25" style="1122" customWidth="1"/>
    <col min="6388" max="6388" width="6.75" style="1122"/>
    <col min="6389" max="6389" width="3.25" style="1122" customWidth="1"/>
    <col min="6390" max="6390" width="6.75" style="1122"/>
    <col min="6391" max="6391" width="3.25" style="1122" customWidth="1"/>
    <col min="6392" max="6392" width="6.75" style="1122"/>
    <col min="6393" max="6393" width="3.25" style="1122" customWidth="1"/>
    <col min="6394" max="6394" width="6.75" style="1122"/>
    <col min="6395" max="6395" width="3.25" style="1122" customWidth="1"/>
    <col min="6396" max="6396" width="6.75" style="1122"/>
    <col min="6397" max="6397" width="3.25" style="1122" customWidth="1"/>
    <col min="6398" max="6398" width="6.75" style="1122"/>
    <col min="6399" max="6399" width="3.25" style="1122" customWidth="1"/>
    <col min="6400" max="6620" width="6.75" style="1122"/>
    <col min="6621" max="6621" width="7.75" style="1122" bestFit="1" customWidth="1"/>
    <col min="6622" max="6622" width="6.75" style="1122"/>
    <col min="6623" max="6623" width="3.25" style="1122" customWidth="1"/>
    <col min="6624" max="6624" width="6.75" style="1122"/>
    <col min="6625" max="6625" width="3.25" style="1122" customWidth="1"/>
    <col min="6626" max="6626" width="6.75" style="1122"/>
    <col min="6627" max="6627" width="3.25" style="1122" customWidth="1"/>
    <col min="6628" max="6628" width="6.75" style="1122"/>
    <col min="6629" max="6629" width="3.25" style="1122" customWidth="1"/>
    <col min="6630" max="6630" width="6.75" style="1122"/>
    <col min="6631" max="6631" width="3.25" style="1122" customWidth="1"/>
    <col min="6632" max="6632" width="6.75" style="1122"/>
    <col min="6633" max="6633" width="3.25" style="1122" customWidth="1"/>
    <col min="6634" max="6634" width="6.75" style="1122"/>
    <col min="6635" max="6635" width="3.25" style="1122" customWidth="1"/>
    <col min="6636" max="6636" width="6.75" style="1122"/>
    <col min="6637" max="6637" width="3.25" style="1122" customWidth="1"/>
    <col min="6638" max="6638" width="6.75" style="1122"/>
    <col min="6639" max="6639" width="3.25" style="1122" customWidth="1"/>
    <col min="6640" max="6640" width="6.75" style="1122"/>
    <col min="6641" max="6641" width="3.25" style="1122" customWidth="1"/>
    <col min="6642" max="6642" width="6.75" style="1122"/>
    <col min="6643" max="6643" width="3.25" style="1122" customWidth="1"/>
    <col min="6644" max="6644" width="6.75" style="1122"/>
    <col min="6645" max="6645" width="3.25" style="1122" customWidth="1"/>
    <col min="6646" max="6646" width="6.75" style="1122"/>
    <col min="6647" max="6647" width="3.25" style="1122" customWidth="1"/>
    <col min="6648" max="6648" width="6.75" style="1122"/>
    <col min="6649" max="6649" width="3.25" style="1122" customWidth="1"/>
    <col min="6650" max="6650" width="6.75" style="1122"/>
    <col min="6651" max="6651" width="3.25" style="1122" customWidth="1"/>
    <col min="6652" max="6652" width="6.75" style="1122"/>
    <col min="6653" max="6653" width="3.25" style="1122" customWidth="1"/>
    <col min="6654" max="6654" width="6.75" style="1122"/>
    <col min="6655" max="6655" width="3.25" style="1122" customWidth="1"/>
    <col min="6656" max="6876" width="6.75" style="1122"/>
    <col min="6877" max="6877" width="7.75" style="1122" bestFit="1" customWidth="1"/>
    <col min="6878" max="6878" width="6.75" style="1122"/>
    <col min="6879" max="6879" width="3.25" style="1122" customWidth="1"/>
    <col min="6880" max="6880" width="6.75" style="1122"/>
    <col min="6881" max="6881" width="3.25" style="1122" customWidth="1"/>
    <col min="6882" max="6882" width="6.75" style="1122"/>
    <col min="6883" max="6883" width="3.25" style="1122" customWidth="1"/>
    <col min="6884" max="6884" width="6.75" style="1122"/>
    <col min="6885" max="6885" width="3.25" style="1122" customWidth="1"/>
    <col min="6886" max="6886" width="6.75" style="1122"/>
    <col min="6887" max="6887" width="3.25" style="1122" customWidth="1"/>
    <col min="6888" max="6888" width="6.75" style="1122"/>
    <col min="6889" max="6889" width="3.25" style="1122" customWidth="1"/>
    <col min="6890" max="6890" width="6.75" style="1122"/>
    <col min="6891" max="6891" width="3.25" style="1122" customWidth="1"/>
    <col min="6892" max="6892" width="6.75" style="1122"/>
    <col min="6893" max="6893" width="3.25" style="1122" customWidth="1"/>
    <col min="6894" max="6894" width="6.75" style="1122"/>
    <col min="6895" max="6895" width="3.25" style="1122" customWidth="1"/>
    <col min="6896" max="6896" width="6.75" style="1122"/>
    <col min="6897" max="6897" width="3.25" style="1122" customWidth="1"/>
    <col min="6898" max="6898" width="6.75" style="1122"/>
    <col min="6899" max="6899" width="3.25" style="1122" customWidth="1"/>
    <col min="6900" max="6900" width="6.75" style="1122"/>
    <col min="6901" max="6901" width="3.25" style="1122" customWidth="1"/>
    <col min="6902" max="6902" width="6.75" style="1122"/>
    <col min="6903" max="6903" width="3.25" style="1122" customWidth="1"/>
    <col min="6904" max="6904" width="6.75" style="1122"/>
    <col min="6905" max="6905" width="3.25" style="1122" customWidth="1"/>
    <col min="6906" max="6906" width="6.75" style="1122"/>
    <col min="6907" max="6907" width="3.25" style="1122" customWidth="1"/>
    <col min="6908" max="6908" width="6.75" style="1122"/>
    <col min="6909" max="6909" width="3.25" style="1122" customWidth="1"/>
    <col min="6910" max="6910" width="6.75" style="1122"/>
    <col min="6911" max="6911" width="3.25" style="1122" customWidth="1"/>
    <col min="6912" max="7132" width="6.75" style="1122"/>
    <col min="7133" max="7133" width="7.75" style="1122" bestFit="1" customWidth="1"/>
    <col min="7134" max="7134" width="6.75" style="1122"/>
    <col min="7135" max="7135" width="3.25" style="1122" customWidth="1"/>
    <col min="7136" max="7136" width="6.75" style="1122"/>
    <col min="7137" max="7137" width="3.25" style="1122" customWidth="1"/>
    <col min="7138" max="7138" width="6.75" style="1122"/>
    <col min="7139" max="7139" width="3.25" style="1122" customWidth="1"/>
    <col min="7140" max="7140" width="6.75" style="1122"/>
    <col min="7141" max="7141" width="3.25" style="1122" customWidth="1"/>
    <col min="7142" max="7142" width="6.75" style="1122"/>
    <col min="7143" max="7143" width="3.25" style="1122" customWidth="1"/>
    <col min="7144" max="7144" width="6.75" style="1122"/>
    <col min="7145" max="7145" width="3.25" style="1122" customWidth="1"/>
    <col min="7146" max="7146" width="6.75" style="1122"/>
    <col min="7147" max="7147" width="3.25" style="1122" customWidth="1"/>
    <col min="7148" max="7148" width="6.75" style="1122"/>
    <col min="7149" max="7149" width="3.25" style="1122" customWidth="1"/>
    <col min="7150" max="7150" width="6.75" style="1122"/>
    <col min="7151" max="7151" width="3.25" style="1122" customWidth="1"/>
    <col min="7152" max="7152" width="6.75" style="1122"/>
    <col min="7153" max="7153" width="3.25" style="1122" customWidth="1"/>
    <col min="7154" max="7154" width="6.75" style="1122"/>
    <col min="7155" max="7155" width="3.25" style="1122" customWidth="1"/>
    <col min="7156" max="7156" width="6.75" style="1122"/>
    <col min="7157" max="7157" width="3.25" style="1122" customWidth="1"/>
    <col min="7158" max="7158" width="6.75" style="1122"/>
    <col min="7159" max="7159" width="3.25" style="1122" customWidth="1"/>
    <col min="7160" max="7160" width="6.75" style="1122"/>
    <col min="7161" max="7161" width="3.25" style="1122" customWidth="1"/>
    <col min="7162" max="7162" width="6.75" style="1122"/>
    <col min="7163" max="7163" width="3.25" style="1122" customWidth="1"/>
    <col min="7164" max="7164" width="6.75" style="1122"/>
    <col min="7165" max="7165" width="3.25" style="1122" customWidth="1"/>
    <col min="7166" max="7166" width="6.75" style="1122"/>
    <col min="7167" max="7167" width="3.25" style="1122" customWidth="1"/>
    <col min="7168" max="7388" width="6.75" style="1122"/>
    <col min="7389" max="7389" width="7.75" style="1122" bestFit="1" customWidth="1"/>
    <col min="7390" max="7390" width="6.75" style="1122"/>
    <col min="7391" max="7391" width="3.25" style="1122" customWidth="1"/>
    <col min="7392" max="7392" width="6.75" style="1122"/>
    <col min="7393" max="7393" width="3.25" style="1122" customWidth="1"/>
    <col min="7394" max="7394" width="6.75" style="1122"/>
    <col min="7395" max="7395" width="3.25" style="1122" customWidth="1"/>
    <col min="7396" max="7396" width="6.75" style="1122"/>
    <col min="7397" max="7397" width="3.25" style="1122" customWidth="1"/>
    <col min="7398" max="7398" width="6.75" style="1122"/>
    <col min="7399" max="7399" width="3.25" style="1122" customWidth="1"/>
    <col min="7400" max="7400" width="6.75" style="1122"/>
    <col min="7401" max="7401" width="3.25" style="1122" customWidth="1"/>
    <col min="7402" max="7402" width="6.75" style="1122"/>
    <col min="7403" max="7403" width="3.25" style="1122" customWidth="1"/>
    <col min="7404" max="7404" width="6.75" style="1122"/>
    <col min="7405" max="7405" width="3.25" style="1122" customWidth="1"/>
    <col min="7406" max="7406" width="6.75" style="1122"/>
    <col min="7407" max="7407" width="3.25" style="1122" customWidth="1"/>
    <col min="7408" max="7408" width="6.75" style="1122"/>
    <col min="7409" max="7409" width="3.25" style="1122" customWidth="1"/>
    <col min="7410" max="7410" width="6.75" style="1122"/>
    <col min="7411" max="7411" width="3.25" style="1122" customWidth="1"/>
    <col min="7412" max="7412" width="6.75" style="1122"/>
    <col min="7413" max="7413" width="3.25" style="1122" customWidth="1"/>
    <col min="7414" max="7414" width="6.75" style="1122"/>
    <col min="7415" max="7415" width="3.25" style="1122" customWidth="1"/>
    <col min="7416" max="7416" width="6.75" style="1122"/>
    <col min="7417" max="7417" width="3.25" style="1122" customWidth="1"/>
    <col min="7418" max="7418" width="6.75" style="1122"/>
    <col min="7419" max="7419" width="3.25" style="1122" customWidth="1"/>
    <col min="7420" max="7420" width="6.75" style="1122"/>
    <col min="7421" max="7421" width="3.25" style="1122" customWidth="1"/>
    <col min="7422" max="7422" width="6.75" style="1122"/>
    <col min="7423" max="7423" width="3.25" style="1122" customWidth="1"/>
    <col min="7424" max="7644" width="6.75" style="1122"/>
    <col min="7645" max="7645" width="7.75" style="1122" bestFit="1" customWidth="1"/>
    <col min="7646" max="7646" width="6.75" style="1122"/>
    <col min="7647" max="7647" width="3.25" style="1122" customWidth="1"/>
    <col min="7648" max="7648" width="6.75" style="1122"/>
    <col min="7649" max="7649" width="3.25" style="1122" customWidth="1"/>
    <col min="7650" max="7650" width="6.75" style="1122"/>
    <col min="7651" max="7651" width="3.25" style="1122" customWidth="1"/>
    <col min="7652" max="7652" width="6.75" style="1122"/>
    <col min="7653" max="7653" width="3.25" style="1122" customWidth="1"/>
    <col min="7654" max="7654" width="6.75" style="1122"/>
    <col min="7655" max="7655" width="3.25" style="1122" customWidth="1"/>
    <col min="7656" max="7656" width="6.75" style="1122"/>
    <col min="7657" max="7657" width="3.25" style="1122" customWidth="1"/>
    <col min="7658" max="7658" width="6.75" style="1122"/>
    <col min="7659" max="7659" width="3.25" style="1122" customWidth="1"/>
    <col min="7660" max="7660" width="6.75" style="1122"/>
    <col min="7661" max="7661" width="3.25" style="1122" customWidth="1"/>
    <col min="7662" max="7662" width="6.75" style="1122"/>
    <col min="7663" max="7663" width="3.25" style="1122" customWidth="1"/>
    <col min="7664" max="7664" width="6.75" style="1122"/>
    <col min="7665" max="7665" width="3.25" style="1122" customWidth="1"/>
    <col min="7666" max="7666" width="6.75" style="1122"/>
    <col min="7667" max="7667" width="3.25" style="1122" customWidth="1"/>
    <col min="7668" max="7668" width="6.75" style="1122"/>
    <col min="7669" max="7669" width="3.25" style="1122" customWidth="1"/>
    <col min="7670" max="7670" width="6.75" style="1122"/>
    <col min="7671" max="7671" width="3.25" style="1122" customWidth="1"/>
    <col min="7672" max="7672" width="6.75" style="1122"/>
    <col min="7673" max="7673" width="3.25" style="1122" customWidth="1"/>
    <col min="7674" max="7674" width="6.75" style="1122"/>
    <col min="7675" max="7675" width="3.25" style="1122" customWidth="1"/>
    <col min="7676" max="7676" width="6.75" style="1122"/>
    <col min="7677" max="7677" width="3.25" style="1122" customWidth="1"/>
    <col min="7678" max="7678" width="6.75" style="1122"/>
    <col min="7679" max="7679" width="3.25" style="1122" customWidth="1"/>
    <col min="7680" max="7900" width="6.75" style="1122"/>
    <col min="7901" max="7901" width="7.75" style="1122" bestFit="1" customWidth="1"/>
    <col min="7902" max="7902" width="6.75" style="1122"/>
    <col min="7903" max="7903" width="3.25" style="1122" customWidth="1"/>
    <col min="7904" max="7904" width="6.75" style="1122"/>
    <col min="7905" max="7905" width="3.25" style="1122" customWidth="1"/>
    <col min="7906" max="7906" width="6.75" style="1122"/>
    <col min="7907" max="7907" width="3.25" style="1122" customWidth="1"/>
    <col min="7908" max="7908" width="6.75" style="1122"/>
    <col min="7909" max="7909" width="3.25" style="1122" customWidth="1"/>
    <col min="7910" max="7910" width="6.75" style="1122"/>
    <col min="7911" max="7911" width="3.25" style="1122" customWidth="1"/>
    <col min="7912" max="7912" width="6.75" style="1122"/>
    <col min="7913" max="7913" width="3.25" style="1122" customWidth="1"/>
    <col min="7914" max="7914" width="6.75" style="1122"/>
    <col min="7915" max="7915" width="3.25" style="1122" customWidth="1"/>
    <col min="7916" max="7916" width="6.75" style="1122"/>
    <col min="7917" max="7917" width="3.25" style="1122" customWidth="1"/>
    <col min="7918" max="7918" width="6.75" style="1122"/>
    <col min="7919" max="7919" width="3.25" style="1122" customWidth="1"/>
    <col min="7920" max="7920" width="6.75" style="1122"/>
    <col min="7921" max="7921" width="3.25" style="1122" customWidth="1"/>
    <col min="7922" max="7922" width="6.75" style="1122"/>
    <col min="7923" max="7923" width="3.25" style="1122" customWidth="1"/>
    <col min="7924" max="7924" width="6.75" style="1122"/>
    <col min="7925" max="7925" width="3.25" style="1122" customWidth="1"/>
    <col min="7926" max="7926" width="6.75" style="1122"/>
    <col min="7927" max="7927" width="3.25" style="1122" customWidth="1"/>
    <col min="7928" max="7928" width="6.75" style="1122"/>
    <col min="7929" max="7929" width="3.25" style="1122" customWidth="1"/>
    <col min="7930" max="7930" width="6.75" style="1122"/>
    <col min="7931" max="7931" width="3.25" style="1122" customWidth="1"/>
    <col min="7932" max="7932" width="6.75" style="1122"/>
    <col min="7933" max="7933" width="3.25" style="1122" customWidth="1"/>
    <col min="7934" max="7934" width="6.75" style="1122"/>
    <col min="7935" max="7935" width="3.25" style="1122" customWidth="1"/>
    <col min="7936" max="8156" width="6.75" style="1122"/>
    <col min="8157" max="8157" width="7.75" style="1122" bestFit="1" customWidth="1"/>
    <col min="8158" max="8158" width="6.75" style="1122"/>
    <col min="8159" max="8159" width="3.25" style="1122" customWidth="1"/>
    <col min="8160" max="8160" width="6.75" style="1122"/>
    <col min="8161" max="8161" width="3.25" style="1122" customWidth="1"/>
    <col min="8162" max="8162" width="6.75" style="1122"/>
    <col min="8163" max="8163" width="3.25" style="1122" customWidth="1"/>
    <col min="8164" max="8164" width="6.75" style="1122"/>
    <col min="8165" max="8165" width="3.25" style="1122" customWidth="1"/>
    <col min="8166" max="8166" width="6.75" style="1122"/>
    <col min="8167" max="8167" width="3.25" style="1122" customWidth="1"/>
    <col min="8168" max="8168" width="6.75" style="1122"/>
    <col min="8169" max="8169" width="3.25" style="1122" customWidth="1"/>
    <col min="8170" max="8170" width="6.75" style="1122"/>
    <col min="8171" max="8171" width="3.25" style="1122" customWidth="1"/>
    <col min="8172" max="8172" width="6.75" style="1122"/>
    <col min="8173" max="8173" width="3.25" style="1122" customWidth="1"/>
    <col min="8174" max="8174" width="6.75" style="1122"/>
    <col min="8175" max="8175" width="3.25" style="1122" customWidth="1"/>
    <col min="8176" max="8176" width="6.75" style="1122"/>
    <col min="8177" max="8177" width="3.25" style="1122" customWidth="1"/>
    <col min="8178" max="8178" width="6.75" style="1122"/>
    <col min="8179" max="8179" width="3.25" style="1122" customWidth="1"/>
    <col min="8180" max="8180" width="6.75" style="1122"/>
    <col min="8181" max="8181" width="3.25" style="1122" customWidth="1"/>
    <col min="8182" max="8182" width="6.75" style="1122"/>
    <col min="8183" max="8183" width="3.25" style="1122" customWidth="1"/>
    <col min="8184" max="8184" width="6.75" style="1122"/>
    <col min="8185" max="8185" width="3.25" style="1122" customWidth="1"/>
    <col min="8186" max="8186" width="6.75" style="1122"/>
    <col min="8187" max="8187" width="3.25" style="1122" customWidth="1"/>
    <col min="8188" max="8188" width="6.75" style="1122"/>
    <col min="8189" max="8189" width="3.25" style="1122" customWidth="1"/>
    <col min="8190" max="8190" width="6.75" style="1122"/>
    <col min="8191" max="8191" width="3.25" style="1122" customWidth="1"/>
    <col min="8192" max="8412" width="6.75" style="1122"/>
    <col min="8413" max="8413" width="7.75" style="1122" bestFit="1" customWidth="1"/>
    <col min="8414" max="8414" width="6.75" style="1122"/>
    <col min="8415" max="8415" width="3.25" style="1122" customWidth="1"/>
    <col min="8416" max="8416" width="6.75" style="1122"/>
    <col min="8417" max="8417" width="3.25" style="1122" customWidth="1"/>
    <col min="8418" max="8418" width="6.75" style="1122"/>
    <col min="8419" max="8419" width="3.25" style="1122" customWidth="1"/>
    <col min="8420" max="8420" width="6.75" style="1122"/>
    <col min="8421" max="8421" width="3.25" style="1122" customWidth="1"/>
    <col min="8422" max="8422" width="6.75" style="1122"/>
    <col min="8423" max="8423" width="3.25" style="1122" customWidth="1"/>
    <col min="8424" max="8424" width="6.75" style="1122"/>
    <col min="8425" max="8425" width="3.25" style="1122" customWidth="1"/>
    <col min="8426" max="8426" width="6.75" style="1122"/>
    <col min="8427" max="8427" width="3.25" style="1122" customWidth="1"/>
    <col min="8428" max="8428" width="6.75" style="1122"/>
    <col min="8429" max="8429" width="3.25" style="1122" customWidth="1"/>
    <col min="8430" max="8430" width="6.75" style="1122"/>
    <col min="8431" max="8431" width="3.25" style="1122" customWidth="1"/>
    <col min="8432" max="8432" width="6.75" style="1122"/>
    <col min="8433" max="8433" width="3.25" style="1122" customWidth="1"/>
    <col min="8434" max="8434" width="6.75" style="1122"/>
    <col min="8435" max="8435" width="3.25" style="1122" customWidth="1"/>
    <col min="8436" max="8436" width="6.75" style="1122"/>
    <col min="8437" max="8437" width="3.25" style="1122" customWidth="1"/>
    <col min="8438" max="8438" width="6.75" style="1122"/>
    <col min="8439" max="8439" width="3.25" style="1122" customWidth="1"/>
    <col min="8440" max="8440" width="6.75" style="1122"/>
    <col min="8441" max="8441" width="3.25" style="1122" customWidth="1"/>
    <col min="8442" max="8442" width="6.75" style="1122"/>
    <col min="8443" max="8443" width="3.25" style="1122" customWidth="1"/>
    <col min="8444" max="8444" width="6.75" style="1122"/>
    <col min="8445" max="8445" width="3.25" style="1122" customWidth="1"/>
    <col min="8446" max="8446" width="6.75" style="1122"/>
    <col min="8447" max="8447" width="3.25" style="1122" customWidth="1"/>
    <col min="8448" max="8668" width="6.75" style="1122"/>
    <col min="8669" max="8669" width="7.75" style="1122" bestFit="1" customWidth="1"/>
    <col min="8670" max="8670" width="6.75" style="1122"/>
    <col min="8671" max="8671" width="3.25" style="1122" customWidth="1"/>
    <col min="8672" max="8672" width="6.75" style="1122"/>
    <col min="8673" max="8673" width="3.25" style="1122" customWidth="1"/>
    <col min="8674" max="8674" width="6.75" style="1122"/>
    <col min="8675" max="8675" width="3.25" style="1122" customWidth="1"/>
    <col min="8676" max="8676" width="6.75" style="1122"/>
    <col min="8677" max="8677" width="3.25" style="1122" customWidth="1"/>
    <col min="8678" max="8678" width="6.75" style="1122"/>
    <col min="8679" max="8679" width="3.25" style="1122" customWidth="1"/>
    <col min="8680" max="8680" width="6.75" style="1122"/>
    <col min="8681" max="8681" width="3.25" style="1122" customWidth="1"/>
    <col min="8682" max="8682" width="6.75" style="1122"/>
    <col min="8683" max="8683" width="3.25" style="1122" customWidth="1"/>
    <col min="8684" max="8684" width="6.75" style="1122"/>
    <col min="8685" max="8685" width="3.25" style="1122" customWidth="1"/>
    <col min="8686" max="8686" width="6.75" style="1122"/>
    <col min="8687" max="8687" width="3.25" style="1122" customWidth="1"/>
    <col min="8688" max="8688" width="6.75" style="1122"/>
    <col min="8689" max="8689" width="3.25" style="1122" customWidth="1"/>
    <col min="8690" max="8690" width="6.75" style="1122"/>
    <col min="8691" max="8691" width="3.25" style="1122" customWidth="1"/>
    <col min="8692" max="8692" width="6.75" style="1122"/>
    <col min="8693" max="8693" width="3.25" style="1122" customWidth="1"/>
    <col min="8694" max="8694" width="6.75" style="1122"/>
    <col min="8695" max="8695" width="3.25" style="1122" customWidth="1"/>
    <col min="8696" max="8696" width="6.75" style="1122"/>
    <col min="8697" max="8697" width="3.25" style="1122" customWidth="1"/>
    <col min="8698" max="8698" width="6.75" style="1122"/>
    <col min="8699" max="8699" width="3.25" style="1122" customWidth="1"/>
    <col min="8700" max="8700" width="6.75" style="1122"/>
    <col min="8701" max="8701" width="3.25" style="1122" customWidth="1"/>
    <col min="8702" max="8702" width="6.75" style="1122"/>
    <col min="8703" max="8703" width="3.25" style="1122" customWidth="1"/>
    <col min="8704" max="8924" width="6.75" style="1122"/>
    <col min="8925" max="8925" width="7.75" style="1122" bestFit="1" customWidth="1"/>
    <col min="8926" max="8926" width="6.75" style="1122"/>
    <col min="8927" max="8927" width="3.25" style="1122" customWidth="1"/>
    <col min="8928" max="8928" width="6.75" style="1122"/>
    <col min="8929" max="8929" width="3.25" style="1122" customWidth="1"/>
    <col min="8930" max="8930" width="6.75" style="1122"/>
    <col min="8931" max="8931" width="3.25" style="1122" customWidth="1"/>
    <col min="8932" max="8932" width="6.75" style="1122"/>
    <col min="8933" max="8933" width="3.25" style="1122" customWidth="1"/>
    <col min="8934" max="8934" width="6.75" style="1122"/>
    <col min="8935" max="8935" width="3.25" style="1122" customWidth="1"/>
    <col min="8936" max="8936" width="6.75" style="1122"/>
    <col min="8937" max="8937" width="3.25" style="1122" customWidth="1"/>
    <col min="8938" max="8938" width="6.75" style="1122"/>
    <col min="8939" max="8939" width="3.25" style="1122" customWidth="1"/>
    <col min="8940" max="8940" width="6.75" style="1122"/>
    <col min="8941" max="8941" width="3.25" style="1122" customWidth="1"/>
    <col min="8942" max="8942" width="6.75" style="1122"/>
    <col min="8943" max="8943" width="3.25" style="1122" customWidth="1"/>
    <col min="8944" max="8944" width="6.75" style="1122"/>
    <col min="8945" max="8945" width="3.25" style="1122" customWidth="1"/>
    <col min="8946" max="8946" width="6.75" style="1122"/>
    <col min="8947" max="8947" width="3.25" style="1122" customWidth="1"/>
    <col min="8948" max="8948" width="6.75" style="1122"/>
    <col min="8949" max="8949" width="3.25" style="1122" customWidth="1"/>
    <col min="8950" max="8950" width="6.75" style="1122"/>
    <col min="8951" max="8951" width="3.25" style="1122" customWidth="1"/>
    <col min="8952" max="8952" width="6.75" style="1122"/>
    <col min="8953" max="8953" width="3.25" style="1122" customWidth="1"/>
    <col min="8954" max="8954" width="6.75" style="1122"/>
    <col min="8955" max="8955" width="3.25" style="1122" customWidth="1"/>
    <col min="8956" max="8956" width="6.75" style="1122"/>
    <col min="8957" max="8957" width="3.25" style="1122" customWidth="1"/>
    <col min="8958" max="8958" width="6.75" style="1122"/>
    <col min="8959" max="8959" width="3.25" style="1122" customWidth="1"/>
    <col min="8960" max="9180" width="6.75" style="1122"/>
    <col min="9181" max="9181" width="7.75" style="1122" bestFit="1" customWidth="1"/>
    <col min="9182" max="9182" width="6.75" style="1122"/>
    <col min="9183" max="9183" width="3.25" style="1122" customWidth="1"/>
    <col min="9184" max="9184" width="6.75" style="1122"/>
    <col min="9185" max="9185" width="3.25" style="1122" customWidth="1"/>
    <col min="9186" max="9186" width="6.75" style="1122"/>
    <col min="9187" max="9187" width="3.25" style="1122" customWidth="1"/>
    <col min="9188" max="9188" width="6.75" style="1122"/>
    <col min="9189" max="9189" width="3.25" style="1122" customWidth="1"/>
    <col min="9190" max="9190" width="6.75" style="1122"/>
    <col min="9191" max="9191" width="3.25" style="1122" customWidth="1"/>
    <col min="9192" max="9192" width="6.75" style="1122"/>
    <col min="9193" max="9193" width="3.25" style="1122" customWidth="1"/>
    <col min="9194" max="9194" width="6.75" style="1122"/>
    <col min="9195" max="9195" width="3.25" style="1122" customWidth="1"/>
    <col min="9196" max="9196" width="6.75" style="1122"/>
    <col min="9197" max="9197" width="3.25" style="1122" customWidth="1"/>
    <col min="9198" max="9198" width="6.75" style="1122"/>
    <col min="9199" max="9199" width="3.25" style="1122" customWidth="1"/>
    <col min="9200" max="9200" width="6.75" style="1122"/>
    <col min="9201" max="9201" width="3.25" style="1122" customWidth="1"/>
    <col min="9202" max="9202" width="6.75" style="1122"/>
    <col min="9203" max="9203" width="3.25" style="1122" customWidth="1"/>
    <col min="9204" max="9204" width="6.75" style="1122"/>
    <col min="9205" max="9205" width="3.25" style="1122" customWidth="1"/>
    <col min="9206" max="9206" width="6.75" style="1122"/>
    <col min="9207" max="9207" width="3.25" style="1122" customWidth="1"/>
    <col min="9208" max="9208" width="6.75" style="1122"/>
    <col min="9209" max="9209" width="3.25" style="1122" customWidth="1"/>
    <col min="9210" max="9210" width="6.75" style="1122"/>
    <col min="9211" max="9211" width="3.25" style="1122" customWidth="1"/>
    <col min="9212" max="9212" width="6.75" style="1122"/>
    <col min="9213" max="9213" width="3.25" style="1122" customWidth="1"/>
    <col min="9214" max="9214" width="6.75" style="1122"/>
    <col min="9215" max="9215" width="3.25" style="1122" customWidth="1"/>
    <col min="9216" max="9436" width="6.75" style="1122"/>
    <col min="9437" max="9437" width="7.75" style="1122" bestFit="1" customWidth="1"/>
    <col min="9438" max="9438" width="6.75" style="1122"/>
    <col min="9439" max="9439" width="3.25" style="1122" customWidth="1"/>
    <col min="9440" max="9440" width="6.75" style="1122"/>
    <col min="9441" max="9441" width="3.25" style="1122" customWidth="1"/>
    <col min="9442" max="9442" width="6.75" style="1122"/>
    <col min="9443" max="9443" width="3.25" style="1122" customWidth="1"/>
    <col min="9444" max="9444" width="6.75" style="1122"/>
    <col min="9445" max="9445" width="3.25" style="1122" customWidth="1"/>
    <col min="9446" max="9446" width="6.75" style="1122"/>
    <col min="9447" max="9447" width="3.25" style="1122" customWidth="1"/>
    <col min="9448" max="9448" width="6.75" style="1122"/>
    <col min="9449" max="9449" width="3.25" style="1122" customWidth="1"/>
    <col min="9450" max="9450" width="6.75" style="1122"/>
    <col min="9451" max="9451" width="3.25" style="1122" customWidth="1"/>
    <col min="9452" max="9452" width="6.75" style="1122"/>
    <col min="9453" max="9453" width="3.25" style="1122" customWidth="1"/>
    <col min="9454" max="9454" width="6.75" style="1122"/>
    <col min="9455" max="9455" width="3.25" style="1122" customWidth="1"/>
    <col min="9456" max="9456" width="6.75" style="1122"/>
    <col min="9457" max="9457" width="3.25" style="1122" customWidth="1"/>
    <col min="9458" max="9458" width="6.75" style="1122"/>
    <col min="9459" max="9459" width="3.25" style="1122" customWidth="1"/>
    <col min="9460" max="9460" width="6.75" style="1122"/>
    <col min="9461" max="9461" width="3.25" style="1122" customWidth="1"/>
    <col min="9462" max="9462" width="6.75" style="1122"/>
    <col min="9463" max="9463" width="3.25" style="1122" customWidth="1"/>
    <col min="9464" max="9464" width="6.75" style="1122"/>
    <col min="9465" max="9465" width="3.25" style="1122" customWidth="1"/>
    <col min="9466" max="9466" width="6.75" style="1122"/>
    <col min="9467" max="9467" width="3.25" style="1122" customWidth="1"/>
    <col min="9468" max="9468" width="6.75" style="1122"/>
    <col min="9469" max="9469" width="3.25" style="1122" customWidth="1"/>
    <col min="9470" max="9470" width="6.75" style="1122"/>
    <col min="9471" max="9471" width="3.25" style="1122" customWidth="1"/>
    <col min="9472" max="9692" width="6.75" style="1122"/>
    <col min="9693" max="9693" width="7.75" style="1122" bestFit="1" customWidth="1"/>
    <col min="9694" max="9694" width="6.75" style="1122"/>
    <col min="9695" max="9695" width="3.25" style="1122" customWidth="1"/>
    <col min="9696" max="9696" width="6.75" style="1122"/>
    <col min="9697" max="9697" width="3.25" style="1122" customWidth="1"/>
    <col min="9698" max="9698" width="6.75" style="1122"/>
    <col min="9699" max="9699" width="3.25" style="1122" customWidth="1"/>
    <col min="9700" max="9700" width="6.75" style="1122"/>
    <col min="9701" max="9701" width="3.25" style="1122" customWidth="1"/>
    <col min="9702" max="9702" width="6.75" style="1122"/>
    <col min="9703" max="9703" width="3.25" style="1122" customWidth="1"/>
    <col min="9704" max="9704" width="6.75" style="1122"/>
    <col min="9705" max="9705" width="3.25" style="1122" customWidth="1"/>
    <col min="9706" max="9706" width="6.75" style="1122"/>
    <col min="9707" max="9707" width="3.25" style="1122" customWidth="1"/>
    <col min="9708" max="9708" width="6.75" style="1122"/>
    <col min="9709" max="9709" width="3.25" style="1122" customWidth="1"/>
    <col min="9710" max="9710" width="6.75" style="1122"/>
    <col min="9711" max="9711" width="3.25" style="1122" customWidth="1"/>
    <col min="9712" max="9712" width="6.75" style="1122"/>
    <col min="9713" max="9713" width="3.25" style="1122" customWidth="1"/>
    <col min="9714" max="9714" width="6.75" style="1122"/>
    <col min="9715" max="9715" width="3.25" style="1122" customWidth="1"/>
    <col min="9716" max="9716" width="6.75" style="1122"/>
    <col min="9717" max="9717" width="3.25" style="1122" customWidth="1"/>
    <col min="9718" max="9718" width="6.75" style="1122"/>
    <col min="9719" max="9719" width="3.25" style="1122" customWidth="1"/>
    <col min="9720" max="9720" width="6.75" style="1122"/>
    <col min="9721" max="9721" width="3.25" style="1122" customWidth="1"/>
    <col min="9722" max="9722" width="6.75" style="1122"/>
    <col min="9723" max="9723" width="3.25" style="1122" customWidth="1"/>
    <col min="9724" max="9724" width="6.75" style="1122"/>
    <col min="9725" max="9725" width="3.25" style="1122" customWidth="1"/>
    <col min="9726" max="9726" width="6.75" style="1122"/>
    <col min="9727" max="9727" width="3.25" style="1122" customWidth="1"/>
    <col min="9728" max="9948" width="6.75" style="1122"/>
    <col min="9949" max="9949" width="7.75" style="1122" bestFit="1" customWidth="1"/>
    <col min="9950" max="9950" width="6.75" style="1122"/>
    <col min="9951" max="9951" width="3.25" style="1122" customWidth="1"/>
    <col min="9952" max="9952" width="6.75" style="1122"/>
    <col min="9953" max="9953" width="3.25" style="1122" customWidth="1"/>
    <col min="9954" max="9954" width="6.75" style="1122"/>
    <col min="9955" max="9955" width="3.25" style="1122" customWidth="1"/>
    <col min="9956" max="9956" width="6.75" style="1122"/>
    <col min="9957" max="9957" width="3.25" style="1122" customWidth="1"/>
    <col min="9958" max="9958" width="6.75" style="1122"/>
    <col min="9959" max="9959" width="3.25" style="1122" customWidth="1"/>
    <col min="9960" max="9960" width="6.75" style="1122"/>
    <col min="9961" max="9961" width="3.25" style="1122" customWidth="1"/>
    <col min="9962" max="9962" width="6.75" style="1122"/>
    <col min="9963" max="9963" width="3.25" style="1122" customWidth="1"/>
    <col min="9964" max="9964" width="6.75" style="1122"/>
    <col min="9965" max="9965" width="3.25" style="1122" customWidth="1"/>
    <col min="9966" max="9966" width="6.75" style="1122"/>
    <col min="9967" max="9967" width="3.25" style="1122" customWidth="1"/>
    <col min="9968" max="9968" width="6.75" style="1122"/>
    <col min="9969" max="9969" width="3.25" style="1122" customWidth="1"/>
    <col min="9970" max="9970" width="6.75" style="1122"/>
    <col min="9971" max="9971" width="3.25" style="1122" customWidth="1"/>
    <col min="9972" max="9972" width="6.75" style="1122"/>
    <col min="9973" max="9973" width="3.25" style="1122" customWidth="1"/>
    <col min="9974" max="9974" width="6.75" style="1122"/>
    <col min="9975" max="9975" width="3.25" style="1122" customWidth="1"/>
    <col min="9976" max="9976" width="6.75" style="1122"/>
    <col min="9977" max="9977" width="3.25" style="1122" customWidth="1"/>
    <col min="9978" max="9978" width="6.75" style="1122"/>
    <col min="9979" max="9979" width="3.25" style="1122" customWidth="1"/>
    <col min="9980" max="9980" width="6.75" style="1122"/>
    <col min="9981" max="9981" width="3.25" style="1122" customWidth="1"/>
    <col min="9982" max="9982" width="6.75" style="1122"/>
    <col min="9983" max="9983" width="3.25" style="1122" customWidth="1"/>
    <col min="9984" max="10204" width="6.75" style="1122"/>
    <col min="10205" max="10205" width="7.75" style="1122" bestFit="1" customWidth="1"/>
    <col min="10206" max="10206" width="6.75" style="1122"/>
    <col min="10207" max="10207" width="3.25" style="1122" customWidth="1"/>
    <col min="10208" max="10208" width="6.75" style="1122"/>
    <col min="10209" max="10209" width="3.25" style="1122" customWidth="1"/>
    <col min="10210" max="10210" width="6.75" style="1122"/>
    <col min="10211" max="10211" width="3.25" style="1122" customWidth="1"/>
    <col min="10212" max="10212" width="6.75" style="1122"/>
    <col min="10213" max="10213" width="3.25" style="1122" customWidth="1"/>
    <col min="10214" max="10214" width="6.75" style="1122"/>
    <col min="10215" max="10215" width="3.25" style="1122" customWidth="1"/>
    <col min="10216" max="10216" width="6.75" style="1122"/>
    <col min="10217" max="10217" width="3.25" style="1122" customWidth="1"/>
    <col min="10218" max="10218" width="6.75" style="1122"/>
    <col min="10219" max="10219" width="3.25" style="1122" customWidth="1"/>
    <col min="10220" max="10220" width="6.75" style="1122"/>
    <col min="10221" max="10221" width="3.25" style="1122" customWidth="1"/>
    <col min="10222" max="10222" width="6.75" style="1122"/>
    <col min="10223" max="10223" width="3.25" style="1122" customWidth="1"/>
    <col min="10224" max="10224" width="6.75" style="1122"/>
    <col min="10225" max="10225" width="3.25" style="1122" customWidth="1"/>
    <col min="10226" max="10226" width="6.75" style="1122"/>
    <col min="10227" max="10227" width="3.25" style="1122" customWidth="1"/>
    <col min="10228" max="10228" width="6.75" style="1122"/>
    <col min="10229" max="10229" width="3.25" style="1122" customWidth="1"/>
    <col min="10230" max="10230" width="6.75" style="1122"/>
    <col min="10231" max="10231" width="3.25" style="1122" customWidth="1"/>
    <col min="10232" max="10232" width="6.75" style="1122"/>
    <col min="10233" max="10233" width="3.25" style="1122" customWidth="1"/>
    <col min="10234" max="10234" width="6.75" style="1122"/>
    <col min="10235" max="10235" width="3.25" style="1122" customWidth="1"/>
    <col min="10236" max="10236" width="6.75" style="1122"/>
    <col min="10237" max="10237" width="3.25" style="1122" customWidth="1"/>
    <col min="10238" max="10238" width="6.75" style="1122"/>
    <col min="10239" max="10239" width="3.25" style="1122" customWidth="1"/>
    <col min="10240" max="10460" width="6.75" style="1122"/>
    <col min="10461" max="10461" width="7.75" style="1122" bestFit="1" customWidth="1"/>
    <col min="10462" max="10462" width="6.75" style="1122"/>
    <col min="10463" max="10463" width="3.25" style="1122" customWidth="1"/>
    <col min="10464" max="10464" width="6.75" style="1122"/>
    <col min="10465" max="10465" width="3.25" style="1122" customWidth="1"/>
    <col min="10466" max="10466" width="6.75" style="1122"/>
    <col min="10467" max="10467" width="3.25" style="1122" customWidth="1"/>
    <col min="10468" max="10468" width="6.75" style="1122"/>
    <col min="10469" max="10469" width="3.25" style="1122" customWidth="1"/>
    <col min="10470" max="10470" width="6.75" style="1122"/>
    <col min="10471" max="10471" width="3.25" style="1122" customWidth="1"/>
    <col min="10472" max="10472" width="6.75" style="1122"/>
    <col min="10473" max="10473" width="3.25" style="1122" customWidth="1"/>
    <col min="10474" max="10474" width="6.75" style="1122"/>
    <col min="10475" max="10475" width="3.25" style="1122" customWidth="1"/>
    <col min="10476" max="10476" width="6.75" style="1122"/>
    <col min="10477" max="10477" width="3.25" style="1122" customWidth="1"/>
    <col min="10478" max="10478" width="6.75" style="1122"/>
    <col min="10479" max="10479" width="3.25" style="1122" customWidth="1"/>
    <col min="10480" max="10480" width="6.75" style="1122"/>
    <col min="10481" max="10481" width="3.25" style="1122" customWidth="1"/>
    <col min="10482" max="10482" width="6.75" style="1122"/>
    <col min="10483" max="10483" width="3.25" style="1122" customWidth="1"/>
    <col min="10484" max="10484" width="6.75" style="1122"/>
    <col min="10485" max="10485" width="3.25" style="1122" customWidth="1"/>
    <col min="10486" max="10486" width="6.75" style="1122"/>
    <col min="10487" max="10487" width="3.25" style="1122" customWidth="1"/>
    <col min="10488" max="10488" width="6.75" style="1122"/>
    <col min="10489" max="10489" width="3.25" style="1122" customWidth="1"/>
    <col min="10490" max="10490" width="6.75" style="1122"/>
    <col min="10491" max="10491" width="3.25" style="1122" customWidth="1"/>
    <col min="10492" max="10492" width="6.75" style="1122"/>
    <col min="10493" max="10493" width="3.25" style="1122" customWidth="1"/>
    <col min="10494" max="10494" width="6.75" style="1122"/>
    <col min="10495" max="10495" width="3.25" style="1122" customWidth="1"/>
    <col min="10496" max="10716" width="6.75" style="1122"/>
    <col min="10717" max="10717" width="7.75" style="1122" bestFit="1" customWidth="1"/>
    <col min="10718" max="10718" width="6.75" style="1122"/>
    <col min="10719" max="10719" width="3.25" style="1122" customWidth="1"/>
    <col min="10720" max="10720" width="6.75" style="1122"/>
    <col min="10721" max="10721" width="3.25" style="1122" customWidth="1"/>
    <col min="10722" max="10722" width="6.75" style="1122"/>
    <col min="10723" max="10723" width="3.25" style="1122" customWidth="1"/>
    <col min="10724" max="10724" width="6.75" style="1122"/>
    <col min="10725" max="10725" width="3.25" style="1122" customWidth="1"/>
    <col min="10726" max="10726" width="6.75" style="1122"/>
    <col min="10727" max="10727" width="3.25" style="1122" customWidth="1"/>
    <col min="10728" max="10728" width="6.75" style="1122"/>
    <col min="10729" max="10729" width="3.25" style="1122" customWidth="1"/>
    <col min="10730" max="10730" width="6.75" style="1122"/>
    <col min="10731" max="10731" width="3.25" style="1122" customWidth="1"/>
    <col min="10732" max="10732" width="6.75" style="1122"/>
    <col min="10733" max="10733" width="3.25" style="1122" customWidth="1"/>
    <col min="10734" max="10734" width="6.75" style="1122"/>
    <col min="10735" max="10735" width="3.25" style="1122" customWidth="1"/>
    <col min="10736" max="10736" width="6.75" style="1122"/>
    <col min="10737" max="10737" width="3.25" style="1122" customWidth="1"/>
    <col min="10738" max="10738" width="6.75" style="1122"/>
    <col min="10739" max="10739" width="3.25" style="1122" customWidth="1"/>
    <col min="10740" max="10740" width="6.75" style="1122"/>
    <col min="10741" max="10741" width="3.25" style="1122" customWidth="1"/>
    <col min="10742" max="10742" width="6.75" style="1122"/>
    <col min="10743" max="10743" width="3.25" style="1122" customWidth="1"/>
    <col min="10744" max="10744" width="6.75" style="1122"/>
    <col min="10745" max="10745" width="3.25" style="1122" customWidth="1"/>
    <col min="10746" max="10746" width="6.75" style="1122"/>
    <col min="10747" max="10747" width="3.25" style="1122" customWidth="1"/>
    <col min="10748" max="10748" width="6.75" style="1122"/>
    <col min="10749" max="10749" width="3.25" style="1122" customWidth="1"/>
    <col min="10750" max="10750" width="6.75" style="1122"/>
    <col min="10751" max="10751" width="3.25" style="1122" customWidth="1"/>
    <col min="10752" max="10972" width="6.75" style="1122"/>
    <col min="10973" max="10973" width="7.75" style="1122" bestFit="1" customWidth="1"/>
    <col min="10974" max="10974" width="6.75" style="1122"/>
    <col min="10975" max="10975" width="3.25" style="1122" customWidth="1"/>
    <col min="10976" max="10976" width="6.75" style="1122"/>
    <col min="10977" max="10977" width="3.25" style="1122" customWidth="1"/>
    <col min="10978" max="10978" width="6.75" style="1122"/>
    <col min="10979" max="10979" width="3.25" style="1122" customWidth="1"/>
    <col min="10980" max="10980" width="6.75" style="1122"/>
    <col min="10981" max="10981" width="3.25" style="1122" customWidth="1"/>
    <col min="10982" max="10982" width="6.75" style="1122"/>
    <col min="10983" max="10983" width="3.25" style="1122" customWidth="1"/>
    <col min="10984" max="10984" width="6.75" style="1122"/>
    <col min="10985" max="10985" width="3.25" style="1122" customWidth="1"/>
    <col min="10986" max="10986" width="6.75" style="1122"/>
    <col min="10987" max="10987" width="3.25" style="1122" customWidth="1"/>
    <col min="10988" max="10988" width="6.75" style="1122"/>
    <col min="10989" max="10989" width="3.25" style="1122" customWidth="1"/>
    <col min="10990" max="10990" width="6.75" style="1122"/>
    <col min="10991" max="10991" width="3.25" style="1122" customWidth="1"/>
    <col min="10992" max="10992" width="6.75" style="1122"/>
    <col min="10993" max="10993" width="3.25" style="1122" customWidth="1"/>
    <col min="10994" max="10994" width="6.75" style="1122"/>
    <col min="10995" max="10995" width="3.25" style="1122" customWidth="1"/>
    <col min="10996" max="10996" width="6.75" style="1122"/>
    <col min="10997" max="10997" width="3.25" style="1122" customWidth="1"/>
    <col min="10998" max="10998" width="6.75" style="1122"/>
    <col min="10999" max="10999" width="3.25" style="1122" customWidth="1"/>
    <col min="11000" max="11000" width="6.75" style="1122"/>
    <col min="11001" max="11001" width="3.25" style="1122" customWidth="1"/>
    <col min="11002" max="11002" width="6.75" style="1122"/>
    <col min="11003" max="11003" width="3.25" style="1122" customWidth="1"/>
    <col min="11004" max="11004" width="6.75" style="1122"/>
    <col min="11005" max="11005" width="3.25" style="1122" customWidth="1"/>
    <col min="11006" max="11006" width="6.75" style="1122"/>
    <col min="11007" max="11007" width="3.25" style="1122" customWidth="1"/>
    <col min="11008" max="11228" width="6.75" style="1122"/>
    <col min="11229" max="11229" width="7.75" style="1122" bestFit="1" customWidth="1"/>
    <col min="11230" max="11230" width="6.75" style="1122"/>
    <col min="11231" max="11231" width="3.25" style="1122" customWidth="1"/>
    <col min="11232" max="11232" width="6.75" style="1122"/>
    <col min="11233" max="11233" width="3.25" style="1122" customWidth="1"/>
    <col min="11234" max="11234" width="6.75" style="1122"/>
    <col min="11235" max="11235" width="3.25" style="1122" customWidth="1"/>
    <col min="11236" max="11236" width="6.75" style="1122"/>
    <col min="11237" max="11237" width="3.25" style="1122" customWidth="1"/>
    <col min="11238" max="11238" width="6.75" style="1122"/>
    <col min="11239" max="11239" width="3.25" style="1122" customWidth="1"/>
    <col min="11240" max="11240" width="6.75" style="1122"/>
    <col min="11241" max="11241" width="3.25" style="1122" customWidth="1"/>
    <col min="11242" max="11242" width="6.75" style="1122"/>
    <col min="11243" max="11243" width="3.25" style="1122" customWidth="1"/>
    <col min="11244" max="11244" width="6.75" style="1122"/>
    <col min="11245" max="11245" width="3.25" style="1122" customWidth="1"/>
    <col min="11246" max="11246" width="6.75" style="1122"/>
    <col min="11247" max="11247" width="3.25" style="1122" customWidth="1"/>
    <col min="11248" max="11248" width="6.75" style="1122"/>
    <col min="11249" max="11249" width="3.25" style="1122" customWidth="1"/>
    <col min="11250" max="11250" width="6.75" style="1122"/>
    <col min="11251" max="11251" width="3.25" style="1122" customWidth="1"/>
    <col min="11252" max="11252" width="6.75" style="1122"/>
    <col min="11253" max="11253" width="3.25" style="1122" customWidth="1"/>
    <col min="11254" max="11254" width="6.75" style="1122"/>
    <col min="11255" max="11255" width="3.25" style="1122" customWidth="1"/>
    <col min="11256" max="11256" width="6.75" style="1122"/>
    <col min="11257" max="11257" width="3.25" style="1122" customWidth="1"/>
    <col min="11258" max="11258" width="6.75" style="1122"/>
    <col min="11259" max="11259" width="3.25" style="1122" customWidth="1"/>
    <col min="11260" max="11260" width="6.75" style="1122"/>
    <col min="11261" max="11261" width="3.25" style="1122" customWidth="1"/>
    <col min="11262" max="11262" width="6.75" style="1122"/>
    <col min="11263" max="11263" width="3.25" style="1122" customWidth="1"/>
    <col min="11264" max="11484" width="6.75" style="1122"/>
    <col min="11485" max="11485" width="7.75" style="1122" bestFit="1" customWidth="1"/>
    <col min="11486" max="11486" width="6.75" style="1122"/>
    <col min="11487" max="11487" width="3.25" style="1122" customWidth="1"/>
    <col min="11488" max="11488" width="6.75" style="1122"/>
    <col min="11489" max="11489" width="3.25" style="1122" customWidth="1"/>
    <col min="11490" max="11490" width="6.75" style="1122"/>
    <col min="11491" max="11491" width="3.25" style="1122" customWidth="1"/>
    <col min="11492" max="11492" width="6.75" style="1122"/>
    <col min="11493" max="11493" width="3.25" style="1122" customWidth="1"/>
    <col min="11494" max="11494" width="6.75" style="1122"/>
    <col min="11495" max="11495" width="3.25" style="1122" customWidth="1"/>
    <col min="11496" max="11496" width="6.75" style="1122"/>
    <col min="11497" max="11497" width="3.25" style="1122" customWidth="1"/>
    <col min="11498" max="11498" width="6.75" style="1122"/>
    <col min="11499" max="11499" width="3.25" style="1122" customWidth="1"/>
    <col min="11500" max="11500" width="6.75" style="1122"/>
    <col min="11501" max="11501" width="3.25" style="1122" customWidth="1"/>
    <col min="11502" max="11502" width="6.75" style="1122"/>
    <col min="11503" max="11503" width="3.25" style="1122" customWidth="1"/>
    <col min="11504" max="11504" width="6.75" style="1122"/>
    <col min="11505" max="11505" width="3.25" style="1122" customWidth="1"/>
    <col min="11506" max="11506" width="6.75" style="1122"/>
    <col min="11507" max="11507" width="3.25" style="1122" customWidth="1"/>
    <col min="11508" max="11508" width="6.75" style="1122"/>
    <col min="11509" max="11509" width="3.25" style="1122" customWidth="1"/>
    <col min="11510" max="11510" width="6.75" style="1122"/>
    <col min="11511" max="11511" width="3.25" style="1122" customWidth="1"/>
    <col min="11512" max="11512" width="6.75" style="1122"/>
    <col min="11513" max="11513" width="3.25" style="1122" customWidth="1"/>
    <col min="11514" max="11514" width="6.75" style="1122"/>
    <col min="11515" max="11515" width="3.25" style="1122" customWidth="1"/>
    <col min="11516" max="11516" width="6.75" style="1122"/>
    <col min="11517" max="11517" width="3.25" style="1122" customWidth="1"/>
    <col min="11518" max="11518" width="6.75" style="1122"/>
    <col min="11519" max="11519" width="3.25" style="1122" customWidth="1"/>
    <col min="11520" max="11740" width="6.75" style="1122"/>
    <col min="11741" max="11741" width="7.75" style="1122" bestFit="1" customWidth="1"/>
    <col min="11742" max="11742" width="6.75" style="1122"/>
    <col min="11743" max="11743" width="3.25" style="1122" customWidth="1"/>
    <col min="11744" max="11744" width="6.75" style="1122"/>
    <col min="11745" max="11745" width="3.25" style="1122" customWidth="1"/>
    <col min="11746" max="11746" width="6.75" style="1122"/>
    <col min="11747" max="11747" width="3.25" style="1122" customWidth="1"/>
    <col min="11748" max="11748" width="6.75" style="1122"/>
    <col min="11749" max="11749" width="3.25" style="1122" customWidth="1"/>
    <col min="11750" max="11750" width="6.75" style="1122"/>
    <col min="11751" max="11751" width="3.25" style="1122" customWidth="1"/>
    <col min="11752" max="11752" width="6.75" style="1122"/>
    <col min="11753" max="11753" width="3.25" style="1122" customWidth="1"/>
    <col min="11754" max="11754" width="6.75" style="1122"/>
    <col min="11755" max="11755" width="3.25" style="1122" customWidth="1"/>
    <col min="11756" max="11756" width="6.75" style="1122"/>
    <col min="11757" max="11757" width="3.25" style="1122" customWidth="1"/>
    <col min="11758" max="11758" width="6.75" style="1122"/>
    <col min="11759" max="11759" width="3.25" style="1122" customWidth="1"/>
    <col min="11760" max="11760" width="6.75" style="1122"/>
    <col min="11761" max="11761" width="3.25" style="1122" customWidth="1"/>
    <col min="11762" max="11762" width="6.75" style="1122"/>
    <col min="11763" max="11763" width="3.25" style="1122" customWidth="1"/>
    <col min="11764" max="11764" width="6.75" style="1122"/>
    <col min="11765" max="11765" width="3.25" style="1122" customWidth="1"/>
    <col min="11766" max="11766" width="6.75" style="1122"/>
    <col min="11767" max="11767" width="3.25" style="1122" customWidth="1"/>
    <col min="11768" max="11768" width="6.75" style="1122"/>
    <col min="11769" max="11769" width="3.25" style="1122" customWidth="1"/>
    <col min="11770" max="11770" width="6.75" style="1122"/>
    <col min="11771" max="11771" width="3.25" style="1122" customWidth="1"/>
    <col min="11772" max="11772" width="6.75" style="1122"/>
    <col min="11773" max="11773" width="3.25" style="1122" customWidth="1"/>
    <col min="11774" max="11774" width="6.75" style="1122"/>
    <col min="11775" max="11775" width="3.25" style="1122" customWidth="1"/>
    <col min="11776" max="11996" width="6.75" style="1122"/>
    <col min="11997" max="11997" width="7.75" style="1122" bestFit="1" customWidth="1"/>
    <col min="11998" max="11998" width="6.75" style="1122"/>
    <col min="11999" max="11999" width="3.25" style="1122" customWidth="1"/>
    <col min="12000" max="12000" width="6.75" style="1122"/>
    <col min="12001" max="12001" width="3.25" style="1122" customWidth="1"/>
    <col min="12002" max="12002" width="6.75" style="1122"/>
    <col min="12003" max="12003" width="3.25" style="1122" customWidth="1"/>
    <col min="12004" max="12004" width="6.75" style="1122"/>
    <col min="12005" max="12005" width="3.25" style="1122" customWidth="1"/>
    <col min="12006" max="12006" width="6.75" style="1122"/>
    <col min="12007" max="12007" width="3.25" style="1122" customWidth="1"/>
    <col min="12008" max="12008" width="6.75" style="1122"/>
    <col min="12009" max="12009" width="3.25" style="1122" customWidth="1"/>
    <col min="12010" max="12010" width="6.75" style="1122"/>
    <col min="12011" max="12011" width="3.25" style="1122" customWidth="1"/>
    <col min="12012" max="12012" width="6.75" style="1122"/>
    <col min="12013" max="12013" width="3.25" style="1122" customWidth="1"/>
    <col min="12014" max="12014" width="6.75" style="1122"/>
    <col min="12015" max="12015" width="3.25" style="1122" customWidth="1"/>
    <col min="12016" max="12016" width="6.75" style="1122"/>
    <col min="12017" max="12017" width="3.25" style="1122" customWidth="1"/>
    <col min="12018" max="12018" width="6.75" style="1122"/>
    <col min="12019" max="12019" width="3.25" style="1122" customWidth="1"/>
    <col min="12020" max="12020" width="6.75" style="1122"/>
    <col min="12021" max="12021" width="3.25" style="1122" customWidth="1"/>
    <col min="12022" max="12022" width="6.75" style="1122"/>
    <col min="12023" max="12023" width="3.25" style="1122" customWidth="1"/>
    <col min="12024" max="12024" width="6.75" style="1122"/>
    <col min="12025" max="12025" width="3.25" style="1122" customWidth="1"/>
    <col min="12026" max="12026" width="6.75" style="1122"/>
    <col min="12027" max="12027" width="3.25" style="1122" customWidth="1"/>
    <col min="12028" max="12028" width="6.75" style="1122"/>
    <col min="12029" max="12029" width="3.25" style="1122" customWidth="1"/>
    <col min="12030" max="12030" width="6.75" style="1122"/>
    <col min="12031" max="12031" width="3.25" style="1122" customWidth="1"/>
    <col min="12032" max="12252" width="6.75" style="1122"/>
    <col min="12253" max="12253" width="7.75" style="1122" bestFit="1" customWidth="1"/>
    <col min="12254" max="12254" width="6.75" style="1122"/>
    <col min="12255" max="12255" width="3.25" style="1122" customWidth="1"/>
    <col min="12256" max="12256" width="6.75" style="1122"/>
    <col min="12257" max="12257" width="3.25" style="1122" customWidth="1"/>
    <col min="12258" max="12258" width="6.75" style="1122"/>
    <col min="12259" max="12259" width="3.25" style="1122" customWidth="1"/>
    <col min="12260" max="12260" width="6.75" style="1122"/>
    <col min="12261" max="12261" width="3.25" style="1122" customWidth="1"/>
    <col min="12262" max="12262" width="6.75" style="1122"/>
    <col min="12263" max="12263" width="3.25" style="1122" customWidth="1"/>
    <col min="12264" max="12264" width="6.75" style="1122"/>
    <col min="12265" max="12265" width="3.25" style="1122" customWidth="1"/>
    <col min="12266" max="12266" width="6.75" style="1122"/>
    <col min="12267" max="12267" width="3.25" style="1122" customWidth="1"/>
    <col min="12268" max="12268" width="6.75" style="1122"/>
    <col min="12269" max="12269" width="3.25" style="1122" customWidth="1"/>
    <col min="12270" max="12270" width="6.75" style="1122"/>
    <col min="12271" max="12271" width="3.25" style="1122" customWidth="1"/>
    <col min="12272" max="12272" width="6.75" style="1122"/>
    <col min="12273" max="12273" width="3.25" style="1122" customWidth="1"/>
    <col min="12274" max="12274" width="6.75" style="1122"/>
    <col min="12275" max="12275" width="3.25" style="1122" customWidth="1"/>
    <col min="12276" max="12276" width="6.75" style="1122"/>
    <col min="12277" max="12277" width="3.25" style="1122" customWidth="1"/>
    <col min="12278" max="12278" width="6.75" style="1122"/>
    <col min="12279" max="12279" width="3.25" style="1122" customWidth="1"/>
    <col min="12280" max="12280" width="6.75" style="1122"/>
    <col min="12281" max="12281" width="3.25" style="1122" customWidth="1"/>
    <col min="12282" max="12282" width="6.75" style="1122"/>
    <col min="12283" max="12283" width="3.25" style="1122" customWidth="1"/>
    <col min="12284" max="12284" width="6.75" style="1122"/>
    <col min="12285" max="12285" width="3.25" style="1122" customWidth="1"/>
    <col min="12286" max="12286" width="6.75" style="1122"/>
    <col min="12287" max="12287" width="3.25" style="1122" customWidth="1"/>
    <col min="12288" max="12508" width="6.75" style="1122"/>
    <col min="12509" max="12509" width="7.75" style="1122" bestFit="1" customWidth="1"/>
    <col min="12510" max="12510" width="6.75" style="1122"/>
    <col min="12511" max="12511" width="3.25" style="1122" customWidth="1"/>
    <col min="12512" max="12512" width="6.75" style="1122"/>
    <col min="12513" max="12513" width="3.25" style="1122" customWidth="1"/>
    <col min="12514" max="12514" width="6.75" style="1122"/>
    <col min="12515" max="12515" width="3.25" style="1122" customWidth="1"/>
    <col min="12516" max="12516" width="6.75" style="1122"/>
    <col min="12517" max="12517" width="3.25" style="1122" customWidth="1"/>
    <col min="12518" max="12518" width="6.75" style="1122"/>
    <col min="12519" max="12519" width="3.25" style="1122" customWidth="1"/>
    <col min="12520" max="12520" width="6.75" style="1122"/>
    <col min="12521" max="12521" width="3.25" style="1122" customWidth="1"/>
    <col min="12522" max="12522" width="6.75" style="1122"/>
    <col min="12523" max="12523" width="3.25" style="1122" customWidth="1"/>
    <col min="12524" max="12524" width="6.75" style="1122"/>
    <col min="12525" max="12525" width="3.25" style="1122" customWidth="1"/>
    <col min="12526" max="12526" width="6.75" style="1122"/>
    <col min="12527" max="12527" width="3.25" style="1122" customWidth="1"/>
    <col min="12528" max="12528" width="6.75" style="1122"/>
    <col min="12529" max="12529" width="3.25" style="1122" customWidth="1"/>
    <col min="12530" max="12530" width="6.75" style="1122"/>
    <col min="12531" max="12531" width="3.25" style="1122" customWidth="1"/>
    <col min="12532" max="12532" width="6.75" style="1122"/>
    <col min="12533" max="12533" width="3.25" style="1122" customWidth="1"/>
    <col min="12534" max="12534" width="6.75" style="1122"/>
    <col min="12535" max="12535" width="3.25" style="1122" customWidth="1"/>
    <col min="12536" max="12536" width="6.75" style="1122"/>
    <col min="12537" max="12537" width="3.25" style="1122" customWidth="1"/>
    <col min="12538" max="12538" width="6.75" style="1122"/>
    <col min="12539" max="12539" width="3.25" style="1122" customWidth="1"/>
    <col min="12540" max="12540" width="6.75" style="1122"/>
    <col min="12541" max="12541" width="3.25" style="1122" customWidth="1"/>
    <col min="12542" max="12542" width="6.75" style="1122"/>
    <col min="12543" max="12543" width="3.25" style="1122" customWidth="1"/>
    <col min="12544" max="12764" width="6.75" style="1122"/>
    <col min="12765" max="12765" width="7.75" style="1122" bestFit="1" customWidth="1"/>
    <col min="12766" max="12766" width="6.75" style="1122"/>
    <col min="12767" max="12767" width="3.25" style="1122" customWidth="1"/>
    <col min="12768" max="12768" width="6.75" style="1122"/>
    <col min="12769" max="12769" width="3.25" style="1122" customWidth="1"/>
    <col min="12770" max="12770" width="6.75" style="1122"/>
    <col min="12771" max="12771" width="3.25" style="1122" customWidth="1"/>
    <col min="12772" max="12772" width="6.75" style="1122"/>
    <col min="12773" max="12773" width="3.25" style="1122" customWidth="1"/>
    <col min="12774" max="12774" width="6.75" style="1122"/>
    <col min="12775" max="12775" width="3.25" style="1122" customWidth="1"/>
    <col min="12776" max="12776" width="6.75" style="1122"/>
    <col min="12777" max="12777" width="3.25" style="1122" customWidth="1"/>
    <col min="12778" max="12778" width="6.75" style="1122"/>
    <col min="12779" max="12779" width="3.25" style="1122" customWidth="1"/>
    <col min="12780" max="12780" width="6.75" style="1122"/>
    <col min="12781" max="12781" width="3.25" style="1122" customWidth="1"/>
    <col min="12782" max="12782" width="6.75" style="1122"/>
    <col min="12783" max="12783" width="3.25" style="1122" customWidth="1"/>
    <col min="12784" max="12784" width="6.75" style="1122"/>
    <col min="12785" max="12785" width="3.25" style="1122" customWidth="1"/>
    <col min="12786" max="12786" width="6.75" style="1122"/>
    <col min="12787" max="12787" width="3.25" style="1122" customWidth="1"/>
    <col min="12788" max="12788" width="6.75" style="1122"/>
    <col min="12789" max="12789" width="3.25" style="1122" customWidth="1"/>
    <col min="12790" max="12790" width="6.75" style="1122"/>
    <col min="12791" max="12791" width="3.25" style="1122" customWidth="1"/>
    <col min="12792" max="12792" width="6.75" style="1122"/>
    <col min="12793" max="12793" width="3.25" style="1122" customWidth="1"/>
    <col min="12794" max="12794" width="6.75" style="1122"/>
    <col min="12795" max="12795" width="3.25" style="1122" customWidth="1"/>
    <col min="12796" max="12796" width="6.75" style="1122"/>
    <col min="12797" max="12797" width="3.25" style="1122" customWidth="1"/>
    <col min="12798" max="12798" width="6.75" style="1122"/>
    <col min="12799" max="12799" width="3.25" style="1122" customWidth="1"/>
    <col min="12800" max="13020" width="6.75" style="1122"/>
    <col min="13021" max="13021" width="7.75" style="1122" bestFit="1" customWidth="1"/>
    <col min="13022" max="13022" width="6.75" style="1122"/>
    <col min="13023" max="13023" width="3.25" style="1122" customWidth="1"/>
    <col min="13024" max="13024" width="6.75" style="1122"/>
    <col min="13025" max="13025" width="3.25" style="1122" customWidth="1"/>
    <col min="13026" max="13026" width="6.75" style="1122"/>
    <col min="13027" max="13027" width="3.25" style="1122" customWidth="1"/>
    <col min="13028" max="13028" width="6.75" style="1122"/>
    <col min="13029" max="13029" width="3.25" style="1122" customWidth="1"/>
    <col min="13030" max="13030" width="6.75" style="1122"/>
    <col min="13031" max="13031" width="3.25" style="1122" customWidth="1"/>
    <col min="13032" max="13032" width="6.75" style="1122"/>
    <col min="13033" max="13033" width="3.25" style="1122" customWidth="1"/>
    <col min="13034" max="13034" width="6.75" style="1122"/>
    <col min="13035" max="13035" width="3.25" style="1122" customWidth="1"/>
    <col min="13036" max="13036" width="6.75" style="1122"/>
    <col min="13037" max="13037" width="3.25" style="1122" customWidth="1"/>
    <col min="13038" max="13038" width="6.75" style="1122"/>
    <col min="13039" max="13039" width="3.25" style="1122" customWidth="1"/>
    <col min="13040" max="13040" width="6.75" style="1122"/>
    <col min="13041" max="13041" width="3.25" style="1122" customWidth="1"/>
    <col min="13042" max="13042" width="6.75" style="1122"/>
    <col min="13043" max="13043" width="3.25" style="1122" customWidth="1"/>
    <col min="13044" max="13044" width="6.75" style="1122"/>
    <col min="13045" max="13045" width="3.25" style="1122" customWidth="1"/>
    <col min="13046" max="13046" width="6.75" style="1122"/>
    <col min="13047" max="13047" width="3.25" style="1122" customWidth="1"/>
    <col min="13048" max="13048" width="6.75" style="1122"/>
    <col min="13049" max="13049" width="3.25" style="1122" customWidth="1"/>
    <col min="13050" max="13050" width="6.75" style="1122"/>
    <col min="13051" max="13051" width="3.25" style="1122" customWidth="1"/>
    <col min="13052" max="13052" width="6.75" style="1122"/>
    <col min="13053" max="13053" width="3.25" style="1122" customWidth="1"/>
    <col min="13054" max="13054" width="6.75" style="1122"/>
    <col min="13055" max="13055" width="3.25" style="1122" customWidth="1"/>
    <col min="13056" max="13276" width="6.75" style="1122"/>
    <col min="13277" max="13277" width="7.75" style="1122" bestFit="1" customWidth="1"/>
    <col min="13278" max="13278" width="6.75" style="1122"/>
    <col min="13279" max="13279" width="3.25" style="1122" customWidth="1"/>
    <col min="13280" max="13280" width="6.75" style="1122"/>
    <col min="13281" max="13281" width="3.25" style="1122" customWidth="1"/>
    <col min="13282" max="13282" width="6.75" style="1122"/>
    <col min="13283" max="13283" width="3.25" style="1122" customWidth="1"/>
    <col min="13284" max="13284" width="6.75" style="1122"/>
    <col min="13285" max="13285" width="3.25" style="1122" customWidth="1"/>
    <col min="13286" max="13286" width="6.75" style="1122"/>
    <col min="13287" max="13287" width="3.25" style="1122" customWidth="1"/>
    <col min="13288" max="13288" width="6.75" style="1122"/>
    <col min="13289" max="13289" width="3.25" style="1122" customWidth="1"/>
    <col min="13290" max="13290" width="6.75" style="1122"/>
    <col min="13291" max="13291" width="3.25" style="1122" customWidth="1"/>
    <col min="13292" max="13292" width="6.75" style="1122"/>
    <col min="13293" max="13293" width="3.25" style="1122" customWidth="1"/>
    <col min="13294" max="13294" width="6.75" style="1122"/>
    <col min="13295" max="13295" width="3.25" style="1122" customWidth="1"/>
    <col min="13296" max="13296" width="6.75" style="1122"/>
    <col min="13297" max="13297" width="3.25" style="1122" customWidth="1"/>
    <col min="13298" max="13298" width="6.75" style="1122"/>
    <col min="13299" max="13299" width="3.25" style="1122" customWidth="1"/>
    <col min="13300" max="13300" width="6.75" style="1122"/>
    <col min="13301" max="13301" width="3.25" style="1122" customWidth="1"/>
    <col min="13302" max="13302" width="6.75" style="1122"/>
    <col min="13303" max="13303" width="3.25" style="1122" customWidth="1"/>
    <col min="13304" max="13304" width="6.75" style="1122"/>
    <col min="13305" max="13305" width="3.25" style="1122" customWidth="1"/>
    <col min="13306" max="13306" width="6.75" style="1122"/>
    <col min="13307" max="13307" width="3.25" style="1122" customWidth="1"/>
    <col min="13308" max="13308" width="6.75" style="1122"/>
    <col min="13309" max="13309" width="3.25" style="1122" customWidth="1"/>
    <col min="13310" max="13310" width="6.75" style="1122"/>
    <col min="13311" max="13311" width="3.25" style="1122" customWidth="1"/>
    <col min="13312" max="13532" width="6.75" style="1122"/>
    <col min="13533" max="13533" width="7.75" style="1122" bestFit="1" customWidth="1"/>
    <col min="13534" max="13534" width="6.75" style="1122"/>
    <col min="13535" max="13535" width="3.25" style="1122" customWidth="1"/>
    <col min="13536" max="13536" width="6.75" style="1122"/>
    <col min="13537" max="13537" width="3.25" style="1122" customWidth="1"/>
    <col min="13538" max="13538" width="6.75" style="1122"/>
    <col min="13539" max="13539" width="3.25" style="1122" customWidth="1"/>
    <col min="13540" max="13540" width="6.75" style="1122"/>
    <col min="13541" max="13541" width="3.25" style="1122" customWidth="1"/>
    <col min="13542" max="13542" width="6.75" style="1122"/>
    <col min="13543" max="13543" width="3.25" style="1122" customWidth="1"/>
    <col min="13544" max="13544" width="6.75" style="1122"/>
    <col min="13545" max="13545" width="3.25" style="1122" customWidth="1"/>
    <col min="13546" max="13546" width="6.75" style="1122"/>
    <col min="13547" max="13547" width="3.25" style="1122" customWidth="1"/>
    <col min="13548" max="13548" width="6.75" style="1122"/>
    <col min="13549" max="13549" width="3.25" style="1122" customWidth="1"/>
    <col min="13550" max="13550" width="6.75" style="1122"/>
    <col min="13551" max="13551" width="3.25" style="1122" customWidth="1"/>
    <col min="13552" max="13552" width="6.75" style="1122"/>
    <col min="13553" max="13553" width="3.25" style="1122" customWidth="1"/>
    <col min="13554" max="13554" width="6.75" style="1122"/>
    <col min="13555" max="13555" width="3.25" style="1122" customWidth="1"/>
    <col min="13556" max="13556" width="6.75" style="1122"/>
    <col min="13557" max="13557" width="3.25" style="1122" customWidth="1"/>
    <col min="13558" max="13558" width="6.75" style="1122"/>
    <col min="13559" max="13559" width="3.25" style="1122" customWidth="1"/>
    <col min="13560" max="13560" width="6.75" style="1122"/>
    <col min="13561" max="13561" width="3.25" style="1122" customWidth="1"/>
    <col min="13562" max="13562" width="6.75" style="1122"/>
    <col min="13563" max="13563" width="3.25" style="1122" customWidth="1"/>
    <col min="13564" max="13564" width="6.75" style="1122"/>
    <col min="13565" max="13565" width="3.25" style="1122" customWidth="1"/>
    <col min="13566" max="13566" width="6.75" style="1122"/>
    <col min="13567" max="13567" width="3.25" style="1122" customWidth="1"/>
    <col min="13568" max="13788" width="6.75" style="1122"/>
    <col min="13789" max="13789" width="7.75" style="1122" bestFit="1" customWidth="1"/>
    <col min="13790" max="13790" width="6.75" style="1122"/>
    <col min="13791" max="13791" width="3.25" style="1122" customWidth="1"/>
    <col min="13792" max="13792" width="6.75" style="1122"/>
    <col min="13793" max="13793" width="3.25" style="1122" customWidth="1"/>
    <col min="13794" max="13794" width="6.75" style="1122"/>
    <col min="13795" max="13795" width="3.25" style="1122" customWidth="1"/>
    <col min="13796" max="13796" width="6.75" style="1122"/>
    <col min="13797" max="13797" width="3.25" style="1122" customWidth="1"/>
    <col min="13798" max="13798" width="6.75" style="1122"/>
    <col min="13799" max="13799" width="3.25" style="1122" customWidth="1"/>
    <col min="13800" max="13800" width="6.75" style="1122"/>
    <col min="13801" max="13801" width="3.25" style="1122" customWidth="1"/>
    <col min="13802" max="13802" width="6.75" style="1122"/>
    <col min="13803" max="13803" width="3.25" style="1122" customWidth="1"/>
    <col min="13804" max="13804" width="6.75" style="1122"/>
    <col min="13805" max="13805" width="3.25" style="1122" customWidth="1"/>
    <col min="13806" max="13806" width="6.75" style="1122"/>
    <col min="13807" max="13807" width="3.25" style="1122" customWidth="1"/>
    <col min="13808" max="13808" width="6.75" style="1122"/>
    <col min="13809" max="13809" width="3.25" style="1122" customWidth="1"/>
    <col min="13810" max="13810" width="6.75" style="1122"/>
    <col min="13811" max="13811" width="3.25" style="1122" customWidth="1"/>
    <col min="13812" max="13812" width="6.75" style="1122"/>
    <col min="13813" max="13813" width="3.25" style="1122" customWidth="1"/>
    <col min="13814" max="13814" width="6.75" style="1122"/>
    <col min="13815" max="13815" width="3.25" style="1122" customWidth="1"/>
    <col min="13816" max="13816" width="6.75" style="1122"/>
    <col min="13817" max="13817" width="3.25" style="1122" customWidth="1"/>
    <col min="13818" max="13818" width="6.75" style="1122"/>
    <col min="13819" max="13819" width="3.25" style="1122" customWidth="1"/>
    <col min="13820" max="13820" width="6.75" style="1122"/>
    <col min="13821" max="13821" width="3.25" style="1122" customWidth="1"/>
    <col min="13822" max="13822" width="6.75" style="1122"/>
    <col min="13823" max="13823" width="3.25" style="1122" customWidth="1"/>
    <col min="13824" max="14044" width="6.75" style="1122"/>
    <col min="14045" max="14045" width="7.75" style="1122" bestFit="1" customWidth="1"/>
    <col min="14046" max="14046" width="6.75" style="1122"/>
    <col min="14047" max="14047" width="3.25" style="1122" customWidth="1"/>
    <col min="14048" max="14048" width="6.75" style="1122"/>
    <col min="14049" max="14049" width="3.25" style="1122" customWidth="1"/>
    <col min="14050" max="14050" width="6.75" style="1122"/>
    <col min="14051" max="14051" width="3.25" style="1122" customWidth="1"/>
    <col min="14052" max="14052" width="6.75" style="1122"/>
    <col min="14053" max="14053" width="3.25" style="1122" customWidth="1"/>
    <col min="14054" max="14054" width="6.75" style="1122"/>
    <col min="14055" max="14055" width="3.25" style="1122" customWidth="1"/>
    <col min="14056" max="14056" width="6.75" style="1122"/>
    <col min="14057" max="14057" width="3.25" style="1122" customWidth="1"/>
    <col min="14058" max="14058" width="6.75" style="1122"/>
    <col min="14059" max="14059" width="3.25" style="1122" customWidth="1"/>
    <col min="14060" max="14060" width="6.75" style="1122"/>
    <col min="14061" max="14061" width="3.25" style="1122" customWidth="1"/>
    <col min="14062" max="14062" width="6.75" style="1122"/>
    <col min="14063" max="14063" width="3.25" style="1122" customWidth="1"/>
    <col min="14064" max="14064" width="6.75" style="1122"/>
    <col min="14065" max="14065" width="3.25" style="1122" customWidth="1"/>
    <col min="14066" max="14066" width="6.75" style="1122"/>
    <col min="14067" max="14067" width="3.25" style="1122" customWidth="1"/>
    <col min="14068" max="14068" width="6.75" style="1122"/>
    <col min="14069" max="14069" width="3.25" style="1122" customWidth="1"/>
    <col min="14070" max="14070" width="6.75" style="1122"/>
    <col min="14071" max="14071" width="3.25" style="1122" customWidth="1"/>
    <col min="14072" max="14072" width="6.75" style="1122"/>
    <col min="14073" max="14073" width="3.25" style="1122" customWidth="1"/>
    <col min="14074" max="14074" width="6.75" style="1122"/>
    <col min="14075" max="14075" width="3.25" style="1122" customWidth="1"/>
    <col min="14076" max="14076" width="6.75" style="1122"/>
    <col min="14077" max="14077" width="3.25" style="1122" customWidth="1"/>
    <col min="14078" max="14078" width="6.75" style="1122"/>
    <col min="14079" max="14079" width="3.25" style="1122" customWidth="1"/>
    <col min="14080" max="14300" width="6.75" style="1122"/>
    <col min="14301" max="14301" width="7.75" style="1122" bestFit="1" customWidth="1"/>
    <col min="14302" max="14302" width="6.75" style="1122"/>
    <col min="14303" max="14303" width="3.25" style="1122" customWidth="1"/>
    <col min="14304" max="14304" width="6.75" style="1122"/>
    <col min="14305" max="14305" width="3.25" style="1122" customWidth="1"/>
    <col min="14306" max="14306" width="6.75" style="1122"/>
    <col min="14307" max="14307" width="3.25" style="1122" customWidth="1"/>
    <col min="14308" max="14308" width="6.75" style="1122"/>
    <col min="14309" max="14309" width="3.25" style="1122" customWidth="1"/>
    <col min="14310" max="14310" width="6.75" style="1122"/>
    <col min="14311" max="14311" width="3.25" style="1122" customWidth="1"/>
    <col min="14312" max="14312" width="6.75" style="1122"/>
    <col min="14313" max="14313" width="3.25" style="1122" customWidth="1"/>
    <col min="14314" max="14314" width="6.75" style="1122"/>
    <col min="14315" max="14315" width="3.25" style="1122" customWidth="1"/>
    <col min="14316" max="14316" width="6.75" style="1122"/>
    <col min="14317" max="14317" width="3.25" style="1122" customWidth="1"/>
    <col min="14318" max="14318" width="6.75" style="1122"/>
    <col min="14319" max="14319" width="3.25" style="1122" customWidth="1"/>
    <col min="14320" max="14320" width="6.75" style="1122"/>
    <col min="14321" max="14321" width="3.25" style="1122" customWidth="1"/>
    <col min="14322" max="14322" width="6.75" style="1122"/>
    <col min="14323" max="14323" width="3.25" style="1122" customWidth="1"/>
    <col min="14324" max="14324" width="6.75" style="1122"/>
    <col min="14325" max="14325" width="3.25" style="1122" customWidth="1"/>
    <col min="14326" max="14326" width="6.75" style="1122"/>
    <col min="14327" max="14327" width="3.25" style="1122" customWidth="1"/>
    <col min="14328" max="14328" width="6.75" style="1122"/>
    <col min="14329" max="14329" width="3.25" style="1122" customWidth="1"/>
    <col min="14330" max="14330" width="6.75" style="1122"/>
    <col min="14331" max="14331" width="3.25" style="1122" customWidth="1"/>
    <col min="14332" max="14332" width="6.75" style="1122"/>
    <col min="14333" max="14333" width="3.25" style="1122" customWidth="1"/>
    <col min="14334" max="14334" width="6.75" style="1122"/>
    <col min="14335" max="14335" width="3.25" style="1122" customWidth="1"/>
    <col min="14336" max="14556" width="6.75" style="1122"/>
    <col min="14557" max="14557" width="7.75" style="1122" bestFit="1" customWidth="1"/>
    <col min="14558" max="14558" width="6.75" style="1122"/>
    <col min="14559" max="14559" width="3.25" style="1122" customWidth="1"/>
    <col min="14560" max="14560" width="6.75" style="1122"/>
    <col min="14561" max="14561" width="3.25" style="1122" customWidth="1"/>
    <col min="14562" max="14562" width="6.75" style="1122"/>
    <col min="14563" max="14563" width="3.25" style="1122" customWidth="1"/>
    <col min="14564" max="14564" width="6.75" style="1122"/>
    <col min="14565" max="14565" width="3.25" style="1122" customWidth="1"/>
    <col min="14566" max="14566" width="6.75" style="1122"/>
    <col min="14567" max="14567" width="3.25" style="1122" customWidth="1"/>
    <col min="14568" max="14568" width="6.75" style="1122"/>
    <col min="14569" max="14569" width="3.25" style="1122" customWidth="1"/>
    <col min="14570" max="14570" width="6.75" style="1122"/>
    <col min="14571" max="14571" width="3.25" style="1122" customWidth="1"/>
    <col min="14572" max="14572" width="6.75" style="1122"/>
    <col min="14573" max="14573" width="3.25" style="1122" customWidth="1"/>
    <col min="14574" max="14574" width="6.75" style="1122"/>
    <col min="14575" max="14575" width="3.25" style="1122" customWidth="1"/>
    <col min="14576" max="14576" width="6.75" style="1122"/>
    <col min="14577" max="14577" width="3.25" style="1122" customWidth="1"/>
    <col min="14578" max="14578" width="6.75" style="1122"/>
    <col min="14579" max="14579" width="3.25" style="1122" customWidth="1"/>
    <col min="14580" max="14580" width="6.75" style="1122"/>
    <col min="14581" max="14581" width="3.25" style="1122" customWidth="1"/>
    <col min="14582" max="14582" width="6.75" style="1122"/>
    <col min="14583" max="14583" width="3.25" style="1122" customWidth="1"/>
    <col min="14584" max="14584" width="6.75" style="1122"/>
    <col min="14585" max="14585" width="3.25" style="1122" customWidth="1"/>
    <col min="14586" max="14586" width="6.75" style="1122"/>
    <col min="14587" max="14587" width="3.25" style="1122" customWidth="1"/>
    <col min="14588" max="14588" width="6.75" style="1122"/>
    <col min="14589" max="14589" width="3.25" style="1122" customWidth="1"/>
    <col min="14590" max="14590" width="6.75" style="1122"/>
    <col min="14591" max="14591" width="3.25" style="1122" customWidth="1"/>
    <col min="14592" max="14812" width="6.75" style="1122"/>
    <col min="14813" max="14813" width="7.75" style="1122" bestFit="1" customWidth="1"/>
    <col min="14814" max="14814" width="6.75" style="1122"/>
    <col min="14815" max="14815" width="3.25" style="1122" customWidth="1"/>
    <col min="14816" max="14816" width="6.75" style="1122"/>
    <col min="14817" max="14817" width="3.25" style="1122" customWidth="1"/>
    <col min="14818" max="14818" width="6.75" style="1122"/>
    <col min="14819" max="14819" width="3.25" style="1122" customWidth="1"/>
    <col min="14820" max="14820" width="6.75" style="1122"/>
    <col min="14821" max="14821" width="3.25" style="1122" customWidth="1"/>
    <col min="14822" max="14822" width="6.75" style="1122"/>
    <col min="14823" max="14823" width="3.25" style="1122" customWidth="1"/>
    <col min="14824" max="14824" width="6.75" style="1122"/>
    <col min="14825" max="14825" width="3.25" style="1122" customWidth="1"/>
    <col min="14826" max="14826" width="6.75" style="1122"/>
    <col min="14827" max="14827" width="3.25" style="1122" customWidth="1"/>
    <col min="14828" max="14828" width="6.75" style="1122"/>
    <col min="14829" max="14829" width="3.25" style="1122" customWidth="1"/>
    <col min="14830" max="14830" width="6.75" style="1122"/>
    <col min="14831" max="14831" width="3.25" style="1122" customWidth="1"/>
    <col min="14832" max="14832" width="6.75" style="1122"/>
    <col min="14833" max="14833" width="3.25" style="1122" customWidth="1"/>
    <col min="14834" max="14834" width="6.75" style="1122"/>
    <col min="14835" max="14835" width="3.25" style="1122" customWidth="1"/>
    <col min="14836" max="14836" width="6.75" style="1122"/>
    <col min="14837" max="14837" width="3.25" style="1122" customWidth="1"/>
    <col min="14838" max="14838" width="6.75" style="1122"/>
    <col min="14839" max="14839" width="3.25" style="1122" customWidth="1"/>
    <col min="14840" max="14840" width="6.75" style="1122"/>
    <col min="14841" max="14841" width="3.25" style="1122" customWidth="1"/>
    <col min="14842" max="14842" width="6.75" style="1122"/>
    <col min="14843" max="14843" width="3.25" style="1122" customWidth="1"/>
    <col min="14844" max="14844" width="6.75" style="1122"/>
    <col min="14845" max="14845" width="3.25" style="1122" customWidth="1"/>
    <col min="14846" max="14846" width="6.75" style="1122"/>
    <col min="14847" max="14847" width="3.25" style="1122" customWidth="1"/>
    <col min="14848" max="15068" width="6.75" style="1122"/>
    <col min="15069" max="15069" width="7.75" style="1122" bestFit="1" customWidth="1"/>
    <col min="15070" max="15070" width="6.75" style="1122"/>
    <col min="15071" max="15071" width="3.25" style="1122" customWidth="1"/>
    <col min="15072" max="15072" width="6.75" style="1122"/>
    <col min="15073" max="15073" width="3.25" style="1122" customWidth="1"/>
    <col min="15074" max="15074" width="6.75" style="1122"/>
    <col min="15075" max="15075" width="3.25" style="1122" customWidth="1"/>
    <col min="15076" max="15076" width="6.75" style="1122"/>
    <col min="15077" max="15077" width="3.25" style="1122" customWidth="1"/>
    <col min="15078" max="15078" width="6.75" style="1122"/>
    <col min="15079" max="15079" width="3.25" style="1122" customWidth="1"/>
    <col min="15080" max="15080" width="6.75" style="1122"/>
    <col min="15081" max="15081" width="3.25" style="1122" customWidth="1"/>
    <col min="15082" max="15082" width="6.75" style="1122"/>
    <col min="15083" max="15083" width="3.25" style="1122" customWidth="1"/>
    <col min="15084" max="15084" width="6.75" style="1122"/>
    <col min="15085" max="15085" width="3.25" style="1122" customWidth="1"/>
    <col min="15086" max="15086" width="6.75" style="1122"/>
    <col min="15087" max="15087" width="3.25" style="1122" customWidth="1"/>
    <col min="15088" max="15088" width="6.75" style="1122"/>
    <col min="15089" max="15089" width="3.25" style="1122" customWidth="1"/>
    <col min="15090" max="15090" width="6.75" style="1122"/>
    <col min="15091" max="15091" width="3.25" style="1122" customWidth="1"/>
    <col min="15092" max="15092" width="6.75" style="1122"/>
    <col min="15093" max="15093" width="3.25" style="1122" customWidth="1"/>
    <col min="15094" max="15094" width="6.75" style="1122"/>
    <col min="15095" max="15095" width="3.25" style="1122" customWidth="1"/>
    <col min="15096" max="15096" width="6.75" style="1122"/>
    <col min="15097" max="15097" width="3.25" style="1122" customWidth="1"/>
    <col min="15098" max="15098" width="6.75" style="1122"/>
    <col min="15099" max="15099" width="3.25" style="1122" customWidth="1"/>
    <col min="15100" max="15100" width="6.75" style="1122"/>
    <col min="15101" max="15101" width="3.25" style="1122" customWidth="1"/>
    <col min="15102" max="15102" width="6.75" style="1122"/>
    <col min="15103" max="15103" width="3.25" style="1122" customWidth="1"/>
    <col min="15104" max="15324" width="6.75" style="1122"/>
    <col min="15325" max="15325" width="7.75" style="1122" bestFit="1" customWidth="1"/>
    <col min="15326" max="15326" width="6.75" style="1122"/>
    <col min="15327" max="15327" width="3.25" style="1122" customWidth="1"/>
    <col min="15328" max="15328" width="6.75" style="1122"/>
    <col min="15329" max="15329" width="3.25" style="1122" customWidth="1"/>
    <col min="15330" max="15330" width="6.75" style="1122"/>
    <col min="15331" max="15331" width="3.25" style="1122" customWidth="1"/>
    <col min="15332" max="15332" width="6.75" style="1122"/>
    <col min="15333" max="15333" width="3.25" style="1122" customWidth="1"/>
    <col min="15334" max="15334" width="6.75" style="1122"/>
    <col min="15335" max="15335" width="3.25" style="1122" customWidth="1"/>
    <col min="15336" max="15336" width="6.75" style="1122"/>
    <col min="15337" max="15337" width="3.25" style="1122" customWidth="1"/>
    <col min="15338" max="15338" width="6.75" style="1122"/>
    <col min="15339" max="15339" width="3.25" style="1122" customWidth="1"/>
    <col min="15340" max="15340" width="6.75" style="1122"/>
    <col min="15341" max="15341" width="3.25" style="1122" customWidth="1"/>
    <col min="15342" max="15342" width="6.75" style="1122"/>
    <col min="15343" max="15343" width="3.25" style="1122" customWidth="1"/>
    <col min="15344" max="15344" width="6.75" style="1122"/>
    <col min="15345" max="15345" width="3.25" style="1122" customWidth="1"/>
    <col min="15346" max="15346" width="6.75" style="1122"/>
    <col min="15347" max="15347" width="3.25" style="1122" customWidth="1"/>
    <col min="15348" max="15348" width="6.75" style="1122"/>
    <col min="15349" max="15349" width="3.25" style="1122" customWidth="1"/>
    <col min="15350" max="15350" width="6.75" style="1122"/>
    <col min="15351" max="15351" width="3.25" style="1122" customWidth="1"/>
    <col min="15352" max="15352" width="6.75" style="1122"/>
    <col min="15353" max="15353" width="3.25" style="1122" customWidth="1"/>
    <col min="15354" max="15354" width="6.75" style="1122"/>
    <col min="15355" max="15355" width="3.25" style="1122" customWidth="1"/>
    <col min="15356" max="15356" width="6.75" style="1122"/>
    <col min="15357" max="15357" width="3.25" style="1122" customWidth="1"/>
    <col min="15358" max="15358" width="6.75" style="1122"/>
    <col min="15359" max="15359" width="3.25" style="1122" customWidth="1"/>
    <col min="15360" max="15580" width="6.75" style="1122"/>
    <col min="15581" max="15581" width="7.75" style="1122" bestFit="1" customWidth="1"/>
    <col min="15582" max="15582" width="6.75" style="1122"/>
    <col min="15583" max="15583" width="3.25" style="1122" customWidth="1"/>
    <col min="15584" max="15584" width="6.75" style="1122"/>
    <col min="15585" max="15585" width="3.25" style="1122" customWidth="1"/>
    <col min="15586" max="15586" width="6.75" style="1122"/>
    <col min="15587" max="15587" width="3.25" style="1122" customWidth="1"/>
    <col min="15588" max="15588" width="6.75" style="1122"/>
    <col min="15589" max="15589" width="3.25" style="1122" customWidth="1"/>
    <col min="15590" max="15590" width="6.75" style="1122"/>
    <col min="15591" max="15591" width="3.25" style="1122" customWidth="1"/>
    <col min="15592" max="15592" width="6.75" style="1122"/>
    <col min="15593" max="15593" width="3.25" style="1122" customWidth="1"/>
    <col min="15594" max="15594" width="6.75" style="1122"/>
    <col min="15595" max="15595" width="3.25" style="1122" customWidth="1"/>
    <col min="15596" max="15596" width="6.75" style="1122"/>
    <col min="15597" max="15597" width="3.25" style="1122" customWidth="1"/>
    <col min="15598" max="15598" width="6.75" style="1122"/>
    <col min="15599" max="15599" width="3.25" style="1122" customWidth="1"/>
    <col min="15600" max="15600" width="6.75" style="1122"/>
    <col min="15601" max="15601" width="3.25" style="1122" customWidth="1"/>
    <col min="15602" max="15602" width="6.75" style="1122"/>
    <col min="15603" max="15603" width="3.25" style="1122" customWidth="1"/>
    <col min="15604" max="15604" width="6.75" style="1122"/>
    <col min="15605" max="15605" width="3.25" style="1122" customWidth="1"/>
    <col min="15606" max="15606" width="6.75" style="1122"/>
    <col min="15607" max="15607" width="3.25" style="1122" customWidth="1"/>
    <col min="15608" max="15608" width="6.75" style="1122"/>
    <col min="15609" max="15609" width="3.25" style="1122" customWidth="1"/>
    <col min="15610" max="15610" width="6.75" style="1122"/>
    <col min="15611" max="15611" width="3.25" style="1122" customWidth="1"/>
    <col min="15612" max="15612" width="6.75" style="1122"/>
    <col min="15613" max="15613" width="3.25" style="1122" customWidth="1"/>
    <col min="15614" max="15614" width="6.75" style="1122"/>
    <col min="15615" max="15615" width="3.25" style="1122" customWidth="1"/>
    <col min="15616" max="15836" width="6.75" style="1122"/>
    <col min="15837" max="15837" width="7.75" style="1122" bestFit="1" customWidth="1"/>
    <col min="15838" max="15838" width="6.75" style="1122"/>
    <col min="15839" max="15839" width="3.25" style="1122" customWidth="1"/>
    <col min="15840" max="15840" width="6.75" style="1122"/>
    <col min="15841" max="15841" width="3.25" style="1122" customWidth="1"/>
    <col min="15842" max="15842" width="6.75" style="1122"/>
    <col min="15843" max="15843" width="3.25" style="1122" customWidth="1"/>
    <col min="15844" max="15844" width="6.75" style="1122"/>
    <col min="15845" max="15845" width="3.25" style="1122" customWidth="1"/>
    <col min="15846" max="15846" width="6.75" style="1122"/>
    <col min="15847" max="15847" width="3.25" style="1122" customWidth="1"/>
    <col min="15848" max="15848" width="6.75" style="1122"/>
    <col min="15849" max="15849" width="3.25" style="1122" customWidth="1"/>
    <col min="15850" max="15850" width="6.75" style="1122"/>
    <col min="15851" max="15851" width="3.25" style="1122" customWidth="1"/>
    <col min="15852" max="15852" width="6.75" style="1122"/>
    <col min="15853" max="15853" width="3.25" style="1122" customWidth="1"/>
    <col min="15854" max="15854" width="6.75" style="1122"/>
    <col min="15855" max="15855" width="3.25" style="1122" customWidth="1"/>
    <col min="15856" max="15856" width="6.75" style="1122"/>
    <col min="15857" max="15857" width="3.25" style="1122" customWidth="1"/>
    <col min="15858" max="15858" width="6.75" style="1122"/>
    <col min="15859" max="15859" width="3.25" style="1122" customWidth="1"/>
    <col min="15860" max="15860" width="6.75" style="1122"/>
    <col min="15861" max="15861" width="3.25" style="1122" customWidth="1"/>
    <col min="15862" max="15862" width="6.75" style="1122"/>
    <col min="15863" max="15863" width="3.25" style="1122" customWidth="1"/>
    <col min="15864" max="15864" width="6.75" style="1122"/>
    <col min="15865" max="15865" width="3.25" style="1122" customWidth="1"/>
    <col min="15866" max="15866" width="6.75" style="1122"/>
    <col min="15867" max="15867" width="3.25" style="1122" customWidth="1"/>
    <col min="15868" max="15868" width="6.75" style="1122"/>
    <col min="15869" max="15869" width="3.25" style="1122" customWidth="1"/>
    <col min="15870" max="15870" width="6.75" style="1122"/>
    <col min="15871" max="15871" width="3.25" style="1122" customWidth="1"/>
    <col min="15872" max="16092" width="6.75" style="1122"/>
    <col min="16093" max="16093" width="7.75" style="1122" bestFit="1" customWidth="1"/>
    <col min="16094" max="16094" width="6.75" style="1122"/>
    <col min="16095" max="16095" width="3.25" style="1122" customWidth="1"/>
    <col min="16096" max="16096" width="6.75" style="1122"/>
    <col min="16097" max="16097" width="3.25" style="1122" customWidth="1"/>
    <col min="16098" max="16098" width="6.75" style="1122"/>
    <col min="16099" max="16099" width="3.25" style="1122" customWidth="1"/>
    <col min="16100" max="16100" width="6.75" style="1122"/>
    <col min="16101" max="16101" width="3.25" style="1122" customWidth="1"/>
    <col min="16102" max="16102" width="6.75" style="1122"/>
    <col min="16103" max="16103" width="3.25" style="1122" customWidth="1"/>
    <col min="16104" max="16104" width="6.75" style="1122"/>
    <col min="16105" max="16105" width="3.25" style="1122" customWidth="1"/>
    <col min="16106" max="16106" width="6.75" style="1122"/>
    <col min="16107" max="16107" width="3.25" style="1122" customWidth="1"/>
    <col min="16108" max="16108" width="6.75" style="1122"/>
    <col min="16109" max="16109" width="3.25" style="1122" customWidth="1"/>
    <col min="16110" max="16110" width="6.75" style="1122"/>
    <col min="16111" max="16111" width="3.25" style="1122" customWidth="1"/>
    <col min="16112" max="16112" width="6.75" style="1122"/>
    <col min="16113" max="16113" width="3.25" style="1122" customWidth="1"/>
    <col min="16114" max="16114" width="6.75" style="1122"/>
    <col min="16115" max="16115" width="3.25" style="1122" customWidth="1"/>
    <col min="16116" max="16116" width="6.75" style="1122"/>
    <col min="16117" max="16117" width="3.25" style="1122" customWidth="1"/>
    <col min="16118" max="16118" width="6.75" style="1122"/>
    <col min="16119" max="16119" width="3.25" style="1122" customWidth="1"/>
    <col min="16120" max="16120" width="6.75" style="1122"/>
    <col min="16121" max="16121" width="3.25" style="1122" customWidth="1"/>
    <col min="16122" max="16122" width="6.75" style="1122"/>
    <col min="16123" max="16123" width="3.25" style="1122" customWidth="1"/>
    <col min="16124" max="16124" width="6.75" style="1122"/>
    <col min="16125" max="16125" width="3.25" style="1122" customWidth="1"/>
    <col min="16126" max="16126" width="6.75" style="1122"/>
    <col min="16127" max="16127" width="3.25" style="1122" customWidth="1"/>
    <col min="16128" max="16384" width="6.75" style="1122"/>
  </cols>
  <sheetData>
    <row r="1" spans="1:19" s="1112" customFormat="1" ht="13.5" customHeight="1">
      <c r="A1" s="1645" t="s">
        <v>2363</v>
      </c>
      <c r="B1" s="1646"/>
      <c r="C1" s="1646"/>
      <c r="D1" s="1646"/>
      <c r="E1" s="1646"/>
      <c r="F1" s="1646"/>
      <c r="G1" s="1646"/>
      <c r="H1" s="1646"/>
      <c r="I1" s="1646"/>
      <c r="J1" s="1646"/>
      <c r="K1" s="1646"/>
      <c r="L1" s="1646"/>
      <c r="M1" s="1646"/>
      <c r="N1" s="1646"/>
      <c r="O1" s="1646"/>
      <c r="P1" s="1646"/>
      <c r="Q1" s="1646"/>
      <c r="R1" s="1646"/>
      <c r="S1" s="1646"/>
    </row>
    <row r="2" spans="1:19" s="1112" customFormat="1" ht="13.5" customHeight="1">
      <c r="A2" s="1647"/>
      <c r="B2" s="1648"/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</row>
    <row r="3" spans="1:19" s="1112" customFormat="1" ht="13.5" customHeight="1" thickBot="1">
      <c r="A3" s="1649" t="s">
        <v>2364</v>
      </c>
      <c r="B3" s="1113"/>
      <c r="C3" s="1114"/>
      <c r="D3" s="1114"/>
      <c r="E3" s="1114"/>
      <c r="F3" s="1114"/>
      <c r="G3" s="1114"/>
      <c r="H3" s="1114"/>
      <c r="I3" s="1114"/>
      <c r="J3" s="1114"/>
      <c r="K3" s="1114"/>
      <c r="L3" s="1114"/>
      <c r="M3" s="1114"/>
      <c r="N3" s="1114"/>
      <c r="O3" s="1114"/>
      <c r="P3" s="1114"/>
      <c r="Q3" s="1114"/>
      <c r="R3" s="1115"/>
      <c r="S3" s="1115"/>
    </row>
    <row r="4" spans="1:19" s="1112" customFormat="1" ht="13.5" customHeight="1">
      <c r="A4" s="1650"/>
      <c r="B4" s="1116"/>
      <c r="C4" s="1115"/>
      <c r="D4" s="1115"/>
      <c r="E4" s="1115"/>
      <c r="F4" s="1115"/>
      <c r="G4" s="1115"/>
      <c r="H4" s="1115"/>
      <c r="I4" s="1115"/>
      <c r="J4" s="1115"/>
      <c r="K4" s="1115"/>
      <c r="L4" s="1115"/>
      <c r="M4" s="1115"/>
      <c r="N4" s="1115"/>
      <c r="O4" s="1115"/>
      <c r="P4" s="1115"/>
      <c r="Q4" s="1115"/>
      <c r="R4" s="1651" t="s">
        <v>2365</v>
      </c>
      <c r="S4" s="1654" t="s">
        <v>2366</v>
      </c>
    </row>
    <row r="5" spans="1:19" s="1112" customFormat="1" ht="13.5" customHeight="1" thickBot="1">
      <c r="A5" s="1649" t="s">
        <v>2367</v>
      </c>
      <c r="B5" s="1113"/>
      <c r="C5" s="1114"/>
      <c r="D5" s="1114"/>
      <c r="E5" s="1114"/>
      <c r="F5" s="1114"/>
      <c r="G5" s="1114"/>
      <c r="H5" s="1114"/>
      <c r="I5" s="1114"/>
      <c r="J5" s="1114"/>
      <c r="K5" s="1114"/>
      <c r="L5" s="1114"/>
      <c r="M5" s="1114"/>
      <c r="N5" s="1114"/>
      <c r="O5" s="1114"/>
      <c r="P5" s="1115"/>
      <c r="Q5" s="1115"/>
      <c r="R5" s="1652"/>
      <c r="S5" s="1655"/>
    </row>
    <row r="6" spans="1:19" s="1112" customFormat="1" ht="13.5" customHeight="1">
      <c r="A6" s="1650"/>
      <c r="B6" s="1116"/>
      <c r="C6" s="1115"/>
      <c r="D6" s="1115"/>
      <c r="E6" s="1115"/>
      <c r="F6" s="1115"/>
      <c r="G6" s="1115"/>
      <c r="H6" s="1115"/>
      <c r="I6" s="1115"/>
      <c r="J6" s="1115"/>
      <c r="K6" s="1115"/>
      <c r="L6" s="1115"/>
      <c r="M6" s="1115"/>
      <c r="N6" s="1115"/>
      <c r="O6" s="1115"/>
      <c r="P6" s="1654" t="s">
        <v>2368</v>
      </c>
      <c r="Q6" s="1654" t="s">
        <v>2366</v>
      </c>
      <c r="R6" s="1652"/>
      <c r="S6" s="1655"/>
    </row>
    <row r="7" spans="1:19" s="1112" customFormat="1" ht="13.5" customHeight="1" thickBot="1">
      <c r="A7" s="1649" t="s">
        <v>2369</v>
      </c>
      <c r="B7" s="1113"/>
      <c r="C7" s="1114"/>
      <c r="D7" s="1114"/>
      <c r="E7" s="1114"/>
      <c r="F7" s="1114"/>
      <c r="G7" s="1114"/>
      <c r="H7" s="1114"/>
      <c r="I7" s="1114"/>
      <c r="J7" s="1114"/>
      <c r="K7" s="1114"/>
      <c r="L7" s="1114"/>
      <c r="M7" s="1114"/>
      <c r="N7" s="1115"/>
      <c r="O7" s="1115"/>
      <c r="P7" s="1657"/>
      <c r="Q7" s="1655"/>
      <c r="R7" s="1652"/>
      <c r="S7" s="1656"/>
    </row>
    <row r="8" spans="1:19" s="1112" customFormat="1" ht="13.5" customHeight="1">
      <c r="A8" s="1650"/>
      <c r="B8" s="1116"/>
      <c r="C8" s="1115"/>
      <c r="D8" s="1115"/>
      <c r="E8" s="1115"/>
      <c r="F8" s="1115"/>
      <c r="G8" s="1115"/>
      <c r="H8" s="1115"/>
      <c r="I8" s="1115"/>
      <c r="J8" s="1115"/>
      <c r="K8" s="1115"/>
      <c r="L8" s="1115"/>
      <c r="M8" s="1115"/>
      <c r="N8" s="1651" t="s">
        <v>2365</v>
      </c>
      <c r="O8" s="1654" t="s">
        <v>2366</v>
      </c>
      <c r="P8" s="1657"/>
      <c r="Q8" s="1655"/>
      <c r="R8" s="1652"/>
      <c r="S8" s="1654" t="s">
        <v>2370</v>
      </c>
    </row>
    <row r="9" spans="1:19" s="1112" customFormat="1" ht="13.5" customHeight="1" thickBot="1">
      <c r="A9" s="1649" t="s">
        <v>2371</v>
      </c>
      <c r="B9" s="1113"/>
      <c r="C9" s="1114"/>
      <c r="D9" s="1114"/>
      <c r="E9" s="1114"/>
      <c r="F9" s="1114"/>
      <c r="G9" s="1114"/>
      <c r="H9" s="1114"/>
      <c r="I9" s="1114"/>
      <c r="J9" s="1114"/>
      <c r="K9" s="1114"/>
      <c r="L9" s="1115"/>
      <c r="M9" s="1115"/>
      <c r="N9" s="1652"/>
      <c r="O9" s="1655"/>
      <c r="P9" s="1657"/>
      <c r="Q9" s="1656"/>
      <c r="R9" s="1652"/>
      <c r="S9" s="1655"/>
    </row>
    <row r="10" spans="1:19" s="1112" customFormat="1" ht="13.5" customHeight="1">
      <c r="A10" s="1650"/>
      <c r="B10" s="1116"/>
      <c r="C10" s="1115"/>
      <c r="D10" s="1115"/>
      <c r="E10" s="1115"/>
      <c r="F10" s="1115"/>
      <c r="G10" s="1115"/>
      <c r="H10" s="1115"/>
      <c r="I10" s="1115"/>
      <c r="J10" s="1115"/>
      <c r="K10" s="1115"/>
      <c r="L10" s="1654" t="s">
        <v>2368</v>
      </c>
      <c r="M10" s="1654" t="s">
        <v>2366</v>
      </c>
      <c r="N10" s="1652"/>
      <c r="O10" s="1655"/>
      <c r="P10" s="1657"/>
      <c r="Q10" s="1651" t="s">
        <v>2372</v>
      </c>
      <c r="R10" s="1652"/>
      <c r="S10" s="1655"/>
    </row>
    <row r="11" spans="1:19" s="1112" customFormat="1" ht="13.5" customHeight="1" thickBot="1">
      <c r="A11" s="1649" t="s">
        <v>2373</v>
      </c>
      <c r="B11" s="1113"/>
      <c r="C11" s="1114"/>
      <c r="D11" s="1114"/>
      <c r="E11" s="1114"/>
      <c r="F11" s="1114"/>
      <c r="G11" s="1114"/>
      <c r="H11" s="1114"/>
      <c r="I11" s="1114"/>
      <c r="J11" s="1115"/>
      <c r="K11" s="1115"/>
      <c r="L11" s="1657"/>
      <c r="M11" s="1655"/>
      <c r="N11" s="1652"/>
      <c r="O11" s="1656"/>
      <c r="P11" s="1658"/>
      <c r="Q11" s="1653"/>
      <c r="R11" s="1653"/>
      <c r="S11" s="1656"/>
    </row>
    <row r="12" spans="1:19" s="1112" customFormat="1" ht="13.5" customHeight="1">
      <c r="A12" s="1650"/>
      <c r="B12" s="1116"/>
      <c r="C12" s="1115"/>
      <c r="D12" s="1115"/>
      <c r="E12" s="1115"/>
      <c r="F12" s="1115"/>
      <c r="G12" s="1115"/>
      <c r="H12" s="1115"/>
      <c r="I12" s="1115"/>
      <c r="J12" s="1651" t="s">
        <v>2365</v>
      </c>
      <c r="K12" s="1654" t="s">
        <v>2366</v>
      </c>
      <c r="L12" s="1657"/>
      <c r="M12" s="1655"/>
      <c r="N12" s="1652"/>
      <c r="O12" s="1654" t="s">
        <v>2370</v>
      </c>
      <c r="P12" s="1651" t="s">
        <v>2374</v>
      </c>
      <c r="Q12" s="1654" t="s">
        <v>2370</v>
      </c>
      <c r="R12" s="1651" t="s">
        <v>2375</v>
      </c>
      <c r="S12" s="1654" t="s">
        <v>2376</v>
      </c>
    </row>
    <row r="13" spans="1:19" s="1112" customFormat="1" ht="13.5" customHeight="1" thickBot="1">
      <c r="A13" s="1649" t="s">
        <v>2377</v>
      </c>
      <c r="B13" s="1113"/>
      <c r="C13" s="1114"/>
      <c r="D13" s="1114"/>
      <c r="E13" s="1114"/>
      <c r="F13" s="1114"/>
      <c r="G13" s="1114"/>
      <c r="H13" s="1115"/>
      <c r="I13" s="1115"/>
      <c r="J13" s="1652"/>
      <c r="K13" s="1655"/>
      <c r="L13" s="1657"/>
      <c r="M13" s="1656"/>
      <c r="N13" s="1652"/>
      <c r="O13" s="1655"/>
      <c r="P13" s="1652"/>
      <c r="Q13" s="1655"/>
      <c r="R13" s="1652"/>
      <c r="S13" s="1655"/>
    </row>
    <row r="14" spans="1:19" s="1112" customFormat="1" ht="13.5" customHeight="1">
      <c r="A14" s="1650"/>
      <c r="B14" s="1116"/>
      <c r="C14" s="1115"/>
      <c r="D14" s="1115"/>
      <c r="E14" s="1115"/>
      <c r="F14" s="1115"/>
      <c r="G14" s="1115"/>
      <c r="H14" s="1654" t="s">
        <v>2368</v>
      </c>
      <c r="I14" s="1654" t="s">
        <v>2366</v>
      </c>
      <c r="J14" s="1652"/>
      <c r="K14" s="1655"/>
      <c r="L14" s="1657"/>
      <c r="M14" s="1651" t="s">
        <v>2372</v>
      </c>
      <c r="N14" s="1652"/>
      <c r="O14" s="1655"/>
      <c r="P14" s="1652"/>
      <c r="Q14" s="1655"/>
      <c r="R14" s="1652"/>
      <c r="S14" s="1655"/>
    </row>
    <row r="15" spans="1:19" s="1112" customFormat="1" ht="13.5" customHeight="1" thickBot="1">
      <c r="A15" s="1649" t="s">
        <v>2378</v>
      </c>
      <c r="B15" s="1113"/>
      <c r="C15" s="1114"/>
      <c r="D15" s="1114"/>
      <c r="E15" s="1114"/>
      <c r="F15" s="1115"/>
      <c r="G15" s="1115"/>
      <c r="H15" s="1657"/>
      <c r="I15" s="1655"/>
      <c r="J15" s="1652"/>
      <c r="K15" s="1656"/>
      <c r="L15" s="1658"/>
      <c r="M15" s="1653"/>
      <c r="N15" s="1653"/>
      <c r="O15" s="1656"/>
      <c r="P15" s="1653"/>
      <c r="Q15" s="1656"/>
      <c r="R15" s="1653"/>
      <c r="S15" s="1656"/>
    </row>
    <row r="16" spans="1:19" s="1112" customFormat="1" ht="13.5" customHeight="1">
      <c r="A16" s="1650"/>
      <c r="B16" s="1116"/>
      <c r="C16" s="1115"/>
      <c r="D16" s="1115"/>
      <c r="E16" s="1115"/>
      <c r="F16" s="1651" t="s">
        <v>2379</v>
      </c>
      <c r="G16" s="1654" t="s">
        <v>2366</v>
      </c>
      <c r="H16" s="1657"/>
      <c r="I16" s="1655"/>
      <c r="J16" s="1652"/>
      <c r="K16" s="1654" t="s">
        <v>2370</v>
      </c>
      <c r="L16" s="1651" t="s">
        <v>2380</v>
      </c>
      <c r="M16" s="1654" t="s">
        <v>2370</v>
      </c>
      <c r="N16" s="1651" t="s">
        <v>2375</v>
      </c>
      <c r="O16" s="1654" t="s">
        <v>2376</v>
      </c>
      <c r="P16" s="1651" t="s">
        <v>2381</v>
      </c>
      <c r="Q16" s="1651" t="s">
        <v>2382</v>
      </c>
      <c r="R16" s="1651" t="s">
        <v>2383</v>
      </c>
      <c r="S16" s="1651" t="s">
        <v>2384</v>
      </c>
    </row>
    <row r="17" spans="1:19" s="1112" customFormat="1" ht="13.5" customHeight="1" thickBot="1">
      <c r="A17" s="1649" t="s">
        <v>2385</v>
      </c>
      <c r="B17" s="1113"/>
      <c r="C17" s="1114"/>
      <c r="D17" s="1115"/>
      <c r="E17" s="1115"/>
      <c r="F17" s="1652"/>
      <c r="G17" s="1655"/>
      <c r="H17" s="1657"/>
      <c r="I17" s="1656"/>
      <c r="J17" s="1652"/>
      <c r="K17" s="1655"/>
      <c r="L17" s="1652"/>
      <c r="M17" s="1655"/>
      <c r="N17" s="1652"/>
      <c r="O17" s="1655"/>
      <c r="P17" s="1652"/>
      <c r="Q17" s="1652"/>
      <c r="R17" s="1652"/>
      <c r="S17" s="1652"/>
    </row>
    <row r="18" spans="1:19" s="1112" customFormat="1" ht="13.5" customHeight="1">
      <c r="A18" s="1650"/>
      <c r="B18" s="1116"/>
      <c r="C18" s="1115"/>
      <c r="D18" s="1654" t="s">
        <v>2386</v>
      </c>
      <c r="E18" s="1651" t="s">
        <v>2387</v>
      </c>
      <c r="F18" s="1652"/>
      <c r="G18" s="1655"/>
      <c r="H18" s="1657"/>
      <c r="I18" s="1651" t="s">
        <v>2372</v>
      </c>
      <c r="J18" s="1652"/>
      <c r="K18" s="1655"/>
      <c r="L18" s="1652"/>
      <c r="M18" s="1655"/>
      <c r="N18" s="1652"/>
      <c r="O18" s="1655"/>
      <c r="P18" s="1652"/>
      <c r="Q18" s="1652"/>
      <c r="R18" s="1652"/>
      <c r="S18" s="1652"/>
    </row>
    <row r="19" spans="1:19" s="1112" customFormat="1" ht="13.5" customHeight="1" thickBot="1">
      <c r="A19" s="1649" t="s">
        <v>2388</v>
      </c>
      <c r="B19" s="1116"/>
      <c r="C19" s="1117"/>
      <c r="D19" s="1657"/>
      <c r="E19" s="1653"/>
      <c r="F19" s="1652"/>
      <c r="G19" s="1656"/>
      <c r="H19" s="1658"/>
      <c r="I19" s="1653"/>
      <c r="J19" s="1653"/>
      <c r="K19" s="1656"/>
      <c r="L19" s="1653"/>
      <c r="M19" s="1656"/>
      <c r="N19" s="1653"/>
      <c r="O19" s="1656"/>
      <c r="P19" s="1653"/>
      <c r="Q19" s="1653"/>
      <c r="R19" s="1653"/>
      <c r="S19" s="1659"/>
    </row>
    <row r="20" spans="1:19" s="1112" customFormat="1" ht="13.5" customHeight="1">
      <c r="A20" s="1650"/>
      <c r="B20" s="1654" t="s">
        <v>2389</v>
      </c>
      <c r="C20" s="1654" t="s">
        <v>2390</v>
      </c>
      <c r="D20" s="1657"/>
      <c r="E20" s="1651" t="s">
        <v>2391</v>
      </c>
      <c r="F20" s="1652"/>
      <c r="G20" s="1654" t="s">
        <v>2392</v>
      </c>
      <c r="H20" s="1651" t="s">
        <v>2393</v>
      </c>
      <c r="I20" s="1651" t="s">
        <v>2394</v>
      </c>
      <c r="J20" s="1651" t="s">
        <v>2395</v>
      </c>
      <c r="K20" s="1651" t="s">
        <v>2396</v>
      </c>
      <c r="L20" s="1651" t="s">
        <v>2397</v>
      </c>
      <c r="M20" s="1651" t="s">
        <v>2398</v>
      </c>
      <c r="N20" s="1651" t="s">
        <v>2399</v>
      </c>
      <c r="O20" s="1651" t="s">
        <v>2400</v>
      </c>
      <c r="P20" s="1651" t="s">
        <v>2401</v>
      </c>
      <c r="Q20" s="1651" t="s">
        <v>2402</v>
      </c>
      <c r="R20" s="1651" t="s">
        <v>2403</v>
      </c>
      <c r="S20" s="1651" t="s">
        <v>2404</v>
      </c>
    </row>
    <row r="21" spans="1:19" s="1112" customFormat="1" ht="13.5" customHeight="1">
      <c r="A21" s="1118"/>
      <c r="B21" s="1655"/>
      <c r="C21" s="1655"/>
      <c r="D21" s="1657"/>
      <c r="E21" s="1652"/>
      <c r="F21" s="1652"/>
      <c r="G21" s="1655"/>
      <c r="H21" s="1652"/>
      <c r="I21" s="1652"/>
      <c r="J21" s="1652"/>
      <c r="K21" s="1652"/>
      <c r="L21" s="1652"/>
      <c r="M21" s="1652"/>
      <c r="N21" s="1652"/>
      <c r="O21" s="1652"/>
      <c r="P21" s="1652"/>
      <c r="Q21" s="1652"/>
      <c r="R21" s="1652"/>
      <c r="S21" s="1652"/>
    </row>
    <row r="22" spans="1:19" s="1112" customFormat="1" ht="13.5" customHeight="1">
      <c r="A22" s="1119"/>
      <c r="B22" s="1655"/>
      <c r="C22" s="1655"/>
      <c r="D22" s="1657"/>
      <c r="E22" s="1652"/>
      <c r="F22" s="1652"/>
      <c r="G22" s="1655"/>
      <c r="H22" s="1652"/>
      <c r="I22" s="1652"/>
      <c r="J22" s="1652"/>
      <c r="K22" s="1652"/>
      <c r="L22" s="1652"/>
      <c r="M22" s="1652"/>
      <c r="N22" s="1652"/>
      <c r="O22" s="1652"/>
      <c r="P22" s="1652"/>
      <c r="Q22" s="1652"/>
      <c r="R22" s="1652"/>
      <c r="S22" s="1652"/>
    </row>
    <row r="23" spans="1:19" s="1112" customFormat="1" ht="13.5" customHeight="1">
      <c r="A23" s="1119"/>
      <c r="B23" s="1655"/>
      <c r="C23" s="1655"/>
      <c r="D23" s="1657"/>
      <c r="E23" s="1659"/>
      <c r="F23" s="1659"/>
      <c r="G23" s="1655"/>
      <c r="H23" s="1659"/>
      <c r="I23" s="1659"/>
      <c r="J23" s="1659"/>
      <c r="K23" s="1659"/>
      <c r="L23" s="1659"/>
      <c r="M23" s="1659"/>
      <c r="N23" s="1659"/>
      <c r="O23" s="1659"/>
      <c r="P23" s="1659"/>
      <c r="Q23" s="1659"/>
      <c r="R23" s="1659"/>
      <c r="S23" s="1659"/>
    </row>
    <row r="24" spans="1:19" s="1112" customFormat="1" ht="19.5" customHeight="1">
      <c r="B24" s="1660" t="s">
        <v>2405</v>
      </c>
      <c r="C24" s="1660"/>
      <c r="D24" s="1660" t="s">
        <v>2385</v>
      </c>
      <c r="E24" s="1660"/>
      <c r="F24" s="1660" t="s">
        <v>2406</v>
      </c>
      <c r="G24" s="1660"/>
      <c r="H24" s="1660" t="s">
        <v>2377</v>
      </c>
      <c r="I24" s="1660"/>
      <c r="J24" s="1660" t="s">
        <v>2407</v>
      </c>
      <c r="K24" s="1660"/>
      <c r="L24" s="1660" t="s">
        <v>2371</v>
      </c>
      <c r="M24" s="1660"/>
      <c r="N24" s="1660" t="s">
        <v>2408</v>
      </c>
      <c r="O24" s="1660"/>
      <c r="P24" s="1660" t="s">
        <v>2367</v>
      </c>
      <c r="Q24" s="1660"/>
      <c r="R24" s="1660" t="s">
        <v>2409</v>
      </c>
      <c r="S24" s="1660"/>
    </row>
    <row r="25" spans="1:19" s="1112" customFormat="1" ht="19.5" customHeight="1"/>
    <row r="26" spans="1:19" s="1112" customFormat="1" ht="21.4" customHeight="1">
      <c r="A26" s="1120" t="s">
        <v>461</v>
      </c>
      <c r="B26" s="1120" t="s">
        <v>2410</v>
      </c>
      <c r="C26" s="1120" t="s">
        <v>2411</v>
      </c>
      <c r="D26" s="1120" t="s">
        <v>2412</v>
      </c>
      <c r="E26" s="1120" t="s">
        <v>2413</v>
      </c>
      <c r="F26" s="1120" t="s">
        <v>2414</v>
      </c>
      <c r="G26" s="1120" t="s">
        <v>2415</v>
      </c>
      <c r="H26" s="1120" t="s">
        <v>2416</v>
      </c>
      <c r="I26" s="1120" t="s">
        <v>2417</v>
      </c>
      <c r="J26" s="1120" t="s">
        <v>2418</v>
      </c>
      <c r="K26" s="1120" t="s">
        <v>2419</v>
      </c>
      <c r="L26" s="1120" t="s">
        <v>2420</v>
      </c>
      <c r="M26" s="1120" t="s">
        <v>2421</v>
      </c>
      <c r="N26" s="1120" t="s">
        <v>2422</v>
      </c>
      <c r="O26" s="1120" t="s">
        <v>2423</v>
      </c>
      <c r="P26" s="1120" t="s">
        <v>2424</v>
      </c>
      <c r="Q26" s="1120" t="s">
        <v>2425</v>
      </c>
      <c r="R26" s="1120" t="s">
        <v>2426</v>
      </c>
      <c r="S26" s="1120" t="s">
        <v>2427</v>
      </c>
    </row>
    <row r="27" spans="1:19" s="1112" customFormat="1" ht="21.4" customHeight="1">
      <c r="A27" s="1120" t="s">
        <v>2428</v>
      </c>
      <c r="B27" s="1661" t="s">
        <v>2429</v>
      </c>
      <c r="C27" s="1661"/>
      <c r="D27" s="1661" t="s">
        <v>2430</v>
      </c>
      <c r="E27" s="1661"/>
      <c r="F27" s="1661" t="s">
        <v>2431</v>
      </c>
      <c r="G27" s="1661"/>
      <c r="H27" s="1661" t="s">
        <v>2432</v>
      </c>
      <c r="I27" s="1661"/>
      <c r="J27" s="1661" t="s">
        <v>2433</v>
      </c>
      <c r="K27" s="1661"/>
      <c r="L27" s="1661" t="s">
        <v>2434</v>
      </c>
      <c r="M27" s="1661"/>
      <c r="N27" s="1661" t="s">
        <v>2435</v>
      </c>
      <c r="O27" s="1661"/>
      <c r="P27" s="1661" t="s">
        <v>2436</v>
      </c>
      <c r="Q27" s="1661"/>
      <c r="R27" s="1661" t="s">
        <v>2437</v>
      </c>
      <c r="S27" s="1661"/>
    </row>
    <row r="28" spans="1:19" s="1112" customFormat="1" ht="21.4" customHeight="1">
      <c r="A28" s="1120" t="s">
        <v>2438</v>
      </c>
      <c r="B28" s="1661" t="s">
        <v>2439</v>
      </c>
      <c r="C28" s="1661"/>
      <c r="D28" s="1661" t="s">
        <v>2439</v>
      </c>
      <c r="E28" s="1661"/>
      <c r="F28" s="1661" t="s">
        <v>2439</v>
      </c>
      <c r="G28" s="1661"/>
      <c r="H28" s="1661" t="s">
        <v>2439</v>
      </c>
      <c r="I28" s="1661"/>
      <c r="J28" s="1661" t="s">
        <v>2439</v>
      </c>
      <c r="K28" s="1661"/>
      <c r="L28" s="1661" t="s">
        <v>2439</v>
      </c>
      <c r="M28" s="1661"/>
      <c r="N28" s="1661" t="s">
        <v>2439</v>
      </c>
      <c r="O28" s="1661"/>
      <c r="P28" s="1661" t="s">
        <v>2439</v>
      </c>
      <c r="Q28" s="1661"/>
      <c r="R28" s="1661" t="s">
        <v>2439</v>
      </c>
      <c r="S28" s="1661"/>
    </row>
    <row r="29" spans="1:19" s="1112" customFormat="1" ht="21.4" customHeight="1">
      <c r="A29" s="1121" t="s">
        <v>2440</v>
      </c>
      <c r="B29" s="1121" t="s">
        <v>2441</v>
      </c>
      <c r="C29" s="1120" t="s">
        <v>2442</v>
      </c>
      <c r="D29" s="1121" t="s">
        <v>2441</v>
      </c>
      <c r="E29" s="1120" t="s">
        <v>2442</v>
      </c>
      <c r="F29" s="1121" t="s">
        <v>2441</v>
      </c>
      <c r="G29" s="1120" t="s">
        <v>2442</v>
      </c>
      <c r="H29" s="1121" t="s">
        <v>2441</v>
      </c>
      <c r="I29" s="1120" t="s">
        <v>2442</v>
      </c>
      <c r="J29" s="1121" t="s">
        <v>2441</v>
      </c>
      <c r="K29" s="1120" t="s">
        <v>2442</v>
      </c>
      <c r="L29" s="1121" t="s">
        <v>2441</v>
      </c>
      <c r="M29" s="1120" t="s">
        <v>2442</v>
      </c>
      <c r="N29" s="1121" t="s">
        <v>2441</v>
      </c>
      <c r="O29" s="1120" t="s">
        <v>2442</v>
      </c>
      <c r="P29" s="1121" t="s">
        <v>2441</v>
      </c>
      <c r="Q29" s="1120" t="s">
        <v>2442</v>
      </c>
      <c r="R29" s="1121" t="s">
        <v>2441</v>
      </c>
      <c r="S29" s="1120" t="s">
        <v>2442</v>
      </c>
    </row>
    <row r="30" spans="1:19" s="1112" customFormat="1" ht="21.4" customHeight="1">
      <c r="A30" s="1115"/>
      <c r="B30" s="1115"/>
      <c r="C30" s="1169"/>
      <c r="D30" s="1115"/>
      <c r="E30" s="1169"/>
      <c r="F30" s="1115"/>
      <c r="G30" s="1169"/>
      <c r="H30" s="1115"/>
      <c r="I30" s="1169"/>
      <c r="J30" s="1115"/>
      <c r="K30" s="1169"/>
      <c r="L30" s="1115"/>
      <c r="M30" s="1169"/>
      <c r="N30" s="1115"/>
      <c r="O30" s="1169"/>
      <c r="P30" s="1115"/>
      <c r="Q30" s="1169"/>
      <c r="R30" s="1115"/>
      <c r="S30" s="1169"/>
    </row>
    <row r="31" spans="1:19" s="1112" customFormat="1" ht="21.4" customHeight="1">
      <c r="A31" s="1115"/>
      <c r="B31" s="1115"/>
      <c r="C31" s="1169"/>
      <c r="D31" s="1115"/>
      <c r="E31" s="1169"/>
      <c r="F31" s="1115"/>
      <c r="G31" s="1169"/>
      <c r="H31" s="1115"/>
      <c r="I31" s="1169"/>
      <c r="J31" s="1115"/>
      <c r="K31" s="1169"/>
      <c r="L31" s="1115"/>
      <c r="M31" s="1169"/>
      <c r="N31" s="1115"/>
      <c r="O31" s="1169"/>
      <c r="P31" s="1115"/>
      <c r="Q31" s="1169"/>
      <c r="R31" s="1115"/>
      <c r="S31" s="1169"/>
    </row>
    <row r="32" spans="1:19" s="1112" customFormat="1" ht="21.4" customHeight="1">
      <c r="A32" s="1645" t="s">
        <v>2505</v>
      </c>
      <c r="B32" s="1646"/>
      <c r="C32" s="1646"/>
      <c r="D32" s="1646"/>
      <c r="E32" s="1646"/>
      <c r="F32" s="1646"/>
      <c r="G32" s="1646"/>
      <c r="H32" s="1646"/>
      <c r="I32" s="1646"/>
      <c r="J32" s="1646"/>
      <c r="K32" s="1646"/>
      <c r="L32" s="1646"/>
      <c r="M32" s="1646"/>
      <c r="N32" s="1646"/>
      <c r="O32" s="1646"/>
      <c r="P32" s="1646"/>
      <c r="Q32" s="1646"/>
      <c r="R32" s="1646"/>
      <c r="S32" s="1646"/>
    </row>
    <row r="33" spans="1:19" s="1112" customFormat="1" ht="21.4" customHeight="1">
      <c r="A33" s="1647"/>
      <c r="B33" s="1648"/>
      <c r="C33" s="1648"/>
      <c r="D33" s="1648"/>
      <c r="E33" s="1648"/>
      <c r="F33" s="1648"/>
      <c r="G33" s="1648"/>
      <c r="H33" s="1648"/>
      <c r="I33" s="1648"/>
      <c r="J33" s="1648"/>
      <c r="K33" s="1648"/>
      <c r="L33" s="1648"/>
      <c r="M33" s="1648"/>
      <c r="N33" s="1648"/>
      <c r="O33" s="1648"/>
      <c r="P33" s="1648"/>
      <c r="Q33" s="1648"/>
      <c r="R33" s="1648"/>
      <c r="S33" s="1648"/>
    </row>
    <row r="34" spans="1:19" s="1112" customFormat="1" ht="21.4" customHeight="1" thickBot="1">
      <c r="A34" s="1649" t="s">
        <v>2364</v>
      </c>
      <c r="B34" s="1113"/>
      <c r="C34" s="1114"/>
      <c r="D34" s="1114"/>
      <c r="E34" s="1114"/>
      <c r="F34" s="1114"/>
      <c r="G34" s="1114"/>
      <c r="H34" s="1114"/>
      <c r="I34" s="1114"/>
      <c r="J34" s="1114"/>
      <c r="K34" s="1114"/>
      <c r="L34" s="1114"/>
      <c r="M34" s="1114"/>
      <c r="N34" s="1114"/>
      <c r="O34" s="1114"/>
      <c r="P34" s="1114"/>
      <c r="Q34" s="1114"/>
      <c r="R34" s="1115"/>
      <c r="S34" s="1115"/>
    </row>
    <row r="35" spans="1:19" s="1112" customFormat="1" ht="21.4" customHeight="1">
      <c r="A35" s="1650"/>
      <c r="B35" s="1116"/>
      <c r="C35" s="1115"/>
      <c r="D35" s="1115"/>
      <c r="E35" s="1115"/>
      <c r="F35" s="1115"/>
      <c r="G35" s="1115"/>
      <c r="H35" s="1115"/>
      <c r="I35" s="1115"/>
      <c r="J35" s="1115"/>
      <c r="K35" s="1115"/>
      <c r="L35" s="1115"/>
      <c r="M35" s="1115"/>
      <c r="N35" s="1115"/>
      <c r="O35" s="1115"/>
      <c r="P35" s="1115"/>
      <c r="Q35" s="1115"/>
      <c r="R35" s="1676" t="s">
        <v>2504</v>
      </c>
      <c r="S35" s="1654" t="s">
        <v>2366</v>
      </c>
    </row>
    <row r="36" spans="1:19" s="1112" customFormat="1" ht="21.4" customHeight="1" thickBot="1">
      <c r="A36" s="1649" t="s">
        <v>2367</v>
      </c>
      <c r="B36" s="1113"/>
      <c r="C36" s="1114"/>
      <c r="D36" s="1114"/>
      <c r="E36" s="1114"/>
      <c r="F36" s="1114"/>
      <c r="G36" s="1114"/>
      <c r="H36" s="1114"/>
      <c r="I36" s="1114"/>
      <c r="J36" s="1114"/>
      <c r="K36" s="1114"/>
      <c r="L36" s="1114"/>
      <c r="M36" s="1114"/>
      <c r="N36" s="1114"/>
      <c r="O36" s="1114"/>
      <c r="P36" s="1115"/>
      <c r="Q36" s="1115"/>
      <c r="R36" s="1677"/>
      <c r="S36" s="1655"/>
    </row>
    <row r="37" spans="1:19" s="1112" customFormat="1" ht="21.4" customHeight="1">
      <c r="A37" s="1650"/>
      <c r="B37" s="1116"/>
      <c r="C37" s="1115"/>
      <c r="D37" s="1115"/>
      <c r="E37" s="1115"/>
      <c r="F37" s="1115"/>
      <c r="G37" s="1115"/>
      <c r="H37" s="1115"/>
      <c r="I37" s="1115"/>
      <c r="J37" s="1115"/>
      <c r="K37" s="1115"/>
      <c r="L37" s="1115"/>
      <c r="M37" s="1115"/>
      <c r="N37" s="1115"/>
      <c r="O37" s="1115"/>
      <c r="P37" s="1676" t="s">
        <v>2504</v>
      </c>
      <c r="Q37" s="1654" t="s">
        <v>2366</v>
      </c>
      <c r="R37" s="1677"/>
      <c r="S37" s="1655"/>
    </row>
    <row r="38" spans="1:19" s="1112" customFormat="1" ht="21.4" customHeight="1" thickBot="1">
      <c r="A38" s="1649" t="s">
        <v>2369</v>
      </c>
      <c r="B38" s="1113"/>
      <c r="C38" s="1114"/>
      <c r="D38" s="1114"/>
      <c r="E38" s="1114"/>
      <c r="F38" s="1114"/>
      <c r="G38" s="1114"/>
      <c r="H38" s="1114"/>
      <c r="I38" s="1114"/>
      <c r="J38" s="1114"/>
      <c r="K38" s="1114"/>
      <c r="L38" s="1114"/>
      <c r="M38" s="1114"/>
      <c r="N38" s="1115"/>
      <c r="O38" s="1115"/>
      <c r="P38" s="1677"/>
      <c r="Q38" s="1655"/>
      <c r="R38" s="1677"/>
      <c r="S38" s="1656"/>
    </row>
    <row r="39" spans="1:19" s="1112" customFormat="1" ht="21.4" customHeight="1">
      <c r="A39" s="1650"/>
      <c r="B39" s="1116"/>
      <c r="C39" s="1115"/>
      <c r="D39" s="1115"/>
      <c r="E39" s="1115"/>
      <c r="F39" s="1115"/>
      <c r="G39" s="1115"/>
      <c r="H39" s="1115"/>
      <c r="I39" s="1115"/>
      <c r="J39" s="1115"/>
      <c r="K39" s="1115"/>
      <c r="L39" s="1115"/>
      <c r="M39" s="1115"/>
      <c r="N39" s="1676" t="s">
        <v>2504</v>
      </c>
      <c r="O39" s="1654" t="s">
        <v>2366</v>
      </c>
      <c r="P39" s="1677"/>
      <c r="Q39" s="1655"/>
      <c r="R39" s="1676" t="s">
        <v>2503</v>
      </c>
      <c r="S39" s="1654" t="s">
        <v>2370</v>
      </c>
    </row>
    <row r="40" spans="1:19" s="1112" customFormat="1" ht="21.4" customHeight="1" thickBot="1">
      <c r="A40" s="1649" t="s">
        <v>2371</v>
      </c>
      <c r="B40" s="1113"/>
      <c r="C40" s="1114"/>
      <c r="D40" s="1114"/>
      <c r="E40" s="1114"/>
      <c r="F40" s="1114"/>
      <c r="G40" s="1114"/>
      <c r="H40" s="1114"/>
      <c r="I40" s="1114"/>
      <c r="J40" s="1114"/>
      <c r="K40" s="1114"/>
      <c r="L40" s="1115"/>
      <c r="M40" s="1115"/>
      <c r="N40" s="1677"/>
      <c r="O40" s="1655"/>
      <c r="P40" s="1677"/>
      <c r="Q40" s="1656"/>
      <c r="R40" s="1677"/>
      <c r="S40" s="1655"/>
    </row>
    <row r="41" spans="1:19" s="1112" customFormat="1" ht="21.4" customHeight="1">
      <c r="A41" s="1650"/>
      <c r="B41" s="1116"/>
      <c r="C41" s="1115"/>
      <c r="D41" s="1115"/>
      <c r="E41" s="1115"/>
      <c r="F41" s="1115"/>
      <c r="G41" s="1115"/>
      <c r="H41" s="1115"/>
      <c r="I41" s="1115"/>
      <c r="J41" s="1115"/>
      <c r="K41" s="1115"/>
      <c r="L41" s="1651" t="s">
        <v>2504</v>
      </c>
      <c r="M41" s="1654" t="s">
        <v>2366</v>
      </c>
      <c r="N41" s="1677"/>
      <c r="O41" s="1655"/>
      <c r="P41" s="1678" t="s">
        <v>2501</v>
      </c>
      <c r="Q41" s="1651" t="s">
        <v>2372</v>
      </c>
      <c r="R41" s="1677"/>
      <c r="S41" s="1655"/>
    </row>
    <row r="42" spans="1:19" s="1112" customFormat="1" ht="21.4" customHeight="1" thickBot="1">
      <c r="A42" s="1649" t="s">
        <v>2373</v>
      </c>
      <c r="B42" s="1113"/>
      <c r="C42" s="1114"/>
      <c r="D42" s="1114"/>
      <c r="E42" s="1114"/>
      <c r="F42" s="1114"/>
      <c r="G42" s="1114"/>
      <c r="H42" s="1114"/>
      <c r="I42" s="1114"/>
      <c r="J42" s="1115"/>
      <c r="K42" s="1115"/>
      <c r="L42" s="1652"/>
      <c r="M42" s="1655"/>
      <c r="N42" s="1677"/>
      <c r="O42" s="1656"/>
      <c r="P42" s="1679"/>
      <c r="Q42" s="1653"/>
      <c r="R42" s="1677"/>
      <c r="S42" s="1656"/>
    </row>
    <row r="43" spans="1:19" s="1112" customFormat="1" ht="21.4" customHeight="1">
      <c r="A43" s="1650"/>
      <c r="B43" s="1116"/>
      <c r="C43" s="1115"/>
      <c r="D43" s="1115"/>
      <c r="E43" s="1115"/>
      <c r="F43" s="1115"/>
      <c r="G43" s="1115"/>
      <c r="H43" s="1115"/>
      <c r="I43" s="1115"/>
      <c r="J43" s="1676" t="s">
        <v>2504</v>
      </c>
      <c r="K43" s="1654" t="s">
        <v>2366</v>
      </c>
      <c r="L43" s="1652"/>
      <c r="M43" s="1655"/>
      <c r="N43" s="1676" t="s">
        <v>2503</v>
      </c>
      <c r="O43" s="1654" t="s">
        <v>2370</v>
      </c>
      <c r="P43" s="1651" t="s">
        <v>2374</v>
      </c>
      <c r="Q43" s="1654" t="s">
        <v>2370</v>
      </c>
      <c r="R43" s="1651" t="s">
        <v>2375</v>
      </c>
      <c r="S43" s="1654" t="s">
        <v>2376</v>
      </c>
    </row>
    <row r="44" spans="1:19" s="1112" customFormat="1" ht="21.4" customHeight="1" thickBot="1">
      <c r="A44" s="1649" t="s">
        <v>2377</v>
      </c>
      <c r="B44" s="1113"/>
      <c r="C44" s="1114"/>
      <c r="D44" s="1114"/>
      <c r="E44" s="1114"/>
      <c r="F44" s="1114"/>
      <c r="G44" s="1114"/>
      <c r="H44" s="1115"/>
      <c r="I44" s="1115"/>
      <c r="J44" s="1677"/>
      <c r="K44" s="1655"/>
      <c r="L44" s="1659"/>
      <c r="M44" s="1656"/>
      <c r="N44" s="1677"/>
      <c r="O44" s="1655"/>
      <c r="P44" s="1652"/>
      <c r="Q44" s="1655"/>
      <c r="R44" s="1652"/>
      <c r="S44" s="1655"/>
    </row>
    <row r="45" spans="1:19" s="1112" customFormat="1" ht="21.4" customHeight="1">
      <c r="A45" s="1650"/>
      <c r="B45" s="1116"/>
      <c r="C45" s="1115"/>
      <c r="D45" s="1115"/>
      <c r="E45" s="1115"/>
      <c r="F45" s="1115"/>
      <c r="G45" s="1115"/>
      <c r="H45" s="1651" t="s">
        <v>2504</v>
      </c>
      <c r="I45" s="1654" t="s">
        <v>2366</v>
      </c>
      <c r="J45" s="1677"/>
      <c r="K45" s="1655"/>
      <c r="L45" s="1678" t="s">
        <v>2501</v>
      </c>
      <c r="M45" s="1651" t="s">
        <v>2372</v>
      </c>
      <c r="N45" s="1677"/>
      <c r="O45" s="1655"/>
      <c r="P45" s="1652"/>
      <c r="Q45" s="1655"/>
      <c r="R45" s="1652"/>
      <c r="S45" s="1655"/>
    </row>
    <row r="46" spans="1:19" s="1112" customFormat="1" ht="21.4" customHeight="1" thickBot="1">
      <c r="A46" s="1649" t="s">
        <v>2378</v>
      </c>
      <c r="B46" s="1113"/>
      <c r="C46" s="1114"/>
      <c r="D46" s="1114"/>
      <c r="E46" s="1114"/>
      <c r="F46" s="1115"/>
      <c r="G46" s="1115"/>
      <c r="H46" s="1652"/>
      <c r="I46" s="1655"/>
      <c r="J46" s="1677"/>
      <c r="K46" s="1656"/>
      <c r="L46" s="1679"/>
      <c r="M46" s="1653"/>
      <c r="N46" s="1677"/>
      <c r="O46" s="1656"/>
      <c r="P46" s="1653"/>
      <c r="Q46" s="1656"/>
      <c r="R46" s="1653"/>
      <c r="S46" s="1656"/>
    </row>
    <row r="47" spans="1:19" s="1112" customFormat="1" ht="21.4" customHeight="1">
      <c r="A47" s="1650"/>
      <c r="B47" s="1116"/>
      <c r="C47" s="1115"/>
      <c r="D47" s="1115"/>
      <c r="E47" s="1115"/>
      <c r="F47" s="1676" t="s">
        <v>2504</v>
      </c>
      <c r="G47" s="1654" t="s">
        <v>2366</v>
      </c>
      <c r="H47" s="1652"/>
      <c r="I47" s="1655"/>
      <c r="J47" s="1676" t="s">
        <v>2503</v>
      </c>
      <c r="K47" s="1654" t="s">
        <v>2370</v>
      </c>
      <c r="L47" s="1651" t="s">
        <v>2380</v>
      </c>
      <c r="M47" s="1654" t="s">
        <v>2370</v>
      </c>
      <c r="N47" s="1651" t="s">
        <v>2375</v>
      </c>
      <c r="O47" s="1654" t="s">
        <v>2376</v>
      </c>
      <c r="P47" s="1651" t="s">
        <v>2381</v>
      </c>
      <c r="Q47" s="1651" t="s">
        <v>2382</v>
      </c>
      <c r="R47" s="1651" t="s">
        <v>2383</v>
      </c>
      <c r="S47" s="1651" t="s">
        <v>2384</v>
      </c>
    </row>
    <row r="48" spans="1:19" s="1112" customFormat="1" ht="21.4" customHeight="1" thickBot="1">
      <c r="A48" s="1649" t="s">
        <v>2385</v>
      </c>
      <c r="B48" s="1113"/>
      <c r="C48" s="1114"/>
      <c r="D48" s="1115"/>
      <c r="E48" s="1115"/>
      <c r="F48" s="1677"/>
      <c r="G48" s="1655"/>
      <c r="H48" s="1659"/>
      <c r="I48" s="1656"/>
      <c r="J48" s="1677"/>
      <c r="K48" s="1655"/>
      <c r="L48" s="1652"/>
      <c r="M48" s="1655"/>
      <c r="N48" s="1652"/>
      <c r="O48" s="1655"/>
      <c r="P48" s="1652"/>
      <c r="Q48" s="1652"/>
      <c r="R48" s="1652"/>
      <c r="S48" s="1652"/>
    </row>
    <row r="49" spans="1:19" s="1112" customFormat="1" ht="21.4" customHeight="1">
      <c r="A49" s="1650"/>
      <c r="B49" s="1116"/>
      <c r="C49" s="1115"/>
      <c r="D49" s="1651" t="s">
        <v>2504</v>
      </c>
      <c r="E49" s="1651" t="s">
        <v>2387</v>
      </c>
      <c r="F49" s="1677"/>
      <c r="G49" s="1655"/>
      <c r="H49" s="1678" t="s">
        <v>2501</v>
      </c>
      <c r="I49" s="1651" t="s">
        <v>2372</v>
      </c>
      <c r="J49" s="1677"/>
      <c r="K49" s="1655"/>
      <c r="L49" s="1652"/>
      <c r="M49" s="1655"/>
      <c r="N49" s="1652"/>
      <c r="O49" s="1655"/>
      <c r="P49" s="1652"/>
      <c r="Q49" s="1652"/>
      <c r="R49" s="1652"/>
      <c r="S49" s="1652"/>
    </row>
    <row r="50" spans="1:19" s="1112" customFormat="1" ht="21.4" customHeight="1" thickBot="1">
      <c r="A50" s="1649" t="s">
        <v>2388</v>
      </c>
      <c r="B50" s="1116"/>
      <c r="C50" s="1117"/>
      <c r="D50" s="1652"/>
      <c r="E50" s="1653"/>
      <c r="F50" s="1677"/>
      <c r="G50" s="1656"/>
      <c r="H50" s="1679"/>
      <c r="I50" s="1653"/>
      <c r="J50" s="1677"/>
      <c r="K50" s="1656"/>
      <c r="L50" s="1653"/>
      <c r="M50" s="1656"/>
      <c r="N50" s="1653"/>
      <c r="O50" s="1656"/>
      <c r="P50" s="1653"/>
      <c r="Q50" s="1653"/>
      <c r="R50" s="1653"/>
      <c r="S50" s="1659"/>
    </row>
    <row r="51" spans="1:19" s="1112" customFormat="1" ht="21.4" customHeight="1">
      <c r="A51" s="1650"/>
      <c r="B51" s="1654" t="s">
        <v>2389</v>
      </c>
      <c r="C51" s="1654" t="s">
        <v>2390</v>
      </c>
      <c r="D51" s="1652"/>
      <c r="E51" s="1651" t="s">
        <v>2391</v>
      </c>
      <c r="F51" s="1676" t="s">
        <v>2502</v>
      </c>
      <c r="G51" s="1654" t="s">
        <v>2392</v>
      </c>
      <c r="H51" s="1651" t="s">
        <v>2393</v>
      </c>
      <c r="I51" s="1651" t="s">
        <v>2394</v>
      </c>
      <c r="J51" s="1651" t="s">
        <v>2395</v>
      </c>
      <c r="K51" s="1651" t="s">
        <v>2396</v>
      </c>
      <c r="L51" s="1651" t="s">
        <v>2397</v>
      </c>
      <c r="M51" s="1651" t="s">
        <v>2398</v>
      </c>
      <c r="N51" s="1651" t="s">
        <v>2399</v>
      </c>
      <c r="O51" s="1651" t="s">
        <v>2400</v>
      </c>
      <c r="P51" s="1651" t="s">
        <v>2401</v>
      </c>
      <c r="Q51" s="1651" t="s">
        <v>2402</v>
      </c>
      <c r="R51" s="1651" t="s">
        <v>2403</v>
      </c>
      <c r="S51" s="1651" t="s">
        <v>2404</v>
      </c>
    </row>
    <row r="52" spans="1:19" s="1112" customFormat="1" ht="21.4" customHeight="1">
      <c r="A52" s="1118"/>
      <c r="B52" s="1655"/>
      <c r="C52" s="1655"/>
      <c r="D52" s="1659"/>
      <c r="E52" s="1652"/>
      <c r="F52" s="1677"/>
      <c r="G52" s="1655"/>
      <c r="H52" s="1652"/>
      <c r="I52" s="1652"/>
      <c r="J52" s="1652"/>
      <c r="K52" s="1652"/>
      <c r="L52" s="1652"/>
      <c r="M52" s="1652"/>
      <c r="N52" s="1652"/>
      <c r="O52" s="1652"/>
      <c r="P52" s="1652"/>
      <c r="Q52" s="1652"/>
      <c r="R52" s="1652"/>
      <c r="S52" s="1652"/>
    </row>
    <row r="53" spans="1:19" s="1112" customFormat="1" ht="21.4" customHeight="1">
      <c r="A53" s="1119"/>
      <c r="B53" s="1655"/>
      <c r="C53" s="1655"/>
      <c r="D53" s="1678" t="s">
        <v>2500</v>
      </c>
      <c r="E53" s="1652"/>
      <c r="F53" s="1677"/>
      <c r="G53" s="1655"/>
      <c r="H53" s="1652"/>
      <c r="I53" s="1652"/>
      <c r="J53" s="1652"/>
      <c r="K53" s="1652"/>
      <c r="L53" s="1652"/>
      <c r="M53" s="1652"/>
      <c r="N53" s="1652"/>
      <c r="O53" s="1652"/>
      <c r="P53" s="1652"/>
      <c r="Q53" s="1652"/>
      <c r="R53" s="1652"/>
      <c r="S53" s="1652"/>
    </row>
    <row r="54" spans="1:19" s="1112" customFormat="1" ht="21.4" customHeight="1">
      <c r="A54" s="1119"/>
      <c r="B54" s="1655"/>
      <c r="C54" s="1655"/>
      <c r="D54" s="1679"/>
      <c r="E54" s="1659"/>
      <c r="F54" s="1677"/>
      <c r="G54" s="1655"/>
      <c r="H54" s="1659"/>
      <c r="I54" s="1659"/>
      <c r="J54" s="1659"/>
      <c r="K54" s="1659"/>
      <c r="L54" s="1659"/>
      <c r="M54" s="1659"/>
      <c r="N54" s="1659"/>
      <c r="O54" s="1659"/>
      <c r="P54" s="1659"/>
      <c r="Q54" s="1659"/>
      <c r="R54" s="1659"/>
      <c r="S54" s="1659"/>
    </row>
    <row r="55" spans="1:19" s="1112" customFormat="1" ht="21.4" customHeight="1">
      <c r="B55" s="1660" t="s">
        <v>2405</v>
      </c>
      <c r="C55" s="1660"/>
      <c r="D55" s="1660" t="s">
        <v>2385</v>
      </c>
      <c r="E55" s="1660"/>
      <c r="F55" s="1660" t="s">
        <v>2406</v>
      </c>
      <c r="G55" s="1660"/>
      <c r="H55" s="1660" t="s">
        <v>2377</v>
      </c>
      <c r="I55" s="1660"/>
      <c r="J55" s="1660" t="s">
        <v>2407</v>
      </c>
      <c r="K55" s="1660"/>
      <c r="L55" s="1660" t="s">
        <v>2371</v>
      </c>
      <c r="M55" s="1660"/>
      <c r="N55" s="1660" t="s">
        <v>2408</v>
      </c>
      <c r="O55" s="1660"/>
      <c r="P55" s="1660" t="s">
        <v>2367</v>
      </c>
      <c r="Q55" s="1660"/>
      <c r="R55" s="1660" t="s">
        <v>2409</v>
      </c>
      <c r="S55" s="1660"/>
    </row>
    <row r="56" spans="1:19" s="1112" customFormat="1" ht="21.4" customHeight="1"/>
    <row r="57" spans="1:19" s="1112" customFormat="1" ht="21.4" customHeight="1">
      <c r="A57" s="1120" t="s">
        <v>461</v>
      </c>
      <c r="B57" s="1120" t="s">
        <v>2410</v>
      </c>
      <c r="C57" s="1120" t="s">
        <v>2411</v>
      </c>
      <c r="D57" s="1120" t="s">
        <v>2412</v>
      </c>
      <c r="E57" s="1120" t="s">
        <v>2413</v>
      </c>
      <c r="F57" s="1120" t="s">
        <v>2414</v>
      </c>
      <c r="G57" s="1120" t="s">
        <v>2415</v>
      </c>
      <c r="H57" s="1120" t="s">
        <v>2416</v>
      </c>
      <c r="I57" s="1120" t="s">
        <v>2417</v>
      </c>
      <c r="J57" s="1120" t="s">
        <v>2418</v>
      </c>
      <c r="K57" s="1120" t="s">
        <v>2419</v>
      </c>
      <c r="L57" s="1120" t="s">
        <v>2420</v>
      </c>
      <c r="M57" s="1120" t="s">
        <v>2421</v>
      </c>
      <c r="N57" s="1120" t="s">
        <v>2422</v>
      </c>
      <c r="O57" s="1120" t="s">
        <v>2423</v>
      </c>
      <c r="P57" s="1120" t="s">
        <v>2424</v>
      </c>
      <c r="Q57" s="1120" t="s">
        <v>2425</v>
      </c>
      <c r="R57" s="1120" t="s">
        <v>2426</v>
      </c>
      <c r="S57" s="1120" t="s">
        <v>2427</v>
      </c>
    </row>
    <row r="58" spans="1:19" s="1112" customFormat="1" ht="21.4" customHeight="1">
      <c r="A58" s="1120" t="s">
        <v>2428</v>
      </c>
      <c r="B58" s="1661" t="s">
        <v>2429</v>
      </c>
      <c r="C58" s="1661"/>
      <c r="D58" s="1661" t="s">
        <v>2430</v>
      </c>
      <c r="E58" s="1661"/>
      <c r="F58" s="1661" t="s">
        <v>2431</v>
      </c>
      <c r="G58" s="1661"/>
      <c r="H58" s="1661" t="s">
        <v>2432</v>
      </c>
      <c r="I58" s="1661"/>
      <c r="J58" s="1661" t="s">
        <v>2433</v>
      </c>
      <c r="K58" s="1661"/>
      <c r="L58" s="1661" t="s">
        <v>2434</v>
      </c>
      <c r="M58" s="1661"/>
      <c r="N58" s="1661" t="s">
        <v>2435</v>
      </c>
      <c r="O58" s="1661"/>
      <c r="P58" s="1661" t="s">
        <v>2436</v>
      </c>
      <c r="Q58" s="1661"/>
      <c r="R58" s="1661" t="s">
        <v>2437</v>
      </c>
      <c r="S58" s="1661"/>
    </row>
    <row r="59" spans="1:19">
      <c r="A59" s="1120" t="s">
        <v>2438</v>
      </c>
      <c r="B59" s="1661" t="s">
        <v>2439</v>
      </c>
      <c r="C59" s="1661"/>
      <c r="D59" s="1661" t="s">
        <v>2439</v>
      </c>
      <c r="E59" s="1661"/>
      <c r="F59" s="1661" t="s">
        <v>2439</v>
      </c>
      <c r="G59" s="1661"/>
      <c r="H59" s="1661" t="s">
        <v>2439</v>
      </c>
      <c r="I59" s="1661"/>
      <c r="J59" s="1661" t="s">
        <v>2439</v>
      </c>
      <c r="K59" s="1661"/>
      <c r="L59" s="1661" t="s">
        <v>2439</v>
      </c>
      <c r="M59" s="1661"/>
      <c r="N59" s="1661" t="s">
        <v>2439</v>
      </c>
      <c r="O59" s="1661"/>
      <c r="P59" s="1661" t="s">
        <v>2439</v>
      </c>
      <c r="Q59" s="1661"/>
      <c r="R59" s="1661" t="s">
        <v>2439</v>
      </c>
      <c r="S59" s="1661"/>
    </row>
    <row r="60" spans="1:19" ht="22.5">
      <c r="A60" s="1121" t="s">
        <v>2440</v>
      </c>
      <c r="B60" s="1121" t="s">
        <v>2441</v>
      </c>
      <c r="C60" s="1120" t="s">
        <v>2442</v>
      </c>
      <c r="D60" s="1121" t="s">
        <v>2441</v>
      </c>
      <c r="E60" s="1120" t="s">
        <v>2442</v>
      </c>
      <c r="F60" s="1121" t="s">
        <v>2441</v>
      </c>
      <c r="G60" s="1120" t="s">
        <v>2442</v>
      </c>
      <c r="H60" s="1121" t="s">
        <v>2441</v>
      </c>
      <c r="I60" s="1120" t="s">
        <v>2442</v>
      </c>
      <c r="J60" s="1121" t="s">
        <v>2441</v>
      </c>
      <c r="K60" s="1120" t="s">
        <v>2442</v>
      </c>
      <c r="L60" s="1121" t="s">
        <v>2441</v>
      </c>
      <c r="M60" s="1120" t="s">
        <v>2442</v>
      </c>
      <c r="N60" s="1121" t="s">
        <v>2441</v>
      </c>
      <c r="O60" s="1120" t="s">
        <v>2442</v>
      </c>
      <c r="P60" s="1121" t="s">
        <v>2441</v>
      </c>
      <c r="Q60" s="1120" t="s">
        <v>2442</v>
      </c>
      <c r="R60" s="1121" t="s">
        <v>2441</v>
      </c>
      <c r="S60" s="1120" t="s">
        <v>2442</v>
      </c>
    </row>
    <row r="61" spans="1:19" ht="13.5" customHeight="1">
      <c r="A61" s="1662" t="s">
        <v>2443</v>
      </c>
      <c r="B61" s="1663"/>
      <c r="C61" s="1663"/>
      <c r="D61" s="1663"/>
      <c r="E61" s="1663"/>
      <c r="F61" s="1663"/>
      <c r="G61" s="1663"/>
      <c r="H61" s="1663"/>
      <c r="I61" s="1663"/>
      <c r="J61" s="1663"/>
      <c r="K61" s="1663"/>
      <c r="L61" s="1663"/>
      <c r="M61" s="1663"/>
      <c r="N61" s="1663"/>
      <c r="O61" s="1663"/>
      <c r="P61" s="1663"/>
      <c r="Q61" s="1663"/>
      <c r="R61" s="1663"/>
      <c r="S61" s="1663"/>
    </row>
    <row r="62" spans="1:19" ht="13.5" customHeight="1">
      <c r="A62" s="1664"/>
      <c r="B62" s="1665"/>
      <c r="C62" s="1665"/>
      <c r="D62" s="1665"/>
      <c r="E62" s="1665"/>
      <c r="F62" s="1665"/>
      <c r="G62" s="1665"/>
      <c r="H62" s="1665"/>
      <c r="I62" s="1665"/>
      <c r="J62" s="1665"/>
      <c r="K62" s="1665"/>
      <c r="L62" s="1665"/>
      <c r="M62" s="1665"/>
      <c r="N62" s="1665"/>
      <c r="O62" s="1665"/>
      <c r="P62" s="1665"/>
      <c r="Q62" s="1665"/>
      <c r="R62" s="1665"/>
      <c r="S62" s="1665"/>
    </row>
    <row r="63" spans="1:19" ht="13.5" customHeight="1" thickBot="1">
      <c r="A63" s="1649" t="s">
        <v>2364</v>
      </c>
      <c r="B63" s="1113"/>
      <c r="C63" s="1114"/>
      <c r="D63" s="1114"/>
      <c r="E63" s="1114"/>
      <c r="F63" s="1114"/>
      <c r="G63" s="1114"/>
      <c r="H63" s="1114"/>
      <c r="I63" s="1114"/>
      <c r="J63" s="1114"/>
      <c r="K63" s="1114"/>
      <c r="L63" s="1114"/>
      <c r="M63" s="1114"/>
      <c r="N63" s="1114"/>
      <c r="O63" s="1114"/>
      <c r="P63" s="1114"/>
      <c r="Q63" s="1114"/>
      <c r="R63" s="1115"/>
      <c r="S63" s="1115"/>
    </row>
    <row r="64" spans="1:19" ht="13.5" customHeight="1">
      <c r="A64" s="1650"/>
      <c r="B64" s="1116"/>
      <c r="C64" s="1115"/>
      <c r="D64" s="1115"/>
      <c r="E64" s="1115"/>
      <c r="F64" s="1115"/>
      <c r="G64" s="1115"/>
      <c r="H64" s="1115"/>
      <c r="I64" s="1115"/>
      <c r="J64" s="1115"/>
      <c r="K64" s="1115"/>
      <c r="L64" s="1115"/>
      <c r="M64" s="1115"/>
      <c r="N64" s="1115"/>
      <c r="O64" s="1115"/>
      <c r="P64" s="1115"/>
      <c r="Q64" s="1115"/>
      <c r="R64" s="1651" t="s">
        <v>2444</v>
      </c>
      <c r="S64" s="1651" t="s">
        <v>2445</v>
      </c>
    </row>
    <row r="65" spans="1:19" ht="13.5" customHeight="1" thickBot="1">
      <c r="A65" s="1649" t="s">
        <v>2367</v>
      </c>
      <c r="B65" s="1113"/>
      <c r="C65" s="1114"/>
      <c r="D65" s="1114"/>
      <c r="E65" s="1114"/>
      <c r="F65" s="1114"/>
      <c r="G65" s="1114"/>
      <c r="H65" s="1114"/>
      <c r="I65" s="1114"/>
      <c r="J65" s="1114"/>
      <c r="K65" s="1114"/>
      <c r="L65" s="1114"/>
      <c r="M65" s="1114"/>
      <c r="N65" s="1114"/>
      <c r="O65" s="1114"/>
      <c r="P65" s="1115"/>
      <c r="Q65" s="1115"/>
      <c r="R65" s="1652"/>
      <c r="S65" s="1652"/>
    </row>
    <row r="66" spans="1:19" ht="13.5" customHeight="1">
      <c r="A66" s="1650"/>
      <c r="B66" s="1116"/>
      <c r="C66" s="1115"/>
      <c r="D66" s="1115"/>
      <c r="E66" s="1115"/>
      <c r="F66" s="1115"/>
      <c r="G66" s="1115"/>
      <c r="H66" s="1115"/>
      <c r="I66" s="1115"/>
      <c r="J66" s="1115"/>
      <c r="K66" s="1115"/>
      <c r="L66" s="1115"/>
      <c r="M66" s="1115"/>
      <c r="N66" s="1115"/>
      <c r="O66" s="1115"/>
      <c r="P66" s="1651" t="s">
        <v>2446</v>
      </c>
      <c r="Q66" s="1651" t="s">
        <v>2447</v>
      </c>
      <c r="R66" s="1652"/>
      <c r="S66" s="1652"/>
    </row>
    <row r="67" spans="1:19" ht="13.5" customHeight="1" thickBot="1">
      <c r="A67" s="1649" t="s">
        <v>2369</v>
      </c>
      <c r="B67" s="1113"/>
      <c r="C67" s="1114"/>
      <c r="D67" s="1114"/>
      <c r="E67" s="1114"/>
      <c r="F67" s="1114"/>
      <c r="G67" s="1114"/>
      <c r="H67" s="1114"/>
      <c r="I67" s="1114"/>
      <c r="J67" s="1114"/>
      <c r="K67" s="1114"/>
      <c r="L67" s="1114"/>
      <c r="M67" s="1114"/>
      <c r="N67" s="1115"/>
      <c r="O67" s="1115"/>
      <c r="P67" s="1652"/>
      <c r="Q67" s="1653"/>
      <c r="R67" s="1652"/>
      <c r="S67" s="1653"/>
    </row>
    <row r="68" spans="1:19" ht="13.5" customHeight="1">
      <c r="A68" s="1650"/>
      <c r="B68" s="1116"/>
      <c r="C68" s="1115"/>
      <c r="D68" s="1115"/>
      <c r="E68" s="1115"/>
      <c r="F68" s="1115"/>
      <c r="G68" s="1115"/>
      <c r="H68" s="1115"/>
      <c r="I68" s="1115"/>
      <c r="J68" s="1115"/>
      <c r="K68" s="1115"/>
      <c r="L68" s="1115"/>
      <c r="M68" s="1115"/>
      <c r="N68" s="1651" t="s">
        <v>2444</v>
      </c>
      <c r="O68" s="1651" t="s">
        <v>2445</v>
      </c>
      <c r="P68" s="1652"/>
      <c r="Q68" s="1654" t="s">
        <v>2448</v>
      </c>
      <c r="R68" s="1652"/>
      <c r="S68" s="1654" t="s">
        <v>2370</v>
      </c>
    </row>
    <row r="69" spans="1:19" ht="13.5" customHeight="1" thickBot="1">
      <c r="A69" s="1649" t="s">
        <v>2371</v>
      </c>
      <c r="B69" s="1113"/>
      <c r="C69" s="1114"/>
      <c r="D69" s="1114"/>
      <c r="E69" s="1114"/>
      <c r="F69" s="1114"/>
      <c r="G69" s="1114"/>
      <c r="H69" s="1114"/>
      <c r="I69" s="1114"/>
      <c r="J69" s="1114"/>
      <c r="K69" s="1114"/>
      <c r="L69" s="1115"/>
      <c r="M69" s="1115"/>
      <c r="N69" s="1652"/>
      <c r="O69" s="1652"/>
      <c r="P69" s="1652"/>
      <c r="Q69" s="1655"/>
      <c r="R69" s="1652"/>
      <c r="S69" s="1655"/>
    </row>
    <row r="70" spans="1:19" ht="13.5" customHeight="1">
      <c r="A70" s="1650"/>
      <c r="B70" s="1116"/>
      <c r="C70" s="1115"/>
      <c r="D70" s="1115"/>
      <c r="E70" s="1115"/>
      <c r="F70" s="1115"/>
      <c r="G70" s="1115"/>
      <c r="H70" s="1115"/>
      <c r="I70" s="1115"/>
      <c r="J70" s="1115"/>
      <c r="K70" s="1115"/>
      <c r="L70" s="1651" t="s">
        <v>2446</v>
      </c>
      <c r="M70" s="1651" t="s">
        <v>2447</v>
      </c>
      <c r="N70" s="1652"/>
      <c r="O70" s="1652"/>
      <c r="P70" s="1652"/>
      <c r="Q70" s="1655"/>
      <c r="R70" s="1652"/>
      <c r="S70" s="1655"/>
    </row>
    <row r="71" spans="1:19" ht="13.5" customHeight="1" thickBot="1">
      <c r="A71" s="1649" t="s">
        <v>2373</v>
      </c>
      <c r="B71" s="1113"/>
      <c r="C71" s="1114"/>
      <c r="D71" s="1114"/>
      <c r="E71" s="1114"/>
      <c r="F71" s="1114"/>
      <c r="G71" s="1114"/>
      <c r="H71" s="1114"/>
      <c r="I71" s="1114"/>
      <c r="J71" s="1115"/>
      <c r="K71" s="1115"/>
      <c r="L71" s="1652"/>
      <c r="M71" s="1653"/>
      <c r="N71" s="1652"/>
      <c r="O71" s="1653"/>
      <c r="P71" s="1653"/>
      <c r="Q71" s="1656"/>
      <c r="R71" s="1653"/>
      <c r="S71" s="1656"/>
    </row>
    <row r="72" spans="1:19" ht="13.5" customHeight="1">
      <c r="A72" s="1650"/>
      <c r="B72" s="1116"/>
      <c r="C72" s="1115"/>
      <c r="D72" s="1115"/>
      <c r="E72" s="1115"/>
      <c r="F72" s="1115"/>
      <c r="G72" s="1115"/>
      <c r="H72" s="1115"/>
      <c r="I72" s="1115"/>
      <c r="J72" s="1651" t="s">
        <v>2444</v>
      </c>
      <c r="K72" s="1651" t="s">
        <v>2445</v>
      </c>
      <c r="L72" s="1652"/>
      <c r="M72" s="1654" t="s">
        <v>2448</v>
      </c>
      <c r="N72" s="1652"/>
      <c r="O72" s="1654" t="s">
        <v>2370</v>
      </c>
      <c r="P72" s="1654" t="s">
        <v>2449</v>
      </c>
      <c r="Q72" s="1654" t="s">
        <v>2450</v>
      </c>
      <c r="R72" s="1654" t="s">
        <v>2451</v>
      </c>
      <c r="S72" s="1654" t="s">
        <v>2376</v>
      </c>
    </row>
    <row r="73" spans="1:19" ht="13.5" customHeight="1" thickBot="1">
      <c r="A73" s="1649" t="s">
        <v>2377</v>
      </c>
      <c r="B73" s="1113"/>
      <c r="C73" s="1114"/>
      <c r="D73" s="1114"/>
      <c r="E73" s="1114"/>
      <c r="F73" s="1114"/>
      <c r="G73" s="1114"/>
      <c r="H73" s="1115"/>
      <c r="I73" s="1115"/>
      <c r="J73" s="1652"/>
      <c r="K73" s="1652"/>
      <c r="L73" s="1652"/>
      <c r="M73" s="1655"/>
      <c r="N73" s="1652"/>
      <c r="O73" s="1655"/>
      <c r="P73" s="1655"/>
      <c r="Q73" s="1655"/>
      <c r="R73" s="1655"/>
      <c r="S73" s="1655"/>
    </row>
    <row r="74" spans="1:19" ht="13.5" customHeight="1">
      <c r="A74" s="1650"/>
      <c r="B74" s="1116"/>
      <c r="C74" s="1115"/>
      <c r="D74" s="1115"/>
      <c r="E74" s="1115"/>
      <c r="F74" s="1115"/>
      <c r="G74" s="1115"/>
      <c r="H74" s="1651" t="s">
        <v>2446</v>
      </c>
      <c r="I74" s="1651" t="s">
        <v>2447</v>
      </c>
      <c r="J74" s="1652"/>
      <c r="K74" s="1652"/>
      <c r="L74" s="1652"/>
      <c r="M74" s="1655"/>
      <c r="N74" s="1652"/>
      <c r="O74" s="1655"/>
      <c r="P74" s="1655"/>
      <c r="Q74" s="1655"/>
      <c r="R74" s="1655"/>
      <c r="S74" s="1655"/>
    </row>
    <row r="75" spans="1:19" ht="13.5" customHeight="1" thickBot="1">
      <c r="A75" s="1649" t="s">
        <v>2378</v>
      </c>
      <c r="B75" s="1113"/>
      <c r="C75" s="1114"/>
      <c r="D75" s="1114"/>
      <c r="E75" s="1114"/>
      <c r="F75" s="1115"/>
      <c r="G75" s="1115"/>
      <c r="H75" s="1652"/>
      <c r="I75" s="1653"/>
      <c r="J75" s="1652"/>
      <c r="K75" s="1653"/>
      <c r="L75" s="1653"/>
      <c r="M75" s="1656"/>
      <c r="N75" s="1653"/>
      <c r="O75" s="1656"/>
      <c r="P75" s="1656"/>
      <c r="Q75" s="1656"/>
      <c r="R75" s="1656"/>
      <c r="S75" s="1656"/>
    </row>
    <row r="76" spans="1:19" ht="13.5" customHeight="1">
      <c r="A76" s="1650"/>
      <c r="B76" s="1116"/>
      <c r="C76" s="1115"/>
      <c r="D76" s="1115"/>
      <c r="E76" s="1115"/>
      <c r="F76" s="1651" t="s">
        <v>2452</v>
      </c>
      <c r="G76" s="1651" t="s">
        <v>2453</v>
      </c>
      <c r="H76" s="1652"/>
      <c r="I76" s="1654" t="s">
        <v>2448</v>
      </c>
      <c r="J76" s="1652"/>
      <c r="K76" s="1654" t="s">
        <v>2370</v>
      </c>
      <c r="L76" s="1654" t="s">
        <v>2449</v>
      </c>
      <c r="M76" s="1654" t="s">
        <v>2450</v>
      </c>
      <c r="N76" s="1654" t="s">
        <v>2451</v>
      </c>
      <c r="O76" s="1654" t="s">
        <v>2376</v>
      </c>
      <c r="P76" s="1654" t="s">
        <v>2454</v>
      </c>
      <c r="Q76" s="1654" t="s">
        <v>2382</v>
      </c>
      <c r="R76" s="1654" t="s">
        <v>2455</v>
      </c>
      <c r="S76" s="1654" t="s">
        <v>2384</v>
      </c>
    </row>
    <row r="77" spans="1:19" ht="13.5" customHeight="1" thickBot="1">
      <c r="A77" s="1649" t="s">
        <v>2385</v>
      </c>
      <c r="B77" s="1113"/>
      <c r="C77" s="1114"/>
      <c r="D77" s="1115"/>
      <c r="E77" s="1115"/>
      <c r="F77" s="1652"/>
      <c r="G77" s="1652"/>
      <c r="H77" s="1652"/>
      <c r="I77" s="1655"/>
      <c r="J77" s="1652"/>
      <c r="K77" s="1655"/>
      <c r="L77" s="1655"/>
      <c r="M77" s="1655"/>
      <c r="N77" s="1655"/>
      <c r="O77" s="1655"/>
      <c r="P77" s="1655"/>
      <c r="Q77" s="1655"/>
      <c r="R77" s="1655"/>
      <c r="S77" s="1655"/>
    </row>
    <row r="78" spans="1:19" ht="13.5" customHeight="1">
      <c r="A78" s="1650"/>
      <c r="B78" s="1116"/>
      <c r="C78" s="1115"/>
      <c r="D78" s="1654" t="s">
        <v>2456</v>
      </c>
      <c r="E78" s="1651" t="s">
        <v>2457</v>
      </c>
      <c r="F78" s="1652"/>
      <c r="G78" s="1652"/>
      <c r="H78" s="1652"/>
      <c r="I78" s="1655"/>
      <c r="J78" s="1652"/>
      <c r="K78" s="1655"/>
      <c r="L78" s="1655"/>
      <c r="M78" s="1655"/>
      <c r="N78" s="1655"/>
      <c r="O78" s="1655"/>
      <c r="P78" s="1655"/>
      <c r="Q78" s="1655"/>
      <c r="R78" s="1655"/>
      <c r="S78" s="1655"/>
    </row>
    <row r="79" spans="1:19" ht="13.5" customHeight="1" thickBot="1">
      <c r="A79" s="1649" t="s">
        <v>2388</v>
      </c>
      <c r="B79" s="1123"/>
      <c r="C79" s="1115"/>
      <c r="D79" s="1657"/>
      <c r="E79" s="1653"/>
      <c r="F79" s="1652"/>
      <c r="G79" s="1653"/>
      <c r="H79" s="1653"/>
      <c r="I79" s="1656"/>
      <c r="J79" s="1653"/>
      <c r="K79" s="1656"/>
      <c r="L79" s="1656"/>
      <c r="M79" s="1656"/>
      <c r="N79" s="1656"/>
      <c r="O79" s="1656"/>
      <c r="P79" s="1656"/>
      <c r="Q79" s="1656"/>
      <c r="R79" s="1656"/>
      <c r="S79" s="1656"/>
    </row>
    <row r="80" spans="1:19" ht="13.5" customHeight="1">
      <c r="A80" s="1650"/>
      <c r="B80" s="1654" t="s">
        <v>2458</v>
      </c>
      <c r="C80" s="1654" t="s">
        <v>2453</v>
      </c>
      <c r="D80" s="1657"/>
      <c r="E80" s="1654" t="s">
        <v>2448</v>
      </c>
      <c r="F80" s="1652"/>
      <c r="G80" s="1654" t="s">
        <v>2370</v>
      </c>
      <c r="H80" s="1666" t="s">
        <v>2459</v>
      </c>
      <c r="I80" s="1654" t="s">
        <v>2460</v>
      </c>
      <c r="J80" s="1666" t="s">
        <v>2461</v>
      </c>
      <c r="K80" s="1654" t="s">
        <v>2462</v>
      </c>
      <c r="L80" s="1666" t="s">
        <v>2463</v>
      </c>
      <c r="M80" s="1654" t="s">
        <v>2464</v>
      </c>
      <c r="N80" s="1666" t="s">
        <v>2465</v>
      </c>
      <c r="O80" s="1654" t="s">
        <v>2466</v>
      </c>
      <c r="P80" s="1666" t="s">
        <v>2467</v>
      </c>
      <c r="Q80" s="1654" t="s">
        <v>2468</v>
      </c>
      <c r="R80" s="1666" t="s">
        <v>2469</v>
      </c>
      <c r="S80" s="1654" t="s">
        <v>2470</v>
      </c>
    </row>
    <row r="81" spans="1:19" ht="13.5" customHeight="1">
      <c r="A81" s="1118"/>
      <c r="B81" s="1655"/>
      <c r="C81" s="1655"/>
      <c r="D81" s="1657"/>
      <c r="E81" s="1655"/>
      <c r="F81" s="1652"/>
      <c r="G81" s="1655"/>
      <c r="H81" s="1667"/>
      <c r="I81" s="1655"/>
      <c r="J81" s="1667"/>
      <c r="K81" s="1655"/>
      <c r="L81" s="1667"/>
      <c r="M81" s="1655"/>
      <c r="N81" s="1667"/>
      <c r="O81" s="1655"/>
      <c r="P81" s="1667"/>
      <c r="Q81" s="1655"/>
      <c r="R81" s="1667"/>
      <c r="S81" s="1655"/>
    </row>
    <row r="82" spans="1:19" ht="13.5" customHeight="1">
      <c r="A82" s="1119"/>
      <c r="B82" s="1655"/>
      <c r="C82" s="1655"/>
      <c r="D82" s="1657"/>
      <c r="E82" s="1655"/>
      <c r="F82" s="1652"/>
      <c r="G82" s="1655"/>
      <c r="H82" s="1667"/>
      <c r="I82" s="1655"/>
      <c r="J82" s="1667"/>
      <c r="K82" s="1655"/>
      <c r="L82" s="1667"/>
      <c r="M82" s="1655"/>
      <c r="N82" s="1667"/>
      <c r="O82" s="1655"/>
      <c r="P82" s="1667"/>
      <c r="Q82" s="1655"/>
      <c r="R82" s="1667"/>
      <c r="S82" s="1655"/>
    </row>
    <row r="83" spans="1:19" ht="13.5" customHeight="1" thickBot="1">
      <c r="A83" s="1119"/>
      <c r="B83" s="1656"/>
      <c r="C83" s="1656"/>
      <c r="D83" s="1658"/>
      <c r="E83" s="1656"/>
      <c r="F83" s="1653"/>
      <c r="G83" s="1656"/>
      <c r="H83" s="1668"/>
      <c r="I83" s="1656"/>
      <c r="J83" s="1668"/>
      <c r="K83" s="1656"/>
      <c r="L83" s="1668"/>
      <c r="M83" s="1656"/>
      <c r="N83" s="1668"/>
      <c r="O83" s="1656"/>
      <c r="P83" s="1668"/>
      <c r="Q83" s="1656"/>
      <c r="R83" s="1668"/>
      <c r="S83" s="1656"/>
    </row>
    <row r="84" spans="1:19" ht="18.75" customHeight="1">
      <c r="A84" s="1124"/>
      <c r="B84" s="1669" t="s">
        <v>2405</v>
      </c>
      <c r="C84" s="1669"/>
      <c r="D84" s="1669" t="s">
        <v>2385</v>
      </c>
      <c r="E84" s="1669"/>
      <c r="F84" s="1669" t="s">
        <v>2406</v>
      </c>
      <c r="G84" s="1669"/>
      <c r="H84" s="1669" t="s">
        <v>2377</v>
      </c>
      <c r="I84" s="1669"/>
      <c r="J84" s="1669" t="s">
        <v>2407</v>
      </c>
      <c r="K84" s="1669"/>
      <c r="L84" s="1669" t="s">
        <v>2371</v>
      </c>
      <c r="M84" s="1669"/>
      <c r="N84" s="1669" t="s">
        <v>2408</v>
      </c>
      <c r="O84" s="1669"/>
      <c r="P84" s="1669" t="s">
        <v>2367</v>
      </c>
      <c r="Q84" s="1669"/>
      <c r="R84" s="1669" t="s">
        <v>2409</v>
      </c>
      <c r="S84" s="1669"/>
    </row>
    <row r="85" spans="1:19" ht="13.5" customHeight="1"/>
    <row r="89" spans="1:19" ht="13.5" customHeight="1">
      <c r="A89" s="1662" t="s">
        <v>2471</v>
      </c>
      <c r="B89" s="1663"/>
      <c r="C89" s="1663"/>
      <c r="D89" s="1663"/>
      <c r="E89" s="1663"/>
      <c r="F89" s="1663"/>
      <c r="G89" s="1663"/>
      <c r="H89" s="1663"/>
      <c r="I89" s="1663"/>
      <c r="J89" s="1663"/>
      <c r="K89" s="1663"/>
      <c r="L89" s="1663"/>
      <c r="M89" s="1663"/>
      <c r="N89" s="1663"/>
      <c r="O89" s="1663"/>
      <c r="P89" s="1663"/>
      <c r="Q89" s="1663"/>
      <c r="R89" s="1663"/>
      <c r="S89" s="1663"/>
    </row>
    <row r="90" spans="1:19" ht="13.5" customHeight="1">
      <c r="A90" s="1664"/>
      <c r="B90" s="1665"/>
      <c r="C90" s="1665"/>
      <c r="D90" s="1665"/>
      <c r="E90" s="1665"/>
      <c r="F90" s="1665"/>
      <c r="G90" s="1665"/>
      <c r="H90" s="1665"/>
      <c r="I90" s="1665"/>
      <c r="J90" s="1665"/>
      <c r="K90" s="1665"/>
      <c r="L90" s="1665"/>
      <c r="M90" s="1665"/>
      <c r="N90" s="1665"/>
      <c r="O90" s="1665"/>
      <c r="P90" s="1665"/>
      <c r="Q90" s="1665"/>
      <c r="R90" s="1665"/>
      <c r="S90" s="1665"/>
    </row>
    <row r="91" spans="1:19" ht="13.5" customHeight="1" thickBot="1">
      <c r="A91" s="1649" t="s">
        <v>2364</v>
      </c>
      <c r="B91" s="1113"/>
      <c r="C91" s="1114"/>
      <c r="D91" s="1114"/>
      <c r="E91" s="1114"/>
      <c r="F91" s="1114"/>
      <c r="G91" s="1114"/>
      <c r="H91" s="1114"/>
      <c r="I91" s="1114"/>
      <c r="J91" s="1114"/>
      <c r="K91" s="1114"/>
      <c r="L91" s="1114"/>
      <c r="M91" s="1114"/>
      <c r="N91" s="1114"/>
      <c r="O91" s="1114"/>
      <c r="P91" s="1114"/>
      <c r="Q91" s="1114"/>
      <c r="R91" s="1115"/>
      <c r="S91" s="1115"/>
    </row>
    <row r="92" spans="1:19" ht="13.5" customHeight="1">
      <c r="A92" s="1650"/>
      <c r="B92" s="1116"/>
      <c r="C92" s="1115"/>
      <c r="D92" s="1115"/>
      <c r="E92" s="1115"/>
      <c r="F92" s="1115"/>
      <c r="G92" s="1115"/>
      <c r="H92" s="1115"/>
      <c r="I92" s="1115"/>
      <c r="J92" s="1115"/>
      <c r="K92" s="1115"/>
      <c r="L92" s="1115"/>
      <c r="M92" s="1115"/>
      <c r="N92" s="1115"/>
      <c r="O92" s="1115"/>
      <c r="P92" s="1115"/>
      <c r="Q92" s="1115"/>
      <c r="R92" s="1670" t="s">
        <v>2472</v>
      </c>
      <c r="S92" s="1666" t="s">
        <v>2473</v>
      </c>
    </row>
    <row r="93" spans="1:19" ht="13.5" customHeight="1" thickBot="1">
      <c r="A93" s="1649" t="s">
        <v>2367</v>
      </c>
      <c r="B93" s="1113"/>
      <c r="C93" s="1114"/>
      <c r="D93" s="1114"/>
      <c r="E93" s="1114"/>
      <c r="F93" s="1114"/>
      <c r="G93" s="1114"/>
      <c r="H93" s="1114"/>
      <c r="I93" s="1114"/>
      <c r="J93" s="1114"/>
      <c r="K93" s="1114"/>
      <c r="L93" s="1114"/>
      <c r="M93" s="1114"/>
      <c r="N93" s="1114"/>
      <c r="O93" s="1114"/>
      <c r="P93" s="1115"/>
      <c r="Q93" s="1115"/>
      <c r="R93" s="1671"/>
      <c r="S93" s="1667"/>
    </row>
    <row r="94" spans="1:19" ht="13.5" customHeight="1">
      <c r="A94" s="1650"/>
      <c r="B94" s="1116"/>
      <c r="C94" s="1115"/>
      <c r="D94" s="1115"/>
      <c r="E94" s="1115"/>
      <c r="F94" s="1115"/>
      <c r="G94" s="1115"/>
      <c r="H94" s="1115"/>
      <c r="I94" s="1115"/>
      <c r="J94" s="1115"/>
      <c r="K94" s="1115"/>
      <c r="L94" s="1115"/>
      <c r="M94" s="1115"/>
      <c r="N94" s="1115"/>
      <c r="O94" s="1115"/>
      <c r="P94" s="1670" t="s">
        <v>2472</v>
      </c>
      <c r="Q94" s="1666" t="s">
        <v>2474</v>
      </c>
      <c r="R94" s="1671"/>
      <c r="S94" s="1667"/>
    </row>
    <row r="95" spans="1:19" ht="13.5" customHeight="1" thickBot="1">
      <c r="A95" s="1649" t="s">
        <v>2369</v>
      </c>
      <c r="B95" s="1113"/>
      <c r="C95" s="1114"/>
      <c r="D95" s="1114"/>
      <c r="E95" s="1114"/>
      <c r="F95" s="1114"/>
      <c r="G95" s="1114"/>
      <c r="H95" s="1114"/>
      <c r="I95" s="1114"/>
      <c r="J95" s="1114"/>
      <c r="K95" s="1114"/>
      <c r="L95" s="1114"/>
      <c r="M95" s="1114"/>
      <c r="N95" s="1115"/>
      <c r="O95" s="1115"/>
      <c r="P95" s="1671"/>
      <c r="Q95" s="1667"/>
      <c r="R95" s="1671"/>
      <c r="S95" s="1668"/>
    </row>
    <row r="96" spans="1:19" ht="13.5" customHeight="1">
      <c r="A96" s="1650"/>
      <c r="B96" s="1116"/>
      <c r="C96" s="1115"/>
      <c r="D96" s="1115"/>
      <c r="E96" s="1115"/>
      <c r="F96" s="1115"/>
      <c r="G96" s="1115"/>
      <c r="H96" s="1115"/>
      <c r="I96" s="1115"/>
      <c r="J96" s="1115"/>
      <c r="K96" s="1115"/>
      <c r="L96" s="1115"/>
      <c r="M96" s="1115"/>
      <c r="N96" s="1670" t="s">
        <v>2472</v>
      </c>
      <c r="O96" s="1666" t="s">
        <v>2475</v>
      </c>
      <c r="P96" s="1671"/>
      <c r="Q96" s="1667"/>
      <c r="R96" s="1651" t="s">
        <v>2476</v>
      </c>
      <c r="S96" s="1654" t="s">
        <v>2370</v>
      </c>
    </row>
    <row r="97" spans="1:19" ht="13.5" customHeight="1" thickBot="1">
      <c r="A97" s="1649" t="s">
        <v>2371</v>
      </c>
      <c r="B97" s="1113"/>
      <c r="C97" s="1114"/>
      <c r="D97" s="1114"/>
      <c r="E97" s="1114"/>
      <c r="F97" s="1114"/>
      <c r="G97" s="1114"/>
      <c r="H97" s="1114"/>
      <c r="I97" s="1114"/>
      <c r="J97" s="1114"/>
      <c r="K97" s="1114"/>
      <c r="L97" s="1115"/>
      <c r="M97" s="1115"/>
      <c r="N97" s="1671"/>
      <c r="O97" s="1667"/>
      <c r="P97" s="1672"/>
      <c r="Q97" s="1668"/>
      <c r="R97" s="1652"/>
      <c r="S97" s="1655"/>
    </row>
    <row r="98" spans="1:19" ht="13.5" customHeight="1">
      <c r="A98" s="1650"/>
      <c r="B98" s="1116"/>
      <c r="C98" s="1115"/>
      <c r="D98" s="1115"/>
      <c r="E98" s="1115"/>
      <c r="F98" s="1115"/>
      <c r="G98" s="1115"/>
      <c r="H98" s="1115"/>
      <c r="I98" s="1115"/>
      <c r="J98" s="1115"/>
      <c r="K98" s="1115"/>
      <c r="L98" s="1670" t="s">
        <v>2472</v>
      </c>
      <c r="M98" s="1666" t="s">
        <v>2477</v>
      </c>
      <c r="N98" s="1671"/>
      <c r="O98" s="1667"/>
      <c r="P98" s="1670" t="s">
        <v>2478</v>
      </c>
      <c r="Q98" s="1670" t="s">
        <v>2479</v>
      </c>
      <c r="R98" s="1652"/>
      <c r="S98" s="1655"/>
    </row>
    <row r="99" spans="1:19" ht="13.5" customHeight="1" thickBot="1">
      <c r="A99" s="1649" t="s">
        <v>2373</v>
      </c>
      <c r="B99" s="1113"/>
      <c r="C99" s="1114"/>
      <c r="D99" s="1114"/>
      <c r="E99" s="1114"/>
      <c r="F99" s="1114"/>
      <c r="G99" s="1114"/>
      <c r="H99" s="1114"/>
      <c r="I99" s="1114"/>
      <c r="J99" s="1115"/>
      <c r="K99" s="1115"/>
      <c r="L99" s="1671"/>
      <c r="M99" s="1667"/>
      <c r="N99" s="1671"/>
      <c r="O99" s="1668"/>
      <c r="P99" s="1672"/>
      <c r="Q99" s="1672"/>
      <c r="R99" s="1652"/>
      <c r="S99" s="1656"/>
    </row>
    <row r="100" spans="1:19" ht="13.5" customHeight="1">
      <c r="A100" s="1650"/>
      <c r="B100" s="1116"/>
      <c r="C100" s="1115"/>
      <c r="D100" s="1115"/>
      <c r="E100" s="1115"/>
      <c r="F100" s="1115"/>
      <c r="G100" s="1115"/>
      <c r="H100" s="1115"/>
      <c r="I100" s="1115"/>
      <c r="J100" s="1670" t="s">
        <v>2472</v>
      </c>
      <c r="K100" s="1666" t="s">
        <v>2480</v>
      </c>
      <c r="L100" s="1671"/>
      <c r="M100" s="1667"/>
      <c r="N100" s="1651" t="s">
        <v>2476</v>
      </c>
      <c r="O100" s="1673" t="s">
        <v>2370</v>
      </c>
      <c r="P100" s="1654" t="s">
        <v>2449</v>
      </c>
      <c r="Q100" s="1654" t="s">
        <v>2450</v>
      </c>
      <c r="R100" s="1654" t="s">
        <v>2451</v>
      </c>
      <c r="S100" s="1654" t="s">
        <v>2376</v>
      </c>
    </row>
    <row r="101" spans="1:19" ht="13.5" customHeight="1" thickBot="1">
      <c r="A101" s="1649" t="s">
        <v>2377</v>
      </c>
      <c r="B101" s="1113"/>
      <c r="C101" s="1114"/>
      <c r="D101" s="1114"/>
      <c r="E101" s="1114"/>
      <c r="F101" s="1114"/>
      <c r="G101" s="1114"/>
      <c r="H101" s="1115"/>
      <c r="I101" s="1115"/>
      <c r="J101" s="1671"/>
      <c r="K101" s="1667"/>
      <c r="L101" s="1672"/>
      <c r="M101" s="1668"/>
      <c r="N101" s="1652"/>
      <c r="O101" s="1674"/>
      <c r="P101" s="1655"/>
      <c r="Q101" s="1655"/>
      <c r="R101" s="1655"/>
      <c r="S101" s="1655"/>
    </row>
    <row r="102" spans="1:19" ht="13.5" customHeight="1">
      <c r="A102" s="1650"/>
      <c r="B102" s="1116"/>
      <c r="C102" s="1115"/>
      <c r="D102" s="1115"/>
      <c r="E102" s="1115"/>
      <c r="F102" s="1115"/>
      <c r="G102" s="1115"/>
      <c r="H102" s="1670" t="s">
        <v>2472</v>
      </c>
      <c r="I102" s="1666" t="s">
        <v>2481</v>
      </c>
      <c r="J102" s="1671"/>
      <c r="K102" s="1667"/>
      <c r="L102" s="1670" t="s">
        <v>2478</v>
      </c>
      <c r="M102" s="1670" t="s">
        <v>2479</v>
      </c>
      <c r="N102" s="1652"/>
      <c r="O102" s="1674"/>
      <c r="P102" s="1655"/>
      <c r="Q102" s="1655"/>
      <c r="R102" s="1655"/>
      <c r="S102" s="1655"/>
    </row>
    <row r="103" spans="1:19" ht="13.5" customHeight="1" thickBot="1">
      <c r="A103" s="1649" t="s">
        <v>2378</v>
      </c>
      <c r="B103" s="1113"/>
      <c r="C103" s="1114"/>
      <c r="D103" s="1114"/>
      <c r="E103" s="1114"/>
      <c r="F103" s="1115"/>
      <c r="G103" s="1115"/>
      <c r="H103" s="1671"/>
      <c r="I103" s="1667"/>
      <c r="J103" s="1671"/>
      <c r="K103" s="1668"/>
      <c r="L103" s="1672"/>
      <c r="M103" s="1672"/>
      <c r="N103" s="1652"/>
      <c r="O103" s="1675"/>
      <c r="P103" s="1656"/>
      <c r="Q103" s="1656"/>
      <c r="R103" s="1656"/>
      <c r="S103" s="1656"/>
    </row>
    <row r="104" spans="1:19" ht="13.5" customHeight="1">
      <c r="A104" s="1650"/>
      <c r="B104" s="1116"/>
      <c r="C104" s="1115"/>
      <c r="D104" s="1115"/>
      <c r="E104" s="1115"/>
      <c r="F104" s="1666" t="s">
        <v>2472</v>
      </c>
      <c r="G104" s="1654" t="s">
        <v>2482</v>
      </c>
      <c r="H104" s="1671"/>
      <c r="I104" s="1667"/>
      <c r="J104" s="1651" t="s">
        <v>2476</v>
      </c>
      <c r="K104" s="1654" t="s">
        <v>2370</v>
      </c>
      <c r="L104" s="1654" t="s">
        <v>2449</v>
      </c>
      <c r="M104" s="1654" t="s">
        <v>2450</v>
      </c>
      <c r="N104" s="1654" t="s">
        <v>2451</v>
      </c>
      <c r="O104" s="1654" t="s">
        <v>2376</v>
      </c>
      <c r="P104" s="1654" t="s">
        <v>2454</v>
      </c>
      <c r="Q104" s="1654" t="s">
        <v>2382</v>
      </c>
      <c r="R104" s="1654" t="s">
        <v>2455</v>
      </c>
      <c r="S104" s="1654" t="s">
        <v>2384</v>
      </c>
    </row>
    <row r="105" spans="1:19" ht="13.5" customHeight="1" thickBot="1">
      <c r="A105" s="1649" t="s">
        <v>2385</v>
      </c>
      <c r="B105" s="1113"/>
      <c r="C105" s="1114"/>
      <c r="D105" s="1115"/>
      <c r="E105" s="1115"/>
      <c r="F105" s="1667"/>
      <c r="G105" s="1655"/>
      <c r="H105" s="1672"/>
      <c r="I105" s="1668"/>
      <c r="J105" s="1652"/>
      <c r="K105" s="1655"/>
      <c r="L105" s="1655"/>
      <c r="M105" s="1655"/>
      <c r="N105" s="1655"/>
      <c r="O105" s="1655"/>
      <c r="P105" s="1655"/>
      <c r="Q105" s="1655"/>
      <c r="R105" s="1655"/>
      <c r="S105" s="1655"/>
    </row>
    <row r="106" spans="1:19" ht="13.5" customHeight="1">
      <c r="A106" s="1650"/>
      <c r="B106" s="1116"/>
      <c r="C106" s="1115"/>
      <c r="D106" s="1654" t="s">
        <v>2456</v>
      </c>
      <c r="E106" s="1651" t="s">
        <v>2457</v>
      </c>
      <c r="F106" s="1667"/>
      <c r="G106" s="1655"/>
      <c r="H106" s="1670" t="s">
        <v>2478</v>
      </c>
      <c r="I106" s="1670" t="s">
        <v>2479</v>
      </c>
      <c r="J106" s="1652"/>
      <c r="K106" s="1655"/>
      <c r="L106" s="1655"/>
      <c r="M106" s="1655"/>
      <c r="N106" s="1655"/>
      <c r="O106" s="1655"/>
      <c r="P106" s="1655"/>
      <c r="Q106" s="1655"/>
      <c r="R106" s="1655"/>
      <c r="S106" s="1655"/>
    </row>
    <row r="107" spans="1:19" ht="13.5" customHeight="1" thickBot="1">
      <c r="A107" s="1649" t="s">
        <v>2388</v>
      </c>
      <c r="B107" s="1123"/>
      <c r="C107" s="1115"/>
      <c r="D107" s="1657"/>
      <c r="E107" s="1653"/>
      <c r="F107" s="1668"/>
      <c r="G107" s="1656"/>
      <c r="H107" s="1672"/>
      <c r="I107" s="1672"/>
      <c r="J107" s="1652"/>
      <c r="K107" s="1656"/>
      <c r="L107" s="1656"/>
      <c r="M107" s="1656"/>
      <c r="N107" s="1656"/>
      <c r="O107" s="1656"/>
      <c r="P107" s="1656"/>
      <c r="Q107" s="1656"/>
      <c r="R107" s="1656"/>
      <c r="S107" s="1656"/>
    </row>
    <row r="108" spans="1:19" ht="13.5" customHeight="1">
      <c r="A108" s="1650"/>
      <c r="B108" s="1666" t="s">
        <v>2458</v>
      </c>
      <c r="C108" s="1654" t="s">
        <v>2453</v>
      </c>
      <c r="D108" s="1657"/>
      <c r="E108" s="1654" t="s">
        <v>2448</v>
      </c>
      <c r="F108" s="1666" t="s">
        <v>2498</v>
      </c>
      <c r="G108" s="1654" t="s">
        <v>2483</v>
      </c>
      <c r="H108" s="1666" t="s">
        <v>2459</v>
      </c>
      <c r="I108" s="1654" t="s">
        <v>2460</v>
      </c>
      <c r="J108" s="1666" t="s">
        <v>2461</v>
      </c>
      <c r="K108" s="1654" t="s">
        <v>2462</v>
      </c>
      <c r="L108" s="1666" t="s">
        <v>2463</v>
      </c>
      <c r="M108" s="1654" t="s">
        <v>2464</v>
      </c>
      <c r="N108" s="1666" t="s">
        <v>2465</v>
      </c>
      <c r="O108" s="1654" t="s">
        <v>2466</v>
      </c>
      <c r="P108" s="1666" t="s">
        <v>2467</v>
      </c>
      <c r="Q108" s="1654" t="s">
        <v>2468</v>
      </c>
      <c r="R108" s="1666" t="s">
        <v>2469</v>
      </c>
      <c r="S108" s="1654" t="s">
        <v>2470</v>
      </c>
    </row>
    <row r="109" spans="1:19" ht="13.5" customHeight="1">
      <c r="A109" s="1118"/>
      <c r="B109" s="1667"/>
      <c r="C109" s="1655"/>
      <c r="D109" s="1657"/>
      <c r="E109" s="1655"/>
      <c r="F109" s="1667"/>
      <c r="G109" s="1655"/>
      <c r="H109" s="1667"/>
      <c r="I109" s="1655"/>
      <c r="J109" s="1667"/>
      <c r="K109" s="1655"/>
      <c r="L109" s="1667"/>
      <c r="M109" s="1655"/>
      <c r="N109" s="1667"/>
      <c r="O109" s="1655"/>
      <c r="P109" s="1667"/>
      <c r="Q109" s="1655"/>
      <c r="R109" s="1667"/>
      <c r="S109" s="1655"/>
    </row>
    <row r="110" spans="1:19" ht="13.5" customHeight="1">
      <c r="A110" s="1119"/>
      <c r="B110" s="1667"/>
      <c r="C110" s="1655"/>
      <c r="D110" s="1657"/>
      <c r="E110" s="1655"/>
      <c r="F110" s="1667"/>
      <c r="G110" s="1655"/>
      <c r="H110" s="1667"/>
      <c r="I110" s="1655"/>
      <c r="J110" s="1667"/>
      <c r="K110" s="1655"/>
      <c r="L110" s="1667"/>
      <c r="M110" s="1655"/>
      <c r="N110" s="1667"/>
      <c r="O110" s="1655"/>
      <c r="P110" s="1667"/>
      <c r="Q110" s="1655"/>
      <c r="R110" s="1667"/>
      <c r="S110" s="1655"/>
    </row>
    <row r="111" spans="1:19" ht="13.5" customHeight="1" thickBot="1">
      <c r="A111" s="1119"/>
      <c r="B111" s="1668"/>
      <c r="C111" s="1656"/>
      <c r="D111" s="1658"/>
      <c r="E111" s="1656"/>
      <c r="F111" s="1668"/>
      <c r="G111" s="1656"/>
      <c r="H111" s="1668"/>
      <c r="I111" s="1656"/>
      <c r="J111" s="1668"/>
      <c r="K111" s="1656"/>
      <c r="L111" s="1668"/>
      <c r="M111" s="1656"/>
      <c r="N111" s="1668"/>
      <c r="O111" s="1656"/>
      <c r="P111" s="1668"/>
      <c r="Q111" s="1656"/>
      <c r="R111" s="1668"/>
      <c r="S111" s="1656"/>
    </row>
    <row r="112" spans="1:19" ht="13.5" customHeight="1">
      <c r="A112" s="1125"/>
      <c r="B112" s="1669" t="s">
        <v>2405</v>
      </c>
      <c r="C112" s="1669"/>
      <c r="D112" s="1669" t="s">
        <v>2385</v>
      </c>
      <c r="E112" s="1669"/>
      <c r="F112" s="1669" t="s">
        <v>2406</v>
      </c>
      <c r="G112" s="1669"/>
      <c r="H112" s="1669" t="s">
        <v>2377</v>
      </c>
      <c r="I112" s="1669"/>
      <c r="J112" s="1669" t="s">
        <v>2407</v>
      </c>
      <c r="K112" s="1669"/>
      <c r="L112" s="1669" t="s">
        <v>2371</v>
      </c>
      <c r="M112" s="1669"/>
      <c r="N112" s="1669" t="s">
        <v>2408</v>
      </c>
      <c r="O112" s="1669"/>
      <c r="P112" s="1669" t="s">
        <v>2367</v>
      </c>
      <c r="Q112" s="1669"/>
      <c r="R112" s="1669" t="s">
        <v>2409</v>
      </c>
      <c r="S112" s="1669"/>
    </row>
  </sheetData>
  <mergeCells count="327">
    <mergeCell ref="B59:C59"/>
    <mergeCell ref="D59:E59"/>
    <mergeCell ref="F59:G59"/>
    <mergeCell ref="H59:I59"/>
    <mergeCell ref="J59:K59"/>
    <mergeCell ref="L59:M59"/>
    <mergeCell ref="N59:O59"/>
    <mergeCell ref="P59:Q59"/>
    <mergeCell ref="R59:S59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O51:O54"/>
    <mergeCell ref="P51:P54"/>
    <mergeCell ref="Q51:Q54"/>
    <mergeCell ref="R51:R54"/>
    <mergeCell ref="S51:S54"/>
    <mergeCell ref="D53:D54"/>
    <mergeCell ref="B55:C55"/>
    <mergeCell ref="D55:E55"/>
    <mergeCell ref="F55:G55"/>
    <mergeCell ref="H55:I55"/>
    <mergeCell ref="J55:K55"/>
    <mergeCell ref="L55:M55"/>
    <mergeCell ref="N55:O55"/>
    <mergeCell ref="P55:Q55"/>
    <mergeCell ref="R55:S55"/>
    <mergeCell ref="N47:N50"/>
    <mergeCell ref="O47:O50"/>
    <mergeCell ref="P47:P50"/>
    <mergeCell ref="Q47:Q50"/>
    <mergeCell ref="R47:R50"/>
    <mergeCell ref="S47:S50"/>
    <mergeCell ref="A48:A49"/>
    <mergeCell ref="D49:D52"/>
    <mergeCell ref="E49:E50"/>
    <mergeCell ref="H49:H50"/>
    <mergeCell ref="I49:I50"/>
    <mergeCell ref="A50:A51"/>
    <mergeCell ref="B51:B54"/>
    <mergeCell ref="C51:C54"/>
    <mergeCell ref="E51:E54"/>
    <mergeCell ref="F51:F54"/>
    <mergeCell ref="G51:G54"/>
    <mergeCell ref="H51:H54"/>
    <mergeCell ref="I51:I54"/>
    <mergeCell ref="J51:J54"/>
    <mergeCell ref="K51:K54"/>
    <mergeCell ref="L51:L54"/>
    <mergeCell ref="M51:M54"/>
    <mergeCell ref="N51:N54"/>
    <mergeCell ref="I45:I48"/>
    <mergeCell ref="L45:L46"/>
    <mergeCell ref="M45:M46"/>
    <mergeCell ref="A46:A47"/>
    <mergeCell ref="F47:F50"/>
    <mergeCell ref="G47:G50"/>
    <mergeCell ref="J47:J50"/>
    <mergeCell ref="K47:K50"/>
    <mergeCell ref="L47:L50"/>
    <mergeCell ref="M47:M50"/>
    <mergeCell ref="A32:S33"/>
    <mergeCell ref="A34:A35"/>
    <mergeCell ref="R35:R38"/>
    <mergeCell ref="S35:S38"/>
    <mergeCell ref="A36:A37"/>
    <mergeCell ref="P37:P40"/>
    <mergeCell ref="Q37:Q40"/>
    <mergeCell ref="A38:A39"/>
    <mergeCell ref="N39:N42"/>
    <mergeCell ref="O39:O42"/>
    <mergeCell ref="R39:R42"/>
    <mergeCell ref="S39:S42"/>
    <mergeCell ref="A40:A41"/>
    <mergeCell ref="L41:L44"/>
    <mergeCell ref="M41:M44"/>
    <mergeCell ref="P41:P42"/>
    <mergeCell ref="Q41:Q42"/>
    <mergeCell ref="A42:A43"/>
    <mergeCell ref="J43:J46"/>
    <mergeCell ref="K43:K46"/>
    <mergeCell ref="N43:N46"/>
    <mergeCell ref="O43:O46"/>
    <mergeCell ref="A44:A45"/>
    <mergeCell ref="H45:H48"/>
    <mergeCell ref="P112:Q112"/>
    <mergeCell ref="R112:S112"/>
    <mergeCell ref="O108:O111"/>
    <mergeCell ref="P108:P111"/>
    <mergeCell ref="Q108:Q111"/>
    <mergeCell ref="R108:R111"/>
    <mergeCell ref="S108:S111"/>
    <mergeCell ref="M108:M111"/>
    <mergeCell ref="N108:N111"/>
    <mergeCell ref="J104:J107"/>
    <mergeCell ref="K104:K107"/>
    <mergeCell ref="L104:L107"/>
    <mergeCell ref="M104:M107"/>
    <mergeCell ref="N104:N107"/>
    <mergeCell ref="O104:O107"/>
    <mergeCell ref="B112:C112"/>
    <mergeCell ref="D112:E112"/>
    <mergeCell ref="F112:G112"/>
    <mergeCell ref="H112:I112"/>
    <mergeCell ref="J112:K112"/>
    <mergeCell ref="I108:I111"/>
    <mergeCell ref="J108:J111"/>
    <mergeCell ref="K108:K111"/>
    <mergeCell ref="L108:L111"/>
    <mergeCell ref="B108:B111"/>
    <mergeCell ref="C108:C111"/>
    <mergeCell ref="E108:E111"/>
    <mergeCell ref="F108:F111"/>
    <mergeCell ref="G108:G111"/>
    <mergeCell ref="H108:H111"/>
    <mergeCell ref="L112:M112"/>
    <mergeCell ref="N112:O112"/>
    <mergeCell ref="Q94:Q97"/>
    <mergeCell ref="A95:A96"/>
    <mergeCell ref="N96:N99"/>
    <mergeCell ref="O96:O99"/>
    <mergeCell ref="R100:R103"/>
    <mergeCell ref="S100:S103"/>
    <mergeCell ref="A101:A102"/>
    <mergeCell ref="H102:H105"/>
    <mergeCell ref="I102:I105"/>
    <mergeCell ref="L102:L103"/>
    <mergeCell ref="M102:M103"/>
    <mergeCell ref="A103:A104"/>
    <mergeCell ref="F104:F107"/>
    <mergeCell ref="G104:G107"/>
    <mergeCell ref="P104:P107"/>
    <mergeCell ref="Q104:Q107"/>
    <mergeCell ref="R104:R107"/>
    <mergeCell ref="S104:S107"/>
    <mergeCell ref="A105:A106"/>
    <mergeCell ref="D106:D111"/>
    <mergeCell ref="E106:E107"/>
    <mergeCell ref="H106:H107"/>
    <mergeCell ref="I106:I107"/>
    <mergeCell ref="A107:A108"/>
    <mergeCell ref="R96:R99"/>
    <mergeCell ref="S96:S99"/>
    <mergeCell ref="A97:A98"/>
    <mergeCell ref="L98:L101"/>
    <mergeCell ref="M98:M101"/>
    <mergeCell ref="P98:P99"/>
    <mergeCell ref="L84:M84"/>
    <mergeCell ref="N84:O84"/>
    <mergeCell ref="P84:Q84"/>
    <mergeCell ref="R84:S84"/>
    <mergeCell ref="A89:S90"/>
    <mergeCell ref="A91:A92"/>
    <mergeCell ref="R92:R95"/>
    <mergeCell ref="S92:S95"/>
    <mergeCell ref="A93:A94"/>
    <mergeCell ref="P94:P97"/>
    <mergeCell ref="Q98:Q99"/>
    <mergeCell ref="A99:A100"/>
    <mergeCell ref="J100:J103"/>
    <mergeCell ref="K100:K103"/>
    <mergeCell ref="N100:N103"/>
    <mergeCell ref="O100:O103"/>
    <mergeCell ref="P100:P103"/>
    <mergeCell ref="Q100:Q103"/>
    <mergeCell ref="R76:R79"/>
    <mergeCell ref="O80:O83"/>
    <mergeCell ref="P80:P83"/>
    <mergeCell ref="Q80:Q83"/>
    <mergeCell ref="R80:R83"/>
    <mergeCell ref="S80:S83"/>
    <mergeCell ref="B84:C84"/>
    <mergeCell ref="D84:E84"/>
    <mergeCell ref="F84:G84"/>
    <mergeCell ref="H84:I84"/>
    <mergeCell ref="J84:K84"/>
    <mergeCell ref="I80:I83"/>
    <mergeCell ref="J80:J83"/>
    <mergeCell ref="K80:K83"/>
    <mergeCell ref="L80:L83"/>
    <mergeCell ref="M80:M83"/>
    <mergeCell ref="N80:N83"/>
    <mergeCell ref="C80:C83"/>
    <mergeCell ref="E80:E83"/>
    <mergeCell ref="G80:G83"/>
    <mergeCell ref="H80:H83"/>
    <mergeCell ref="M76:M79"/>
    <mergeCell ref="N76:N79"/>
    <mergeCell ref="O76:O79"/>
    <mergeCell ref="P76:P79"/>
    <mergeCell ref="Q76:Q79"/>
    <mergeCell ref="A71:A72"/>
    <mergeCell ref="J72:J79"/>
    <mergeCell ref="S72:S75"/>
    <mergeCell ref="A73:A74"/>
    <mergeCell ref="H74:H79"/>
    <mergeCell ref="I74:I75"/>
    <mergeCell ref="A75:A76"/>
    <mergeCell ref="F76:F83"/>
    <mergeCell ref="G76:G79"/>
    <mergeCell ref="I76:I79"/>
    <mergeCell ref="K76:K79"/>
    <mergeCell ref="L76:L79"/>
    <mergeCell ref="K72:K75"/>
    <mergeCell ref="M72:M75"/>
    <mergeCell ref="O72:O75"/>
    <mergeCell ref="P72:P75"/>
    <mergeCell ref="Q72:Q75"/>
    <mergeCell ref="R72:R75"/>
    <mergeCell ref="S76:S79"/>
    <mergeCell ref="A77:A78"/>
    <mergeCell ref="D78:D83"/>
    <mergeCell ref="E78:E79"/>
    <mergeCell ref="A79:A80"/>
    <mergeCell ref="B80:B83"/>
    <mergeCell ref="N28:O28"/>
    <mergeCell ref="P28:Q28"/>
    <mergeCell ref="R28:S28"/>
    <mergeCell ref="A61:S62"/>
    <mergeCell ref="A63:A64"/>
    <mergeCell ref="R64:R71"/>
    <mergeCell ref="S64:S67"/>
    <mergeCell ref="A65:A66"/>
    <mergeCell ref="P66:P71"/>
    <mergeCell ref="Q66:Q67"/>
    <mergeCell ref="B28:C28"/>
    <mergeCell ref="D28:E28"/>
    <mergeCell ref="F28:G28"/>
    <mergeCell ref="H28:I28"/>
    <mergeCell ref="J28:K28"/>
    <mergeCell ref="L28:M28"/>
    <mergeCell ref="A67:A68"/>
    <mergeCell ref="N68:N75"/>
    <mergeCell ref="O68:O71"/>
    <mergeCell ref="Q68:Q71"/>
    <mergeCell ref="S68:S71"/>
    <mergeCell ref="A69:A70"/>
    <mergeCell ref="L70:L75"/>
    <mergeCell ref="M70:M71"/>
    <mergeCell ref="R24:S24"/>
    <mergeCell ref="B27:C27"/>
    <mergeCell ref="D27:E27"/>
    <mergeCell ref="F27:G27"/>
    <mergeCell ref="H27:I27"/>
    <mergeCell ref="J27:K27"/>
    <mergeCell ref="L27:M27"/>
    <mergeCell ref="N27:O27"/>
    <mergeCell ref="P27:Q27"/>
    <mergeCell ref="R27:S27"/>
    <mergeCell ref="B24:C24"/>
    <mergeCell ref="D24:E24"/>
    <mergeCell ref="F24:G24"/>
    <mergeCell ref="H24:I24"/>
    <mergeCell ref="J24:K24"/>
    <mergeCell ref="L24:M24"/>
    <mergeCell ref="N24:O24"/>
    <mergeCell ref="P24:Q24"/>
    <mergeCell ref="P43:P46"/>
    <mergeCell ref="Q43:Q46"/>
    <mergeCell ref="R43:R46"/>
    <mergeCell ref="S43:S46"/>
    <mergeCell ref="L20:L23"/>
    <mergeCell ref="M20:M23"/>
    <mergeCell ref="N20:N23"/>
    <mergeCell ref="O20:O23"/>
    <mergeCell ref="P20:P23"/>
    <mergeCell ref="Q20:Q23"/>
    <mergeCell ref="E20:E23"/>
    <mergeCell ref="G20:G23"/>
    <mergeCell ref="H20:H23"/>
    <mergeCell ref="I20:I23"/>
    <mergeCell ref="J20:J23"/>
    <mergeCell ref="K20:K23"/>
    <mergeCell ref="H14:H19"/>
    <mergeCell ref="I14:I17"/>
    <mergeCell ref="M14:M15"/>
    <mergeCell ref="A15:A16"/>
    <mergeCell ref="F16:F23"/>
    <mergeCell ref="G16:G19"/>
    <mergeCell ref="Q16:Q19"/>
    <mergeCell ref="R16:R19"/>
    <mergeCell ref="S16:S19"/>
    <mergeCell ref="A17:A18"/>
    <mergeCell ref="D18:D23"/>
    <mergeCell ref="E18:E19"/>
    <mergeCell ref="I18:I19"/>
    <mergeCell ref="A19:A20"/>
    <mergeCell ref="B20:B23"/>
    <mergeCell ref="C20:C23"/>
    <mergeCell ref="K16:K19"/>
    <mergeCell ref="L16:L19"/>
    <mergeCell ref="M16:M19"/>
    <mergeCell ref="N16:N19"/>
    <mergeCell ref="O16:O19"/>
    <mergeCell ref="P16:P19"/>
    <mergeCell ref="R20:R23"/>
    <mergeCell ref="S20:S23"/>
    <mergeCell ref="A1:S2"/>
    <mergeCell ref="A3:A4"/>
    <mergeCell ref="R4:R11"/>
    <mergeCell ref="S4:S7"/>
    <mergeCell ref="A5:A6"/>
    <mergeCell ref="P6:P11"/>
    <mergeCell ref="Q6:Q9"/>
    <mergeCell ref="A7:A8"/>
    <mergeCell ref="N8:N15"/>
    <mergeCell ref="O8:O11"/>
    <mergeCell ref="S8:S11"/>
    <mergeCell ref="A9:A10"/>
    <mergeCell ref="L10:L15"/>
    <mergeCell ref="M10:M13"/>
    <mergeCell ref="Q10:Q11"/>
    <mergeCell ref="A11:A12"/>
    <mergeCell ref="J12:J19"/>
    <mergeCell ref="K12:K15"/>
    <mergeCell ref="O12:O15"/>
    <mergeCell ref="P12:P15"/>
    <mergeCell ref="Q12:Q15"/>
    <mergeCell ref="R12:R15"/>
    <mergeCell ref="S12:S15"/>
    <mergeCell ref="A13:A14"/>
  </mergeCells>
  <phoneticPr fontId="13" type="noConversion"/>
  <pageMargins left="0.7" right="0.7" top="0.75" bottom="0.75" header="0.3" footer="0.3"/>
  <pageSetup scale="68" fitToHeight="0" orientation="landscape" r:id="rId1"/>
  <rowBreaks count="3" manualBreakCount="3">
    <brk id="31" max="19" man="1"/>
    <brk id="60" max="16383" man="1"/>
    <brk id="87" max="16383" man="1"/>
  </rowBreaks>
  <colBreaks count="1" manualBreakCount="1">
    <brk id="1" max="1048575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B2C06-7350-4ECA-8CE1-5FE39A7EBA7F}">
  <sheetPr codeName="Sheet8"/>
  <dimension ref="A1:BC139"/>
  <sheetViews>
    <sheetView view="pageBreakPreview" topLeftCell="A97" zoomScale="120" zoomScaleNormal="140" zoomScaleSheetLayoutView="120" workbookViewId="0">
      <selection activeCell="AB59" sqref="AB59"/>
    </sheetView>
  </sheetViews>
  <sheetFormatPr defaultColWidth="8.75" defaultRowHeight="15"/>
  <cols>
    <col min="1" max="37" width="3.125" style="1128" customWidth="1"/>
    <col min="38" max="38" width="3" style="1128" customWidth="1"/>
    <col min="39" max="39" width="3.25" style="1128" customWidth="1"/>
    <col min="40" max="40" width="3.25" style="1130" customWidth="1"/>
    <col min="41" max="41" width="3.25" style="1128" customWidth="1"/>
    <col min="42" max="42" width="3.25" style="1131" customWidth="1"/>
    <col min="43" max="43" width="3.125" style="1131" customWidth="1"/>
    <col min="44" max="44" width="4" style="1131" customWidth="1"/>
    <col min="45" max="45" width="3.125" style="1131" customWidth="1"/>
    <col min="46" max="52" width="3.125" style="1128" customWidth="1"/>
    <col min="53" max="58" width="2.875" style="1128" customWidth="1"/>
    <col min="59" max="16384" width="8.75" style="1128"/>
  </cols>
  <sheetData>
    <row r="1" spans="1:55" ht="26.25">
      <c r="A1" s="1126" t="s">
        <v>1211</v>
      </c>
      <c r="B1" s="1127"/>
      <c r="C1" s="1127"/>
      <c r="D1" s="1127"/>
      <c r="E1" s="1127"/>
      <c r="F1" s="1127"/>
      <c r="G1" s="1127"/>
      <c r="H1" s="1127"/>
      <c r="I1" s="1127"/>
      <c r="J1" s="1127"/>
      <c r="K1" s="1127"/>
      <c r="L1" s="1127"/>
      <c r="M1" s="1127"/>
      <c r="N1" s="1127"/>
      <c r="O1" s="1127"/>
      <c r="P1" s="1127"/>
      <c r="Q1" s="1127"/>
      <c r="R1" s="1127"/>
      <c r="S1" s="1127"/>
      <c r="T1" s="1127"/>
      <c r="U1" s="1127"/>
      <c r="V1" s="1127"/>
      <c r="W1" s="1127"/>
      <c r="AM1" s="1129" t="s">
        <v>1212</v>
      </c>
    </row>
    <row r="2" spans="1:55">
      <c r="A2" s="1127"/>
      <c r="B2" s="1127"/>
      <c r="C2" s="1127" t="s">
        <v>1213</v>
      </c>
      <c r="F2" s="1127"/>
      <c r="G2" s="1127"/>
      <c r="H2" s="1127"/>
      <c r="I2" s="1127"/>
      <c r="J2" s="1127"/>
      <c r="K2" s="1127"/>
      <c r="L2" s="1127"/>
      <c r="M2" s="1127"/>
      <c r="N2" s="1127"/>
      <c r="T2" s="1127"/>
      <c r="Z2" s="1127"/>
      <c r="AR2" s="1128"/>
      <c r="AS2" s="1127"/>
      <c r="AY2" s="1132"/>
      <c r="AZ2" s="1133"/>
      <c r="BA2" s="1134"/>
      <c r="BB2" s="1132"/>
      <c r="BC2" s="1133"/>
    </row>
    <row r="3" spans="1:55">
      <c r="A3" s="1127"/>
      <c r="B3" s="1127"/>
      <c r="C3" s="1127" t="s">
        <v>1214</v>
      </c>
      <c r="F3" s="1127"/>
      <c r="G3" s="1127"/>
      <c r="H3" s="1127"/>
      <c r="I3" s="1127"/>
      <c r="J3" s="1127"/>
      <c r="K3" s="1127"/>
      <c r="L3" s="1127"/>
      <c r="M3" s="1127"/>
      <c r="N3" s="1127"/>
      <c r="T3" s="1127"/>
      <c r="Z3" s="1127"/>
      <c r="AR3" s="1128"/>
      <c r="AS3" s="1132"/>
      <c r="AT3" s="1133"/>
      <c r="AU3" s="1134"/>
      <c r="AV3" s="1132"/>
      <c r="AW3" s="1133"/>
      <c r="AY3" s="1135"/>
      <c r="AZ3" s="1136"/>
      <c r="BA3" s="1127"/>
      <c r="BB3" s="1135"/>
      <c r="BC3" s="1136"/>
    </row>
    <row r="4" spans="1:55">
      <c r="A4" s="1127"/>
      <c r="B4" s="1127"/>
      <c r="C4" s="1127" t="s">
        <v>1215</v>
      </c>
      <c r="H4" s="1127"/>
      <c r="I4" s="1127"/>
      <c r="J4" s="1127"/>
      <c r="K4" s="1127"/>
      <c r="L4" s="1127"/>
      <c r="M4" s="1127"/>
      <c r="N4" s="1127"/>
      <c r="T4" s="1127"/>
      <c r="Z4" s="1127"/>
      <c r="AM4" s="1132"/>
      <c r="AN4" s="1133"/>
      <c r="AO4" s="1134"/>
      <c r="AP4" s="1132"/>
      <c r="AQ4" s="1133"/>
      <c r="AR4" s="1128"/>
      <c r="AS4" s="1135"/>
      <c r="AT4" s="1136"/>
      <c r="AU4" s="1134"/>
      <c r="AV4" s="1135"/>
      <c r="AW4" s="1136"/>
      <c r="AY4" s="1135"/>
      <c r="AZ4" s="1136"/>
      <c r="BA4" s="1134"/>
      <c r="BB4" s="1135"/>
      <c r="BC4" s="1136"/>
    </row>
    <row r="5" spans="1:55">
      <c r="A5" s="1127"/>
      <c r="B5" s="1127"/>
      <c r="C5" s="1127" t="s">
        <v>1216</v>
      </c>
      <c r="F5" s="1127"/>
      <c r="G5" s="1127"/>
      <c r="H5" s="1127"/>
      <c r="I5" s="1127"/>
      <c r="J5" s="1127"/>
      <c r="K5" s="1127"/>
      <c r="L5" s="1127"/>
      <c r="M5" s="1127"/>
      <c r="N5" s="1127"/>
      <c r="T5" s="1127"/>
      <c r="Z5" s="1127"/>
      <c r="AG5" s="1132"/>
      <c r="AH5" s="1133"/>
      <c r="AI5" s="1134"/>
      <c r="AJ5" s="1132"/>
      <c r="AK5" s="1133"/>
      <c r="AM5" s="1135"/>
      <c r="AN5" s="1136"/>
      <c r="AO5" s="1127"/>
      <c r="AP5" s="1135"/>
      <c r="AQ5" s="1136"/>
      <c r="AR5" s="1128"/>
      <c r="AS5" s="1137"/>
      <c r="AT5" s="1138"/>
      <c r="AU5" s="1139"/>
      <c r="AV5" s="1137"/>
      <c r="AW5" s="1138"/>
      <c r="AY5" s="1137"/>
      <c r="AZ5" s="1138"/>
      <c r="BA5" s="1139"/>
      <c r="BB5" s="1137"/>
      <c r="BC5" s="1138"/>
    </row>
    <row r="6" spans="1:55">
      <c r="A6" s="1127"/>
      <c r="B6" s="1127"/>
      <c r="C6" s="1127" t="s">
        <v>1217</v>
      </c>
      <c r="F6" s="1127"/>
      <c r="G6" s="1127"/>
      <c r="H6" s="1127"/>
      <c r="I6" s="1127"/>
      <c r="J6" s="1127"/>
      <c r="K6" s="1127"/>
      <c r="L6" s="1127"/>
      <c r="M6" s="1127"/>
      <c r="N6" s="1127"/>
      <c r="O6" s="1127"/>
      <c r="P6" s="1127"/>
      <c r="Q6" s="1127"/>
      <c r="R6" s="1127"/>
      <c r="S6" s="1127"/>
      <c r="T6" s="1127"/>
      <c r="Z6" s="1127"/>
      <c r="AA6" s="1132"/>
      <c r="AB6" s="1133"/>
      <c r="AC6" s="1134"/>
      <c r="AD6" s="1132"/>
      <c r="AE6" s="1133"/>
      <c r="AG6" s="1135"/>
      <c r="AH6" s="1136"/>
      <c r="AI6" s="1134"/>
      <c r="AJ6" s="1135"/>
      <c r="AK6" s="1136"/>
      <c r="AM6" s="1135"/>
      <c r="AN6" s="1136"/>
      <c r="AO6" s="1134"/>
      <c r="AP6" s="1135"/>
      <c r="AQ6" s="1136"/>
      <c r="AR6" s="1128"/>
      <c r="AS6" s="1141"/>
      <c r="AT6" s="1136"/>
      <c r="AU6" s="1136"/>
      <c r="AV6" s="1135"/>
      <c r="AW6" s="1136"/>
      <c r="AY6" s="1141"/>
      <c r="AZ6" s="1136"/>
      <c r="BA6" s="1136"/>
      <c r="BB6" s="1135"/>
      <c r="BC6" s="1136"/>
    </row>
    <row r="7" spans="1:55">
      <c r="A7" s="1127"/>
      <c r="B7" s="1127"/>
      <c r="C7" s="1127" t="s">
        <v>1218</v>
      </c>
      <c r="H7" s="1127"/>
      <c r="I7" s="1127"/>
      <c r="J7" s="1127"/>
      <c r="K7" s="1127"/>
      <c r="L7" s="1127"/>
      <c r="M7" s="1127"/>
      <c r="O7" s="1127"/>
      <c r="P7" s="1127"/>
      <c r="T7" s="1127"/>
      <c r="U7" s="1132"/>
      <c r="V7" s="1134"/>
      <c r="W7" s="1132"/>
      <c r="X7" s="1132"/>
      <c r="Y7" s="1133"/>
      <c r="Z7" s="1127"/>
      <c r="AA7" s="1135"/>
      <c r="AB7" s="1136"/>
      <c r="AC7" s="1127"/>
      <c r="AD7" s="1135"/>
      <c r="AE7" s="1136"/>
      <c r="AG7" s="1137"/>
      <c r="AH7" s="1138"/>
      <c r="AI7" s="1139"/>
      <c r="AJ7" s="1137"/>
      <c r="AK7" s="1138"/>
      <c r="AM7" s="1137"/>
      <c r="AN7" s="1138"/>
      <c r="AO7" s="1139"/>
      <c r="AP7" s="1137"/>
      <c r="AQ7" s="1138"/>
      <c r="AR7" s="1128"/>
      <c r="AS7" s="1137"/>
      <c r="AT7" s="1138"/>
      <c r="AU7" s="1138"/>
      <c r="AV7" s="1137"/>
      <c r="AW7" s="1138"/>
      <c r="AY7" s="1137"/>
      <c r="AZ7" s="1138"/>
      <c r="BA7" s="1138"/>
      <c r="BB7" s="1137"/>
      <c r="BC7" s="1138"/>
    </row>
    <row r="8" spans="1:55">
      <c r="A8" s="1127"/>
      <c r="B8" s="1127"/>
      <c r="C8" s="1127" t="s">
        <v>1703</v>
      </c>
      <c r="D8" s="1130"/>
      <c r="F8" s="1131"/>
      <c r="G8" s="1131"/>
      <c r="H8" s="1127"/>
      <c r="I8" s="1127"/>
      <c r="K8" s="1127"/>
      <c r="L8" s="1127"/>
      <c r="M8" s="1127"/>
      <c r="O8" s="1132"/>
      <c r="P8" s="1134"/>
      <c r="Q8" s="1140"/>
      <c r="R8" s="1134"/>
      <c r="S8" s="1133"/>
      <c r="T8" s="1127"/>
      <c r="U8" s="1135"/>
      <c r="V8" s="1127"/>
      <c r="W8" s="1140"/>
      <c r="X8" s="1135"/>
      <c r="Y8" s="1136"/>
      <c r="Z8" s="1127"/>
      <c r="AA8" s="1135"/>
      <c r="AB8" s="1136"/>
      <c r="AC8" s="1134"/>
      <c r="AD8" s="1135"/>
      <c r="AE8" s="1136"/>
      <c r="AG8" s="1141"/>
      <c r="AH8" s="1136"/>
      <c r="AI8" s="1136"/>
      <c r="AJ8" s="1135"/>
      <c r="AK8" s="1136"/>
      <c r="AM8" s="1135"/>
      <c r="AN8" s="1136"/>
      <c r="AO8" s="1136"/>
      <c r="AP8" s="1135"/>
      <c r="AQ8" s="1136"/>
      <c r="AR8" s="1128"/>
      <c r="AS8" s="1135"/>
      <c r="AT8" s="1136"/>
      <c r="AU8" s="1136"/>
      <c r="AV8" s="1135"/>
      <c r="AW8" s="1136"/>
      <c r="AY8" s="1135"/>
      <c r="AZ8" s="1136"/>
      <c r="BA8" s="1136"/>
      <c r="BB8" s="1135"/>
      <c r="BC8" s="1136"/>
    </row>
    <row r="9" spans="1:55">
      <c r="A9" s="1127"/>
      <c r="B9" s="1127"/>
      <c r="C9" s="1127" t="s">
        <v>1704</v>
      </c>
      <c r="E9" s="1127"/>
      <c r="F9" s="1127"/>
      <c r="G9" s="1127"/>
      <c r="H9" s="1127"/>
      <c r="I9" s="1132"/>
      <c r="J9" s="1134"/>
      <c r="K9" s="1132"/>
      <c r="L9" s="1132"/>
      <c r="M9" s="1133"/>
      <c r="O9" s="1135"/>
      <c r="P9" s="1127"/>
      <c r="Q9" s="1142"/>
      <c r="R9" s="1127"/>
      <c r="S9" s="1136"/>
      <c r="T9" s="1127"/>
      <c r="U9" s="1137"/>
      <c r="V9" s="1139"/>
      <c r="W9" s="1143"/>
      <c r="X9" s="1137"/>
      <c r="Y9" s="1138"/>
      <c r="AA9" s="1137"/>
      <c r="AB9" s="1138"/>
      <c r="AC9" s="1139"/>
      <c r="AD9" s="1137"/>
      <c r="AE9" s="1138"/>
      <c r="AG9" s="1137"/>
      <c r="AH9" s="1138"/>
      <c r="AI9" s="1138"/>
      <c r="AJ9" s="1137"/>
      <c r="AK9" s="1138"/>
      <c r="AM9" s="1137"/>
      <c r="AN9" s="1138"/>
      <c r="AO9" s="1138"/>
      <c r="AP9" s="1137"/>
      <c r="AQ9" s="1138"/>
      <c r="AR9" s="1128"/>
      <c r="AS9" s="1137"/>
      <c r="AT9" s="1138"/>
      <c r="AU9" s="1138"/>
      <c r="AV9" s="1137"/>
      <c r="AW9" s="1138"/>
      <c r="AY9" s="1137"/>
      <c r="AZ9" s="1138"/>
      <c r="BA9" s="1138"/>
      <c r="BB9" s="1137"/>
      <c r="BC9" s="1138"/>
    </row>
    <row r="10" spans="1:55">
      <c r="A10" s="1127"/>
      <c r="B10" s="1127"/>
      <c r="C10" s="1132"/>
      <c r="D10" s="1133"/>
      <c r="E10" s="1140"/>
      <c r="F10" s="1134"/>
      <c r="G10" s="1133"/>
      <c r="H10" s="1127"/>
      <c r="I10" s="1135"/>
      <c r="J10" s="1127"/>
      <c r="K10" s="1135"/>
      <c r="L10" s="1135"/>
      <c r="M10" s="1136"/>
      <c r="O10" s="1135"/>
      <c r="P10" s="1127"/>
      <c r="Q10" s="1140"/>
      <c r="R10" s="1127"/>
      <c r="S10" s="1136"/>
      <c r="T10" s="1127"/>
      <c r="U10" s="1135"/>
      <c r="V10" s="1136"/>
      <c r="W10" s="1142"/>
      <c r="X10" s="1127"/>
      <c r="Y10" s="1136"/>
      <c r="AA10" s="1135"/>
      <c r="AB10" s="1136"/>
      <c r="AC10" s="1142"/>
      <c r="AD10" s="1127"/>
      <c r="AE10" s="1136"/>
      <c r="AF10" s="1127"/>
      <c r="AG10" s="1135"/>
      <c r="AH10" s="1136"/>
      <c r="AI10" s="1136"/>
      <c r="AJ10" s="1135"/>
      <c r="AK10" s="1136"/>
      <c r="AM10" s="1135"/>
      <c r="AN10" s="1136"/>
      <c r="AO10" s="1136"/>
      <c r="AP10" s="1135"/>
      <c r="AQ10" s="1136"/>
      <c r="AR10" s="1128"/>
      <c r="AS10" s="1135"/>
      <c r="AT10" s="1136"/>
      <c r="AU10" s="1136"/>
      <c r="AV10" s="1135"/>
      <c r="AW10" s="1136"/>
      <c r="AY10" s="1135"/>
      <c r="AZ10" s="1136"/>
      <c r="BA10" s="1136"/>
      <c r="BB10" s="1135"/>
      <c r="BC10" s="1136"/>
    </row>
    <row r="11" spans="1:55">
      <c r="A11" s="1127"/>
      <c r="B11" s="1127"/>
      <c r="C11" s="1137"/>
      <c r="D11" s="1138"/>
      <c r="E11" s="1143"/>
      <c r="F11" s="1139"/>
      <c r="G11" s="1138"/>
      <c r="H11" s="1144"/>
      <c r="I11" s="1137"/>
      <c r="J11" s="1139"/>
      <c r="K11" s="1137"/>
      <c r="L11" s="1137"/>
      <c r="M11" s="1138"/>
      <c r="N11" s="1144"/>
      <c r="O11" s="1137"/>
      <c r="P11" s="1139"/>
      <c r="Q11" s="1143"/>
      <c r="R11" s="1139"/>
      <c r="S11" s="1138"/>
      <c r="T11" s="1144"/>
      <c r="U11" s="1137"/>
      <c r="V11" s="1138"/>
      <c r="W11" s="1143"/>
      <c r="X11" s="1139"/>
      <c r="Y11" s="1138"/>
      <c r="Z11" s="1144"/>
      <c r="AA11" s="1137"/>
      <c r="AB11" s="1138"/>
      <c r="AC11" s="1143"/>
      <c r="AD11" s="1139"/>
      <c r="AE11" s="1138"/>
      <c r="AF11" s="1144"/>
      <c r="AG11" s="1137"/>
      <c r="AH11" s="1138"/>
      <c r="AI11" s="1138"/>
      <c r="AJ11" s="1137"/>
      <c r="AK11" s="1138"/>
      <c r="AL11" s="1144"/>
      <c r="AM11" s="1137"/>
      <c r="AN11" s="1138"/>
      <c r="AO11" s="1138"/>
      <c r="AP11" s="1137"/>
      <c r="AQ11" s="1138"/>
      <c r="AR11" s="1145"/>
      <c r="AS11" s="1137"/>
      <c r="AT11" s="1138"/>
      <c r="AU11" s="1138"/>
      <c r="AV11" s="1137"/>
      <c r="AW11" s="1138"/>
      <c r="AY11" s="1137"/>
      <c r="AZ11" s="1138"/>
      <c r="BA11" s="1138"/>
      <c r="BB11" s="1137"/>
      <c r="BC11" s="1138"/>
    </row>
    <row r="12" spans="1:55">
      <c r="A12" s="1146"/>
      <c r="B12" s="1146"/>
      <c r="C12" s="1682" t="s">
        <v>1220</v>
      </c>
      <c r="D12" s="1682"/>
      <c r="E12" s="1682"/>
      <c r="F12" s="1682"/>
      <c r="G12" s="1682"/>
      <c r="H12" s="1147"/>
      <c r="I12" s="1683" t="s">
        <v>1221</v>
      </c>
      <c r="J12" s="1683"/>
      <c r="K12" s="1683"/>
      <c r="L12" s="1683"/>
      <c r="M12" s="1683"/>
      <c r="N12" s="1148"/>
      <c r="O12" s="1683" t="s">
        <v>1222</v>
      </c>
      <c r="P12" s="1683"/>
      <c r="Q12" s="1683"/>
      <c r="R12" s="1683"/>
      <c r="S12" s="1683"/>
      <c r="T12" s="1148"/>
      <c r="U12" s="1682" t="s">
        <v>1223</v>
      </c>
      <c r="V12" s="1682"/>
      <c r="W12" s="1682"/>
      <c r="X12" s="1682"/>
      <c r="Y12" s="1682"/>
      <c r="Z12" s="1148"/>
      <c r="AA12" s="1682" t="s">
        <v>1224</v>
      </c>
      <c r="AB12" s="1682"/>
      <c r="AC12" s="1682"/>
      <c r="AD12" s="1682"/>
      <c r="AE12" s="1682"/>
      <c r="AF12" s="1148"/>
      <c r="AG12" s="1682" t="s">
        <v>1225</v>
      </c>
      <c r="AH12" s="1682"/>
      <c r="AI12" s="1682"/>
      <c r="AJ12" s="1682"/>
      <c r="AK12" s="1682"/>
      <c r="AL12" s="1148"/>
      <c r="AM12" s="1682" t="s">
        <v>1226</v>
      </c>
      <c r="AN12" s="1682"/>
      <c r="AO12" s="1682"/>
      <c r="AP12" s="1682"/>
      <c r="AQ12" s="1682"/>
      <c r="AR12" s="1149"/>
      <c r="AS12" s="1682" t="s">
        <v>2510</v>
      </c>
      <c r="AT12" s="1682"/>
      <c r="AU12" s="1682"/>
      <c r="AV12" s="1682"/>
      <c r="AW12" s="1682"/>
      <c r="AY12" s="1682" t="s">
        <v>2511</v>
      </c>
      <c r="AZ12" s="1682"/>
      <c r="BA12" s="1682"/>
      <c r="BB12" s="1682"/>
      <c r="BC12" s="1682"/>
    </row>
    <row r="13" spans="1:55">
      <c r="A13" s="1127"/>
      <c r="I13" s="1127" t="s">
        <v>1219</v>
      </c>
      <c r="J13" s="1130"/>
      <c r="L13" s="1131"/>
      <c r="M13" s="1131"/>
      <c r="O13" s="1127" t="s">
        <v>1219</v>
      </c>
      <c r="Q13" s="1127"/>
      <c r="R13" s="1127"/>
      <c r="S13" s="1127"/>
      <c r="U13" s="1127" t="s">
        <v>1219</v>
      </c>
      <c r="V13" s="1130"/>
      <c r="X13" s="1131"/>
      <c r="Y13" s="1131"/>
      <c r="AA13" s="1127" t="s">
        <v>1219</v>
      </c>
      <c r="AC13" s="1127"/>
      <c r="AD13" s="1127"/>
      <c r="AE13" s="1127"/>
      <c r="AG13" s="1127" t="s">
        <v>1219</v>
      </c>
      <c r="AH13" s="1130"/>
      <c r="AJ13" s="1131"/>
      <c r="AK13" s="1131"/>
      <c r="AM13" s="1127" t="s">
        <v>1219</v>
      </c>
      <c r="AN13" s="1128"/>
      <c r="AO13" s="1127"/>
      <c r="AP13" s="1127"/>
      <c r="AQ13" s="1127"/>
      <c r="AS13" s="1127" t="s">
        <v>1219</v>
      </c>
      <c r="AU13" s="1127"/>
      <c r="AV13" s="1127"/>
      <c r="AW13" s="1127"/>
      <c r="AY13" s="1127" t="s">
        <v>1219</v>
      </c>
      <c r="BA13" s="1127"/>
      <c r="BB13" s="1127"/>
      <c r="BC13" s="1127"/>
    </row>
    <row r="14" spans="1:55">
      <c r="A14" s="1127"/>
      <c r="I14" s="1127" t="s">
        <v>1217</v>
      </c>
      <c r="L14" s="1127"/>
      <c r="M14" s="1127"/>
      <c r="O14" s="1127" t="s">
        <v>1217</v>
      </c>
      <c r="R14" s="1127"/>
      <c r="S14" s="1127"/>
      <c r="U14" s="1127" t="s">
        <v>1216</v>
      </c>
      <c r="X14" s="1127"/>
      <c r="Y14" s="1127"/>
      <c r="AA14" s="1127" t="s">
        <v>1216</v>
      </c>
      <c r="AD14" s="1127"/>
      <c r="AE14" s="1127"/>
      <c r="AG14" s="1127" t="s">
        <v>1216</v>
      </c>
      <c r="AJ14" s="1127"/>
      <c r="AK14" s="1127"/>
      <c r="AM14" s="1127" t="s">
        <v>1216</v>
      </c>
      <c r="AN14" s="1128"/>
      <c r="AP14" s="1127"/>
      <c r="AQ14" s="1127"/>
      <c r="AS14" s="1127" t="s">
        <v>1216</v>
      </c>
      <c r="AV14" s="1127"/>
      <c r="AW14" s="1127"/>
      <c r="AY14" s="1127" t="s">
        <v>1216</v>
      </c>
      <c r="BB14" s="1127"/>
      <c r="BC14" s="1127"/>
    </row>
    <row r="15" spans="1:55">
      <c r="A15" s="1127"/>
      <c r="I15" s="1127" t="s">
        <v>1214</v>
      </c>
      <c r="L15" s="1127"/>
      <c r="M15" s="1127"/>
      <c r="O15" s="1127" t="s">
        <v>1214</v>
      </c>
      <c r="R15" s="1127"/>
      <c r="S15" s="1127"/>
      <c r="U15" s="1127" t="s">
        <v>1217</v>
      </c>
      <c r="X15" s="1127"/>
      <c r="Y15" s="1127"/>
      <c r="AA15" s="1127" t="s">
        <v>1217</v>
      </c>
      <c r="AD15" s="1127"/>
      <c r="AE15" s="1127"/>
      <c r="AG15" s="1127" t="s">
        <v>1217</v>
      </c>
      <c r="AJ15" s="1127"/>
      <c r="AK15" s="1127"/>
      <c r="AM15" s="1127" t="s">
        <v>1218</v>
      </c>
      <c r="AN15" s="1128"/>
      <c r="AP15" s="1128"/>
      <c r="AQ15" s="1128"/>
      <c r="AS15" s="1127" t="s">
        <v>1218</v>
      </c>
      <c r="AY15" s="1127" t="s">
        <v>1218</v>
      </c>
    </row>
    <row r="16" spans="1:55">
      <c r="A16" s="1127"/>
      <c r="I16" s="1127" t="s">
        <v>1213</v>
      </c>
      <c r="L16" s="1127"/>
      <c r="M16" s="1127"/>
      <c r="O16" s="1127" t="s">
        <v>1213</v>
      </c>
      <c r="R16" s="1127"/>
      <c r="S16" s="1127"/>
      <c r="U16" s="1127" t="s">
        <v>1214</v>
      </c>
      <c r="X16" s="1127"/>
      <c r="Y16" s="1127"/>
      <c r="AA16" s="1127" t="s">
        <v>1214</v>
      </c>
      <c r="AD16" s="1127"/>
      <c r="AE16" s="1127"/>
      <c r="AG16" s="1127" t="s">
        <v>1214</v>
      </c>
      <c r="AJ16" s="1127"/>
      <c r="AK16" s="1127"/>
      <c r="AM16" s="1127" t="s">
        <v>1217</v>
      </c>
      <c r="AN16" s="1128"/>
      <c r="AP16" s="1127"/>
      <c r="AQ16" s="1127"/>
      <c r="AS16" s="1127" t="s">
        <v>1217</v>
      </c>
      <c r="AV16" s="1127"/>
      <c r="AW16" s="1127"/>
      <c r="AY16" s="1127" t="s">
        <v>1217</v>
      </c>
      <c r="BB16" s="1127"/>
      <c r="BC16" s="1127"/>
    </row>
    <row r="17" spans="1:55" ht="16.5">
      <c r="A17" s="1127"/>
      <c r="B17" s="1127"/>
      <c r="H17" s="1127"/>
      <c r="I17" s="1127"/>
      <c r="K17" s="1127"/>
      <c r="L17" s="1127"/>
      <c r="M17" s="1127"/>
      <c r="N17" s="1127"/>
      <c r="O17" s="1127"/>
      <c r="P17" s="1127"/>
      <c r="Q17" s="1127"/>
      <c r="R17" s="1127"/>
      <c r="S17" s="1127"/>
      <c r="T17" s="1127"/>
      <c r="U17" s="1127" t="s">
        <v>1213</v>
      </c>
      <c r="X17" s="1127"/>
      <c r="Y17" s="1127"/>
      <c r="Z17" s="1127"/>
      <c r="AA17" s="1127" t="s">
        <v>1213</v>
      </c>
      <c r="AD17" s="1127"/>
      <c r="AE17" s="1127"/>
      <c r="AG17" s="1127" t="s">
        <v>1213</v>
      </c>
      <c r="AJ17" s="1127"/>
      <c r="AK17" s="1127"/>
      <c r="AL17" s="1150"/>
      <c r="AM17" s="1127" t="s">
        <v>1214</v>
      </c>
      <c r="AN17" s="1128"/>
      <c r="AP17" s="1127"/>
      <c r="AQ17" s="1127"/>
      <c r="AR17" s="1150"/>
      <c r="AS17" s="1127" t="s">
        <v>1214</v>
      </c>
      <c r="AV17" s="1127"/>
      <c r="AW17" s="1127"/>
      <c r="AY17" s="1127" t="s">
        <v>1214</v>
      </c>
      <c r="BB17" s="1127"/>
      <c r="BC17" s="1127"/>
    </row>
    <row r="18" spans="1:55">
      <c r="A18" s="1127"/>
      <c r="B18" s="1127"/>
      <c r="C18" s="1127"/>
      <c r="F18" s="1127"/>
      <c r="G18" s="1127"/>
      <c r="H18" s="1127"/>
      <c r="I18" s="1127"/>
      <c r="J18" s="1127"/>
      <c r="K18" s="1127"/>
      <c r="L18" s="1127"/>
      <c r="M18" s="1127"/>
      <c r="N18" s="1127"/>
      <c r="T18" s="1127"/>
      <c r="Z18" s="1127"/>
      <c r="AM18" s="1127" t="s">
        <v>1213</v>
      </c>
      <c r="AN18" s="1128"/>
      <c r="AP18" s="1127"/>
      <c r="AQ18" s="1127"/>
      <c r="AR18" s="1128"/>
      <c r="AS18" s="1127" t="s">
        <v>1213</v>
      </c>
      <c r="AV18" s="1127"/>
      <c r="AW18" s="1127"/>
      <c r="AY18" s="1127" t="s">
        <v>1213</v>
      </c>
      <c r="BB18" s="1127"/>
      <c r="BC18" s="1127"/>
    </row>
    <row r="19" spans="1:55">
      <c r="A19" s="1127"/>
      <c r="B19" s="1127"/>
      <c r="C19" s="1127"/>
      <c r="F19" s="1127"/>
      <c r="G19" s="1127"/>
      <c r="H19" s="1127"/>
      <c r="I19" s="1127"/>
      <c r="J19" s="1127"/>
      <c r="K19" s="1127"/>
      <c r="L19" s="1127"/>
      <c r="M19" s="1127"/>
      <c r="N19" s="1127"/>
      <c r="T19" s="1127"/>
      <c r="Z19" s="1127"/>
      <c r="AM19" s="1127"/>
      <c r="AN19" s="1128"/>
      <c r="AP19" s="1127"/>
      <c r="AQ19" s="1127"/>
      <c r="AR19" s="1128"/>
      <c r="AS19" s="1127"/>
      <c r="AV19" s="1127"/>
      <c r="AW19" s="1127"/>
      <c r="AY19" s="1127"/>
      <c r="BB19" s="1127"/>
      <c r="BC19" s="1127"/>
    </row>
    <row r="20" spans="1:55">
      <c r="A20" s="1127"/>
      <c r="B20" s="1127"/>
      <c r="C20" s="1127"/>
      <c r="F20" s="1127"/>
      <c r="G20" s="1127"/>
      <c r="H20" s="1127"/>
      <c r="I20" s="1127"/>
      <c r="J20" s="1127"/>
      <c r="K20" s="1127"/>
      <c r="L20" s="1127"/>
      <c r="M20" s="1127"/>
      <c r="N20" s="1127"/>
      <c r="T20" s="1127"/>
      <c r="Z20" s="1127"/>
      <c r="AM20" s="1127"/>
      <c r="AN20" s="1128"/>
      <c r="AP20" s="1127"/>
      <c r="AQ20" s="1127"/>
      <c r="AR20" s="1128"/>
      <c r="AS20" s="1173"/>
      <c r="AT20" s="1174"/>
      <c r="AU20" s="1178"/>
      <c r="AV20" s="1176"/>
      <c r="AW20" s="1174"/>
      <c r="AY20" s="1173"/>
      <c r="AZ20" s="1174"/>
      <c r="BA20" s="1178"/>
      <c r="BB20" s="1176"/>
      <c r="BC20" s="1174"/>
    </row>
    <row r="21" spans="1:55">
      <c r="A21" s="1127"/>
      <c r="B21" s="1127"/>
      <c r="C21" s="1127"/>
      <c r="H21" s="1127"/>
      <c r="I21" s="1127"/>
      <c r="J21" s="1127"/>
      <c r="K21" s="1127"/>
      <c r="L21" s="1127"/>
      <c r="M21" s="1127"/>
      <c r="N21" s="1127"/>
      <c r="T21" s="1127"/>
      <c r="Z21" s="1127"/>
      <c r="AM21" s="1132"/>
      <c r="AN21" s="1133"/>
      <c r="AO21" s="1140"/>
      <c r="AP21" s="1134"/>
      <c r="AQ21" s="1133"/>
      <c r="AR21" s="1128"/>
      <c r="AS21" s="1135"/>
      <c r="AT21" s="1136"/>
      <c r="AU21" s="1134"/>
      <c r="AV21" s="1135"/>
      <c r="AW21" s="1136"/>
      <c r="AY21" s="1135"/>
      <c r="AZ21" s="1136"/>
      <c r="BA21" s="1134"/>
      <c r="BB21" s="1135"/>
      <c r="BC21" s="1136"/>
    </row>
    <row r="22" spans="1:55">
      <c r="A22" s="1127"/>
      <c r="B22" s="1127"/>
      <c r="C22" s="1127"/>
      <c r="F22" s="1127"/>
      <c r="G22" s="1127"/>
      <c r="H22" s="1127"/>
      <c r="I22" s="1127"/>
      <c r="J22" s="1127"/>
      <c r="K22" s="1127"/>
      <c r="L22" s="1127"/>
      <c r="M22" s="1127"/>
      <c r="N22" s="1127"/>
      <c r="T22" s="1127"/>
      <c r="Z22" s="1127"/>
      <c r="AG22" s="1132"/>
      <c r="AH22" s="1133"/>
      <c r="AI22" s="1140"/>
      <c r="AJ22" s="1132"/>
      <c r="AK22" s="1133"/>
      <c r="AM22" s="1135"/>
      <c r="AN22" s="1136"/>
      <c r="AO22" s="1142"/>
      <c r="AP22" s="1135"/>
      <c r="AQ22" s="1136"/>
      <c r="AR22" s="1128"/>
      <c r="AS22" s="1137"/>
      <c r="AT22" s="1138"/>
      <c r="AU22" s="1127"/>
      <c r="AV22" s="1137"/>
      <c r="AW22" s="1138"/>
      <c r="AY22" s="1137"/>
      <c r="AZ22" s="1138"/>
      <c r="BA22" s="1127"/>
      <c r="BB22" s="1137"/>
      <c r="BC22" s="1138"/>
    </row>
    <row r="23" spans="1:55">
      <c r="A23" s="1127"/>
      <c r="B23" s="1127"/>
      <c r="C23" s="1127"/>
      <c r="F23" s="1127"/>
      <c r="G23" s="1127"/>
      <c r="H23" s="1127"/>
      <c r="K23" s="1127"/>
      <c r="L23" s="1127"/>
      <c r="M23" s="1127"/>
      <c r="N23" s="1127"/>
      <c r="O23" s="1127"/>
      <c r="P23" s="1127"/>
      <c r="Q23" s="1127"/>
      <c r="R23" s="1127"/>
      <c r="S23" s="1127"/>
      <c r="T23" s="1127"/>
      <c r="Z23" s="1127"/>
      <c r="AA23" s="1132"/>
      <c r="AB23" s="1133"/>
      <c r="AC23" s="1140"/>
      <c r="AD23" s="1134"/>
      <c r="AE23" s="1133"/>
      <c r="AG23" s="1132"/>
      <c r="AH23" s="1133"/>
      <c r="AI23" s="1140"/>
      <c r="AJ23" s="1132"/>
      <c r="AK23" s="1133"/>
      <c r="AM23" s="1132"/>
      <c r="AN23" s="1133"/>
      <c r="AO23" s="1140"/>
      <c r="AP23" s="1132"/>
      <c r="AQ23" s="1133"/>
      <c r="AR23" s="1128"/>
      <c r="AS23" s="1135"/>
      <c r="AT23" s="1136"/>
      <c r="AU23" s="1140"/>
      <c r="AV23" s="1135"/>
      <c r="AW23" s="1136"/>
      <c r="AY23" s="1135"/>
      <c r="AZ23" s="1136"/>
      <c r="BA23" s="1140"/>
      <c r="BB23" s="1135"/>
      <c r="BC23" s="1136"/>
    </row>
    <row r="24" spans="1:55">
      <c r="A24" s="1127"/>
      <c r="B24" s="1127"/>
      <c r="C24" s="1127"/>
      <c r="H24" s="1127"/>
      <c r="I24" s="1127"/>
      <c r="J24" s="1127"/>
      <c r="K24" s="1127"/>
      <c r="L24" s="1127"/>
      <c r="M24" s="1127"/>
      <c r="O24" s="1127"/>
      <c r="P24" s="1127"/>
      <c r="T24" s="1127"/>
      <c r="U24" s="1132"/>
      <c r="V24" s="1133"/>
      <c r="W24" s="1140"/>
      <c r="X24" s="1134"/>
      <c r="Y24" s="1133"/>
      <c r="Z24" s="1127"/>
      <c r="AA24" s="1135"/>
      <c r="AB24" s="1136"/>
      <c r="AC24" s="1142"/>
      <c r="AD24" s="1127"/>
      <c r="AE24" s="1136"/>
      <c r="AG24" s="1137"/>
      <c r="AH24" s="1138"/>
      <c r="AI24" s="1143"/>
      <c r="AJ24" s="1137"/>
      <c r="AK24" s="1138"/>
      <c r="AM24" s="1137"/>
      <c r="AN24" s="1138"/>
      <c r="AO24" s="1143"/>
      <c r="AP24" s="1137"/>
      <c r="AQ24" s="1138"/>
      <c r="AR24" s="1128"/>
      <c r="AS24" s="1137"/>
      <c r="AT24" s="1138"/>
      <c r="AU24" s="1143"/>
      <c r="AV24" s="1137"/>
      <c r="AW24" s="1138"/>
      <c r="AY24" s="1137"/>
      <c r="AZ24" s="1138"/>
      <c r="BA24" s="1143"/>
      <c r="BB24" s="1137"/>
      <c r="BC24" s="1138"/>
    </row>
    <row r="25" spans="1:55">
      <c r="A25" s="1127"/>
      <c r="B25" s="1127"/>
      <c r="C25" s="1127"/>
      <c r="D25" s="1130"/>
      <c r="F25" s="1131"/>
      <c r="G25" s="1131"/>
      <c r="H25" s="1127"/>
      <c r="I25" s="1127"/>
      <c r="K25" s="1127"/>
      <c r="L25" s="1127"/>
      <c r="M25" s="1127"/>
      <c r="O25" s="1132"/>
      <c r="P25" s="1133"/>
      <c r="Q25" s="1134"/>
      <c r="R25" s="1132"/>
      <c r="S25" s="1133"/>
      <c r="T25" s="1127"/>
      <c r="U25" s="1135"/>
      <c r="V25" s="1136"/>
      <c r="W25" s="1140"/>
      <c r="X25" s="1127"/>
      <c r="Y25" s="1136"/>
      <c r="Z25" s="1127"/>
      <c r="AA25" s="1132"/>
      <c r="AB25" s="1133"/>
      <c r="AC25" s="1140"/>
      <c r="AD25" s="1134"/>
      <c r="AE25" s="1133"/>
      <c r="AG25" s="1141"/>
      <c r="AH25" s="1136"/>
      <c r="AI25" s="1136"/>
      <c r="AJ25" s="1132"/>
      <c r="AK25" s="1133"/>
      <c r="AM25" s="1135"/>
      <c r="AN25" s="1136"/>
      <c r="AO25" s="1136"/>
      <c r="AP25" s="1132"/>
      <c r="AQ25" s="1133"/>
      <c r="AR25" s="1128"/>
      <c r="AS25" s="1135"/>
      <c r="AT25" s="1136"/>
      <c r="AU25" s="1136"/>
      <c r="AV25" s="1132"/>
      <c r="AW25" s="1133"/>
      <c r="AY25" s="1135"/>
      <c r="AZ25" s="1136"/>
      <c r="BA25" s="1136"/>
      <c r="BB25" s="1132"/>
      <c r="BC25" s="1133"/>
    </row>
    <row r="26" spans="1:55">
      <c r="A26" s="1127"/>
      <c r="B26" s="1127"/>
      <c r="C26" s="1127"/>
      <c r="E26" s="1127"/>
      <c r="F26" s="1127"/>
      <c r="G26" s="1127"/>
      <c r="H26" s="1127"/>
      <c r="I26" s="1132"/>
      <c r="J26" s="1133"/>
      <c r="K26" s="1134"/>
      <c r="L26" s="1132"/>
      <c r="M26" s="1133"/>
      <c r="O26" s="1135"/>
      <c r="P26" s="1136"/>
      <c r="Q26" s="1127"/>
      <c r="R26" s="1135"/>
      <c r="S26" s="1136"/>
      <c r="T26" s="1127"/>
      <c r="U26" s="1137"/>
      <c r="V26" s="1138"/>
      <c r="W26" s="1143"/>
      <c r="X26" s="1139"/>
      <c r="Y26" s="1138"/>
      <c r="AA26" s="1137"/>
      <c r="AB26" s="1138"/>
      <c r="AC26" s="1143"/>
      <c r="AD26" s="1139"/>
      <c r="AE26" s="1138"/>
      <c r="AG26" s="1137"/>
      <c r="AH26" s="1138"/>
      <c r="AI26" s="1138"/>
      <c r="AJ26" s="1137"/>
      <c r="AK26" s="1138"/>
      <c r="AM26" s="1137"/>
      <c r="AN26" s="1138"/>
      <c r="AO26" s="1138"/>
      <c r="AP26" s="1137"/>
      <c r="AQ26" s="1138"/>
      <c r="AR26" s="1128"/>
      <c r="AS26" s="1137"/>
      <c r="AT26" s="1138"/>
      <c r="AU26" s="1138"/>
      <c r="AV26" s="1137"/>
      <c r="AW26" s="1138"/>
      <c r="AY26" s="1137"/>
      <c r="AZ26" s="1138"/>
      <c r="BA26" s="1138"/>
      <c r="BB26" s="1137"/>
      <c r="BC26" s="1138"/>
    </row>
    <row r="27" spans="1:55">
      <c r="A27" s="1127"/>
      <c r="B27" s="1127"/>
      <c r="C27" s="1132"/>
      <c r="D27" s="1133"/>
      <c r="E27" s="1140"/>
      <c r="F27" s="1134"/>
      <c r="G27" s="1133"/>
      <c r="H27" s="1127"/>
      <c r="I27" s="1135"/>
      <c r="J27" s="1136"/>
      <c r="K27" s="1134"/>
      <c r="L27" s="1135"/>
      <c r="M27" s="1136"/>
      <c r="O27" s="1135"/>
      <c r="P27" s="1136"/>
      <c r="Q27" s="1134"/>
      <c r="R27" s="1135"/>
      <c r="S27" s="1136"/>
      <c r="T27" s="1127"/>
      <c r="U27" s="1135"/>
      <c r="V27" s="1136"/>
      <c r="W27" s="1142"/>
      <c r="X27" s="1127"/>
      <c r="Y27" s="1136"/>
      <c r="AA27" s="1135"/>
      <c r="AB27" s="1136"/>
      <c r="AC27" s="1142"/>
      <c r="AD27" s="1127"/>
      <c r="AE27" s="1136"/>
      <c r="AF27" s="1127"/>
      <c r="AG27" s="1135"/>
      <c r="AH27" s="1136"/>
      <c r="AI27" s="1136"/>
      <c r="AJ27" s="1135"/>
      <c r="AK27" s="1136"/>
      <c r="AM27" s="1135"/>
      <c r="AN27" s="1136"/>
      <c r="AO27" s="1136"/>
      <c r="AP27" s="1135"/>
      <c r="AQ27" s="1136"/>
      <c r="AR27" s="1128"/>
      <c r="AS27" s="1135"/>
      <c r="AT27" s="1136"/>
      <c r="AU27" s="1136"/>
      <c r="AV27" s="1135"/>
      <c r="AW27" s="1136"/>
      <c r="AY27" s="1135"/>
      <c r="AZ27" s="1136"/>
      <c r="BA27" s="1136"/>
      <c r="BB27" s="1135"/>
      <c r="BC27" s="1136"/>
    </row>
    <row r="28" spans="1:55">
      <c r="A28" s="1127"/>
      <c r="B28" s="1127"/>
      <c r="C28" s="1137"/>
      <c r="D28" s="1138"/>
      <c r="E28" s="1143"/>
      <c r="F28" s="1139"/>
      <c r="G28" s="1138"/>
      <c r="H28" s="1144"/>
      <c r="I28" s="1137"/>
      <c r="J28" s="1138"/>
      <c r="K28" s="1139"/>
      <c r="L28" s="1137"/>
      <c r="M28" s="1138"/>
      <c r="N28" s="1144"/>
      <c r="O28" s="1137"/>
      <c r="P28" s="1138"/>
      <c r="Q28" s="1139"/>
      <c r="R28" s="1137"/>
      <c r="S28" s="1138"/>
      <c r="T28" s="1144"/>
      <c r="U28" s="1137"/>
      <c r="V28" s="1138"/>
      <c r="W28" s="1143"/>
      <c r="X28" s="1139"/>
      <c r="Y28" s="1138"/>
      <c r="Z28" s="1144"/>
      <c r="AA28" s="1137"/>
      <c r="AB28" s="1138"/>
      <c r="AC28" s="1143"/>
      <c r="AD28" s="1139"/>
      <c r="AE28" s="1138"/>
      <c r="AF28" s="1144"/>
      <c r="AG28" s="1137"/>
      <c r="AH28" s="1138"/>
      <c r="AI28" s="1138"/>
      <c r="AJ28" s="1137"/>
      <c r="AK28" s="1138"/>
      <c r="AL28" s="1144"/>
      <c r="AM28" s="1137"/>
      <c r="AN28" s="1138"/>
      <c r="AO28" s="1138"/>
      <c r="AP28" s="1137"/>
      <c r="AQ28" s="1138"/>
      <c r="AR28" s="1145"/>
      <c r="AS28" s="1137"/>
      <c r="AT28" s="1138"/>
      <c r="AU28" s="1138"/>
      <c r="AV28" s="1137"/>
      <c r="AW28" s="1138"/>
      <c r="AY28" s="1137"/>
      <c r="AZ28" s="1138"/>
      <c r="BA28" s="1138"/>
      <c r="BB28" s="1137"/>
      <c r="BC28" s="1138"/>
    </row>
    <row r="29" spans="1:55">
      <c r="A29" s="1146"/>
      <c r="B29" s="1146"/>
      <c r="C29" s="1680" t="s">
        <v>1220</v>
      </c>
      <c r="D29" s="1680"/>
      <c r="E29" s="1680"/>
      <c r="F29" s="1680"/>
      <c r="G29" s="1680"/>
      <c r="H29" s="1151"/>
      <c r="I29" s="1681" t="s">
        <v>1221</v>
      </c>
      <c r="J29" s="1681"/>
      <c r="K29" s="1680"/>
      <c r="L29" s="1681"/>
      <c r="M29" s="1681"/>
      <c r="N29" s="1152"/>
      <c r="O29" s="1681" t="s">
        <v>1222</v>
      </c>
      <c r="P29" s="1681"/>
      <c r="Q29" s="1680"/>
      <c r="R29" s="1681"/>
      <c r="S29" s="1681"/>
      <c r="T29" s="1152"/>
      <c r="U29" s="1680" t="s">
        <v>1223</v>
      </c>
      <c r="V29" s="1680"/>
      <c r="W29" s="1680"/>
      <c r="X29" s="1680"/>
      <c r="Y29" s="1680"/>
      <c r="Z29" s="1152"/>
      <c r="AA29" s="1680" t="s">
        <v>1224</v>
      </c>
      <c r="AB29" s="1680"/>
      <c r="AC29" s="1680"/>
      <c r="AD29" s="1680"/>
      <c r="AE29" s="1680"/>
      <c r="AF29" s="1152"/>
      <c r="AG29" s="1680" t="s">
        <v>1225</v>
      </c>
      <c r="AH29" s="1680"/>
      <c r="AI29" s="1680"/>
      <c r="AJ29" s="1680"/>
      <c r="AK29" s="1680"/>
      <c r="AL29" s="1152"/>
      <c r="AM29" s="1680" t="s">
        <v>1226</v>
      </c>
      <c r="AN29" s="1680"/>
      <c r="AO29" s="1680"/>
      <c r="AP29" s="1680"/>
      <c r="AQ29" s="1680"/>
      <c r="AR29" s="1149"/>
      <c r="AS29" s="1680" t="s">
        <v>2510</v>
      </c>
      <c r="AT29" s="1680"/>
      <c r="AU29" s="1680"/>
      <c r="AV29" s="1680"/>
      <c r="AW29" s="1680"/>
      <c r="AY29" s="1680" t="s">
        <v>2511</v>
      </c>
      <c r="AZ29" s="1680"/>
      <c r="BA29" s="1680"/>
      <c r="BB29" s="1680"/>
      <c r="BC29" s="1680"/>
    </row>
    <row r="30" spans="1:55">
      <c r="A30" s="1146"/>
      <c r="B30" s="1146"/>
      <c r="C30" s="1153"/>
      <c r="D30" s="1153"/>
      <c r="E30" s="1153"/>
      <c r="F30" s="1153"/>
      <c r="G30" s="1153"/>
      <c r="H30" s="1151"/>
      <c r="I30" s="1153"/>
      <c r="J30" s="1153"/>
      <c r="K30" s="1153"/>
      <c r="L30" s="1153"/>
      <c r="M30" s="1153"/>
      <c r="N30" s="1152"/>
      <c r="O30" s="1153"/>
      <c r="P30" s="1153"/>
      <c r="Q30" s="1153"/>
      <c r="R30" s="1153"/>
      <c r="S30" s="1153"/>
      <c r="T30" s="1152"/>
      <c r="U30" s="1153"/>
      <c r="V30" s="1153"/>
      <c r="W30" s="1153"/>
      <c r="X30" s="1153"/>
      <c r="Y30" s="1153"/>
      <c r="Z30" s="1152"/>
      <c r="AA30" s="1153"/>
      <c r="AB30" s="1153"/>
      <c r="AC30" s="1153"/>
      <c r="AD30" s="1153"/>
      <c r="AE30" s="1153"/>
      <c r="AF30" s="1152"/>
      <c r="AG30" s="1154" t="s">
        <v>2484</v>
      </c>
      <c r="AH30" s="1153"/>
      <c r="AI30" s="1153"/>
      <c r="AJ30" s="1153"/>
      <c r="AK30" s="1153"/>
      <c r="AL30" s="1152"/>
      <c r="AM30" s="1154" t="s">
        <v>2484</v>
      </c>
      <c r="AN30" s="1153"/>
      <c r="AO30" s="1153"/>
      <c r="AP30" s="1153"/>
      <c r="AQ30" s="1153"/>
      <c r="AR30" s="1149"/>
      <c r="AS30" s="1154" t="s">
        <v>2484</v>
      </c>
      <c r="AT30" s="1153"/>
      <c r="AU30" s="1153"/>
      <c r="AV30" s="1153"/>
      <c r="AW30" s="1153"/>
      <c r="AY30" s="1154" t="s">
        <v>2484</v>
      </c>
      <c r="AZ30" s="1153"/>
      <c r="BA30" s="1153"/>
      <c r="BB30" s="1153"/>
      <c r="BC30" s="1153"/>
    </row>
    <row r="31" spans="1:55">
      <c r="A31" s="1146"/>
      <c r="B31" s="1146"/>
      <c r="C31" s="1153"/>
      <c r="D31" s="1153"/>
      <c r="E31" s="1153"/>
      <c r="F31" s="1153"/>
      <c r="G31" s="1153"/>
      <c r="H31" s="1151"/>
      <c r="I31" s="1153"/>
      <c r="J31" s="1153"/>
      <c r="K31" s="1153"/>
      <c r="L31" s="1153"/>
      <c r="M31" s="1153"/>
      <c r="N31" s="1152"/>
      <c r="O31" s="1153"/>
      <c r="P31" s="1153"/>
      <c r="Q31" s="1153"/>
      <c r="R31" s="1153"/>
      <c r="S31" s="1153"/>
      <c r="T31" s="1152"/>
      <c r="U31" s="1154" t="s">
        <v>2484</v>
      </c>
      <c r="V31" s="1153"/>
      <c r="W31" s="1153"/>
      <c r="X31" s="1153"/>
      <c r="Y31" s="1153"/>
      <c r="Z31" s="1152"/>
      <c r="AA31" s="1154" t="s">
        <v>2484</v>
      </c>
      <c r="AB31" s="1153"/>
      <c r="AC31" s="1153"/>
      <c r="AD31" s="1153"/>
      <c r="AE31" s="1153"/>
      <c r="AF31" s="1152"/>
      <c r="AG31" s="1154" t="s">
        <v>2485</v>
      </c>
      <c r="AH31" s="1153"/>
      <c r="AI31" s="1153"/>
      <c r="AJ31" s="1153"/>
      <c r="AK31" s="1153"/>
      <c r="AL31" s="1152"/>
      <c r="AM31" s="1154" t="s">
        <v>2485</v>
      </c>
      <c r="AN31" s="1153"/>
      <c r="AO31" s="1153"/>
      <c r="AP31" s="1153"/>
      <c r="AQ31" s="1153"/>
      <c r="AR31" s="1149"/>
      <c r="AS31" s="1154" t="s">
        <v>2485</v>
      </c>
      <c r="AT31" s="1153"/>
      <c r="AU31" s="1153"/>
      <c r="AV31" s="1153"/>
      <c r="AW31" s="1153"/>
      <c r="AY31" s="1154" t="s">
        <v>2485</v>
      </c>
      <c r="AZ31" s="1153"/>
      <c r="BA31" s="1153"/>
      <c r="BB31" s="1153"/>
      <c r="BC31" s="1153"/>
    </row>
    <row r="32" spans="1:55">
      <c r="A32" s="1146"/>
      <c r="B32" s="1146"/>
      <c r="C32" s="1153"/>
      <c r="D32" s="1153"/>
      <c r="E32" s="1153"/>
      <c r="F32" s="1153"/>
      <c r="G32" s="1153"/>
      <c r="H32" s="1151"/>
      <c r="I32" s="1154" t="s">
        <v>2484</v>
      </c>
      <c r="J32" s="1153"/>
      <c r="K32" s="1153"/>
      <c r="L32" s="1153"/>
      <c r="M32" s="1153"/>
      <c r="N32" s="1152"/>
      <c r="O32" s="1154" t="s">
        <v>2484</v>
      </c>
      <c r="P32" s="1153"/>
      <c r="Q32" s="1153"/>
      <c r="R32" s="1153"/>
      <c r="S32" s="1153"/>
      <c r="T32" s="1152"/>
      <c r="U32" s="1154" t="s">
        <v>2485</v>
      </c>
      <c r="V32" s="1153"/>
      <c r="W32" s="1153"/>
      <c r="X32" s="1153"/>
      <c r="Y32" s="1153"/>
      <c r="Z32" s="1152"/>
      <c r="AA32" s="1154" t="s">
        <v>2485</v>
      </c>
      <c r="AB32" s="1153"/>
      <c r="AC32" s="1153"/>
      <c r="AD32" s="1153"/>
      <c r="AE32" s="1153"/>
      <c r="AF32" s="1152"/>
      <c r="AG32" s="1154" t="s">
        <v>2486</v>
      </c>
      <c r="AH32" s="1153"/>
      <c r="AI32" s="1153"/>
      <c r="AJ32" s="1153"/>
      <c r="AK32" s="1153"/>
      <c r="AL32" s="1152"/>
      <c r="AM32" s="1154" t="s">
        <v>2486</v>
      </c>
      <c r="AN32" s="1153"/>
      <c r="AO32" s="1153"/>
      <c r="AP32" s="1153"/>
      <c r="AQ32" s="1153"/>
      <c r="AR32" s="1149"/>
      <c r="AS32" s="1154" t="s">
        <v>2486</v>
      </c>
      <c r="AT32" s="1153"/>
      <c r="AU32" s="1153"/>
      <c r="AV32" s="1153"/>
      <c r="AW32" s="1153"/>
      <c r="AY32" s="1154" t="s">
        <v>2486</v>
      </c>
      <c r="AZ32" s="1153"/>
      <c r="BA32" s="1153"/>
      <c r="BB32" s="1153"/>
      <c r="BC32" s="1153"/>
    </row>
    <row r="33" spans="1:55">
      <c r="A33" s="1146"/>
      <c r="B33" s="1146"/>
      <c r="C33" s="1153"/>
      <c r="D33" s="1153"/>
      <c r="E33" s="1153"/>
      <c r="F33" s="1153"/>
      <c r="G33" s="1153"/>
      <c r="H33" s="1151"/>
      <c r="I33" s="1154" t="s">
        <v>2487</v>
      </c>
      <c r="J33" s="1153"/>
      <c r="K33" s="1153"/>
      <c r="L33" s="1153"/>
      <c r="M33" s="1153"/>
      <c r="N33" s="1152"/>
      <c r="O33" s="1154" t="s">
        <v>2487</v>
      </c>
      <c r="P33" s="1153"/>
      <c r="Q33" s="1153"/>
      <c r="R33" s="1153"/>
      <c r="S33" s="1153"/>
      <c r="T33" s="1152"/>
      <c r="U33" s="1154" t="s">
        <v>2487</v>
      </c>
      <c r="V33" s="1153"/>
      <c r="W33" s="1153"/>
      <c r="X33" s="1153"/>
      <c r="Y33" s="1153"/>
      <c r="Z33" s="1152"/>
      <c r="AA33" s="1154" t="s">
        <v>2487</v>
      </c>
      <c r="AB33" s="1153"/>
      <c r="AC33" s="1153"/>
      <c r="AD33" s="1153"/>
      <c r="AE33" s="1153"/>
      <c r="AF33" s="1152"/>
      <c r="AG33" s="1154" t="s">
        <v>2487</v>
      </c>
      <c r="AH33" s="1153"/>
      <c r="AI33" s="1153"/>
      <c r="AJ33" s="1153"/>
      <c r="AK33" s="1153"/>
      <c r="AL33" s="1152"/>
      <c r="AM33" s="1154" t="s">
        <v>2487</v>
      </c>
      <c r="AN33" s="1153"/>
      <c r="AO33" s="1153"/>
      <c r="AP33" s="1153"/>
      <c r="AQ33" s="1153"/>
      <c r="AR33" s="1149"/>
      <c r="AS33" s="1154" t="s">
        <v>2487</v>
      </c>
      <c r="AT33" s="1153"/>
      <c r="AU33" s="1153"/>
      <c r="AV33" s="1153"/>
      <c r="AW33" s="1153"/>
      <c r="AY33" s="1154" t="s">
        <v>2487</v>
      </c>
      <c r="AZ33" s="1153"/>
      <c r="BA33" s="1153"/>
      <c r="BB33" s="1153"/>
      <c r="BC33" s="1153"/>
    </row>
    <row r="34" spans="1:55">
      <c r="A34" s="1146"/>
      <c r="B34" s="1146"/>
      <c r="C34" s="1153"/>
      <c r="D34" s="1153"/>
      <c r="E34" s="1153"/>
      <c r="F34" s="1153"/>
      <c r="G34" s="1153"/>
      <c r="H34" s="1151"/>
      <c r="I34" s="1154"/>
      <c r="J34" s="1153"/>
      <c r="K34" s="1153"/>
      <c r="L34" s="1153"/>
      <c r="M34" s="1153"/>
      <c r="N34" s="1152"/>
      <c r="O34" s="1154"/>
      <c r="P34" s="1153"/>
      <c r="Q34" s="1153"/>
      <c r="R34" s="1153"/>
      <c r="S34" s="1153"/>
      <c r="T34" s="1152"/>
      <c r="U34" s="1154"/>
      <c r="V34" s="1153"/>
      <c r="W34" s="1153"/>
      <c r="X34" s="1153"/>
      <c r="Y34" s="1153"/>
      <c r="Z34" s="1152"/>
      <c r="AA34" s="1154" t="s">
        <v>2488</v>
      </c>
      <c r="AB34" s="1153"/>
      <c r="AC34" s="1153"/>
      <c r="AD34" s="1153"/>
      <c r="AE34" s="1153"/>
      <c r="AF34" s="1152"/>
      <c r="AG34" s="1154" t="s">
        <v>2488</v>
      </c>
      <c r="AH34" s="1153"/>
      <c r="AI34" s="1153"/>
      <c r="AJ34" s="1153"/>
      <c r="AK34" s="1153"/>
      <c r="AL34" s="1152"/>
      <c r="AM34" s="1154" t="s">
        <v>2488</v>
      </c>
      <c r="AN34" s="1153"/>
      <c r="AO34" s="1153"/>
      <c r="AP34" s="1153"/>
      <c r="AQ34" s="1153"/>
      <c r="AR34" s="1149"/>
      <c r="AS34" s="1154" t="s">
        <v>2488</v>
      </c>
      <c r="AT34" s="1153"/>
      <c r="AU34" s="1153"/>
      <c r="AV34" s="1153"/>
      <c r="AW34" s="1153"/>
      <c r="AY34" s="1154" t="s">
        <v>2488</v>
      </c>
      <c r="AZ34" s="1153"/>
      <c r="BA34" s="1153"/>
      <c r="BB34" s="1153"/>
      <c r="BC34" s="1153"/>
    </row>
    <row r="35" spans="1:55">
      <c r="A35" s="1155" t="s">
        <v>1227</v>
      </c>
      <c r="B35" s="1156"/>
      <c r="C35" s="1156"/>
      <c r="D35" s="1156"/>
      <c r="E35" s="1156"/>
      <c r="F35" s="1156"/>
      <c r="G35" s="1156"/>
      <c r="H35" s="1156"/>
      <c r="I35" s="1155" t="s">
        <v>1230</v>
      </c>
      <c r="J35" s="1156"/>
      <c r="K35" s="1156"/>
      <c r="L35" s="1156"/>
      <c r="M35" s="1156"/>
      <c r="N35" s="1156"/>
      <c r="O35" s="1155" t="s">
        <v>1230</v>
      </c>
      <c r="P35" s="1156"/>
      <c r="Q35" s="1156"/>
      <c r="R35" s="1156"/>
      <c r="S35" s="1156"/>
      <c r="T35" s="1156"/>
      <c r="U35" s="1155" t="s">
        <v>1230</v>
      </c>
      <c r="V35" s="1156"/>
      <c r="W35" s="1156"/>
      <c r="X35" s="1156"/>
      <c r="Y35" s="1156"/>
      <c r="Z35" s="1156"/>
      <c r="AA35" s="1155" t="s">
        <v>1705</v>
      </c>
      <c r="AB35" s="1156"/>
      <c r="AC35" s="1156"/>
      <c r="AD35" s="1156"/>
      <c r="AE35" s="1156"/>
      <c r="AF35" s="1156"/>
      <c r="AG35" s="1155" t="s">
        <v>1705</v>
      </c>
      <c r="AH35" s="1156"/>
      <c r="AI35" s="1156"/>
      <c r="AJ35" s="1156"/>
      <c r="AK35" s="1156"/>
      <c r="AL35" s="1156"/>
      <c r="AM35" s="1155" t="s">
        <v>1705</v>
      </c>
      <c r="AN35" s="1157"/>
      <c r="AO35" s="1156"/>
      <c r="AP35" s="1158"/>
      <c r="AQ35" s="1158"/>
      <c r="AR35" s="1158"/>
      <c r="AS35" s="1155" t="s">
        <v>1705</v>
      </c>
      <c r="AT35" s="1157"/>
      <c r="AU35" s="1156"/>
      <c r="AV35" s="1158"/>
      <c r="AW35" s="1158"/>
      <c r="AY35" s="1155" t="s">
        <v>1705</v>
      </c>
      <c r="AZ35" s="1157"/>
      <c r="BA35" s="1156"/>
      <c r="BB35" s="1158"/>
      <c r="BC35" s="1158"/>
    </row>
    <row r="36" spans="1:55">
      <c r="A36" s="1155" t="s">
        <v>1228</v>
      </c>
      <c r="B36" s="1156"/>
      <c r="C36" s="1156"/>
      <c r="D36" s="1156"/>
      <c r="E36" s="1156"/>
      <c r="F36" s="1156"/>
      <c r="G36" s="1156"/>
      <c r="H36" s="1156"/>
      <c r="I36" s="1156"/>
      <c r="J36" s="1156"/>
      <c r="K36" s="1156"/>
      <c r="L36" s="1156"/>
      <c r="M36" s="1156"/>
      <c r="N36" s="1156"/>
      <c r="O36" s="1156"/>
      <c r="P36" s="1156"/>
      <c r="Q36" s="1156"/>
      <c r="R36" s="1156"/>
      <c r="S36" s="1156"/>
      <c r="T36" s="1156"/>
      <c r="U36" s="1155" t="s">
        <v>1230</v>
      </c>
      <c r="V36" s="1156"/>
      <c r="W36" s="1156"/>
      <c r="X36" s="1156"/>
      <c r="Y36" s="1156"/>
      <c r="Z36" s="1156"/>
      <c r="AA36" s="1155" t="s">
        <v>1230</v>
      </c>
      <c r="AB36" s="1156"/>
      <c r="AC36" s="1156"/>
      <c r="AD36" s="1156"/>
      <c r="AE36" s="1156"/>
      <c r="AF36" s="1156"/>
      <c r="AG36" s="1155" t="s">
        <v>1230</v>
      </c>
      <c r="AH36" s="1156"/>
      <c r="AI36" s="1156"/>
      <c r="AJ36" s="1156"/>
      <c r="AK36" s="1156"/>
      <c r="AL36" s="1156"/>
      <c r="AM36" s="1155" t="s">
        <v>1705</v>
      </c>
      <c r="AN36" s="1156"/>
      <c r="AO36" s="1156"/>
      <c r="AP36" s="1156"/>
      <c r="AQ36" s="1156"/>
      <c r="AR36" s="1155"/>
      <c r="AS36" s="1155" t="s">
        <v>1705</v>
      </c>
      <c r="AT36" s="1156"/>
      <c r="AU36" s="1156"/>
      <c r="AV36" s="1156"/>
      <c r="AW36" s="1156"/>
      <c r="AY36" s="1155" t="s">
        <v>1705</v>
      </c>
      <c r="AZ36" s="1156"/>
      <c r="BA36" s="1156"/>
      <c r="BB36" s="1156"/>
      <c r="BC36" s="1156"/>
    </row>
    <row r="37" spans="1:55">
      <c r="A37" s="1155" t="s">
        <v>1229</v>
      </c>
      <c r="B37" s="1156"/>
      <c r="C37" s="1155"/>
      <c r="D37" s="1156"/>
      <c r="E37" s="1156"/>
      <c r="F37" s="1156"/>
      <c r="G37" s="1156"/>
      <c r="H37" s="1156"/>
      <c r="I37" s="1684"/>
      <c r="J37" s="1684"/>
      <c r="K37" s="1684"/>
      <c r="L37" s="1684"/>
      <c r="M37" s="1684"/>
      <c r="N37" s="1684"/>
      <c r="O37" s="1684"/>
      <c r="P37" s="1684"/>
      <c r="Q37" s="1684"/>
      <c r="R37" s="1684"/>
      <c r="S37" s="1684"/>
      <c r="T37" s="1684"/>
      <c r="U37" s="1684"/>
      <c r="V37" s="1684"/>
      <c r="W37" s="1684"/>
      <c r="X37" s="1684"/>
      <c r="Y37" s="1684"/>
      <c r="Z37" s="1684"/>
      <c r="AA37" s="1684"/>
      <c r="AB37" s="1684"/>
      <c r="AC37" s="1684"/>
      <c r="AD37" s="1684"/>
      <c r="AE37" s="1684"/>
      <c r="AF37" s="1684"/>
      <c r="AG37" s="1155" t="s">
        <v>1230</v>
      </c>
      <c r="AH37" s="1156"/>
      <c r="AI37" s="1156"/>
      <c r="AJ37" s="1156"/>
      <c r="AK37" s="1156"/>
      <c r="AL37" s="1156"/>
      <c r="AM37" s="1155" t="s">
        <v>1230</v>
      </c>
      <c r="AN37" s="1156"/>
      <c r="AO37" s="1156"/>
      <c r="AP37" s="1156"/>
      <c r="AQ37" s="1156"/>
      <c r="AR37" s="1155"/>
      <c r="AS37" s="1155" t="s">
        <v>1230</v>
      </c>
      <c r="AT37" s="1156"/>
      <c r="AU37" s="1156"/>
      <c r="AV37" s="1156"/>
      <c r="AW37" s="1156"/>
      <c r="AY37" s="1155" t="s">
        <v>1705</v>
      </c>
      <c r="AZ37" s="1156"/>
      <c r="BA37" s="1156"/>
      <c r="BB37" s="1156"/>
      <c r="BC37" s="1156"/>
    </row>
    <row r="38" spans="1:55">
      <c r="A38" s="1155"/>
      <c r="B38" s="1156"/>
      <c r="C38" s="1155"/>
      <c r="D38" s="1155"/>
      <c r="E38" s="1156"/>
      <c r="F38" s="1156"/>
      <c r="G38" s="1155"/>
      <c r="H38" s="1155"/>
      <c r="I38" s="1684"/>
      <c r="J38" s="1684"/>
      <c r="K38" s="1684"/>
      <c r="L38" s="1684"/>
      <c r="M38" s="1684"/>
      <c r="N38" s="1684"/>
      <c r="O38" s="1684"/>
      <c r="P38" s="1684"/>
      <c r="Q38" s="1684"/>
      <c r="R38" s="1684"/>
      <c r="S38" s="1684"/>
      <c r="T38" s="1684"/>
      <c r="U38" s="1684"/>
      <c r="V38" s="1684"/>
      <c r="W38" s="1684"/>
      <c r="X38" s="1684"/>
      <c r="Y38" s="1684"/>
      <c r="Z38" s="1684"/>
      <c r="AA38" s="1684"/>
      <c r="AB38" s="1684"/>
      <c r="AC38" s="1684"/>
      <c r="AD38" s="1684"/>
      <c r="AE38" s="1684"/>
      <c r="AF38" s="1684"/>
      <c r="AG38" s="1684"/>
      <c r="AH38" s="1684"/>
      <c r="AI38" s="1684"/>
      <c r="AJ38" s="1684"/>
      <c r="AK38" s="1684"/>
      <c r="AL38" s="1684"/>
      <c r="AM38" s="1684"/>
      <c r="AN38" s="1684"/>
      <c r="AO38" s="1684"/>
      <c r="AP38" s="1684"/>
      <c r="AQ38" s="1684"/>
      <c r="AR38" s="1684"/>
      <c r="AS38" s="1155" t="s">
        <v>1230</v>
      </c>
      <c r="AT38" s="1156"/>
      <c r="AU38" s="1156"/>
      <c r="AV38" s="1156"/>
      <c r="AW38" s="1156"/>
      <c r="AY38" s="1155" t="s">
        <v>1230</v>
      </c>
    </row>
    <row r="39" spans="1:55" ht="26.25">
      <c r="A39" s="1155"/>
      <c r="B39" s="1126" t="s">
        <v>2506</v>
      </c>
      <c r="C39" s="1127"/>
      <c r="D39" s="1127"/>
      <c r="E39" s="1127"/>
      <c r="F39" s="1127"/>
      <c r="G39" s="1127"/>
      <c r="H39" s="1127"/>
      <c r="I39" s="1127"/>
      <c r="J39" s="1127"/>
      <c r="K39" s="1127"/>
      <c r="L39" s="1127"/>
      <c r="M39" s="1127"/>
      <c r="N39" s="1127"/>
      <c r="O39" s="1127"/>
      <c r="P39" s="1127"/>
      <c r="Q39" s="1127"/>
      <c r="R39" s="1127"/>
      <c r="S39" s="1127"/>
      <c r="T39" s="1127"/>
      <c r="U39" s="1127"/>
      <c r="V39" s="1127"/>
      <c r="W39" s="1127"/>
      <c r="AH39" s="1129" t="s">
        <v>2499</v>
      </c>
      <c r="AR39" s="1158"/>
    </row>
    <row r="40" spans="1:55">
      <c r="A40" s="1155"/>
      <c r="B40" s="1127"/>
      <c r="C40" s="1127" t="s">
        <v>1213</v>
      </c>
      <c r="F40" s="1127"/>
      <c r="G40" s="1127"/>
      <c r="H40" s="1127"/>
      <c r="I40" s="1127"/>
      <c r="J40" s="1127"/>
      <c r="K40" s="1127"/>
      <c r="L40" s="1127"/>
      <c r="M40" s="1127"/>
      <c r="N40" s="1127"/>
      <c r="T40" s="1127"/>
      <c r="Z40" s="1127"/>
      <c r="AR40" s="1158"/>
      <c r="AY40" s="1176"/>
      <c r="AZ40" s="1175"/>
      <c r="BA40" s="1176"/>
      <c r="BB40" s="1176"/>
      <c r="BC40" s="1174"/>
    </row>
    <row r="41" spans="1:55">
      <c r="A41" s="1155"/>
      <c r="B41" s="1127"/>
      <c r="C41" s="1127" t="s">
        <v>1214</v>
      </c>
      <c r="F41" s="1127"/>
      <c r="G41" s="1127"/>
      <c r="H41" s="1127"/>
      <c r="I41" s="1127"/>
      <c r="J41" s="1127"/>
      <c r="K41" s="1127"/>
      <c r="L41" s="1127"/>
      <c r="M41" s="1127"/>
      <c r="N41" s="1127"/>
      <c r="T41" s="1127"/>
      <c r="Z41" s="1127"/>
      <c r="AR41" s="1158"/>
      <c r="AS41" s="1173"/>
      <c r="AT41" s="1175"/>
      <c r="AU41" s="1176"/>
      <c r="AV41" s="1176"/>
      <c r="AW41" s="1174"/>
      <c r="AY41" s="1162"/>
      <c r="AZ41" s="1144"/>
      <c r="BA41" s="1159"/>
      <c r="BB41" s="1159"/>
      <c r="BC41" s="1177"/>
    </row>
    <row r="42" spans="1:55">
      <c r="A42" s="1155"/>
      <c r="B42" s="1127"/>
      <c r="C42" s="1127" t="s">
        <v>1215</v>
      </c>
      <c r="H42" s="1127"/>
      <c r="I42" s="1127"/>
      <c r="J42" s="1127"/>
      <c r="K42" s="1127"/>
      <c r="L42" s="1127"/>
      <c r="M42" s="1127"/>
      <c r="N42" s="1127"/>
      <c r="T42" s="1127"/>
      <c r="Z42" s="1127"/>
      <c r="AM42" s="1132"/>
      <c r="AN42" s="1133"/>
      <c r="AO42" s="1134"/>
      <c r="AP42" s="1132"/>
      <c r="AQ42" s="1133"/>
      <c r="AR42" s="1158"/>
      <c r="AS42" s="1137"/>
      <c r="AT42" s="1139"/>
      <c r="AU42" s="1137"/>
      <c r="AV42" s="1137"/>
      <c r="AW42" s="1138"/>
      <c r="AY42" s="1135"/>
      <c r="AZ42" s="1127"/>
      <c r="BA42" s="1142"/>
      <c r="BB42" s="1139"/>
      <c r="BC42" s="1138"/>
    </row>
    <row r="43" spans="1:55">
      <c r="A43" s="1155"/>
      <c r="B43" s="1127"/>
      <c r="C43" s="1127" t="s">
        <v>1216</v>
      </c>
      <c r="F43" s="1127"/>
      <c r="G43" s="1127"/>
      <c r="H43" s="1127"/>
      <c r="I43" s="1127"/>
      <c r="J43" s="1127"/>
      <c r="K43" s="1127"/>
      <c r="L43" s="1127"/>
      <c r="M43" s="1127"/>
      <c r="N43" s="1127"/>
      <c r="T43" s="1127"/>
      <c r="Z43" s="1127"/>
      <c r="AG43" s="1132"/>
      <c r="AH43" s="1134"/>
      <c r="AI43" s="1140"/>
      <c r="AJ43" s="1134"/>
      <c r="AK43" s="1133"/>
      <c r="AM43" s="1135"/>
      <c r="AN43" s="1136"/>
      <c r="AO43" s="1127"/>
      <c r="AP43" s="1135"/>
      <c r="AQ43" s="1136"/>
      <c r="AR43" s="1158"/>
      <c r="AS43" s="1137"/>
      <c r="AT43" s="1138"/>
      <c r="AU43" s="1143"/>
      <c r="AV43" s="1137"/>
      <c r="AW43" s="1138"/>
      <c r="AY43" s="1137"/>
      <c r="AZ43" s="1139"/>
      <c r="BA43" s="1143"/>
      <c r="BB43" s="1139"/>
      <c r="BC43" s="1138"/>
    </row>
    <row r="44" spans="1:55">
      <c r="A44" s="1155"/>
      <c r="B44" s="1127"/>
      <c r="C44" s="1127" t="s">
        <v>1217</v>
      </c>
      <c r="F44" s="1127"/>
      <c r="G44" s="1127"/>
      <c r="H44" s="1127"/>
      <c r="I44" s="1127"/>
      <c r="J44" s="1127"/>
      <c r="K44" s="1127"/>
      <c r="L44" s="1127"/>
      <c r="M44" s="1127"/>
      <c r="N44" s="1127"/>
      <c r="O44" s="1127"/>
      <c r="P44" s="1127"/>
      <c r="Q44" s="1127"/>
      <c r="R44" s="1127"/>
      <c r="S44" s="1127"/>
      <c r="T44" s="1127"/>
      <c r="Z44" s="1127"/>
      <c r="AA44" s="1132"/>
      <c r="AB44" s="1133"/>
      <c r="AC44" s="1134"/>
      <c r="AD44" s="1132"/>
      <c r="AE44" s="1133"/>
      <c r="AG44" s="1135"/>
      <c r="AH44" s="1127"/>
      <c r="AI44" s="1143"/>
      <c r="AJ44" s="1127"/>
      <c r="AK44" s="1136"/>
      <c r="AM44" s="1135"/>
      <c r="AN44" s="1136"/>
      <c r="AO44" s="1134"/>
      <c r="AP44" s="1135"/>
      <c r="AQ44" s="1136"/>
      <c r="AR44" s="1158"/>
      <c r="AS44" s="1135"/>
      <c r="AT44" s="1136"/>
      <c r="AU44" s="1127"/>
      <c r="AV44" s="1135"/>
      <c r="AW44" s="1136"/>
      <c r="AY44" s="1135"/>
      <c r="AZ44" s="1136"/>
      <c r="BA44" s="1127"/>
      <c r="BB44" s="1135"/>
      <c r="BC44" s="1136"/>
    </row>
    <row r="45" spans="1:55">
      <c r="A45" s="1155"/>
      <c r="B45" s="1127"/>
      <c r="C45" s="1127" t="s">
        <v>1218</v>
      </c>
      <c r="H45" s="1127"/>
      <c r="I45" s="1127"/>
      <c r="J45" s="1127"/>
      <c r="K45" s="1127"/>
      <c r="L45" s="1127"/>
      <c r="M45" s="1127"/>
      <c r="O45" s="1127"/>
      <c r="P45" s="1127"/>
      <c r="T45" s="1127"/>
      <c r="U45" s="1132"/>
      <c r="V45" s="1134"/>
      <c r="W45" s="1685"/>
      <c r="X45" s="1132"/>
      <c r="Y45" s="1133"/>
      <c r="Z45" s="1127"/>
      <c r="AA45" s="1135"/>
      <c r="AB45" s="1136"/>
      <c r="AC45" s="1127"/>
      <c r="AD45" s="1135"/>
      <c r="AE45" s="1136"/>
      <c r="AG45" s="1137"/>
      <c r="AH45" s="1138"/>
      <c r="AI45" s="1165"/>
      <c r="AJ45" s="1137"/>
      <c r="AK45" s="1138"/>
      <c r="AM45" s="1137"/>
      <c r="AN45" s="1138"/>
      <c r="AO45" s="1139"/>
      <c r="AP45" s="1137"/>
      <c r="AQ45" s="1138"/>
      <c r="AR45" s="1158"/>
      <c r="AS45" s="1137"/>
      <c r="AT45" s="1138"/>
      <c r="AU45" s="1139"/>
      <c r="AV45" s="1137"/>
      <c r="AW45" s="1138"/>
      <c r="AY45" s="1137"/>
      <c r="AZ45" s="1138"/>
      <c r="BA45" s="1139"/>
      <c r="BB45" s="1137"/>
      <c r="BC45" s="1138"/>
    </row>
    <row r="46" spans="1:55">
      <c r="A46" s="1155"/>
      <c r="B46" s="1127"/>
      <c r="C46" s="1127"/>
      <c r="D46" s="1130"/>
      <c r="F46" s="1131"/>
      <c r="G46" s="1131"/>
      <c r="H46" s="1127"/>
      <c r="I46" s="1127"/>
      <c r="K46" s="1127"/>
      <c r="L46" s="1127"/>
      <c r="M46" s="1127"/>
      <c r="O46" s="1132"/>
      <c r="P46" s="1134"/>
      <c r="Q46" s="1140"/>
      <c r="R46" s="1134"/>
      <c r="S46" s="1133"/>
      <c r="T46" s="1127"/>
      <c r="U46" s="1135"/>
      <c r="V46" s="1127"/>
      <c r="W46" s="1686"/>
      <c r="X46" s="1135"/>
      <c r="Y46" s="1136"/>
      <c r="Z46" s="1127"/>
      <c r="AA46" s="1135"/>
      <c r="AB46" s="1136"/>
      <c r="AC46" s="1134"/>
      <c r="AD46" s="1135"/>
      <c r="AE46" s="1136"/>
      <c r="AG46" s="1141"/>
      <c r="AH46" s="1136"/>
      <c r="AI46" s="1136"/>
      <c r="AJ46" s="1135"/>
      <c r="AK46" s="1136"/>
      <c r="AM46" s="1135"/>
      <c r="AN46" s="1136"/>
      <c r="AO46" s="1136"/>
      <c r="AP46" s="1135"/>
      <c r="AQ46" s="1136"/>
      <c r="AR46" s="1158"/>
      <c r="AS46" s="1135"/>
      <c r="AT46" s="1136"/>
      <c r="AU46" s="1136"/>
      <c r="AV46" s="1135"/>
      <c r="AW46" s="1136"/>
      <c r="AY46" s="1135"/>
      <c r="AZ46" s="1136"/>
      <c r="BA46" s="1136"/>
      <c r="BB46" s="1135"/>
      <c r="BC46" s="1136"/>
    </row>
    <row r="47" spans="1:55">
      <c r="A47" s="1155"/>
      <c r="B47" s="1127"/>
      <c r="C47" s="1127"/>
      <c r="E47" s="1127"/>
      <c r="F47" s="1127"/>
      <c r="G47" s="1127"/>
      <c r="H47" s="1127"/>
      <c r="I47" s="1132"/>
      <c r="J47" s="1134"/>
      <c r="K47" s="1132"/>
      <c r="L47" s="1132"/>
      <c r="M47" s="1133"/>
      <c r="O47" s="1135"/>
      <c r="P47" s="1127"/>
      <c r="Q47" s="1142"/>
      <c r="R47" s="1127"/>
      <c r="S47" s="1136"/>
      <c r="T47" s="1127"/>
      <c r="U47" s="1166"/>
      <c r="V47" s="1167"/>
      <c r="W47" s="1165"/>
      <c r="X47" s="1166"/>
      <c r="Y47" s="1168"/>
      <c r="AA47" s="1137"/>
      <c r="AB47" s="1138"/>
      <c r="AC47" s="1139"/>
      <c r="AD47" s="1137"/>
      <c r="AE47" s="1138"/>
      <c r="AG47" s="1137"/>
      <c r="AH47" s="1138"/>
      <c r="AI47" s="1138"/>
      <c r="AJ47" s="1137"/>
      <c r="AK47" s="1138"/>
      <c r="AM47" s="1137"/>
      <c r="AN47" s="1138"/>
      <c r="AO47" s="1138"/>
      <c r="AP47" s="1137"/>
      <c r="AQ47" s="1138"/>
      <c r="AR47" s="1158"/>
      <c r="AS47" s="1137"/>
      <c r="AT47" s="1138"/>
      <c r="AU47" s="1138"/>
      <c r="AV47" s="1137"/>
      <c r="AW47" s="1138"/>
      <c r="AY47" s="1137"/>
      <c r="AZ47" s="1138"/>
      <c r="BA47" s="1138"/>
      <c r="BB47" s="1137"/>
      <c r="BC47" s="1138"/>
    </row>
    <row r="48" spans="1:55">
      <c r="A48" s="1155"/>
      <c r="B48" s="1127"/>
      <c r="C48" s="1132"/>
      <c r="D48" s="1133"/>
      <c r="E48" s="1140"/>
      <c r="F48" s="1134"/>
      <c r="G48" s="1133"/>
      <c r="H48" s="1127"/>
      <c r="I48" s="1137"/>
      <c r="J48" s="1139"/>
      <c r="K48" s="1137"/>
      <c r="L48" s="1137"/>
      <c r="M48" s="1138"/>
      <c r="O48" s="1135"/>
      <c r="P48" s="1127"/>
      <c r="Q48" s="1140"/>
      <c r="R48" s="1127"/>
      <c r="S48" s="1136"/>
      <c r="T48" s="1127"/>
      <c r="U48" s="1135"/>
      <c r="V48" s="1136"/>
      <c r="W48" s="1142"/>
      <c r="X48" s="1127"/>
      <c r="Y48" s="1136"/>
      <c r="AA48" s="1135"/>
      <c r="AB48" s="1136"/>
      <c r="AC48" s="1142"/>
      <c r="AD48" s="1127"/>
      <c r="AE48" s="1136"/>
      <c r="AF48" s="1127"/>
      <c r="AG48" s="1135"/>
      <c r="AH48" s="1136"/>
      <c r="AI48" s="1136"/>
      <c r="AJ48" s="1135"/>
      <c r="AK48" s="1136"/>
      <c r="AM48" s="1135"/>
      <c r="AN48" s="1136"/>
      <c r="AO48" s="1136"/>
      <c r="AP48" s="1135"/>
      <c r="AQ48" s="1136"/>
      <c r="AR48" s="1158"/>
      <c r="AS48" s="1135"/>
      <c r="AT48" s="1136"/>
      <c r="AU48" s="1136"/>
      <c r="AV48" s="1135"/>
      <c r="AW48" s="1136"/>
      <c r="AY48" s="1135"/>
      <c r="AZ48" s="1136"/>
      <c r="BA48" s="1136"/>
      <c r="BB48" s="1135"/>
      <c r="BC48" s="1136"/>
    </row>
    <row r="49" spans="1:55">
      <c r="A49" s="1155"/>
      <c r="B49" s="1127"/>
      <c r="C49" s="1137"/>
      <c r="D49" s="1138"/>
      <c r="E49" s="1143"/>
      <c r="F49" s="1139"/>
      <c r="G49" s="1138"/>
      <c r="H49" s="1144"/>
      <c r="I49" s="1137"/>
      <c r="J49" s="1138"/>
      <c r="K49" s="1137"/>
      <c r="L49" s="1137"/>
      <c r="M49" s="1138"/>
      <c r="N49" s="1144"/>
      <c r="O49" s="1137"/>
      <c r="P49" s="1139"/>
      <c r="Q49" s="1143"/>
      <c r="R49" s="1139"/>
      <c r="S49" s="1138"/>
      <c r="T49" s="1144"/>
      <c r="U49" s="1137"/>
      <c r="V49" s="1138"/>
      <c r="W49" s="1143"/>
      <c r="X49" s="1139"/>
      <c r="Y49" s="1138"/>
      <c r="Z49" s="1144"/>
      <c r="AA49" s="1137"/>
      <c r="AB49" s="1138"/>
      <c r="AC49" s="1143"/>
      <c r="AD49" s="1139"/>
      <c r="AE49" s="1138"/>
      <c r="AF49" s="1144"/>
      <c r="AG49" s="1137"/>
      <c r="AH49" s="1138"/>
      <c r="AI49" s="1138"/>
      <c r="AJ49" s="1137"/>
      <c r="AK49" s="1138"/>
      <c r="AL49" s="1144"/>
      <c r="AM49" s="1137"/>
      <c r="AN49" s="1138"/>
      <c r="AO49" s="1138"/>
      <c r="AP49" s="1137"/>
      <c r="AQ49" s="1138"/>
      <c r="AR49" s="1158"/>
      <c r="AS49" s="1137"/>
      <c r="AT49" s="1138"/>
      <c r="AU49" s="1138"/>
      <c r="AV49" s="1137"/>
      <c r="AW49" s="1138"/>
      <c r="AY49" s="1137"/>
      <c r="AZ49" s="1138"/>
      <c r="BA49" s="1138"/>
      <c r="BB49" s="1137"/>
      <c r="BC49" s="1138"/>
    </row>
    <row r="50" spans="1:55">
      <c r="A50" s="1155"/>
      <c r="B50" s="1146"/>
      <c r="C50" s="1682" t="s">
        <v>1220</v>
      </c>
      <c r="D50" s="1682"/>
      <c r="E50" s="1682"/>
      <c r="F50" s="1682"/>
      <c r="G50" s="1682"/>
      <c r="H50" s="1147"/>
      <c r="I50" s="1683" t="s">
        <v>1221</v>
      </c>
      <c r="J50" s="1683"/>
      <c r="K50" s="1683"/>
      <c r="L50" s="1683"/>
      <c r="M50" s="1683"/>
      <c r="N50" s="1148"/>
      <c r="O50" s="1683" t="s">
        <v>1222</v>
      </c>
      <c r="P50" s="1683"/>
      <c r="Q50" s="1683"/>
      <c r="R50" s="1683"/>
      <c r="S50" s="1683"/>
      <c r="T50" s="1148"/>
      <c r="U50" s="1682" t="s">
        <v>1223</v>
      </c>
      <c r="V50" s="1682"/>
      <c r="W50" s="1682"/>
      <c r="X50" s="1682"/>
      <c r="Y50" s="1682"/>
      <c r="Z50" s="1148"/>
      <c r="AA50" s="1682" t="s">
        <v>1224</v>
      </c>
      <c r="AB50" s="1682"/>
      <c r="AC50" s="1682"/>
      <c r="AD50" s="1682"/>
      <c r="AE50" s="1682"/>
      <c r="AF50" s="1148"/>
      <c r="AG50" s="1682" t="s">
        <v>1225</v>
      </c>
      <c r="AH50" s="1682"/>
      <c r="AI50" s="1682"/>
      <c r="AJ50" s="1682"/>
      <c r="AK50" s="1682"/>
      <c r="AL50" s="1148"/>
      <c r="AM50" s="1682" t="s">
        <v>1226</v>
      </c>
      <c r="AN50" s="1682"/>
      <c r="AO50" s="1682"/>
      <c r="AP50" s="1682"/>
      <c r="AQ50" s="1682"/>
      <c r="AR50" s="1158"/>
      <c r="AS50" s="1682" t="s">
        <v>2510</v>
      </c>
      <c r="AT50" s="1682"/>
      <c r="AU50" s="1682"/>
      <c r="AV50" s="1682"/>
      <c r="AW50" s="1682"/>
      <c r="AY50" s="1682" t="s">
        <v>2511</v>
      </c>
      <c r="AZ50" s="1682"/>
      <c r="BA50" s="1682"/>
      <c r="BB50" s="1682"/>
      <c r="BC50" s="1682"/>
    </row>
    <row r="51" spans="1:55">
      <c r="A51" s="1155"/>
      <c r="I51" s="1127"/>
      <c r="J51" s="1130"/>
      <c r="L51" s="1131"/>
      <c r="M51" s="1131"/>
      <c r="O51" s="1127"/>
      <c r="Q51" s="1127"/>
      <c r="R51" s="1127"/>
      <c r="S51" s="1127"/>
      <c r="U51" s="1127"/>
      <c r="V51" s="1130"/>
      <c r="X51" s="1131"/>
      <c r="Y51" s="1131"/>
      <c r="AA51" s="1127"/>
      <c r="AC51" s="1127"/>
      <c r="AD51" s="1127"/>
      <c r="AE51" s="1127"/>
      <c r="AG51" s="1127"/>
      <c r="AH51" s="1130"/>
      <c r="AJ51" s="1131"/>
      <c r="AK51" s="1131"/>
      <c r="AM51" s="1127"/>
      <c r="AN51" s="1128"/>
      <c r="AO51" s="1127"/>
      <c r="AP51" s="1127"/>
      <c r="AQ51" s="1127"/>
      <c r="AR51" s="1158"/>
      <c r="AS51" s="1127"/>
      <c r="AU51" s="1127"/>
      <c r="AV51" s="1127"/>
      <c r="AW51" s="1127"/>
      <c r="AY51" s="1127"/>
      <c r="BA51" s="1127"/>
      <c r="BB51" s="1127"/>
      <c r="BC51" s="1127"/>
    </row>
    <row r="52" spans="1:55">
      <c r="A52" s="1155"/>
      <c r="I52" s="1127" t="s">
        <v>1217</v>
      </c>
      <c r="L52" s="1127"/>
      <c r="M52" s="1127"/>
      <c r="O52" s="1127" t="s">
        <v>1217</v>
      </c>
      <c r="R52" s="1127"/>
      <c r="S52" s="1127"/>
      <c r="U52" s="1127" t="s">
        <v>1216</v>
      </c>
      <c r="X52" s="1127"/>
      <c r="Y52" s="1127"/>
      <c r="AA52" s="1127" t="s">
        <v>1216</v>
      </c>
      <c r="AD52" s="1127"/>
      <c r="AE52" s="1127"/>
      <c r="AG52" s="1127" t="s">
        <v>1216</v>
      </c>
      <c r="AJ52" s="1127"/>
      <c r="AK52" s="1127"/>
      <c r="AM52" s="1127" t="s">
        <v>1216</v>
      </c>
      <c r="AN52" s="1128"/>
      <c r="AP52" s="1127"/>
      <c r="AQ52" s="1127"/>
      <c r="AR52" s="1158"/>
      <c r="AS52" s="1127" t="s">
        <v>1216</v>
      </c>
      <c r="AV52" s="1127"/>
      <c r="AW52" s="1127"/>
      <c r="AY52" s="1127" t="s">
        <v>1216</v>
      </c>
      <c r="BB52" s="1127"/>
      <c r="BC52" s="1127"/>
    </row>
    <row r="53" spans="1:55">
      <c r="A53" s="1155"/>
      <c r="I53" s="1127" t="s">
        <v>1216</v>
      </c>
      <c r="L53" s="1127"/>
      <c r="M53" s="1127"/>
      <c r="O53" s="1127"/>
      <c r="R53" s="1127"/>
      <c r="S53" s="1127"/>
      <c r="U53" s="1127" t="s">
        <v>1217</v>
      </c>
      <c r="X53" s="1127"/>
      <c r="Y53" s="1127"/>
      <c r="AA53" s="1127" t="s">
        <v>1217</v>
      </c>
      <c r="AD53" s="1127"/>
      <c r="AE53" s="1127"/>
      <c r="AG53" s="1127" t="s">
        <v>1217</v>
      </c>
      <c r="AJ53" s="1127"/>
      <c r="AK53" s="1127"/>
      <c r="AM53" s="1127" t="s">
        <v>1218</v>
      </c>
      <c r="AN53" s="1128"/>
      <c r="AP53" s="1128"/>
      <c r="AQ53" s="1128"/>
      <c r="AR53" s="1158"/>
      <c r="AS53" s="1127" t="s">
        <v>1218</v>
      </c>
      <c r="AY53" s="1127" t="s">
        <v>1218</v>
      </c>
    </row>
    <row r="54" spans="1:55">
      <c r="A54" s="1155"/>
      <c r="I54" s="1127" t="s">
        <v>1213</v>
      </c>
      <c r="L54" s="1127"/>
      <c r="M54" s="1127"/>
      <c r="O54" s="1127" t="s">
        <v>1213</v>
      </c>
      <c r="R54" s="1127"/>
      <c r="S54" s="1127"/>
      <c r="U54" s="1127" t="s">
        <v>1213</v>
      </c>
      <c r="X54" s="1127"/>
      <c r="Y54" s="1127"/>
      <c r="AA54" s="1127" t="s">
        <v>1213</v>
      </c>
      <c r="AD54" s="1127"/>
      <c r="AE54" s="1127"/>
      <c r="AG54" s="1127" t="s">
        <v>1214</v>
      </c>
      <c r="AJ54" s="1127"/>
      <c r="AK54" s="1127"/>
      <c r="AM54" s="1127" t="s">
        <v>1217</v>
      </c>
      <c r="AN54" s="1128"/>
      <c r="AP54" s="1127"/>
      <c r="AQ54" s="1127"/>
      <c r="AR54" s="1158"/>
      <c r="AS54" s="1127" t="s">
        <v>1217</v>
      </c>
      <c r="AV54" s="1127"/>
      <c r="AW54" s="1127"/>
      <c r="AY54" s="1127" t="s">
        <v>1217</v>
      </c>
      <c r="BB54" s="1127"/>
      <c r="BC54" s="1127"/>
    </row>
    <row r="55" spans="1:55" ht="16.5">
      <c r="A55" s="1155"/>
      <c r="B55" s="1127"/>
      <c r="H55" s="1127"/>
      <c r="I55" s="1127"/>
      <c r="K55" s="1127"/>
      <c r="L55" s="1127"/>
      <c r="M55" s="1127"/>
      <c r="N55" s="1127"/>
      <c r="O55" s="1127" t="s">
        <v>1216</v>
      </c>
      <c r="R55" s="1127"/>
      <c r="S55" s="1127"/>
      <c r="T55" s="1127"/>
      <c r="Z55" s="1127"/>
      <c r="AG55" s="1127" t="s">
        <v>1213</v>
      </c>
      <c r="AJ55" s="1127"/>
      <c r="AK55" s="1127"/>
      <c r="AL55" s="1150"/>
      <c r="AM55" s="1127" t="s">
        <v>1214</v>
      </c>
      <c r="AN55" s="1128"/>
      <c r="AP55" s="1127"/>
      <c r="AQ55" s="1127"/>
      <c r="AR55" s="1158"/>
      <c r="AS55" s="1127" t="s">
        <v>1214</v>
      </c>
      <c r="AV55" s="1127"/>
      <c r="AW55" s="1127"/>
      <c r="AY55" s="1127" t="s">
        <v>1214</v>
      </c>
      <c r="BB55" s="1127"/>
      <c r="BC55" s="1127"/>
    </row>
    <row r="56" spans="1:55">
      <c r="A56" s="1155"/>
      <c r="B56" s="1127"/>
      <c r="C56" s="1127"/>
      <c r="F56" s="1127"/>
      <c r="G56" s="1127"/>
      <c r="H56" s="1127"/>
      <c r="I56" s="1127"/>
      <c r="J56" s="1127"/>
      <c r="K56" s="1127"/>
      <c r="L56" s="1127"/>
      <c r="M56" s="1127"/>
      <c r="N56" s="1127"/>
      <c r="T56" s="1127"/>
      <c r="Z56" s="1127"/>
      <c r="AM56" s="1127" t="s">
        <v>1213</v>
      </c>
      <c r="AN56" s="1128"/>
      <c r="AP56" s="1127"/>
      <c r="AQ56" s="1127"/>
      <c r="AR56" s="1158"/>
      <c r="AS56" s="1127" t="s">
        <v>1213</v>
      </c>
      <c r="AV56" s="1127"/>
      <c r="AW56" s="1127"/>
      <c r="AY56" s="1127" t="s">
        <v>1213</v>
      </c>
      <c r="BB56" s="1127"/>
      <c r="BC56" s="1127"/>
    </row>
    <row r="57" spans="1:55">
      <c r="A57" s="1155"/>
      <c r="B57" s="1156"/>
      <c r="C57" s="1155"/>
      <c r="D57" s="1155"/>
      <c r="E57" s="1156"/>
      <c r="F57" s="1156"/>
      <c r="G57" s="1155"/>
      <c r="H57" s="1155"/>
      <c r="I57" s="1158"/>
      <c r="J57" s="1158"/>
      <c r="K57" s="1158"/>
      <c r="L57" s="1158"/>
      <c r="M57" s="1158"/>
      <c r="N57" s="1158"/>
      <c r="O57" s="1158"/>
      <c r="P57" s="1158"/>
      <c r="Q57" s="1158"/>
      <c r="R57" s="1158"/>
      <c r="S57" s="1158"/>
      <c r="T57" s="1158"/>
      <c r="U57" s="1158"/>
      <c r="V57" s="1158"/>
      <c r="W57" s="1158"/>
      <c r="X57" s="1158"/>
      <c r="Y57" s="1158"/>
      <c r="Z57" s="1158"/>
      <c r="AA57" s="1158"/>
      <c r="AB57" s="1158"/>
      <c r="AC57" s="1158"/>
      <c r="AD57" s="1158"/>
      <c r="AE57" s="1158"/>
      <c r="AF57" s="1158"/>
      <c r="AG57" s="1158"/>
      <c r="AH57" s="1158"/>
      <c r="AI57" s="1158"/>
      <c r="AJ57" s="1158"/>
      <c r="AK57" s="1158"/>
      <c r="AL57" s="1158"/>
      <c r="AM57" s="1158"/>
      <c r="AN57" s="1158"/>
      <c r="AO57" s="1158"/>
      <c r="AP57" s="1158"/>
      <c r="AQ57" s="1158"/>
      <c r="AR57" s="1158"/>
      <c r="AS57" s="1127"/>
      <c r="AV57" s="1127"/>
      <c r="AW57" s="1127"/>
      <c r="AY57" s="1127"/>
      <c r="BB57" s="1127"/>
      <c r="BC57" s="1127"/>
    </row>
    <row r="58" spans="1:55">
      <c r="B58" s="1127"/>
      <c r="C58" s="1127"/>
      <c r="F58" s="1127"/>
      <c r="G58" s="1127"/>
      <c r="H58" s="1127"/>
      <c r="I58" s="1127"/>
      <c r="J58" s="1127"/>
      <c r="K58" s="1127"/>
      <c r="L58" s="1127"/>
      <c r="M58" s="1127"/>
      <c r="N58" s="1127"/>
      <c r="T58" s="1127"/>
      <c r="Z58" s="1127"/>
      <c r="AM58" s="1127"/>
      <c r="AN58" s="1128"/>
      <c r="AP58" s="1127"/>
      <c r="AQ58" s="1127"/>
      <c r="AR58" s="1128"/>
      <c r="AS58" s="1173"/>
      <c r="AT58" s="1174"/>
      <c r="AU58" s="1178"/>
      <c r="AV58" s="1176"/>
      <c r="AW58" s="1174"/>
      <c r="AY58" s="1173"/>
      <c r="AZ58" s="1174"/>
      <c r="BA58" s="1178"/>
      <c r="BB58" s="1176"/>
      <c r="BC58" s="1174"/>
    </row>
    <row r="59" spans="1:55">
      <c r="B59" s="1127"/>
      <c r="C59" s="1127"/>
      <c r="H59" s="1127"/>
      <c r="I59" s="1127"/>
      <c r="J59" s="1127"/>
      <c r="K59" s="1127"/>
      <c r="L59" s="1127"/>
      <c r="M59" s="1127"/>
      <c r="N59" s="1127"/>
      <c r="T59" s="1127"/>
      <c r="Z59" s="1127"/>
      <c r="AM59" s="1132"/>
      <c r="AN59" s="1133"/>
      <c r="AO59" s="1140"/>
      <c r="AP59" s="1134"/>
      <c r="AQ59" s="1133"/>
      <c r="AR59" s="1128"/>
      <c r="AS59" s="1135"/>
      <c r="AT59" s="1136"/>
      <c r="AU59" s="1134"/>
      <c r="AV59" s="1135"/>
      <c r="AW59" s="1136"/>
      <c r="AY59" s="1135"/>
      <c r="AZ59" s="1136"/>
      <c r="BA59" s="1134"/>
      <c r="BB59" s="1135"/>
      <c r="BC59" s="1136"/>
    </row>
    <row r="60" spans="1:55">
      <c r="B60" s="1127"/>
      <c r="C60" s="1127"/>
      <c r="F60" s="1127"/>
      <c r="G60" s="1127"/>
      <c r="H60" s="1127"/>
      <c r="I60" s="1127"/>
      <c r="J60" s="1127"/>
      <c r="K60" s="1127"/>
      <c r="L60" s="1127"/>
      <c r="M60" s="1127"/>
      <c r="N60" s="1127"/>
      <c r="T60" s="1127"/>
      <c r="Z60" s="1127"/>
      <c r="AG60" s="1132"/>
      <c r="AH60" s="1134"/>
      <c r="AI60" s="1132"/>
      <c r="AJ60" s="1132"/>
      <c r="AK60" s="1133"/>
      <c r="AM60" s="1135"/>
      <c r="AN60" s="1136"/>
      <c r="AO60" s="1142"/>
      <c r="AP60" s="1135"/>
      <c r="AQ60" s="1136"/>
      <c r="AR60" s="1128"/>
      <c r="AS60" s="1166"/>
      <c r="AT60" s="1168"/>
      <c r="AU60" s="1167"/>
      <c r="AV60" s="1166"/>
      <c r="AW60" s="1168"/>
      <c r="AY60" s="1137"/>
      <c r="AZ60" s="1138"/>
      <c r="BA60" s="1127"/>
      <c r="BB60" s="1137"/>
      <c r="BC60" s="1138"/>
    </row>
    <row r="61" spans="1:55">
      <c r="B61" s="1127"/>
      <c r="C61" s="1127"/>
      <c r="F61" s="1127"/>
      <c r="G61" s="1127"/>
      <c r="H61" s="1127"/>
      <c r="K61" s="1127"/>
      <c r="L61" s="1127"/>
      <c r="M61" s="1127"/>
      <c r="N61" s="1127"/>
      <c r="O61" s="1127"/>
      <c r="P61" s="1127"/>
      <c r="Q61" s="1127"/>
      <c r="R61" s="1127"/>
      <c r="S61" s="1127"/>
      <c r="T61" s="1127"/>
      <c r="Z61" s="1127"/>
      <c r="AA61" s="1132"/>
      <c r="AB61" s="1133"/>
      <c r="AC61" s="1140"/>
      <c r="AD61" s="1134"/>
      <c r="AE61" s="1133"/>
      <c r="AG61" s="1137"/>
      <c r="AH61" s="1139"/>
      <c r="AI61" s="1137"/>
      <c r="AJ61" s="1137"/>
      <c r="AK61" s="1138"/>
      <c r="AM61" s="1132"/>
      <c r="AN61" s="1133"/>
      <c r="AO61" s="1140"/>
      <c r="AP61" s="1132"/>
      <c r="AQ61" s="1133"/>
      <c r="AR61" s="1128"/>
      <c r="AS61" s="1135"/>
      <c r="AT61" s="1136"/>
      <c r="AU61" s="1140"/>
      <c r="AV61" s="1135"/>
      <c r="AW61" s="1136"/>
      <c r="AY61" s="1135"/>
      <c r="AZ61" s="1136"/>
      <c r="BA61" s="1140"/>
      <c r="BB61" s="1135"/>
      <c r="BC61" s="1136"/>
    </row>
    <row r="62" spans="1:55">
      <c r="B62" s="1127"/>
      <c r="C62" s="1127"/>
      <c r="H62" s="1127"/>
      <c r="I62" s="1127"/>
      <c r="J62" s="1127"/>
      <c r="K62" s="1127"/>
      <c r="L62" s="1127"/>
      <c r="M62" s="1127"/>
      <c r="O62" s="1127"/>
      <c r="P62" s="1127"/>
      <c r="T62" s="1127"/>
      <c r="U62" s="1132"/>
      <c r="V62" s="1134"/>
      <c r="W62" s="1140"/>
      <c r="X62" s="1134"/>
      <c r="Y62" s="1133"/>
      <c r="Z62" s="1127"/>
      <c r="AA62" s="1135"/>
      <c r="AB62" s="1136"/>
      <c r="AC62" s="1142"/>
      <c r="AD62" s="1127"/>
      <c r="AE62" s="1136"/>
      <c r="AG62" s="1137"/>
      <c r="AH62" s="1138"/>
      <c r="AI62" s="1143"/>
      <c r="AJ62" s="1137"/>
      <c r="AK62" s="1138"/>
      <c r="AM62" s="1137"/>
      <c r="AN62" s="1138"/>
      <c r="AO62" s="1143"/>
      <c r="AP62" s="1137"/>
      <c r="AQ62" s="1138"/>
      <c r="AR62" s="1128"/>
      <c r="AS62" s="1137"/>
      <c r="AT62" s="1138"/>
      <c r="AU62" s="1143"/>
      <c r="AV62" s="1137"/>
      <c r="AW62" s="1138"/>
      <c r="AY62" s="1137"/>
      <c r="AZ62" s="1138"/>
      <c r="BA62" s="1143"/>
      <c r="BB62" s="1137"/>
      <c r="BC62" s="1138"/>
    </row>
    <row r="63" spans="1:55">
      <c r="B63" s="1127"/>
      <c r="C63" s="1127"/>
      <c r="D63" s="1130"/>
      <c r="F63" s="1131"/>
      <c r="G63" s="1131"/>
      <c r="H63" s="1127"/>
      <c r="I63" s="1127"/>
      <c r="K63" s="1127"/>
      <c r="L63" s="1127"/>
      <c r="M63" s="1127"/>
      <c r="O63" s="1132"/>
      <c r="P63" s="1133"/>
      <c r="Q63" s="1134"/>
      <c r="R63" s="1132"/>
      <c r="S63" s="1133"/>
      <c r="T63" s="1127"/>
      <c r="U63" s="1137"/>
      <c r="V63" s="1139"/>
      <c r="W63" s="1143"/>
      <c r="X63" s="1139"/>
      <c r="Y63" s="1138"/>
      <c r="Z63" s="1127"/>
      <c r="AA63" s="1132"/>
      <c r="AB63" s="1133"/>
      <c r="AC63" s="1140"/>
      <c r="AD63" s="1134"/>
      <c r="AE63" s="1133"/>
      <c r="AG63" s="1141"/>
      <c r="AH63" s="1136"/>
      <c r="AI63" s="1136"/>
      <c r="AJ63" s="1132"/>
      <c r="AK63" s="1133"/>
      <c r="AM63" s="1135"/>
      <c r="AN63" s="1136"/>
      <c r="AO63" s="1136"/>
      <c r="AP63" s="1132"/>
      <c r="AQ63" s="1133"/>
      <c r="AR63" s="1128"/>
      <c r="AS63" s="1135"/>
      <c r="AT63" s="1136"/>
      <c r="AU63" s="1136"/>
      <c r="AV63" s="1132"/>
      <c r="AW63" s="1133"/>
      <c r="AY63" s="1135"/>
      <c r="AZ63" s="1136"/>
      <c r="BA63" s="1136"/>
      <c r="BB63" s="1132"/>
      <c r="BC63" s="1133"/>
    </row>
    <row r="64" spans="1:55">
      <c r="B64" s="1127"/>
      <c r="C64" s="1127"/>
      <c r="E64" s="1127"/>
      <c r="F64" s="1127"/>
      <c r="G64" s="1127"/>
      <c r="H64" s="1127"/>
      <c r="I64" s="1132"/>
      <c r="J64" s="1134"/>
      <c r="K64" s="1140"/>
      <c r="L64" s="1134"/>
      <c r="M64" s="1133"/>
      <c r="O64" s="1135"/>
      <c r="P64" s="1136"/>
      <c r="Q64" s="1127"/>
      <c r="R64" s="1135"/>
      <c r="S64" s="1136"/>
      <c r="T64" s="1127"/>
      <c r="U64" s="1137"/>
      <c r="V64" s="1138"/>
      <c r="W64" s="1143"/>
      <c r="X64" s="1139"/>
      <c r="Y64" s="1138"/>
      <c r="AA64" s="1137"/>
      <c r="AB64" s="1138"/>
      <c r="AC64" s="1143"/>
      <c r="AD64" s="1139"/>
      <c r="AE64" s="1138"/>
      <c r="AG64" s="1137"/>
      <c r="AH64" s="1138"/>
      <c r="AI64" s="1138"/>
      <c r="AJ64" s="1137"/>
      <c r="AK64" s="1138"/>
      <c r="AM64" s="1137"/>
      <c r="AN64" s="1138"/>
      <c r="AO64" s="1138"/>
      <c r="AP64" s="1137"/>
      <c r="AQ64" s="1138"/>
      <c r="AR64" s="1128"/>
      <c r="AS64" s="1137"/>
      <c r="AT64" s="1138"/>
      <c r="AU64" s="1138"/>
      <c r="AV64" s="1137"/>
      <c r="AW64" s="1138"/>
      <c r="AY64" s="1137"/>
      <c r="AZ64" s="1138"/>
      <c r="BA64" s="1138"/>
      <c r="BB64" s="1137"/>
      <c r="BC64" s="1138"/>
    </row>
    <row r="65" spans="1:55">
      <c r="B65" s="1127"/>
      <c r="C65" s="1132"/>
      <c r="D65" s="1133"/>
      <c r="E65" s="1140"/>
      <c r="F65" s="1134"/>
      <c r="G65" s="1133"/>
      <c r="H65" s="1127"/>
      <c r="I65" s="1135"/>
      <c r="J65" s="1127"/>
      <c r="K65" s="1143"/>
      <c r="L65" s="1127"/>
      <c r="M65" s="1136"/>
      <c r="O65" s="1132"/>
      <c r="P65" s="1133"/>
      <c r="Q65" s="1134"/>
      <c r="R65" s="1132"/>
      <c r="S65" s="1133"/>
      <c r="T65" s="1127"/>
      <c r="U65" s="1135"/>
      <c r="V65" s="1136"/>
      <c r="W65" s="1142"/>
      <c r="X65" s="1127"/>
      <c r="Y65" s="1136"/>
      <c r="AA65" s="1135"/>
      <c r="AB65" s="1136"/>
      <c r="AC65" s="1142"/>
      <c r="AD65" s="1127"/>
      <c r="AE65" s="1136"/>
      <c r="AF65" s="1127"/>
      <c r="AG65" s="1135"/>
      <c r="AH65" s="1136"/>
      <c r="AI65" s="1136"/>
      <c r="AJ65" s="1135"/>
      <c r="AK65" s="1136"/>
      <c r="AM65" s="1135"/>
      <c r="AN65" s="1136"/>
      <c r="AO65" s="1136"/>
      <c r="AP65" s="1135"/>
      <c r="AQ65" s="1136"/>
      <c r="AR65" s="1128"/>
      <c r="AS65" s="1135"/>
      <c r="AT65" s="1136"/>
      <c r="AU65" s="1136"/>
      <c r="AV65" s="1135"/>
      <c r="AW65" s="1136"/>
      <c r="AY65" s="1135"/>
      <c r="AZ65" s="1136"/>
      <c r="BA65" s="1136"/>
      <c r="BB65" s="1135"/>
      <c r="BC65" s="1136"/>
    </row>
    <row r="66" spans="1:55">
      <c r="B66" s="1127"/>
      <c r="C66" s="1137"/>
      <c r="D66" s="1138"/>
      <c r="E66" s="1143"/>
      <c r="F66" s="1139"/>
      <c r="G66" s="1138"/>
      <c r="H66" s="1144"/>
      <c r="I66" s="1166"/>
      <c r="J66" s="1168"/>
      <c r="K66" s="1139"/>
      <c r="L66" s="1166"/>
      <c r="M66" s="1168"/>
      <c r="N66" s="1144"/>
      <c r="O66" s="1137"/>
      <c r="P66" s="1138"/>
      <c r="Q66" s="1139"/>
      <c r="R66" s="1137"/>
      <c r="S66" s="1138"/>
      <c r="T66" s="1144"/>
      <c r="U66" s="1137"/>
      <c r="V66" s="1138"/>
      <c r="W66" s="1143"/>
      <c r="X66" s="1139"/>
      <c r="Y66" s="1138"/>
      <c r="Z66" s="1144"/>
      <c r="AA66" s="1137"/>
      <c r="AB66" s="1138"/>
      <c r="AC66" s="1143"/>
      <c r="AD66" s="1139"/>
      <c r="AE66" s="1138"/>
      <c r="AF66" s="1144"/>
      <c r="AG66" s="1137"/>
      <c r="AH66" s="1138"/>
      <c r="AI66" s="1138"/>
      <c r="AJ66" s="1137"/>
      <c r="AK66" s="1138"/>
      <c r="AL66" s="1144"/>
      <c r="AM66" s="1137"/>
      <c r="AN66" s="1138"/>
      <c r="AO66" s="1138"/>
      <c r="AP66" s="1137"/>
      <c r="AQ66" s="1138"/>
      <c r="AR66" s="1145"/>
      <c r="AS66" s="1137"/>
      <c r="AT66" s="1138"/>
      <c r="AU66" s="1138"/>
      <c r="AV66" s="1137"/>
      <c r="AW66" s="1138"/>
      <c r="AY66" s="1137"/>
      <c r="AZ66" s="1138"/>
      <c r="BA66" s="1138"/>
      <c r="BB66" s="1137"/>
      <c r="BC66" s="1138"/>
    </row>
    <row r="67" spans="1:55">
      <c r="B67" s="1146"/>
      <c r="C67" s="1680" t="s">
        <v>1220</v>
      </c>
      <c r="D67" s="1680"/>
      <c r="E67" s="1680"/>
      <c r="F67" s="1680"/>
      <c r="G67" s="1680"/>
      <c r="H67" s="1151"/>
      <c r="I67" s="1681" t="s">
        <v>1221</v>
      </c>
      <c r="J67" s="1681"/>
      <c r="K67" s="1680"/>
      <c r="L67" s="1681"/>
      <c r="M67" s="1681"/>
      <c r="N67" s="1152"/>
      <c r="O67" s="1681" t="s">
        <v>1222</v>
      </c>
      <c r="P67" s="1681"/>
      <c r="Q67" s="1680"/>
      <c r="R67" s="1681"/>
      <c r="S67" s="1681"/>
      <c r="T67" s="1152"/>
      <c r="U67" s="1680" t="s">
        <v>1223</v>
      </c>
      <c r="V67" s="1680"/>
      <c r="W67" s="1680"/>
      <c r="X67" s="1680"/>
      <c r="Y67" s="1680"/>
      <c r="Z67" s="1152"/>
      <c r="AA67" s="1680" t="s">
        <v>1224</v>
      </c>
      <c r="AB67" s="1680"/>
      <c r="AC67" s="1680"/>
      <c r="AD67" s="1680"/>
      <c r="AE67" s="1680"/>
      <c r="AF67" s="1152"/>
      <c r="AG67" s="1680" t="s">
        <v>1225</v>
      </c>
      <c r="AH67" s="1680"/>
      <c r="AI67" s="1680"/>
      <c r="AJ67" s="1680"/>
      <c r="AK67" s="1680"/>
      <c r="AL67" s="1152"/>
      <c r="AM67" s="1680" t="s">
        <v>1226</v>
      </c>
      <c r="AN67" s="1680"/>
      <c r="AO67" s="1680"/>
      <c r="AP67" s="1680"/>
      <c r="AQ67" s="1680"/>
      <c r="AR67" s="1149"/>
      <c r="AS67" s="1680" t="s">
        <v>2510</v>
      </c>
      <c r="AT67" s="1680"/>
      <c r="AU67" s="1680"/>
      <c r="AV67" s="1680"/>
      <c r="AW67" s="1680"/>
      <c r="AY67" s="1680" t="s">
        <v>2511</v>
      </c>
      <c r="AZ67" s="1680"/>
      <c r="BA67" s="1680"/>
      <c r="BB67" s="1680"/>
      <c r="BC67" s="1680"/>
    </row>
    <row r="68" spans="1:55">
      <c r="B68" s="1146"/>
      <c r="C68" s="1153"/>
      <c r="D68" s="1153"/>
      <c r="E68" s="1153"/>
      <c r="F68" s="1153"/>
      <c r="G68" s="1153"/>
      <c r="H68" s="1151"/>
      <c r="I68" s="1153"/>
      <c r="J68" s="1153"/>
      <c r="K68" s="1153"/>
      <c r="L68" s="1153"/>
      <c r="M68" s="1153"/>
      <c r="N68" s="1152"/>
      <c r="O68" s="1153"/>
      <c r="P68" s="1153"/>
      <c r="Q68" s="1153"/>
      <c r="R68" s="1153"/>
      <c r="S68" s="1153"/>
      <c r="T68" s="1152"/>
      <c r="U68" s="1153"/>
      <c r="V68" s="1153"/>
      <c r="W68" s="1153"/>
      <c r="X68" s="1153"/>
      <c r="Y68" s="1153"/>
      <c r="Z68" s="1152"/>
      <c r="AA68" s="1153"/>
      <c r="AB68" s="1153"/>
      <c r="AC68" s="1153"/>
      <c r="AD68" s="1153"/>
      <c r="AE68" s="1153"/>
      <c r="AF68" s="1152"/>
      <c r="AG68" s="1154" t="s">
        <v>2484</v>
      </c>
      <c r="AH68" s="1153"/>
      <c r="AI68" s="1153"/>
      <c r="AJ68" s="1153"/>
      <c r="AK68" s="1153"/>
      <c r="AL68" s="1152"/>
      <c r="AM68" s="1154" t="s">
        <v>2484</v>
      </c>
      <c r="AN68" s="1153"/>
      <c r="AO68" s="1153"/>
      <c r="AP68" s="1153"/>
      <c r="AQ68" s="1153"/>
      <c r="AR68" s="1149"/>
      <c r="AS68" s="1154" t="s">
        <v>2484</v>
      </c>
      <c r="AT68" s="1153"/>
      <c r="AU68" s="1153"/>
      <c r="AV68" s="1153"/>
      <c r="AW68" s="1153"/>
      <c r="AY68" s="1154" t="s">
        <v>2484</v>
      </c>
      <c r="AZ68" s="1153"/>
      <c r="BA68" s="1153"/>
      <c r="BB68" s="1153"/>
      <c r="BC68" s="1153"/>
    </row>
    <row r="69" spans="1:55">
      <c r="B69" s="1146"/>
      <c r="C69" s="1153"/>
      <c r="D69" s="1153"/>
      <c r="E69" s="1153"/>
      <c r="F69" s="1153"/>
      <c r="G69" s="1153"/>
      <c r="H69" s="1151"/>
      <c r="I69" s="1153"/>
      <c r="J69" s="1153"/>
      <c r="K69" s="1153"/>
      <c r="L69" s="1153"/>
      <c r="M69" s="1153"/>
      <c r="N69" s="1152"/>
      <c r="O69" s="1153"/>
      <c r="P69" s="1153"/>
      <c r="Q69" s="1153"/>
      <c r="R69" s="1153"/>
      <c r="S69" s="1153"/>
      <c r="T69" s="1152"/>
      <c r="U69" s="1154" t="s">
        <v>2484</v>
      </c>
      <c r="V69" s="1153"/>
      <c r="W69" s="1153"/>
      <c r="X69" s="1153"/>
      <c r="Y69" s="1153"/>
      <c r="Z69" s="1152"/>
      <c r="AA69" s="1154" t="s">
        <v>2484</v>
      </c>
      <c r="AB69" s="1153"/>
      <c r="AC69" s="1153"/>
      <c r="AD69" s="1153"/>
      <c r="AE69" s="1153"/>
      <c r="AF69" s="1152"/>
      <c r="AG69" s="1154" t="s">
        <v>2485</v>
      </c>
      <c r="AH69" s="1153"/>
      <c r="AI69" s="1153"/>
      <c r="AJ69" s="1153"/>
      <c r="AK69" s="1153"/>
      <c r="AL69" s="1152"/>
      <c r="AM69" s="1154" t="s">
        <v>2485</v>
      </c>
      <c r="AN69" s="1153"/>
      <c r="AO69" s="1153"/>
      <c r="AP69" s="1153"/>
      <c r="AQ69" s="1153"/>
      <c r="AR69" s="1149"/>
      <c r="AS69" s="1154" t="s">
        <v>2485</v>
      </c>
      <c r="AT69" s="1153"/>
      <c r="AU69" s="1153"/>
      <c r="AV69" s="1153"/>
      <c r="AW69" s="1153"/>
      <c r="AY69" s="1154" t="s">
        <v>2485</v>
      </c>
      <c r="AZ69" s="1153"/>
      <c r="BA69" s="1153"/>
      <c r="BB69" s="1153"/>
      <c r="BC69" s="1153"/>
    </row>
    <row r="70" spans="1:55">
      <c r="B70" s="1146"/>
      <c r="C70" s="1153"/>
      <c r="D70" s="1153"/>
      <c r="E70" s="1153"/>
      <c r="F70" s="1153"/>
      <c r="G70" s="1153"/>
      <c r="H70" s="1151"/>
      <c r="I70" s="1154" t="s">
        <v>2484</v>
      </c>
      <c r="J70" s="1153"/>
      <c r="K70" s="1153"/>
      <c r="L70" s="1153"/>
      <c r="M70" s="1153"/>
      <c r="N70" s="1152"/>
      <c r="O70" s="1154" t="s">
        <v>2484</v>
      </c>
      <c r="P70" s="1153"/>
      <c r="Q70" s="1153"/>
      <c r="R70" s="1153"/>
      <c r="S70" s="1153"/>
      <c r="T70" s="1152"/>
      <c r="U70" s="1154" t="s">
        <v>2485</v>
      </c>
      <c r="V70" s="1153"/>
      <c r="W70" s="1153"/>
      <c r="X70" s="1153"/>
      <c r="Y70" s="1153"/>
      <c r="Z70" s="1152"/>
      <c r="AA70" s="1154" t="s">
        <v>2485</v>
      </c>
      <c r="AB70" s="1153"/>
      <c r="AC70" s="1153"/>
      <c r="AD70" s="1153"/>
      <c r="AE70" s="1153"/>
      <c r="AF70" s="1152"/>
      <c r="AG70" s="1154" t="s">
        <v>2484</v>
      </c>
      <c r="AH70" s="1153"/>
      <c r="AI70" s="1153"/>
      <c r="AJ70" s="1153"/>
      <c r="AK70" s="1153"/>
      <c r="AL70" s="1152"/>
      <c r="AM70" s="1154" t="s">
        <v>2484</v>
      </c>
      <c r="AN70" s="1153"/>
      <c r="AO70" s="1153"/>
      <c r="AP70" s="1153"/>
      <c r="AQ70" s="1153"/>
      <c r="AR70" s="1149"/>
      <c r="AS70" s="1154" t="s">
        <v>2484</v>
      </c>
      <c r="AT70" s="1153"/>
      <c r="AU70" s="1153"/>
      <c r="AV70" s="1153"/>
      <c r="AW70" s="1153"/>
      <c r="AY70" s="1154" t="s">
        <v>2484</v>
      </c>
      <c r="AZ70" s="1153"/>
      <c r="BA70" s="1153"/>
      <c r="BB70" s="1153"/>
      <c r="BC70" s="1153"/>
    </row>
    <row r="71" spans="1:55">
      <c r="B71" s="1146"/>
      <c r="C71" s="1153"/>
      <c r="D71" s="1153"/>
      <c r="E71" s="1153"/>
      <c r="F71" s="1153"/>
      <c r="G71" s="1153"/>
      <c r="H71" s="1151"/>
      <c r="I71" s="1154" t="s">
        <v>2487</v>
      </c>
      <c r="J71" s="1153"/>
      <c r="K71" s="1153"/>
      <c r="L71" s="1153"/>
      <c r="M71" s="1153"/>
      <c r="N71" s="1152"/>
      <c r="O71" s="1154" t="s">
        <v>2487</v>
      </c>
      <c r="P71" s="1153"/>
      <c r="Q71" s="1153"/>
      <c r="R71" s="1153"/>
      <c r="S71" s="1153"/>
      <c r="T71" s="1152"/>
      <c r="U71" s="1154" t="s">
        <v>2487</v>
      </c>
      <c r="V71" s="1153"/>
      <c r="W71" s="1153"/>
      <c r="X71" s="1153"/>
      <c r="Y71" s="1153"/>
      <c r="Z71" s="1152"/>
      <c r="AA71" s="1154" t="s">
        <v>2487</v>
      </c>
      <c r="AB71" s="1153"/>
      <c r="AC71" s="1153"/>
      <c r="AD71" s="1153"/>
      <c r="AE71" s="1153"/>
      <c r="AF71" s="1152"/>
      <c r="AG71" s="1154" t="s">
        <v>2487</v>
      </c>
      <c r="AH71" s="1153"/>
      <c r="AI71" s="1153"/>
      <c r="AJ71" s="1153"/>
      <c r="AK71" s="1153"/>
      <c r="AL71" s="1152"/>
      <c r="AM71" s="1154" t="s">
        <v>2487</v>
      </c>
      <c r="AN71" s="1153"/>
      <c r="AO71" s="1153"/>
      <c r="AP71" s="1153"/>
      <c r="AQ71" s="1153"/>
      <c r="AR71" s="1149"/>
      <c r="AS71" s="1154" t="s">
        <v>2487</v>
      </c>
      <c r="AT71" s="1153"/>
      <c r="AU71" s="1153"/>
      <c r="AV71" s="1153"/>
      <c r="AW71" s="1153"/>
      <c r="AY71" s="1154" t="s">
        <v>2487</v>
      </c>
      <c r="AZ71" s="1153"/>
      <c r="BA71" s="1153"/>
      <c r="BB71" s="1153"/>
      <c r="BC71" s="1153"/>
    </row>
    <row r="72" spans="1:55">
      <c r="B72" s="1146"/>
      <c r="C72" s="1153"/>
      <c r="D72" s="1153"/>
      <c r="E72" s="1153"/>
      <c r="F72" s="1153"/>
      <c r="G72" s="1153"/>
      <c r="H72" s="1151"/>
      <c r="I72" s="1154"/>
      <c r="J72" s="1153"/>
      <c r="K72" s="1153"/>
      <c r="L72" s="1153"/>
      <c r="M72" s="1153"/>
      <c r="N72" s="1152"/>
      <c r="O72" s="1154"/>
      <c r="P72" s="1153"/>
      <c r="Q72" s="1153"/>
      <c r="R72" s="1153"/>
      <c r="S72" s="1153"/>
      <c r="T72" s="1152"/>
      <c r="U72" s="1154"/>
      <c r="V72" s="1153"/>
      <c r="W72" s="1153"/>
      <c r="X72" s="1153"/>
      <c r="Y72" s="1153"/>
      <c r="Z72" s="1152"/>
      <c r="AA72" s="1154" t="s">
        <v>2488</v>
      </c>
      <c r="AB72" s="1153"/>
      <c r="AC72" s="1153"/>
      <c r="AD72" s="1153"/>
      <c r="AE72" s="1153"/>
      <c r="AF72" s="1152"/>
      <c r="AG72" s="1154" t="s">
        <v>2488</v>
      </c>
      <c r="AH72" s="1153"/>
      <c r="AI72" s="1153"/>
      <c r="AJ72" s="1153"/>
      <c r="AK72" s="1153"/>
      <c r="AL72" s="1152"/>
      <c r="AM72" s="1154" t="s">
        <v>2488</v>
      </c>
      <c r="AN72" s="1153"/>
      <c r="AO72" s="1153"/>
      <c r="AP72" s="1153"/>
      <c r="AQ72" s="1153"/>
      <c r="AR72" s="1149"/>
      <c r="AS72" s="1154" t="s">
        <v>2488</v>
      </c>
      <c r="AT72" s="1153"/>
      <c r="AU72" s="1153"/>
      <c r="AV72" s="1153"/>
      <c r="AW72" s="1153"/>
      <c r="AY72" s="1154" t="s">
        <v>2488</v>
      </c>
      <c r="AZ72" s="1153"/>
      <c r="BA72" s="1153"/>
      <c r="BB72" s="1153"/>
      <c r="BC72" s="1153"/>
    </row>
    <row r="73" spans="1:55">
      <c r="B73" s="1146"/>
      <c r="C73" s="1153"/>
      <c r="D73" s="1153"/>
      <c r="E73" s="1153"/>
      <c r="F73" s="1153"/>
      <c r="G73" s="1153"/>
      <c r="H73" s="1151"/>
      <c r="I73" s="1154"/>
      <c r="J73" s="1153"/>
      <c r="K73" s="1153"/>
      <c r="L73" s="1153"/>
      <c r="M73" s="1153"/>
      <c r="N73" s="1152"/>
      <c r="O73" s="1154"/>
      <c r="P73" s="1153"/>
      <c r="Q73" s="1153"/>
      <c r="R73" s="1153"/>
      <c r="S73" s="1153"/>
      <c r="T73" s="1152"/>
      <c r="U73" s="1154"/>
      <c r="V73" s="1153"/>
      <c r="W73" s="1153"/>
      <c r="X73" s="1153"/>
      <c r="Y73" s="1153"/>
      <c r="Z73" s="1152"/>
      <c r="AA73" s="1154"/>
      <c r="AB73" s="1153"/>
      <c r="AC73" s="1153"/>
      <c r="AD73" s="1153"/>
      <c r="AE73" s="1153"/>
      <c r="AF73" s="1152"/>
      <c r="AG73" s="1154" t="s">
        <v>3160</v>
      </c>
      <c r="AH73" s="1153"/>
      <c r="AI73" s="1153"/>
      <c r="AJ73" s="1153"/>
      <c r="AK73" s="1153"/>
      <c r="AL73" s="1152"/>
      <c r="AM73" s="1154" t="s">
        <v>3160</v>
      </c>
      <c r="AN73" s="1153"/>
      <c r="AO73" s="1153"/>
      <c r="AP73" s="1153"/>
      <c r="AQ73" s="1153"/>
      <c r="AR73" s="1149"/>
      <c r="AS73" s="1154" t="s">
        <v>3160</v>
      </c>
      <c r="AT73" s="1153"/>
      <c r="AU73" s="1153"/>
      <c r="AV73" s="1153"/>
      <c r="AW73" s="1153"/>
      <c r="AY73" s="1154" t="s">
        <v>3160</v>
      </c>
      <c r="AZ73" s="1153"/>
      <c r="BA73" s="1153"/>
      <c r="BB73" s="1153"/>
      <c r="BC73" s="1153"/>
    </row>
    <row r="74" spans="1:55">
      <c r="B74" s="1156"/>
      <c r="C74" s="1156"/>
      <c r="D74" s="1156"/>
      <c r="E74" s="1156"/>
      <c r="F74" s="1156"/>
      <c r="G74" s="1156"/>
      <c r="H74" s="1156"/>
      <c r="I74" s="1155" t="s">
        <v>1230</v>
      </c>
      <c r="J74" s="1156"/>
      <c r="K74" s="1156"/>
      <c r="L74" s="1156"/>
      <c r="M74" s="1156"/>
      <c r="N74" s="1156"/>
      <c r="O74" s="1155" t="s">
        <v>1230</v>
      </c>
      <c r="P74" s="1156"/>
      <c r="Q74" s="1156"/>
      <c r="R74" s="1156"/>
      <c r="S74" s="1156"/>
      <c r="T74" s="1156"/>
      <c r="U74" s="1155" t="s">
        <v>1230</v>
      </c>
      <c r="V74" s="1156"/>
      <c r="W74" s="1156"/>
      <c r="X74" s="1156"/>
      <c r="Y74" s="1156"/>
      <c r="Z74" s="1156"/>
      <c r="AA74" s="1155" t="s">
        <v>1705</v>
      </c>
      <c r="AB74" s="1156"/>
      <c r="AC74" s="1156"/>
      <c r="AD74" s="1156"/>
      <c r="AE74" s="1156"/>
      <c r="AF74" s="1156"/>
      <c r="AG74" s="1155" t="s">
        <v>1705</v>
      </c>
      <c r="AH74" s="1156"/>
      <c r="AI74" s="1156"/>
      <c r="AJ74" s="1156"/>
      <c r="AK74" s="1156"/>
      <c r="AL74" s="1156"/>
      <c r="AM74" s="1155" t="s">
        <v>1705</v>
      </c>
      <c r="AN74" s="1157"/>
      <c r="AO74" s="1156"/>
      <c r="AP74" s="1158"/>
      <c r="AQ74" s="1158"/>
      <c r="AR74" s="1158"/>
      <c r="AS74" s="1155" t="s">
        <v>1705</v>
      </c>
      <c r="AT74" s="1157"/>
      <c r="AU74" s="1156"/>
      <c r="AV74" s="1158"/>
      <c r="AW74" s="1158"/>
      <c r="AY74" s="1155" t="s">
        <v>1705</v>
      </c>
      <c r="AZ74" s="1157"/>
      <c r="BA74" s="1156"/>
      <c r="BB74" s="1158"/>
      <c r="BC74" s="1158"/>
    </row>
    <row r="75" spans="1:55">
      <c r="B75" s="1156"/>
      <c r="C75" s="1156"/>
      <c r="D75" s="1156"/>
      <c r="E75" s="1156"/>
      <c r="F75" s="1156"/>
      <c r="G75" s="1156"/>
      <c r="H75" s="1156"/>
      <c r="I75" s="1156"/>
      <c r="J75" s="1156"/>
      <c r="K75" s="1156"/>
      <c r="L75" s="1156"/>
      <c r="M75" s="1156"/>
      <c r="N75" s="1156"/>
      <c r="O75" s="1156"/>
      <c r="P75" s="1156"/>
      <c r="Q75" s="1156"/>
      <c r="R75" s="1156"/>
      <c r="S75" s="1156"/>
      <c r="T75" s="1156"/>
      <c r="U75" s="1155" t="s">
        <v>1230</v>
      </c>
      <c r="V75" s="1156"/>
      <c r="W75" s="1156"/>
      <c r="X75" s="1156"/>
      <c r="Y75" s="1156"/>
      <c r="Z75" s="1156"/>
      <c r="AA75" s="1155" t="s">
        <v>1230</v>
      </c>
      <c r="AB75" s="1156"/>
      <c r="AC75" s="1156"/>
      <c r="AD75" s="1156"/>
      <c r="AE75" s="1156"/>
      <c r="AF75" s="1156"/>
      <c r="AG75" s="1155" t="s">
        <v>1230</v>
      </c>
      <c r="AH75" s="1156"/>
      <c r="AI75" s="1156"/>
      <c r="AJ75" s="1156"/>
      <c r="AK75" s="1156"/>
      <c r="AL75" s="1156"/>
      <c r="AM75" s="1155" t="s">
        <v>1705</v>
      </c>
      <c r="AN75" s="1156"/>
      <c r="AO75" s="1156"/>
      <c r="AP75" s="1156"/>
      <c r="AQ75" s="1156"/>
      <c r="AR75" s="1155"/>
      <c r="AS75" s="1155" t="s">
        <v>1705</v>
      </c>
      <c r="AT75" s="1156"/>
      <c r="AU75" s="1156"/>
      <c r="AV75" s="1156"/>
      <c r="AW75" s="1156"/>
      <c r="AY75" s="1155" t="s">
        <v>1705</v>
      </c>
      <c r="AZ75" s="1156"/>
      <c r="BA75" s="1156"/>
      <c r="BB75" s="1156"/>
      <c r="BC75" s="1156"/>
    </row>
    <row r="76" spans="1:55">
      <c r="B76" s="1156"/>
      <c r="C76" s="1155"/>
      <c r="D76" s="1156"/>
      <c r="E76" s="1156"/>
      <c r="F76" s="1156"/>
      <c r="G76" s="1156"/>
      <c r="H76" s="1156"/>
      <c r="I76" s="1684"/>
      <c r="J76" s="1684"/>
      <c r="K76" s="1684"/>
      <c r="L76" s="1684"/>
      <c r="M76" s="1684"/>
      <c r="N76" s="1684"/>
      <c r="O76" s="1684"/>
      <c r="P76" s="1684"/>
      <c r="Q76" s="1684"/>
      <c r="R76" s="1684"/>
      <c r="S76" s="1684"/>
      <c r="T76" s="1684"/>
      <c r="U76" s="1684"/>
      <c r="V76" s="1684"/>
      <c r="W76" s="1684"/>
      <c r="X76" s="1684"/>
      <c r="Y76" s="1684"/>
      <c r="Z76" s="1684"/>
      <c r="AA76" s="1684"/>
      <c r="AB76" s="1684"/>
      <c r="AC76" s="1684"/>
      <c r="AD76" s="1684"/>
      <c r="AE76" s="1684"/>
      <c r="AF76" s="1684"/>
      <c r="AG76" s="1155" t="s">
        <v>1230</v>
      </c>
      <c r="AH76" s="1156"/>
      <c r="AI76" s="1156"/>
      <c r="AJ76" s="1156"/>
      <c r="AK76" s="1156"/>
      <c r="AL76" s="1156"/>
      <c r="AM76" s="1155" t="s">
        <v>1230</v>
      </c>
      <c r="AN76" s="1156"/>
      <c r="AO76" s="1156"/>
      <c r="AP76" s="1156"/>
      <c r="AQ76" s="1156"/>
      <c r="AR76" s="1155"/>
      <c r="AS76" s="1155" t="s">
        <v>1230</v>
      </c>
      <c r="AT76" s="1156"/>
      <c r="AU76" s="1156"/>
      <c r="AV76" s="1156"/>
      <c r="AW76" s="1156"/>
      <c r="AY76" s="1155" t="s">
        <v>1705</v>
      </c>
      <c r="AZ76" s="1156"/>
      <c r="BA76" s="1156"/>
      <c r="BB76" s="1156"/>
      <c r="BC76" s="1156"/>
    </row>
    <row r="77" spans="1:55">
      <c r="B77" s="1156"/>
      <c r="C77" s="1155"/>
      <c r="D77" s="1155"/>
      <c r="E77" s="1156"/>
      <c r="F77" s="1156"/>
      <c r="G77" s="1155"/>
      <c r="H77" s="1155"/>
      <c r="I77" s="1684"/>
      <c r="J77" s="1684"/>
      <c r="K77" s="1684"/>
      <c r="L77" s="1684"/>
      <c r="M77" s="1684"/>
      <c r="N77" s="1684"/>
      <c r="O77" s="1684"/>
      <c r="P77" s="1684"/>
      <c r="Q77" s="1684"/>
      <c r="R77" s="1684"/>
      <c r="S77" s="1684"/>
      <c r="T77" s="1684"/>
      <c r="U77" s="1684"/>
      <c r="V77" s="1684"/>
      <c r="W77" s="1684"/>
      <c r="X77" s="1684"/>
      <c r="Y77" s="1684"/>
      <c r="Z77" s="1684"/>
      <c r="AA77" s="1684"/>
      <c r="AB77" s="1684"/>
      <c r="AC77" s="1684"/>
      <c r="AD77" s="1684"/>
      <c r="AE77" s="1684"/>
      <c r="AF77" s="1684"/>
      <c r="AG77" s="1684"/>
      <c r="AH77" s="1684"/>
      <c r="AI77" s="1684"/>
      <c r="AJ77" s="1684"/>
      <c r="AK77" s="1684"/>
      <c r="AL77" s="1684"/>
      <c r="AM77" s="1684"/>
      <c r="AN77" s="1684"/>
      <c r="AO77" s="1684"/>
      <c r="AP77" s="1684"/>
      <c r="AQ77" s="1684"/>
      <c r="AR77" s="1684"/>
      <c r="AS77" s="1155" t="s">
        <v>1230</v>
      </c>
      <c r="AT77" s="1156"/>
      <c r="AU77" s="1156"/>
      <c r="AV77" s="1156"/>
      <c r="AW77" s="1156"/>
      <c r="AY77" s="1155" t="s">
        <v>1230</v>
      </c>
    </row>
    <row r="78" spans="1:55" ht="20.25">
      <c r="A78" s="1129" t="s">
        <v>2489</v>
      </c>
      <c r="AE78" s="1127"/>
      <c r="AF78" s="1127"/>
      <c r="AG78" s="1127"/>
      <c r="AH78" s="1127"/>
      <c r="AI78" s="1127"/>
      <c r="AJ78" s="1127"/>
      <c r="AK78" s="1127"/>
      <c r="AL78" s="1127"/>
      <c r="AM78" s="1127"/>
      <c r="AN78" s="1127"/>
      <c r="AO78" s="1127"/>
      <c r="AP78" s="1127"/>
      <c r="AQ78" s="1127"/>
      <c r="AR78" s="1127"/>
    </row>
    <row r="79" spans="1:55">
      <c r="B79" s="1127"/>
      <c r="C79" s="1127"/>
      <c r="D79" s="1127"/>
      <c r="E79" s="1127"/>
      <c r="F79" s="1127"/>
      <c r="G79" s="1127"/>
      <c r="H79" s="1127"/>
      <c r="I79" s="1127"/>
      <c r="J79" s="1127"/>
      <c r="K79" s="1127"/>
      <c r="L79" s="1127"/>
      <c r="M79" s="1127"/>
      <c r="AF79" s="1127"/>
      <c r="AG79" s="1127"/>
      <c r="AH79" s="1127"/>
      <c r="AI79" s="1127"/>
      <c r="AJ79" s="1127"/>
      <c r="AK79" s="1127"/>
      <c r="AL79" s="1130"/>
      <c r="AM79" s="1132"/>
      <c r="AN79" s="1133"/>
      <c r="AO79" s="1134"/>
      <c r="AP79" s="1132"/>
      <c r="AQ79" s="1133"/>
      <c r="AR79" s="1127"/>
    </row>
    <row r="80" spans="1:55">
      <c r="B80" s="1127"/>
      <c r="C80" s="1127"/>
      <c r="D80" s="1127"/>
      <c r="E80" s="1127"/>
      <c r="F80" s="1127"/>
      <c r="G80" s="1127"/>
      <c r="H80" s="1127"/>
      <c r="I80" s="1127"/>
      <c r="J80" s="1127"/>
      <c r="K80" s="1127"/>
      <c r="L80" s="1127"/>
      <c r="M80" s="1127"/>
      <c r="Z80" s="1127"/>
      <c r="AA80" s="1127"/>
      <c r="AB80" s="1127"/>
      <c r="AC80" s="1127"/>
      <c r="AD80" s="1127"/>
      <c r="AE80" s="1127"/>
      <c r="AF80" s="1127"/>
      <c r="AG80" s="1132"/>
      <c r="AH80" s="1133"/>
      <c r="AI80" s="1134"/>
      <c r="AJ80" s="1132"/>
      <c r="AK80" s="1133"/>
      <c r="AL80" s="1127"/>
      <c r="AM80" s="1135"/>
      <c r="AN80" s="1136"/>
      <c r="AO80" s="1139"/>
      <c r="AP80" s="1135"/>
      <c r="AQ80" s="1136"/>
      <c r="AR80" s="1127"/>
    </row>
    <row r="81" spans="1:44">
      <c r="B81" s="1127"/>
      <c r="C81" s="1127"/>
      <c r="D81" s="1127"/>
      <c r="E81" s="1127"/>
      <c r="F81" s="1127"/>
      <c r="G81" s="1127"/>
      <c r="H81" s="1127"/>
      <c r="I81" s="1127"/>
      <c r="J81" s="1127"/>
      <c r="K81" s="1127"/>
      <c r="L81" s="1127"/>
      <c r="M81" s="1127"/>
      <c r="N81" s="1127"/>
      <c r="O81" s="1127"/>
      <c r="P81" s="1127"/>
      <c r="Q81" s="1127"/>
      <c r="R81" s="1127"/>
      <c r="S81" s="1127"/>
      <c r="T81" s="1127"/>
      <c r="U81" s="1127"/>
      <c r="V81" s="1127"/>
      <c r="W81" s="1127"/>
      <c r="X81" s="1127"/>
      <c r="Y81" s="1127"/>
      <c r="Z81" s="1127"/>
      <c r="AA81" s="1132"/>
      <c r="AB81" s="1134"/>
      <c r="AC81" s="1140"/>
      <c r="AD81" s="1134"/>
      <c r="AE81" s="1133"/>
      <c r="AF81" s="1127"/>
      <c r="AG81" s="1135"/>
      <c r="AH81" s="1136"/>
      <c r="AI81" s="1134"/>
      <c r="AJ81" s="1135"/>
      <c r="AK81" s="1136"/>
      <c r="AL81" s="1127"/>
      <c r="AM81" s="1135"/>
      <c r="AN81" s="1136"/>
      <c r="AO81" s="1127"/>
      <c r="AP81" s="1135"/>
      <c r="AQ81" s="1136"/>
      <c r="AR81" s="1127"/>
    </row>
    <row r="82" spans="1:44">
      <c r="B82" s="1127"/>
      <c r="F82" s="1127"/>
      <c r="G82" s="1127"/>
      <c r="H82" s="1127"/>
      <c r="I82" s="1127"/>
      <c r="J82" s="1127"/>
      <c r="K82" s="1127"/>
      <c r="L82" s="1127"/>
      <c r="M82" s="1127"/>
      <c r="N82" s="1127"/>
      <c r="O82" s="1127"/>
      <c r="P82" s="1127"/>
      <c r="Q82" s="1127"/>
      <c r="R82" s="1127"/>
      <c r="S82" s="1127"/>
      <c r="T82" s="1127"/>
      <c r="U82" s="1132"/>
      <c r="V82" s="1134"/>
      <c r="W82" s="1140"/>
      <c r="X82" s="1134"/>
      <c r="Y82" s="1133"/>
      <c r="Z82" s="1127"/>
      <c r="AA82" s="1135"/>
      <c r="AB82" s="1127"/>
      <c r="AC82" s="1142"/>
      <c r="AD82" s="1127"/>
      <c r="AE82" s="1136"/>
      <c r="AF82" s="1127"/>
      <c r="AG82" s="1137"/>
      <c r="AH82" s="1138"/>
      <c r="AI82" s="1139"/>
      <c r="AJ82" s="1137"/>
      <c r="AK82" s="1138"/>
      <c r="AL82" s="1127"/>
      <c r="AM82" s="1137"/>
      <c r="AN82" s="1138"/>
      <c r="AO82" s="1139"/>
      <c r="AP82" s="1137"/>
      <c r="AQ82" s="1138"/>
      <c r="AR82" s="1127"/>
    </row>
    <row r="83" spans="1:44">
      <c r="B83" s="1127"/>
      <c r="F83" s="1127"/>
      <c r="G83" s="1127"/>
      <c r="H83" s="1127"/>
      <c r="I83" s="1127"/>
      <c r="J83" s="1127"/>
      <c r="K83" s="1127"/>
      <c r="L83" s="1127"/>
      <c r="M83" s="1127"/>
      <c r="N83" s="1127"/>
      <c r="O83" s="1132"/>
      <c r="P83" s="1133"/>
      <c r="Q83" s="1140"/>
      <c r="R83" s="1134"/>
      <c r="S83" s="1133"/>
      <c r="T83" s="1127"/>
      <c r="U83" s="1135"/>
      <c r="V83" s="1127"/>
      <c r="W83" s="1140"/>
      <c r="X83" s="1127"/>
      <c r="Y83" s="1136"/>
      <c r="Z83" s="1127"/>
      <c r="AA83" s="1135"/>
      <c r="AB83" s="1127"/>
      <c r="AC83" s="1140"/>
      <c r="AD83" s="1127"/>
      <c r="AE83" s="1136"/>
      <c r="AF83" s="1127"/>
      <c r="AG83" s="1135"/>
      <c r="AH83" s="1127"/>
      <c r="AI83" s="1142"/>
      <c r="AJ83" s="1127"/>
      <c r="AK83" s="1136"/>
      <c r="AL83" s="1127"/>
      <c r="AM83" s="1135"/>
      <c r="AN83" s="1127"/>
      <c r="AO83" s="1142"/>
      <c r="AP83" s="1127"/>
      <c r="AQ83" s="1136"/>
      <c r="AR83" s="1127"/>
    </row>
    <row r="84" spans="1:44">
      <c r="B84" s="1127"/>
      <c r="C84" s="1127"/>
      <c r="D84" s="1127"/>
      <c r="E84" s="1127"/>
      <c r="F84" s="1127"/>
      <c r="G84" s="1127"/>
      <c r="H84" s="1127"/>
      <c r="I84" s="1132"/>
      <c r="J84" s="1133"/>
      <c r="K84" s="1134"/>
      <c r="L84" s="1134"/>
      <c r="M84" s="1133"/>
      <c r="N84" s="1127"/>
      <c r="O84" s="1135"/>
      <c r="P84" s="1136"/>
      <c r="Q84" s="1142"/>
      <c r="R84" s="1127"/>
      <c r="S84" s="1136"/>
      <c r="T84" s="1127"/>
      <c r="U84" s="1137"/>
      <c r="V84" s="1139"/>
      <c r="W84" s="1143"/>
      <c r="X84" s="1139"/>
      <c r="Y84" s="1138"/>
      <c r="Z84" s="1127"/>
      <c r="AA84" s="1137"/>
      <c r="AB84" s="1139"/>
      <c r="AC84" s="1143"/>
      <c r="AD84" s="1139"/>
      <c r="AE84" s="1138"/>
      <c r="AF84" s="1127"/>
      <c r="AG84" s="1137"/>
      <c r="AH84" s="1139"/>
      <c r="AI84" s="1143"/>
      <c r="AJ84" s="1139"/>
      <c r="AK84" s="1138"/>
      <c r="AL84" s="1127"/>
      <c r="AM84" s="1137"/>
      <c r="AN84" s="1139"/>
      <c r="AO84" s="1143"/>
      <c r="AP84" s="1139"/>
      <c r="AQ84" s="1138"/>
      <c r="AR84" s="1127"/>
    </row>
    <row r="85" spans="1:44">
      <c r="B85" s="1127"/>
      <c r="C85" s="1132"/>
      <c r="D85" s="1133"/>
      <c r="E85" s="1140"/>
      <c r="F85" s="1134"/>
      <c r="G85" s="1133"/>
      <c r="H85" s="1127"/>
      <c r="I85" s="1135"/>
      <c r="J85" s="1136"/>
      <c r="K85" s="1140"/>
      <c r="L85" s="1127"/>
      <c r="M85" s="1136"/>
      <c r="N85" s="1127"/>
      <c r="O85" s="1135"/>
      <c r="P85" s="1136"/>
      <c r="Q85" s="1140"/>
      <c r="R85" s="1127"/>
      <c r="S85" s="1136"/>
      <c r="T85" s="1127"/>
      <c r="U85" s="1135"/>
      <c r="V85" s="1127"/>
      <c r="W85" s="1142"/>
      <c r="X85" s="1127"/>
      <c r="Y85" s="1136"/>
      <c r="Z85" s="1127"/>
      <c r="AA85" s="1135"/>
      <c r="AB85" s="1127"/>
      <c r="AC85" s="1142"/>
      <c r="AD85" s="1127"/>
      <c r="AE85" s="1136"/>
      <c r="AF85" s="1127"/>
      <c r="AG85" s="1132"/>
      <c r="AH85" s="1133"/>
      <c r="AI85" s="1140"/>
      <c r="AJ85" s="1132"/>
      <c r="AK85" s="1133"/>
      <c r="AL85" s="1127"/>
      <c r="AM85" s="1132"/>
      <c r="AN85" s="1133"/>
      <c r="AO85" s="1140"/>
      <c r="AP85" s="1132"/>
      <c r="AQ85" s="1133"/>
      <c r="AR85" s="1127"/>
    </row>
    <row r="86" spans="1:44">
      <c r="B86" s="1127"/>
      <c r="C86" s="1137"/>
      <c r="D86" s="1138"/>
      <c r="E86" s="1143"/>
      <c r="F86" s="1139"/>
      <c r="G86" s="1138"/>
      <c r="H86" s="1127"/>
      <c r="I86" s="1137"/>
      <c r="J86" s="1138"/>
      <c r="K86" s="1143"/>
      <c r="L86" s="1139"/>
      <c r="M86" s="1138"/>
      <c r="N86" s="1127"/>
      <c r="O86" s="1137"/>
      <c r="P86" s="1138"/>
      <c r="Q86" s="1143"/>
      <c r="R86" s="1139"/>
      <c r="S86" s="1138"/>
      <c r="T86" s="1127"/>
      <c r="U86" s="1137"/>
      <c r="V86" s="1139"/>
      <c r="W86" s="1143"/>
      <c r="X86" s="1139"/>
      <c r="Y86" s="1138"/>
      <c r="Z86" s="1127"/>
      <c r="AA86" s="1137"/>
      <c r="AB86" s="1139"/>
      <c r="AC86" s="1143"/>
      <c r="AD86" s="1139"/>
      <c r="AE86" s="1138"/>
      <c r="AF86" s="1127"/>
      <c r="AG86" s="1159"/>
      <c r="AH86" s="1160"/>
      <c r="AI86" s="1161"/>
      <c r="AJ86" s="1162"/>
      <c r="AK86" s="1163"/>
      <c r="AL86" s="1127"/>
      <c r="AM86" s="1159"/>
      <c r="AN86" s="1160"/>
      <c r="AO86" s="1161"/>
      <c r="AP86" s="1162"/>
      <c r="AQ86" s="1163"/>
    </row>
    <row r="87" spans="1:44">
      <c r="B87" s="1127"/>
      <c r="C87" s="1134"/>
      <c r="D87" s="1134"/>
      <c r="E87" s="1134"/>
      <c r="F87" s="1134"/>
      <c r="G87" s="1134"/>
      <c r="H87" s="1127"/>
      <c r="I87" s="1127"/>
      <c r="J87" s="1127"/>
      <c r="K87" s="1127"/>
      <c r="L87" s="1127"/>
      <c r="M87" s="1127"/>
      <c r="N87" s="1127"/>
      <c r="O87" s="1127"/>
      <c r="P87" s="1127"/>
      <c r="Q87" s="1127"/>
      <c r="R87" s="1127"/>
      <c r="S87" s="1127"/>
      <c r="T87" s="1127"/>
      <c r="U87" s="1127"/>
      <c r="V87" s="1127"/>
      <c r="W87" s="1127"/>
      <c r="X87" s="1127"/>
      <c r="Y87" s="1127"/>
      <c r="Z87" s="1127"/>
      <c r="AA87" s="1127"/>
      <c r="AB87" s="1127"/>
      <c r="AC87" s="1127"/>
      <c r="AD87" s="1127"/>
      <c r="AE87" s="1127"/>
      <c r="AF87" s="1127"/>
      <c r="AH87" s="1130"/>
      <c r="AJ87" s="1131"/>
      <c r="AK87" s="1131"/>
    </row>
    <row r="88" spans="1:44">
      <c r="A88" s="1146"/>
      <c r="B88" s="1146"/>
      <c r="C88" s="1683" t="s">
        <v>1220</v>
      </c>
      <c r="D88" s="1683"/>
      <c r="E88" s="1683"/>
      <c r="F88" s="1683"/>
      <c r="G88" s="1683"/>
      <c r="H88" s="1147"/>
      <c r="I88" s="1683" t="s">
        <v>1221</v>
      </c>
      <c r="J88" s="1683"/>
      <c r="K88" s="1683"/>
      <c r="L88" s="1683"/>
      <c r="M88" s="1683"/>
      <c r="N88" s="1148"/>
      <c r="O88" s="1683" t="s">
        <v>1222</v>
      </c>
      <c r="P88" s="1683"/>
      <c r="Q88" s="1683"/>
      <c r="R88" s="1683"/>
      <c r="S88" s="1683"/>
      <c r="T88" s="1148"/>
      <c r="U88" s="1683" t="s">
        <v>1223</v>
      </c>
      <c r="V88" s="1683"/>
      <c r="W88" s="1683"/>
      <c r="X88" s="1683"/>
      <c r="Y88" s="1683"/>
      <c r="Z88" s="1127"/>
      <c r="AA88" s="1127"/>
      <c r="AB88" s="1127"/>
      <c r="AC88" s="1127" t="s">
        <v>1231</v>
      </c>
      <c r="AD88" s="1127"/>
      <c r="AE88" s="1127"/>
      <c r="AF88" s="1127"/>
      <c r="AG88" s="1683" t="s">
        <v>1225</v>
      </c>
      <c r="AH88" s="1683"/>
      <c r="AI88" s="1683"/>
      <c r="AJ88" s="1683"/>
      <c r="AK88" s="1683"/>
      <c r="AL88" s="1148"/>
      <c r="AM88" s="1683" t="s">
        <v>1226</v>
      </c>
      <c r="AN88" s="1683"/>
      <c r="AO88" s="1683"/>
      <c r="AP88" s="1683"/>
      <c r="AQ88" s="1683"/>
      <c r="AR88" s="1149"/>
    </row>
    <row r="89" spans="1:44">
      <c r="B89" s="1127"/>
      <c r="C89" s="1127"/>
      <c r="D89" s="1127"/>
      <c r="E89" s="1127"/>
      <c r="F89" s="1127"/>
      <c r="G89" s="1127"/>
      <c r="I89" s="1127" t="s">
        <v>1217</v>
      </c>
      <c r="J89" s="1127"/>
      <c r="K89" s="1127"/>
      <c r="L89" s="1127"/>
      <c r="M89" s="1127"/>
      <c r="O89" s="1127" t="s">
        <v>1217</v>
      </c>
      <c r="P89" s="1127"/>
      <c r="Q89" s="1127"/>
      <c r="R89" s="1127"/>
      <c r="S89" s="1127"/>
      <c r="T89" s="1127"/>
      <c r="U89" s="1127" t="s">
        <v>1234</v>
      </c>
      <c r="V89" s="1127"/>
      <c r="W89" s="1127"/>
      <c r="X89" s="1127"/>
      <c r="Y89" s="1127"/>
      <c r="Z89" s="1127"/>
      <c r="AA89" s="1127" t="s">
        <v>1234</v>
      </c>
      <c r="AB89" s="1127"/>
      <c r="AC89" s="1127"/>
      <c r="AD89" s="1127"/>
      <c r="AE89" s="1127"/>
      <c r="AF89" s="1127"/>
      <c r="AG89" s="1127" t="s">
        <v>1234</v>
      </c>
      <c r="AH89" s="1127"/>
      <c r="AI89" s="1127"/>
      <c r="AJ89" s="1127"/>
      <c r="AK89" s="1127"/>
      <c r="AM89" s="1127" t="s">
        <v>1234</v>
      </c>
      <c r="AN89" s="1127"/>
      <c r="AO89" s="1164"/>
      <c r="AP89" s="1164"/>
      <c r="AQ89" s="1164"/>
    </row>
    <row r="90" spans="1:44">
      <c r="B90" s="1127"/>
      <c r="C90" s="1127"/>
      <c r="D90" s="1127"/>
      <c r="E90" s="1127"/>
      <c r="F90" s="1127"/>
      <c r="G90" s="1127"/>
      <c r="I90" s="1127" t="s">
        <v>1214</v>
      </c>
      <c r="O90" s="1127" t="s">
        <v>1235</v>
      </c>
      <c r="P90" s="1127"/>
      <c r="Q90" s="1127"/>
      <c r="R90" s="1127"/>
      <c r="S90" s="1127"/>
      <c r="T90" s="1127"/>
      <c r="U90" s="1127" t="s">
        <v>1217</v>
      </c>
      <c r="V90" s="1127"/>
      <c r="W90" s="1127"/>
      <c r="X90" s="1127"/>
      <c r="Y90" s="1127"/>
      <c r="Z90" s="1127"/>
      <c r="AA90" s="1127" t="s">
        <v>1236</v>
      </c>
      <c r="AB90" s="1127"/>
      <c r="AC90" s="1127"/>
      <c r="AD90" s="1127"/>
      <c r="AE90" s="1127"/>
      <c r="AF90" s="1127"/>
      <c r="AG90" s="1127" t="s">
        <v>1217</v>
      </c>
      <c r="AH90" s="1127"/>
      <c r="AI90" s="1127"/>
      <c r="AJ90" s="1127"/>
      <c r="AK90" s="1127"/>
      <c r="AM90" s="1127" t="s">
        <v>1217</v>
      </c>
      <c r="AN90" s="1127"/>
      <c r="AO90" s="1164"/>
      <c r="AP90" s="1164"/>
      <c r="AQ90" s="1164"/>
    </row>
    <row r="91" spans="1:44">
      <c r="B91" s="1127"/>
      <c r="C91" s="1127"/>
      <c r="D91" s="1127"/>
      <c r="E91" s="1127"/>
      <c r="F91" s="1127"/>
      <c r="G91" s="1127"/>
      <c r="O91" s="1127" t="s">
        <v>1214</v>
      </c>
      <c r="S91" s="1127"/>
      <c r="T91" s="1127"/>
      <c r="U91" s="1127" t="s">
        <v>1214</v>
      </c>
      <c r="V91" s="1127"/>
      <c r="W91" s="1127"/>
      <c r="X91" s="1127"/>
      <c r="Y91" s="1127"/>
      <c r="Z91" s="1127"/>
      <c r="AA91" s="1127" t="s">
        <v>1214</v>
      </c>
      <c r="AB91" s="1127"/>
      <c r="AC91" s="1127"/>
      <c r="AD91" s="1127"/>
      <c r="AE91" s="1127"/>
      <c r="AF91" s="1127"/>
    </row>
    <row r="92" spans="1:44">
      <c r="C92" s="1127"/>
      <c r="T92" s="1127"/>
      <c r="Z92" s="1127"/>
      <c r="AF92" s="1127"/>
    </row>
    <row r="93" spans="1:44">
      <c r="I93" s="1127" t="s">
        <v>2490</v>
      </c>
      <c r="J93" s="1127"/>
      <c r="K93" s="1127"/>
      <c r="L93" s="1127"/>
      <c r="M93" s="1127"/>
      <c r="O93" s="1127" t="s">
        <v>2490</v>
      </c>
      <c r="P93" s="1127"/>
      <c r="Q93" s="1127"/>
      <c r="R93" s="1127"/>
      <c r="S93" s="1127"/>
      <c r="U93" s="1127" t="s">
        <v>2491</v>
      </c>
      <c r="V93" s="1127"/>
      <c r="W93" s="1127"/>
      <c r="X93" s="1127"/>
      <c r="Y93" s="1127"/>
      <c r="Z93" s="1127"/>
      <c r="AA93" s="1127" t="s">
        <v>2491</v>
      </c>
      <c r="AB93" s="1127"/>
      <c r="AC93" s="1127"/>
      <c r="AD93" s="1127"/>
      <c r="AE93" s="1127"/>
      <c r="AF93" s="1127"/>
      <c r="AG93" s="1127" t="s">
        <v>1233</v>
      </c>
      <c r="AH93" s="1127"/>
      <c r="AI93" s="1127"/>
      <c r="AJ93" s="1127"/>
      <c r="AK93" s="1127"/>
      <c r="AM93" s="1127" t="s">
        <v>2492</v>
      </c>
      <c r="AN93" s="1127"/>
      <c r="AO93" s="1164"/>
      <c r="AP93" s="1164"/>
      <c r="AQ93" s="1164"/>
    </row>
    <row r="94" spans="1:44">
      <c r="I94" s="1127" t="s">
        <v>2493</v>
      </c>
      <c r="J94" s="1127"/>
      <c r="K94" s="1127"/>
      <c r="L94" s="1127"/>
      <c r="M94" s="1127"/>
      <c r="O94" s="1127"/>
      <c r="S94" s="1127"/>
      <c r="U94" s="1127" t="s">
        <v>2490</v>
      </c>
      <c r="V94" s="1127"/>
      <c r="W94" s="1127"/>
      <c r="X94" s="1127"/>
      <c r="Y94" s="1127"/>
      <c r="Z94" s="1127"/>
      <c r="AA94" s="1127" t="s">
        <v>2490</v>
      </c>
      <c r="AB94" s="1127"/>
      <c r="AC94" s="1127"/>
      <c r="AD94" s="1127"/>
      <c r="AE94" s="1127"/>
      <c r="AF94" s="1127"/>
      <c r="AG94" s="1127" t="s">
        <v>1237</v>
      </c>
      <c r="AH94" s="1127"/>
      <c r="AI94" s="1127"/>
      <c r="AJ94" s="1127"/>
      <c r="AK94" s="1127"/>
      <c r="AM94" s="1127" t="s">
        <v>2494</v>
      </c>
      <c r="AN94" s="1127"/>
      <c r="AO94" s="1164"/>
      <c r="AP94" s="1164"/>
      <c r="AQ94" s="1164"/>
    </row>
    <row r="95" spans="1:44">
      <c r="O95" s="1127"/>
      <c r="S95" s="1127"/>
      <c r="U95" s="1127" t="s">
        <v>2493</v>
      </c>
      <c r="V95" s="1127"/>
      <c r="W95" s="1127"/>
      <c r="X95" s="1127"/>
      <c r="Y95" s="1127"/>
      <c r="Z95" s="1127"/>
      <c r="AA95" s="1127" t="s">
        <v>2493</v>
      </c>
      <c r="AB95" s="1127"/>
      <c r="AC95" s="1127"/>
      <c r="AD95" s="1127"/>
      <c r="AE95" s="1127"/>
      <c r="AF95" s="1127"/>
      <c r="AG95" s="1127" t="s">
        <v>1238</v>
      </c>
      <c r="AH95" s="1127"/>
      <c r="AI95" s="1127"/>
      <c r="AJ95" s="1127"/>
      <c r="AK95" s="1127"/>
      <c r="AM95" s="1127" t="s">
        <v>2491</v>
      </c>
      <c r="AN95" s="1127"/>
      <c r="AO95" s="1164"/>
      <c r="AP95" s="1164"/>
      <c r="AQ95" s="1164"/>
    </row>
    <row r="96" spans="1:44">
      <c r="O96" s="1127"/>
      <c r="S96" s="1127"/>
      <c r="U96" s="1127" t="s">
        <v>2492</v>
      </c>
      <c r="V96" s="1127"/>
      <c r="W96" s="1127"/>
      <c r="X96" s="1127"/>
      <c r="Y96" s="1127"/>
      <c r="Z96" s="1127"/>
      <c r="AA96" s="1127" t="s">
        <v>2495</v>
      </c>
      <c r="AB96" s="1127"/>
      <c r="AC96" s="1127"/>
      <c r="AD96" s="1127"/>
      <c r="AE96" s="1127"/>
      <c r="AF96" s="1127"/>
      <c r="AG96" s="1127" t="s">
        <v>1239</v>
      </c>
      <c r="AH96" s="1127"/>
      <c r="AI96" s="1127"/>
      <c r="AJ96" s="1127"/>
      <c r="AK96" s="1127"/>
      <c r="AM96" s="1127" t="s">
        <v>2493</v>
      </c>
      <c r="AN96" s="1127"/>
      <c r="AO96" s="1164"/>
      <c r="AP96" s="1164"/>
      <c r="AQ96" s="1164"/>
    </row>
    <row r="97" spans="1:44">
      <c r="O97" s="1127"/>
      <c r="S97" s="1127"/>
      <c r="U97" s="1127"/>
      <c r="V97" s="1127"/>
      <c r="W97" s="1127"/>
      <c r="X97" s="1127"/>
      <c r="Y97" s="1127"/>
      <c r="Z97" s="1127"/>
      <c r="AA97" s="1127" t="s">
        <v>2492</v>
      </c>
      <c r="AB97" s="1127"/>
      <c r="AC97" s="1127"/>
      <c r="AD97" s="1127"/>
      <c r="AE97" s="1127"/>
      <c r="AF97" s="1127"/>
      <c r="AG97" s="1127" t="s">
        <v>1240</v>
      </c>
      <c r="AH97" s="1127"/>
      <c r="AI97" s="1127"/>
      <c r="AJ97" s="1127"/>
      <c r="AK97" s="1127"/>
      <c r="AM97" s="1127" t="s">
        <v>2495</v>
      </c>
      <c r="AN97" s="1127"/>
      <c r="AO97" s="1164"/>
      <c r="AP97" s="1164"/>
      <c r="AQ97" s="1164"/>
    </row>
    <row r="98" spans="1:44">
      <c r="AG98" s="1127" t="s">
        <v>2496</v>
      </c>
      <c r="AM98" s="1127" t="s">
        <v>2496</v>
      </c>
      <c r="AN98" s="1128"/>
      <c r="AP98" s="1128"/>
      <c r="AQ98" s="1128"/>
    </row>
    <row r="99" spans="1:44">
      <c r="O99" s="1127"/>
      <c r="S99" s="1127"/>
      <c r="U99" s="1127"/>
      <c r="V99" s="1127"/>
      <c r="W99" s="1127"/>
      <c r="X99" s="1127"/>
      <c r="Y99" s="1127"/>
      <c r="Z99" s="1127"/>
      <c r="AA99" s="1127"/>
      <c r="AB99" s="1127"/>
      <c r="AC99" s="1127"/>
      <c r="AD99" s="1127"/>
      <c r="AE99" s="1127"/>
      <c r="AF99" s="1127"/>
      <c r="AG99" s="1127"/>
      <c r="AH99" s="1127"/>
      <c r="AI99" s="1127"/>
      <c r="AJ99" s="1127"/>
      <c r="AK99" s="1127"/>
      <c r="AM99" s="1127"/>
      <c r="AN99" s="1127"/>
      <c r="AO99" s="1164"/>
      <c r="AP99" s="1164"/>
      <c r="AQ99" s="1164"/>
    </row>
    <row r="100" spans="1:44">
      <c r="Q100" s="1127"/>
      <c r="U100" s="1127"/>
      <c r="V100" s="1127"/>
      <c r="W100" s="1127"/>
      <c r="X100" s="1127"/>
      <c r="Y100" s="1127"/>
      <c r="Z100" s="1127"/>
      <c r="AF100" s="1127"/>
      <c r="AG100" s="1127"/>
      <c r="AH100" s="1127"/>
      <c r="AI100" s="1127"/>
      <c r="AJ100" s="1127"/>
      <c r="AK100" s="1127"/>
    </row>
    <row r="101" spans="1:44" ht="20.25">
      <c r="A101" s="1129" t="s">
        <v>2497</v>
      </c>
      <c r="AE101" s="1127"/>
      <c r="AF101" s="1127"/>
      <c r="AG101" s="1127"/>
      <c r="AH101" s="1127"/>
      <c r="AI101" s="1127"/>
      <c r="AJ101" s="1127"/>
      <c r="AK101" s="1127"/>
      <c r="AL101" s="1127"/>
      <c r="AM101" s="1127"/>
      <c r="AN101" s="1127"/>
      <c r="AO101" s="1127"/>
      <c r="AP101" s="1127"/>
      <c r="AQ101" s="1127"/>
      <c r="AR101" s="1127"/>
    </row>
    <row r="102" spans="1:44">
      <c r="B102" s="1127"/>
      <c r="C102" s="1127"/>
      <c r="D102" s="1127"/>
      <c r="E102" s="1127"/>
      <c r="F102" s="1127"/>
      <c r="G102" s="1127"/>
      <c r="H102" s="1127"/>
      <c r="I102" s="1127"/>
      <c r="J102" s="1127"/>
      <c r="K102" s="1127"/>
      <c r="L102" s="1127"/>
      <c r="M102" s="1127"/>
      <c r="AF102" s="1127"/>
      <c r="AG102" s="1127"/>
      <c r="AH102" s="1127"/>
      <c r="AI102" s="1127"/>
      <c r="AJ102" s="1127"/>
      <c r="AK102" s="1127"/>
      <c r="AL102" s="1130"/>
      <c r="AM102" s="1132"/>
      <c r="AN102" s="1133"/>
      <c r="AO102" s="1134"/>
      <c r="AP102" s="1132"/>
      <c r="AQ102" s="1133"/>
      <c r="AR102" s="1127"/>
    </row>
    <row r="103" spans="1:44">
      <c r="B103" s="1127"/>
      <c r="C103" s="1127"/>
      <c r="D103" s="1127"/>
      <c r="E103" s="1127"/>
      <c r="F103" s="1127"/>
      <c r="G103" s="1127"/>
      <c r="H103" s="1127"/>
      <c r="I103" s="1127"/>
      <c r="J103" s="1127"/>
      <c r="K103" s="1127"/>
      <c r="L103" s="1127"/>
      <c r="M103" s="1127"/>
      <c r="Z103" s="1127"/>
      <c r="AA103" s="1127"/>
      <c r="AB103" s="1127"/>
      <c r="AC103" s="1127"/>
      <c r="AD103" s="1127"/>
      <c r="AE103" s="1127"/>
      <c r="AF103" s="1127"/>
      <c r="AG103" s="1132"/>
      <c r="AH103" s="1134"/>
      <c r="AI103" s="1140"/>
      <c r="AJ103" s="1134"/>
      <c r="AK103" s="1133"/>
      <c r="AL103" s="1127"/>
      <c r="AM103" s="1137"/>
      <c r="AN103" s="1138"/>
      <c r="AO103" s="1139"/>
      <c r="AP103" s="1137"/>
      <c r="AQ103" s="1138"/>
      <c r="AR103" s="1127"/>
    </row>
    <row r="104" spans="1:44">
      <c r="B104" s="1127"/>
      <c r="C104" s="1127"/>
      <c r="D104" s="1127"/>
      <c r="E104" s="1127"/>
      <c r="F104" s="1127"/>
      <c r="G104" s="1127"/>
      <c r="H104" s="1127"/>
      <c r="I104" s="1127"/>
      <c r="J104" s="1127"/>
      <c r="K104" s="1127"/>
      <c r="L104" s="1127"/>
      <c r="M104" s="1127"/>
      <c r="N104" s="1127"/>
      <c r="O104" s="1127"/>
      <c r="P104" s="1127"/>
      <c r="Q104" s="1127"/>
      <c r="R104" s="1127"/>
      <c r="S104" s="1127"/>
      <c r="T104" s="1127"/>
      <c r="U104" s="1127"/>
      <c r="V104" s="1127"/>
      <c r="W104" s="1127"/>
      <c r="X104" s="1127"/>
      <c r="Y104" s="1127"/>
      <c r="Z104" s="1127"/>
      <c r="AA104" s="1132"/>
      <c r="AB104" s="1134"/>
      <c r="AC104" s="1140"/>
      <c r="AD104" s="1134"/>
      <c r="AE104" s="1133"/>
      <c r="AF104" s="1127"/>
      <c r="AG104" s="1137"/>
      <c r="AH104" s="1139"/>
      <c r="AI104" s="1143"/>
      <c r="AJ104" s="1139"/>
      <c r="AK104" s="1138"/>
      <c r="AL104" s="1127"/>
      <c r="AM104" s="1135"/>
      <c r="AN104" s="1136"/>
      <c r="AO104" s="1127"/>
      <c r="AP104" s="1135"/>
      <c r="AQ104" s="1136"/>
      <c r="AR104" s="1127"/>
    </row>
    <row r="105" spans="1:44">
      <c r="B105" s="1127"/>
      <c r="F105" s="1127"/>
      <c r="G105" s="1127"/>
      <c r="H105" s="1127"/>
      <c r="I105" s="1127"/>
      <c r="J105" s="1127"/>
      <c r="K105" s="1127"/>
      <c r="L105" s="1127"/>
      <c r="M105" s="1127"/>
      <c r="N105" s="1127"/>
      <c r="O105" s="1127"/>
      <c r="P105" s="1127"/>
      <c r="Q105" s="1127"/>
      <c r="R105" s="1127"/>
      <c r="S105" s="1127"/>
      <c r="T105" s="1127"/>
      <c r="U105" s="1132"/>
      <c r="V105" s="1134"/>
      <c r="W105" s="1140"/>
      <c r="X105" s="1134"/>
      <c r="Y105" s="1133"/>
      <c r="Z105" s="1127"/>
      <c r="AA105" s="1137"/>
      <c r="AB105" s="1139"/>
      <c r="AC105" s="1143"/>
      <c r="AD105" s="1139"/>
      <c r="AE105" s="1138"/>
      <c r="AF105" s="1127"/>
      <c r="AG105" s="1137"/>
      <c r="AH105" s="1138"/>
      <c r="AI105" s="1139"/>
      <c r="AJ105" s="1137"/>
      <c r="AK105" s="1138"/>
      <c r="AL105" s="1127"/>
      <c r="AM105" s="1137"/>
      <c r="AN105" s="1138"/>
      <c r="AO105" s="1139"/>
      <c r="AP105" s="1137"/>
      <c r="AQ105" s="1138"/>
      <c r="AR105" s="1127"/>
    </row>
    <row r="106" spans="1:44">
      <c r="B106" s="1127"/>
      <c r="F106" s="1127"/>
      <c r="G106" s="1127"/>
      <c r="H106" s="1127"/>
      <c r="I106" s="1127"/>
      <c r="J106" s="1127"/>
      <c r="K106" s="1127"/>
      <c r="L106" s="1127"/>
      <c r="M106" s="1127"/>
      <c r="N106" s="1127"/>
      <c r="O106" s="1132"/>
      <c r="P106" s="1133"/>
      <c r="Q106" s="1140"/>
      <c r="R106" s="1134"/>
      <c r="S106" s="1133"/>
      <c r="T106" s="1127"/>
      <c r="U106" s="1137"/>
      <c r="V106" s="1139"/>
      <c r="W106" s="1143"/>
      <c r="X106" s="1139"/>
      <c r="Y106" s="1138"/>
      <c r="Z106" s="1127"/>
      <c r="AA106" s="1135"/>
      <c r="AB106" s="1127"/>
      <c r="AC106" s="1142"/>
      <c r="AD106" s="1127"/>
      <c r="AE106" s="1136"/>
      <c r="AF106" s="1127"/>
      <c r="AG106" s="1135"/>
      <c r="AH106" s="1127"/>
      <c r="AI106" s="1142"/>
      <c r="AJ106" s="1127"/>
      <c r="AK106" s="1136"/>
      <c r="AL106" s="1127"/>
      <c r="AM106" s="1135"/>
      <c r="AN106" s="1127"/>
      <c r="AO106" s="1142"/>
      <c r="AP106" s="1127"/>
      <c r="AQ106" s="1136"/>
      <c r="AR106" s="1127"/>
    </row>
    <row r="107" spans="1:44">
      <c r="B107" s="1127"/>
      <c r="C107" s="1127"/>
      <c r="D107" s="1127"/>
      <c r="E107" s="1127"/>
      <c r="F107" s="1127"/>
      <c r="G107" s="1127"/>
      <c r="H107" s="1127"/>
      <c r="I107" s="1132"/>
      <c r="J107" s="1133"/>
      <c r="K107" s="1165"/>
      <c r="L107" s="1134"/>
      <c r="M107" s="1133"/>
      <c r="N107" s="1127"/>
      <c r="O107" s="1135"/>
      <c r="P107" s="1136"/>
      <c r="Q107" s="1142"/>
      <c r="R107" s="1127"/>
      <c r="S107" s="1136"/>
      <c r="T107" s="1127"/>
      <c r="U107" s="1137"/>
      <c r="V107" s="1139"/>
      <c r="W107" s="1143"/>
      <c r="X107" s="1139"/>
      <c r="Y107" s="1138"/>
      <c r="Z107" s="1127"/>
      <c r="AA107" s="1137"/>
      <c r="AB107" s="1139"/>
      <c r="AC107" s="1143"/>
      <c r="AD107" s="1139"/>
      <c r="AE107" s="1138"/>
      <c r="AF107" s="1127"/>
      <c r="AG107" s="1137"/>
      <c r="AH107" s="1139"/>
      <c r="AI107" s="1143"/>
      <c r="AJ107" s="1139"/>
      <c r="AK107" s="1138"/>
      <c r="AL107" s="1127"/>
      <c r="AM107" s="1137"/>
      <c r="AN107" s="1139"/>
      <c r="AO107" s="1143"/>
      <c r="AP107" s="1139"/>
      <c r="AQ107" s="1138"/>
      <c r="AR107" s="1127"/>
    </row>
    <row r="108" spans="1:44">
      <c r="B108" s="1127"/>
      <c r="C108" s="1132"/>
      <c r="D108" s="1133"/>
      <c r="E108" s="1140"/>
      <c r="F108" s="1134"/>
      <c r="G108" s="1133"/>
      <c r="H108" s="1127"/>
      <c r="I108" s="1135"/>
      <c r="J108" s="1136"/>
      <c r="K108" s="1140"/>
      <c r="L108" s="1127"/>
      <c r="M108" s="1136"/>
      <c r="N108" s="1127"/>
      <c r="O108" s="1132"/>
      <c r="P108" s="1133"/>
      <c r="Q108" s="1140"/>
      <c r="R108" s="1132"/>
      <c r="S108" s="1133"/>
      <c r="T108" s="1127"/>
      <c r="U108" s="1135"/>
      <c r="V108" s="1127"/>
      <c r="W108" s="1142"/>
      <c r="X108" s="1127"/>
      <c r="Y108" s="1136"/>
      <c r="Z108" s="1127"/>
      <c r="AA108" s="1135"/>
      <c r="AB108" s="1127"/>
      <c r="AC108" s="1142"/>
      <c r="AD108" s="1127"/>
      <c r="AE108" s="1136"/>
      <c r="AF108" s="1127"/>
      <c r="AG108" s="1132"/>
      <c r="AH108" s="1133"/>
      <c r="AI108" s="1140"/>
      <c r="AJ108" s="1132"/>
      <c r="AK108" s="1133"/>
      <c r="AL108" s="1127"/>
      <c r="AM108" s="1132"/>
      <c r="AN108" s="1133"/>
      <c r="AO108" s="1140"/>
      <c r="AP108" s="1132"/>
      <c r="AQ108" s="1133"/>
      <c r="AR108" s="1127"/>
    </row>
    <row r="109" spans="1:44">
      <c r="B109" s="1127"/>
      <c r="C109" s="1137"/>
      <c r="D109" s="1138"/>
      <c r="E109" s="1143"/>
      <c r="F109" s="1139"/>
      <c r="G109" s="1138"/>
      <c r="H109" s="1127"/>
      <c r="I109" s="1137"/>
      <c r="J109" s="1138"/>
      <c r="K109" s="1143"/>
      <c r="L109" s="1139"/>
      <c r="M109" s="1138"/>
      <c r="N109" s="1127"/>
      <c r="O109" s="1137"/>
      <c r="P109" s="1138"/>
      <c r="Q109" s="1143"/>
      <c r="R109" s="1137"/>
      <c r="S109" s="1138"/>
      <c r="T109" s="1127"/>
      <c r="U109" s="1137"/>
      <c r="V109" s="1139"/>
      <c r="W109" s="1143"/>
      <c r="X109" s="1139"/>
      <c r="Y109" s="1138"/>
      <c r="Z109" s="1127"/>
      <c r="AA109" s="1137"/>
      <c r="AB109" s="1139"/>
      <c r="AC109" s="1143"/>
      <c r="AD109" s="1139"/>
      <c r="AE109" s="1138"/>
      <c r="AF109" s="1127"/>
      <c r="AG109" s="1159"/>
      <c r="AH109" s="1160"/>
      <c r="AI109" s="1161"/>
      <c r="AJ109" s="1162"/>
      <c r="AK109" s="1163"/>
      <c r="AL109" s="1127"/>
      <c r="AM109" s="1159"/>
      <c r="AN109" s="1160"/>
      <c r="AO109" s="1161"/>
      <c r="AP109" s="1162"/>
      <c r="AQ109" s="1163"/>
    </row>
    <row r="110" spans="1:44">
      <c r="B110" s="1127"/>
      <c r="C110" s="1134"/>
      <c r="D110" s="1134"/>
      <c r="E110" s="1134"/>
      <c r="F110" s="1134"/>
      <c r="G110" s="1134"/>
      <c r="H110" s="1127"/>
      <c r="I110" s="1127"/>
      <c r="J110" s="1127"/>
      <c r="K110" s="1127"/>
      <c r="L110" s="1127"/>
      <c r="M110" s="1127"/>
      <c r="N110" s="1127"/>
      <c r="O110" s="1127"/>
      <c r="P110" s="1127"/>
      <c r="Q110" s="1127"/>
      <c r="R110" s="1127"/>
      <c r="S110" s="1127"/>
      <c r="T110" s="1127"/>
      <c r="U110" s="1127"/>
      <c r="V110" s="1127"/>
      <c r="W110" s="1127"/>
      <c r="X110" s="1127"/>
      <c r="Y110" s="1127"/>
      <c r="Z110" s="1127"/>
      <c r="AA110" s="1127"/>
      <c r="AB110" s="1127"/>
      <c r="AC110" s="1127"/>
      <c r="AD110" s="1127"/>
      <c r="AE110" s="1127"/>
      <c r="AF110" s="1127"/>
      <c r="AH110" s="1130"/>
      <c r="AJ110" s="1131"/>
      <c r="AK110" s="1131"/>
    </row>
    <row r="111" spans="1:44">
      <c r="A111" s="1146"/>
      <c r="B111" s="1146"/>
      <c r="C111" s="1683" t="s">
        <v>1220</v>
      </c>
      <c r="D111" s="1683"/>
      <c r="E111" s="1683"/>
      <c r="F111" s="1683"/>
      <c r="G111" s="1683"/>
      <c r="H111" s="1147"/>
      <c r="I111" s="1683" t="s">
        <v>1221</v>
      </c>
      <c r="J111" s="1683"/>
      <c r="K111" s="1683"/>
      <c r="L111" s="1683"/>
      <c r="M111" s="1683"/>
      <c r="N111" s="1148"/>
      <c r="O111" s="1683" t="s">
        <v>1222</v>
      </c>
      <c r="P111" s="1683"/>
      <c r="Q111" s="1683"/>
      <c r="R111" s="1683"/>
      <c r="S111" s="1683"/>
      <c r="T111" s="1148"/>
      <c r="U111" s="1683" t="s">
        <v>1223</v>
      </c>
      <c r="V111" s="1683"/>
      <c r="W111" s="1683"/>
      <c r="X111" s="1683"/>
      <c r="Y111" s="1683"/>
      <c r="Z111" s="1127"/>
      <c r="AA111" s="1127"/>
      <c r="AB111" s="1127"/>
      <c r="AC111" s="1127" t="s">
        <v>1231</v>
      </c>
      <c r="AD111" s="1127"/>
      <c r="AE111" s="1127"/>
      <c r="AF111" s="1127"/>
      <c r="AG111" s="1683" t="s">
        <v>1225</v>
      </c>
      <c r="AH111" s="1683"/>
      <c r="AI111" s="1683"/>
      <c r="AJ111" s="1683"/>
      <c r="AK111" s="1683"/>
      <c r="AL111" s="1148"/>
      <c r="AM111" s="1683" t="s">
        <v>1226</v>
      </c>
      <c r="AN111" s="1683"/>
      <c r="AO111" s="1683"/>
      <c r="AP111" s="1683"/>
      <c r="AQ111" s="1683"/>
      <c r="AR111" s="1149"/>
    </row>
    <row r="112" spans="1:44">
      <c r="B112" s="1127"/>
      <c r="C112" s="1127"/>
      <c r="D112" s="1127"/>
      <c r="E112" s="1127"/>
      <c r="F112" s="1127"/>
      <c r="G112" s="1127"/>
      <c r="I112" s="1127" t="s">
        <v>1217</v>
      </c>
      <c r="J112" s="1127"/>
      <c r="K112" s="1127"/>
      <c r="L112" s="1127"/>
      <c r="M112" s="1127"/>
      <c r="O112" s="1127" t="s">
        <v>1217</v>
      </c>
      <c r="P112" s="1127"/>
      <c r="Q112" s="1127"/>
      <c r="R112" s="1127"/>
      <c r="S112" s="1127"/>
      <c r="T112" s="1127"/>
      <c r="U112" s="1127" t="s">
        <v>1234</v>
      </c>
      <c r="V112" s="1127"/>
      <c r="W112" s="1127"/>
      <c r="X112" s="1127"/>
      <c r="Y112" s="1127"/>
      <c r="Z112" s="1127"/>
      <c r="AA112" s="1127" t="s">
        <v>1234</v>
      </c>
      <c r="AB112" s="1127"/>
      <c r="AC112" s="1127"/>
      <c r="AD112" s="1127"/>
      <c r="AE112" s="1127"/>
      <c r="AF112" s="1127"/>
      <c r="AG112" s="1127" t="s">
        <v>1234</v>
      </c>
      <c r="AH112" s="1127"/>
      <c r="AI112" s="1127"/>
      <c r="AJ112" s="1127"/>
      <c r="AK112" s="1127"/>
      <c r="AM112" s="1127" t="s">
        <v>1234</v>
      </c>
      <c r="AN112" s="1127"/>
      <c r="AO112" s="1164"/>
      <c r="AP112" s="1164"/>
      <c r="AQ112" s="1164"/>
    </row>
    <row r="113" spans="2:44">
      <c r="B113" s="1127"/>
      <c r="C113" s="1127"/>
      <c r="D113" s="1127"/>
      <c r="E113" s="1127"/>
      <c r="F113" s="1127"/>
      <c r="G113" s="1127"/>
      <c r="I113" s="1127" t="s">
        <v>1214</v>
      </c>
      <c r="O113" s="1127" t="s">
        <v>1214</v>
      </c>
      <c r="S113" s="1127"/>
      <c r="T113" s="1127"/>
      <c r="U113" s="1127" t="s">
        <v>1217</v>
      </c>
      <c r="V113" s="1127"/>
      <c r="W113" s="1127"/>
      <c r="X113" s="1127"/>
      <c r="Y113" s="1127"/>
      <c r="Z113" s="1127"/>
      <c r="AA113" s="1127" t="s">
        <v>1236</v>
      </c>
      <c r="AB113" s="1127"/>
      <c r="AC113" s="1127"/>
      <c r="AD113" s="1127"/>
      <c r="AE113" s="1127"/>
      <c r="AF113" s="1127"/>
      <c r="AG113" s="1127" t="s">
        <v>1217</v>
      </c>
      <c r="AH113" s="1127"/>
      <c r="AI113" s="1127"/>
      <c r="AJ113" s="1127"/>
      <c r="AK113" s="1127"/>
      <c r="AM113" s="1127" t="s">
        <v>1217</v>
      </c>
      <c r="AN113" s="1127"/>
      <c r="AO113" s="1164"/>
      <c r="AP113" s="1164"/>
      <c r="AQ113" s="1164"/>
    </row>
    <row r="114" spans="2:44">
      <c r="B114" s="1127"/>
      <c r="C114" s="1127"/>
      <c r="D114" s="1127"/>
      <c r="E114" s="1127"/>
      <c r="F114" s="1127"/>
      <c r="G114" s="1127"/>
      <c r="T114" s="1127"/>
      <c r="U114" s="1127" t="s">
        <v>1214</v>
      </c>
      <c r="V114" s="1127"/>
      <c r="W114" s="1127"/>
      <c r="X114" s="1127"/>
      <c r="Y114" s="1127"/>
      <c r="Z114" s="1127"/>
      <c r="AA114" s="1127" t="s">
        <v>1214</v>
      </c>
      <c r="AB114" s="1127"/>
      <c r="AC114" s="1127"/>
      <c r="AD114" s="1127"/>
      <c r="AE114" s="1127"/>
      <c r="AF114" s="1127"/>
      <c r="AN114" s="1128"/>
      <c r="AP114" s="1128"/>
      <c r="AQ114" s="1128"/>
    </row>
    <row r="115" spans="2:44">
      <c r="C115" s="1127"/>
      <c r="T115" s="1127"/>
      <c r="Z115" s="1127"/>
      <c r="AF115" s="1127"/>
      <c r="AN115" s="1128"/>
      <c r="AP115" s="1128"/>
      <c r="AQ115" s="1128"/>
    </row>
    <row r="116" spans="2:44">
      <c r="T116" s="1127"/>
      <c r="Z116" s="1127"/>
      <c r="AF116" s="1127"/>
      <c r="AN116" s="1128"/>
      <c r="AP116" s="1128"/>
      <c r="AQ116" s="1128"/>
    </row>
    <row r="117" spans="2:44">
      <c r="I117" s="1127" t="s">
        <v>2490</v>
      </c>
      <c r="J117" s="1127"/>
      <c r="K117" s="1127"/>
      <c r="L117" s="1127"/>
      <c r="M117" s="1127"/>
      <c r="O117" s="1127" t="s">
        <v>2491</v>
      </c>
      <c r="P117" s="1127"/>
      <c r="Q117" s="1127"/>
      <c r="R117" s="1127"/>
      <c r="S117" s="1127"/>
      <c r="U117" s="1127" t="s">
        <v>2491</v>
      </c>
      <c r="V117" s="1127"/>
      <c r="W117" s="1127"/>
      <c r="X117" s="1127"/>
      <c r="Y117" s="1127"/>
      <c r="Z117" s="1127"/>
      <c r="AA117" s="1127" t="s">
        <v>1232</v>
      </c>
      <c r="AB117" s="1127"/>
      <c r="AC117" s="1127"/>
      <c r="AD117" s="1127"/>
      <c r="AE117" s="1127"/>
      <c r="AF117" s="1127"/>
      <c r="AG117" s="1127" t="s">
        <v>1233</v>
      </c>
      <c r="AH117" s="1127"/>
      <c r="AI117" s="1127"/>
      <c r="AJ117" s="1127"/>
      <c r="AK117" s="1127"/>
      <c r="AM117" s="1127" t="s">
        <v>1233</v>
      </c>
      <c r="AN117" s="1127"/>
      <c r="AO117" s="1164"/>
      <c r="AP117" s="1164"/>
      <c r="AQ117" s="1164"/>
    </row>
    <row r="118" spans="2:44">
      <c r="I118" s="1127" t="s">
        <v>2493</v>
      </c>
      <c r="J118" s="1127"/>
      <c r="K118" s="1127"/>
      <c r="L118" s="1127"/>
      <c r="M118" s="1127"/>
      <c r="O118" s="1127" t="s">
        <v>2493</v>
      </c>
      <c r="P118" s="1127"/>
      <c r="Q118" s="1127"/>
      <c r="R118" s="1127"/>
      <c r="S118" s="1127"/>
      <c r="U118" s="1127" t="s">
        <v>2490</v>
      </c>
      <c r="V118" s="1127"/>
      <c r="W118" s="1127"/>
      <c r="X118" s="1127"/>
      <c r="Y118" s="1127"/>
      <c r="Z118" s="1127"/>
      <c r="AA118" s="1127" t="s">
        <v>2491</v>
      </c>
      <c r="AB118" s="1127"/>
      <c r="AC118" s="1127"/>
      <c r="AD118" s="1127"/>
      <c r="AE118" s="1127"/>
      <c r="AF118" s="1127"/>
      <c r="AG118" s="1127" t="s">
        <v>1237</v>
      </c>
      <c r="AH118" s="1127"/>
      <c r="AI118" s="1127"/>
      <c r="AJ118" s="1127"/>
      <c r="AK118" s="1127"/>
      <c r="AM118" s="1127" t="s">
        <v>1237</v>
      </c>
      <c r="AN118" s="1127"/>
      <c r="AO118" s="1164"/>
      <c r="AP118" s="1164"/>
      <c r="AQ118" s="1164"/>
    </row>
    <row r="119" spans="2:44">
      <c r="O119" s="1127" t="s">
        <v>2492</v>
      </c>
      <c r="P119" s="1127"/>
      <c r="Q119" s="1127"/>
      <c r="R119" s="1127"/>
      <c r="S119" s="1127"/>
      <c r="U119" s="1127" t="s">
        <v>2493</v>
      </c>
      <c r="V119" s="1127"/>
      <c r="W119" s="1127"/>
      <c r="X119" s="1127"/>
      <c r="Y119" s="1127"/>
      <c r="Z119" s="1127"/>
      <c r="AA119" s="1127" t="s">
        <v>2490</v>
      </c>
      <c r="AB119" s="1127"/>
      <c r="AC119" s="1127"/>
      <c r="AD119" s="1127"/>
      <c r="AE119" s="1127"/>
      <c r="AF119" s="1127"/>
      <c r="AG119" s="1127" t="s">
        <v>1238</v>
      </c>
      <c r="AH119" s="1127"/>
      <c r="AI119" s="1127"/>
      <c r="AJ119" s="1127"/>
      <c r="AK119" s="1127"/>
      <c r="AM119" s="1127" t="s">
        <v>1238</v>
      </c>
      <c r="AN119" s="1127"/>
      <c r="AO119" s="1164"/>
      <c r="AP119" s="1164"/>
      <c r="AQ119" s="1164"/>
    </row>
    <row r="120" spans="2:44">
      <c r="U120" s="1127" t="s">
        <v>2492</v>
      </c>
      <c r="V120" s="1127"/>
      <c r="W120" s="1127"/>
      <c r="X120" s="1127"/>
      <c r="Y120" s="1127"/>
      <c r="AA120" s="1127" t="s">
        <v>2493</v>
      </c>
      <c r="AB120" s="1127"/>
      <c r="AC120" s="1127"/>
      <c r="AD120" s="1127"/>
      <c r="AE120" s="1127"/>
      <c r="AG120" s="1127" t="s">
        <v>1239</v>
      </c>
      <c r="AH120" s="1127"/>
      <c r="AI120" s="1127"/>
      <c r="AJ120" s="1127"/>
      <c r="AK120" s="1127"/>
      <c r="AM120" s="1127" t="s">
        <v>1239</v>
      </c>
      <c r="AN120" s="1127"/>
      <c r="AO120" s="1164"/>
      <c r="AP120" s="1164"/>
      <c r="AQ120" s="1164"/>
    </row>
    <row r="121" spans="2:44">
      <c r="AA121" s="1127" t="s">
        <v>2495</v>
      </c>
      <c r="AB121" s="1127"/>
      <c r="AC121" s="1127"/>
      <c r="AD121" s="1127"/>
      <c r="AE121" s="1127"/>
      <c r="AG121" s="1127" t="s">
        <v>1240</v>
      </c>
      <c r="AH121" s="1127"/>
      <c r="AI121" s="1127"/>
      <c r="AJ121" s="1127"/>
      <c r="AK121" s="1127"/>
      <c r="AM121" s="1127" t="s">
        <v>1240</v>
      </c>
      <c r="AN121" s="1127"/>
      <c r="AO121" s="1164"/>
      <c r="AP121" s="1164"/>
      <c r="AQ121" s="1164"/>
    </row>
    <row r="122" spans="2:44">
      <c r="AG122" s="1127" t="s">
        <v>2496</v>
      </c>
      <c r="AM122" s="1127" t="s">
        <v>2496</v>
      </c>
      <c r="AN122" s="1128"/>
      <c r="AP122" s="1128"/>
      <c r="AQ122" s="1128"/>
    </row>
    <row r="127" spans="2:44">
      <c r="AM127" s="1127"/>
      <c r="AN127" s="1128"/>
      <c r="AP127" s="1127"/>
      <c r="AQ127" s="1127"/>
      <c r="AR127" s="1128"/>
    </row>
    <row r="128" spans="2:44">
      <c r="AM128" s="1132"/>
      <c r="AN128" s="1133"/>
      <c r="AO128" s="1140"/>
      <c r="AP128" s="1134"/>
      <c r="AQ128" s="1133"/>
      <c r="AR128" s="1128"/>
    </row>
    <row r="129" spans="38:44">
      <c r="AM129" s="1135"/>
      <c r="AN129" s="1136"/>
      <c r="AO129" s="1142"/>
      <c r="AP129" s="1135"/>
      <c r="AQ129" s="1136"/>
      <c r="AR129" s="1128"/>
    </row>
    <row r="130" spans="38:44">
      <c r="AM130" s="1132"/>
      <c r="AN130" s="1133"/>
      <c r="AO130" s="1140"/>
      <c r="AP130" s="1132"/>
      <c r="AQ130" s="1133"/>
      <c r="AR130" s="1128"/>
    </row>
    <row r="131" spans="38:44">
      <c r="AM131" s="1137"/>
      <c r="AN131" s="1138"/>
      <c r="AO131" s="1143"/>
      <c r="AP131" s="1137"/>
      <c r="AQ131" s="1138"/>
      <c r="AR131" s="1128"/>
    </row>
    <row r="132" spans="38:44">
      <c r="AM132" s="1135"/>
      <c r="AN132" s="1136"/>
      <c r="AO132" s="1136"/>
      <c r="AP132" s="1132"/>
      <c r="AQ132" s="1133"/>
      <c r="AR132" s="1128"/>
    </row>
    <row r="133" spans="38:44">
      <c r="AM133" s="1137"/>
      <c r="AN133" s="1138"/>
      <c r="AO133" s="1138"/>
      <c r="AP133" s="1137"/>
      <c r="AQ133" s="1138"/>
      <c r="AR133" s="1128"/>
    </row>
    <row r="134" spans="38:44">
      <c r="AM134" s="1135"/>
      <c r="AN134" s="1136"/>
      <c r="AO134" s="1136"/>
      <c r="AP134" s="1135"/>
      <c r="AQ134" s="1136"/>
      <c r="AR134" s="1128"/>
    </row>
    <row r="135" spans="38:44">
      <c r="AL135" s="1144"/>
      <c r="AM135" s="1137"/>
      <c r="AN135" s="1138"/>
      <c r="AO135" s="1138"/>
      <c r="AP135" s="1137"/>
      <c r="AQ135" s="1138"/>
      <c r="AR135" s="1145"/>
    </row>
    <row r="136" spans="38:44">
      <c r="AL136" s="1152"/>
      <c r="AM136" s="1680" t="s">
        <v>1226</v>
      </c>
      <c r="AN136" s="1680"/>
      <c r="AO136" s="1680"/>
      <c r="AP136" s="1680"/>
      <c r="AQ136" s="1680"/>
      <c r="AR136" s="1149"/>
    </row>
    <row r="137" spans="38:44">
      <c r="AL137" s="1152"/>
      <c r="AM137" s="1154" t="s">
        <v>2484</v>
      </c>
      <c r="AN137" s="1153"/>
      <c r="AO137" s="1153"/>
      <c r="AP137" s="1153"/>
      <c r="AQ137" s="1153"/>
      <c r="AR137" s="1149"/>
    </row>
    <row r="138" spans="38:44">
      <c r="AL138" s="1152"/>
      <c r="AM138" s="1154" t="s">
        <v>2485</v>
      </c>
      <c r="AN138" s="1153"/>
      <c r="AO138" s="1153"/>
      <c r="AP138" s="1153"/>
      <c r="AQ138" s="1153"/>
      <c r="AR138" s="1149"/>
    </row>
    <row r="139" spans="38:44">
      <c r="AL139" s="1152"/>
      <c r="AM139" s="1154"/>
      <c r="AN139" s="1153"/>
      <c r="AO139" s="1153"/>
      <c r="AP139" s="1153"/>
      <c r="AQ139" s="1153"/>
      <c r="AR139" s="1149"/>
    </row>
  </sheetData>
  <mergeCells count="110">
    <mergeCell ref="AS12:AW12"/>
    <mergeCell ref="AS50:AW50"/>
    <mergeCell ref="AY50:BC50"/>
    <mergeCell ref="AY12:BC12"/>
    <mergeCell ref="AS29:AW29"/>
    <mergeCell ref="AY29:BC29"/>
    <mergeCell ref="AS67:AW67"/>
    <mergeCell ref="AY67:BC67"/>
    <mergeCell ref="W45:W46"/>
    <mergeCell ref="AQ38:AR38"/>
    <mergeCell ref="AM38:AN38"/>
    <mergeCell ref="AO38:AP38"/>
    <mergeCell ref="AA37:AB37"/>
    <mergeCell ref="AC37:AD37"/>
    <mergeCell ref="AE37:AF37"/>
    <mergeCell ref="AM12:AQ12"/>
    <mergeCell ref="AA38:AB38"/>
    <mergeCell ref="AC38:AD38"/>
    <mergeCell ref="AM50:AQ50"/>
    <mergeCell ref="AM67:AQ67"/>
    <mergeCell ref="AC77:AD77"/>
    <mergeCell ref="AE77:AF77"/>
    <mergeCell ref="S76:T76"/>
    <mergeCell ref="AQ77:AR77"/>
    <mergeCell ref="AG77:AH77"/>
    <mergeCell ref="AI77:AJ77"/>
    <mergeCell ref="AK77:AL77"/>
    <mergeCell ref="AM77:AN77"/>
    <mergeCell ref="AO77:AP77"/>
    <mergeCell ref="AC76:AD76"/>
    <mergeCell ref="AE76:AF76"/>
    <mergeCell ref="AM111:AQ111"/>
    <mergeCell ref="C88:G88"/>
    <mergeCell ref="I88:M88"/>
    <mergeCell ref="O88:S88"/>
    <mergeCell ref="U88:Y88"/>
    <mergeCell ref="AG88:AK88"/>
    <mergeCell ref="AM88:AQ88"/>
    <mergeCell ref="C111:G111"/>
    <mergeCell ref="I111:M111"/>
    <mergeCell ref="O111:S111"/>
    <mergeCell ref="U111:Y111"/>
    <mergeCell ref="AG111:AK111"/>
    <mergeCell ref="O76:P76"/>
    <mergeCell ref="AA77:AB77"/>
    <mergeCell ref="Q76:R76"/>
    <mergeCell ref="U76:V76"/>
    <mergeCell ref="W76:X76"/>
    <mergeCell ref="Y76:Z76"/>
    <mergeCell ref="AA76:AB76"/>
    <mergeCell ref="I76:J76"/>
    <mergeCell ref="K76:L76"/>
    <mergeCell ref="M76:N76"/>
    <mergeCell ref="I77:J77"/>
    <mergeCell ref="K77:L77"/>
    <mergeCell ref="M77:N77"/>
    <mergeCell ref="O77:P77"/>
    <mergeCell ref="Q77:R77"/>
    <mergeCell ref="S77:T77"/>
    <mergeCell ref="U77:V77"/>
    <mergeCell ref="W77:X77"/>
    <mergeCell ref="Y77:Z77"/>
    <mergeCell ref="U38:V38"/>
    <mergeCell ref="W38:X38"/>
    <mergeCell ref="Y38:Z38"/>
    <mergeCell ref="C67:G67"/>
    <mergeCell ref="I67:M67"/>
    <mergeCell ref="O67:S67"/>
    <mergeCell ref="U67:Y67"/>
    <mergeCell ref="AA67:AE67"/>
    <mergeCell ref="AG67:AK67"/>
    <mergeCell ref="AK38:AL38"/>
    <mergeCell ref="AE38:AF38"/>
    <mergeCell ref="AG38:AH38"/>
    <mergeCell ref="AI38:AJ38"/>
    <mergeCell ref="K37:L37"/>
    <mergeCell ref="M37:N37"/>
    <mergeCell ref="O37:P37"/>
    <mergeCell ref="Q37:R37"/>
    <mergeCell ref="S37:T37"/>
    <mergeCell ref="I38:J38"/>
    <mergeCell ref="K38:L38"/>
    <mergeCell ref="M38:N38"/>
    <mergeCell ref="O38:P38"/>
    <mergeCell ref="Q38:R38"/>
    <mergeCell ref="S38:T38"/>
    <mergeCell ref="AM136:AQ136"/>
    <mergeCell ref="C29:G29"/>
    <mergeCell ref="I29:M29"/>
    <mergeCell ref="O29:S29"/>
    <mergeCell ref="U29:Y29"/>
    <mergeCell ref="AA29:AE29"/>
    <mergeCell ref="AG29:AK29"/>
    <mergeCell ref="AM29:AQ29"/>
    <mergeCell ref="C12:G12"/>
    <mergeCell ref="I12:M12"/>
    <mergeCell ref="O12:S12"/>
    <mergeCell ref="U12:Y12"/>
    <mergeCell ref="AA12:AE12"/>
    <mergeCell ref="AG12:AK12"/>
    <mergeCell ref="C50:G50"/>
    <mergeCell ref="I50:M50"/>
    <mergeCell ref="O50:S50"/>
    <mergeCell ref="U50:Y50"/>
    <mergeCell ref="AA50:AE50"/>
    <mergeCell ref="AG50:AK50"/>
    <mergeCell ref="U37:V37"/>
    <mergeCell ref="W37:X37"/>
    <mergeCell ref="Y37:Z37"/>
    <mergeCell ref="I37:J37"/>
  </mergeCells>
  <phoneticPr fontId="13" type="noConversion"/>
  <pageMargins left="0.7" right="0.36" top="0.54" bottom="0.69" header="0.3" footer="0.3"/>
  <pageSetup paperSize="9" scale="65" fitToHeight="0" orientation="landscape" horizontalDpi="4294967293" verticalDpi="4294967293" r:id="rId1"/>
  <rowBreaks count="3" manualBreakCount="3">
    <brk id="38" max="57" man="1"/>
    <brk id="77" max="16383" man="1"/>
    <brk id="99" max="57" man="1"/>
  </row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8E65-E599-4F9D-8EB1-52EE195B3A7F}">
  <sheetPr codeName="Sheet17"/>
  <dimension ref="A1:GZ120"/>
  <sheetViews>
    <sheetView topLeftCell="C91" zoomScaleNormal="100" workbookViewId="0">
      <selection activeCell="A4" sqref="A4:B60"/>
    </sheetView>
  </sheetViews>
  <sheetFormatPr defaultColWidth="8.75" defaultRowHeight="14.25"/>
  <cols>
    <col min="1" max="1" width="13" style="132" hidden="1" customWidth="1"/>
    <col min="2" max="2" width="6.75" style="132" hidden="1" customWidth="1"/>
    <col min="3" max="3" width="10.875" style="134" customWidth="1"/>
    <col min="4" max="4" width="8.25" style="134" customWidth="1"/>
    <col min="5" max="5" width="10.25" style="134" customWidth="1"/>
    <col min="6" max="6" width="5.75" style="134" bestFit="1" customWidth="1"/>
    <col min="7" max="7" width="8.625" style="132" bestFit="1" customWidth="1"/>
    <col min="8" max="8" width="5.875" style="132" bestFit="1" customWidth="1"/>
    <col min="9" max="9" width="8.625" style="132" bestFit="1" customWidth="1"/>
    <col min="10" max="10" width="5.875" style="132" bestFit="1" customWidth="1"/>
    <col min="11" max="11" width="8.625" style="132" bestFit="1" customWidth="1"/>
    <col min="12" max="12" width="5.875" style="132" bestFit="1" customWidth="1"/>
    <col min="13" max="13" width="8.625" style="132" bestFit="1" customWidth="1"/>
    <col min="14" max="14" width="5.75" style="132" bestFit="1" customWidth="1"/>
    <col min="15" max="15" width="8.625" style="132" bestFit="1" customWidth="1"/>
    <col min="16" max="16" width="5.75" style="132" bestFit="1" customWidth="1"/>
    <col min="17" max="17" width="8.625" style="132" bestFit="1" customWidth="1"/>
    <col min="18" max="18" width="5.75" style="132" bestFit="1" customWidth="1"/>
    <col min="19" max="19" width="8.625" style="132" bestFit="1" customWidth="1"/>
    <col min="20" max="20" width="5.75" style="132" bestFit="1" customWidth="1"/>
    <col min="21" max="21" width="8.625" style="132" bestFit="1" customWidth="1"/>
    <col min="22" max="22" width="5.75" style="132" bestFit="1" customWidth="1"/>
    <col min="23" max="23" width="8.625" style="132" bestFit="1" customWidth="1"/>
    <col min="24" max="24" width="5.75" style="132" bestFit="1" customWidth="1"/>
    <col min="25" max="25" width="8.625" style="132" bestFit="1" customWidth="1"/>
    <col min="26" max="26" width="5.75" style="132" bestFit="1" customWidth="1"/>
    <col min="27" max="27" width="8.625" style="132" bestFit="1" customWidth="1"/>
    <col min="28" max="28" width="5.75" style="132" bestFit="1" customWidth="1"/>
    <col min="29" max="29" width="8.625" style="132" bestFit="1" customWidth="1"/>
    <col min="30" max="30" width="5.75" style="132" bestFit="1" customWidth="1"/>
    <col min="31" max="31" width="8.625" style="132" bestFit="1" customWidth="1"/>
    <col min="32" max="32" width="5.75" style="132" bestFit="1" customWidth="1"/>
    <col min="33" max="33" width="8.625" style="132" bestFit="1" customWidth="1"/>
    <col min="34" max="34" width="5.75" style="132" bestFit="1" customWidth="1"/>
    <col min="35" max="35" width="8.625" style="132" bestFit="1" customWidth="1"/>
    <col min="36" max="36" width="5.75" style="132" bestFit="1" customWidth="1"/>
    <col min="37" max="37" width="8.625" style="132" bestFit="1" customWidth="1"/>
    <col min="38" max="38" width="5.75" style="132" bestFit="1" customWidth="1"/>
    <col min="39" max="39" width="8.625" style="132" bestFit="1" customWidth="1"/>
    <col min="40" max="40" width="5.75" style="132" bestFit="1" customWidth="1"/>
    <col min="41" max="41" width="8.625" style="132" bestFit="1" customWidth="1"/>
    <col min="42" max="42" width="5.75" style="132" bestFit="1" customWidth="1"/>
    <col min="43" max="43" width="8.625" style="132" bestFit="1" customWidth="1"/>
    <col min="44" max="44" width="5.75" style="132" bestFit="1" customWidth="1"/>
    <col min="45" max="45" width="8.625" style="132" bestFit="1" customWidth="1"/>
    <col min="46" max="46" width="5.75" style="132" bestFit="1" customWidth="1"/>
    <col min="47" max="47" width="8.625" style="132" bestFit="1" customWidth="1"/>
    <col min="48" max="48" width="5.75" style="132" bestFit="1" customWidth="1"/>
    <col min="49" max="49" width="8.625" style="132" bestFit="1" customWidth="1"/>
    <col min="50" max="50" width="5.75" style="132" bestFit="1" customWidth="1"/>
    <col min="51" max="51" width="8.625" style="132" bestFit="1" customWidth="1"/>
    <col min="52" max="52" width="5.75" style="132" bestFit="1" customWidth="1"/>
    <col min="53" max="53" width="8.625" style="132" bestFit="1" customWidth="1"/>
    <col min="54" max="54" width="5.75" style="132" bestFit="1" customWidth="1"/>
    <col min="55" max="55" width="8.625" style="132" bestFit="1" customWidth="1"/>
    <col min="56" max="56" width="5.75" style="132" bestFit="1" customWidth="1"/>
    <col min="57" max="57" width="8.625" style="132" bestFit="1" customWidth="1"/>
    <col min="58" max="58" width="5.75" style="132" bestFit="1" customWidth="1"/>
    <col min="59" max="59" width="8.625" style="132" bestFit="1" customWidth="1"/>
    <col min="60" max="60" width="5.75" style="132" bestFit="1" customWidth="1"/>
    <col min="61" max="61" width="8.625" style="132" bestFit="1" customWidth="1"/>
    <col min="62" max="62" width="5.75" style="132" bestFit="1" customWidth="1"/>
    <col min="63" max="63" width="8.625" style="132" bestFit="1" customWidth="1"/>
    <col min="64" max="64" width="5.75" style="132" bestFit="1" customWidth="1"/>
    <col min="65" max="65" width="8.625" style="132" bestFit="1" customWidth="1"/>
    <col min="66" max="66" width="5.75" style="132" bestFit="1" customWidth="1"/>
    <col min="67" max="67" width="8.625" style="132" bestFit="1" customWidth="1"/>
    <col min="68" max="68" width="5.75" style="132" bestFit="1" customWidth="1"/>
    <col min="69" max="69" width="8.625" style="132" bestFit="1" customWidth="1"/>
    <col min="70" max="70" width="5.75" style="132" bestFit="1" customWidth="1"/>
    <col min="71" max="71" width="8.625" style="132" bestFit="1" customWidth="1"/>
    <col min="72" max="72" width="5.75" style="132" bestFit="1" customWidth="1"/>
    <col min="73" max="73" width="8.625" style="132" bestFit="1" customWidth="1"/>
    <col min="74" max="74" width="5.75" style="132" bestFit="1" customWidth="1"/>
    <col min="75" max="75" width="8.625" style="132" bestFit="1" customWidth="1"/>
    <col min="76" max="76" width="5.75" style="132" bestFit="1" customWidth="1"/>
    <col min="77" max="77" width="8.625" style="132" bestFit="1" customWidth="1"/>
    <col min="78" max="78" width="5.75" style="132" bestFit="1" customWidth="1"/>
    <col min="79" max="79" width="8.625" style="132" bestFit="1" customWidth="1"/>
    <col min="80" max="80" width="5.75" style="132" bestFit="1" customWidth="1"/>
    <col min="81" max="81" width="8.625" style="132" bestFit="1" customWidth="1"/>
    <col min="82" max="82" width="5.75" style="132" bestFit="1" customWidth="1"/>
    <col min="83" max="83" width="8.625" style="132" bestFit="1" customWidth="1"/>
    <col min="84" max="84" width="5.75" style="132" bestFit="1" customWidth="1"/>
    <col min="85" max="85" width="8.625" style="132" bestFit="1" customWidth="1"/>
    <col min="86" max="86" width="5.75" style="132" bestFit="1" customWidth="1"/>
    <col min="87" max="87" width="8.625" style="132" bestFit="1" customWidth="1"/>
    <col min="88" max="88" width="5.75" style="132" bestFit="1" customWidth="1"/>
    <col min="89" max="89" width="8.625" style="132" bestFit="1" customWidth="1"/>
    <col min="90" max="90" width="5.75" style="132" bestFit="1" customWidth="1"/>
    <col min="91" max="91" width="8.625" style="132" bestFit="1" customWidth="1"/>
    <col min="92" max="92" width="5.75" style="132" bestFit="1" customWidth="1"/>
    <col min="93" max="93" width="8.625" style="132" bestFit="1" customWidth="1"/>
    <col min="94" max="94" width="5.75" style="132" bestFit="1" customWidth="1"/>
    <col min="95" max="95" width="8.625" style="132" bestFit="1" customWidth="1"/>
    <col min="96" max="96" width="5.75" style="132" bestFit="1" customWidth="1"/>
    <col min="97" max="97" width="8.625" style="132" bestFit="1" customWidth="1"/>
    <col min="98" max="98" width="5.75" style="132" bestFit="1" customWidth="1"/>
    <col min="99" max="99" width="8.625" style="132" bestFit="1" customWidth="1"/>
    <col min="100" max="100" width="5.75" style="132" bestFit="1" customWidth="1"/>
    <col min="101" max="101" width="8.625" style="132" bestFit="1" customWidth="1"/>
    <col min="102" max="102" width="5.75" style="132" bestFit="1" customWidth="1"/>
    <col min="103" max="103" width="8.625" style="132" bestFit="1" customWidth="1"/>
    <col min="104" max="104" width="5.75" style="132" bestFit="1" customWidth="1"/>
    <col min="105" max="105" width="8.625" style="132" bestFit="1" customWidth="1"/>
    <col min="106" max="106" width="5.75" style="132" bestFit="1" customWidth="1"/>
    <col min="107" max="107" width="8.625" style="132" bestFit="1" customWidth="1"/>
    <col min="108" max="108" width="5.75" style="132" bestFit="1" customWidth="1"/>
    <col min="109" max="109" width="8.625" style="132" bestFit="1" customWidth="1"/>
    <col min="110" max="110" width="5.75" style="132" bestFit="1" customWidth="1"/>
    <col min="111" max="111" width="8.625" style="132" bestFit="1" customWidth="1"/>
    <col min="112" max="112" width="5.75" style="132" bestFit="1" customWidth="1"/>
    <col min="113" max="113" width="8.625" style="132" bestFit="1" customWidth="1"/>
    <col min="114" max="114" width="5.75" style="132" bestFit="1" customWidth="1"/>
    <col min="115" max="115" width="8.625" style="132" bestFit="1" customWidth="1"/>
    <col min="116" max="116" width="5.75" style="132" bestFit="1" customWidth="1"/>
    <col min="117" max="117" width="8.625" style="132" bestFit="1" customWidth="1"/>
    <col min="118" max="118" width="5.75" style="132" bestFit="1" customWidth="1"/>
    <col min="119" max="119" width="8.625" style="132" bestFit="1" customWidth="1"/>
    <col min="120" max="120" width="5.75" style="132" bestFit="1" customWidth="1"/>
    <col min="121" max="121" width="8.625" style="132" bestFit="1" customWidth="1"/>
    <col min="122" max="122" width="5.75" style="132" bestFit="1" customWidth="1"/>
    <col min="123" max="123" width="8.625" style="132" bestFit="1" customWidth="1"/>
    <col min="124" max="124" width="5.75" style="132" bestFit="1" customWidth="1"/>
    <col min="125" max="125" width="8.625" style="132" bestFit="1" customWidth="1"/>
    <col min="126" max="126" width="5.75" style="132" bestFit="1" customWidth="1"/>
    <col min="127" max="127" width="8.625" style="132" bestFit="1" customWidth="1"/>
    <col min="128" max="128" width="5.75" style="132" bestFit="1" customWidth="1"/>
    <col min="129" max="129" width="8.625" style="132" bestFit="1" customWidth="1"/>
    <col min="130" max="130" width="5.75" style="132" bestFit="1" customWidth="1"/>
    <col min="131" max="131" width="8.625" style="132" bestFit="1" customWidth="1"/>
    <col min="132" max="132" width="5.75" style="132" bestFit="1" customWidth="1"/>
    <col min="133" max="133" width="8.625" style="132" bestFit="1" customWidth="1"/>
    <col min="134" max="134" width="5.75" style="132" bestFit="1" customWidth="1"/>
    <col min="135" max="135" width="8.625" style="132" bestFit="1" customWidth="1"/>
    <col min="136" max="136" width="5.75" style="132" bestFit="1" customWidth="1"/>
    <col min="137" max="137" width="8.625" style="132" bestFit="1" customWidth="1"/>
    <col min="138" max="138" width="5.75" style="132" bestFit="1" customWidth="1"/>
    <col min="139" max="139" width="8.625" style="132" bestFit="1" customWidth="1"/>
    <col min="140" max="140" width="5.75" style="132" bestFit="1" customWidth="1"/>
    <col min="141" max="141" width="8.625" style="132" bestFit="1" customWidth="1"/>
    <col min="142" max="142" width="5.75" style="132" bestFit="1" customWidth="1"/>
    <col min="143" max="143" width="8.625" style="132" bestFit="1" customWidth="1"/>
    <col min="144" max="144" width="5.75" style="132" bestFit="1" customWidth="1"/>
    <col min="145" max="145" width="8.625" style="132" bestFit="1" customWidth="1"/>
    <col min="146" max="146" width="5.75" style="132" bestFit="1" customWidth="1"/>
    <col min="147" max="147" width="8.625" style="132" bestFit="1" customWidth="1"/>
    <col min="148" max="148" width="5.75" style="132" bestFit="1" customWidth="1"/>
    <col min="149" max="149" width="8.625" style="132" bestFit="1" customWidth="1"/>
    <col min="150" max="150" width="5.75" style="132" bestFit="1" customWidth="1"/>
    <col min="151" max="151" width="8.625" style="132" bestFit="1" customWidth="1"/>
    <col min="152" max="152" width="5.75" style="132" bestFit="1" customWidth="1"/>
    <col min="153" max="153" width="8.625" style="132" bestFit="1" customWidth="1"/>
    <col min="154" max="154" width="5.75" style="132" bestFit="1" customWidth="1"/>
    <col min="155" max="155" width="8.625" style="132" bestFit="1" customWidth="1"/>
    <col min="156" max="156" width="5.75" style="132" bestFit="1" customWidth="1"/>
    <col min="157" max="157" width="8.625" style="132" bestFit="1" customWidth="1"/>
    <col min="158" max="158" width="5.75" style="132" bestFit="1" customWidth="1"/>
    <col min="159" max="159" width="8.625" style="132" bestFit="1" customWidth="1"/>
    <col min="160" max="160" width="5.75" style="132" bestFit="1" customWidth="1"/>
    <col min="161" max="161" width="8.625" style="132" bestFit="1" customWidth="1"/>
    <col min="162" max="162" width="5.75" style="132" bestFit="1" customWidth="1"/>
    <col min="163" max="163" width="8.625" style="132" bestFit="1" customWidth="1"/>
    <col min="164" max="164" width="5.75" style="132" bestFit="1" customWidth="1"/>
    <col min="165" max="165" width="8.625" style="132" bestFit="1" customWidth="1"/>
    <col min="166" max="166" width="5.75" style="132" bestFit="1" customWidth="1"/>
    <col min="167" max="167" width="8.625" style="132" bestFit="1" customWidth="1"/>
    <col min="168" max="168" width="5.75" style="132" bestFit="1" customWidth="1"/>
    <col min="169" max="169" width="8.625" style="132" bestFit="1" customWidth="1"/>
    <col min="170" max="170" width="5.75" style="132" bestFit="1" customWidth="1"/>
    <col min="171" max="171" width="8.625" style="132" bestFit="1" customWidth="1"/>
    <col min="172" max="172" width="5.75" style="132" bestFit="1" customWidth="1"/>
    <col min="173" max="173" width="8.625" style="132" bestFit="1" customWidth="1"/>
    <col min="174" max="174" width="5.75" style="132" bestFit="1" customWidth="1"/>
    <col min="175" max="175" width="8.625" style="132" bestFit="1" customWidth="1"/>
    <col min="176" max="176" width="5.75" style="132" bestFit="1" customWidth="1"/>
    <col min="177" max="177" width="8.625" style="132" bestFit="1" customWidth="1"/>
    <col min="178" max="178" width="5.75" style="132" bestFit="1" customWidth="1"/>
    <col min="179" max="179" width="8.625" style="132" bestFit="1" customWidth="1"/>
    <col min="180" max="180" width="5.75" style="132" bestFit="1" customWidth="1"/>
    <col min="181" max="181" width="8.625" style="132" bestFit="1" customWidth="1"/>
    <col min="182" max="182" width="5.75" style="132" bestFit="1" customWidth="1"/>
    <col min="183" max="183" width="8.625" style="132" bestFit="1" customWidth="1"/>
    <col min="184" max="184" width="5.75" style="132" bestFit="1" customWidth="1"/>
    <col min="185" max="185" width="8.625" style="132" bestFit="1" customWidth="1"/>
    <col min="186" max="186" width="5.75" style="132" bestFit="1" customWidth="1"/>
    <col min="187" max="187" width="8.625" style="132" bestFit="1" customWidth="1"/>
    <col min="188" max="188" width="5.75" style="132" bestFit="1" customWidth="1"/>
    <col min="189" max="189" width="8.625" style="132" bestFit="1" customWidth="1"/>
    <col min="190" max="190" width="5.75" style="132" bestFit="1" customWidth="1"/>
    <col min="191" max="191" width="8.625" style="132" bestFit="1" customWidth="1"/>
    <col min="192" max="192" width="5.75" style="132" bestFit="1" customWidth="1"/>
    <col min="193" max="193" width="8.625" style="132" bestFit="1" customWidth="1"/>
    <col min="194" max="194" width="5.75" style="132" bestFit="1" customWidth="1"/>
    <col min="195" max="195" width="8.625" style="132" bestFit="1" customWidth="1"/>
    <col min="196" max="196" width="5.75" style="132" bestFit="1" customWidth="1"/>
    <col min="197" max="197" width="8.625" style="132" bestFit="1" customWidth="1"/>
    <col min="198" max="198" width="5.75" style="132" bestFit="1" customWidth="1"/>
    <col min="199" max="199" width="8.625" style="132" bestFit="1" customWidth="1"/>
    <col min="200" max="200" width="5.75" style="132" bestFit="1" customWidth="1"/>
    <col min="201" max="201" width="8.625" style="132" bestFit="1" customWidth="1"/>
    <col min="202" max="202" width="5.75" style="132" bestFit="1" customWidth="1"/>
    <col min="203" max="203" width="8.625" style="132" bestFit="1" customWidth="1"/>
    <col min="204" max="204" width="5.75" style="132" bestFit="1" customWidth="1"/>
    <col min="205" max="205" width="8.625" style="132" bestFit="1" customWidth="1"/>
    <col min="206" max="206" width="5.75" style="132" bestFit="1" customWidth="1"/>
    <col min="207" max="207" width="8.625" style="132" bestFit="1" customWidth="1"/>
    <col min="208" max="208" width="5.75" style="132" bestFit="1" customWidth="1"/>
    <col min="209" max="16384" width="8.75" style="132"/>
  </cols>
  <sheetData>
    <row r="1" spans="1:208" hidden="1">
      <c r="C1" s="134">
        <f>SUM(C4:C37)</f>
        <v>25</v>
      </c>
      <c r="E1" s="134">
        <f>SUM(E4:E37)</f>
        <v>25</v>
      </c>
      <c r="G1" s="132">
        <f>SUM(G4:G37)</f>
        <v>-20</v>
      </c>
      <c r="I1" s="132">
        <f>SUM(I4:I37)</f>
        <v>0</v>
      </c>
      <c r="K1" s="132">
        <f>SUM(K4:K37)</f>
        <v>0</v>
      </c>
      <c r="M1" s="132">
        <f>SUM(M4:M37)</f>
        <v>0</v>
      </c>
      <c r="O1" s="132">
        <f>SUM(O4:O37)</f>
        <v>0</v>
      </c>
      <c r="Q1" s="132">
        <f>SUM(Q4:Q37)</f>
        <v>0</v>
      </c>
      <c r="S1" s="132">
        <f>SUM(S4:S37)</f>
        <v>0</v>
      </c>
      <c r="U1" s="132">
        <f>SUM(U4:U37)</f>
        <v>0</v>
      </c>
      <c r="W1" s="132">
        <f>SUM(W4:W37)</f>
        <v>0</v>
      </c>
      <c r="Y1" s="132">
        <f>SUM(Y4:Y37)</f>
        <v>0</v>
      </c>
      <c r="AA1" s="132">
        <f>SUM(AA4:AA37)</f>
        <v>0</v>
      </c>
      <c r="AC1" s="132">
        <f>SUM(AC4:AC37)</f>
        <v>0</v>
      </c>
      <c r="AE1" s="132">
        <f>SUM(AE4:AE37)</f>
        <v>0</v>
      </c>
      <c r="AG1" s="132">
        <f>SUM(AG4:AG37)</f>
        <v>0</v>
      </c>
      <c r="AI1" s="132">
        <f>SUM(AI4:AI37)</f>
        <v>0</v>
      </c>
      <c r="AK1" s="132">
        <f>SUM(AK4:AK37)</f>
        <v>0</v>
      </c>
      <c r="AM1" s="132">
        <f>SUM(AM4:AM37)</f>
        <v>0</v>
      </c>
      <c r="AO1" s="132">
        <f>SUM(AO4:AO37)</f>
        <v>0</v>
      </c>
      <c r="AQ1" s="132">
        <f>SUM(AQ4:AQ37)</f>
        <v>0</v>
      </c>
      <c r="AS1" s="132">
        <f>SUM(AS4:AS37)</f>
        <v>0</v>
      </c>
      <c r="AU1" s="132">
        <f>SUM(AU4:AU37)</f>
        <v>0</v>
      </c>
      <c r="AW1" s="132">
        <f>SUM(AW4:AW37)</f>
        <v>0</v>
      </c>
      <c r="AY1" s="132">
        <f>SUM(AY4:AY37)</f>
        <v>0</v>
      </c>
      <c r="BA1" s="132">
        <f>SUM(BA4:BA37)</f>
        <v>0</v>
      </c>
      <c r="BC1" s="132">
        <f>SUM(BC4:BC37)</f>
        <v>0</v>
      </c>
      <c r="BE1" s="132">
        <f>SUM(BE4:BE37)</f>
        <v>0</v>
      </c>
      <c r="BG1" s="132">
        <f>SUM(BG4:BG37)</f>
        <v>0</v>
      </c>
      <c r="BI1" s="132">
        <f>SUM(BI4:BI37)</f>
        <v>0</v>
      </c>
      <c r="BK1" s="132">
        <f>SUM(BK4:BK37)</f>
        <v>0</v>
      </c>
      <c r="BM1" s="132">
        <f>SUM(BM4:BM37)</f>
        <v>0</v>
      </c>
      <c r="BO1" s="132">
        <f>SUM(BO4:BO37)</f>
        <v>0</v>
      </c>
      <c r="BQ1" s="132">
        <f>SUM(BQ4:BQ37)</f>
        <v>0</v>
      </c>
      <c r="BS1" s="132">
        <f>SUM(BS4:BS37)</f>
        <v>0</v>
      </c>
      <c r="BU1" s="132">
        <f>SUM(BU4:BU37)</f>
        <v>0</v>
      </c>
      <c r="BW1" s="132">
        <f>SUM(BW4:BW37)</f>
        <v>0</v>
      </c>
      <c r="BY1" s="132">
        <f>SUM(BY4:BY37)</f>
        <v>0</v>
      </c>
      <c r="CA1" s="132">
        <f>SUM(CA4:CA37)</f>
        <v>0</v>
      </c>
      <c r="CC1" s="132">
        <f>SUM(CC4:CC37)</f>
        <v>0</v>
      </c>
      <c r="CE1" s="132">
        <f>SUM(CE4:CE37)</f>
        <v>0</v>
      </c>
      <c r="CG1" s="132">
        <f>SUM(CG4:CG37)</f>
        <v>0</v>
      </c>
      <c r="CI1" s="132">
        <f>SUM(CI4:CI37)</f>
        <v>0</v>
      </c>
      <c r="CK1" s="132">
        <f>SUM(CK4:CK37)</f>
        <v>0</v>
      </c>
      <c r="CM1" s="132">
        <f>SUM(CM4:CM37)</f>
        <v>0</v>
      </c>
      <c r="CO1" s="132">
        <f>SUM(CO4:CO37)</f>
        <v>0</v>
      </c>
      <c r="CQ1" s="132">
        <f>SUM(CQ4:CQ37)</f>
        <v>0</v>
      </c>
      <c r="CS1" s="132">
        <f>SUM(CS4:CS37)</f>
        <v>0</v>
      </c>
      <c r="CU1" s="132">
        <f>SUM(CU4:CU37)</f>
        <v>0</v>
      </c>
      <c r="CW1" s="132">
        <f>SUM(CW4:CW37)</f>
        <v>0</v>
      </c>
      <c r="CY1" s="132">
        <f>SUM(CY4:CY37)</f>
        <v>0</v>
      </c>
      <c r="DA1" s="132">
        <f>SUM(DA4:DA37)</f>
        <v>0</v>
      </c>
      <c r="DC1" s="132">
        <f>SUM(DC4:DC37)</f>
        <v>0</v>
      </c>
      <c r="DE1" s="132">
        <f>SUM(DE4:DE37)</f>
        <v>0</v>
      </c>
      <c r="DG1" s="132">
        <f>SUM(DG4:DG37)</f>
        <v>0</v>
      </c>
      <c r="DI1" s="132">
        <f>SUM(DI4:DI37)</f>
        <v>0</v>
      </c>
      <c r="DK1" s="132">
        <f>SUM(DK4:DK37)</f>
        <v>0</v>
      </c>
      <c r="DM1" s="132">
        <f>SUM(DM4:DM37)</f>
        <v>0</v>
      </c>
      <c r="DO1" s="132">
        <f>SUM(DO4:DO37)</f>
        <v>0</v>
      </c>
      <c r="DQ1" s="132">
        <f>SUM(DQ4:DQ37)</f>
        <v>0</v>
      </c>
      <c r="DS1" s="132">
        <f>SUM(DS4:DS37)</f>
        <v>0</v>
      </c>
      <c r="DU1" s="132">
        <f>SUM(DU4:DU37)</f>
        <v>0</v>
      </c>
      <c r="DW1" s="132">
        <f>SUM(DW4:DW37)</f>
        <v>0</v>
      </c>
      <c r="DY1" s="132">
        <f>SUM(DY4:DY37)</f>
        <v>0</v>
      </c>
      <c r="EA1" s="132">
        <f>SUM(EA4:EA37)</f>
        <v>0</v>
      </c>
      <c r="EC1" s="132">
        <f>SUM(EC4:EC37)</f>
        <v>0</v>
      </c>
      <c r="EE1" s="132">
        <f>SUM(EE4:EE37)</f>
        <v>0</v>
      </c>
      <c r="EG1" s="132">
        <f>SUM(EG4:EG37)</f>
        <v>0</v>
      </c>
      <c r="EI1" s="132">
        <f>SUM(EI4:EI37)</f>
        <v>0</v>
      </c>
      <c r="EK1" s="132">
        <f>SUM(EK4:EK37)</f>
        <v>0</v>
      </c>
      <c r="EM1" s="132">
        <f>SUM(EM4:EM37)</f>
        <v>0</v>
      </c>
      <c r="EO1" s="132">
        <f>SUM(EO4:EO37)</f>
        <v>0</v>
      </c>
      <c r="EQ1" s="132">
        <f>SUM(EQ4:EQ37)</f>
        <v>0</v>
      </c>
      <c r="ES1" s="132">
        <f>SUM(ES4:ES37)</f>
        <v>0</v>
      </c>
      <c r="EU1" s="132">
        <f>SUM(EU4:EU37)</f>
        <v>0</v>
      </c>
      <c r="EW1" s="132">
        <f>SUM(EW4:EW37)</f>
        <v>0</v>
      </c>
      <c r="EY1" s="132">
        <f>SUM(EY4:EY37)</f>
        <v>0</v>
      </c>
      <c r="FA1" s="132">
        <f>SUM(FA4:FA37)</f>
        <v>0</v>
      </c>
      <c r="FC1" s="132">
        <f>SUM(FC4:FC37)</f>
        <v>0</v>
      </c>
      <c r="FE1" s="132">
        <f>SUM(FE4:FE37)</f>
        <v>0</v>
      </c>
      <c r="FG1" s="132">
        <f>SUM(FG4:FG37)</f>
        <v>0</v>
      </c>
      <c r="FI1" s="132">
        <f>SUM(FI4:FI37)</f>
        <v>0</v>
      </c>
      <c r="FK1" s="132">
        <f>SUM(FK4:FK37)</f>
        <v>0</v>
      </c>
      <c r="FM1" s="132">
        <f>SUM(FM4:FM37)</f>
        <v>0</v>
      </c>
      <c r="FO1" s="132">
        <f>SUM(FO4:FO37)</f>
        <v>0</v>
      </c>
      <c r="FQ1" s="132">
        <f>SUM(FQ4:FQ37)</f>
        <v>0</v>
      </c>
      <c r="FS1" s="132">
        <f>SUM(FS4:FS37)</f>
        <v>0</v>
      </c>
      <c r="FU1" s="132">
        <f>SUM(FU4:FU37)</f>
        <v>0</v>
      </c>
      <c r="FW1" s="132">
        <f>SUM(FW4:FW37)</f>
        <v>0</v>
      </c>
      <c r="FY1" s="132">
        <f>SUM(FY4:FY37)</f>
        <v>0</v>
      </c>
      <c r="GA1" s="132">
        <f>SUM(GA4:GA37)</f>
        <v>0</v>
      </c>
      <c r="GC1" s="132">
        <f>SUM(GC4:GC37)</f>
        <v>0</v>
      </c>
      <c r="GE1" s="132">
        <f>SUM(GE4:GE37)</f>
        <v>0</v>
      </c>
      <c r="GG1" s="132">
        <f>SUM(GG4:GG37)</f>
        <v>0</v>
      </c>
      <c r="GI1" s="132">
        <f>SUM(GI4:GI37)</f>
        <v>0</v>
      </c>
      <c r="GK1" s="132">
        <f>SUM(GK4:GK37)</f>
        <v>0</v>
      </c>
      <c r="GM1" s="132">
        <f>SUM(GM4:GM37)</f>
        <v>0</v>
      </c>
      <c r="GO1" s="132">
        <f>SUM(GO4:GO37)</f>
        <v>0</v>
      </c>
      <c r="GQ1" s="132">
        <f>SUM(GQ4:GQ37)</f>
        <v>0</v>
      </c>
      <c r="GS1" s="132">
        <f>SUM(GS4:GS37)</f>
        <v>0</v>
      </c>
      <c r="GU1" s="132">
        <f>SUM(GU4:GU37)</f>
        <v>0</v>
      </c>
      <c r="GW1" s="132">
        <f>SUM(GW4:GW37)</f>
        <v>0</v>
      </c>
      <c r="GY1" s="132">
        <f>SUM(GY4:GY37)</f>
        <v>0</v>
      </c>
    </row>
    <row r="2" spans="1:208" hidden="1">
      <c r="A2" s="1319"/>
      <c r="B2" s="1319">
        <f>SUM(B4:B36)</f>
        <v>198</v>
      </c>
      <c r="C2" s="1687" t="s">
        <v>2675</v>
      </c>
      <c r="D2" s="1687"/>
      <c r="E2" s="1687" t="s">
        <v>2676</v>
      </c>
      <c r="F2" s="1687"/>
      <c r="G2" s="1687" t="s">
        <v>2677</v>
      </c>
      <c r="H2" s="1687"/>
      <c r="I2" s="1687" t="s">
        <v>2678</v>
      </c>
      <c r="J2" s="1687"/>
      <c r="K2" s="1687" t="s">
        <v>2679</v>
      </c>
      <c r="L2" s="1687"/>
      <c r="M2" s="1687" t="s">
        <v>2680</v>
      </c>
      <c r="N2" s="1687"/>
      <c r="O2" s="1687" t="s">
        <v>2681</v>
      </c>
      <c r="P2" s="1687"/>
      <c r="Q2" s="1687" t="s">
        <v>2682</v>
      </c>
      <c r="R2" s="1687"/>
      <c r="S2" s="1687" t="s">
        <v>2683</v>
      </c>
      <c r="T2" s="1687"/>
      <c r="U2" s="1687" t="s">
        <v>2684</v>
      </c>
      <c r="V2" s="1687"/>
      <c r="W2" s="1687" t="s">
        <v>2685</v>
      </c>
      <c r="X2" s="1687"/>
      <c r="Y2" s="1687" t="s">
        <v>2686</v>
      </c>
      <c r="Z2" s="1687"/>
      <c r="AA2" s="1687" t="s">
        <v>2687</v>
      </c>
      <c r="AB2" s="1687"/>
      <c r="AC2" s="1687" t="s">
        <v>2688</v>
      </c>
      <c r="AD2" s="1687"/>
      <c r="AE2" s="1687" t="s">
        <v>2689</v>
      </c>
      <c r="AF2" s="1687"/>
      <c r="AG2" s="1687" t="s">
        <v>2690</v>
      </c>
      <c r="AH2" s="1687"/>
      <c r="AI2" s="1687" t="s">
        <v>2691</v>
      </c>
      <c r="AJ2" s="1687"/>
      <c r="AK2" s="1687" t="s">
        <v>2692</v>
      </c>
      <c r="AL2" s="1687"/>
      <c r="AM2" s="1687" t="s">
        <v>2693</v>
      </c>
      <c r="AN2" s="1687"/>
      <c r="AO2" s="1687" t="s">
        <v>2694</v>
      </c>
      <c r="AP2" s="1687"/>
      <c r="AQ2" s="1687" t="s">
        <v>2695</v>
      </c>
      <c r="AR2" s="1687"/>
      <c r="AS2" s="1687" t="s">
        <v>2696</v>
      </c>
      <c r="AT2" s="1687"/>
      <c r="AU2" s="1687" t="s">
        <v>2697</v>
      </c>
      <c r="AV2" s="1687"/>
      <c r="AW2" s="1687" t="s">
        <v>2698</v>
      </c>
      <c r="AX2" s="1687"/>
      <c r="AY2" s="1687" t="s">
        <v>2699</v>
      </c>
      <c r="AZ2" s="1687"/>
      <c r="BA2" s="1687" t="s">
        <v>2700</v>
      </c>
      <c r="BB2" s="1687"/>
      <c r="BC2" s="1687" t="s">
        <v>2701</v>
      </c>
      <c r="BD2" s="1687"/>
      <c r="BE2" s="1687" t="s">
        <v>2702</v>
      </c>
      <c r="BF2" s="1687"/>
      <c r="BG2" s="1687" t="s">
        <v>2703</v>
      </c>
      <c r="BH2" s="1687"/>
      <c r="BI2" s="1687" t="s">
        <v>2704</v>
      </c>
      <c r="BJ2" s="1687"/>
      <c r="BK2" s="1687" t="s">
        <v>2705</v>
      </c>
      <c r="BL2" s="1687"/>
      <c r="BM2" s="1687" t="s">
        <v>2706</v>
      </c>
      <c r="BN2" s="1687"/>
      <c r="BO2" s="1687" t="s">
        <v>2707</v>
      </c>
      <c r="BP2" s="1687"/>
      <c r="BQ2" s="1687" t="s">
        <v>2708</v>
      </c>
      <c r="BR2" s="1687"/>
      <c r="BS2" s="1687" t="s">
        <v>2709</v>
      </c>
      <c r="BT2" s="1687"/>
      <c r="BU2" s="1687" t="s">
        <v>2710</v>
      </c>
      <c r="BV2" s="1687"/>
      <c r="BW2" s="1687" t="s">
        <v>2711</v>
      </c>
      <c r="BX2" s="1687"/>
      <c r="BY2" s="1687" t="s">
        <v>2712</v>
      </c>
      <c r="BZ2" s="1687"/>
      <c r="CA2" s="1687" t="s">
        <v>2713</v>
      </c>
      <c r="CB2" s="1687"/>
      <c r="CC2" s="1687" t="s">
        <v>2714</v>
      </c>
      <c r="CD2" s="1687"/>
      <c r="CE2" s="1687" t="s">
        <v>2715</v>
      </c>
      <c r="CF2" s="1687"/>
      <c r="CG2" s="1687" t="s">
        <v>2716</v>
      </c>
      <c r="CH2" s="1687"/>
      <c r="CI2" s="1687" t="s">
        <v>2717</v>
      </c>
      <c r="CJ2" s="1687"/>
      <c r="CK2" s="1687" t="s">
        <v>2718</v>
      </c>
      <c r="CL2" s="1687"/>
      <c r="CM2" s="1687" t="s">
        <v>2719</v>
      </c>
      <c r="CN2" s="1687"/>
      <c r="CO2" s="1687" t="s">
        <v>2720</v>
      </c>
      <c r="CP2" s="1687"/>
      <c r="CQ2" s="1687" t="s">
        <v>2721</v>
      </c>
      <c r="CR2" s="1687"/>
      <c r="CS2" s="1687" t="s">
        <v>2722</v>
      </c>
      <c r="CT2" s="1687"/>
      <c r="CU2" s="1687" t="s">
        <v>2723</v>
      </c>
      <c r="CV2" s="1687"/>
      <c r="CW2" s="1687" t="s">
        <v>2724</v>
      </c>
      <c r="CX2" s="1687"/>
      <c r="CY2" s="1687" t="s">
        <v>2725</v>
      </c>
      <c r="CZ2" s="1687"/>
      <c r="DA2" s="1687" t="s">
        <v>2726</v>
      </c>
      <c r="DB2" s="1687"/>
      <c r="DC2" s="1687" t="s">
        <v>2727</v>
      </c>
      <c r="DD2" s="1687"/>
      <c r="DE2" s="1687" t="s">
        <v>2728</v>
      </c>
      <c r="DF2" s="1687"/>
      <c r="DG2" s="1687" t="s">
        <v>2729</v>
      </c>
      <c r="DH2" s="1687"/>
      <c r="DI2" s="1687" t="s">
        <v>2730</v>
      </c>
      <c r="DJ2" s="1687"/>
      <c r="DK2" s="1687" t="s">
        <v>2757</v>
      </c>
      <c r="DL2" s="1687"/>
      <c r="DM2" s="1687" t="s">
        <v>2758</v>
      </c>
      <c r="DN2" s="1687"/>
      <c r="DO2" s="1687" t="s">
        <v>2759</v>
      </c>
      <c r="DP2" s="1687"/>
      <c r="DQ2" s="1687" t="s">
        <v>2760</v>
      </c>
      <c r="DR2" s="1687"/>
      <c r="DS2" s="1687" t="s">
        <v>2761</v>
      </c>
      <c r="DT2" s="1687"/>
      <c r="DU2" s="1687" t="s">
        <v>2762</v>
      </c>
      <c r="DV2" s="1687"/>
      <c r="DW2" s="1687" t="s">
        <v>2763</v>
      </c>
      <c r="DX2" s="1687"/>
      <c r="DY2" s="1687" t="s">
        <v>2764</v>
      </c>
      <c r="DZ2" s="1687"/>
      <c r="EA2" s="1687" t="s">
        <v>2765</v>
      </c>
      <c r="EB2" s="1687"/>
      <c r="EC2" s="1687" t="s">
        <v>2766</v>
      </c>
      <c r="ED2" s="1687"/>
      <c r="EE2" s="1687" t="s">
        <v>2767</v>
      </c>
      <c r="EF2" s="1687"/>
      <c r="EG2" s="1687" t="s">
        <v>2768</v>
      </c>
      <c r="EH2" s="1687"/>
      <c r="EI2" s="1687" t="s">
        <v>2769</v>
      </c>
      <c r="EJ2" s="1687"/>
      <c r="EK2" s="1687" t="s">
        <v>2770</v>
      </c>
      <c r="EL2" s="1687"/>
      <c r="EM2" s="1687" t="s">
        <v>2771</v>
      </c>
      <c r="EN2" s="1687"/>
      <c r="EO2" s="1687" t="s">
        <v>2772</v>
      </c>
      <c r="EP2" s="1687"/>
      <c r="EQ2" s="1687" t="s">
        <v>2773</v>
      </c>
      <c r="ER2" s="1687"/>
      <c r="ES2" s="1687" t="s">
        <v>2774</v>
      </c>
      <c r="ET2" s="1687"/>
      <c r="EU2" s="1687" t="s">
        <v>2775</v>
      </c>
      <c r="EV2" s="1687"/>
      <c r="EW2" s="1687" t="s">
        <v>2776</v>
      </c>
      <c r="EX2" s="1687"/>
      <c r="EY2" s="1687" t="s">
        <v>2777</v>
      </c>
      <c r="EZ2" s="1687"/>
      <c r="FA2" s="1687" t="s">
        <v>2778</v>
      </c>
      <c r="FB2" s="1687"/>
      <c r="FC2" s="1687" t="s">
        <v>2779</v>
      </c>
      <c r="FD2" s="1687"/>
      <c r="FE2" s="1687" t="s">
        <v>2780</v>
      </c>
      <c r="FF2" s="1687"/>
      <c r="FG2" s="1687" t="s">
        <v>2781</v>
      </c>
      <c r="FH2" s="1687"/>
      <c r="FI2" s="1687" t="s">
        <v>2782</v>
      </c>
      <c r="FJ2" s="1687"/>
      <c r="FK2" s="1687" t="s">
        <v>2783</v>
      </c>
      <c r="FL2" s="1687"/>
      <c r="FM2" s="1687" t="s">
        <v>2784</v>
      </c>
      <c r="FN2" s="1687"/>
      <c r="FO2" s="1687" t="s">
        <v>2785</v>
      </c>
      <c r="FP2" s="1687"/>
      <c r="FQ2" s="1687" t="s">
        <v>2786</v>
      </c>
      <c r="FR2" s="1687"/>
      <c r="FS2" s="1687" t="s">
        <v>2787</v>
      </c>
      <c r="FT2" s="1687"/>
      <c r="FU2" s="1687" t="s">
        <v>2788</v>
      </c>
      <c r="FV2" s="1687"/>
      <c r="FW2" s="1687" t="s">
        <v>2789</v>
      </c>
      <c r="FX2" s="1687"/>
      <c r="FY2" s="1687" t="s">
        <v>2790</v>
      </c>
      <c r="FZ2" s="1687"/>
      <c r="GA2" s="1687" t="s">
        <v>2791</v>
      </c>
      <c r="GB2" s="1687"/>
      <c r="GC2" s="1687" t="s">
        <v>2792</v>
      </c>
      <c r="GD2" s="1687"/>
      <c r="GE2" s="1687" t="s">
        <v>2793</v>
      </c>
      <c r="GF2" s="1687"/>
      <c r="GG2" s="1687" t="s">
        <v>2794</v>
      </c>
      <c r="GH2" s="1687"/>
      <c r="GI2" s="1687" t="s">
        <v>2795</v>
      </c>
      <c r="GJ2" s="1687"/>
      <c r="GK2" s="1687" t="s">
        <v>2796</v>
      </c>
      <c r="GL2" s="1687"/>
      <c r="GM2" s="1687" t="s">
        <v>2797</v>
      </c>
      <c r="GN2" s="1687"/>
      <c r="GO2" s="1687" t="s">
        <v>2798</v>
      </c>
      <c r="GP2" s="1687"/>
      <c r="GQ2" s="1687" t="s">
        <v>2799</v>
      </c>
      <c r="GR2" s="1687"/>
      <c r="GS2" s="1687" t="s">
        <v>2800</v>
      </c>
      <c r="GT2" s="1687"/>
      <c r="GU2" s="1687" t="s">
        <v>2801</v>
      </c>
      <c r="GV2" s="1687"/>
      <c r="GW2" s="1687" t="s">
        <v>2802</v>
      </c>
      <c r="GX2" s="1687"/>
      <c r="GY2" s="1687" t="s">
        <v>2803</v>
      </c>
      <c r="GZ2" s="1687"/>
    </row>
    <row r="3" spans="1:208" hidden="1">
      <c r="A3" s="1319" t="s">
        <v>1275</v>
      </c>
      <c r="B3" s="1319" t="s">
        <v>239</v>
      </c>
      <c r="C3" s="1320"/>
      <c r="D3" s="1320">
        <f>SUM(D4:D37)</f>
        <v>173</v>
      </c>
      <c r="E3" s="1320"/>
      <c r="F3" s="1320">
        <f>SUM(F4:F37)</f>
        <v>148</v>
      </c>
      <c r="G3" s="1320"/>
      <c r="H3" s="1319">
        <f>SUM(H4:H37)</f>
        <v>168</v>
      </c>
      <c r="I3" s="1319"/>
      <c r="J3" s="1319">
        <f>SUM(J4:J37)</f>
        <v>168</v>
      </c>
      <c r="K3" s="1319"/>
      <c r="L3" s="1319">
        <f>SUM(L4:L37)</f>
        <v>168</v>
      </c>
      <c r="M3" s="1319"/>
      <c r="N3" s="1319">
        <f>SUM(N4:N37)</f>
        <v>168</v>
      </c>
      <c r="O3" s="1319"/>
      <c r="P3" s="1319">
        <f>SUM(P4:P37)</f>
        <v>168</v>
      </c>
      <c r="Q3" s="1319"/>
      <c r="R3" s="1319">
        <f>SUM(R4:R37)</f>
        <v>168</v>
      </c>
      <c r="S3" s="1319"/>
      <c r="T3" s="1319">
        <f>SUM(T4:T37)</f>
        <v>168</v>
      </c>
      <c r="U3" s="1319"/>
      <c r="V3" s="1319">
        <f>SUM(V4:V37)</f>
        <v>168</v>
      </c>
      <c r="W3" s="1319"/>
      <c r="X3" s="1319">
        <f>SUM(X4:X37)</f>
        <v>168</v>
      </c>
      <c r="Y3" s="1319"/>
      <c r="Z3" s="1319">
        <f>SUM(Z4:Z37)</f>
        <v>168</v>
      </c>
      <c r="AA3" s="1319"/>
      <c r="AB3" s="1319">
        <f>SUM(AB4:AB37)</f>
        <v>168</v>
      </c>
      <c r="AC3" s="1319"/>
      <c r="AD3" s="1319">
        <f>SUM(AD4:AD37)</f>
        <v>168</v>
      </c>
      <c r="AE3" s="1319"/>
      <c r="AF3" s="1319">
        <f>SUM(AF4:AF37)</f>
        <v>168</v>
      </c>
      <c r="AG3" s="1319"/>
      <c r="AH3" s="1319">
        <f>SUM(AH4:AH37)</f>
        <v>168</v>
      </c>
      <c r="AI3" s="1319"/>
      <c r="AJ3" s="1319">
        <f>SUM(AJ4:AJ37)</f>
        <v>168</v>
      </c>
      <c r="AK3" s="1319"/>
      <c r="AL3" s="1319">
        <f>SUM(AL4:AL37)</f>
        <v>168</v>
      </c>
      <c r="AM3" s="1319"/>
      <c r="AN3" s="1319">
        <f>SUM(AN4:AN37)</f>
        <v>168</v>
      </c>
      <c r="AO3" s="1319"/>
      <c r="AP3" s="1319"/>
      <c r="AQ3" s="1319"/>
      <c r="AR3" s="1319"/>
      <c r="AS3" s="1319"/>
      <c r="AT3" s="1319"/>
      <c r="AU3" s="1319"/>
      <c r="AV3" s="1319"/>
      <c r="AW3" s="1319"/>
      <c r="AX3" s="1319"/>
      <c r="AY3" s="1319"/>
      <c r="AZ3" s="1319"/>
      <c r="BA3" s="1319"/>
      <c r="BB3" s="1319"/>
      <c r="BC3" s="1319"/>
      <c r="BD3" s="1319"/>
      <c r="BE3" s="1319"/>
      <c r="BF3" s="1319"/>
      <c r="BG3" s="1319"/>
      <c r="BH3" s="1319"/>
      <c r="BI3" s="1319"/>
      <c r="BJ3" s="1319"/>
      <c r="BK3" s="1319"/>
      <c r="BL3" s="1319"/>
      <c r="BM3" s="1319"/>
      <c r="BN3" s="1319"/>
      <c r="BO3" s="1319"/>
      <c r="BP3" s="1319"/>
      <c r="BQ3" s="1319"/>
      <c r="BR3" s="1319"/>
      <c r="BS3" s="1319"/>
      <c r="BT3" s="1319"/>
      <c r="BU3" s="1319"/>
      <c r="BV3" s="1319"/>
      <c r="BW3" s="1319"/>
      <c r="BX3" s="1319"/>
      <c r="BY3" s="1319"/>
      <c r="BZ3" s="1319"/>
      <c r="CA3" s="1319"/>
      <c r="CB3" s="1319"/>
      <c r="CC3" s="1319"/>
      <c r="CD3" s="1319"/>
      <c r="CE3" s="1319"/>
      <c r="CF3" s="1319"/>
      <c r="CG3" s="1319"/>
      <c r="CH3" s="1319"/>
      <c r="CI3" s="1319"/>
      <c r="CJ3" s="1319"/>
      <c r="CK3" s="1319"/>
      <c r="CL3" s="1319"/>
      <c r="CM3" s="1319"/>
      <c r="CN3" s="1319"/>
      <c r="CO3" s="1319"/>
      <c r="CP3" s="1319"/>
      <c r="CQ3" s="1319"/>
      <c r="CR3" s="1319"/>
      <c r="CS3" s="1319"/>
      <c r="CT3" s="1319"/>
      <c r="CU3" s="1319"/>
      <c r="CV3" s="1319"/>
      <c r="CW3" s="1319"/>
      <c r="CX3" s="1319"/>
      <c r="CY3" s="1319"/>
      <c r="CZ3" s="1319"/>
      <c r="DA3" s="1319"/>
      <c r="DB3" s="1319"/>
      <c r="DC3" s="1319"/>
      <c r="DD3" s="1319"/>
      <c r="DE3" s="1319"/>
      <c r="DF3" s="1319"/>
      <c r="DG3" s="1319"/>
      <c r="DH3" s="1319"/>
      <c r="DI3" s="1319"/>
      <c r="DJ3" s="1319"/>
      <c r="DK3" s="1319"/>
      <c r="DL3" s="1319"/>
      <c r="DM3" s="1319"/>
      <c r="DN3" s="1319"/>
      <c r="DO3" s="1319"/>
      <c r="DP3" s="1319"/>
      <c r="DQ3" s="1319"/>
      <c r="DR3" s="1319"/>
      <c r="DS3" s="1319"/>
      <c r="DT3" s="1319"/>
      <c r="DU3" s="1319"/>
      <c r="DV3" s="1319"/>
      <c r="DW3" s="1319"/>
      <c r="DX3" s="1319"/>
      <c r="DY3" s="1319"/>
      <c r="DZ3" s="1319"/>
      <c r="EA3" s="1319"/>
      <c r="EB3" s="1319"/>
      <c r="EC3" s="1319"/>
      <c r="ED3" s="1319"/>
      <c r="EE3" s="1319"/>
      <c r="EF3" s="1319"/>
      <c r="EG3" s="1319"/>
      <c r="EH3" s="1319"/>
      <c r="EI3" s="1319"/>
      <c r="EJ3" s="1319"/>
      <c r="EK3" s="1319"/>
      <c r="EL3" s="1319"/>
      <c r="EM3" s="1319"/>
      <c r="EN3" s="1319"/>
      <c r="EO3" s="1319"/>
      <c r="EP3" s="1319"/>
      <c r="EQ3" s="1319"/>
      <c r="ER3" s="1319"/>
      <c r="ES3" s="1319"/>
      <c r="ET3" s="1319"/>
      <c r="EU3" s="1319"/>
      <c r="EV3" s="1319"/>
      <c r="EW3" s="1319"/>
      <c r="EX3" s="1319"/>
      <c r="EY3" s="1319"/>
      <c r="EZ3" s="1319"/>
      <c r="FA3" s="1319"/>
      <c r="FB3" s="1319"/>
      <c r="FC3" s="1319"/>
      <c r="FD3" s="1319"/>
      <c r="FE3" s="1319"/>
      <c r="FF3" s="1319"/>
      <c r="FG3" s="1319"/>
      <c r="FH3" s="1319"/>
      <c r="FI3" s="1319"/>
      <c r="FJ3" s="1319"/>
      <c r="FK3" s="1319"/>
      <c r="FL3" s="1319"/>
      <c r="FM3" s="1319"/>
      <c r="FN3" s="1319"/>
      <c r="FO3" s="1319"/>
      <c r="FP3" s="1319"/>
      <c r="FQ3" s="1319"/>
      <c r="FR3" s="1319"/>
      <c r="FS3" s="1319"/>
      <c r="FT3" s="1319"/>
      <c r="FU3" s="1319"/>
      <c r="FV3" s="1319"/>
      <c r="FW3" s="1319"/>
      <c r="FX3" s="1319"/>
      <c r="FY3" s="1319"/>
      <c r="FZ3" s="1319"/>
      <c r="GA3" s="1319"/>
      <c r="GB3" s="1319"/>
      <c r="GC3" s="1319"/>
      <c r="GD3" s="1319"/>
      <c r="GE3" s="1319"/>
      <c r="GF3" s="1319"/>
      <c r="GG3" s="1319"/>
      <c r="GH3" s="1319"/>
      <c r="GI3" s="1319"/>
      <c r="GJ3" s="1319"/>
      <c r="GK3" s="1319"/>
      <c r="GL3" s="1319"/>
      <c r="GM3" s="1319"/>
      <c r="GN3" s="1319"/>
      <c r="GO3" s="1319"/>
      <c r="GP3" s="1319"/>
      <c r="GQ3" s="1319"/>
      <c r="GR3" s="1319"/>
      <c r="GS3" s="1319"/>
      <c r="GT3" s="1319"/>
      <c r="GU3" s="1319"/>
      <c r="GV3" s="1319"/>
      <c r="GW3" s="1319"/>
      <c r="GX3" s="1319"/>
      <c r="GY3" s="1319"/>
      <c r="GZ3" s="1319"/>
    </row>
    <row r="4" spans="1:208" hidden="1">
      <c r="A4" s="1318" t="s">
        <v>1326</v>
      </c>
      <c r="B4" s="1318">
        <v>1</v>
      </c>
      <c r="C4" s="1321"/>
      <c r="D4" s="1321">
        <f>B4-C4</f>
        <v>1</v>
      </c>
      <c r="E4" s="1321"/>
      <c r="F4" s="1321">
        <f>D4-E4</f>
        <v>1</v>
      </c>
      <c r="G4" s="1322"/>
      <c r="H4" s="1322">
        <f>F4-G4</f>
        <v>1</v>
      </c>
      <c r="I4" s="1322"/>
      <c r="J4" s="1322">
        <f t="shared" ref="F4:R37" si="0">H4-I4</f>
        <v>1</v>
      </c>
      <c r="K4" s="1322"/>
      <c r="L4" s="1322">
        <f>J4-K4</f>
        <v>1</v>
      </c>
      <c r="M4" s="1322"/>
      <c r="N4" s="1322">
        <f>L4-M4</f>
        <v>1</v>
      </c>
      <c r="O4" s="1322"/>
      <c r="P4" s="1322">
        <f>N4-O4</f>
        <v>1</v>
      </c>
      <c r="Q4" s="1322"/>
      <c r="R4" s="1322">
        <f>P4-Q4</f>
        <v>1</v>
      </c>
      <c r="S4" s="1322"/>
      <c r="T4" s="1322">
        <f>R4-S4</f>
        <v>1</v>
      </c>
      <c r="U4" s="1322"/>
      <c r="V4" s="1322">
        <f>T4-U4</f>
        <v>1</v>
      </c>
      <c r="W4" s="1322"/>
      <c r="X4" s="1322">
        <f>V4-W4</f>
        <v>1</v>
      </c>
      <c r="Y4" s="1322"/>
      <c r="Z4" s="1322">
        <f>X4-Y4</f>
        <v>1</v>
      </c>
      <c r="AA4" s="1322"/>
      <c r="AB4" s="1322">
        <f>Z4-AA4</f>
        <v>1</v>
      </c>
      <c r="AC4" s="1322"/>
      <c r="AD4" s="1322">
        <f>AB4-AC4</f>
        <v>1</v>
      </c>
      <c r="AE4" s="1322"/>
      <c r="AF4" s="1322">
        <f>AD4-AE4</f>
        <v>1</v>
      </c>
      <c r="AG4" s="1322"/>
      <c r="AH4" s="1322">
        <f>AF4-AG4</f>
        <v>1</v>
      </c>
      <c r="AI4" s="1322"/>
      <c r="AJ4" s="1322">
        <f>AH4-AI4</f>
        <v>1</v>
      </c>
      <c r="AK4" s="1322"/>
      <c r="AL4" s="1322">
        <f>AJ4-AK4</f>
        <v>1</v>
      </c>
      <c r="AM4" s="1322"/>
      <c r="AN4" s="1322">
        <f>AL4-AM4</f>
        <v>1</v>
      </c>
      <c r="AO4" s="1322"/>
      <c r="AP4" s="1322">
        <f>AN4-AO4</f>
        <v>1</v>
      </c>
      <c r="AQ4" s="1322"/>
      <c r="AR4" s="1322">
        <f>AP4-AQ4</f>
        <v>1</v>
      </c>
      <c r="AS4" s="1322"/>
      <c r="AT4" s="1322">
        <f>AR4-AS4</f>
        <v>1</v>
      </c>
      <c r="AU4" s="1322"/>
      <c r="AV4" s="1322">
        <f>AT4-AU4</f>
        <v>1</v>
      </c>
      <c r="AW4" s="1322"/>
      <c r="AX4" s="1322">
        <f>AV4-AW4</f>
        <v>1</v>
      </c>
      <c r="AY4" s="1322"/>
      <c r="AZ4" s="1322">
        <f>AX4-AY4</f>
        <v>1</v>
      </c>
      <c r="BA4" s="1322"/>
      <c r="BB4" s="1322">
        <f>AZ4-BA4</f>
        <v>1</v>
      </c>
      <c r="BC4" s="1322"/>
      <c r="BD4" s="1322">
        <f>BB4-BC4</f>
        <v>1</v>
      </c>
      <c r="BE4" s="1322"/>
      <c r="BF4" s="1322">
        <f>BD4-BE4</f>
        <v>1</v>
      </c>
      <c r="BG4" s="1322"/>
      <c r="BH4" s="1322">
        <f>BF4-BG4</f>
        <v>1</v>
      </c>
      <c r="BI4" s="1322"/>
      <c r="BJ4" s="1322">
        <f>BH4-BI4</f>
        <v>1</v>
      </c>
      <c r="BK4" s="1322"/>
      <c r="BL4" s="1322">
        <f>BJ4-BK4</f>
        <v>1</v>
      </c>
      <c r="BM4" s="1322"/>
      <c r="BN4" s="1322">
        <f>BL4-BM4</f>
        <v>1</v>
      </c>
      <c r="BO4" s="1322"/>
      <c r="BP4" s="1322">
        <f>BN4-BO4</f>
        <v>1</v>
      </c>
      <c r="BQ4" s="1322"/>
      <c r="BR4" s="1322">
        <f>BP4-BQ4</f>
        <v>1</v>
      </c>
      <c r="BS4" s="1322"/>
      <c r="BT4" s="1322">
        <f>BR4-BS4</f>
        <v>1</v>
      </c>
      <c r="BU4" s="1322"/>
      <c r="BV4" s="1322">
        <f>BT4-BU4</f>
        <v>1</v>
      </c>
      <c r="BW4" s="1322"/>
      <c r="BX4" s="1322">
        <f>BV4-BW4</f>
        <v>1</v>
      </c>
      <c r="BY4" s="1322"/>
      <c r="BZ4" s="1322">
        <f>BX4-BY4</f>
        <v>1</v>
      </c>
      <c r="CA4" s="1322"/>
      <c r="CB4" s="1322">
        <f>BZ4-CA4</f>
        <v>1</v>
      </c>
      <c r="CC4" s="1322"/>
      <c r="CD4" s="1322">
        <f>CB4-CC4</f>
        <v>1</v>
      </c>
      <c r="CE4" s="1322"/>
      <c r="CF4" s="1322">
        <f>CD4-CE4</f>
        <v>1</v>
      </c>
      <c r="CG4" s="1322"/>
      <c r="CH4" s="1322">
        <f>CF4-CG4</f>
        <v>1</v>
      </c>
      <c r="CI4" s="1322"/>
      <c r="CJ4" s="1322">
        <f>CH4-CI4</f>
        <v>1</v>
      </c>
      <c r="CK4" s="1322"/>
      <c r="CL4" s="1322">
        <f>CJ4-CK4</f>
        <v>1</v>
      </c>
      <c r="CM4" s="1322"/>
      <c r="CN4" s="1322">
        <f>CL4-CM4</f>
        <v>1</v>
      </c>
      <c r="CO4" s="1322"/>
      <c r="CP4" s="1322">
        <f>CN4-CO4</f>
        <v>1</v>
      </c>
      <c r="CQ4" s="1322"/>
      <c r="CR4" s="1322">
        <f>CP4-CQ4</f>
        <v>1</v>
      </c>
      <c r="CS4" s="1322"/>
      <c r="CT4" s="1322">
        <f>CR4-CS4</f>
        <v>1</v>
      </c>
      <c r="CU4" s="1322"/>
      <c r="CV4" s="1322">
        <f>CT4-CU4</f>
        <v>1</v>
      </c>
      <c r="CW4" s="1322"/>
      <c r="CX4" s="1322">
        <f>CV4-CW4</f>
        <v>1</v>
      </c>
      <c r="CY4" s="1322"/>
      <c r="CZ4" s="1322">
        <f>CX4-CY4</f>
        <v>1</v>
      </c>
      <c r="DA4" s="1322"/>
      <c r="DB4" s="1322">
        <f>CZ4-DA4</f>
        <v>1</v>
      </c>
      <c r="DC4" s="1322"/>
      <c r="DD4" s="1322">
        <f>DB4-DC4</f>
        <v>1</v>
      </c>
      <c r="DE4" s="1322"/>
      <c r="DF4" s="1322">
        <f>DD4-DE4</f>
        <v>1</v>
      </c>
      <c r="DG4" s="1322"/>
      <c r="DH4" s="1322">
        <f>DF4-DG4</f>
        <v>1</v>
      </c>
      <c r="DI4" s="1322"/>
      <c r="DJ4" s="1322">
        <f>DH4-DI4</f>
        <v>1</v>
      </c>
      <c r="DK4" s="1322"/>
      <c r="DL4" s="1322">
        <f>DJ4-DK4</f>
        <v>1</v>
      </c>
      <c r="DM4" s="1322"/>
      <c r="DN4" s="1322">
        <f>DL4-DM4</f>
        <v>1</v>
      </c>
      <c r="DO4" s="1322"/>
      <c r="DP4" s="1322">
        <f>DN4-DO4</f>
        <v>1</v>
      </c>
      <c r="DQ4" s="1322"/>
      <c r="DR4" s="1322">
        <f>DP4-DQ4</f>
        <v>1</v>
      </c>
      <c r="DS4" s="1322"/>
      <c r="DT4" s="1322">
        <f>DR4-DS4</f>
        <v>1</v>
      </c>
      <c r="DU4" s="1322"/>
      <c r="DV4" s="1322">
        <f>DT4-DU4</f>
        <v>1</v>
      </c>
      <c r="DW4" s="1322"/>
      <c r="DX4" s="1322">
        <f>DV4-DW4</f>
        <v>1</v>
      </c>
      <c r="DY4" s="1322"/>
      <c r="DZ4" s="1322">
        <f>DX4-DY4</f>
        <v>1</v>
      </c>
      <c r="EA4" s="1322"/>
      <c r="EB4" s="1322">
        <f>DZ4-EA4</f>
        <v>1</v>
      </c>
      <c r="EC4" s="1322"/>
      <c r="ED4" s="1322">
        <f>EB4-EC4</f>
        <v>1</v>
      </c>
      <c r="EE4" s="1322"/>
      <c r="EF4" s="1322">
        <f>ED4-EE4</f>
        <v>1</v>
      </c>
      <c r="EG4" s="1322"/>
      <c r="EH4" s="1322">
        <f>EF4-EG4</f>
        <v>1</v>
      </c>
      <c r="EI4" s="1322"/>
      <c r="EJ4" s="1322">
        <f>EH4-EI4</f>
        <v>1</v>
      </c>
      <c r="EK4" s="1322"/>
      <c r="EL4" s="1322">
        <f>EJ4-EK4</f>
        <v>1</v>
      </c>
      <c r="EM4" s="1322"/>
      <c r="EN4" s="1322">
        <f>EL4-EM4</f>
        <v>1</v>
      </c>
      <c r="EO4" s="1322"/>
      <c r="EP4" s="1322">
        <f>EN4-EO4</f>
        <v>1</v>
      </c>
      <c r="EQ4" s="1322"/>
      <c r="ER4" s="1322">
        <f>EP4-EQ4</f>
        <v>1</v>
      </c>
      <c r="ES4" s="1322"/>
      <c r="ET4" s="1322">
        <f>ER4-ES4</f>
        <v>1</v>
      </c>
      <c r="EU4" s="1322"/>
      <c r="EV4" s="1322">
        <f>ET4-EU4</f>
        <v>1</v>
      </c>
      <c r="EW4" s="1322"/>
      <c r="EX4" s="1322">
        <f>EV4-EW4</f>
        <v>1</v>
      </c>
      <c r="EY4" s="1322"/>
      <c r="EZ4" s="1322">
        <f>EX4-EY4</f>
        <v>1</v>
      </c>
      <c r="FA4" s="1322"/>
      <c r="FB4" s="1322">
        <f>EZ4-FA4</f>
        <v>1</v>
      </c>
      <c r="FC4" s="1322"/>
      <c r="FD4" s="1322">
        <f>FB4-FC4</f>
        <v>1</v>
      </c>
      <c r="FE4" s="1322"/>
      <c r="FF4" s="1322">
        <f>FD4-FE4</f>
        <v>1</v>
      </c>
      <c r="FG4" s="1322"/>
      <c r="FH4" s="1322">
        <f>FF4-FG4</f>
        <v>1</v>
      </c>
      <c r="FI4" s="1322"/>
      <c r="FJ4" s="1322">
        <f>FH4-FI4</f>
        <v>1</v>
      </c>
      <c r="FK4" s="1322"/>
      <c r="FL4" s="1322">
        <f>FJ4-FK4</f>
        <v>1</v>
      </c>
      <c r="FM4" s="1322"/>
      <c r="FN4" s="1322">
        <f>FL4-FM4</f>
        <v>1</v>
      </c>
      <c r="FO4" s="1322"/>
      <c r="FP4" s="1322">
        <f>FN4-FO4</f>
        <v>1</v>
      </c>
      <c r="FQ4" s="1322"/>
      <c r="FR4" s="1322">
        <f>FP4-FQ4</f>
        <v>1</v>
      </c>
      <c r="FS4" s="1322"/>
      <c r="FT4" s="1322">
        <f>FR4-FS4</f>
        <v>1</v>
      </c>
      <c r="FU4" s="1322"/>
      <c r="FV4" s="1322">
        <f>FT4-FU4</f>
        <v>1</v>
      </c>
      <c r="FW4" s="1322"/>
      <c r="FX4" s="1322">
        <f>FV4-FW4</f>
        <v>1</v>
      </c>
      <c r="FY4" s="1322"/>
      <c r="FZ4" s="1322">
        <f>FX4-FY4</f>
        <v>1</v>
      </c>
      <c r="GA4" s="1322"/>
      <c r="GB4" s="1322">
        <f>FZ4-GA4</f>
        <v>1</v>
      </c>
      <c r="GC4" s="1322"/>
      <c r="GD4" s="1322">
        <f>GB4-GC4</f>
        <v>1</v>
      </c>
      <c r="GE4" s="1322"/>
      <c r="GF4" s="1322">
        <f>GD4-GE4</f>
        <v>1</v>
      </c>
      <c r="GG4" s="1322"/>
      <c r="GH4" s="1322">
        <f>GF4-GG4</f>
        <v>1</v>
      </c>
      <c r="GI4" s="1322"/>
      <c r="GJ4" s="1322">
        <f>GH4-GI4</f>
        <v>1</v>
      </c>
      <c r="GK4" s="1322"/>
      <c r="GL4" s="1322">
        <f>GJ4-GK4</f>
        <v>1</v>
      </c>
      <c r="GM4" s="1322"/>
      <c r="GN4" s="1322">
        <f>GL4-GM4</f>
        <v>1</v>
      </c>
      <c r="GO4" s="1322"/>
      <c r="GP4" s="1322">
        <f>GN4-GO4</f>
        <v>1</v>
      </c>
      <c r="GQ4" s="1322"/>
      <c r="GR4" s="1322">
        <f>GP4-GQ4</f>
        <v>1</v>
      </c>
      <c r="GS4" s="1322"/>
      <c r="GT4" s="1322">
        <f>GR4-GS4</f>
        <v>1</v>
      </c>
      <c r="GU4" s="1322"/>
      <c r="GV4" s="1322">
        <f>GT4-GU4</f>
        <v>1</v>
      </c>
      <c r="GW4" s="1322"/>
      <c r="GX4" s="1322">
        <f>GV4-GW4</f>
        <v>1</v>
      </c>
      <c r="GY4" s="1322"/>
      <c r="GZ4" s="1322">
        <f>GX4-GY4</f>
        <v>1</v>
      </c>
    </row>
    <row r="5" spans="1:208" hidden="1">
      <c r="A5" s="1318" t="s">
        <v>1327</v>
      </c>
      <c r="B5" s="1318">
        <v>53</v>
      </c>
      <c r="C5" s="1321"/>
      <c r="D5" s="1321">
        <f t="shared" ref="D5:V60" si="1">B5-C5</f>
        <v>53</v>
      </c>
      <c r="E5" s="1321"/>
      <c r="F5" s="1321">
        <f t="shared" si="0"/>
        <v>53</v>
      </c>
      <c r="G5" s="1322"/>
      <c r="H5" s="1322">
        <f t="shared" si="0"/>
        <v>53</v>
      </c>
      <c r="I5" s="1322"/>
      <c r="J5" s="1322">
        <f t="shared" si="0"/>
        <v>53</v>
      </c>
      <c r="K5" s="1322"/>
      <c r="L5" s="1322">
        <f t="shared" si="0"/>
        <v>53</v>
      </c>
      <c r="M5" s="1322"/>
      <c r="N5" s="1322">
        <f t="shared" si="0"/>
        <v>53</v>
      </c>
      <c r="O5" s="1322"/>
      <c r="P5" s="1322">
        <f t="shared" si="0"/>
        <v>53</v>
      </c>
      <c r="Q5" s="1322"/>
      <c r="R5" s="1322">
        <f t="shared" si="0"/>
        <v>53</v>
      </c>
      <c r="S5" s="1322"/>
      <c r="T5" s="1322">
        <f t="shared" ref="T5:T37" si="2">R5-S5</f>
        <v>53</v>
      </c>
      <c r="U5" s="1322"/>
      <c r="V5" s="1322">
        <f t="shared" ref="V5:V37" si="3">T5-U5</f>
        <v>53</v>
      </c>
      <c r="W5" s="1322"/>
      <c r="X5" s="1322">
        <f t="shared" ref="X5:X60" si="4">V5-W5</f>
        <v>53</v>
      </c>
      <c r="Y5" s="1322"/>
      <c r="Z5" s="1322">
        <f t="shared" ref="Z5:Z60" si="5">X5-Y5</f>
        <v>53</v>
      </c>
      <c r="AA5" s="1322"/>
      <c r="AB5" s="1322">
        <f t="shared" ref="AB5:AB60" si="6">Z5-AA5</f>
        <v>53</v>
      </c>
      <c r="AC5" s="1322"/>
      <c r="AD5" s="1322">
        <f t="shared" ref="AD5:AD60" si="7">AB5-AC5</f>
        <v>53</v>
      </c>
      <c r="AE5" s="1322"/>
      <c r="AF5" s="1322">
        <f t="shared" ref="AF5:AF60" si="8">AD5-AE5</f>
        <v>53</v>
      </c>
      <c r="AG5" s="1322"/>
      <c r="AH5" s="1322">
        <f t="shared" ref="AH5:AH60" si="9">AF5-AG5</f>
        <v>53</v>
      </c>
      <c r="AI5" s="1322"/>
      <c r="AJ5" s="1322">
        <f t="shared" ref="AJ5:AJ60" si="10">AH5-AI5</f>
        <v>53</v>
      </c>
      <c r="AK5" s="1322"/>
      <c r="AL5" s="1322">
        <f t="shared" ref="AL5:AL60" si="11">AJ5-AK5</f>
        <v>53</v>
      </c>
      <c r="AM5" s="1322"/>
      <c r="AN5" s="1322">
        <f t="shared" ref="AN5:AN60" si="12">AL5-AM5</f>
        <v>53</v>
      </c>
      <c r="AO5" s="1322"/>
      <c r="AP5" s="1322">
        <f t="shared" ref="AP5:AP60" si="13">AN5-AO5</f>
        <v>53</v>
      </c>
      <c r="AQ5" s="1322"/>
      <c r="AR5" s="1322">
        <f t="shared" ref="AR5:AR60" si="14">AP5-AQ5</f>
        <v>53</v>
      </c>
      <c r="AS5" s="1322"/>
      <c r="AT5" s="1322">
        <f t="shared" ref="AT5:AT60" si="15">AR5-AS5</f>
        <v>53</v>
      </c>
      <c r="AU5" s="1322"/>
      <c r="AV5" s="1322">
        <f t="shared" ref="AV5:AV60" si="16">AT5-AU5</f>
        <v>53</v>
      </c>
      <c r="AW5" s="1322"/>
      <c r="AX5" s="1322">
        <f t="shared" ref="AX5:AX60" si="17">AV5-AW5</f>
        <v>53</v>
      </c>
      <c r="AY5" s="1322"/>
      <c r="AZ5" s="1322">
        <f t="shared" ref="AZ5:AZ60" si="18">AX5-AY5</f>
        <v>53</v>
      </c>
      <c r="BA5" s="1322"/>
      <c r="BB5" s="1322">
        <f t="shared" ref="BB5:BB60" si="19">AZ5-BA5</f>
        <v>53</v>
      </c>
      <c r="BC5" s="1322"/>
      <c r="BD5" s="1322">
        <f t="shared" ref="BD5:BD60" si="20">BB5-BC5</f>
        <v>53</v>
      </c>
      <c r="BE5" s="1322"/>
      <c r="BF5" s="1322">
        <f t="shared" ref="BF5:BF60" si="21">BD5-BE5</f>
        <v>53</v>
      </c>
      <c r="BG5" s="1322"/>
      <c r="BH5" s="1322">
        <f t="shared" ref="BH5:BH60" si="22">BF5-BG5</f>
        <v>53</v>
      </c>
      <c r="BI5" s="1322"/>
      <c r="BJ5" s="1322">
        <f t="shared" ref="BJ5:BJ60" si="23">BH5-BI5</f>
        <v>53</v>
      </c>
      <c r="BK5" s="1322"/>
      <c r="BL5" s="1322">
        <f t="shared" ref="BL5:BL60" si="24">BJ5-BK5</f>
        <v>53</v>
      </c>
      <c r="BM5" s="1322"/>
      <c r="BN5" s="1322">
        <f t="shared" ref="BN5:BN60" si="25">BL5-BM5</f>
        <v>53</v>
      </c>
      <c r="BO5" s="1322"/>
      <c r="BP5" s="1322">
        <f t="shared" ref="BP5:BP60" si="26">BN5-BO5</f>
        <v>53</v>
      </c>
      <c r="BQ5" s="1322"/>
      <c r="BR5" s="1322">
        <f t="shared" ref="BR5:BR60" si="27">BP5-BQ5</f>
        <v>53</v>
      </c>
      <c r="BS5" s="1322"/>
      <c r="BT5" s="1322">
        <f t="shared" ref="BT5:BT60" si="28">BR5-BS5</f>
        <v>53</v>
      </c>
      <c r="BU5" s="1322"/>
      <c r="BV5" s="1322">
        <f t="shared" ref="BV5:BV60" si="29">BT5-BU5</f>
        <v>53</v>
      </c>
      <c r="BW5" s="1322"/>
      <c r="BX5" s="1322">
        <f t="shared" ref="BX5:BX60" si="30">BV5-BW5</f>
        <v>53</v>
      </c>
      <c r="BY5" s="1322"/>
      <c r="BZ5" s="1322">
        <f t="shared" ref="BZ5:BZ60" si="31">BX5-BY5</f>
        <v>53</v>
      </c>
      <c r="CA5" s="1322"/>
      <c r="CB5" s="1322">
        <f t="shared" ref="CB5:CB60" si="32">BZ5-CA5</f>
        <v>53</v>
      </c>
      <c r="CC5" s="1322"/>
      <c r="CD5" s="1322">
        <f t="shared" ref="CD5:CD60" si="33">CB5-CC5</f>
        <v>53</v>
      </c>
      <c r="CE5" s="1322"/>
      <c r="CF5" s="1322">
        <f t="shared" ref="CF5:CF60" si="34">CD5-CE5</f>
        <v>53</v>
      </c>
      <c r="CG5" s="1322"/>
      <c r="CH5" s="1322">
        <f t="shared" ref="CH5:CH60" si="35">CF5-CG5</f>
        <v>53</v>
      </c>
      <c r="CI5" s="1322"/>
      <c r="CJ5" s="1322">
        <f t="shared" ref="CJ5:CJ60" si="36">CH5-CI5</f>
        <v>53</v>
      </c>
      <c r="CK5" s="1322"/>
      <c r="CL5" s="1322">
        <f t="shared" ref="CL5:CL60" si="37">CJ5-CK5</f>
        <v>53</v>
      </c>
      <c r="CM5" s="1322"/>
      <c r="CN5" s="1322">
        <f t="shared" ref="CN5:CN60" si="38">CL5-CM5</f>
        <v>53</v>
      </c>
      <c r="CO5" s="1322"/>
      <c r="CP5" s="1322">
        <f t="shared" ref="CP5:CP60" si="39">CN5-CO5</f>
        <v>53</v>
      </c>
      <c r="CQ5" s="1322"/>
      <c r="CR5" s="1322">
        <f t="shared" ref="CR5:CR60" si="40">CP5-CQ5</f>
        <v>53</v>
      </c>
      <c r="CS5" s="1322"/>
      <c r="CT5" s="1322">
        <f t="shared" ref="CT5:CT60" si="41">CR5-CS5</f>
        <v>53</v>
      </c>
      <c r="CU5" s="1322"/>
      <c r="CV5" s="1322">
        <f t="shared" ref="CV5:CV60" si="42">CT5-CU5</f>
        <v>53</v>
      </c>
      <c r="CW5" s="1322"/>
      <c r="CX5" s="1322">
        <f t="shared" ref="CX5:CX60" si="43">CV5-CW5</f>
        <v>53</v>
      </c>
      <c r="CY5" s="1322"/>
      <c r="CZ5" s="1322">
        <f t="shared" ref="CZ5:CZ60" si="44">CX5-CY5</f>
        <v>53</v>
      </c>
      <c r="DA5" s="1322"/>
      <c r="DB5" s="1322">
        <f t="shared" ref="DB5:DB60" si="45">CZ5-DA5</f>
        <v>53</v>
      </c>
      <c r="DC5" s="1322"/>
      <c r="DD5" s="1322">
        <f t="shared" ref="DD5:DD60" si="46">DB5-DC5</f>
        <v>53</v>
      </c>
      <c r="DE5" s="1322"/>
      <c r="DF5" s="1322">
        <f t="shared" ref="DF5:DF60" si="47">DD5-DE5</f>
        <v>53</v>
      </c>
      <c r="DG5" s="1322"/>
      <c r="DH5" s="1322">
        <f t="shared" ref="DH5:DV37" si="48">DF5-DG5</f>
        <v>53</v>
      </c>
      <c r="DI5" s="1322"/>
      <c r="DJ5" s="1322">
        <f t="shared" si="48"/>
        <v>53</v>
      </c>
      <c r="DK5" s="1322"/>
      <c r="DL5" s="1322">
        <f t="shared" si="48"/>
        <v>53</v>
      </c>
      <c r="DM5" s="1322"/>
      <c r="DN5" s="1322">
        <f t="shared" si="48"/>
        <v>53</v>
      </c>
      <c r="DO5" s="1322"/>
      <c r="DP5" s="1322">
        <f t="shared" si="48"/>
        <v>53</v>
      </c>
      <c r="DQ5" s="1322"/>
      <c r="DR5" s="1322">
        <f t="shared" si="48"/>
        <v>53</v>
      </c>
      <c r="DS5" s="1322"/>
      <c r="DT5" s="1322">
        <f t="shared" si="48"/>
        <v>53</v>
      </c>
      <c r="DU5" s="1322"/>
      <c r="DV5" s="1322">
        <f t="shared" si="48"/>
        <v>53</v>
      </c>
      <c r="DW5" s="1322"/>
      <c r="DX5" s="1322">
        <f t="shared" ref="DX5:EB37" si="49">DV5-DW5</f>
        <v>53</v>
      </c>
      <c r="DY5" s="1322"/>
      <c r="DZ5" s="1322">
        <f t="shared" si="49"/>
        <v>53</v>
      </c>
      <c r="EA5" s="1322"/>
      <c r="EB5" s="1322">
        <f t="shared" si="49"/>
        <v>53</v>
      </c>
      <c r="EC5" s="1322"/>
      <c r="ED5" s="1322">
        <f t="shared" ref="ED5:EF37" si="50">EB5-EC5</f>
        <v>53</v>
      </c>
      <c r="EE5" s="1322"/>
      <c r="EF5" s="1322">
        <f t="shared" si="50"/>
        <v>53</v>
      </c>
      <c r="EG5" s="1322"/>
      <c r="EH5" s="1322">
        <f t="shared" ref="EH5:EH60" si="51">EF5-EG5</f>
        <v>53</v>
      </c>
      <c r="EI5" s="1322"/>
      <c r="EJ5" s="1322">
        <f t="shared" ref="EJ5:EJ60" si="52">EH5-EI5</f>
        <v>53</v>
      </c>
      <c r="EK5" s="1322"/>
      <c r="EL5" s="1322">
        <f t="shared" ref="EL5:EL60" si="53">EJ5-EK5</f>
        <v>53</v>
      </c>
      <c r="EM5" s="1322"/>
      <c r="EN5" s="1322">
        <f t="shared" ref="EN5:EP37" si="54">EL5-EM5</f>
        <v>53</v>
      </c>
      <c r="EO5" s="1322"/>
      <c r="EP5" s="1322">
        <f t="shared" si="54"/>
        <v>53</v>
      </c>
      <c r="EQ5" s="1322"/>
      <c r="ER5" s="1322">
        <f t="shared" ref="ER5:ER60" si="55">EP5-EQ5</f>
        <v>53</v>
      </c>
      <c r="ES5" s="1322"/>
      <c r="ET5" s="1322">
        <f t="shared" ref="ET5:ET60" si="56">ER5-ES5</f>
        <v>53</v>
      </c>
      <c r="EU5" s="1322"/>
      <c r="EV5" s="1322">
        <f t="shared" ref="EV5:EV60" si="57">ET5-EU5</f>
        <v>53</v>
      </c>
      <c r="EW5" s="1322"/>
      <c r="EX5" s="1322">
        <f t="shared" ref="EX5:EX60" si="58">EV5-EW5</f>
        <v>53</v>
      </c>
      <c r="EY5" s="1322"/>
      <c r="EZ5" s="1322">
        <f t="shared" ref="EZ5:EZ60" si="59">EX5-EY5</f>
        <v>53</v>
      </c>
      <c r="FA5" s="1322"/>
      <c r="FB5" s="1322">
        <f t="shared" ref="FB5:FB60" si="60">EZ5-FA5</f>
        <v>53</v>
      </c>
      <c r="FC5" s="1322"/>
      <c r="FD5" s="1322">
        <f t="shared" ref="FD5:FD60" si="61">FB5-FC5</f>
        <v>53</v>
      </c>
      <c r="FE5" s="1322"/>
      <c r="FF5" s="1322">
        <f t="shared" ref="FF5:FF60" si="62">FD5-FE5</f>
        <v>53</v>
      </c>
      <c r="FG5" s="1322"/>
      <c r="FH5" s="1322">
        <f t="shared" ref="FH5:FH60" si="63">FF5-FG5</f>
        <v>53</v>
      </c>
      <c r="FI5" s="1322"/>
      <c r="FJ5" s="1322">
        <f t="shared" ref="FJ5:FJ60" si="64">FH5-FI5</f>
        <v>53</v>
      </c>
      <c r="FK5" s="1322"/>
      <c r="FL5" s="1322">
        <f t="shared" ref="FL5:FL60" si="65">FJ5-FK5</f>
        <v>53</v>
      </c>
      <c r="FM5" s="1322"/>
      <c r="FN5" s="1322">
        <f t="shared" ref="FN5:FN60" si="66">FL5-FM5</f>
        <v>53</v>
      </c>
      <c r="FO5" s="1322"/>
      <c r="FP5" s="1322">
        <f t="shared" ref="FP5:FP60" si="67">FN5-FO5</f>
        <v>53</v>
      </c>
      <c r="FQ5" s="1322"/>
      <c r="FR5" s="1322">
        <f t="shared" ref="FR5:FR60" si="68">FP5-FQ5</f>
        <v>53</v>
      </c>
      <c r="FS5" s="1322"/>
      <c r="FT5" s="1322">
        <f t="shared" ref="FT5:FT60" si="69">FR5-FS5</f>
        <v>53</v>
      </c>
      <c r="FU5" s="1322"/>
      <c r="FV5" s="1322">
        <f t="shared" ref="FV5:FV60" si="70">FT5-FU5</f>
        <v>53</v>
      </c>
      <c r="FW5" s="1322"/>
      <c r="FX5" s="1322">
        <f t="shared" ref="FX5:FX60" si="71">FV5-FW5</f>
        <v>53</v>
      </c>
      <c r="FY5" s="1322"/>
      <c r="FZ5" s="1322">
        <f t="shared" ref="FZ5:FZ60" si="72">FX5-FY5</f>
        <v>53</v>
      </c>
      <c r="GA5" s="1322"/>
      <c r="GB5" s="1322">
        <f t="shared" ref="GB5:GB37" si="73">FZ5-GA5</f>
        <v>53</v>
      </c>
      <c r="GC5" s="1322"/>
      <c r="GD5" s="1322">
        <f t="shared" ref="GD5:GD37" si="74">GB5-GC5</f>
        <v>53</v>
      </c>
      <c r="GE5" s="1322"/>
      <c r="GF5" s="1322">
        <f t="shared" ref="GF5:GF37" si="75">GD5-GE5</f>
        <v>53</v>
      </c>
      <c r="GG5" s="1322"/>
      <c r="GH5" s="1322">
        <f t="shared" ref="GH5:GH37" si="76">GF5-GG5</f>
        <v>53</v>
      </c>
      <c r="GI5" s="1322"/>
      <c r="GJ5" s="1322">
        <f t="shared" ref="GJ5:GJ37" si="77">GH5-GI5</f>
        <v>53</v>
      </c>
      <c r="GK5" s="1322"/>
      <c r="GL5" s="1322">
        <f t="shared" ref="GL5:GL37" si="78">GJ5-GK5</f>
        <v>53</v>
      </c>
      <c r="GM5" s="1322"/>
      <c r="GN5" s="1322">
        <f t="shared" ref="GN5:GN37" si="79">GL5-GM5</f>
        <v>53</v>
      </c>
      <c r="GO5" s="1322"/>
      <c r="GP5" s="1322">
        <f t="shared" ref="GP5:GP37" si="80">GN5-GO5</f>
        <v>53</v>
      </c>
      <c r="GQ5" s="1322"/>
      <c r="GR5" s="1322">
        <f t="shared" ref="GR5:GR37" si="81">GP5-GQ5</f>
        <v>53</v>
      </c>
      <c r="GS5" s="1322"/>
      <c r="GT5" s="1322">
        <f t="shared" ref="GT5:GT37" si="82">GR5-GS5</f>
        <v>53</v>
      </c>
      <c r="GU5" s="1322"/>
      <c r="GV5" s="1322">
        <f t="shared" ref="GV5:GV37" si="83">GT5-GU5</f>
        <v>53</v>
      </c>
      <c r="GW5" s="1322"/>
      <c r="GX5" s="1322">
        <f t="shared" ref="GX5:GX37" si="84">GV5-GW5</f>
        <v>53</v>
      </c>
      <c r="GY5" s="1322"/>
      <c r="GZ5" s="1322">
        <f t="shared" ref="GZ5:GZ37" si="85">GX5-GY5</f>
        <v>53</v>
      </c>
    </row>
    <row r="6" spans="1:208" s="1324" customFormat="1" hidden="1">
      <c r="A6" s="1318" t="s">
        <v>1334</v>
      </c>
      <c r="B6" s="1318">
        <v>53</v>
      </c>
      <c r="C6" s="1321"/>
      <c r="D6" s="1321">
        <f t="shared" si="1"/>
        <v>53</v>
      </c>
      <c r="E6" s="1321"/>
      <c r="F6" s="1321">
        <f t="shared" si="0"/>
        <v>53</v>
      </c>
      <c r="G6" s="1322"/>
      <c r="H6" s="1322">
        <f t="shared" si="0"/>
        <v>53</v>
      </c>
      <c r="I6" s="1322"/>
      <c r="J6" s="1323">
        <f t="shared" si="0"/>
        <v>53</v>
      </c>
      <c r="K6" s="1323"/>
      <c r="L6" s="1323">
        <f t="shared" si="0"/>
        <v>53</v>
      </c>
      <c r="M6" s="1323"/>
      <c r="N6" s="1323">
        <f>L6-M6</f>
        <v>53</v>
      </c>
      <c r="O6" s="1323"/>
      <c r="P6" s="1323">
        <f t="shared" si="0"/>
        <v>53</v>
      </c>
      <c r="Q6" s="1323"/>
      <c r="R6" s="1323">
        <f t="shared" si="0"/>
        <v>53</v>
      </c>
      <c r="S6" s="1323"/>
      <c r="T6" s="1323">
        <f t="shared" si="2"/>
        <v>53</v>
      </c>
      <c r="U6" s="1323"/>
      <c r="V6" s="1323">
        <f t="shared" si="3"/>
        <v>53</v>
      </c>
      <c r="W6" s="1323"/>
      <c r="X6" s="1323">
        <f t="shared" si="4"/>
        <v>53</v>
      </c>
      <c r="Y6" s="1323"/>
      <c r="Z6" s="1323">
        <f t="shared" si="5"/>
        <v>53</v>
      </c>
      <c r="AA6" s="1323"/>
      <c r="AB6" s="1323">
        <f t="shared" si="6"/>
        <v>53</v>
      </c>
      <c r="AC6" s="1323"/>
      <c r="AD6" s="1323">
        <f t="shared" si="7"/>
        <v>53</v>
      </c>
      <c r="AE6" s="1323"/>
      <c r="AF6" s="1323">
        <f t="shared" si="8"/>
        <v>53</v>
      </c>
      <c r="AG6" s="1323"/>
      <c r="AH6" s="1323">
        <f t="shared" si="9"/>
        <v>53</v>
      </c>
      <c r="AI6" s="1323"/>
      <c r="AJ6" s="1323">
        <f t="shared" si="10"/>
        <v>53</v>
      </c>
      <c r="AK6" s="1323"/>
      <c r="AL6" s="1323">
        <f t="shared" si="11"/>
        <v>53</v>
      </c>
      <c r="AM6" s="1323"/>
      <c r="AN6" s="1323">
        <f t="shared" si="12"/>
        <v>53</v>
      </c>
      <c r="AO6" s="1323"/>
      <c r="AP6" s="1323">
        <f t="shared" si="13"/>
        <v>53</v>
      </c>
      <c r="AQ6" s="1323"/>
      <c r="AR6" s="1323">
        <f t="shared" si="14"/>
        <v>53</v>
      </c>
      <c r="AS6" s="1323"/>
      <c r="AT6" s="1323">
        <f t="shared" si="15"/>
        <v>53</v>
      </c>
      <c r="AU6" s="1323"/>
      <c r="AV6" s="1323">
        <f t="shared" si="16"/>
        <v>53</v>
      </c>
      <c r="AW6" s="1323"/>
      <c r="AX6" s="1323">
        <f t="shared" si="17"/>
        <v>53</v>
      </c>
      <c r="AY6" s="1323"/>
      <c r="AZ6" s="1323">
        <f t="shared" si="18"/>
        <v>53</v>
      </c>
      <c r="BA6" s="1323"/>
      <c r="BB6" s="1323">
        <f t="shared" si="19"/>
        <v>53</v>
      </c>
      <c r="BC6" s="1323"/>
      <c r="BD6" s="1323">
        <f t="shared" si="20"/>
        <v>53</v>
      </c>
      <c r="BE6" s="1323"/>
      <c r="BF6" s="1323">
        <f t="shared" si="21"/>
        <v>53</v>
      </c>
      <c r="BG6" s="1323"/>
      <c r="BH6" s="1323">
        <f t="shared" si="22"/>
        <v>53</v>
      </c>
      <c r="BI6" s="1323"/>
      <c r="BJ6" s="1323">
        <f t="shared" si="23"/>
        <v>53</v>
      </c>
      <c r="BK6" s="1323"/>
      <c r="BL6" s="1323">
        <f t="shared" si="24"/>
        <v>53</v>
      </c>
      <c r="BM6" s="1323"/>
      <c r="BN6" s="1323">
        <f t="shared" si="25"/>
        <v>53</v>
      </c>
      <c r="BO6" s="1323"/>
      <c r="BP6" s="1323">
        <f t="shared" si="26"/>
        <v>53</v>
      </c>
      <c r="BQ6" s="1323"/>
      <c r="BR6" s="1323">
        <f t="shared" si="27"/>
        <v>53</v>
      </c>
      <c r="BS6" s="1323"/>
      <c r="BT6" s="1323">
        <f t="shared" si="28"/>
        <v>53</v>
      </c>
      <c r="BU6" s="1323"/>
      <c r="BV6" s="1323">
        <f t="shared" si="29"/>
        <v>53</v>
      </c>
      <c r="BW6" s="1323"/>
      <c r="BX6" s="1323">
        <f t="shared" si="30"/>
        <v>53</v>
      </c>
      <c r="BY6" s="1323"/>
      <c r="BZ6" s="1323">
        <f t="shared" si="31"/>
        <v>53</v>
      </c>
      <c r="CA6" s="1323"/>
      <c r="CB6" s="1323">
        <f t="shared" si="32"/>
        <v>53</v>
      </c>
      <c r="CC6" s="1323"/>
      <c r="CD6" s="1323">
        <f t="shared" si="33"/>
        <v>53</v>
      </c>
      <c r="CE6" s="1323"/>
      <c r="CF6" s="1323">
        <f t="shared" si="34"/>
        <v>53</v>
      </c>
      <c r="CG6" s="1323"/>
      <c r="CH6" s="1323">
        <f t="shared" si="35"/>
        <v>53</v>
      </c>
      <c r="CI6" s="1323"/>
      <c r="CJ6" s="1323">
        <f t="shared" si="36"/>
        <v>53</v>
      </c>
      <c r="CK6" s="1323"/>
      <c r="CL6" s="1323">
        <f t="shared" si="37"/>
        <v>53</v>
      </c>
      <c r="CM6" s="1323"/>
      <c r="CN6" s="1323">
        <f t="shared" si="38"/>
        <v>53</v>
      </c>
      <c r="CO6" s="1323"/>
      <c r="CP6" s="1323">
        <f t="shared" si="39"/>
        <v>53</v>
      </c>
      <c r="CQ6" s="1323"/>
      <c r="CR6" s="1323">
        <f t="shared" si="40"/>
        <v>53</v>
      </c>
      <c r="CS6" s="1323"/>
      <c r="CT6" s="1323">
        <f t="shared" si="41"/>
        <v>53</v>
      </c>
      <c r="CU6" s="1323"/>
      <c r="CV6" s="1323">
        <f t="shared" si="42"/>
        <v>53</v>
      </c>
      <c r="CW6" s="1323"/>
      <c r="CX6" s="1323">
        <f t="shared" si="43"/>
        <v>53</v>
      </c>
      <c r="CY6" s="1323"/>
      <c r="CZ6" s="1323">
        <f t="shared" si="44"/>
        <v>53</v>
      </c>
      <c r="DA6" s="1323"/>
      <c r="DB6" s="1323">
        <f t="shared" si="45"/>
        <v>53</v>
      </c>
      <c r="DC6" s="1323"/>
      <c r="DD6" s="1323">
        <f t="shared" si="46"/>
        <v>53</v>
      </c>
      <c r="DE6" s="1323"/>
      <c r="DF6" s="1323">
        <f t="shared" si="47"/>
        <v>53</v>
      </c>
      <c r="DG6" s="1323"/>
      <c r="DH6" s="1323">
        <f t="shared" si="48"/>
        <v>53</v>
      </c>
      <c r="DI6" s="1323"/>
      <c r="DJ6" s="1323">
        <f t="shared" si="48"/>
        <v>53</v>
      </c>
      <c r="DK6" s="1323"/>
      <c r="DL6" s="1323">
        <f t="shared" si="48"/>
        <v>53</v>
      </c>
      <c r="DM6" s="1323"/>
      <c r="DN6" s="1323">
        <f t="shared" si="48"/>
        <v>53</v>
      </c>
      <c r="DO6" s="1323"/>
      <c r="DP6" s="1323">
        <f t="shared" si="48"/>
        <v>53</v>
      </c>
      <c r="DQ6" s="1323"/>
      <c r="DR6" s="1323">
        <f t="shared" si="48"/>
        <v>53</v>
      </c>
      <c r="DS6" s="1323"/>
      <c r="DT6" s="1323">
        <f t="shared" si="48"/>
        <v>53</v>
      </c>
      <c r="DU6" s="1323"/>
      <c r="DV6" s="1323">
        <f t="shared" si="48"/>
        <v>53</v>
      </c>
      <c r="DW6" s="1323"/>
      <c r="DX6" s="1323">
        <f t="shared" si="49"/>
        <v>53</v>
      </c>
      <c r="DY6" s="1323"/>
      <c r="DZ6" s="1323">
        <f t="shared" si="49"/>
        <v>53</v>
      </c>
      <c r="EA6" s="1323"/>
      <c r="EB6" s="1323">
        <f t="shared" si="49"/>
        <v>53</v>
      </c>
      <c r="EC6" s="1323"/>
      <c r="ED6" s="1323">
        <f t="shared" si="50"/>
        <v>53</v>
      </c>
      <c r="EE6" s="1323"/>
      <c r="EF6" s="1323">
        <f t="shared" si="50"/>
        <v>53</v>
      </c>
      <c r="EG6" s="1323"/>
      <c r="EH6" s="1323">
        <f t="shared" si="51"/>
        <v>53</v>
      </c>
      <c r="EI6" s="1323"/>
      <c r="EJ6" s="1323">
        <f t="shared" si="52"/>
        <v>53</v>
      </c>
      <c r="EK6" s="1323"/>
      <c r="EL6" s="1323">
        <f t="shared" si="53"/>
        <v>53</v>
      </c>
      <c r="EM6" s="1323"/>
      <c r="EN6" s="1323">
        <f t="shared" si="54"/>
        <v>53</v>
      </c>
      <c r="EO6" s="1323"/>
      <c r="EP6" s="1323">
        <f t="shared" si="54"/>
        <v>53</v>
      </c>
      <c r="EQ6" s="1323"/>
      <c r="ER6" s="1323">
        <f t="shared" si="55"/>
        <v>53</v>
      </c>
      <c r="ES6" s="1323"/>
      <c r="ET6" s="1323">
        <f t="shared" si="56"/>
        <v>53</v>
      </c>
      <c r="EU6" s="1323"/>
      <c r="EV6" s="1323">
        <f t="shared" si="57"/>
        <v>53</v>
      </c>
      <c r="EW6" s="1323"/>
      <c r="EX6" s="1323">
        <f t="shared" si="58"/>
        <v>53</v>
      </c>
      <c r="EY6" s="1323"/>
      <c r="EZ6" s="1323">
        <f t="shared" si="59"/>
        <v>53</v>
      </c>
      <c r="FA6" s="1323"/>
      <c r="FB6" s="1323">
        <f t="shared" si="60"/>
        <v>53</v>
      </c>
      <c r="FC6" s="1323"/>
      <c r="FD6" s="1323">
        <f t="shared" si="61"/>
        <v>53</v>
      </c>
      <c r="FE6" s="1323"/>
      <c r="FF6" s="1323">
        <f t="shared" si="62"/>
        <v>53</v>
      </c>
      <c r="FG6" s="1323"/>
      <c r="FH6" s="1323">
        <f t="shared" si="63"/>
        <v>53</v>
      </c>
      <c r="FI6" s="1323"/>
      <c r="FJ6" s="1323">
        <f t="shared" si="64"/>
        <v>53</v>
      </c>
      <c r="FK6" s="1323"/>
      <c r="FL6" s="1323">
        <f t="shared" si="65"/>
        <v>53</v>
      </c>
      <c r="FM6" s="1323"/>
      <c r="FN6" s="1323">
        <f t="shared" si="66"/>
        <v>53</v>
      </c>
      <c r="FO6" s="1323"/>
      <c r="FP6" s="1323">
        <f t="shared" si="67"/>
        <v>53</v>
      </c>
      <c r="FQ6" s="1323"/>
      <c r="FR6" s="1323">
        <f t="shared" si="68"/>
        <v>53</v>
      </c>
      <c r="FS6" s="1323"/>
      <c r="FT6" s="1323">
        <f t="shared" si="69"/>
        <v>53</v>
      </c>
      <c r="FU6" s="1323"/>
      <c r="FV6" s="1323">
        <f t="shared" si="70"/>
        <v>53</v>
      </c>
      <c r="FW6" s="1323"/>
      <c r="FX6" s="1323">
        <f t="shared" si="71"/>
        <v>53</v>
      </c>
      <c r="FY6" s="1323"/>
      <c r="FZ6" s="1323">
        <f t="shared" si="72"/>
        <v>53</v>
      </c>
      <c r="GA6" s="1323"/>
      <c r="GB6" s="1323">
        <f t="shared" si="73"/>
        <v>53</v>
      </c>
      <c r="GC6" s="1323"/>
      <c r="GD6" s="1323">
        <f t="shared" si="74"/>
        <v>53</v>
      </c>
      <c r="GE6" s="1323"/>
      <c r="GF6" s="1323">
        <f t="shared" si="75"/>
        <v>53</v>
      </c>
      <c r="GG6" s="1323"/>
      <c r="GH6" s="1323">
        <f t="shared" si="76"/>
        <v>53</v>
      </c>
      <c r="GI6" s="1323"/>
      <c r="GJ6" s="1323">
        <f t="shared" si="77"/>
        <v>53</v>
      </c>
      <c r="GK6" s="1323"/>
      <c r="GL6" s="1323">
        <f t="shared" si="78"/>
        <v>53</v>
      </c>
      <c r="GM6" s="1323"/>
      <c r="GN6" s="1323">
        <f t="shared" si="79"/>
        <v>53</v>
      </c>
      <c r="GO6" s="1323"/>
      <c r="GP6" s="1323">
        <f t="shared" si="80"/>
        <v>53</v>
      </c>
      <c r="GQ6" s="1323"/>
      <c r="GR6" s="1323">
        <f t="shared" si="81"/>
        <v>53</v>
      </c>
      <c r="GS6" s="1323"/>
      <c r="GT6" s="1323">
        <f t="shared" si="82"/>
        <v>53</v>
      </c>
      <c r="GU6" s="1323"/>
      <c r="GV6" s="1323">
        <f t="shared" si="83"/>
        <v>53</v>
      </c>
      <c r="GW6" s="1323"/>
      <c r="GX6" s="1323">
        <f t="shared" si="84"/>
        <v>53</v>
      </c>
      <c r="GY6" s="1323"/>
      <c r="GZ6" s="1323">
        <f t="shared" si="85"/>
        <v>53</v>
      </c>
    </row>
    <row r="7" spans="1:208" s="1324" customFormat="1" hidden="1">
      <c r="A7" s="1318" t="s">
        <v>1782</v>
      </c>
      <c r="B7" s="1318">
        <v>1</v>
      </c>
      <c r="C7" s="1321"/>
      <c r="D7" s="1321">
        <f t="shared" si="1"/>
        <v>1</v>
      </c>
      <c r="E7" s="1321"/>
      <c r="F7" s="1321">
        <f t="shared" si="0"/>
        <v>1</v>
      </c>
      <c r="G7" s="1322"/>
      <c r="H7" s="1322">
        <f t="shared" si="0"/>
        <v>1</v>
      </c>
      <c r="I7" s="1322"/>
      <c r="J7" s="1323">
        <f t="shared" si="0"/>
        <v>1</v>
      </c>
      <c r="K7" s="1323"/>
      <c r="L7" s="1323">
        <f t="shared" si="0"/>
        <v>1</v>
      </c>
      <c r="M7" s="1323"/>
      <c r="N7" s="1323">
        <f t="shared" si="0"/>
        <v>1</v>
      </c>
      <c r="O7" s="1323"/>
      <c r="P7" s="1323">
        <f t="shared" si="0"/>
        <v>1</v>
      </c>
      <c r="Q7" s="1323"/>
      <c r="R7" s="1323">
        <f t="shared" si="0"/>
        <v>1</v>
      </c>
      <c r="S7" s="1323"/>
      <c r="T7" s="1323">
        <f t="shared" si="2"/>
        <v>1</v>
      </c>
      <c r="U7" s="1323"/>
      <c r="V7" s="1323">
        <f t="shared" si="3"/>
        <v>1</v>
      </c>
      <c r="W7" s="1323"/>
      <c r="X7" s="1323">
        <f t="shared" si="4"/>
        <v>1</v>
      </c>
      <c r="Y7" s="1323"/>
      <c r="Z7" s="1323">
        <f t="shared" si="5"/>
        <v>1</v>
      </c>
      <c r="AA7" s="1323"/>
      <c r="AB7" s="1323">
        <f t="shared" si="6"/>
        <v>1</v>
      </c>
      <c r="AC7" s="1323"/>
      <c r="AD7" s="1323">
        <f t="shared" si="7"/>
        <v>1</v>
      </c>
      <c r="AE7" s="1323"/>
      <c r="AF7" s="1323">
        <f t="shared" si="8"/>
        <v>1</v>
      </c>
      <c r="AG7" s="1323"/>
      <c r="AH7" s="1323">
        <f t="shared" si="9"/>
        <v>1</v>
      </c>
      <c r="AI7" s="1323"/>
      <c r="AJ7" s="1323">
        <f t="shared" si="10"/>
        <v>1</v>
      </c>
      <c r="AK7" s="1323"/>
      <c r="AL7" s="1323">
        <f t="shared" si="11"/>
        <v>1</v>
      </c>
      <c r="AM7" s="1323"/>
      <c r="AN7" s="1323">
        <f t="shared" si="12"/>
        <v>1</v>
      </c>
      <c r="AO7" s="1323"/>
      <c r="AP7" s="1323">
        <f t="shared" si="13"/>
        <v>1</v>
      </c>
      <c r="AQ7" s="1323"/>
      <c r="AR7" s="1323">
        <f t="shared" si="14"/>
        <v>1</v>
      </c>
      <c r="AS7" s="1323"/>
      <c r="AT7" s="1323">
        <f t="shared" si="15"/>
        <v>1</v>
      </c>
      <c r="AU7" s="1323"/>
      <c r="AV7" s="1323">
        <f t="shared" si="16"/>
        <v>1</v>
      </c>
      <c r="AW7" s="1323"/>
      <c r="AX7" s="1323">
        <f t="shared" si="17"/>
        <v>1</v>
      </c>
      <c r="AY7" s="1323"/>
      <c r="AZ7" s="1323">
        <f t="shared" si="18"/>
        <v>1</v>
      </c>
      <c r="BA7" s="1323"/>
      <c r="BB7" s="1323">
        <f t="shared" si="19"/>
        <v>1</v>
      </c>
      <c r="BC7" s="1323"/>
      <c r="BD7" s="1323">
        <f t="shared" si="20"/>
        <v>1</v>
      </c>
      <c r="BE7" s="1323"/>
      <c r="BF7" s="1323">
        <f t="shared" si="21"/>
        <v>1</v>
      </c>
      <c r="BG7" s="1323"/>
      <c r="BH7" s="1323">
        <f t="shared" si="22"/>
        <v>1</v>
      </c>
      <c r="BI7" s="1323"/>
      <c r="BJ7" s="1323">
        <f t="shared" si="23"/>
        <v>1</v>
      </c>
      <c r="BK7" s="1323"/>
      <c r="BL7" s="1323">
        <f t="shared" si="24"/>
        <v>1</v>
      </c>
      <c r="BM7" s="1323"/>
      <c r="BN7" s="1323">
        <f t="shared" si="25"/>
        <v>1</v>
      </c>
      <c r="BO7" s="1323"/>
      <c r="BP7" s="1323">
        <f t="shared" si="26"/>
        <v>1</v>
      </c>
      <c r="BQ7" s="1323"/>
      <c r="BR7" s="1323">
        <f t="shared" si="27"/>
        <v>1</v>
      </c>
      <c r="BS7" s="1323"/>
      <c r="BT7" s="1323">
        <f t="shared" si="28"/>
        <v>1</v>
      </c>
      <c r="BU7" s="1323"/>
      <c r="BV7" s="1323">
        <f t="shared" si="29"/>
        <v>1</v>
      </c>
      <c r="BW7" s="1323"/>
      <c r="BX7" s="1323">
        <f t="shared" si="30"/>
        <v>1</v>
      </c>
      <c r="BY7" s="1323"/>
      <c r="BZ7" s="1323">
        <f t="shared" si="31"/>
        <v>1</v>
      </c>
      <c r="CA7" s="1323"/>
      <c r="CB7" s="1323">
        <f t="shared" si="32"/>
        <v>1</v>
      </c>
      <c r="CC7" s="1323"/>
      <c r="CD7" s="1323">
        <f t="shared" si="33"/>
        <v>1</v>
      </c>
      <c r="CE7" s="1323"/>
      <c r="CF7" s="1323">
        <f t="shared" si="34"/>
        <v>1</v>
      </c>
      <c r="CG7" s="1323"/>
      <c r="CH7" s="1323">
        <f t="shared" si="35"/>
        <v>1</v>
      </c>
      <c r="CI7" s="1323"/>
      <c r="CJ7" s="1323">
        <f t="shared" si="36"/>
        <v>1</v>
      </c>
      <c r="CK7" s="1323"/>
      <c r="CL7" s="1323">
        <f t="shared" si="37"/>
        <v>1</v>
      </c>
      <c r="CM7" s="1323"/>
      <c r="CN7" s="1323">
        <f t="shared" si="38"/>
        <v>1</v>
      </c>
      <c r="CO7" s="1323"/>
      <c r="CP7" s="1323">
        <f t="shared" si="39"/>
        <v>1</v>
      </c>
      <c r="CQ7" s="1323"/>
      <c r="CR7" s="1323">
        <f t="shared" si="40"/>
        <v>1</v>
      </c>
      <c r="CS7" s="1323"/>
      <c r="CT7" s="1323">
        <f t="shared" si="41"/>
        <v>1</v>
      </c>
      <c r="CU7" s="1323"/>
      <c r="CV7" s="1323">
        <f t="shared" si="42"/>
        <v>1</v>
      </c>
      <c r="CW7" s="1323"/>
      <c r="CX7" s="1323">
        <f t="shared" si="43"/>
        <v>1</v>
      </c>
      <c r="CY7" s="1323"/>
      <c r="CZ7" s="1323">
        <f t="shared" si="44"/>
        <v>1</v>
      </c>
      <c r="DA7" s="1323"/>
      <c r="DB7" s="1323">
        <f t="shared" si="45"/>
        <v>1</v>
      </c>
      <c r="DC7" s="1323"/>
      <c r="DD7" s="1323">
        <f t="shared" si="46"/>
        <v>1</v>
      </c>
      <c r="DE7" s="1323"/>
      <c r="DF7" s="1323">
        <f t="shared" si="47"/>
        <v>1</v>
      </c>
      <c r="DG7" s="1323"/>
      <c r="DH7" s="1323">
        <f t="shared" si="48"/>
        <v>1</v>
      </c>
      <c r="DI7" s="1323"/>
      <c r="DJ7" s="1323">
        <f t="shared" si="48"/>
        <v>1</v>
      </c>
      <c r="DK7" s="1323"/>
      <c r="DL7" s="1323">
        <f t="shared" si="48"/>
        <v>1</v>
      </c>
      <c r="DM7" s="1323"/>
      <c r="DN7" s="1323">
        <f t="shared" si="48"/>
        <v>1</v>
      </c>
      <c r="DO7" s="1323"/>
      <c r="DP7" s="1323">
        <f t="shared" si="48"/>
        <v>1</v>
      </c>
      <c r="DQ7" s="1323"/>
      <c r="DR7" s="1323">
        <f t="shared" si="48"/>
        <v>1</v>
      </c>
      <c r="DS7" s="1323"/>
      <c r="DT7" s="1323">
        <f t="shared" si="48"/>
        <v>1</v>
      </c>
      <c r="DU7" s="1323"/>
      <c r="DV7" s="1323">
        <f t="shared" si="48"/>
        <v>1</v>
      </c>
      <c r="DW7" s="1323"/>
      <c r="DX7" s="1323">
        <f t="shared" si="49"/>
        <v>1</v>
      </c>
      <c r="DY7" s="1323"/>
      <c r="DZ7" s="1323">
        <f t="shared" si="49"/>
        <v>1</v>
      </c>
      <c r="EA7" s="1323"/>
      <c r="EB7" s="1323">
        <f t="shared" si="49"/>
        <v>1</v>
      </c>
      <c r="EC7" s="1323"/>
      <c r="ED7" s="1323">
        <f t="shared" si="50"/>
        <v>1</v>
      </c>
      <c r="EE7" s="1323"/>
      <c r="EF7" s="1323">
        <f t="shared" si="50"/>
        <v>1</v>
      </c>
      <c r="EG7" s="1323"/>
      <c r="EH7" s="1323">
        <f t="shared" si="51"/>
        <v>1</v>
      </c>
      <c r="EI7" s="1323"/>
      <c r="EJ7" s="1323">
        <f t="shared" si="52"/>
        <v>1</v>
      </c>
      <c r="EK7" s="1323"/>
      <c r="EL7" s="1323">
        <f t="shared" si="53"/>
        <v>1</v>
      </c>
      <c r="EM7" s="1323"/>
      <c r="EN7" s="1323">
        <f t="shared" si="54"/>
        <v>1</v>
      </c>
      <c r="EO7" s="1323"/>
      <c r="EP7" s="1323">
        <f t="shared" si="54"/>
        <v>1</v>
      </c>
      <c r="EQ7" s="1323"/>
      <c r="ER7" s="1323">
        <f t="shared" si="55"/>
        <v>1</v>
      </c>
      <c r="ES7" s="1323"/>
      <c r="ET7" s="1323">
        <f t="shared" si="56"/>
        <v>1</v>
      </c>
      <c r="EU7" s="1323"/>
      <c r="EV7" s="1323">
        <f t="shared" si="57"/>
        <v>1</v>
      </c>
      <c r="EW7" s="1323"/>
      <c r="EX7" s="1323">
        <f t="shared" si="58"/>
        <v>1</v>
      </c>
      <c r="EY7" s="1323"/>
      <c r="EZ7" s="1323">
        <f t="shared" si="59"/>
        <v>1</v>
      </c>
      <c r="FA7" s="1323"/>
      <c r="FB7" s="1323">
        <f t="shared" si="60"/>
        <v>1</v>
      </c>
      <c r="FC7" s="1323"/>
      <c r="FD7" s="1323">
        <f t="shared" si="61"/>
        <v>1</v>
      </c>
      <c r="FE7" s="1323"/>
      <c r="FF7" s="1323">
        <f t="shared" si="62"/>
        <v>1</v>
      </c>
      <c r="FG7" s="1323"/>
      <c r="FH7" s="1323">
        <f t="shared" si="63"/>
        <v>1</v>
      </c>
      <c r="FI7" s="1323"/>
      <c r="FJ7" s="1323">
        <f t="shared" si="64"/>
        <v>1</v>
      </c>
      <c r="FK7" s="1323"/>
      <c r="FL7" s="1323">
        <f t="shared" si="65"/>
        <v>1</v>
      </c>
      <c r="FM7" s="1323"/>
      <c r="FN7" s="1323">
        <f t="shared" si="66"/>
        <v>1</v>
      </c>
      <c r="FO7" s="1323"/>
      <c r="FP7" s="1323">
        <f t="shared" si="67"/>
        <v>1</v>
      </c>
      <c r="FQ7" s="1323"/>
      <c r="FR7" s="1323">
        <f t="shared" si="68"/>
        <v>1</v>
      </c>
      <c r="FS7" s="1323"/>
      <c r="FT7" s="1323">
        <f t="shared" si="69"/>
        <v>1</v>
      </c>
      <c r="FU7" s="1323"/>
      <c r="FV7" s="1323">
        <f t="shared" si="70"/>
        <v>1</v>
      </c>
      <c r="FW7" s="1323"/>
      <c r="FX7" s="1323">
        <f t="shared" si="71"/>
        <v>1</v>
      </c>
      <c r="FY7" s="1323"/>
      <c r="FZ7" s="1323">
        <f t="shared" si="72"/>
        <v>1</v>
      </c>
      <c r="GA7" s="1323"/>
      <c r="GB7" s="1323">
        <f t="shared" si="73"/>
        <v>1</v>
      </c>
      <c r="GC7" s="1323"/>
      <c r="GD7" s="1323">
        <f t="shared" si="74"/>
        <v>1</v>
      </c>
      <c r="GE7" s="1323"/>
      <c r="GF7" s="1323">
        <f t="shared" si="75"/>
        <v>1</v>
      </c>
      <c r="GG7" s="1323"/>
      <c r="GH7" s="1323">
        <f t="shared" si="76"/>
        <v>1</v>
      </c>
      <c r="GI7" s="1323"/>
      <c r="GJ7" s="1323">
        <f t="shared" si="77"/>
        <v>1</v>
      </c>
      <c r="GK7" s="1323"/>
      <c r="GL7" s="1323">
        <f t="shared" si="78"/>
        <v>1</v>
      </c>
      <c r="GM7" s="1323"/>
      <c r="GN7" s="1323">
        <f t="shared" si="79"/>
        <v>1</v>
      </c>
      <c r="GO7" s="1323"/>
      <c r="GP7" s="1323">
        <f t="shared" si="80"/>
        <v>1</v>
      </c>
      <c r="GQ7" s="1323"/>
      <c r="GR7" s="1323">
        <f t="shared" si="81"/>
        <v>1</v>
      </c>
      <c r="GS7" s="1323"/>
      <c r="GT7" s="1323">
        <f t="shared" si="82"/>
        <v>1</v>
      </c>
      <c r="GU7" s="1323"/>
      <c r="GV7" s="1323">
        <f t="shared" si="83"/>
        <v>1</v>
      </c>
      <c r="GW7" s="1323"/>
      <c r="GX7" s="1323">
        <f t="shared" si="84"/>
        <v>1</v>
      </c>
      <c r="GY7" s="1323"/>
      <c r="GZ7" s="1323">
        <f t="shared" si="85"/>
        <v>1</v>
      </c>
    </row>
    <row r="8" spans="1:208" s="1324" customFormat="1" hidden="1">
      <c r="A8" s="1318" t="s">
        <v>1401</v>
      </c>
      <c r="B8" s="1318">
        <v>30</v>
      </c>
      <c r="C8" s="1321">
        <v>25</v>
      </c>
      <c r="D8" s="1321">
        <f t="shared" si="1"/>
        <v>5</v>
      </c>
      <c r="E8" s="1321">
        <v>25</v>
      </c>
      <c r="F8" s="1321">
        <f t="shared" si="0"/>
        <v>-20</v>
      </c>
      <c r="G8" s="1322">
        <v>-20</v>
      </c>
      <c r="H8" s="1322">
        <f t="shared" si="0"/>
        <v>0</v>
      </c>
      <c r="I8" s="1322"/>
      <c r="J8" s="1323">
        <f t="shared" si="0"/>
        <v>0</v>
      </c>
      <c r="K8" s="1323"/>
      <c r="L8" s="1323">
        <f t="shared" si="0"/>
        <v>0</v>
      </c>
      <c r="M8" s="1323"/>
      <c r="N8" s="1323">
        <f t="shared" si="0"/>
        <v>0</v>
      </c>
      <c r="O8" s="1323"/>
      <c r="P8" s="1323">
        <f t="shared" si="0"/>
        <v>0</v>
      </c>
      <c r="Q8" s="1323"/>
      <c r="R8" s="1323">
        <f t="shared" si="0"/>
        <v>0</v>
      </c>
      <c r="S8" s="1323"/>
      <c r="T8" s="1323">
        <f t="shared" si="2"/>
        <v>0</v>
      </c>
      <c r="U8" s="1323"/>
      <c r="V8" s="1323">
        <f t="shared" si="3"/>
        <v>0</v>
      </c>
      <c r="W8" s="1323"/>
      <c r="X8" s="1323">
        <f t="shared" si="4"/>
        <v>0</v>
      </c>
      <c r="Y8" s="1323"/>
      <c r="Z8" s="1323">
        <f t="shared" si="5"/>
        <v>0</v>
      </c>
      <c r="AA8" s="1323"/>
      <c r="AB8" s="1323">
        <f t="shared" si="6"/>
        <v>0</v>
      </c>
      <c r="AC8" s="1323"/>
      <c r="AD8" s="1323">
        <f t="shared" si="7"/>
        <v>0</v>
      </c>
      <c r="AE8" s="1323"/>
      <c r="AF8" s="1323">
        <f t="shared" si="8"/>
        <v>0</v>
      </c>
      <c r="AG8" s="1323"/>
      <c r="AH8" s="1323">
        <f t="shared" si="9"/>
        <v>0</v>
      </c>
      <c r="AI8" s="1323"/>
      <c r="AJ8" s="1323">
        <f t="shared" si="10"/>
        <v>0</v>
      </c>
      <c r="AK8" s="1323"/>
      <c r="AL8" s="1323">
        <f t="shared" si="11"/>
        <v>0</v>
      </c>
      <c r="AM8" s="1323"/>
      <c r="AN8" s="1323">
        <f t="shared" si="12"/>
        <v>0</v>
      </c>
      <c r="AO8" s="1323"/>
      <c r="AP8" s="1323">
        <f t="shared" si="13"/>
        <v>0</v>
      </c>
      <c r="AQ8" s="1323"/>
      <c r="AR8" s="1323">
        <f t="shared" si="14"/>
        <v>0</v>
      </c>
      <c r="AS8" s="1323"/>
      <c r="AT8" s="1323">
        <f t="shared" si="15"/>
        <v>0</v>
      </c>
      <c r="AU8" s="1323"/>
      <c r="AV8" s="1323">
        <f t="shared" si="16"/>
        <v>0</v>
      </c>
      <c r="AW8" s="1323"/>
      <c r="AX8" s="1323">
        <f t="shared" si="17"/>
        <v>0</v>
      </c>
      <c r="AY8" s="1323"/>
      <c r="AZ8" s="1323">
        <f t="shared" si="18"/>
        <v>0</v>
      </c>
      <c r="BA8" s="1323"/>
      <c r="BB8" s="1323">
        <f t="shared" si="19"/>
        <v>0</v>
      </c>
      <c r="BC8" s="1323"/>
      <c r="BD8" s="1323">
        <f t="shared" si="20"/>
        <v>0</v>
      </c>
      <c r="BE8" s="1323"/>
      <c r="BF8" s="1323">
        <f t="shared" si="21"/>
        <v>0</v>
      </c>
      <c r="BG8" s="1323"/>
      <c r="BH8" s="1323">
        <f t="shared" si="22"/>
        <v>0</v>
      </c>
      <c r="BI8" s="1323"/>
      <c r="BJ8" s="1323">
        <f t="shared" si="23"/>
        <v>0</v>
      </c>
      <c r="BK8" s="1323"/>
      <c r="BL8" s="1323">
        <f t="shared" si="24"/>
        <v>0</v>
      </c>
      <c r="BM8" s="1323"/>
      <c r="BN8" s="1323">
        <f t="shared" si="25"/>
        <v>0</v>
      </c>
      <c r="BO8" s="1323"/>
      <c r="BP8" s="1323">
        <f t="shared" si="26"/>
        <v>0</v>
      </c>
      <c r="BQ8" s="1323"/>
      <c r="BR8" s="1323">
        <f t="shared" si="27"/>
        <v>0</v>
      </c>
      <c r="BS8" s="1323"/>
      <c r="BT8" s="1323">
        <f t="shared" si="28"/>
        <v>0</v>
      </c>
      <c r="BU8" s="1323"/>
      <c r="BV8" s="1323">
        <f t="shared" si="29"/>
        <v>0</v>
      </c>
      <c r="BW8" s="1323"/>
      <c r="BX8" s="1323">
        <f t="shared" si="30"/>
        <v>0</v>
      </c>
      <c r="BY8" s="1323"/>
      <c r="BZ8" s="1323">
        <f t="shared" si="31"/>
        <v>0</v>
      </c>
      <c r="CA8" s="1323"/>
      <c r="CB8" s="1323">
        <f t="shared" si="32"/>
        <v>0</v>
      </c>
      <c r="CC8" s="1323"/>
      <c r="CD8" s="1323">
        <f t="shared" si="33"/>
        <v>0</v>
      </c>
      <c r="CE8" s="1323"/>
      <c r="CF8" s="1323">
        <f t="shared" si="34"/>
        <v>0</v>
      </c>
      <c r="CG8" s="1323"/>
      <c r="CH8" s="1323">
        <f t="shared" si="35"/>
        <v>0</v>
      </c>
      <c r="CI8" s="1323"/>
      <c r="CJ8" s="1323">
        <f t="shared" si="36"/>
        <v>0</v>
      </c>
      <c r="CK8" s="1323"/>
      <c r="CL8" s="1323">
        <f t="shared" si="37"/>
        <v>0</v>
      </c>
      <c r="CM8" s="1323"/>
      <c r="CN8" s="1323">
        <f t="shared" si="38"/>
        <v>0</v>
      </c>
      <c r="CO8" s="1323"/>
      <c r="CP8" s="1323">
        <f t="shared" si="39"/>
        <v>0</v>
      </c>
      <c r="CQ8" s="1323"/>
      <c r="CR8" s="1323">
        <f t="shared" si="40"/>
        <v>0</v>
      </c>
      <c r="CS8" s="1323"/>
      <c r="CT8" s="1323">
        <f t="shared" si="41"/>
        <v>0</v>
      </c>
      <c r="CU8" s="1323"/>
      <c r="CV8" s="1323">
        <f t="shared" si="42"/>
        <v>0</v>
      </c>
      <c r="CW8" s="1323"/>
      <c r="CX8" s="1323">
        <f t="shared" si="43"/>
        <v>0</v>
      </c>
      <c r="CY8" s="1323"/>
      <c r="CZ8" s="1323">
        <f t="shared" si="44"/>
        <v>0</v>
      </c>
      <c r="DA8" s="1323"/>
      <c r="DB8" s="1323">
        <f t="shared" si="45"/>
        <v>0</v>
      </c>
      <c r="DC8" s="1323"/>
      <c r="DD8" s="1323">
        <f t="shared" si="46"/>
        <v>0</v>
      </c>
      <c r="DE8" s="1323"/>
      <c r="DF8" s="1323">
        <f t="shared" si="47"/>
        <v>0</v>
      </c>
      <c r="DG8" s="1323"/>
      <c r="DH8" s="1323">
        <f t="shared" si="48"/>
        <v>0</v>
      </c>
      <c r="DI8" s="1323"/>
      <c r="DJ8" s="1323">
        <f t="shared" si="48"/>
        <v>0</v>
      </c>
      <c r="DK8" s="1323"/>
      <c r="DL8" s="1323">
        <f t="shared" si="48"/>
        <v>0</v>
      </c>
      <c r="DM8" s="1323"/>
      <c r="DN8" s="1323">
        <f t="shared" si="48"/>
        <v>0</v>
      </c>
      <c r="DO8" s="1323"/>
      <c r="DP8" s="1323">
        <f t="shared" si="48"/>
        <v>0</v>
      </c>
      <c r="DQ8" s="1323"/>
      <c r="DR8" s="1323">
        <f t="shared" si="48"/>
        <v>0</v>
      </c>
      <c r="DS8" s="1323"/>
      <c r="DT8" s="1323">
        <f t="shared" si="48"/>
        <v>0</v>
      </c>
      <c r="DU8" s="1323"/>
      <c r="DV8" s="1323">
        <f t="shared" si="48"/>
        <v>0</v>
      </c>
      <c r="DW8" s="1323"/>
      <c r="DX8" s="1323">
        <f t="shared" si="49"/>
        <v>0</v>
      </c>
      <c r="DY8" s="1323"/>
      <c r="DZ8" s="1323">
        <f t="shared" si="49"/>
        <v>0</v>
      </c>
      <c r="EA8" s="1323"/>
      <c r="EB8" s="1323">
        <f t="shared" si="49"/>
        <v>0</v>
      </c>
      <c r="EC8" s="1323"/>
      <c r="ED8" s="1323">
        <f t="shared" si="50"/>
        <v>0</v>
      </c>
      <c r="EE8" s="1323"/>
      <c r="EF8" s="1323">
        <f t="shared" si="50"/>
        <v>0</v>
      </c>
      <c r="EG8" s="1323"/>
      <c r="EH8" s="1323">
        <f t="shared" si="51"/>
        <v>0</v>
      </c>
      <c r="EI8" s="1323"/>
      <c r="EJ8" s="1323">
        <f t="shared" si="52"/>
        <v>0</v>
      </c>
      <c r="EK8" s="1323"/>
      <c r="EL8" s="1323">
        <f t="shared" si="53"/>
        <v>0</v>
      </c>
      <c r="EM8" s="1323"/>
      <c r="EN8" s="1323">
        <f t="shared" si="54"/>
        <v>0</v>
      </c>
      <c r="EO8" s="1323"/>
      <c r="EP8" s="1323">
        <f t="shared" si="54"/>
        <v>0</v>
      </c>
      <c r="EQ8" s="1323"/>
      <c r="ER8" s="1323">
        <f t="shared" si="55"/>
        <v>0</v>
      </c>
      <c r="ES8" s="1323"/>
      <c r="ET8" s="1323">
        <f t="shared" si="56"/>
        <v>0</v>
      </c>
      <c r="EU8" s="1323"/>
      <c r="EV8" s="1323">
        <f t="shared" si="57"/>
        <v>0</v>
      </c>
      <c r="EW8" s="1323"/>
      <c r="EX8" s="1323">
        <f t="shared" si="58"/>
        <v>0</v>
      </c>
      <c r="EY8" s="1323"/>
      <c r="EZ8" s="1323">
        <f t="shared" si="59"/>
        <v>0</v>
      </c>
      <c r="FA8" s="1323"/>
      <c r="FB8" s="1323">
        <f t="shared" si="60"/>
        <v>0</v>
      </c>
      <c r="FC8" s="1323"/>
      <c r="FD8" s="1323">
        <f t="shared" si="61"/>
        <v>0</v>
      </c>
      <c r="FE8" s="1323"/>
      <c r="FF8" s="1323">
        <f t="shared" si="62"/>
        <v>0</v>
      </c>
      <c r="FG8" s="1323"/>
      <c r="FH8" s="1323">
        <f t="shared" si="63"/>
        <v>0</v>
      </c>
      <c r="FI8" s="1323"/>
      <c r="FJ8" s="1323">
        <f t="shared" si="64"/>
        <v>0</v>
      </c>
      <c r="FK8" s="1323"/>
      <c r="FL8" s="1323">
        <f t="shared" si="65"/>
        <v>0</v>
      </c>
      <c r="FM8" s="1323"/>
      <c r="FN8" s="1323">
        <f t="shared" si="66"/>
        <v>0</v>
      </c>
      <c r="FO8" s="1323"/>
      <c r="FP8" s="1323">
        <f t="shared" si="67"/>
        <v>0</v>
      </c>
      <c r="FQ8" s="1323"/>
      <c r="FR8" s="1323">
        <f t="shared" si="68"/>
        <v>0</v>
      </c>
      <c r="FS8" s="1323"/>
      <c r="FT8" s="1323">
        <f t="shared" si="69"/>
        <v>0</v>
      </c>
      <c r="FU8" s="1323"/>
      <c r="FV8" s="1323">
        <f t="shared" si="70"/>
        <v>0</v>
      </c>
      <c r="FW8" s="1323"/>
      <c r="FX8" s="1323">
        <f t="shared" si="71"/>
        <v>0</v>
      </c>
      <c r="FY8" s="1323"/>
      <c r="FZ8" s="1323">
        <f t="shared" si="72"/>
        <v>0</v>
      </c>
      <c r="GA8" s="1323"/>
      <c r="GB8" s="1323">
        <f t="shared" si="73"/>
        <v>0</v>
      </c>
      <c r="GC8" s="1323"/>
      <c r="GD8" s="1323">
        <f t="shared" si="74"/>
        <v>0</v>
      </c>
      <c r="GE8" s="1323"/>
      <c r="GF8" s="1323">
        <f t="shared" si="75"/>
        <v>0</v>
      </c>
      <c r="GG8" s="1323"/>
      <c r="GH8" s="1323">
        <f t="shared" si="76"/>
        <v>0</v>
      </c>
      <c r="GI8" s="1323"/>
      <c r="GJ8" s="1323">
        <f t="shared" si="77"/>
        <v>0</v>
      </c>
      <c r="GK8" s="1323"/>
      <c r="GL8" s="1323">
        <f t="shared" si="78"/>
        <v>0</v>
      </c>
      <c r="GM8" s="1323"/>
      <c r="GN8" s="1323">
        <f t="shared" si="79"/>
        <v>0</v>
      </c>
      <c r="GO8" s="1323"/>
      <c r="GP8" s="1323">
        <f t="shared" si="80"/>
        <v>0</v>
      </c>
      <c r="GQ8" s="1323"/>
      <c r="GR8" s="1323">
        <f t="shared" si="81"/>
        <v>0</v>
      </c>
      <c r="GS8" s="1323"/>
      <c r="GT8" s="1323">
        <f t="shared" si="82"/>
        <v>0</v>
      </c>
      <c r="GU8" s="1323"/>
      <c r="GV8" s="1323">
        <f t="shared" si="83"/>
        <v>0</v>
      </c>
      <c r="GW8" s="1323"/>
      <c r="GX8" s="1323">
        <f t="shared" si="84"/>
        <v>0</v>
      </c>
      <c r="GY8" s="1323"/>
      <c r="GZ8" s="1323">
        <f t="shared" si="85"/>
        <v>0</v>
      </c>
    </row>
    <row r="9" spans="1:208" s="1324" customFormat="1" hidden="1">
      <c r="A9" s="1318" t="s">
        <v>1372</v>
      </c>
      <c r="B9" s="1318">
        <v>30</v>
      </c>
      <c r="C9" s="1321"/>
      <c r="D9" s="1321">
        <f t="shared" si="1"/>
        <v>30</v>
      </c>
      <c r="E9" s="1321"/>
      <c r="F9" s="1321">
        <f t="shared" si="0"/>
        <v>30</v>
      </c>
      <c r="G9" s="1322"/>
      <c r="H9" s="1322">
        <f t="shared" si="0"/>
        <v>30</v>
      </c>
      <c r="I9" s="1322"/>
      <c r="J9" s="1323">
        <f t="shared" si="0"/>
        <v>30</v>
      </c>
      <c r="K9" s="1323"/>
      <c r="L9" s="1323">
        <f t="shared" si="0"/>
        <v>30</v>
      </c>
      <c r="M9" s="1323"/>
      <c r="N9" s="1323">
        <f t="shared" si="0"/>
        <v>30</v>
      </c>
      <c r="O9" s="1323"/>
      <c r="P9" s="1323">
        <f t="shared" si="0"/>
        <v>30</v>
      </c>
      <c r="Q9" s="1323"/>
      <c r="R9" s="1323">
        <f t="shared" si="0"/>
        <v>30</v>
      </c>
      <c r="S9" s="1323"/>
      <c r="T9" s="1323">
        <f t="shared" si="2"/>
        <v>30</v>
      </c>
      <c r="U9" s="1323"/>
      <c r="V9" s="1323">
        <f t="shared" si="3"/>
        <v>30</v>
      </c>
      <c r="W9" s="1323"/>
      <c r="X9" s="1323">
        <f t="shared" si="4"/>
        <v>30</v>
      </c>
      <c r="Y9" s="1323"/>
      <c r="Z9" s="1323">
        <f t="shared" si="5"/>
        <v>30</v>
      </c>
      <c r="AA9" s="1323"/>
      <c r="AB9" s="1323">
        <f t="shared" si="6"/>
        <v>30</v>
      </c>
      <c r="AC9" s="1323"/>
      <c r="AD9" s="1323">
        <f t="shared" si="7"/>
        <v>30</v>
      </c>
      <c r="AE9" s="1323"/>
      <c r="AF9" s="1323">
        <f t="shared" si="8"/>
        <v>30</v>
      </c>
      <c r="AG9" s="1323"/>
      <c r="AH9" s="1323">
        <f t="shared" si="9"/>
        <v>30</v>
      </c>
      <c r="AI9" s="1323"/>
      <c r="AJ9" s="1323">
        <f t="shared" si="10"/>
        <v>30</v>
      </c>
      <c r="AK9" s="1323"/>
      <c r="AL9" s="1323">
        <f t="shared" si="11"/>
        <v>30</v>
      </c>
      <c r="AM9" s="1323"/>
      <c r="AN9" s="1323">
        <f t="shared" si="12"/>
        <v>30</v>
      </c>
      <c r="AO9" s="1323"/>
      <c r="AP9" s="1323">
        <f t="shared" si="13"/>
        <v>30</v>
      </c>
      <c r="AQ9" s="1323"/>
      <c r="AR9" s="1323">
        <f t="shared" si="14"/>
        <v>30</v>
      </c>
      <c r="AS9" s="1323"/>
      <c r="AT9" s="1323">
        <f t="shared" si="15"/>
        <v>30</v>
      </c>
      <c r="AU9" s="1323"/>
      <c r="AV9" s="1323">
        <f t="shared" si="16"/>
        <v>30</v>
      </c>
      <c r="AW9" s="1323"/>
      <c r="AX9" s="1323">
        <f t="shared" si="17"/>
        <v>30</v>
      </c>
      <c r="AY9" s="1323"/>
      <c r="AZ9" s="1323">
        <f t="shared" si="18"/>
        <v>30</v>
      </c>
      <c r="BA9" s="1323"/>
      <c r="BB9" s="1323">
        <f t="shared" si="19"/>
        <v>30</v>
      </c>
      <c r="BC9" s="1323"/>
      <c r="BD9" s="1323">
        <f t="shared" si="20"/>
        <v>30</v>
      </c>
      <c r="BE9" s="1323"/>
      <c r="BF9" s="1323">
        <f t="shared" si="21"/>
        <v>30</v>
      </c>
      <c r="BG9" s="1323"/>
      <c r="BH9" s="1323">
        <f t="shared" si="22"/>
        <v>30</v>
      </c>
      <c r="BI9" s="1323"/>
      <c r="BJ9" s="1323">
        <f t="shared" si="23"/>
        <v>30</v>
      </c>
      <c r="BK9" s="1323"/>
      <c r="BL9" s="1323">
        <f t="shared" si="24"/>
        <v>30</v>
      </c>
      <c r="BM9" s="1323"/>
      <c r="BN9" s="1323">
        <f t="shared" si="25"/>
        <v>30</v>
      </c>
      <c r="BO9" s="1323"/>
      <c r="BP9" s="1323">
        <f t="shared" si="26"/>
        <v>30</v>
      </c>
      <c r="BQ9" s="1323"/>
      <c r="BR9" s="1323">
        <f t="shared" si="27"/>
        <v>30</v>
      </c>
      <c r="BS9" s="1323"/>
      <c r="BT9" s="1323">
        <f t="shared" si="28"/>
        <v>30</v>
      </c>
      <c r="BU9" s="1323"/>
      <c r="BV9" s="1323">
        <f t="shared" si="29"/>
        <v>30</v>
      </c>
      <c r="BW9" s="1323"/>
      <c r="BX9" s="1323">
        <f t="shared" si="30"/>
        <v>30</v>
      </c>
      <c r="BY9" s="1323"/>
      <c r="BZ9" s="1323">
        <f t="shared" si="31"/>
        <v>30</v>
      </c>
      <c r="CA9" s="1323"/>
      <c r="CB9" s="1323">
        <f t="shared" si="32"/>
        <v>30</v>
      </c>
      <c r="CC9" s="1323"/>
      <c r="CD9" s="1323">
        <f t="shared" si="33"/>
        <v>30</v>
      </c>
      <c r="CE9" s="1323"/>
      <c r="CF9" s="1323">
        <f t="shared" si="34"/>
        <v>30</v>
      </c>
      <c r="CG9" s="1323"/>
      <c r="CH9" s="1323">
        <f t="shared" si="35"/>
        <v>30</v>
      </c>
      <c r="CI9" s="1323"/>
      <c r="CJ9" s="1323">
        <f t="shared" si="36"/>
        <v>30</v>
      </c>
      <c r="CK9" s="1323"/>
      <c r="CL9" s="1323">
        <f t="shared" si="37"/>
        <v>30</v>
      </c>
      <c r="CM9" s="1323"/>
      <c r="CN9" s="1323">
        <f t="shared" si="38"/>
        <v>30</v>
      </c>
      <c r="CO9" s="1323"/>
      <c r="CP9" s="1323">
        <f t="shared" si="39"/>
        <v>30</v>
      </c>
      <c r="CQ9" s="1323"/>
      <c r="CR9" s="1323">
        <f t="shared" si="40"/>
        <v>30</v>
      </c>
      <c r="CS9" s="1323"/>
      <c r="CT9" s="1323">
        <f t="shared" si="41"/>
        <v>30</v>
      </c>
      <c r="CU9" s="1323"/>
      <c r="CV9" s="1323">
        <f t="shared" si="42"/>
        <v>30</v>
      </c>
      <c r="CW9" s="1323"/>
      <c r="CX9" s="1323">
        <f t="shared" si="43"/>
        <v>30</v>
      </c>
      <c r="CY9" s="1323"/>
      <c r="CZ9" s="1323">
        <f t="shared" si="44"/>
        <v>30</v>
      </c>
      <c r="DA9" s="1323"/>
      <c r="DB9" s="1323">
        <f t="shared" si="45"/>
        <v>30</v>
      </c>
      <c r="DC9" s="1323"/>
      <c r="DD9" s="1323">
        <f t="shared" si="46"/>
        <v>30</v>
      </c>
      <c r="DE9" s="1323"/>
      <c r="DF9" s="1323">
        <f t="shared" si="47"/>
        <v>30</v>
      </c>
      <c r="DG9" s="1323"/>
      <c r="DH9" s="1323">
        <f t="shared" si="48"/>
        <v>30</v>
      </c>
      <c r="DI9" s="1323"/>
      <c r="DJ9" s="1323">
        <f t="shared" si="48"/>
        <v>30</v>
      </c>
      <c r="DK9" s="1323"/>
      <c r="DL9" s="1323">
        <f t="shared" si="48"/>
        <v>30</v>
      </c>
      <c r="DM9" s="1323"/>
      <c r="DN9" s="1323">
        <f t="shared" si="48"/>
        <v>30</v>
      </c>
      <c r="DO9" s="1323"/>
      <c r="DP9" s="1323">
        <f t="shared" si="48"/>
        <v>30</v>
      </c>
      <c r="DQ9" s="1323"/>
      <c r="DR9" s="1323">
        <f t="shared" si="48"/>
        <v>30</v>
      </c>
      <c r="DS9" s="1323"/>
      <c r="DT9" s="1323">
        <f t="shared" si="48"/>
        <v>30</v>
      </c>
      <c r="DU9" s="1323"/>
      <c r="DV9" s="1323">
        <f t="shared" si="48"/>
        <v>30</v>
      </c>
      <c r="DW9" s="1323"/>
      <c r="DX9" s="1323">
        <f t="shared" si="49"/>
        <v>30</v>
      </c>
      <c r="DY9" s="1323"/>
      <c r="DZ9" s="1323">
        <f t="shared" si="49"/>
        <v>30</v>
      </c>
      <c r="EA9" s="1323"/>
      <c r="EB9" s="1323">
        <f t="shared" si="49"/>
        <v>30</v>
      </c>
      <c r="EC9" s="1323"/>
      <c r="ED9" s="1323">
        <f t="shared" si="50"/>
        <v>30</v>
      </c>
      <c r="EE9" s="1323"/>
      <c r="EF9" s="1323">
        <f t="shared" si="50"/>
        <v>30</v>
      </c>
      <c r="EG9" s="1323"/>
      <c r="EH9" s="1323">
        <f t="shared" si="51"/>
        <v>30</v>
      </c>
      <c r="EI9" s="1323"/>
      <c r="EJ9" s="1323">
        <f t="shared" si="52"/>
        <v>30</v>
      </c>
      <c r="EK9" s="1323"/>
      <c r="EL9" s="1323">
        <f t="shared" si="53"/>
        <v>30</v>
      </c>
      <c r="EM9" s="1323"/>
      <c r="EN9" s="1323">
        <f t="shared" si="54"/>
        <v>30</v>
      </c>
      <c r="EO9" s="1323"/>
      <c r="EP9" s="1323">
        <f t="shared" si="54"/>
        <v>30</v>
      </c>
      <c r="EQ9" s="1323"/>
      <c r="ER9" s="1323">
        <f t="shared" si="55"/>
        <v>30</v>
      </c>
      <c r="ES9" s="1323"/>
      <c r="ET9" s="1323">
        <f t="shared" si="56"/>
        <v>30</v>
      </c>
      <c r="EU9" s="1323"/>
      <c r="EV9" s="1323">
        <f t="shared" si="57"/>
        <v>30</v>
      </c>
      <c r="EW9" s="1323"/>
      <c r="EX9" s="1323">
        <f t="shared" si="58"/>
        <v>30</v>
      </c>
      <c r="EY9" s="1323"/>
      <c r="EZ9" s="1323">
        <f t="shared" si="59"/>
        <v>30</v>
      </c>
      <c r="FA9" s="1323"/>
      <c r="FB9" s="1323">
        <f t="shared" si="60"/>
        <v>30</v>
      </c>
      <c r="FC9" s="1323"/>
      <c r="FD9" s="1323">
        <f t="shared" si="61"/>
        <v>30</v>
      </c>
      <c r="FE9" s="1323"/>
      <c r="FF9" s="1323">
        <f t="shared" si="62"/>
        <v>30</v>
      </c>
      <c r="FG9" s="1323"/>
      <c r="FH9" s="1323">
        <f t="shared" si="63"/>
        <v>30</v>
      </c>
      <c r="FI9" s="1323"/>
      <c r="FJ9" s="1323">
        <f t="shared" si="64"/>
        <v>30</v>
      </c>
      <c r="FK9" s="1323"/>
      <c r="FL9" s="1323">
        <f t="shared" si="65"/>
        <v>30</v>
      </c>
      <c r="FM9" s="1323"/>
      <c r="FN9" s="1323">
        <f t="shared" si="66"/>
        <v>30</v>
      </c>
      <c r="FO9" s="1323"/>
      <c r="FP9" s="1323">
        <f t="shared" si="67"/>
        <v>30</v>
      </c>
      <c r="FQ9" s="1323"/>
      <c r="FR9" s="1323">
        <f t="shared" si="68"/>
        <v>30</v>
      </c>
      <c r="FS9" s="1323"/>
      <c r="FT9" s="1323">
        <f t="shared" si="69"/>
        <v>30</v>
      </c>
      <c r="FU9" s="1323"/>
      <c r="FV9" s="1323">
        <f t="shared" si="70"/>
        <v>30</v>
      </c>
      <c r="FW9" s="1323"/>
      <c r="FX9" s="1323">
        <f t="shared" si="71"/>
        <v>30</v>
      </c>
      <c r="FY9" s="1323"/>
      <c r="FZ9" s="1323">
        <f t="shared" si="72"/>
        <v>30</v>
      </c>
      <c r="GA9" s="1323"/>
      <c r="GB9" s="1323">
        <f t="shared" si="73"/>
        <v>30</v>
      </c>
      <c r="GC9" s="1323"/>
      <c r="GD9" s="1323">
        <f t="shared" si="74"/>
        <v>30</v>
      </c>
      <c r="GE9" s="1323"/>
      <c r="GF9" s="1323">
        <f t="shared" si="75"/>
        <v>30</v>
      </c>
      <c r="GG9" s="1323"/>
      <c r="GH9" s="1323">
        <f t="shared" si="76"/>
        <v>30</v>
      </c>
      <c r="GI9" s="1323"/>
      <c r="GJ9" s="1323">
        <f t="shared" si="77"/>
        <v>30</v>
      </c>
      <c r="GK9" s="1323"/>
      <c r="GL9" s="1323">
        <f t="shared" si="78"/>
        <v>30</v>
      </c>
      <c r="GM9" s="1323"/>
      <c r="GN9" s="1323">
        <f t="shared" si="79"/>
        <v>30</v>
      </c>
      <c r="GO9" s="1323"/>
      <c r="GP9" s="1323">
        <f t="shared" si="80"/>
        <v>30</v>
      </c>
      <c r="GQ9" s="1323"/>
      <c r="GR9" s="1323">
        <f t="shared" si="81"/>
        <v>30</v>
      </c>
      <c r="GS9" s="1323"/>
      <c r="GT9" s="1323">
        <f t="shared" si="82"/>
        <v>30</v>
      </c>
      <c r="GU9" s="1323"/>
      <c r="GV9" s="1323">
        <f t="shared" si="83"/>
        <v>30</v>
      </c>
      <c r="GW9" s="1323"/>
      <c r="GX9" s="1323">
        <f t="shared" si="84"/>
        <v>30</v>
      </c>
      <c r="GY9" s="1323"/>
      <c r="GZ9" s="1323">
        <f t="shared" si="85"/>
        <v>30</v>
      </c>
    </row>
    <row r="10" spans="1:208" s="1324" customFormat="1" hidden="1">
      <c r="A10" s="1318" t="s">
        <v>1378</v>
      </c>
      <c r="B10" s="1318">
        <v>30</v>
      </c>
      <c r="C10" s="1321"/>
      <c r="D10" s="1321">
        <f t="shared" si="1"/>
        <v>30</v>
      </c>
      <c r="E10" s="1321"/>
      <c r="F10" s="1321">
        <f t="shared" si="0"/>
        <v>30</v>
      </c>
      <c r="G10" s="1322"/>
      <c r="H10" s="1322">
        <f t="shared" si="0"/>
        <v>30</v>
      </c>
      <c r="I10" s="1322"/>
      <c r="J10" s="1323">
        <f t="shared" si="0"/>
        <v>30</v>
      </c>
      <c r="K10" s="1323"/>
      <c r="L10" s="1323">
        <f t="shared" si="0"/>
        <v>30</v>
      </c>
      <c r="M10" s="1323"/>
      <c r="N10" s="1323">
        <f t="shared" si="0"/>
        <v>30</v>
      </c>
      <c r="O10" s="1323"/>
      <c r="P10" s="1323">
        <f t="shared" si="0"/>
        <v>30</v>
      </c>
      <c r="Q10" s="1323"/>
      <c r="R10" s="1323">
        <f t="shared" si="0"/>
        <v>30</v>
      </c>
      <c r="S10" s="1323"/>
      <c r="T10" s="1323">
        <f t="shared" si="2"/>
        <v>30</v>
      </c>
      <c r="U10" s="1323"/>
      <c r="V10" s="1323">
        <f t="shared" si="3"/>
        <v>30</v>
      </c>
      <c r="W10" s="1323"/>
      <c r="X10" s="1323">
        <f t="shared" si="4"/>
        <v>30</v>
      </c>
      <c r="Y10" s="1323"/>
      <c r="Z10" s="1323">
        <f t="shared" si="5"/>
        <v>30</v>
      </c>
      <c r="AA10" s="1323"/>
      <c r="AB10" s="1323">
        <f t="shared" si="6"/>
        <v>30</v>
      </c>
      <c r="AC10" s="1323"/>
      <c r="AD10" s="1323">
        <f t="shared" si="7"/>
        <v>30</v>
      </c>
      <c r="AE10" s="1323"/>
      <c r="AF10" s="1323">
        <f t="shared" si="8"/>
        <v>30</v>
      </c>
      <c r="AG10" s="1323"/>
      <c r="AH10" s="1323">
        <f t="shared" si="9"/>
        <v>30</v>
      </c>
      <c r="AI10" s="1323"/>
      <c r="AJ10" s="1323">
        <f t="shared" si="10"/>
        <v>30</v>
      </c>
      <c r="AK10" s="1323"/>
      <c r="AL10" s="1323">
        <f t="shared" si="11"/>
        <v>30</v>
      </c>
      <c r="AM10" s="1323"/>
      <c r="AN10" s="1323">
        <f t="shared" si="12"/>
        <v>30</v>
      </c>
      <c r="AO10" s="1323"/>
      <c r="AP10" s="1323">
        <f t="shared" si="13"/>
        <v>30</v>
      </c>
      <c r="AQ10" s="1323"/>
      <c r="AR10" s="1323">
        <f t="shared" si="14"/>
        <v>30</v>
      </c>
      <c r="AS10" s="1323"/>
      <c r="AT10" s="1323">
        <f t="shared" si="15"/>
        <v>30</v>
      </c>
      <c r="AU10" s="1323"/>
      <c r="AV10" s="1323">
        <f t="shared" si="16"/>
        <v>30</v>
      </c>
      <c r="AW10" s="1323"/>
      <c r="AX10" s="1323">
        <f t="shared" si="17"/>
        <v>30</v>
      </c>
      <c r="AY10" s="1323"/>
      <c r="AZ10" s="1323">
        <f t="shared" si="18"/>
        <v>30</v>
      </c>
      <c r="BA10" s="1323"/>
      <c r="BB10" s="1323">
        <f t="shared" si="19"/>
        <v>30</v>
      </c>
      <c r="BC10" s="1323"/>
      <c r="BD10" s="1323">
        <f t="shared" si="20"/>
        <v>30</v>
      </c>
      <c r="BE10" s="1323"/>
      <c r="BF10" s="1323">
        <f t="shared" si="21"/>
        <v>30</v>
      </c>
      <c r="BG10" s="1323"/>
      <c r="BH10" s="1323">
        <f t="shared" si="22"/>
        <v>30</v>
      </c>
      <c r="BI10" s="1323"/>
      <c r="BJ10" s="1323">
        <f t="shared" si="23"/>
        <v>30</v>
      </c>
      <c r="BK10" s="1323"/>
      <c r="BL10" s="1323">
        <f t="shared" si="24"/>
        <v>30</v>
      </c>
      <c r="BM10" s="1323"/>
      <c r="BN10" s="1323">
        <f t="shared" si="25"/>
        <v>30</v>
      </c>
      <c r="BO10" s="1323"/>
      <c r="BP10" s="1323">
        <f t="shared" si="26"/>
        <v>30</v>
      </c>
      <c r="BQ10" s="1323"/>
      <c r="BR10" s="1323">
        <f t="shared" si="27"/>
        <v>30</v>
      </c>
      <c r="BS10" s="1323"/>
      <c r="BT10" s="1323">
        <f t="shared" si="28"/>
        <v>30</v>
      </c>
      <c r="BU10" s="1323"/>
      <c r="BV10" s="1323">
        <f t="shared" si="29"/>
        <v>30</v>
      </c>
      <c r="BW10" s="1323"/>
      <c r="BX10" s="1323">
        <f t="shared" si="30"/>
        <v>30</v>
      </c>
      <c r="BY10" s="1323"/>
      <c r="BZ10" s="1323">
        <f t="shared" si="31"/>
        <v>30</v>
      </c>
      <c r="CA10" s="1323"/>
      <c r="CB10" s="1323">
        <f t="shared" si="32"/>
        <v>30</v>
      </c>
      <c r="CC10" s="1323"/>
      <c r="CD10" s="1323">
        <f t="shared" si="33"/>
        <v>30</v>
      </c>
      <c r="CE10" s="1323"/>
      <c r="CF10" s="1323">
        <f t="shared" si="34"/>
        <v>30</v>
      </c>
      <c r="CG10" s="1323"/>
      <c r="CH10" s="1323">
        <f t="shared" si="35"/>
        <v>30</v>
      </c>
      <c r="CI10" s="1323"/>
      <c r="CJ10" s="1323">
        <f t="shared" si="36"/>
        <v>30</v>
      </c>
      <c r="CK10" s="1323"/>
      <c r="CL10" s="1323">
        <f t="shared" si="37"/>
        <v>30</v>
      </c>
      <c r="CM10" s="1323"/>
      <c r="CN10" s="1323">
        <f t="shared" si="38"/>
        <v>30</v>
      </c>
      <c r="CO10" s="1323"/>
      <c r="CP10" s="1323">
        <f t="shared" si="39"/>
        <v>30</v>
      </c>
      <c r="CQ10" s="1323"/>
      <c r="CR10" s="1323">
        <f t="shared" si="40"/>
        <v>30</v>
      </c>
      <c r="CS10" s="1323"/>
      <c r="CT10" s="1323">
        <f t="shared" si="41"/>
        <v>30</v>
      </c>
      <c r="CU10" s="1323"/>
      <c r="CV10" s="1323">
        <f t="shared" si="42"/>
        <v>30</v>
      </c>
      <c r="CW10" s="1323"/>
      <c r="CX10" s="1323">
        <f t="shared" si="43"/>
        <v>30</v>
      </c>
      <c r="CY10" s="1323"/>
      <c r="CZ10" s="1323">
        <f t="shared" si="44"/>
        <v>30</v>
      </c>
      <c r="DA10" s="1323"/>
      <c r="DB10" s="1323">
        <f t="shared" si="45"/>
        <v>30</v>
      </c>
      <c r="DC10" s="1323"/>
      <c r="DD10" s="1323">
        <f t="shared" si="46"/>
        <v>30</v>
      </c>
      <c r="DE10" s="1323"/>
      <c r="DF10" s="1323">
        <f t="shared" si="47"/>
        <v>30</v>
      </c>
      <c r="DG10" s="1323"/>
      <c r="DH10" s="1323">
        <f t="shared" si="48"/>
        <v>30</v>
      </c>
      <c r="DI10" s="1323"/>
      <c r="DJ10" s="1323">
        <f t="shared" si="48"/>
        <v>30</v>
      </c>
      <c r="DK10" s="1323"/>
      <c r="DL10" s="1323">
        <f t="shared" si="48"/>
        <v>30</v>
      </c>
      <c r="DM10" s="1323"/>
      <c r="DN10" s="1323">
        <f t="shared" si="48"/>
        <v>30</v>
      </c>
      <c r="DO10" s="1323"/>
      <c r="DP10" s="1323">
        <f t="shared" si="48"/>
        <v>30</v>
      </c>
      <c r="DQ10" s="1323"/>
      <c r="DR10" s="1323">
        <f t="shared" si="48"/>
        <v>30</v>
      </c>
      <c r="DS10" s="1323"/>
      <c r="DT10" s="1323">
        <f t="shared" si="48"/>
        <v>30</v>
      </c>
      <c r="DU10" s="1323"/>
      <c r="DV10" s="1323">
        <f t="shared" si="48"/>
        <v>30</v>
      </c>
      <c r="DW10" s="1323"/>
      <c r="DX10" s="1323">
        <f t="shared" si="49"/>
        <v>30</v>
      </c>
      <c r="DY10" s="1323"/>
      <c r="DZ10" s="1323">
        <f t="shared" si="49"/>
        <v>30</v>
      </c>
      <c r="EA10" s="1323"/>
      <c r="EB10" s="1323">
        <f t="shared" si="49"/>
        <v>30</v>
      </c>
      <c r="EC10" s="1323"/>
      <c r="ED10" s="1323">
        <f t="shared" si="50"/>
        <v>30</v>
      </c>
      <c r="EE10" s="1323"/>
      <c r="EF10" s="1323">
        <f t="shared" si="50"/>
        <v>30</v>
      </c>
      <c r="EG10" s="1323"/>
      <c r="EH10" s="1323">
        <f t="shared" si="51"/>
        <v>30</v>
      </c>
      <c r="EI10" s="1323"/>
      <c r="EJ10" s="1323">
        <f t="shared" si="52"/>
        <v>30</v>
      </c>
      <c r="EK10" s="1323"/>
      <c r="EL10" s="1323">
        <f t="shared" si="53"/>
        <v>30</v>
      </c>
      <c r="EM10" s="1323"/>
      <c r="EN10" s="1323">
        <f t="shared" si="54"/>
        <v>30</v>
      </c>
      <c r="EO10" s="1323"/>
      <c r="EP10" s="1323">
        <f t="shared" si="54"/>
        <v>30</v>
      </c>
      <c r="EQ10" s="1323"/>
      <c r="ER10" s="1323">
        <f t="shared" si="55"/>
        <v>30</v>
      </c>
      <c r="ES10" s="1323"/>
      <c r="ET10" s="1323">
        <f t="shared" si="56"/>
        <v>30</v>
      </c>
      <c r="EU10" s="1323"/>
      <c r="EV10" s="1323">
        <f t="shared" si="57"/>
        <v>30</v>
      </c>
      <c r="EW10" s="1323"/>
      <c r="EX10" s="1323">
        <f t="shared" si="58"/>
        <v>30</v>
      </c>
      <c r="EY10" s="1323"/>
      <c r="EZ10" s="1323">
        <f t="shared" si="59"/>
        <v>30</v>
      </c>
      <c r="FA10" s="1323"/>
      <c r="FB10" s="1323">
        <f t="shared" si="60"/>
        <v>30</v>
      </c>
      <c r="FC10" s="1323"/>
      <c r="FD10" s="1323">
        <f t="shared" si="61"/>
        <v>30</v>
      </c>
      <c r="FE10" s="1323"/>
      <c r="FF10" s="1323">
        <f t="shared" si="62"/>
        <v>30</v>
      </c>
      <c r="FG10" s="1323"/>
      <c r="FH10" s="1323">
        <f t="shared" si="63"/>
        <v>30</v>
      </c>
      <c r="FI10" s="1323"/>
      <c r="FJ10" s="1323">
        <f t="shared" si="64"/>
        <v>30</v>
      </c>
      <c r="FK10" s="1323"/>
      <c r="FL10" s="1323">
        <f t="shared" si="65"/>
        <v>30</v>
      </c>
      <c r="FM10" s="1323"/>
      <c r="FN10" s="1323">
        <f t="shared" si="66"/>
        <v>30</v>
      </c>
      <c r="FO10" s="1323"/>
      <c r="FP10" s="1323">
        <f t="shared" si="67"/>
        <v>30</v>
      </c>
      <c r="FQ10" s="1323"/>
      <c r="FR10" s="1323">
        <f t="shared" si="68"/>
        <v>30</v>
      </c>
      <c r="FS10" s="1323"/>
      <c r="FT10" s="1323">
        <f t="shared" si="69"/>
        <v>30</v>
      </c>
      <c r="FU10" s="1323"/>
      <c r="FV10" s="1323">
        <f t="shared" si="70"/>
        <v>30</v>
      </c>
      <c r="FW10" s="1323"/>
      <c r="FX10" s="1323">
        <f t="shared" si="71"/>
        <v>30</v>
      </c>
      <c r="FY10" s="1323"/>
      <c r="FZ10" s="1323">
        <f t="shared" si="72"/>
        <v>30</v>
      </c>
      <c r="GA10" s="1323"/>
      <c r="GB10" s="1323">
        <f t="shared" si="73"/>
        <v>30</v>
      </c>
      <c r="GC10" s="1323"/>
      <c r="GD10" s="1323">
        <f t="shared" si="74"/>
        <v>30</v>
      </c>
      <c r="GE10" s="1323"/>
      <c r="GF10" s="1323">
        <f t="shared" si="75"/>
        <v>30</v>
      </c>
      <c r="GG10" s="1323"/>
      <c r="GH10" s="1323">
        <f t="shared" si="76"/>
        <v>30</v>
      </c>
      <c r="GI10" s="1323"/>
      <c r="GJ10" s="1323">
        <f t="shared" si="77"/>
        <v>30</v>
      </c>
      <c r="GK10" s="1323"/>
      <c r="GL10" s="1323">
        <f t="shared" si="78"/>
        <v>30</v>
      </c>
      <c r="GM10" s="1323"/>
      <c r="GN10" s="1323">
        <f t="shared" si="79"/>
        <v>30</v>
      </c>
      <c r="GO10" s="1323"/>
      <c r="GP10" s="1323">
        <f t="shared" si="80"/>
        <v>30</v>
      </c>
      <c r="GQ10" s="1323"/>
      <c r="GR10" s="1323">
        <f t="shared" si="81"/>
        <v>30</v>
      </c>
      <c r="GS10" s="1323"/>
      <c r="GT10" s="1323">
        <f t="shared" si="82"/>
        <v>30</v>
      </c>
      <c r="GU10" s="1323"/>
      <c r="GV10" s="1323">
        <f t="shared" si="83"/>
        <v>30</v>
      </c>
      <c r="GW10" s="1323"/>
      <c r="GX10" s="1323">
        <f t="shared" si="84"/>
        <v>30</v>
      </c>
      <c r="GY10" s="1323"/>
      <c r="GZ10" s="1323">
        <f t="shared" si="85"/>
        <v>30</v>
      </c>
    </row>
    <row r="11" spans="1:208" s="1324" customFormat="1" hidden="1">
      <c r="A11" s="1318"/>
      <c r="B11" s="1318"/>
      <c r="C11" s="1321"/>
      <c r="D11" s="1321">
        <f t="shared" si="1"/>
        <v>0</v>
      </c>
      <c r="E11" s="1321"/>
      <c r="F11" s="1321">
        <f t="shared" si="0"/>
        <v>0</v>
      </c>
      <c r="G11" s="1322"/>
      <c r="H11" s="1322">
        <f t="shared" si="0"/>
        <v>0</v>
      </c>
      <c r="I11" s="1322"/>
      <c r="J11" s="1323">
        <f t="shared" si="0"/>
        <v>0</v>
      </c>
      <c r="K11" s="1323"/>
      <c r="L11" s="1323">
        <f t="shared" si="0"/>
        <v>0</v>
      </c>
      <c r="M11" s="1323"/>
      <c r="N11" s="1323">
        <f t="shared" si="0"/>
        <v>0</v>
      </c>
      <c r="O11" s="1323"/>
      <c r="P11" s="1323">
        <f t="shared" si="0"/>
        <v>0</v>
      </c>
      <c r="Q11" s="1323"/>
      <c r="R11" s="1323">
        <f t="shared" si="0"/>
        <v>0</v>
      </c>
      <c r="S11" s="1323"/>
      <c r="T11" s="1323">
        <f t="shared" si="2"/>
        <v>0</v>
      </c>
      <c r="U11" s="1323"/>
      <c r="V11" s="1323">
        <f t="shared" si="3"/>
        <v>0</v>
      </c>
      <c r="W11" s="1323"/>
      <c r="X11" s="1323">
        <f t="shared" si="4"/>
        <v>0</v>
      </c>
      <c r="Y11" s="1323"/>
      <c r="Z11" s="1323">
        <f t="shared" si="5"/>
        <v>0</v>
      </c>
      <c r="AA11" s="1323"/>
      <c r="AB11" s="1323">
        <f t="shared" si="6"/>
        <v>0</v>
      </c>
      <c r="AC11" s="1323"/>
      <c r="AD11" s="1323">
        <f t="shared" si="7"/>
        <v>0</v>
      </c>
      <c r="AE11" s="1323"/>
      <c r="AF11" s="1323">
        <f t="shared" si="8"/>
        <v>0</v>
      </c>
      <c r="AG11" s="1323"/>
      <c r="AH11" s="1323">
        <f t="shared" si="9"/>
        <v>0</v>
      </c>
      <c r="AI11" s="1323"/>
      <c r="AJ11" s="1323">
        <f t="shared" si="10"/>
        <v>0</v>
      </c>
      <c r="AK11" s="1323"/>
      <c r="AL11" s="1323">
        <f t="shared" si="11"/>
        <v>0</v>
      </c>
      <c r="AM11" s="1323"/>
      <c r="AN11" s="1323">
        <f t="shared" si="12"/>
        <v>0</v>
      </c>
      <c r="AO11" s="1323"/>
      <c r="AP11" s="1323">
        <f t="shared" si="13"/>
        <v>0</v>
      </c>
      <c r="AQ11" s="1323"/>
      <c r="AR11" s="1323">
        <f t="shared" si="14"/>
        <v>0</v>
      </c>
      <c r="AS11" s="1323"/>
      <c r="AT11" s="1323">
        <f t="shared" si="15"/>
        <v>0</v>
      </c>
      <c r="AU11" s="1323"/>
      <c r="AV11" s="1323">
        <f t="shared" si="16"/>
        <v>0</v>
      </c>
      <c r="AW11" s="1323"/>
      <c r="AX11" s="1323">
        <f t="shared" si="17"/>
        <v>0</v>
      </c>
      <c r="AY11" s="1323"/>
      <c r="AZ11" s="1323">
        <f t="shared" si="18"/>
        <v>0</v>
      </c>
      <c r="BA11" s="1323"/>
      <c r="BB11" s="1323">
        <f t="shared" si="19"/>
        <v>0</v>
      </c>
      <c r="BC11" s="1323"/>
      <c r="BD11" s="1323">
        <f t="shared" si="20"/>
        <v>0</v>
      </c>
      <c r="BE11" s="1323"/>
      <c r="BF11" s="1323">
        <f t="shared" si="21"/>
        <v>0</v>
      </c>
      <c r="BG11" s="1323"/>
      <c r="BH11" s="1323">
        <f t="shared" si="22"/>
        <v>0</v>
      </c>
      <c r="BI11" s="1323"/>
      <c r="BJ11" s="1323">
        <f t="shared" si="23"/>
        <v>0</v>
      </c>
      <c r="BK11" s="1323"/>
      <c r="BL11" s="1323">
        <f t="shared" si="24"/>
        <v>0</v>
      </c>
      <c r="BM11" s="1323"/>
      <c r="BN11" s="1323">
        <f t="shared" si="25"/>
        <v>0</v>
      </c>
      <c r="BO11" s="1323"/>
      <c r="BP11" s="1323">
        <f t="shared" si="26"/>
        <v>0</v>
      </c>
      <c r="BQ11" s="1323"/>
      <c r="BR11" s="1323">
        <f t="shared" si="27"/>
        <v>0</v>
      </c>
      <c r="BS11" s="1323"/>
      <c r="BT11" s="1323">
        <f t="shared" si="28"/>
        <v>0</v>
      </c>
      <c r="BU11" s="1323"/>
      <c r="BV11" s="1323">
        <f t="shared" si="29"/>
        <v>0</v>
      </c>
      <c r="BW11" s="1323"/>
      <c r="BX11" s="1323">
        <f t="shared" si="30"/>
        <v>0</v>
      </c>
      <c r="BY11" s="1323"/>
      <c r="BZ11" s="1323">
        <f t="shared" si="31"/>
        <v>0</v>
      </c>
      <c r="CA11" s="1323"/>
      <c r="CB11" s="1323">
        <f t="shared" si="32"/>
        <v>0</v>
      </c>
      <c r="CC11" s="1323"/>
      <c r="CD11" s="1323">
        <f t="shared" si="33"/>
        <v>0</v>
      </c>
      <c r="CE11" s="1323"/>
      <c r="CF11" s="1323">
        <f t="shared" si="34"/>
        <v>0</v>
      </c>
      <c r="CG11" s="1323"/>
      <c r="CH11" s="1323">
        <f t="shared" si="35"/>
        <v>0</v>
      </c>
      <c r="CI11" s="1323"/>
      <c r="CJ11" s="1323">
        <f t="shared" si="36"/>
        <v>0</v>
      </c>
      <c r="CK11" s="1323"/>
      <c r="CL11" s="1323">
        <f t="shared" si="37"/>
        <v>0</v>
      </c>
      <c r="CM11" s="1323"/>
      <c r="CN11" s="1323">
        <f t="shared" si="38"/>
        <v>0</v>
      </c>
      <c r="CO11" s="1323"/>
      <c r="CP11" s="1323">
        <f t="shared" si="39"/>
        <v>0</v>
      </c>
      <c r="CQ11" s="1323"/>
      <c r="CR11" s="1323">
        <f t="shared" si="40"/>
        <v>0</v>
      </c>
      <c r="CS11" s="1323"/>
      <c r="CT11" s="1323">
        <f t="shared" si="41"/>
        <v>0</v>
      </c>
      <c r="CU11" s="1323"/>
      <c r="CV11" s="1323">
        <f t="shared" si="42"/>
        <v>0</v>
      </c>
      <c r="CW11" s="1323"/>
      <c r="CX11" s="1323">
        <f t="shared" si="43"/>
        <v>0</v>
      </c>
      <c r="CY11" s="1323"/>
      <c r="CZ11" s="1323">
        <f t="shared" si="44"/>
        <v>0</v>
      </c>
      <c r="DA11" s="1323"/>
      <c r="DB11" s="1323">
        <f t="shared" si="45"/>
        <v>0</v>
      </c>
      <c r="DC11" s="1323"/>
      <c r="DD11" s="1323">
        <f t="shared" si="46"/>
        <v>0</v>
      </c>
      <c r="DE11" s="1323"/>
      <c r="DF11" s="1323">
        <f t="shared" si="47"/>
        <v>0</v>
      </c>
      <c r="DG11" s="1323"/>
      <c r="DH11" s="1323">
        <f t="shared" si="48"/>
        <v>0</v>
      </c>
      <c r="DI11" s="1323"/>
      <c r="DJ11" s="1323">
        <f t="shared" si="48"/>
        <v>0</v>
      </c>
      <c r="DK11" s="1323"/>
      <c r="DL11" s="1323">
        <f t="shared" si="48"/>
        <v>0</v>
      </c>
      <c r="DM11" s="1323"/>
      <c r="DN11" s="1323">
        <f t="shared" si="48"/>
        <v>0</v>
      </c>
      <c r="DO11" s="1323"/>
      <c r="DP11" s="1323">
        <f t="shared" si="48"/>
        <v>0</v>
      </c>
      <c r="DQ11" s="1323"/>
      <c r="DR11" s="1323">
        <f t="shared" si="48"/>
        <v>0</v>
      </c>
      <c r="DS11" s="1323"/>
      <c r="DT11" s="1323">
        <f t="shared" si="48"/>
        <v>0</v>
      </c>
      <c r="DU11" s="1323"/>
      <c r="DV11" s="1323">
        <f t="shared" si="48"/>
        <v>0</v>
      </c>
      <c r="DW11" s="1323"/>
      <c r="DX11" s="1323">
        <f t="shared" si="49"/>
        <v>0</v>
      </c>
      <c r="DY11" s="1323"/>
      <c r="DZ11" s="1323">
        <f t="shared" si="49"/>
        <v>0</v>
      </c>
      <c r="EA11" s="1323"/>
      <c r="EB11" s="1323">
        <f t="shared" si="49"/>
        <v>0</v>
      </c>
      <c r="EC11" s="1323"/>
      <c r="ED11" s="1323">
        <f t="shared" si="50"/>
        <v>0</v>
      </c>
      <c r="EE11" s="1323"/>
      <c r="EF11" s="1323">
        <f t="shared" si="50"/>
        <v>0</v>
      </c>
      <c r="EG11" s="1323"/>
      <c r="EH11" s="1323">
        <f t="shared" si="51"/>
        <v>0</v>
      </c>
      <c r="EI11" s="1323"/>
      <c r="EJ11" s="1323">
        <f t="shared" si="52"/>
        <v>0</v>
      </c>
      <c r="EK11" s="1323"/>
      <c r="EL11" s="1323">
        <f t="shared" si="53"/>
        <v>0</v>
      </c>
      <c r="EM11" s="1323"/>
      <c r="EN11" s="1323">
        <f t="shared" si="54"/>
        <v>0</v>
      </c>
      <c r="EO11" s="1323"/>
      <c r="EP11" s="1323">
        <f t="shared" si="54"/>
        <v>0</v>
      </c>
      <c r="EQ11" s="1323"/>
      <c r="ER11" s="1323">
        <f t="shared" si="55"/>
        <v>0</v>
      </c>
      <c r="ES11" s="1323"/>
      <c r="ET11" s="1323">
        <f t="shared" si="56"/>
        <v>0</v>
      </c>
      <c r="EU11" s="1323"/>
      <c r="EV11" s="1323">
        <f t="shared" si="57"/>
        <v>0</v>
      </c>
      <c r="EW11" s="1323"/>
      <c r="EX11" s="1323">
        <f t="shared" si="58"/>
        <v>0</v>
      </c>
      <c r="EY11" s="1323"/>
      <c r="EZ11" s="1323">
        <f t="shared" si="59"/>
        <v>0</v>
      </c>
      <c r="FA11" s="1323"/>
      <c r="FB11" s="1323">
        <f t="shared" si="60"/>
        <v>0</v>
      </c>
      <c r="FC11" s="1323"/>
      <c r="FD11" s="1323">
        <f t="shared" si="61"/>
        <v>0</v>
      </c>
      <c r="FE11" s="1323"/>
      <c r="FF11" s="1323">
        <f t="shared" si="62"/>
        <v>0</v>
      </c>
      <c r="FG11" s="1323"/>
      <c r="FH11" s="1323">
        <f t="shared" si="63"/>
        <v>0</v>
      </c>
      <c r="FI11" s="1323"/>
      <c r="FJ11" s="1323">
        <f t="shared" si="64"/>
        <v>0</v>
      </c>
      <c r="FK11" s="1323"/>
      <c r="FL11" s="1323">
        <f t="shared" si="65"/>
        <v>0</v>
      </c>
      <c r="FM11" s="1323"/>
      <c r="FN11" s="1323">
        <f t="shared" si="66"/>
        <v>0</v>
      </c>
      <c r="FO11" s="1323"/>
      <c r="FP11" s="1323">
        <f t="shared" si="67"/>
        <v>0</v>
      </c>
      <c r="FQ11" s="1323"/>
      <c r="FR11" s="1323">
        <f t="shared" si="68"/>
        <v>0</v>
      </c>
      <c r="FS11" s="1323"/>
      <c r="FT11" s="1323">
        <f t="shared" si="69"/>
        <v>0</v>
      </c>
      <c r="FU11" s="1323"/>
      <c r="FV11" s="1323">
        <f t="shared" si="70"/>
        <v>0</v>
      </c>
      <c r="FW11" s="1323"/>
      <c r="FX11" s="1323">
        <f t="shared" si="71"/>
        <v>0</v>
      </c>
      <c r="FY11" s="1323"/>
      <c r="FZ11" s="1323">
        <f t="shared" si="72"/>
        <v>0</v>
      </c>
      <c r="GA11" s="1323"/>
      <c r="GB11" s="1323">
        <f t="shared" si="73"/>
        <v>0</v>
      </c>
      <c r="GC11" s="1323"/>
      <c r="GD11" s="1323">
        <f t="shared" si="74"/>
        <v>0</v>
      </c>
      <c r="GE11" s="1323"/>
      <c r="GF11" s="1323">
        <f t="shared" si="75"/>
        <v>0</v>
      </c>
      <c r="GG11" s="1323"/>
      <c r="GH11" s="1323">
        <f t="shared" si="76"/>
        <v>0</v>
      </c>
      <c r="GI11" s="1323"/>
      <c r="GJ11" s="1323">
        <f t="shared" si="77"/>
        <v>0</v>
      </c>
      <c r="GK11" s="1323"/>
      <c r="GL11" s="1323">
        <f t="shared" si="78"/>
        <v>0</v>
      </c>
      <c r="GM11" s="1323"/>
      <c r="GN11" s="1323">
        <f t="shared" si="79"/>
        <v>0</v>
      </c>
      <c r="GO11" s="1323"/>
      <c r="GP11" s="1323">
        <f t="shared" si="80"/>
        <v>0</v>
      </c>
      <c r="GQ11" s="1323"/>
      <c r="GR11" s="1323">
        <f t="shared" si="81"/>
        <v>0</v>
      </c>
      <c r="GS11" s="1323"/>
      <c r="GT11" s="1323">
        <f t="shared" si="82"/>
        <v>0</v>
      </c>
      <c r="GU11" s="1323"/>
      <c r="GV11" s="1323">
        <f t="shared" si="83"/>
        <v>0</v>
      </c>
      <c r="GW11" s="1323"/>
      <c r="GX11" s="1323">
        <f t="shared" si="84"/>
        <v>0</v>
      </c>
      <c r="GY11" s="1323"/>
      <c r="GZ11" s="1323">
        <f t="shared" si="85"/>
        <v>0</v>
      </c>
    </row>
    <row r="12" spans="1:208" s="1324" customFormat="1" hidden="1">
      <c r="A12" s="1318"/>
      <c r="B12" s="1318"/>
      <c r="C12" s="1321"/>
      <c r="D12" s="1321">
        <f t="shared" si="1"/>
        <v>0</v>
      </c>
      <c r="E12" s="1321"/>
      <c r="F12" s="1321">
        <f t="shared" si="0"/>
        <v>0</v>
      </c>
      <c r="G12" s="1322"/>
      <c r="H12" s="1322">
        <f t="shared" si="0"/>
        <v>0</v>
      </c>
      <c r="I12" s="1322"/>
      <c r="J12" s="1323">
        <f t="shared" si="0"/>
        <v>0</v>
      </c>
      <c r="K12" s="1323"/>
      <c r="L12" s="1323">
        <f t="shared" si="0"/>
        <v>0</v>
      </c>
      <c r="M12" s="1323"/>
      <c r="N12" s="1323">
        <f t="shared" si="0"/>
        <v>0</v>
      </c>
      <c r="O12" s="1323"/>
      <c r="P12" s="1323">
        <f t="shared" si="0"/>
        <v>0</v>
      </c>
      <c r="Q12" s="1323"/>
      <c r="R12" s="1323">
        <f t="shared" si="0"/>
        <v>0</v>
      </c>
      <c r="S12" s="1323"/>
      <c r="T12" s="1323">
        <f t="shared" si="2"/>
        <v>0</v>
      </c>
      <c r="U12" s="1323"/>
      <c r="V12" s="1323">
        <f t="shared" si="3"/>
        <v>0</v>
      </c>
      <c r="W12" s="1323"/>
      <c r="X12" s="1323">
        <f t="shared" si="4"/>
        <v>0</v>
      </c>
      <c r="Y12" s="1323"/>
      <c r="Z12" s="1323">
        <f t="shared" si="5"/>
        <v>0</v>
      </c>
      <c r="AA12" s="1323"/>
      <c r="AB12" s="1323">
        <f t="shared" si="6"/>
        <v>0</v>
      </c>
      <c r="AC12" s="1323"/>
      <c r="AD12" s="1323">
        <f t="shared" si="7"/>
        <v>0</v>
      </c>
      <c r="AE12" s="1323"/>
      <c r="AF12" s="1323">
        <f t="shared" si="8"/>
        <v>0</v>
      </c>
      <c r="AG12" s="1323"/>
      <c r="AH12" s="1323">
        <f t="shared" si="9"/>
        <v>0</v>
      </c>
      <c r="AI12" s="1323"/>
      <c r="AJ12" s="1323">
        <f t="shared" si="10"/>
        <v>0</v>
      </c>
      <c r="AK12" s="1323"/>
      <c r="AL12" s="1323">
        <f t="shared" si="11"/>
        <v>0</v>
      </c>
      <c r="AM12" s="1323"/>
      <c r="AN12" s="1323">
        <f t="shared" si="12"/>
        <v>0</v>
      </c>
      <c r="AO12" s="1323"/>
      <c r="AP12" s="1323">
        <f t="shared" si="13"/>
        <v>0</v>
      </c>
      <c r="AQ12" s="1323"/>
      <c r="AR12" s="1323">
        <f t="shared" si="14"/>
        <v>0</v>
      </c>
      <c r="AS12" s="1323"/>
      <c r="AT12" s="1323">
        <f t="shared" si="15"/>
        <v>0</v>
      </c>
      <c r="AU12" s="1323"/>
      <c r="AV12" s="1323">
        <f t="shared" si="16"/>
        <v>0</v>
      </c>
      <c r="AW12" s="1323"/>
      <c r="AX12" s="1323">
        <f t="shared" si="17"/>
        <v>0</v>
      </c>
      <c r="AY12" s="1323"/>
      <c r="AZ12" s="1323">
        <f t="shared" si="18"/>
        <v>0</v>
      </c>
      <c r="BA12" s="1323"/>
      <c r="BB12" s="1323">
        <f t="shared" si="19"/>
        <v>0</v>
      </c>
      <c r="BC12" s="1323"/>
      <c r="BD12" s="1323">
        <f t="shared" si="20"/>
        <v>0</v>
      </c>
      <c r="BE12" s="1323"/>
      <c r="BF12" s="1323">
        <f t="shared" si="21"/>
        <v>0</v>
      </c>
      <c r="BG12" s="1323"/>
      <c r="BH12" s="1323">
        <f t="shared" si="22"/>
        <v>0</v>
      </c>
      <c r="BI12" s="1323"/>
      <c r="BJ12" s="1323">
        <f t="shared" si="23"/>
        <v>0</v>
      </c>
      <c r="BK12" s="1323"/>
      <c r="BL12" s="1323">
        <f t="shared" si="24"/>
        <v>0</v>
      </c>
      <c r="BM12" s="1323"/>
      <c r="BN12" s="1323">
        <f t="shared" si="25"/>
        <v>0</v>
      </c>
      <c r="BO12" s="1323"/>
      <c r="BP12" s="1323">
        <f t="shared" si="26"/>
        <v>0</v>
      </c>
      <c r="BQ12" s="1323"/>
      <c r="BR12" s="1323">
        <f t="shared" si="27"/>
        <v>0</v>
      </c>
      <c r="BS12" s="1323"/>
      <c r="BT12" s="1323">
        <f t="shared" si="28"/>
        <v>0</v>
      </c>
      <c r="BU12" s="1323"/>
      <c r="BV12" s="1323">
        <f t="shared" si="29"/>
        <v>0</v>
      </c>
      <c r="BW12" s="1323"/>
      <c r="BX12" s="1323">
        <f t="shared" si="30"/>
        <v>0</v>
      </c>
      <c r="BY12" s="1323"/>
      <c r="BZ12" s="1323">
        <f t="shared" si="31"/>
        <v>0</v>
      </c>
      <c r="CA12" s="1323"/>
      <c r="CB12" s="1323">
        <f t="shared" si="32"/>
        <v>0</v>
      </c>
      <c r="CC12" s="1323"/>
      <c r="CD12" s="1323">
        <f t="shared" si="33"/>
        <v>0</v>
      </c>
      <c r="CE12" s="1323"/>
      <c r="CF12" s="1323">
        <f t="shared" si="34"/>
        <v>0</v>
      </c>
      <c r="CG12" s="1323"/>
      <c r="CH12" s="1323">
        <f t="shared" si="35"/>
        <v>0</v>
      </c>
      <c r="CI12" s="1323"/>
      <c r="CJ12" s="1323">
        <f t="shared" si="36"/>
        <v>0</v>
      </c>
      <c r="CK12" s="1323"/>
      <c r="CL12" s="1323">
        <f t="shared" si="37"/>
        <v>0</v>
      </c>
      <c r="CM12" s="1323"/>
      <c r="CN12" s="1323">
        <f t="shared" si="38"/>
        <v>0</v>
      </c>
      <c r="CO12" s="1323"/>
      <c r="CP12" s="1323">
        <f t="shared" si="39"/>
        <v>0</v>
      </c>
      <c r="CQ12" s="1323"/>
      <c r="CR12" s="1323">
        <f t="shared" si="40"/>
        <v>0</v>
      </c>
      <c r="CS12" s="1323"/>
      <c r="CT12" s="1323">
        <f t="shared" si="41"/>
        <v>0</v>
      </c>
      <c r="CU12" s="1323"/>
      <c r="CV12" s="1323">
        <f t="shared" si="42"/>
        <v>0</v>
      </c>
      <c r="CW12" s="1323"/>
      <c r="CX12" s="1323">
        <f t="shared" si="43"/>
        <v>0</v>
      </c>
      <c r="CY12" s="1323"/>
      <c r="CZ12" s="1323">
        <f t="shared" si="44"/>
        <v>0</v>
      </c>
      <c r="DA12" s="1323"/>
      <c r="DB12" s="1323">
        <f t="shared" si="45"/>
        <v>0</v>
      </c>
      <c r="DC12" s="1323"/>
      <c r="DD12" s="1323">
        <f t="shared" si="46"/>
        <v>0</v>
      </c>
      <c r="DE12" s="1323"/>
      <c r="DF12" s="1323">
        <f t="shared" si="47"/>
        <v>0</v>
      </c>
      <c r="DG12" s="1323"/>
      <c r="DH12" s="1323">
        <f t="shared" si="48"/>
        <v>0</v>
      </c>
      <c r="DI12" s="1323"/>
      <c r="DJ12" s="1323">
        <f t="shared" si="48"/>
        <v>0</v>
      </c>
      <c r="DK12" s="1323"/>
      <c r="DL12" s="1323">
        <f t="shared" si="48"/>
        <v>0</v>
      </c>
      <c r="DM12" s="1323"/>
      <c r="DN12" s="1323">
        <f t="shared" si="48"/>
        <v>0</v>
      </c>
      <c r="DO12" s="1323"/>
      <c r="DP12" s="1323">
        <f t="shared" si="48"/>
        <v>0</v>
      </c>
      <c r="DQ12" s="1323"/>
      <c r="DR12" s="1323">
        <f t="shared" si="48"/>
        <v>0</v>
      </c>
      <c r="DS12" s="1323"/>
      <c r="DT12" s="1323">
        <f t="shared" si="48"/>
        <v>0</v>
      </c>
      <c r="DU12" s="1323"/>
      <c r="DV12" s="1323">
        <f t="shared" si="48"/>
        <v>0</v>
      </c>
      <c r="DW12" s="1323"/>
      <c r="DX12" s="1323">
        <f t="shared" si="49"/>
        <v>0</v>
      </c>
      <c r="DY12" s="1323"/>
      <c r="DZ12" s="1323">
        <f t="shared" si="49"/>
        <v>0</v>
      </c>
      <c r="EA12" s="1323"/>
      <c r="EB12" s="1323">
        <f t="shared" si="49"/>
        <v>0</v>
      </c>
      <c r="EC12" s="1323"/>
      <c r="ED12" s="1323">
        <f t="shared" si="50"/>
        <v>0</v>
      </c>
      <c r="EE12" s="1323"/>
      <c r="EF12" s="1323">
        <f t="shared" si="50"/>
        <v>0</v>
      </c>
      <c r="EG12" s="1323"/>
      <c r="EH12" s="1323">
        <f t="shared" si="51"/>
        <v>0</v>
      </c>
      <c r="EI12" s="1323"/>
      <c r="EJ12" s="1323">
        <f t="shared" si="52"/>
        <v>0</v>
      </c>
      <c r="EK12" s="1323"/>
      <c r="EL12" s="1323">
        <f t="shared" si="53"/>
        <v>0</v>
      </c>
      <c r="EM12" s="1323"/>
      <c r="EN12" s="1323">
        <f t="shared" si="54"/>
        <v>0</v>
      </c>
      <c r="EO12" s="1323"/>
      <c r="EP12" s="1323">
        <f t="shared" si="54"/>
        <v>0</v>
      </c>
      <c r="EQ12" s="1323"/>
      <c r="ER12" s="1323">
        <f t="shared" si="55"/>
        <v>0</v>
      </c>
      <c r="ES12" s="1323"/>
      <c r="ET12" s="1323">
        <f t="shared" si="56"/>
        <v>0</v>
      </c>
      <c r="EU12" s="1323"/>
      <c r="EV12" s="1323">
        <f t="shared" si="57"/>
        <v>0</v>
      </c>
      <c r="EW12" s="1323"/>
      <c r="EX12" s="1323">
        <f t="shared" si="58"/>
        <v>0</v>
      </c>
      <c r="EY12" s="1323"/>
      <c r="EZ12" s="1323">
        <f t="shared" si="59"/>
        <v>0</v>
      </c>
      <c r="FA12" s="1323"/>
      <c r="FB12" s="1323">
        <f t="shared" si="60"/>
        <v>0</v>
      </c>
      <c r="FC12" s="1323"/>
      <c r="FD12" s="1323">
        <f t="shared" si="61"/>
        <v>0</v>
      </c>
      <c r="FE12" s="1323"/>
      <c r="FF12" s="1323">
        <f t="shared" si="62"/>
        <v>0</v>
      </c>
      <c r="FG12" s="1323"/>
      <c r="FH12" s="1323">
        <f t="shared" si="63"/>
        <v>0</v>
      </c>
      <c r="FI12" s="1323"/>
      <c r="FJ12" s="1323">
        <f t="shared" si="64"/>
        <v>0</v>
      </c>
      <c r="FK12" s="1323"/>
      <c r="FL12" s="1323">
        <f t="shared" si="65"/>
        <v>0</v>
      </c>
      <c r="FM12" s="1323"/>
      <c r="FN12" s="1323">
        <f t="shared" si="66"/>
        <v>0</v>
      </c>
      <c r="FO12" s="1323"/>
      <c r="FP12" s="1323">
        <f t="shared" si="67"/>
        <v>0</v>
      </c>
      <c r="FQ12" s="1323"/>
      <c r="FR12" s="1323">
        <f t="shared" si="68"/>
        <v>0</v>
      </c>
      <c r="FS12" s="1323"/>
      <c r="FT12" s="1323">
        <f t="shared" si="69"/>
        <v>0</v>
      </c>
      <c r="FU12" s="1323"/>
      <c r="FV12" s="1323">
        <f t="shared" si="70"/>
        <v>0</v>
      </c>
      <c r="FW12" s="1323"/>
      <c r="FX12" s="1323">
        <f t="shared" si="71"/>
        <v>0</v>
      </c>
      <c r="FY12" s="1323"/>
      <c r="FZ12" s="1323">
        <f t="shared" si="72"/>
        <v>0</v>
      </c>
      <c r="GA12" s="1323"/>
      <c r="GB12" s="1323">
        <f t="shared" si="73"/>
        <v>0</v>
      </c>
      <c r="GC12" s="1323"/>
      <c r="GD12" s="1323">
        <f t="shared" si="74"/>
        <v>0</v>
      </c>
      <c r="GE12" s="1323"/>
      <c r="GF12" s="1323">
        <f t="shared" si="75"/>
        <v>0</v>
      </c>
      <c r="GG12" s="1323"/>
      <c r="GH12" s="1323">
        <f t="shared" si="76"/>
        <v>0</v>
      </c>
      <c r="GI12" s="1323"/>
      <c r="GJ12" s="1323">
        <f t="shared" si="77"/>
        <v>0</v>
      </c>
      <c r="GK12" s="1323"/>
      <c r="GL12" s="1323">
        <f t="shared" si="78"/>
        <v>0</v>
      </c>
      <c r="GM12" s="1323"/>
      <c r="GN12" s="1323">
        <f t="shared" si="79"/>
        <v>0</v>
      </c>
      <c r="GO12" s="1323"/>
      <c r="GP12" s="1323">
        <f t="shared" si="80"/>
        <v>0</v>
      </c>
      <c r="GQ12" s="1323"/>
      <c r="GR12" s="1323">
        <f t="shared" si="81"/>
        <v>0</v>
      </c>
      <c r="GS12" s="1323"/>
      <c r="GT12" s="1323">
        <f t="shared" si="82"/>
        <v>0</v>
      </c>
      <c r="GU12" s="1323"/>
      <c r="GV12" s="1323">
        <f t="shared" si="83"/>
        <v>0</v>
      </c>
      <c r="GW12" s="1323"/>
      <c r="GX12" s="1323">
        <f t="shared" si="84"/>
        <v>0</v>
      </c>
      <c r="GY12" s="1323"/>
      <c r="GZ12" s="1323">
        <f t="shared" si="85"/>
        <v>0</v>
      </c>
    </row>
    <row r="13" spans="1:208" s="1324" customFormat="1" hidden="1">
      <c r="A13" s="1318"/>
      <c r="B13" s="1318"/>
      <c r="C13" s="1321"/>
      <c r="D13" s="1321">
        <f t="shared" si="1"/>
        <v>0</v>
      </c>
      <c r="E13" s="1321"/>
      <c r="F13" s="1321">
        <f t="shared" si="0"/>
        <v>0</v>
      </c>
      <c r="G13" s="1322"/>
      <c r="H13" s="1322">
        <f t="shared" si="0"/>
        <v>0</v>
      </c>
      <c r="I13" s="1322"/>
      <c r="J13" s="1323">
        <f t="shared" si="0"/>
        <v>0</v>
      </c>
      <c r="K13" s="1323"/>
      <c r="L13" s="1323">
        <f t="shared" si="0"/>
        <v>0</v>
      </c>
      <c r="M13" s="1323"/>
      <c r="N13" s="1323">
        <f t="shared" si="0"/>
        <v>0</v>
      </c>
      <c r="O13" s="1323"/>
      <c r="P13" s="1323">
        <f t="shared" si="0"/>
        <v>0</v>
      </c>
      <c r="Q13" s="1323"/>
      <c r="R13" s="1323">
        <f t="shared" si="0"/>
        <v>0</v>
      </c>
      <c r="S13" s="1323"/>
      <c r="T13" s="1323">
        <f t="shared" si="2"/>
        <v>0</v>
      </c>
      <c r="U13" s="1323"/>
      <c r="V13" s="1323">
        <f t="shared" si="3"/>
        <v>0</v>
      </c>
      <c r="W13" s="1323"/>
      <c r="X13" s="1323">
        <f t="shared" si="4"/>
        <v>0</v>
      </c>
      <c r="Y13" s="1323"/>
      <c r="Z13" s="1323">
        <f t="shared" si="5"/>
        <v>0</v>
      </c>
      <c r="AA13" s="1323"/>
      <c r="AB13" s="1323">
        <f t="shared" si="6"/>
        <v>0</v>
      </c>
      <c r="AC13" s="1323"/>
      <c r="AD13" s="1323">
        <f t="shared" si="7"/>
        <v>0</v>
      </c>
      <c r="AE13" s="1323"/>
      <c r="AF13" s="1323">
        <f t="shared" si="8"/>
        <v>0</v>
      </c>
      <c r="AG13" s="1323"/>
      <c r="AH13" s="1323">
        <f t="shared" si="9"/>
        <v>0</v>
      </c>
      <c r="AI13" s="1323"/>
      <c r="AJ13" s="1323">
        <f t="shared" si="10"/>
        <v>0</v>
      </c>
      <c r="AK13" s="1323"/>
      <c r="AL13" s="1323">
        <f t="shared" si="11"/>
        <v>0</v>
      </c>
      <c r="AM13" s="1323"/>
      <c r="AN13" s="1323">
        <f t="shared" si="12"/>
        <v>0</v>
      </c>
      <c r="AO13" s="1323"/>
      <c r="AP13" s="1323">
        <f t="shared" si="13"/>
        <v>0</v>
      </c>
      <c r="AQ13" s="1323"/>
      <c r="AR13" s="1323">
        <f t="shared" si="14"/>
        <v>0</v>
      </c>
      <c r="AS13" s="1323"/>
      <c r="AT13" s="1323">
        <f t="shared" si="15"/>
        <v>0</v>
      </c>
      <c r="AU13" s="1323"/>
      <c r="AV13" s="1323">
        <f t="shared" si="16"/>
        <v>0</v>
      </c>
      <c r="AW13" s="1323"/>
      <c r="AX13" s="1323">
        <f t="shared" si="17"/>
        <v>0</v>
      </c>
      <c r="AY13" s="1323"/>
      <c r="AZ13" s="1323">
        <f t="shared" si="18"/>
        <v>0</v>
      </c>
      <c r="BA13" s="1323"/>
      <c r="BB13" s="1323">
        <f t="shared" si="19"/>
        <v>0</v>
      </c>
      <c r="BC13" s="1323"/>
      <c r="BD13" s="1323">
        <f t="shared" si="20"/>
        <v>0</v>
      </c>
      <c r="BE13" s="1323"/>
      <c r="BF13" s="1323">
        <f t="shared" si="21"/>
        <v>0</v>
      </c>
      <c r="BG13" s="1323"/>
      <c r="BH13" s="1323">
        <f t="shared" si="22"/>
        <v>0</v>
      </c>
      <c r="BI13" s="1323"/>
      <c r="BJ13" s="1323">
        <f t="shared" si="23"/>
        <v>0</v>
      </c>
      <c r="BK13" s="1323"/>
      <c r="BL13" s="1323">
        <f t="shared" si="24"/>
        <v>0</v>
      </c>
      <c r="BM13" s="1323"/>
      <c r="BN13" s="1323">
        <f t="shared" si="25"/>
        <v>0</v>
      </c>
      <c r="BO13" s="1323"/>
      <c r="BP13" s="1323">
        <f t="shared" si="26"/>
        <v>0</v>
      </c>
      <c r="BQ13" s="1323"/>
      <c r="BR13" s="1323">
        <f t="shared" si="27"/>
        <v>0</v>
      </c>
      <c r="BS13" s="1323"/>
      <c r="BT13" s="1323">
        <f t="shared" si="28"/>
        <v>0</v>
      </c>
      <c r="BU13" s="1323"/>
      <c r="BV13" s="1323">
        <f t="shared" si="29"/>
        <v>0</v>
      </c>
      <c r="BW13" s="1323"/>
      <c r="BX13" s="1323">
        <f t="shared" si="30"/>
        <v>0</v>
      </c>
      <c r="BY13" s="1323"/>
      <c r="BZ13" s="1323">
        <f t="shared" si="31"/>
        <v>0</v>
      </c>
      <c r="CA13" s="1323"/>
      <c r="CB13" s="1323">
        <f t="shared" si="32"/>
        <v>0</v>
      </c>
      <c r="CC13" s="1323"/>
      <c r="CD13" s="1323">
        <f t="shared" si="33"/>
        <v>0</v>
      </c>
      <c r="CE13" s="1323"/>
      <c r="CF13" s="1323">
        <f t="shared" si="34"/>
        <v>0</v>
      </c>
      <c r="CG13" s="1323"/>
      <c r="CH13" s="1323">
        <f t="shared" si="35"/>
        <v>0</v>
      </c>
      <c r="CI13" s="1323"/>
      <c r="CJ13" s="1323">
        <f t="shared" si="36"/>
        <v>0</v>
      </c>
      <c r="CK13" s="1323"/>
      <c r="CL13" s="1323">
        <f t="shared" si="37"/>
        <v>0</v>
      </c>
      <c r="CM13" s="1323"/>
      <c r="CN13" s="1323">
        <f t="shared" si="38"/>
        <v>0</v>
      </c>
      <c r="CO13" s="1323"/>
      <c r="CP13" s="1323">
        <f t="shared" si="39"/>
        <v>0</v>
      </c>
      <c r="CQ13" s="1323"/>
      <c r="CR13" s="1323">
        <f t="shared" si="40"/>
        <v>0</v>
      </c>
      <c r="CS13" s="1323"/>
      <c r="CT13" s="1323">
        <f t="shared" si="41"/>
        <v>0</v>
      </c>
      <c r="CU13" s="1323"/>
      <c r="CV13" s="1323">
        <f t="shared" si="42"/>
        <v>0</v>
      </c>
      <c r="CW13" s="1323"/>
      <c r="CX13" s="1323">
        <f t="shared" si="43"/>
        <v>0</v>
      </c>
      <c r="CY13" s="1323"/>
      <c r="CZ13" s="1323">
        <f t="shared" si="44"/>
        <v>0</v>
      </c>
      <c r="DA13" s="1323"/>
      <c r="DB13" s="1323">
        <f t="shared" si="45"/>
        <v>0</v>
      </c>
      <c r="DC13" s="1323"/>
      <c r="DD13" s="1323">
        <f t="shared" si="46"/>
        <v>0</v>
      </c>
      <c r="DE13" s="1323"/>
      <c r="DF13" s="1323">
        <f t="shared" si="47"/>
        <v>0</v>
      </c>
      <c r="DG13" s="1323"/>
      <c r="DH13" s="1323">
        <f t="shared" si="48"/>
        <v>0</v>
      </c>
      <c r="DI13" s="1323"/>
      <c r="DJ13" s="1323">
        <f t="shared" si="48"/>
        <v>0</v>
      </c>
      <c r="DK13" s="1323"/>
      <c r="DL13" s="1323">
        <f t="shared" si="48"/>
        <v>0</v>
      </c>
      <c r="DM13" s="1323"/>
      <c r="DN13" s="1323">
        <f t="shared" si="48"/>
        <v>0</v>
      </c>
      <c r="DO13" s="1323"/>
      <c r="DP13" s="1323">
        <f t="shared" si="48"/>
        <v>0</v>
      </c>
      <c r="DQ13" s="1323"/>
      <c r="DR13" s="1323">
        <f t="shared" si="48"/>
        <v>0</v>
      </c>
      <c r="DS13" s="1323"/>
      <c r="DT13" s="1323">
        <f t="shared" si="48"/>
        <v>0</v>
      </c>
      <c r="DU13" s="1323"/>
      <c r="DV13" s="1323">
        <f t="shared" si="48"/>
        <v>0</v>
      </c>
      <c r="DW13" s="1323"/>
      <c r="DX13" s="1323">
        <f t="shared" si="49"/>
        <v>0</v>
      </c>
      <c r="DY13" s="1323"/>
      <c r="DZ13" s="1323">
        <f t="shared" si="49"/>
        <v>0</v>
      </c>
      <c r="EA13" s="1323"/>
      <c r="EB13" s="1323">
        <f t="shared" si="49"/>
        <v>0</v>
      </c>
      <c r="EC13" s="1323"/>
      <c r="ED13" s="1323">
        <f t="shared" si="50"/>
        <v>0</v>
      </c>
      <c r="EE13" s="1323"/>
      <c r="EF13" s="1323">
        <f t="shared" si="50"/>
        <v>0</v>
      </c>
      <c r="EG13" s="1323"/>
      <c r="EH13" s="1323">
        <f t="shared" si="51"/>
        <v>0</v>
      </c>
      <c r="EI13" s="1323"/>
      <c r="EJ13" s="1323">
        <f t="shared" si="52"/>
        <v>0</v>
      </c>
      <c r="EK13" s="1323"/>
      <c r="EL13" s="1323">
        <f t="shared" si="53"/>
        <v>0</v>
      </c>
      <c r="EM13" s="1323"/>
      <c r="EN13" s="1323">
        <f t="shared" si="54"/>
        <v>0</v>
      </c>
      <c r="EO13" s="1323"/>
      <c r="EP13" s="1323">
        <f t="shared" si="54"/>
        <v>0</v>
      </c>
      <c r="EQ13" s="1323"/>
      <c r="ER13" s="1323">
        <f t="shared" si="55"/>
        <v>0</v>
      </c>
      <c r="ES13" s="1323"/>
      <c r="ET13" s="1323">
        <f t="shared" si="56"/>
        <v>0</v>
      </c>
      <c r="EU13" s="1323"/>
      <c r="EV13" s="1323">
        <f t="shared" si="57"/>
        <v>0</v>
      </c>
      <c r="EW13" s="1323"/>
      <c r="EX13" s="1323">
        <f t="shared" si="58"/>
        <v>0</v>
      </c>
      <c r="EY13" s="1323"/>
      <c r="EZ13" s="1323">
        <f t="shared" si="59"/>
        <v>0</v>
      </c>
      <c r="FA13" s="1323"/>
      <c r="FB13" s="1323">
        <f t="shared" si="60"/>
        <v>0</v>
      </c>
      <c r="FC13" s="1323"/>
      <c r="FD13" s="1323">
        <f t="shared" si="61"/>
        <v>0</v>
      </c>
      <c r="FE13" s="1323"/>
      <c r="FF13" s="1323">
        <f t="shared" si="62"/>
        <v>0</v>
      </c>
      <c r="FG13" s="1323"/>
      <c r="FH13" s="1323">
        <f t="shared" si="63"/>
        <v>0</v>
      </c>
      <c r="FI13" s="1323"/>
      <c r="FJ13" s="1323">
        <f t="shared" si="64"/>
        <v>0</v>
      </c>
      <c r="FK13" s="1323"/>
      <c r="FL13" s="1323">
        <f t="shared" si="65"/>
        <v>0</v>
      </c>
      <c r="FM13" s="1323"/>
      <c r="FN13" s="1323">
        <f t="shared" si="66"/>
        <v>0</v>
      </c>
      <c r="FO13" s="1323"/>
      <c r="FP13" s="1323">
        <f t="shared" si="67"/>
        <v>0</v>
      </c>
      <c r="FQ13" s="1323"/>
      <c r="FR13" s="1323">
        <f t="shared" si="68"/>
        <v>0</v>
      </c>
      <c r="FS13" s="1323"/>
      <c r="FT13" s="1323">
        <f t="shared" si="69"/>
        <v>0</v>
      </c>
      <c r="FU13" s="1323"/>
      <c r="FV13" s="1323">
        <f t="shared" si="70"/>
        <v>0</v>
      </c>
      <c r="FW13" s="1323"/>
      <c r="FX13" s="1323">
        <f t="shared" si="71"/>
        <v>0</v>
      </c>
      <c r="FY13" s="1323"/>
      <c r="FZ13" s="1323">
        <f t="shared" si="72"/>
        <v>0</v>
      </c>
      <c r="GA13" s="1323"/>
      <c r="GB13" s="1323">
        <f t="shared" si="73"/>
        <v>0</v>
      </c>
      <c r="GC13" s="1323"/>
      <c r="GD13" s="1323">
        <f t="shared" si="74"/>
        <v>0</v>
      </c>
      <c r="GE13" s="1323"/>
      <c r="GF13" s="1323">
        <f t="shared" si="75"/>
        <v>0</v>
      </c>
      <c r="GG13" s="1323"/>
      <c r="GH13" s="1323">
        <f t="shared" si="76"/>
        <v>0</v>
      </c>
      <c r="GI13" s="1323"/>
      <c r="GJ13" s="1323">
        <f t="shared" si="77"/>
        <v>0</v>
      </c>
      <c r="GK13" s="1323"/>
      <c r="GL13" s="1323">
        <f t="shared" si="78"/>
        <v>0</v>
      </c>
      <c r="GM13" s="1323"/>
      <c r="GN13" s="1323">
        <f t="shared" si="79"/>
        <v>0</v>
      </c>
      <c r="GO13" s="1323"/>
      <c r="GP13" s="1323">
        <f t="shared" si="80"/>
        <v>0</v>
      </c>
      <c r="GQ13" s="1323"/>
      <c r="GR13" s="1323">
        <f t="shared" si="81"/>
        <v>0</v>
      </c>
      <c r="GS13" s="1323"/>
      <c r="GT13" s="1323">
        <f t="shared" si="82"/>
        <v>0</v>
      </c>
      <c r="GU13" s="1323"/>
      <c r="GV13" s="1323">
        <f t="shared" si="83"/>
        <v>0</v>
      </c>
      <c r="GW13" s="1323"/>
      <c r="GX13" s="1323">
        <f t="shared" si="84"/>
        <v>0</v>
      </c>
      <c r="GY13" s="1323"/>
      <c r="GZ13" s="1323">
        <f t="shared" si="85"/>
        <v>0</v>
      </c>
    </row>
    <row r="14" spans="1:208" s="1324" customFormat="1" hidden="1">
      <c r="A14" s="1318"/>
      <c r="B14" s="1318"/>
      <c r="C14" s="1321"/>
      <c r="D14" s="1321">
        <f t="shared" si="1"/>
        <v>0</v>
      </c>
      <c r="E14" s="1321"/>
      <c r="F14" s="1321">
        <f t="shared" si="0"/>
        <v>0</v>
      </c>
      <c r="G14" s="1322"/>
      <c r="H14" s="1322">
        <f t="shared" si="0"/>
        <v>0</v>
      </c>
      <c r="I14" s="1322"/>
      <c r="J14" s="1323">
        <f t="shared" si="0"/>
        <v>0</v>
      </c>
      <c r="K14" s="1323"/>
      <c r="L14" s="1323">
        <f t="shared" si="0"/>
        <v>0</v>
      </c>
      <c r="M14" s="1323"/>
      <c r="N14" s="1323">
        <f t="shared" si="0"/>
        <v>0</v>
      </c>
      <c r="O14" s="1323"/>
      <c r="P14" s="1323">
        <f t="shared" si="0"/>
        <v>0</v>
      </c>
      <c r="Q14" s="1323"/>
      <c r="R14" s="1323">
        <f t="shared" si="0"/>
        <v>0</v>
      </c>
      <c r="S14" s="1323"/>
      <c r="T14" s="1323">
        <f t="shared" si="2"/>
        <v>0</v>
      </c>
      <c r="U14" s="1323"/>
      <c r="V14" s="1323">
        <f t="shared" si="3"/>
        <v>0</v>
      </c>
      <c r="W14" s="1323"/>
      <c r="X14" s="1323">
        <f t="shared" si="4"/>
        <v>0</v>
      </c>
      <c r="Y14" s="1323"/>
      <c r="Z14" s="1323">
        <f t="shared" si="5"/>
        <v>0</v>
      </c>
      <c r="AA14" s="1323"/>
      <c r="AB14" s="1323">
        <f t="shared" si="6"/>
        <v>0</v>
      </c>
      <c r="AC14" s="1323"/>
      <c r="AD14" s="1323">
        <f t="shared" si="7"/>
        <v>0</v>
      </c>
      <c r="AE14" s="1323"/>
      <c r="AF14" s="1323">
        <f t="shared" si="8"/>
        <v>0</v>
      </c>
      <c r="AG14" s="1323"/>
      <c r="AH14" s="1323">
        <f t="shared" si="9"/>
        <v>0</v>
      </c>
      <c r="AI14" s="1323"/>
      <c r="AJ14" s="1323">
        <f t="shared" si="10"/>
        <v>0</v>
      </c>
      <c r="AK14" s="1323"/>
      <c r="AL14" s="1323">
        <f t="shared" si="11"/>
        <v>0</v>
      </c>
      <c r="AM14" s="1323"/>
      <c r="AN14" s="1323">
        <f t="shared" si="12"/>
        <v>0</v>
      </c>
      <c r="AO14" s="1323"/>
      <c r="AP14" s="1323">
        <f t="shared" si="13"/>
        <v>0</v>
      </c>
      <c r="AQ14" s="1323"/>
      <c r="AR14" s="1323">
        <f t="shared" si="14"/>
        <v>0</v>
      </c>
      <c r="AS14" s="1323"/>
      <c r="AT14" s="1323">
        <f t="shared" si="15"/>
        <v>0</v>
      </c>
      <c r="AU14" s="1323"/>
      <c r="AV14" s="1323">
        <f t="shared" si="16"/>
        <v>0</v>
      </c>
      <c r="AW14" s="1323"/>
      <c r="AX14" s="1323">
        <f t="shared" si="17"/>
        <v>0</v>
      </c>
      <c r="AY14" s="1323"/>
      <c r="AZ14" s="1323">
        <f t="shared" si="18"/>
        <v>0</v>
      </c>
      <c r="BA14" s="1323"/>
      <c r="BB14" s="1323">
        <f t="shared" si="19"/>
        <v>0</v>
      </c>
      <c r="BC14" s="1323"/>
      <c r="BD14" s="1323">
        <f t="shared" si="20"/>
        <v>0</v>
      </c>
      <c r="BE14" s="1323"/>
      <c r="BF14" s="1323">
        <f t="shared" si="21"/>
        <v>0</v>
      </c>
      <c r="BG14" s="1323"/>
      <c r="BH14" s="1323">
        <f t="shared" si="22"/>
        <v>0</v>
      </c>
      <c r="BI14" s="1323"/>
      <c r="BJ14" s="1323">
        <f t="shared" si="23"/>
        <v>0</v>
      </c>
      <c r="BK14" s="1323"/>
      <c r="BL14" s="1323">
        <f t="shared" si="24"/>
        <v>0</v>
      </c>
      <c r="BM14" s="1323"/>
      <c r="BN14" s="1323">
        <f t="shared" si="25"/>
        <v>0</v>
      </c>
      <c r="BO14" s="1323"/>
      <c r="BP14" s="1323">
        <f t="shared" si="26"/>
        <v>0</v>
      </c>
      <c r="BQ14" s="1323"/>
      <c r="BR14" s="1323">
        <f t="shared" si="27"/>
        <v>0</v>
      </c>
      <c r="BS14" s="1323"/>
      <c r="BT14" s="1323">
        <f t="shared" si="28"/>
        <v>0</v>
      </c>
      <c r="BU14" s="1323"/>
      <c r="BV14" s="1323">
        <f t="shared" si="29"/>
        <v>0</v>
      </c>
      <c r="BW14" s="1323"/>
      <c r="BX14" s="1323">
        <f t="shared" si="30"/>
        <v>0</v>
      </c>
      <c r="BY14" s="1323"/>
      <c r="BZ14" s="1323">
        <f t="shared" si="31"/>
        <v>0</v>
      </c>
      <c r="CA14" s="1323"/>
      <c r="CB14" s="1323">
        <f t="shared" si="32"/>
        <v>0</v>
      </c>
      <c r="CC14" s="1323"/>
      <c r="CD14" s="1323">
        <f t="shared" si="33"/>
        <v>0</v>
      </c>
      <c r="CE14" s="1323"/>
      <c r="CF14" s="1323">
        <f t="shared" si="34"/>
        <v>0</v>
      </c>
      <c r="CG14" s="1323"/>
      <c r="CH14" s="1323">
        <f t="shared" si="35"/>
        <v>0</v>
      </c>
      <c r="CI14" s="1323"/>
      <c r="CJ14" s="1323">
        <f t="shared" si="36"/>
        <v>0</v>
      </c>
      <c r="CK14" s="1323"/>
      <c r="CL14" s="1323">
        <f t="shared" si="37"/>
        <v>0</v>
      </c>
      <c r="CM14" s="1323"/>
      <c r="CN14" s="1323">
        <f t="shared" si="38"/>
        <v>0</v>
      </c>
      <c r="CO14" s="1323"/>
      <c r="CP14" s="1323">
        <f t="shared" si="39"/>
        <v>0</v>
      </c>
      <c r="CQ14" s="1323"/>
      <c r="CR14" s="1323">
        <f t="shared" si="40"/>
        <v>0</v>
      </c>
      <c r="CS14" s="1323"/>
      <c r="CT14" s="1323">
        <f t="shared" si="41"/>
        <v>0</v>
      </c>
      <c r="CU14" s="1323"/>
      <c r="CV14" s="1323">
        <f t="shared" si="42"/>
        <v>0</v>
      </c>
      <c r="CW14" s="1323"/>
      <c r="CX14" s="1323">
        <f t="shared" si="43"/>
        <v>0</v>
      </c>
      <c r="CY14" s="1323"/>
      <c r="CZ14" s="1323">
        <f t="shared" si="44"/>
        <v>0</v>
      </c>
      <c r="DA14" s="1323"/>
      <c r="DB14" s="1323">
        <f t="shared" si="45"/>
        <v>0</v>
      </c>
      <c r="DC14" s="1323"/>
      <c r="DD14" s="1323">
        <f t="shared" si="46"/>
        <v>0</v>
      </c>
      <c r="DE14" s="1323"/>
      <c r="DF14" s="1323">
        <f t="shared" si="47"/>
        <v>0</v>
      </c>
      <c r="DG14" s="1323"/>
      <c r="DH14" s="1323">
        <f t="shared" si="48"/>
        <v>0</v>
      </c>
      <c r="DI14" s="1323"/>
      <c r="DJ14" s="1323">
        <f t="shared" si="48"/>
        <v>0</v>
      </c>
      <c r="DK14" s="1323"/>
      <c r="DL14" s="1323">
        <f t="shared" si="48"/>
        <v>0</v>
      </c>
      <c r="DM14" s="1323"/>
      <c r="DN14" s="1323">
        <f t="shared" si="48"/>
        <v>0</v>
      </c>
      <c r="DO14" s="1323"/>
      <c r="DP14" s="1323">
        <f t="shared" si="48"/>
        <v>0</v>
      </c>
      <c r="DQ14" s="1323"/>
      <c r="DR14" s="1323">
        <f t="shared" si="48"/>
        <v>0</v>
      </c>
      <c r="DS14" s="1323"/>
      <c r="DT14" s="1323">
        <f t="shared" si="48"/>
        <v>0</v>
      </c>
      <c r="DU14" s="1323"/>
      <c r="DV14" s="1323">
        <f t="shared" si="48"/>
        <v>0</v>
      </c>
      <c r="DW14" s="1323"/>
      <c r="DX14" s="1323">
        <f t="shared" si="49"/>
        <v>0</v>
      </c>
      <c r="DY14" s="1323"/>
      <c r="DZ14" s="1323">
        <f t="shared" si="49"/>
        <v>0</v>
      </c>
      <c r="EA14" s="1323"/>
      <c r="EB14" s="1323">
        <f t="shared" si="49"/>
        <v>0</v>
      </c>
      <c r="EC14" s="1323"/>
      <c r="ED14" s="1323">
        <f t="shared" si="50"/>
        <v>0</v>
      </c>
      <c r="EE14" s="1323"/>
      <c r="EF14" s="1323">
        <f t="shared" si="50"/>
        <v>0</v>
      </c>
      <c r="EG14" s="1323"/>
      <c r="EH14" s="1323">
        <f t="shared" si="51"/>
        <v>0</v>
      </c>
      <c r="EI14" s="1323"/>
      <c r="EJ14" s="1323">
        <f t="shared" si="52"/>
        <v>0</v>
      </c>
      <c r="EK14" s="1323"/>
      <c r="EL14" s="1323">
        <f t="shared" si="53"/>
        <v>0</v>
      </c>
      <c r="EM14" s="1323"/>
      <c r="EN14" s="1323">
        <f t="shared" si="54"/>
        <v>0</v>
      </c>
      <c r="EO14" s="1323"/>
      <c r="EP14" s="1323">
        <f t="shared" si="54"/>
        <v>0</v>
      </c>
      <c r="EQ14" s="1323"/>
      <c r="ER14" s="1323">
        <f t="shared" si="55"/>
        <v>0</v>
      </c>
      <c r="ES14" s="1323"/>
      <c r="ET14" s="1323">
        <f t="shared" si="56"/>
        <v>0</v>
      </c>
      <c r="EU14" s="1323"/>
      <c r="EV14" s="1323">
        <f t="shared" si="57"/>
        <v>0</v>
      </c>
      <c r="EW14" s="1323"/>
      <c r="EX14" s="1323">
        <f t="shared" si="58"/>
        <v>0</v>
      </c>
      <c r="EY14" s="1323"/>
      <c r="EZ14" s="1323">
        <f t="shared" si="59"/>
        <v>0</v>
      </c>
      <c r="FA14" s="1323"/>
      <c r="FB14" s="1323">
        <f t="shared" si="60"/>
        <v>0</v>
      </c>
      <c r="FC14" s="1323"/>
      <c r="FD14" s="1323">
        <f t="shared" si="61"/>
        <v>0</v>
      </c>
      <c r="FE14" s="1323"/>
      <c r="FF14" s="1323">
        <f t="shared" si="62"/>
        <v>0</v>
      </c>
      <c r="FG14" s="1323"/>
      <c r="FH14" s="1323">
        <f t="shared" si="63"/>
        <v>0</v>
      </c>
      <c r="FI14" s="1323"/>
      <c r="FJ14" s="1323">
        <f t="shared" si="64"/>
        <v>0</v>
      </c>
      <c r="FK14" s="1323"/>
      <c r="FL14" s="1323">
        <f t="shared" si="65"/>
        <v>0</v>
      </c>
      <c r="FM14" s="1323"/>
      <c r="FN14" s="1323">
        <f t="shared" si="66"/>
        <v>0</v>
      </c>
      <c r="FO14" s="1323"/>
      <c r="FP14" s="1323">
        <f t="shared" si="67"/>
        <v>0</v>
      </c>
      <c r="FQ14" s="1323"/>
      <c r="FR14" s="1323">
        <f t="shared" si="68"/>
        <v>0</v>
      </c>
      <c r="FS14" s="1323"/>
      <c r="FT14" s="1323">
        <f t="shared" si="69"/>
        <v>0</v>
      </c>
      <c r="FU14" s="1323"/>
      <c r="FV14" s="1323">
        <f t="shared" si="70"/>
        <v>0</v>
      </c>
      <c r="FW14" s="1323"/>
      <c r="FX14" s="1323">
        <f t="shared" si="71"/>
        <v>0</v>
      </c>
      <c r="FY14" s="1323"/>
      <c r="FZ14" s="1323">
        <f t="shared" si="72"/>
        <v>0</v>
      </c>
      <c r="GA14" s="1323"/>
      <c r="GB14" s="1323">
        <f t="shared" si="73"/>
        <v>0</v>
      </c>
      <c r="GC14" s="1323"/>
      <c r="GD14" s="1323">
        <f t="shared" si="74"/>
        <v>0</v>
      </c>
      <c r="GE14" s="1323"/>
      <c r="GF14" s="1323">
        <f t="shared" si="75"/>
        <v>0</v>
      </c>
      <c r="GG14" s="1323"/>
      <c r="GH14" s="1323">
        <f t="shared" si="76"/>
        <v>0</v>
      </c>
      <c r="GI14" s="1323"/>
      <c r="GJ14" s="1323">
        <f t="shared" si="77"/>
        <v>0</v>
      </c>
      <c r="GK14" s="1323"/>
      <c r="GL14" s="1323">
        <f t="shared" si="78"/>
        <v>0</v>
      </c>
      <c r="GM14" s="1323"/>
      <c r="GN14" s="1323">
        <f t="shared" si="79"/>
        <v>0</v>
      </c>
      <c r="GO14" s="1323"/>
      <c r="GP14" s="1323">
        <f t="shared" si="80"/>
        <v>0</v>
      </c>
      <c r="GQ14" s="1323"/>
      <c r="GR14" s="1323">
        <f t="shared" si="81"/>
        <v>0</v>
      </c>
      <c r="GS14" s="1323"/>
      <c r="GT14" s="1323">
        <f t="shared" si="82"/>
        <v>0</v>
      </c>
      <c r="GU14" s="1323"/>
      <c r="GV14" s="1323">
        <f t="shared" si="83"/>
        <v>0</v>
      </c>
      <c r="GW14" s="1323"/>
      <c r="GX14" s="1323">
        <f t="shared" si="84"/>
        <v>0</v>
      </c>
      <c r="GY14" s="1323"/>
      <c r="GZ14" s="1323">
        <f t="shared" si="85"/>
        <v>0</v>
      </c>
    </row>
    <row r="15" spans="1:208" s="1324" customFormat="1" hidden="1">
      <c r="A15" s="1318"/>
      <c r="B15" s="1318"/>
      <c r="C15" s="1325"/>
      <c r="D15" s="1325">
        <f t="shared" si="1"/>
        <v>0</v>
      </c>
      <c r="E15" s="1325"/>
      <c r="F15" s="1325">
        <f t="shared" si="0"/>
        <v>0</v>
      </c>
      <c r="G15" s="1323"/>
      <c r="H15" s="1323">
        <f t="shared" si="0"/>
        <v>0</v>
      </c>
      <c r="I15" s="1323"/>
      <c r="J15" s="1323">
        <f t="shared" si="0"/>
        <v>0</v>
      </c>
      <c r="K15" s="1323"/>
      <c r="L15" s="1323">
        <f t="shared" si="0"/>
        <v>0</v>
      </c>
      <c r="M15" s="1323"/>
      <c r="N15" s="1323">
        <f t="shared" si="0"/>
        <v>0</v>
      </c>
      <c r="O15" s="1323"/>
      <c r="P15" s="1323">
        <f t="shared" si="0"/>
        <v>0</v>
      </c>
      <c r="Q15" s="1323"/>
      <c r="R15" s="1323">
        <f t="shared" si="0"/>
        <v>0</v>
      </c>
      <c r="S15" s="1323"/>
      <c r="T15" s="1323">
        <f t="shared" si="2"/>
        <v>0</v>
      </c>
      <c r="U15" s="1323"/>
      <c r="V15" s="1323">
        <f t="shared" si="3"/>
        <v>0</v>
      </c>
      <c r="W15" s="1323"/>
      <c r="X15" s="1323">
        <f t="shared" si="4"/>
        <v>0</v>
      </c>
      <c r="Y15" s="1323"/>
      <c r="Z15" s="1323">
        <f t="shared" si="5"/>
        <v>0</v>
      </c>
      <c r="AA15" s="1323"/>
      <c r="AB15" s="1323">
        <f t="shared" si="6"/>
        <v>0</v>
      </c>
      <c r="AC15" s="1323"/>
      <c r="AD15" s="1323">
        <f t="shared" si="7"/>
        <v>0</v>
      </c>
      <c r="AE15" s="1323"/>
      <c r="AF15" s="1323">
        <f t="shared" si="8"/>
        <v>0</v>
      </c>
      <c r="AG15" s="1323"/>
      <c r="AH15" s="1323">
        <f t="shared" si="9"/>
        <v>0</v>
      </c>
      <c r="AI15" s="1323"/>
      <c r="AJ15" s="1323">
        <f t="shared" si="10"/>
        <v>0</v>
      </c>
      <c r="AK15" s="1323"/>
      <c r="AL15" s="1323">
        <f t="shared" si="11"/>
        <v>0</v>
      </c>
      <c r="AM15" s="1323"/>
      <c r="AN15" s="1323">
        <f t="shared" si="12"/>
        <v>0</v>
      </c>
      <c r="AO15" s="1323"/>
      <c r="AP15" s="1323">
        <f t="shared" si="13"/>
        <v>0</v>
      </c>
      <c r="AQ15" s="1323"/>
      <c r="AR15" s="1323">
        <f t="shared" si="14"/>
        <v>0</v>
      </c>
      <c r="AS15" s="1323"/>
      <c r="AT15" s="1323">
        <f t="shared" si="15"/>
        <v>0</v>
      </c>
      <c r="AU15" s="1323"/>
      <c r="AV15" s="1323">
        <f t="shared" si="16"/>
        <v>0</v>
      </c>
      <c r="AW15" s="1323"/>
      <c r="AX15" s="1323">
        <f t="shared" si="17"/>
        <v>0</v>
      </c>
      <c r="AY15" s="1323"/>
      <c r="AZ15" s="1323">
        <f t="shared" si="18"/>
        <v>0</v>
      </c>
      <c r="BA15" s="1323"/>
      <c r="BB15" s="1323">
        <f t="shared" si="19"/>
        <v>0</v>
      </c>
      <c r="BC15" s="1323"/>
      <c r="BD15" s="1323">
        <f t="shared" si="20"/>
        <v>0</v>
      </c>
      <c r="BE15" s="1323"/>
      <c r="BF15" s="1323">
        <f t="shared" si="21"/>
        <v>0</v>
      </c>
      <c r="BG15" s="1323"/>
      <c r="BH15" s="1323">
        <f t="shared" si="22"/>
        <v>0</v>
      </c>
      <c r="BI15" s="1323"/>
      <c r="BJ15" s="1323">
        <f t="shared" si="23"/>
        <v>0</v>
      </c>
      <c r="BK15" s="1323"/>
      <c r="BL15" s="1323">
        <f t="shared" si="24"/>
        <v>0</v>
      </c>
      <c r="BM15" s="1323"/>
      <c r="BN15" s="1323">
        <f t="shared" si="25"/>
        <v>0</v>
      </c>
      <c r="BO15" s="1323"/>
      <c r="BP15" s="1323">
        <f t="shared" si="26"/>
        <v>0</v>
      </c>
      <c r="BQ15" s="1323"/>
      <c r="BR15" s="1323">
        <f t="shared" si="27"/>
        <v>0</v>
      </c>
      <c r="BS15" s="1323"/>
      <c r="BT15" s="1323">
        <f t="shared" si="28"/>
        <v>0</v>
      </c>
      <c r="BU15" s="1323"/>
      <c r="BV15" s="1323">
        <f t="shared" si="29"/>
        <v>0</v>
      </c>
      <c r="BW15" s="1323"/>
      <c r="BX15" s="1323">
        <f t="shared" si="30"/>
        <v>0</v>
      </c>
      <c r="BY15" s="1323"/>
      <c r="BZ15" s="1323">
        <f t="shared" si="31"/>
        <v>0</v>
      </c>
      <c r="CA15" s="1323"/>
      <c r="CB15" s="1323">
        <f t="shared" si="32"/>
        <v>0</v>
      </c>
      <c r="CC15" s="1323"/>
      <c r="CD15" s="1323">
        <f t="shared" si="33"/>
        <v>0</v>
      </c>
      <c r="CE15" s="1323"/>
      <c r="CF15" s="1323">
        <f t="shared" si="34"/>
        <v>0</v>
      </c>
      <c r="CG15" s="1323"/>
      <c r="CH15" s="1323">
        <f t="shared" si="35"/>
        <v>0</v>
      </c>
      <c r="CI15" s="1323"/>
      <c r="CJ15" s="1323">
        <f t="shared" si="36"/>
        <v>0</v>
      </c>
      <c r="CK15" s="1323"/>
      <c r="CL15" s="1323">
        <f t="shared" si="37"/>
        <v>0</v>
      </c>
      <c r="CM15" s="1323"/>
      <c r="CN15" s="1323">
        <f t="shared" si="38"/>
        <v>0</v>
      </c>
      <c r="CO15" s="1323"/>
      <c r="CP15" s="1323">
        <f t="shared" si="39"/>
        <v>0</v>
      </c>
      <c r="CQ15" s="1323"/>
      <c r="CR15" s="1323">
        <f t="shared" si="40"/>
        <v>0</v>
      </c>
      <c r="CS15" s="1323"/>
      <c r="CT15" s="1323">
        <f t="shared" si="41"/>
        <v>0</v>
      </c>
      <c r="CU15" s="1323"/>
      <c r="CV15" s="1323">
        <f t="shared" si="42"/>
        <v>0</v>
      </c>
      <c r="CW15" s="1323"/>
      <c r="CX15" s="1323">
        <f t="shared" si="43"/>
        <v>0</v>
      </c>
      <c r="CY15" s="1323"/>
      <c r="CZ15" s="1323">
        <f t="shared" si="44"/>
        <v>0</v>
      </c>
      <c r="DA15" s="1323"/>
      <c r="DB15" s="1323">
        <f t="shared" si="45"/>
        <v>0</v>
      </c>
      <c r="DC15" s="1323"/>
      <c r="DD15" s="1323">
        <f t="shared" si="46"/>
        <v>0</v>
      </c>
      <c r="DE15" s="1323"/>
      <c r="DF15" s="1323">
        <f t="shared" si="47"/>
        <v>0</v>
      </c>
      <c r="DG15" s="1323"/>
      <c r="DH15" s="1323">
        <f t="shared" si="48"/>
        <v>0</v>
      </c>
      <c r="DI15" s="1323"/>
      <c r="DJ15" s="1323">
        <f t="shared" si="48"/>
        <v>0</v>
      </c>
      <c r="DK15" s="1323"/>
      <c r="DL15" s="1323">
        <f t="shared" si="48"/>
        <v>0</v>
      </c>
      <c r="DM15" s="1323"/>
      <c r="DN15" s="1323">
        <f t="shared" si="48"/>
        <v>0</v>
      </c>
      <c r="DO15" s="1323"/>
      <c r="DP15" s="1323">
        <f t="shared" si="48"/>
        <v>0</v>
      </c>
      <c r="DQ15" s="1323"/>
      <c r="DR15" s="1323">
        <f t="shared" si="48"/>
        <v>0</v>
      </c>
      <c r="DS15" s="1323"/>
      <c r="DT15" s="1323">
        <f t="shared" si="48"/>
        <v>0</v>
      </c>
      <c r="DU15" s="1323"/>
      <c r="DV15" s="1323">
        <f t="shared" si="48"/>
        <v>0</v>
      </c>
      <c r="DW15" s="1323"/>
      <c r="DX15" s="1323">
        <f t="shared" si="49"/>
        <v>0</v>
      </c>
      <c r="DY15" s="1323"/>
      <c r="DZ15" s="1323">
        <f t="shared" si="49"/>
        <v>0</v>
      </c>
      <c r="EA15" s="1323"/>
      <c r="EB15" s="1323">
        <f t="shared" si="49"/>
        <v>0</v>
      </c>
      <c r="EC15" s="1323"/>
      <c r="ED15" s="1323">
        <f t="shared" si="50"/>
        <v>0</v>
      </c>
      <c r="EE15" s="1323"/>
      <c r="EF15" s="1323">
        <f t="shared" si="50"/>
        <v>0</v>
      </c>
      <c r="EG15" s="1323"/>
      <c r="EH15" s="1323">
        <f t="shared" si="51"/>
        <v>0</v>
      </c>
      <c r="EI15" s="1323"/>
      <c r="EJ15" s="1323">
        <f t="shared" si="52"/>
        <v>0</v>
      </c>
      <c r="EK15" s="1323"/>
      <c r="EL15" s="1323">
        <f t="shared" si="53"/>
        <v>0</v>
      </c>
      <c r="EM15" s="1323"/>
      <c r="EN15" s="1323">
        <f t="shared" si="54"/>
        <v>0</v>
      </c>
      <c r="EO15" s="1323"/>
      <c r="EP15" s="1323">
        <f t="shared" si="54"/>
        <v>0</v>
      </c>
      <c r="EQ15" s="1323"/>
      <c r="ER15" s="1323">
        <f t="shared" si="55"/>
        <v>0</v>
      </c>
      <c r="ES15" s="1323"/>
      <c r="ET15" s="1323">
        <f t="shared" si="56"/>
        <v>0</v>
      </c>
      <c r="EU15" s="1323"/>
      <c r="EV15" s="1323">
        <f t="shared" si="57"/>
        <v>0</v>
      </c>
      <c r="EW15" s="1323"/>
      <c r="EX15" s="1323">
        <f t="shared" si="58"/>
        <v>0</v>
      </c>
      <c r="EY15" s="1323"/>
      <c r="EZ15" s="1323">
        <f t="shared" si="59"/>
        <v>0</v>
      </c>
      <c r="FA15" s="1323"/>
      <c r="FB15" s="1323">
        <f t="shared" si="60"/>
        <v>0</v>
      </c>
      <c r="FC15" s="1323"/>
      <c r="FD15" s="1323">
        <f t="shared" si="61"/>
        <v>0</v>
      </c>
      <c r="FE15" s="1323"/>
      <c r="FF15" s="1323">
        <f t="shared" si="62"/>
        <v>0</v>
      </c>
      <c r="FG15" s="1323"/>
      <c r="FH15" s="1323">
        <f t="shared" si="63"/>
        <v>0</v>
      </c>
      <c r="FI15" s="1323"/>
      <c r="FJ15" s="1323">
        <f t="shared" si="64"/>
        <v>0</v>
      </c>
      <c r="FK15" s="1323"/>
      <c r="FL15" s="1323">
        <f t="shared" si="65"/>
        <v>0</v>
      </c>
      <c r="FM15" s="1323"/>
      <c r="FN15" s="1323">
        <f t="shared" si="66"/>
        <v>0</v>
      </c>
      <c r="FO15" s="1323"/>
      <c r="FP15" s="1323">
        <f t="shared" si="67"/>
        <v>0</v>
      </c>
      <c r="FQ15" s="1323"/>
      <c r="FR15" s="1323">
        <f t="shared" si="68"/>
        <v>0</v>
      </c>
      <c r="FS15" s="1323"/>
      <c r="FT15" s="1323">
        <f t="shared" si="69"/>
        <v>0</v>
      </c>
      <c r="FU15" s="1323"/>
      <c r="FV15" s="1323">
        <f t="shared" si="70"/>
        <v>0</v>
      </c>
      <c r="FW15" s="1323"/>
      <c r="FX15" s="1323">
        <f t="shared" si="71"/>
        <v>0</v>
      </c>
      <c r="FY15" s="1323"/>
      <c r="FZ15" s="1323">
        <f t="shared" si="72"/>
        <v>0</v>
      </c>
      <c r="GA15" s="1323"/>
      <c r="GB15" s="1323">
        <f t="shared" si="73"/>
        <v>0</v>
      </c>
      <c r="GC15" s="1323"/>
      <c r="GD15" s="1323">
        <f t="shared" si="74"/>
        <v>0</v>
      </c>
      <c r="GE15" s="1323"/>
      <c r="GF15" s="1323">
        <f t="shared" si="75"/>
        <v>0</v>
      </c>
      <c r="GG15" s="1323"/>
      <c r="GH15" s="1323">
        <f t="shared" si="76"/>
        <v>0</v>
      </c>
      <c r="GI15" s="1323"/>
      <c r="GJ15" s="1323">
        <f t="shared" si="77"/>
        <v>0</v>
      </c>
      <c r="GK15" s="1323"/>
      <c r="GL15" s="1323">
        <f t="shared" si="78"/>
        <v>0</v>
      </c>
      <c r="GM15" s="1323"/>
      <c r="GN15" s="1323">
        <f t="shared" si="79"/>
        <v>0</v>
      </c>
      <c r="GO15" s="1323"/>
      <c r="GP15" s="1323">
        <f t="shared" si="80"/>
        <v>0</v>
      </c>
      <c r="GQ15" s="1323"/>
      <c r="GR15" s="1323">
        <f t="shared" si="81"/>
        <v>0</v>
      </c>
      <c r="GS15" s="1323"/>
      <c r="GT15" s="1323">
        <f t="shared" si="82"/>
        <v>0</v>
      </c>
      <c r="GU15" s="1323"/>
      <c r="GV15" s="1323">
        <f t="shared" si="83"/>
        <v>0</v>
      </c>
      <c r="GW15" s="1323"/>
      <c r="GX15" s="1323">
        <f t="shared" si="84"/>
        <v>0</v>
      </c>
      <c r="GY15" s="1323"/>
      <c r="GZ15" s="1323">
        <f t="shared" si="85"/>
        <v>0</v>
      </c>
    </row>
    <row r="16" spans="1:208" s="1324" customFormat="1" hidden="1">
      <c r="A16" s="1318"/>
      <c r="B16" s="1318"/>
      <c r="C16" s="1325"/>
      <c r="D16" s="1325">
        <f t="shared" si="1"/>
        <v>0</v>
      </c>
      <c r="E16" s="1325"/>
      <c r="F16" s="1325">
        <f t="shared" si="0"/>
        <v>0</v>
      </c>
      <c r="G16" s="1323"/>
      <c r="H16" s="1323">
        <f t="shared" si="0"/>
        <v>0</v>
      </c>
      <c r="I16" s="1323"/>
      <c r="J16" s="1323">
        <f t="shared" si="0"/>
        <v>0</v>
      </c>
      <c r="K16" s="1323"/>
      <c r="L16" s="1323">
        <f t="shared" si="0"/>
        <v>0</v>
      </c>
      <c r="M16" s="1323"/>
      <c r="N16" s="1323">
        <f t="shared" si="0"/>
        <v>0</v>
      </c>
      <c r="O16" s="1323"/>
      <c r="P16" s="1323">
        <f t="shared" si="0"/>
        <v>0</v>
      </c>
      <c r="Q16" s="1323"/>
      <c r="R16" s="1323">
        <f t="shared" si="0"/>
        <v>0</v>
      </c>
      <c r="S16" s="1323"/>
      <c r="T16" s="1323">
        <f t="shared" si="2"/>
        <v>0</v>
      </c>
      <c r="U16" s="1323"/>
      <c r="V16" s="1323">
        <f t="shared" si="3"/>
        <v>0</v>
      </c>
      <c r="W16" s="1323"/>
      <c r="X16" s="1323">
        <f t="shared" si="4"/>
        <v>0</v>
      </c>
      <c r="Y16" s="1323"/>
      <c r="Z16" s="1323">
        <f t="shared" si="5"/>
        <v>0</v>
      </c>
      <c r="AA16" s="1323"/>
      <c r="AB16" s="1323">
        <f t="shared" si="6"/>
        <v>0</v>
      </c>
      <c r="AC16" s="1323"/>
      <c r="AD16" s="1323">
        <f t="shared" si="7"/>
        <v>0</v>
      </c>
      <c r="AE16" s="1323"/>
      <c r="AF16" s="1323">
        <f t="shared" si="8"/>
        <v>0</v>
      </c>
      <c r="AG16" s="1323"/>
      <c r="AH16" s="1323">
        <f t="shared" si="9"/>
        <v>0</v>
      </c>
      <c r="AI16" s="1323"/>
      <c r="AJ16" s="1323">
        <f t="shared" si="10"/>
        <v>0</v>
      </c>
      <c r="AK16" s="1323"/>
      <c r="AL16" s="1323">
        <f t="shared" si="11"/>
        <v>0</v>
      </c>
      <c r="AM16" s="1323"/>
      <c r="AN16" s="1323">
        <f t="shared" si="12"/>
        <v>0</v>
      </c>
      <c r="AO16" s="1323"/>
      <c r="AP16" s="1323">
        <f t="shared" si="13"/>
        <v>0</v>
      </c>
      <c r="AQ16" s="1323"/>
      <c r="AR16" s="1323">
        <f t="shared" si="14"/>
        <v>0</v>
      </c>
      <c r="AS16" s="1323"/>
      <c r="AT16" s="1323">
        <f t="shared" si="15"/>
        <v>0</v>
      </c>
      <c r="AU16" s="1323"/>
      <c r="AV16" s="1323">
        <f t="shared" si="16"/>
        <v>0</v>
      </c>
      <c r="AW16" s="1323"/>
      <c r="AX16" s="1323">
        <f t="shared" si="17"/>
        <v>0</v>
      </c>
      <c r="AY16" s="1323"/>
      <c r="AZ16" s="1323">
        <f t="shared" si="18"/>
        <v>0</v>
      </c>
      <c r="BA16" s="1323"/>
      <c r="BB16" s="1323">
        <f t="shared" si="19"/>
        <v>0</v>
      </c>
      <c r="BC16" s="1323"/>
      <c r="BD16" s="1323">
        <f t="shared" si="20"/>
        <v>0</v>
      </c>
      <c r="BE16" s="1323"/>
      <c r="BF16" s="1323">
        <f t="shared" si="21"/>
        <v>0</v>
      </c>
      <c r="BG16" s="1323"/>
      <c r="BH16" s="1323">
        <f t="shared" si="22"/>
        <v>0</v>
      </c>
      <c r="BI16" s="1323"/>
      <c r="BJ16" s="1323">
        <f t="shared" si="23"/>
        <v>0</v>
      </c>
      <c r="BK16" s="1323"/>
      <c r="BL16" s="1323">
        <f t="shared" si="24"/>
        <v>0</v>
      </c>
      <c r="BM16" s="1323"/>
      <c r="BN16" s="1323">
        <f t="shared" si="25"/>
        <v>0</v>
      </c>
      <c r="BO16" s="1323"/>
      <c r="BP16" s="1323">
        <f t="shared" si="26"/>
        <v>0</v>
      </c>
      <c r="BQ16" s="1323"/>
      <c r="BR16" s="1323">
        <f t="shared" si="27"/>
        <v>0</v>
      </c>
      <c r="BS16" s="1323"/>
      <c r="BT16" s="1323">
        <f t="shared" si="28"/>
        <v>0</v>
      </c>
      <c r="BU16" s="1323"/>
      <c r="BV16" s="1323">
        <f t="shared" si="29"/>
        <v>0</v>
      </c>
      <c r="BW16" s="1323"/>
      <c r="BX16" s="1323">
        <f t="shared" si="30"/>
        <v>0</v>
      </c>
      <c r="BY16" s="1323"/>
      <c r="BZ16" s="1323">
        <f t="shared" si="31"/>
        <v>0</v>
      </c>
      <c r="CA16" s="1323"/>
      <c r="CB16" s="1323">
        <f t="shared" si="32"/>
        <v>0</v>
      </c>
      <c r="CC16" s="1323"/>
      <c r="CD16" s="1323">
        <f t="shared" si="33"/>
        <v>0</v>
      </c>
      <c r="CE16" s="1323"/>
      <c r="CF16" s="1323">
        <f t="shared" si="34"/>
        <v>0</v>
      </c>
      <c r="CG16" s="1323"/>
      <c r="CH16" s="1323">
        <f t="shared" si="35"/>
        <v>0</v>
      </c>
      <c r="CI16" s="1323"/>
      <c r="CJ16" s="1323">
        <f t="shared" si="36"/>
        <v>0</v>
      </c>
      <c r="CK16" s="1323"/>
      <c r="CL16" s="1323">
        <f t="shared" si="37"/>
        <v>0</v>
      </c>
      <c r="CM16" s="1323"/>
      <c r="CN16" s="1323">
        <f t="shared" si="38"/>
        <v>0</v>
      </c>
      <c r="CO16" s="1323"/>
      <c r="CP16" s="1323">
        <f t="shared" si="39"/>
        <v>0</v>
      </c>
      <c r="CQ16" s="1323"/>
      <c r="CR16" s="1323">
        <f t="shared" si="40"/>
        <v>0</v>
      </c>
      <c r="CS16" s="1323"/>
      <c r="CT16" s="1323">
        <f t="shared" si="41"/>
        <v>0</v>
      </c>
      <c r="CU16" s="1323"/>
      <c r="CV16" s="1323">
        <f t="shared" si="42"/>
        <v>0</v>
      </c>
      <c r="CW16" s="1323"/>
      <c r="CX16" s="1323">
        <f t="shared" si="43"/>
        <v>0</v>
      </c>
      <c r="CY16" s="1323"/>
      <c r="CZ16" s="1323">
        <f t="shared" si="44"/>
        <v>0</v>
      </c>
      <c r="DA16" s="1323"/>
      <c r="DB16" s="1323">
        <f t="shared" si="45"/>
        <v>0</v>
      </c>
      <c r="DC16" s="1323"/>
      <c r="DD16" s="1323">
        <f t="shared" si="46"/>
        <v>0</v>
      </c>
      <c r="DE16" s="1323"/>
      <c r="DF16" s="1323">
        <f t="shared" si="47"/>
        <v>0</v>
      </c>
      <c r="DG16" s="1323"/>
      <c r="DH16" s="1323">
        <f t="shared" si="48"/>
        <v>0</v>
      </c>
      <c r="DI16" s="1323"/>
      <c r="DJ16" s="1323">
        <f t="shared" si="48"/>
        <v>0</v>
      </c>
      <c r="DK16" s="1323"/>
      <c r="DL16" s="1323">
        <f t="shared" si="48"/>
        <v>0</v>
      </c>
      <c r="DM16" s="1323"/>
      <c r="DN16" s="1323">
        <f t="shared" si="48"/>
        <v>0</v>
      </c>
      <c r="DO16" s="1323"/>
      <c r="DP16" s="1323">
        <f t="shared" si="48"/>
        <v>0</v>
      </c>
      <c r="DQ16" s="1323"/>
      <c r="DR16" s="1323">
        <f t="shared" si="48"/>
        <v>0</v>
      </c>
      <c r="DS16" s="1323"/>
      <c r="DT16" s="1323">
        <f t="shared" si="48"/>
        <v>0</v>
      </c>
      <c r="DU16" s="1323"/>
      <c r="DV16" s="1323">
        <f t="shared" si="48"/>
        <v>0</v>
      </c>
      <c r="DW16" s="1323"/>
      <c r="DX16" s="1323">
        <f t="shared" si="49"/>
        <v>0</v>
      </c>
      <c r="DY16" s="1323"/>
      <c r="DZ16" s="1323">
        <f t="shared" si="49"/>
        <v>0</v>
      </c>
      <c r="EA16" s="1323"/>
      <c r="EB16" s="1323">
        <f t="shared" si="49"/>
        <v>0</v>
      </c>
      <c r="EC16" s="1323"/>
      <c r="ED16" s="1323">
        <f t="shared" si="50"/>
        <v>0</v>
      </c>
      <c r="EE16" s="1323"/>
      <c r="EF16" s="1323">
        <f t="shared" si="50"/>
        <v>0</v>
      </c>
      <c r="EG16" s="1323"/>
      <c r="EH16" s="1323">
        <f t="shared" si="51"/>
        <v>0</v>
      </c>
      <c r="EI16" s="1323"/>
      <c r="EJ16" s="1323">
        <f t="shared" si="52"/>
        <v>0</v>
      </c>
      <c r="EK16" s="1323"/>
      <c r="EL16" s="1323">
        <f t="shared" si="53"/>
        <v>0</v>
      </c>
      <c r="EM16" s="1323"/>
      <c r="EN16" s="1323">
        <f t="shared" si="54"/>
        <v>0</v>
      </c>
      <c r="EO16" s="1323"/>
      <c r="EP16" s="1323">
        <f t="shared" si="54"/>
        <v>0</v>
      </c>
      <c r="EQ16" s="1323"/>
      <c r="ER16" s="1323">
        <f t="shared" si="55"/>
        <v>0</v>
      </c>
      <c r="ES16" s="1323"/>
      <c r="ET16" s="1323">
        <f t="shared" si="56"/>
        <v>0</v>
      </c>
      <c r="EU16" s="1323"/>
      <c r="EV16" s="1323">
        <f t="shared" si="57"/>
        <v>0</v>
      </c>
      <c r="EW16" s="1323"/>
      <c r="EX16" s="1323">
        <f t="shared" si="58"/>
        <v>0</v>
      </c>
      <c r="EY16" s="1323"/>
      <c r="EZ16" s="1323">
        <f t="shared" si="59"/>
        <v>0</v>
      </c>
      <c r="FA16" s="1323"/>
      <c r="FB16" s="1323">
        <f t="shared" si="60"/>
        <v>0</v>
      </c>
      <c r="FC16" s="1323"/>
      <c r="FD16" s="1323">
        <f t="shared" si="61"/>
        <v>0</v>
      </c>
      <c r="FE16" s="1323"/>
      <c r="FF16" s="1323">
        <f t="shared" si="62"/>
        <v>0</v>
      </c>
      <c r="FG16" s="1323"/>
      <c r="FH16" s="1323">
        <f t="shared" si="63"/>
        <v>0</v>
      </c>
      <c r="FI16" s="1323"/>
      <c r="FJ16" s="1323">
        <f t="shared" si="64"/>
        <v>0</v>
      </c>
      <c r="FK16" s="1323"/>
      <c r="FL16" s="1323">
        <f t="shared" si="65"/>
        <v>0</v>
      </c>
      <c r="FM16" s="1323"/>
      <c r="FN16" s="1323">
        <f t="shared" si="66"/>
        <v>0</v>
      </c>
      <c r="FO16" s="1323"/>
      <c r="FP16" s="1323">
        <f t="shared" si="67"/>
        <v>0</v>
      </c>
      <c r="FQ16" s="1323"/>
      <c r="FR16" s="1323">
        <f t="shared" si="68"/>
        <v>0</v>
      </c>
      <c r="FS16" s="1323"/>
      <c r="FT16" s="1323">
        <f t="shared" si="69"/>
        <v>0</v>
      </c>
      <c r="FU16" s="1323"/>
      <c r="FV16" s="1323">
        <f t="shared" si="70"/>
        <v>0</v>
      </c>
      <c r="FW16" s="1323"/>
      <c r="FX16" s="1323">
        <f t="shared" si="71"/>
        <v>0</v>
      </c>
      <c r="FY16" s="1323"/>
      <c r="FZ16" s="1323">
        <f t="shared" si="72"/>
        <v>0</v>
      </c>
      <c r="GA16" s="1323"/>
      <c r="GB16" s="1323">
        <f t="shared" si="73"/>
        <v>0</v>
      </c>
      <c r="GC16" s="1323"/>
      <c r="GD16" s="1323">
        <f t="shared" si="74"/>
        <v>0</v>
      </c>
      <c r="GE16" s="1323"/>
      <c r="GF16" s="1323">
        <f t="shared" si="75"/>
        <v>0</v>
      </c>
      <c r="GG16" s="1323"/>
      <c r="GH16" s="1323">
        <f t="shared" si="76"/>
        <v>0</v>
      </c>
      <c r="GI16" s="1323"/>
      <c r="GJ16" s="1323">
        <f t="shared" si="77"/>
        <v>0</v>
      </c>
      <c r="GK16" s="1323"/>
      <c r="GL16" s="1323">
        <f t="shared" si="78"/>
        <v>0</v>
      </c>
      <c r="GM16" s="1323"/>
      <c r="GN16" s="1323">
        <f t="shared" si="79"/>
        <v>0</v>
      </c>
      <c r="GO16" s="1323"/>
      <c r="GP16" s="1323">
        <f t="shared" si="80"/>
        <v>0</v>
      </c>
      <c r="GQ16" s="1323"/>
      <c r="GR16" s="1323">
        <f t="shared" si="81"/>
        <v>0</v>
      </c>
      <c r="GS16" s="1323"/>
      <c r="GT16" s="1323">
        <f t="shared" si="82"/>
        <v>0</v>
      </c>
      <c r="GU16" s="1323"/>
      <c r="GV16" s="1323">
        <f t="shared" si="83"/>
        <v>0</v>
      </c>
      <c r="GW16" s="1323"/>
      <c r="GX16" s="1323">
        <f t="shared" si="84"/>
        <v>0</v>
      </c>
      <c r="GY16" s="1323"/>
      <c r="GZ16" s="1323">
        <f t="shared" si="85"/>
        <v>0</v>
      </c>
    </row>
    <row r="17" spans="1:208" s="1324" customFormat="1" hidden="1">
      <c r="A17" s="1318"/>
      <c r="B17" s="1318"/>
      <c r="C17" s="1325"/>
      <c r="D17" s="1325">
        <f t="shared" si="1"/>
        <v>0</v>
      </c>
      <c r="E17" s="1325"/>
      <c r="F17" s="1325">
        <f t="shared" si="0"/>
        <v>0</v>
      </c>
      <c r="G17" s="1323"/>
      <c r="H17" s="1323">
        <f t="shared" si="0"/>
        <v>0</v>
      </c>
      <c r="I17" s="1323"/>
      <c r="J17" s="1323">
        <f t="shared" si="0"/>
        <v>0</v>
      </c>
      <c r="K17" s="1323"/>
      <c r="L17" s="1323">
        <f t="shared" si="0"/>
        <v>0</v>
      </c>
      <c r="M17" s="1323"/>
      <c r="N17" s="1323">
        <f t="shared" si="0"/>
        <v>0</v>
      </c>
      <c r="O17" s="1323"/>
      <c r="P17" s="1323">
        <f t="shared" si="0"/>
        <v>0</v>
      </c>
      <c r="Q17" s="1323"/>
      <c r="R17" s="1323">
        <f t="shared" si="0"/>
        <v>0</v>
      </c>
      <c r="S17" s="1323"/>
      <c r="T17" s="1323">
        <f t="shared" si="2"/>
        <v>0</v>
      </c>
      <c r="U17" s="1323"/>
      <c r="V17" s="1323">
        <f t="shared" si="3"/>
        <v>0</v>
      </c>
      <c r="W17" s="1323"/>
      <c r="X17" s="1323">
        <f t="shared" si="4"/>
        <v>0</v>
      </c>
      <c r="Y17" s="1323"/>
      <c r="Z17" s="1323">
        <f t="shared" si="5"/>
        <v>0</v>
      </c>
      <c r="AA17" s="1323"/>
      <c r="AB17" s="1323">
        <f t="shared" si="6"/>
        <v>0</v>
      </c>
      <c r="AC17" s="1323"/>
      <c r="AD17" s="1323">
        <f t="shared" si="7"/>
        <v>0</v>
      </c>
      <c r="AE17" s="1323"/>
      <c r="AF17" s="1323">
        <f t="shared" si="8"/>
        <v>0</v>
      </c>
      <c r="AG17" s="1323"/>
      <c r="AH17" s="1323">
        <f t="shared" si="9"/>
        <v>0</v>
      </c>
      <c r="AI17" s="1323"/>
      <c r="AJ17" s="1323">
        <f t="shared" si="10"/>
        <v>0</v>
      </c>
      <c r="AK17" s="1323"/>
      <c r="AL17" s="1323">
        <f t="shared" si="11"/>
        <v>0</v>
      </c>
      <c r="AM17" s="1323"/>
      <c r="AN17" s="1323">
        <f t="shared" si="12"/>
        <v>0</v>
      </c>
      <c r="AO17" s="1323"/>
      <c r="AP17" s="1323">
        <f t="shared" si="13"/>
        <v>0</v>
      </c>
      <c r="AQ17" s="1323"/>
      <c r="AR17" s="1323">
        <f t="shared" si="14"/>
        <v>0</v>
      </c>
      <c r="AS17" s="1323"/>
      <c r="AT17" s="1323">
        <f t="shared" si="15"/>
        <v>0</v>
      </c>
      <c r="AU17" s="1323"/>
      <c r="AV17" s="1323">
        <f t="shared" si="16"/>
        <v>0</v>
      </c>
      <c r="AW17" s="1323"/>
      <c r="AX17" s="1323">
        <f t="shared" si="17"/>
        <v>0</v>
      </c>
      <c r="AY17" s="1323"/>
      <c r="AZ17" s="1323">
        <f t="shared" si="18"/>
        <v>0</v>
      </c>
      <c r="BA17" s="1323"/>
      <c r="BB17" s="1323">
        <f t="shared" si="19"/>
        <v>0</v>
      </c>
      <c r="BC17" s="1323"/>
      <c r="BD17" s="1323">
        <f t="shared" si="20"/>
        <v>0</v>
      </c>
      <c r="BE17" s="1323"/>
      <c r="BF17" s="1323">
        <f t="shared" si="21"/>
        <v>0</v>
      </c>
      <c r="BG17" s="1323"/>
      <c r="BH17" s="1323">
        <f t="shared" si="22"/>
        <v>0</v>
      </c>
      <c r="BI17" s="1323"/>
      <c r="BJ17" s="1323">
        <f t="shared" si="23"/>
        <v>0</v>
      </c>
      <c r="BK17" s="1323"/>
      <c r="BL17" s="1323">
        <f t="shared" si="24"/>
        <v>0</v>
      </c>
      <c r="BM17" s="1323"/>
      <c r="BN17" s="1323">
        <f t="shared" si="25"/>
        <v>0</v>
      </c>
      <c r="BO17" s="1323"/>
      <c r="BP17" s="1323">
        <f t="shared" si="26"/>
        <v>0</v>
      </c>
      <c r="BQ17" s="1323"/>
      <c r="BR17" s="1323">
        <f t="shared" si="27"/>
        <v>0</v>
      </c>
      <c r="BS17" s="1323"/>
      <c r="BT17" s="1323">
        <f t="shared" si="28"/>
        <v>0</v>
      </c>
      <c r="BU17" s="1323"/>
      <c r="BV17" s="1323">
        <f t="shared" si="29"/>
        <v>0</v>
      </c>
      <c r="BW17" s="1323"/>
      <c r="BX17" s="1323">
        <f t="shared" si="30"/>
        <v>0</v>
      </c>
      <c r="BY17" s="1323"/>
      <c r="BZ17" s="1323">
        <f t="shared" si="31"/>
        <v>0</v>
      </c>
      <c r="CA17" s="1323"/>
      <c r="CB17" s="1323">
        <f t="shared" si="32"/>
        <v>0</v>
      </c>
      <c r="CC17" s="1323"/>
      <c r="CD17" s="1323">
        <f t="shared" si="33"/>
        <v>0</v>
      </c>
      <c r="CE17" s="1323"/>
      <c r="CF17" s="1323">
        <f t="shared" si="34"/>
        <v>0</v>
      </c>
      <c r="CG17" s="1323"/>
      <c r="CH17" s="1323">
        <f t="shared" si="35"/>
        <v>0</v>
      </c>
      <c r="CI17" s="1323"/>
      <c r="CJ17" s="1323">
        <f t="shared" si="36"/>
        <v>0</v>
      </c>
      <c r="CK17" s="1323"/>
      <c r="CL17" s="1323">
        <f t="shared" si="37"/>
        <v>0</v>
      </c>
      <c r="CM17" s="1323"/>
      <c r="CN17" s="1323">
        <f t="shared" si="38"/>
        <v>0</v>
      </c>
      <c r="CO17" s="1323"/>
      <c r="CP17" s="1323">
        <f t="shared" si="39"/>
        <v>0</v>
      </c>
      <c r="CQ17" s="1323"/>
      <c r="CR17" s="1323">
        <f t="shared" si="40"/>
        <v>0</v>
      </c>
      <c r="CS17" s="1323"/>
      <c r="CT17" s="1323">
        <f t="shared" si="41"/>
        <v>0</v>
      </c>
      <c r="CU17" s="1323"/>
      <c r="CV17" s="1323">
        <f t="shared" si="42"/>
        <v>0</v>
      </c>
      <c r="CW17" s="1323"/>
      <c r="CX17" s="1323">
        <f t="shared" si="43"/>
        <v>0</v>
      </c>
      <c r="CY17" s="1323"/>
      <c r="CZ17" s="1323">
        <f t="shared" si="44"/>
        <v>0</v>
      </c>
      <c r="DA17" s="1323"/>
      <c r="DB17" s="1323">
        <f t="shared" si="45"/>
        <v>0</v>
      </c>
      <c r="DC17" s="1323"/>
      <c r="DD17" s="1323">
        <f t="shared" si="46"/>
        <v>0</v>
      </c>
      <c r="DE17" s="1323"/>
      <c r="DF17" s="1323">
        <f t="shared" si="47"/>
        <v>0</v>
      </c>
      <c r="DG17" s="1323"/>
      <c r="DH17" s="1323">
        <f t="shared" si="48"/>
        <v>0</v>
      </c>
      <c r="DI17" s="1323"/>
      <c r="DJ17" s="1323">
        <f t="shared" si="48"/>
        <v>0</v>
      </c>
      <c r="DK17" s="1323"/>
      <c r="DL17" s="1323">
        <f t="shared" si="48"/>
        <v>0</v>
      </c>
      <c r="DM17" s="1323"/>
      <c r="DN17" s="1323">
        <f t="shared" si="48"/>
        <v>0</v>
      </c>
      <c r="DO17" s="1323"/>
      <c r="DP17" s="1323">
        <f t="shared" si="48"/>
        <v>0</v>
      </c>
      <c r="DQ17" s="1323"/>
      <c r="DR17" s="1323">
        <f t="shared" si="48"/>
        <v>0</v>
      </c>
      <c r="DS17" s="1323"/>
      <c r="DT17" s="1323">
        <f t="shared" si="48"/>
        <v>0</v>
      </c>
      <c r="DU17" s="1323"/>
      <c r="DV17" s="1323">
        <f t="shared" si="48"/>
        <v>0</v>
      </c>
      <c r="DW17" s="1323"/>
      <c r="DX17" s="1323">
        <f t="shared" si="49"/>
        <v>0</v>
      </c>
      <c r="DY17" s="1323"/>
      <c r="DZ17" s="1323">
        <f t="shared" si="49"/>
        <v>0</v>
      </c>
      <c r="EA17" s="1323"/>
      <c r="EB17" s="1323">
        <f t="shared" si="49"/>
        <v>0</v>
      </c>
      <c r="EC17" s="1323"/>
      <c r="ED17" s="1323">
        <f t="shared" si="50"/>
        <v>0</v>
      </c>
      <c r="EE17" s="1323"/>
      <c r="EF17" s="1323">
        <f t="shared" si="50"/>
        <v>0</v>
      </c>
      <c r="EG17" s="1323"/>
      <c r="EH17" s="1323">
        <f t="shared" si="51"/>
        <v>0</v>
      </c>
      <c r="EI17" s="1323"/>
      <c r="EJ17" s="1323">
        <f t="shared" si="52"/>
        <v>0</v>
      </c>
      <c r="EK17" s="1323"/>
      <c r="EL17" s="1323">
        <f t="shared" si="53"/>
        <v>0</v>
      </c>
      <c r="EM17" s="1323"/>
      <c r="EN17" s="1323">
        <f t="shared" si="54"/>
        <v>0</v>
      </c>
      <c r="EO17" s="1323"/>
      <c r="EP17" s="1323">
        <f t="shared" si="54"/>
        <v>0</v>
      </c>
      <c r="EQ17" s="1323"/>
      <c r="ER17" s="1323">
        <f t="shared" si="55"/>
        <v>0</v>
      </c>
      <c r="ES17" s="1323"/>
      <c r="ET17" s="1323">
        <f t="shared" si="56"/>
        <v>0</v>
      </c>
      <c r="EU17" s="1323"/>
      <c r="EV17" s="1323">
        <f t="shared" si="57"/>
        <v>0</v>
      </c>
      <c r="EW17" s="1323"/>
      <c r="EX17" s="1323">
        <f t="shared" si="58"/>
        <v>0</v>
      </c>
      <c r="EY17" s="1323"/>
      <c r="EZ17" s="1323">
        <f t="shared" si="59"/>
        <v>0</v>
      </c>
      <c r="FA17" s="1323"/>
      <c r="FB17" s="1323">
        <f t="shared" si="60"/>
        <v>0</v>
      </c>
      <c r="FC17" s="1323"/>
      <c r="FD17" s="1323">
        <f t="shared" si="61"/>
        <v>0</v>
      </c>
      <c r="FE17" s="1323"/>
      <c r="FF17" s="1323">
        <f t="shared" si="62"/>
        <v>0</v>
      </c>
      <c r="FG17" s="1323"/>
      <c r="FH17" s="1323">
        <f t="shared" si="63"/>
        <v>0</v>
      </c>
      <c r="FI17" s="1323"/>
      <c r="FJ17" s="1323">
        <f t="shared" si="64"/>
        <v>0</v>
      </c>
      <c r="FK17" s="1323"/>
      <c r="FL17" s="1323">
        <f t="shared" si="65"/>
        <v>0</v>
      </c>
      <c r="FM17" s="1323"/>
      <c r="FN17" s="1323">
        <f t="shared" si="66"/>
        <v>0</v>
      </c>
      <c r="FO17" s="1323"/>
      <c r="FP17" s="1323">
        <f t="shared" si="67"/>
        <v>0</v>
      </c>
      <c r="FQ17" s="1323"/>
      <c r="FR17" s="1323">
        <f t="shared" si="68"/>
        <v>0</v>
      </c>
      <c r="FS17" s="1323"/>
      <c r="FT17" s="1323">
        <f t="shared" si="69"/>
        <v>0</v>
      </c>
      <c r="FU17" s="1323"/>
      <c r="FV17" s="1323">
        <f t="shared" si="70"/>
        <v>0</v>
      </c>
      <c r="FW17" s="1323"/>
      <c r="FX17" s="1323">
        <f t="shared" si="71"/>
        <v>0</v>
      </c>
      <c r="FY17" s="1323"/>
      <c r="FZ17" s="1323">
        <f t="shared" si="72"/>
        <v>0</v>
      </c>
      <c r="GA17" s="1323"/>
      <c r="GB17" s="1323">
        <f t="shared" si="73"/>
        <v>0</v>
      </c>
      <c r="GC17" s="1323"/>
      <c r="GD17" s="1323">
        <f t="shared" si="74"/>
        <v>0</v>
      </c>
      <c r="GE17" s="1323"/>
      <c r="GF17" s="1323">
        <f t="shared" si="75"/>
        <v>0</v>
      </c>
      <c r="GG17" s="1323"/>
      <c r="GH17" s="1323">
        <f t="shared" si="76"/>
        <v>0</v>
      </c>
      <c r="GI17" s="1323"/>
      <c r="GJ17" s="1323">
        <f t="shared" si="77"/>
        <v>0</v>
      </c>
      <c r="GK17" s="1323"/>
      <c r="GL17" s="1323">
        <f t="shared" si="78"/>
        <v>0</v>
      </c>
      <c r="GM17" s="1323"/>
      <c r="GN17" s="1323">
        <f t="shared" si="79"/>
        <v>0</v>
      </c>
      <c r="GO17" s="1323"/>
      <c r="GP17" s="1323">
        <f t="shared" si="80"/>
        <v>0</v>
      </c>
      <c r="GQ17" s="1323"/>
      <c r="GR17" s="1323">
        <f t="shared" si="81"/>
        <v>0</v>
      </c>
      <c r="GS17" s="1323"/>
      <c r="GT17" s="1323">
        <f t="shared" si="82"/>
        <v>0</v>
      </c>
      <c r="GU17" s="1323"/>
      <c r="GV17" s="1323">
        <f t="shared" si="83"/>
        <v>0</v>
      </c>
      <c r="GW17" s="1323"/>
      <c r="GX17" s="1323">
        <f t="shared" si="84"/>
        <v>0</v>
      </c>
      <c r="GY17" s="1323"/>
      <c r="GZ17" s="1323">
        <f t="shared" si="85"/>
        <v>0</v>
      </c>
    </row>
    <row r="18" spans="1:208" s="1324" customFormat="1" hidden="1">
      <c r="A18" s="1318"/>
      <c r="B18" s="1318"/>
      <c r="C18" s="1325"/>
      <c r="D18" s="1325">
        <f t="shared" si="1"/>
        <v>0</v>
      </c>
      <c r="E18" s="1325"/>
      <c r="F18" s="1325">
        <f t="shared" si="0"/>
        <v>0</v>
      </c>
      <c r="G18" s="1323"/>
      <c r="H18" s="1323">
        <f t="shared" si="0"/>
        <v>0</v>
      </c>
      <c r="I18" s="1323"/>
      <c r="J18" s="1323">
        <f t="shared" si="0"/>
        <v>0</v>
      </c>
      <c r="K18" s="1323"/>
      <c r="L18" s="1323">
        <f t="shared" si="0"/>
        <v>0</v>
      </c>
      <c r="M18" s="1323"/>
      <c r="N18" s="1323">
        <f t="shared" si="0"/>
        <v>0</v>
      </c>
      <c r="O18" s="1323"/>
      <c r="P18" s="1323">
        <f t="shared" si="0"/>
        <v>0</v>
      </c>
      <c r="Q18" s="1323"/>
      <c r="R18" s="1323">
        <f t="shared" si="0"/>
        <v>0</v>
      </c>
      <c r="S18" s="1323"/>
      <c r="T18" s="1323">
        <f t="shared" si="2"/>
        <v>0</v>
      </c>
      <c r="U18" s="1323"/>
      <c r="V18" s="1323">
        <f t="shared" si="3"/>
        <v>0</v>
      </c>
      <c r="W18" s="1323"/>
      <c r="X18" s="1323">
        <f t="shared" si="4"/>
        <v>0</v>
      </c>
      <c r="Y18" s="1323"/>
      <c r="Z18" s="1323">
        <f t="shared" si="5"/>
        <v>0</v>
      </c>
      <c r="AA18" s="1323"/>
      <c r="AB18" s="1323">
        <f t="shared" si="6"/>
        <v>0</v>
      </c>
      <c r="AC18" s="1323"/>
      <c r="AD18" s="1323">
        <f t="shared" si="7"/>
        <v>0</v>
      </c>
      <c r="AE18" s="1323"/>
      <c r="AF18" s="1323">
        <f t="shared" si="8"/>
        <v>0</v>
      </c>
      <c r="AG18" s="1323"/>
      <c r="AH18" s="1323">
        <f t="shared" si="9"/>
        <v>0</v>
      </c>
      <c r="AI18" s="1323"/>
      <c r="AJ18" s="1323">
        <f t="shared" si="10"/>
        <v>0</v>
      </c>
      <c r="AK18" s="1323"/>
      <c r="AL18" s="1323">
        <f t="shared" si="11"/>
        <v>0</v>
      </c>
      <c r="AM18" s="1323"/>
      <c r="AN18" s="1323">
        <f t="shared" si="12"/>
        <v>0</v>
      </c>
      <c r="AO18" s="1323"/>
      <c r="AP18" s="1323">
        <f t="shared" si="13"/>
        <v>0</v>
      </c>
      <c r="AQ18" s="1323"/>
      <c r="AR18" s="1323">
        <f t="shared" si="14"/>
        <v>0</v>
      </c>
      <c r="AS18" s="1323"/>
      <c r="AT18" s="1323">
        <f t="shared" si="15"/>
        <v>0</v>
      </c>
      <c r="AU18" s="1323"/>
      <c r="AV18" s="1323">
        <f t="shared" si="16"/>
        <v>0</v>
      </c>
      <c r="AW18" s="1323"/>
      <c r="AX18" s="1323">
        <f t="shared" si="17"/>
        <v>0</v>
      </c>
      <c r="AY18" s="1323"/>
      <c r="AZ18" s="1323">
        <f t="shared" si="18"/>
        <v>0</v>
      </c>
      <c r="BA18" s="1323"/>
      <c r="BB18" s="1323">
        <f t="shared" si="19"/>
        <v>0</v>
      </c>
      <c r="BC18" s="1323"/>
      <c r="BD18" s="1323">
        <f t="shared" si="20"/>
        <v>0</v>
      </c>
      <c r="BE18" s="1323"/>
      <c r="BF18" s="1323">
        <f t="shared" si="21"/>
        <v>0</v>
      </c>
      <c r="BG18" s="1323"/>
      <c r="BH18" s="1323">
        <f t="shared" si="22"/>
        <v>0</v>
      </c>
      <c r="BI18" s="1323"/>
      <c r="BJ18" s="1323">
        <f t="shared" si="23"/>
        <v>0</v>
      </c>
      <c r="BK18" s="1323"/>
      <c r="BL18" s="1323">
        <f t="shared" si="24"/>
        <v>0</v>
      </c>
      <c r="BM18" s="1323"/>
      <c r="BN18" s="1323">
        <f t="shared" si="25"/>
        <v>0</v>
      </c>
      <c r="BO18" s="1323"/>
      <c r="BP18" s="1323">
        <f t="shared" si="26"/>
        <v>0</v>
      </c>
      <c r="BQ18" s="1323"/>
      <c r="BR18" s="1323">
        <f t="shared" si="27"/>
        <v>0</v>
      </c>
      <c r="BS18" s="1323"/>
      <c r="BT18" s="1323">
        <f t="shared" si="28"/>
        <v>0</v>
      </c>
      <c r="BU18" s="1323"/>
      <c r="BV18" s="1323">
        <f t="shared" si="29"/>
        <v>0</v>
      </c>
      <c r="BW18" s="1323"/>
      <c r="BX18" s="1323">
        <f t="shared" si="30"/>
        <v>0</v>
      </c>
      <c r="BY18" s="1323"/>
      <c r="BZ18" s="1323">
        <f t="shared" si="31"/>
        <v>0</v>
      </c>
      <c r="CA18" s="1323"/>
      <c r="CB18" s="1323">
        <f t="shared" si="32"/>
        <v>0</v>
      </c>
      <c r="CC18" s="1323"/>
      <c r="CD18" s="1323">
        <f t="shared" si="33"/>
        <v>0</v>
      </c>
      <c r="CE18" s="1323"/>
      <c r="CF18" s="1323">
        <f t="shared" si="34"/>
        <v>0</v>
      </c>
      <c r="CG18" s="1323"/>
      <c r="CH18" s="1323">
        <f t="shared" si="35"/>
        <v>0</v>
      </c>
      <c r="CI18" s="1323"/>
      <c r="CJ18" s="1323">
        <f t="shared" si="36"/>
        <v>0</v>
      </c>
      <c r="CK18" s="1323"/>
      <c r="CL18" s="1323">
        <f t="shared" si="37"/>
        <v>0</v>
      </c>
      <c r="CM18" s="1323"/>
      <c r="CN18" s="1323">
        <f t="shared" si="38"/>
        <v>0</v>
      </c>
      <c r="CO18" s="1323"/>
      <c r="CP18" s="1323">
        <f t="shared" si="39"/>
        <v>0</v>
      </c>
      <c r="CQ18" s="1323"/>
      <c r="CR18" s="1323">
        <f t="shared" si="40"/>
        <v>0</v>
      </c>
      <c r="CS18" s="1323"/>
      <c r="CT18" s="1323">
        <f t="shared" si="41"/>
        <v>0</v>
      </c>
      <c r="CU18" s="1323"/>
      <c r="CV18" s="1323">
        <f t="shared" si="42"/>
        <v>0</v>
      </c>
      <c r="CW18" s="1323"/>
      <c r="CX18" s="1323">
        <f t="shared" si="43"/>
        <v>0</v>
      </c>
      <c r="CY18" s="1323"/>
      <c r="CZ18" s="1323">
        <f t="shared" si="44"/>
        <v>0</v>
      </c>
      <c r="DA18" s="1323"/>
      <c r="DB18" s="1323">
        <f t="shared" si="45"/>
        <v>0</v>
      </c>
      <c r="DC18" s="1323"/>
      <c r="DD18" s="1323">
        <f t="shared" si="46"/>
        <v>0</v>
      </c>
      <c r="DE18" s="1323"/>
      <c r="DF18" s="1323">
        <f t="shared" si="47"/>
        <v>0</v>
      </c>
      <c r="DG18" s="1323"/>
      <c r="DH18" s="1323">
        <f t="shared" si="48"/>
        <v>0</v>
      </c>
      <c r="DI18" s="1323"/>
      <c r="DJ18" s="1323">
        <f t="shared" si="48"/>
        <v>0</v>
      </c>
      <c r="DK18" s="1323"/>
      <c r="DL18" s="1323">
        <f t="shared" si="48"/>
        <v>0</v>
      </c>
      <c r="DM18" s="1323"/>
      <c r="DN18" s="1323">
        <f t="shared" si="48"/>
        <v>0</v>
      </c>
      <c r="DO18" s="1323"/>
      <c r="DP18" s="1323">
        <f t="shared" si="48"/>
        <v>0</v>
      </c>
      <c r="DQ18" s="1323"/>
      <c r="DR18" s="1323">
        <f t="shared" si="48"/>
        <v>0</v>
      </c>
      <c r="DS18" s="1323"/>
      <c r="DT18" s="1323">
        <f t="shared" si="48"/>
        <v>0</v>
      </c>
      <c r="DU18" s="1323"/>
      <c r="DV18" s="1323">
        <f t="shared" si="48"/>
        <v>0</v>
      </c>
      <c r="DW18" s="1323"/>
      <c r="DX18" s="1323">
        <f t="shared" si="49"/>
        <v>0</v>
      </c>
      <c r="DY18" s="1323"/>
      <c r="DZ18" s="1323">
        <f t="shared" si="49"/>
        <v>0</v>
      </c>
      <c r="EA18" s="1323"/>
      <c r="EB18" s="1323">
        <f t="shared" si="49"/>
        <v>0</v>
      </c>
      <c r="EC18" s="1323"/>
      <c r="ED18" s="1323">
        <f t="shared" si="50"/>
        <v>0</v>
      </c>
      <c r="EE18" s="1323"/>
      <c r="EF18" s="1323">
        <f t="shared" si="50"/>
        <v>0</v>
      </c>
      <c r="EG18" s="1323"/>
      <c r="EH18" s="1323">
        <f t="shared" si="51"/>
        <v>0</v>
      </c>
      <c r="EI18" s="1323"/>
      <c r="EJ18" s="1323">
        <f t="shared" si="52"/>
        <v>0</v>
      </c>
      <c r="EK18" s="1323"/>
      <c r="EL18" s="1323">
        <f t="shared" si="53"/>
        <v>0</v>
      </c>
      <c r="EM18" s="1323"/>
      <c r="EN18" s="1323">
        <f t="shared" si="54"/>
        <v>0</v>
      </c>
      <c r="EO18" s="1323"/>
      <c r="EP18" s="1323">
        <f t="shared" si="54"/>
        <v>0</v>
      </c>
      <c r="EQ18" s="1323"/>
      <c r="ER18" s="1323">
        <f t="shared" si="55"/>
        <v>0</v>
      </c>
      <c r="ES18" s="1323"/>
      <c r="ET18" s="1323">
        <f t="shared" si="56"/>
        <v>0</v>
      </c>
      <c r="EU18" s="1323"/>
      <c r="EV18" s="1323">
        <f t="shared" si="57"/>
        <v>0</v>
      </c>
      <c r="EW18" s="1323"/>
      <c r="EX18" s="1323">
        <f t="shared" si="58"/>
        <v>0</v>
      </c>
      <c r="EY18" s="1323"/>
      <c r="EZ18" s="1323">
        <f t="shared" si="59"/>
        <v>0</v>
      </c>
      <c r="FA18" s="1323"/>
      <c r="FB18" s="1323">
        <f t="shared" si="60"/>
        <v>0</v>
      </c>
      <c r="FC18" s="1323"/>
      <c r="FD18" s="1323">
        <f t="shared" si="61"/>
        <v>0</v>
      </c>
      <c r="FE18" s="1323"/>
      <c r="FF18" s="1323">
        <f t="shared" si="62"/>
        <v>0</v>
      </c>
      <c r="FG18" s="1323"/>
      <c r="FH18" s="1323">
        <f t="shared" si="63"/>
        <v>0</v>
      </c>
      <c r="FI18" s="1323"/>
      <c r="FJ18" s="1323">
        <f t="shared" si="64"/>
        <v>0</v>
      </c>
      <c r="FK18" s="1323"/>
      <c r="FL18" s="1323">
        <f t="shared" si="65"/>
        <v>0</v>
      </c>
      <c r="FM18" s="1323"/>
      <c r="FN18" s="1323">
        <f t="shared" si="66"/>
        <v>0</v>
      </c>
      <c r="FO18" s="1323"/>
      <c r="FP18" s="1323">
        <f t="shared" si="67"/>
        <v>0</v>
      </c>
      <c r="FQ18" s="1323"/>
      <c r="FR18" s="1323">
        <f t="shared" si="68"/>
        <v>0</v>
      </c>
      <c r="FS18" s="1323"/>
      <c r="FT18" s="1323">
        <f t="shared" si="69"/>
        <v>0</v>
      </c>
      <c r="FU18" s="1323"/>
      <c r="FV18" s="1323">
        <f t="shared" si="70"/>
        <v>0</v>
      </c>
      <c r="FW18" s="1323"/>
      <c r="FX18" s="1323">
        <f t="shared" si="71"/>
        <v>0</v>
      </c>
      <c r="FY18" s="1323"/>
      <c r="FZ18" s="1323">
        <f t="shared" si="72"/>
        <v>0</v>
      </c>
      <c r="GA18" s="1323"/>
      <c r="GB18" s="1323">
        <f t="shared" si="73"/>
        <v>0</v>
      </c>
      <c r="GC18" s="1323"/>
      <c r="GD18" s="1323">
        <f t="shared" si="74"/>
        <v>0</v>
      </c>
      <c r="GE18" s="1323"/>
      <c r="GF18" s="1323">
        <f t="shared" si="75"/>
        <v>0</v>
      </c>
      <c r="GG18" s="1323"/>
      <c r="GH18" s="1323">
        <f t="shared" si="76"/>
        <v>0</v>
      </c>
      <c r="GI18" s="1323"/>
      <c r="GJ18" s="1323">
        <f t="shared" si="77"/>
        <v>0</v>
      </c>
      <c r="GK18" s="1323"/>
      <c r="GL18" s="1323">
        <f t="shared" si="78"/>
        <v>0</v>
      </c>
      <c r="GM18" s="1323"/>
      <c r="GN18" s="1323">
        <f t="shared" si="79"/>
        <v>0</v>
      </c>
      <c r="GO18" s="1323"/>
      <c r="GP18" s="1323">
        <f t="shared" si="80"/>
        <v>0</v>
      </c>
      <c r="GQ18" s="1323"/>
      <c r="GR18" s="1323">
        <f t="shared" si="81"/>
        <v>0</v>
      </c>
      <c r="GS18" s="1323"/>
      <c r="GT18" s="1323">
        <f t="shared" si="82"/>
        <v>0</v>
      </c>
      <c r="GU18" s="1323"/>
      <c r="GV18" s="1323">
        <f t="shared" si="83"/>
        <v>0</v>
      </c>
      <c r="GW18" s="1323"/>
      <c r="GX18" s="1323">
        <f t="shared" si="84"/>
        <v>0</v>
      </c>
      <c r="GY18" s="1323"/>
      <c r="GZ18" s="1323">
        <f t="shared" si="85"/>
        <v>0</v>
      </c>
    </row>
    <row r="19" spans="1:208" hidden="1">
      <c r="A19" s="1318"/>
      <c r="B19" s="1318"/>
      <c r="C19" s="1321"/>
      <c r="D19" s="1321">
        <f t="shared" si="1"/>
        <v>0</v>
      </c>
      <c r="E19" s="1321"/>
      <c r="F19" s="1321">
        <f t="shared" si="0"/>
        <v>0</v>
      </c>
      <c r="G19" s="1322"/>
      <c r="H19" s="1322">
        <f t="shared" si="0"/>
        <v>0</v>
      </c>
      <c r="I19" s="1322"/>
      <c r="J19" s="1322">
        <f t="shared" si="0"/>
        <v>0</v>
      </c>
      <c r="K19" s="1322"/>
      <c r="L19" s="1322">
        <f t="shared" si="0"/>
        <v>0</v>
      </c>
      <c r="M19" s="1322"/>
      <c r="N19" s="1322">
        <f t="shared" si="0"/>
        <v>0</v>
      </c>
      <c r="O19" s="1322"/>
      <c r="P19" s="1322">
        <f t="shared" si="0"/>
        <v>0</v>
      </c>
      <c r="Q19" s="1322"/>
      <c r="R19" s="1322">
        <f t="shared" si="0"/>
        <v>0</v>
      </c>
      <c r="S19" s="1322"/>
      <c r="T19" s="1322">
        <f t="shared" si="2"/>
        <v>0</v>
      </c>
      <c r="U19" s="1322"/>
      <c r="V19" s="1322">
        <f t="shared" si="3"/>
        <v>0</v>
      </c>
      <c r="W19" s="1322"/>
      <c r="X19" s="1322">
        <f t="shared" si="4"/>
        <v>0</v>
      </c>
      <c r="Y19" s="1322"/>
      <c r="Z19" s="1322">
        <f t="shared" si="5"/>
        <v>0</v>
      </c>
      <c r="AA19" s="1322"/>
      <c r="AB19" s="1322">
        <f t="shared" si="6"/>
        <v>0</v>
      </c>
      <c r="AC19" s="1322"/>
      <c r="AD19" s="1322">
        <f t="shared" si="7"/>
        <v>0</v>
      </c>
      <c r="AE19" s="1322"/>
      <c r="AF19" s="1322">
        <f t="shared" si="8"/>
        <v>0</v>
      </c>
      <c r="AG19" s="1322"/>
      <c r="AH19" s="1322">
        <f t="shared" si="9"/>
        <v>0</v>
      </c>
      <c r="AI19" s="1322"/>
      <c r="AJ19" s="1322">
        <f t="shared" si="10"/>
        <v>0</v>
      </c>
      <c r="AK19" s="1322"/>
      <c r="AL19" s="1322">
        <f t="shared" si="11"/>
        <v>0</v>
      </c>
      <c r="AM19" s="1322"/>
      <c r="AN19" s="1322">
        <f t="shared" si="12"/>
        <v>0</v>
      </c>
      <c r="AO19" s="1322"/>
      <c r="AP19" s="1322">
        <f t="shared" si="13"/>
        <v>0</v>
      </c>
      <c r="AQ19" s="1322"/>
      <c r="AR19" s="1322">
        <f t="shared" si="14"/>
        <v>0</v>
      </c>
      <c r="AS19" s="1322"/>
      <c r="AT19" s="1322">
        <f t="shared" si="15"/>
        <v>0</v>
      </c>
      <c r="AU19" s="1322"/>
      <c r="AV19" s="1322">
        <f t="shared" si="16"/>
        <v>0</v>
      </c>
      <c r="AW19" s="1322"/>
      <c r="AX19" s="1322">
        <f t="shared" si="17"/>
        <v>0</v>
      </c>
      <c r="AY19" s="1322"/>
      <c r="AZ19" s="1322">
        <f t="shared" si="18"/>
        <v>0</v>
      </c>
      <c r="BA19" s="1322"/>
      <c r="BB19" s="1322">
        <f t="shared" si="19"/>
        <v>0</v>
      </c>
      <c r="BC19" s="1322"/>
      <c r="BD19" s="1322">
        <f t="shared" si="20"/>
        <v>0</v>
      </c>
      <c r="BE19" s="1322"/>
      <c r="BF19" s="1322">
        <f t="shared" si="21"/>
        <v>0</v>
      </c>
      <c r="BG19" s="1322"/>
      <c r="BH19" s="1322">
        <f t="shared" si="22"/>
        <v>0</v>
      </c>
      <c r="BI19" s="1322"/>
      <c r="BJ19" s="1322">
        <f t="shared" si="23"/>
        <v>0</v>
      </c>
      <c r="BK19" s="1322"/>
      <c r="BL19" s="1322">
        <f t="shared" si="24"/>
        <v>0</v>
      </c>
      <c r="BM19" s="1322"/>
      <c r="BN19" s="1322">
        <f t="shared" si="25"/>
        <v>0</v>
      </c>
      <c r="BO19" s="1322"/>
      <c r="BP19" s="1322">
        <f t="shared" si="26"/>
        <v>0</v>
      </c>
      <c r="BQ19" s="1322"/>
      <c r="BR19" s="1322">
        <f t="shared" si="27"/>
        <v>0</v>
      </c>
      <c r="BS19" s="1322"/>
      <c r="BT19" s="1322">
        <f t="shared" si="28"/>
        <v>0</v>
      </c>
      <c r="BU19" s="1322"/>
      <c r="BV19" s="1322">
        <f t="shared" si="29"/>
        <v>0</v>
      </c>
      <c r="BW19" s="1322"/>
      <c r="BX19" s="1322">
        <f t="shared" si="30"/>
        <v>0</v>
      </c>
      <c r="BY19" s="1322"/>
      <c r="BZ19" s="1322">
        <f t="shared" si="31"/>
        <v>0</v>
      </c>
      <c r="CA19" s="1322"/>
      <c r="CB19" s="1322">
        <f t="shared" si="32"/>
        <v>0</v>
      </c>
      <c r="CC19" s="1322"/>
      <c r="CD19" s="1322">
        <f t="shared" si="33"/>
        <v>0</v>
      </c>
      <c r="CE19" s="1322"/>
      <c r="CF19" s="1322">
        <f t="shared" si="34"/>
        <v>0</v>
      </c>
      <c r="CG19" s="1322"/>
      <c r="CH19" s="1322">
        <f t="shared" si="35"/>
        <v>0</v>
      </c>
      <c r="CI19" s="1322"/>
      <c r="CJ19" s="1322">
        <f t="shared" si="36"/>
        <v>0</v>
      </c>
      <c r="CK19" s="1322"/>
      <c r="CL19" s="1322">
        <f t="shared" si="37"/>
        <v>0</v>
      </c>
      <c r="CM19" s="1322"/>
      <c r="CN19" s="1322">
        <f t="shared" si="38"/>
        <v>0</v>
      </c>
      <c r="CO19" s="1322"/>
      <c r="CP19" s="1322">
        <f t="shared" si="39"/>
        <v>0</v>
      </c>
      <c r="CQ19" s="1322"/>
      <c r="CR19" s="1322">
        <f t="shared" si="40"/>
        <v>0</v>
      </c>
      <c r="CS19" s="1322"/>
      <c r="CT19" s="1322">
        <f t="shared" si="41"/>
        <v>0</v>
      </c>
      <c r="CU19" s="1322"/>
      <c r="CV19" s="1322">
        <f t="shared" si="42"/>
        <v>0</v>
      </c>
      <c r="CW19" s="1322"/>
      <c r="CX19" s="1322">
        <f t="shared" si="43"/>
        <v>0</v>
      </c>
      <c r="CY19" s="1322"/>
      <c r="CZ19" s="1322">
        <f t="shared" si="44"/>
        <v>0</v>
      </c>
      <c r="DA19" s="1322"/>
      <c r="DB19" s="1322">
        <f t="shared" si="45"/>
        <v>0</v>
      </c>
      <c r="DC19" s="1322"/>
      <c r="DD19" s="1322">
        <f t="shared" si="46"/>
        <v>0</v>
      </c>
      <c r="DE19" s="1322"/>
      <c r="DF19" s="1322">
        <f t="shared" si="47"/>
        <v>0</v>
      </c>
      <c r="DG19" s="1322"/>
      <c r="DH19" s="1322">
        <f t="shared" si="48"/>
        <v>0</v>
      </c>
      <c r="DI19" s="1322"/>
      <c r="DJ19" s="1322">
        <f t="shared" si="48"/>
        <v>0</v>
      </c>
      <c r="DK19" s="1322"/>
      <c r="DL19" s="1322">
        <f t="shared" si="48"/>
        <v>0</v>
      </c>
      <c r="DM19" s="1322"/>
      <c r="DN19" s="1322">
        <f t="shared" si="48"/>
        <v>0</v>
      </c>
      <c r="DO19" s="1322"/>
      <c r="DP19" s="1322">
        <f t="shared" si="48"/>
        <v>0</v>
      </c>
      <c r="DQ19" s="1322"/>
      <c r="DR19" s="1322">
        <f t="shared" si="48"/>
        <v>0</v>
      </c>
      <c r="DS19" s="1322"/>
      <c r="DT19" s="1322">
        <f t="shared" si="48"/>
        <v>0</v>
      </c>
      <c r="DU19" s="1322"/>
      <c r="DV19" s="1322">
        <f t="shared" si="48"/>
        <v>0</v>
      </c>
      <c r="DW19" s="1322"/>
      <c r="DX19" s="1322">
        <f t="shared" si="49"/>
        <v>0</v>
      </c>
      <c r="DY19" s="1322"/>
      <c r="DZ19" s="1322">
        <f t="shared" si="49"/>
        <v>0</v>
      </c>
      <c r="EA19" s="1322"/>
      <c r="EB19" s="1322">
        <f t="shared" si="49"/>
        <v>0</v>
      </c>
      <c r="EC19" s="1322"/>
      <c r="ED19" s="1322">
        <f t="shared" si="50"/>
        <v>0</v>
      </c>
      <c r="EE19" s="1322"/>
      <c r="EF19" s="1322">
        <f t="shared" si="50"/>
        <v>0</v>
      </c>
      <c r="EG19" s="1322"/>
      <c r="EH19" s="1322">
        <f t="shared" si="51"/>
        <v>0</v>
      </c>
      <c r="EI19" s="1322"/>
      <c r="EJ19" s="1322">
        <f t="shared" si="52"/>
        <v>0</v>
      </c>
      <c r="EK19" s="1322"/>
      <c r="EL19" s="1322">
        <f t="shared" si="53"/>
        <v>0</v>
      </c>
      <c r="EM19" s="1322"/>
      <c r="EN19" s="1322">
        <f t="shared" si="54"/>
        <v>0</v>
      </c>
      <c r="EO19" s="1322"/>
      <c r="EP19" s="1322">
        <f t="shared" si="54"/>
        <v>0</v>
      </c>
      <c r="EQ19" s="1322"/>
      <c r="ER19" s="1322">
        <f t="shared" si="55"/>
        <v>0</v>
      </c>
      <c r="ES19" s="1322"/>
      <c r="ET19" s="1322">
        <f t="shared" si="56"/>
        <v>0</v>
      </c>
      <c r="EU19" s="1322"/>
      <c r="EV19" s="1322">
        <f t="shared" si="57"/>
        <v>0</v>
      </c>
      <c r="EW19" s="1322"/>
      <c r="EX19" s="1322">
        <f t="shared" si="58"/>
        <v>0</v>
      </c>
      <c r="EY19" s="1322"/>
      <c r="EZ19" s="1322">
        <f t="shared" si="59"/>
        <v>0</v>
      </c>
      <c r="FA19" s="1322"/>
      <c r="FB19" s="1322">
        <f t="shared" si="60"/>
        <v>0</v>
      </c>
      <c r="FC19" s="1322"/>
      <c r="FD19" s="1322">
        <f t="shared" si="61"/>
        <v>0</v>
      </c>
      <c r="FE19" s="1322"/>
      <c r="FF19" s="1322">
        <f t="shared" si="62"/>
        <v>0</v>
      </c>
      <c r="FG19" s="1322"/>
      <c r="FH19" s="1322">
        <f t="shared" si="63"/>
        <v>0</v>
      </c>
      <c r="FI19" s="1322"/>
      <c r="FJ19" s="1322">
        <f t="shared" si="64"/>
        <v>0</v>
      </c>
      <c r="FK19" s="1322"/>
      <c r="FL19" s="1322">
        <f t="shared" si="65"/>
        <v>0</v>
      </c>
      <c r="FM19" s="1322"/>
      <c r="FN19" s="1322">
        <f t="shared" si="66"/>
        <v>0</v>
      </c>
      <c r="FO19" s="1322"/>
      <c r="FP19" s="1322">
        <f t="shared" si="67"/>
        <v>0</v>
      </c>
      <c r="FQ19" s="1322"/>
      <c r="FR19" s="1322">
        <f t="shared" si="68"/>
        <v>0</v>
      </c>
      <c r="FS19" s="1322"/>
      <c r="FT19" s="1322">
        <f t="shared" si="69"/>
        <v>0</v>
      </c>
      <c r="FU19" s="1322"/>
      <c r="FV19" s="1322">
        <f t="shared" si="70"/>
        <v>0</v>
      </c>
      <c r="FW19" s="1322"/>
      <c r="FX19" s="1322">
        <f t="shared" si="71"/>
        <v>0</v>
      </c>
      <c r="FY19" s="1322"/>
      <c r="FZ19" s="1322">
        <f t="shared" si="72"/>
        <v>0</v>
      </c>
      <c r="GA19" s="1322"/>
      <c r="GB19" s="1322">
        <f t="shared" si="73"/>
        <v>0</v>
      </c>
      <c r="GC19" s="1322"/>
      <c r="GD19" s="1322">
        <f t="shared" si="74"/>
        <v>0</v>
      </c>
      <c r="GE19" s="1322"/>
      <c r="GF19" s="1322">
        <f t="shared" si="75"/>
        <v>0</v>
      </c>
      <c r="GG19" s="1322"/>
      <c r="GH19" s="1322">
        <f t="shared" si="76"/>
        <v>0</v>
      </c>
      <c r="GI19" s="1322"/>
      <c r="GJ19" s="1322">
        <f t="shared" si="77"/>
        <v>0</v>
      </c>
      <c r="GK19" s="1322"/>
      <c r="GL19" s="1322">
        <f t="shared" si="78"/>
        <v>0</v>
      </c>
      <c r="GM19" s="1322"/>
      <c r="GN19" s="1322">
        <f t="shared" si="79"/>
        <v>0</v>
      </c>
      <c r="GO19" s="1322"/>
      <c r="GP19" s="1322">
        <f t="shared" si="80"/>
        <v>0</v>
      </c>
      <c r="GQ19" s="1322"/>
      <c r="GR19" s="1322">
        <f t="shared" si="81"/>
        <v>0</v>
      </c>
      <c r="GS19" s="1322"/>
      <c r="GT19" s="1322">
        <f t="shared" si="82"/>
        <v>0</v>
      </c>
      <c r="GU19" s="1322"/>
      <c r="GV19" s="1322">
        <f t="shared" si="83"/>
        <v>0</v>
      </c>
      <c r="GW19" s="1322"/>
      <c r="GX19" s="1322">
        <f t="shared" si="84"/>
        <v>0</v>
      </c>
      <c r="GY19" s="1322"/>
      <c r="GZ19" s="1322">
        <f t="shared" si="85"/>
        <v>0</v>
      </c>
    </row>
    <row r="20" spans="1:208" hidden="1">
      <c r="A20" s="1318"/>
      <c r="B20" s="1318"/>
      <c r="C20" s="1321"/>
      <c r="D20" s="1321">
        <f t="shared" si="1"/>
        <v>0</v>
      </c>
      <c r="E20" s="1321"/>
      <c r="F20" s="1321">
        <f t="shared" si="0"/>
        <v>0</v>
      </c>
      <c r="G20" s="1322"/>
      <c r="H20" s="1322">
        <f t="shared" si="0"/>
        <v>0</v>
      </c>
      <c r="I20" s="1322"/>
      <c r="J20" s="1322">
        <f t="shared" si="0"/>
        <v>0</v>
      </c>
      <c r="K20" s="1322"/>
      <c r="L20" s="1322">
        <f t="shared" si="0"/>
        <v>0</v>
      </c>
      <c r="M20" s="1322"/>
      <c r="N20" s="1322">
        <f t="shared" si="0"/>
        <v>0</v>
      </c>
      <c r="O20" s="1322"/>
      <c r="P20" s="1322">
        <f t="shared" si="0"/>
        <v>0</v>
      </c>
      <c r="Q20" s="1322"/>
      <c r="R20" s="1322">
        <f t="shared" si="0"/>
        <v>0</v>
      </c>
      <c r="S20" s="1322"/>
      <c r="T20" s="1322">
        <f t="shared" si="2"/>
        <v>0</v>
      </c>
      <c r="U20" s="1322"/>
      <c r="V20" s="1322">
        <f t="shared" si="3"/>
        <v>0</v>
      </c>
      <c r="W20" s="1322"/>
      <c r="X20" s="1322">
        <f t="shared" si="4"/>
        <v>0</v>
      </c>
      <c r="Y20" s="1322"/>
      <c r="Z20" s="1322">
        <f t="shared" si="5"/>
        <v>0</v>
      </c>
      <c r="AA20" s="1322"/>
      <c r="AB20" s="1322">
        <f t="shared" si="6"/>
        <v>0</v>
      </c>
      <c r="AC20" s="1322"/>
      <c r="AD20" s="1322">
        <f t="shared" si="7"/>
        <v>0</v>
      </c>
      <c r="AE20" s="1322"/>
      <c r="AF20" s="1322">
        <f t="shared" si="8"/>
        <v>0</v>
      </c>
      <c r="AG20" s="1322"/>
      <c r="AH20" s="1322">
        <f t="shared" si="9"/>
        <v>0</v>
      </c>
      <c r="AI20" s="1322"/>
      <c r="AJ20" s="1322">
        <f t="shared" si="10"/>
        <v>0</v>
      </c>
      <c r="AK20" s="1322"/>
      <c r="AL20" s="1322">
        <f t="shared" si="11"/>
        <v>0</v>
      </c>
      <c r="AM20" s="1322"/>
      <c r="AN20" s="1322">
        <f t="shared" si="12"/>
        <v>0</v>
      </c>
      <c r="AO20" s="1322"/>
      <c r="AP20" s="1322">
        <f t="shared" si="13"/>
        <v>0</v>
      </c>
      <c r="AQ20" s="1322"/>
      <c r="AR20" s="1322">
        <f t="shared" si="14"/>
        <v>0</v>
      </c>
      <c r="AS20" s="1322"/>
      <c r="AT20" s="1322">
        <f t="shared" si="15"/>
        <v>0</v>
      </c>
      <c r="AU20" s="1322"/>
      <c r="AV20" s="1322">
        <f t="shared" si="16"/>
        <v>0</v>
      </c>
      <c r="AW20" s="1322"/>
      <c r="AX20" s="1322">
        <f t="shared" si="17"/>
        <v>0</v>
      </c>
      <c r="AY20" s="1322"/>
      <c r="AZ20" s="1322">
        <f t="shared" si="18"/>
        <v>0</v>
      </c>
      <c r="BA20" s="1322"/>
      <c r="BB20" s="1322">
        <f t="shared" si="19"/>
        <v>0</v>
      </c>
      <c r="BC20" s="1322"/>
      <c r="BD20" s="1322">
        <f t="shared" si="20"/>
        <v>0</v>
      </c>
      <c r="BE20" s="1322"/>
      <c r="BF20" s="1322">
        <f t="shared" si="21"/>
        <v>0</v>
      </c>
      <c r="BG20" s="1322"/>
      <c r="BH20" s="1322">
        <f t="shared" si="22"/>
        <v>0</v>
      </c>
      <c r="BI20" s="1322"/>
      <c r="BJ20" s="1322">
        <f t="shared" si="23"/>
        <v>0</v>
      </c>
      <c r="BK20" s="1322"/>
      <c r="BL20" s="1322">
        <f t="shared" si="24"/>
        <v>0</v>
      </c>
      <c r="BM20" s="1322"/>
      <c r="BN20" s="1322">
        <f t="shared" si="25"/>
        <v>0</v>
      </c>
      <c r="BO20" s="1322"/>
      <c r="BP20" s="1322">
        <f t="shared" si="26"/>
        <v>0</v>
      </c>
      <c r="BQ20" s="1322"/>
      <c r="BR20" s="1322">
        <f t="shared" si="27"/>
        <v>0</v>
      </c>
      <c r="BS20" s="1322"/>
      <c r="BT20" s="1322">
        <f t="shared" si="28"/>
        <v>0</v>
      </c>
      <c r="BU20" s="1322"/>
      <c r="BV20" s="1322">
        <f t="shared" si="29"/>
        <v>0</v>
      </c>
      <c r="BW20" s="1322"/>
      <c r="BX20" s="1322">
        <f t="shared" si="30"/>
        <v>0</v>
      </c>
      <c r="BY20" s="1322"/>
      <c r="BZ20" s="1322">
        <f t="shared" si="31"/>
        <v>0</v>
      </c>
      <c r="CA20" s="1322"/>
      <c r="CB20" s="1322">
        <f t="shared" si="32"/>
        <v>0</v>
      </c>
      <c r="CC20" s="1322"/>
      <c r="CD20" s="1322">
        <f t="shared" si="33"/>
        <v>0</v>
      </c>
      <c r="CE20" s="1322"/>
      <c r="CF20" s="1322">
        <f t="shared" si="34"/>
        <v>0</v>
      </c>
      <c r="CG20" s="1322"/>
      <c r="CH20" s="1322">
        <f t="shared" si="35"/>
        <v>0</v>
      </c>
      <c r="CI20" s="1322"/>
      <c r="CJ20" s="1322">
        <f t="shared" si="36"/>
        <v>0</v>
      </c>
      <c r="CK20" s="1322"/>
      <c r="CL20" s="1322">
        <f t="shared" si="37"/>
        <v>0</v>
      </c>
      <c r="CM20" s="1322"/>
      <c r="CN20" s="1322">
        <f t="shared" si="38"/>
        <v>0</v>
      </c>
      <c r="CO20" s="1322"/>
      <c r="CP20" s="1322">
        <f t="shared" si="39"/>
        <v>0</v>
      </c>
      <c r="CQ20" s="1322"/>
      <c r="CR20" s="1322">
        <f t="shared" si="40"/>
        <v>0</v>
      </c>
      <c r="CS20" s="1322"/>
      <c r="CT20" s="1322">
        <f t="shared" si="41"/>
        <v>0</v>
      </c>
      <c r="CU20" s="1322"/>
      <c r="CV20" s="1322">
        <f t="shared" si="42"/>
        <v>0</v>
      </c>
      <c r="CW20" s="1322"/>
      <c r="CX20" s="1322">
        <f t="shared" si="43"/>
        <v>0</v>
      </c>
      <c r="CY20" s="1322"/>
      <c r="CZ20" s="1322">
        <f t="shared" si="44"/>
        <v>0</v>
      </c>
      <c r="DA20" s="1322"/>
      <c r="DB20" s="1322">
        <f t="shared" si="45"/>
        <v>0</v>
      </c>
      <c r="DC20" s="1322"/>
      <c r="DD20" s="1322">
        <f t="shared" si="46"/>
        <v>0</v>
      </c>
      <c r="DE20" s="1322"/>
      <c r="DF20" s="1322">
        <f t="shared" si="47"/>
        <v>0</v>
      </c>
      <c r="DG20" s="1322"/>
      <c r="DH20" s="1322">
        <f t="shared" si="48"/>
        <v>0</v>
      </c>
      <c r="DI20" s="1322"/>
      <c r="DJ20" s="1322">
        <f t="shared" si="48"/>
        <v>0</v>
      </c>
      <c r="DK20" s="1322"/>
      <c r="DL20" s="1322">
        <f t="shared" si="48"/>
        <v>0</v>
      </c>
      <c r="DM20" s="1322"/>
      <c r="DN20" s="1322">
        <f t="shared" si="48"/>
        <v>0</v>
      </c>
      <c r="DO20" s="1322"/>
      <c r="DP20" s="1322">
        <f t="shared" si="48"/>
        <v>0</v>
      </c>
      <c r="DQ20" s="1322"/>
      <c r="DR20" s="1322">
        <f t="shared" si="48"/>
        <v>0</v>
      </c>
      <c r="DS20" s="1322"/>
      <c r="DT20" s="1322">
        <f t="shared" si="48"/>
        <v>0</v>
      </c>
      <c r="DU20" s="1322"/>
      <c r="DV20" s="1322">
        <f t="shared" si="48"/>
        <v>0</v>
      </c>
      <c r="DW20" s="1322"/>
      <c r="DX20" s="1322">
        <f t="shared" si="49"/>
        <v>0</v>
      </c>
      <c r="DY20" s="1322"/>
      <c r="DZ20" s="1322">
        <f t="shared" si="49"/>
        <v>0</v>
      </c>
      <c r="EA20" s="1322"/>
      <c r="EB20" s="1322">
        <f t="shared" si="49"/>
        <v>0</v>
      </c>
      <c r="EC20" s="1322"/>
      <c r="ED20" s="1322">
        <f t="shared" si="50"/>
        <v>0</v>
      </c>
      <c r="EE20" s="1322"/>
      <c r="EF20" s="1322">
        <f t="shared" si="50"/>
        <v>0</v>
      </c>
      <c r="EG20" s="1322"/>
      <c r="EH20" s="1322">
        <f t="shared" si="51"/>
        <v>0</v>
      </c>
      <c r="EI20" s="1322"/>
      <c r="EJ20" s="1322">
        <f t="shared" si="52"/>
        <v>0</v>
      </c>
      <c r="EK20" s="1322"/>
      <c r="EL20" s="1322">
        <f t="shared" si="53"/>
        <v>0</v>
      </c>
      <c r="EM20" s="1322"/>
      <c r="EN20" s="1322">
        <f t="shared" si="54"/>
        <v>0</v>
      </c>
      <c r="EO20" s="1322"/>
      <c r="EP20" s="1322">
        <f t="shared" si="54"/>
        <v>0</v>
      </c>
      <c r="EQ20" s="1322"/>
      <c r="ER20" s="1322">
        <f t="shared" si="55"/>
        <v>0</v>
      </c>
      <c r="ES20" s="1322"/>
      <c r="ET20" s="1322">
        <f t="shared" si="56"/>
        <v>0</v>
      </c>
      <c r="EU20" s="1322"/>
      <c r="EV20" s="1322">
        <f t="shared" si="57"/>
        <v>0</v>
      </c>
      <c r="EW20" s="1322"/>
      <c r="EX20" s="1322">
        <f t="shared" si="58"/>
        <v>0</v>
      </c>
      <c r="EY20" s="1322"/>
      <c r="EZ20" s="1322">
        <f t="shared" si="59"/>
        <v>0</v>
      </c>
      <c r="FA20" s="1322"/>
      <c r="FB20" s="1322">
        <f t="shared" si="60"/>
        <v>0</v>
      </c>
      <c r="FC20" s="1322"/>
      <c r="FD20" s="1322">
        <f t="shared" si="61"/>
        <v>0</v>
      </c>
      <c r="FE20" s="1322"/>
      <c r="FF20" s="1322">
        <f t="shared" si="62"/>
        <v>0</v>
      </c>
      <c r="FG20" s="1322"/>
      <c r="FH20" s="1322">
        <f t="shared" si="63"/>
        <v>0</v>
      </c>
      <c r="FI20" s="1322"/>
      <c r="FJ20" s="1322">
        <f t="shared" si="64"/>
        <v>0</v>
      </c>
      <c r="FK20" s="1322"/>
      <c r="FL20" s="1322">
        <f t="shared" si="65"/>
        <v>0</v>
      </c>
      <c r="FM20" s="1322"/>
      <c r="FN20" s="1322">
        <f t="shared" si="66"/>
        <v>0</v>
      </c>
      <c r="FO20" s="1322"/>
      <c r="FP20" s="1322">
        <f t="shared" si="67"/>
        <v>0</v>
      </c>
      <c r="FQ20" s="1322"/>
      <c r="FR20" s="1322">
        <f t="shared" si="68"/>
        <v>0</v>
      </c>
      <c r="FS20" s="1322"/>
      <c r="FT20" s="1322">
        <f t="shared" si="69"/>
        <v>0</v>
      </c>
      <c r="FU20" s="1322"/>
      <c r="FV20" s="1322">
        <f t="shared" si="70"/>
        <v>0</v>
      </c>
      <c r="FW20" s="1322"/>
      <c r="FX20" s="1322">
        <f t="shared" si="71"/>
        <v>0</v>
      </c>
      <c r="FY20" s="1322"/>
      <c r="FZ20" s="1322">
        <f t="shared" si="72"/>
        <v>0</v>
      </c>
      <c r="GA20" s="1322"/>
      <c r="GB20" s="1322">
        <f t="shared" si="73"/>
        <v>0</v>
      </c>
      <c r="GC20" s="1322"/>
      <c r="GD20" s="1322">
        <f t="shared" si="74"/>
        <v>0</v>
      </c>
      <c r="GE20" s="1322"/>
      <c r="GF20" s="1322">
        <f t="shared" si="75"/>
        <v>0</v>
      </c>
      <c r="GG20" s="1322"/>
      <c r="GH20" s="1322">
        <f t="shared" si="76"/>
        <v>0</v>
      </c>
      <c r="GI20" s="1322"/>
      <c r="GJ20" s="1322">
        <f t="shared" si="77"/>
        <v>0</v>
      </c>
      <c r="GK20" s="1322"/>
      <c r="GL20" s="1322">
        <f t="shared" si="78"/>
        <v>0</v>
      </c>
      <c r="GM20" s="1322"/>
      <c r="GN20" s="1322">
        <f t="shared" si="79"/>
        <v>0</v>
      </c>
      <c r="GO20" s="1322"/>
      <c r="GP20" s="1322">
        <f t="shared" si="80"/>
        <v>0</v>
      </c>
      <c r="GQ20" s="1322"/>
      <c r="GR20" s="1322">
        <f t="shared" si="81"/>
        <v>0</v>
      </c>
      <c r="GS20" s="1322"/>
      <c r="GT20" s="1322">
        <f t="shared" si="82"/>
        <v>0</v>
      </c>
      <c r="GU20" s="1322"/>
      <c r="GV20" s="1322">
        <f t="shared" si="83"/>
        <v>0</v>
      </c>
      <c r="GW20" s="1322"/>
      <c r="GX20" s="1322">
        <f t="shared" si="84"/>
        <v>0</v>
      </c>
      <c r="GY20" s="1322"/>
      <c r="GZ20" s="1322">
        <f t="shared" si="85"/>
        <v>0</v>
      </c>
    </row>
    <row r="21" spans="1:208" hidden="1">
      <c r="A21" s="1318"/>
      <c r="B21" s="1318"/>
      <c r="C21" s="1321"/>
      <c r="D21" s="1321">
        <f t="shared" si="1"/>
        <v>0</v>
      </c>
      <c r="E21" s="1321"/>
      <c r="F21" s="1321">
        <f t="shared" si="0"/>
        <v>0</v>
      </c>
      <c r="G21" s="1322"/>
      <c r="H21" s="1322">
        <f t="shared" si="0"/>
        <v>0</v>
      </c>
      <c r="I21" s="1322"/>
      <c r="J21" s="1322">
        <f t="shared" si="0"/>
        <v>0</v>
      </c>
      <c r="K21" s="1322"/>
      <c r="L21" s="1322">
        <f t="shared" si="0"/>
        <v>0</v>
      </c>
      <c r="M21" s="1322"/>
      <c r="N21" s="1322">
        <f t="shared" si="0"/>
        <v>0</v>
      </c>
      <c r="O21" s="1322"/>
      <c r="P21" s="1322">
        <f t="shared" si="0"/>
        <v>0</v>
      </c>
      <c r="Q21" s="1322"/>
      <c r="R21" s="1322">
        <f t="shared" si="0"/>
        <v>0</v>
      </c>
      <c r="S21" s="1322"/>
      <c r="T21" s="1322">
        <f t="shared" si="2"/>
        <v>0</v>
      </c>
      <c r="U21" s="1322"/>
      <c r="V21" s="1322">
        <f t="shared" si="3"/>
        <v>0</v>
      </c>
      <c r="W21" s="1322"/>
      <c r="X21" s="1322">
        <f t="shared" si="4"/>
        <v>0</v>
      </c>
      <c r="Y21" s="1322"/>
      <c r="Z21" s="1322">
        <f t="shared" si="5"/>
        <v>0</v>
      </c>
      <c r="AA21" s="1322"/>
      <c r="AB21" s="1322">
        <f t="shared" si="6"/>
        <v>0</v>
      </c>
      <c r="AC21" s="1322"/>
      <c r="AD21" s="1322">
        <f t="shared" si="7"/>
        <v>0</v>
      </c>
      <c r="AE21" s="1322"/>
      <c r="AF21" s="1322">
        <f t="shared" si="8"/>
        <v>0</v>
      </c>
      <c r="AG21" s="1322"/>
      <c r="AH21" s="1322">
        <f t="shared" si="9"/>
        <v>0</v>
      </c>
      <c r="AI21" s="1322"/>
      <c r="AJ21" s="1322">
        <f t="shared" si="10"/>
        <v>0</v>
      </c>
      <c r="AK21" s="1322"/>
      <c r="AL21" s="1322">
        <f t="shared" si="11"/>
        <v>0</v>
      </c>
      <c r="AM21" s="1322"/>
      <c r="AN21" s="1322">
        <f t="shared" si="12"/>
        <v>0</v>
      </c>
      <c r="AO21" s="1322"/>
      <c r="AP21" s="1322">
        <f t="shared" si="13"/>
        <v>0</v>
      </c>
      <c r="AQ21" s="1322"/>
      <c r="AR21" s="1322">
        <f t="shared" si="14"/>
        <v>0</v>
      </c>
      <c r="AS21" s="1322"/>
      <c r="AT21" s="1322">
        <f t="shared" si="15"/>
        <v>0</v>
      </c>
      <c r="AU21" s="1322"/>
      <c r="AV21" s="1322">
        <f t="shared" si="16"/>
        <v>0</v>
      </c>
      <c r="AW21" s="1322"/>
      <c r="AX21" s="1322">
        <f t="shared" si="17"/>
        <v>0</v>
      </c>
      <c r="AY21" s="1322"/>
      <c r="AZ21" s="1322">
        <f t="shared" si="18"/>
        <v>0</v>
      </c>
      <c r="BA21" s="1322"/>
      <c r="BB21" s="1322">
        <f t="shared" si="19"/>
        <v>0</v>
      </c>
      <c r="BC21" s="1322"/>
      <c r="BD21" s="1322">
        <f t="shared" si="20"/>
        <v>0</v>
      </c>
      <c r="BE21" s="1322"/>
      <c r="BF21" s="1322">
        <f t="shared" si="21"/>
        <v>0</v>
      </c>
      <c r="BG21" s="1322"/>
      <c r="BH21" s="1322">
        <f t="shared" si="22"/>
        <v>0</v>
      </c>
      <c r="BI21" s="1322"/>
      <c r="BJ21" s="1322">
        <f t="shared" si="23"/>
        <v>0</v>
      </c>
      <c r="BK21" s="1322"/>
      <c r="BL21" s="1322">
        <f t="shared" si="24"/>
        <v>0</v>
      </c>
      <c r="BM21" s="1322"/>
      <c r="BN21" s="1322">
        <f t="shared" si="25"/>
        <v>0</v>
      </c>
      <c r="BO21" s="1322"/>
      <c r="BP21" s="1322">
        <f t="shared" si="26"/>
        <v>0</v>
      </c>
      <c r="BQ21" s="1322"/>
      <c r="BR21" s="1322">
        <f t="shared" si="27"/>
        <v>0</v>
      </c>
      <c r="BS21" s="1322"/>
      <c r="BT21" s="1322">
        <f t="shared" si="28"/>
        <v>0</v>
      </c>
      <c r="BU21" s="1322"/>
      <c r="BV21" s="1322">
        <f t="shared" si="29"/>
        <v>0</v>
      </c>
      <c r="BW21" s="1322"/>
      <c r="BX21" s="1322">
        <f t="shared" si="30"/>
        <v>0</v>
      </c>
      <c r="BY21" s="1322"/>
      <c r="BZ21" s="1322">
        <f t="shared" si="31"/>
        <v>0</v>
      </c>
      <c r="CA21" s="1322"/>
      <c r="CB21" s="1322">
        <f t="shared" si="32"/>
        <v>0</v>
      </c>
      <c r="CC21" s="1322"/>
      <c r="CD21" s="1322">
        <f t="shared" si="33"/>
        <v>0</v>
      </c>
      <c r="CE21" s="1322"/>
      <c r="CF21" s="1322">
        <f t="shared" si="34"/>
        <v>0</v>
      </c>
      <c r="CG21" s="1322"/>
      <c r="CH21" s="1322">
        <f t="shared" si="35"/>
        <v>0</v>
      </c>
      <c r="CI21" s="1322"/>
      <c r="CJ21" s="1322">
        <f t="shared" si="36"/>
        <v>0</v>
      </c>
      <c r="CK21" s="1322"/>
      <c r="CL21" s="1322">
        <f t="shared" si="37"/>
        <v>0</v>
      </c>
      <c r="CM21" s="1322"/>
      <c r="CN21" s="1322">
        <f t="shared" si="38"/>
        <v>0</v>
      </c>
      <c r="CO21" s="1322"/>
      <c r="CP21" s="1322">
        <f t="shared" si="39"/>
        <v>0</v>
      </c>
      <c r="CQ21" s="1322"/>
      <c r="CR21" s="1322">
        <f t="shared" si="40"/>
        <v>0</v>
      </c>
      <c r="CS21" s="1322"/>
      <c r="CT21" s="1322">
        <f t="shared" si="41"/>
        <v>0</v>
      </c>
      <c r="CU21" s="1322"/>
      <c r="CV21" s="1322">
        <f t="shared" si="42"/>
        <v>0</v>
      </c>
      <c r="CW21" s="1322"/>
      <c r="CX21" s="1322">
        <f t="shared" si="43"/>
        <v>0</v>
      </c>
      <c r="CY21" s="1322"/>
      <c r="CZ21" s="1322">
        <f t="shared" si="44"/>
        <v>0</v>
      </c>
      <c r="DA21" s="1322"/>
      <c r="DB21" s="1322">
        <f t="shared" si="45"/>
        <v>0</v>
      </c>
      <c r="DC21" s="1322"/>
      <c r="DD21" s="1322">
        <f t="shared" si="46"/>
        <v>0</v>
      </c>
      <c r="DE21" s="1322"/>
      <c r="DF21" s="1322">
        <f t="shared" si="47"/>
        <v>0</v>
      </c>
      <c r="DG21" s="1322"/>
      <c r="DH21" s="1322">
        <f t="shared" si="48"/>
        <v>0</v>
      </c>
      <c r="DI21" s="1322"/>
      <c r="DJ21" s="1322">
        <f t="shared" si="48"/>
        <v>0</v>
      </c>
      <c r="DK21" s="1322"/>
      <c r="DL21" s="1322">
        <f t="shared" si="48"/>
        <v>0</v>
      </c>
      <c r="DM21" s="1322"/>
      <c r="DN21" s="1322">
        <f t="shared" si="48"/>
        <v>0</v>
      </c>
      <c r="DO21" s="1322"/>
      <c r="DP21" s="1322">
        <f t="shared" si="48"/>
        <v>0</v>
      </c>
      <c r="DQ21" s="1322"/>
      <c r="DR21" s="1322">
        <f t="shared" si="48"/>
        <v>0</v>
      </c>
      <c r="DS21" s="1322"/>
      <c r="DT21" s="1322">
        <f t="shared" si="48"/>
        <v>0</v>
      </c>
      <c r="DU21" s="1322"/>
      <c r="DV21" s="1322">
        <f t="shared" si="48"/>
        <v>0</v>
      </c>
      <c r="DW21" s="1322"/>
      <c r="DX21" s="1322">
        <f t="shared" si="49"/>
        <v>0</v>
      </c>
      <c r="DY21" s="1322"/>
      <c r="DZ21" s="1322">
        <f t="shared" si="49"/>
        <v>0</v>
      </c>
      <c r="EA21" s="1322"/>
      <c r="EB21" s="1322">
        <f t="shared" si="49"/>
        <v>0</v>
      </c>
      <c r="EC21" s="1322"/>
      <c r="ED21" s="1322">
        <f t="shared" si="50"/>
        <v>0</v>
      </c>
      <c r="EE21" s="1322"/>
      <c r="EF21" s="1322">
        <f t="shared" si="50"/>
        <v>0</v>
      </c>
      <c r="EG21" s="1322"/>
      <c r="EH21" s="1322">
        <f t="shared" si="51"/>
        <v>0</v>
      </c>
      <c r="EI21" s="1322"/>
      <c r="EJ21" s="1322">
        <f t="shared" si="52"/>
        <v>0</v>
      </c>
      <c r="EK21" s="1322"/>
      <c r="EL21" s="1322">
        <f t="shared" si="53"/>
        <v>0</v>
      </c>
      <c r="EM21" s="1322"/>
      <c r="EN21" s="1322">
        <f t="shared" si="54"/>
        <v>0</v>
      </c>
      <c r="EO21" s="1322"/>
      <c r="EP21" s="1322">
        <f t="shared" si="54"/>
        <v>0</v>
      </c>
      <c r="EQ21" s="1322"/>
      <c r="ER21" s="1322">
        <f t="shared" si="55"/>
        <v>0</v>
      </c>
      <c r="ES21" s="1322"/>
      <c r="ET21" s="1322">
        <f t="shared" si="56"/>
        <v>0</v>
      </c>
      <c r="EU21" s="1322"/>
      <c r="EV21" s="1322">
        <f t="shared" si="57"/>
        <v>0</v>
      </c>
      <c r="EW21" s="1322"/>
      <c r="EX21" s="1322">
        <f t="shared" si="58"/>
        <v>0</v>
      </c>
      <c r="EY21" s="1322"/>
      <c r="EZ21" s="1322">
        <f t="shared" si="59"/>
        <v>0</v>
      </c>
      <c r="FA21" s="1322"/>
      <c r="FB21" s="1322">
        <f t="shared" si="60"/>
        <v>0</v>
      </c>
      <c r="FC21" s="1322"/>
      <c r="FD21" s="1322">
        <f t="shared" si="61"/>
        <v>0</v>
      </c>
      <c r="FE21" s="1322"/>
      <c r="FF21" s="1322">
        <f t="shared" si="62"/>
        <v>0</v>
      </c>
      <c r="FG21" s="1322"/>
      <c r="FH21" s="1322">
        <f t="shared" si="63"/>
        <v>0</v>
      </c>
      <c r="FI21" s="1322"/>
      <c r="FJ21" s="1322">
        <f t="shared" si="64"/>
        <v>0</v>
      </c>
      <c r="FK21" s="1322"/>
      <c r="FL21" s="1322">
        <f t="shared" si="65"/>
        <v>0</v>
      </c>
      <c r="FM21" s="1322"/>
      <c r="FN21" s="1322">
        <f t="shared" si="66"/>
        <v>0</v>
      </c>
      <c r="FO21" s="1322"/>
      <c r="FP21" s="1322">
        <f t="shared" si="67"/>
        <v>0</v>
      </c>
      <c r="FQ21" s="1322"/>
      <c r="FR21" s="1322">
        <f t="shared" si="68"/>
        <v>0</v>
      </c>
      <c r="FS21" s="1322"/>
      <c r="FT21" s="1322">
        <f t="shared" si="69"/>
        <v>0</v>
      </c>
      <c r="FU21" s="1322"/>
      <c r="FV21" s="1322">
        <f t="shared" si="70"/>
        <v>0</v>
      </c>
      <c r="FW21" s="1322"/>
      <c r="FX21" s="1322">
        <f t="shared" si="71"/>
        <v>0</v>
      </c>
      <c r="FY21" s="1322"/>
      <c r="FZ21" s="1322">
        <f t="shared" si="72"/>
        <v>0</v>
      </c>
      <c r="GA21" s="1322"/>
      <c r="GB21" s="1322">
        <f t="shared" si="73"/>
        <v>0</v>
      </c>
      <c r="GC21" s="1322"/>
      <c r="GD21" s="1322">
        <f t="shared" si="74"/>
        <v>0</v>
      </c>
      <c r="GE21" s="1322"/>
      <c r="GF21" s="1322">
        <f t="shared" si="75"/>
        <v>0</v>
      </c>
      <c r="GG21" s="1322"/>
      <c r="GH21" s="1322">
        <f t="shared" si="76"/>
        <v>0</v>
      </c>
      <c r="GI21" s="1322"/>
      <c r="GJ21" s="1322">
        <f t="shared" si="77"/>
        <v>0</v>
      </c>
      <c r="GK21" s="1322"/>
      <c r="GL21" s="1322">
        <f t="shared" si="78"/>
        <v>0</v>
      </c>
      <c r="GM21" s="1322"/>
      <c r="GN21" s="1322">
        <f t="shared" si="79"/>
        <v>0</v>
      </c>
      <c r="GO21" s="1322"/>
      <c r="GP21" s="1322">
        <f t="shared" si="80"/>
        <v>0</v>
      </c>
      <c r="GQ21" s="1322"/>
      <c r="GR21" s="1322">
        <f t="shared" si="81"/>
        <v>0</v>
      </c>
      <c r="GS21" s="1322"/>
      <c r="GT21" s="1322">
        <f t="shared" si="82"/>
        <v>0</v>
      </c>
      <c r="GU21" s="1322"/>
      <c r="GV21" s="1322">
        <f t="shared" si="83"/>
        <v>0</v>
      </c>
      <c r="GW21" s="1322"/>
      <c r="GX21" s="1322">
        <f t="shared" si="84"/>
        <v>0</v>
      </c>
      <c r="GY21" s="1322"/>
      <c r="GZ21" s="1322">
        <f t="shared" si="85"/>
        <v>0</v>
      </c>
    </row>
    <row r="22" spans="1:208" hidden="1">
      <c r="A22" s="1318"/>
      <c r="B22" s="1318"/>
      <c r="C22" s="1321"/>
      <c r="D22" s="1321">
        <f t="shared" si="1"/>
        <v>0</v>
      </c>
      <c r="E22" s="1321"/>
      <c r="F22" s="1321">
        <f t="shared" si="0"/>
        <v>0</v>
      </c>
      <c r="G22" s="1322"/>
      <c r="H22" s="1322">
        <f t="shared" si="0"/>
        <v>0</v>
      </c>
      <c r="I22" s="1322"/>
      <c r="J22" s="1322">
        <f t="shared" si="0"/>
        <v>0</v>
      </c>
      <c r="K22" s="1322"/>
      <c r="L22" s="1322">
        <f t="shared" si="0"/>
        <v>0</v>
      </c>
      <c r="M22" s="1322"/>
      <c r="N22" s="1322">
        <f t="shared" si="0"/>
        <v>0</v>
      </c>
      <c r="O22" s="1322"/>
      <c r="P22" s="1322">
        <f t="shared" si="0"/>
        <v>0</v>
      </c>
      <c r="Q22" s="1322"/>
      <c r="R22" s="1322">
        <f t="shared" si="0"/>
        <v>0</v>
      </c>
      <c r="S22" s="1322"/>
      <c r="T22" s="1322">
        <f t="shared" si="2"/>
        <v>0</v>
      </c>
      <c r="U22" s="1322"/>
      <c r="V22" s="1322">
        <f t="shared" si="3"/>
        <v>0</v>
      </c>
      <c r="W22" s="1322"/>
      <c r="X22" s="1322">
        <f t="shared" si="4"/>
        <v>0</v>
      </c>
      <c r="Y22" s="1322"/>
      <c r="Z22" s="1322">
        <f t="shared" si="5"/>
        <v>0</v>
      </c>
      <c r="AA22" s="1322"/>
      <c r="AB22" s="1322">
        <f t="shared" si="6"/>
        <v>0</v>
      </c>
      <c r="AC22" s="1322"/>
      <c r="AD22" s="1322">
        <f t="shared" si="7"/>
        <v>0</v>
      </c>
      <c r="AE22" s="1322"/>
      <c r="AF22" s="1322">
        <f t="shared" si="8"/>
        <v>0</v>
      </c>
      <c r="AG22" s="1322"/>
      <c r="AH22" s="1322">
        <f t="shared" si="9"/>
        <v>0</v>
      </c>
      <c r="AI22" s="1322"/>
      <c r="AJ22" s="1322">
        <f t="shared" si="10"/>
        <v>0</v>
      </c>
      <c r="AK22" s="1322"/>
      <c r="AL22" s="1322">
        <f t="shared" si="11"/>
        <v>0</v>
      </c>
      <c r="AM22" s="1322"/>
      <c r="AN22" s="1322">
        <f t="shared" si="12"/>
        <v>0</v>
      </c>
      <c r="AO22" s="1322"/>
      <c r="AP22" s="1322">
        <f t="shared" si="13"/>
        <v>0</v>
      </c>
      <c r="AQ22" s="1322"/>
      <c r="AR22" s="1322">
        <f t="shared" si="14"/>
        <v>0</v>
      </c>
      <c r="AS22" s="1322"/>
      <c r="AT22" s="1322">
        <f t="shared" si="15"/>
        <v>0</v>
      </c>
      <c r="AU22" s="1322"/>
      <c r="AV22" s="1322">
        <f t="shared" si="16"/>
        <v>0</v>
      </c>
      <c r="AW22" s="1322"/>
      <c r="AX22" s="1322">
        <f t="shared" si="17"/>
        <v>0</v>
      </c>
      <c r="AY22" s="1322"/>
      <c r="AZ22" s="1322">
        <f t="shared" si="18"/>
        <v>0</v>
      </c>
      <c r="BA22" s="1322"/>
      <c r="BB22" s="1322">
        <f t="shared" si="19"/>
        <v>0</v>
      </c>
      <c r="BC22" s="1322"/>
      <c r="BD22" s="1322">
        <f t="shared" si="20"/>
        <v>0</v>
      </c>
      <c r="BE22" s="1322"/>
      <c r="BF22" s="1322">
        <f t="shared" si="21"/>
        <v>0</v>
      </c>
      <c r="BG22" s="1322"/>
      <c r="BH22" s="1322">
        <f t="shared" si="22"/>
        <v>0</v>
      </c>
      <c r="BI22" s="1322"/>
      <c r="BJ22" s="1322">
        <f t="shared" si="23"/>
        <v>0</v>
      </c>
      <c r="BK22" s="1322"/>
      <c r="BL22" s="1322">
        <f t="shared" si="24"/>
        <v>0</v>
      </c>
      <c r="BM22" s="1322"/>
      <c r="BN22" s="1322">
        <f t="shared" si="25"/>
        <v>0</v>
      </c>
      <c r="BO22" s="1322"/>
      <c r="BP22" s="1322">
        <f t="shared" si="26"/>
        <v>0</v>
      </c>
      <c r="BQ22" s="1322"/>
      <c r="BR22" s="1322">
        <f t="shared" si="27"/>
        <v>0</v>
      </c>
      <c r="BS22" s="1322"/>
      <c r="BT22" s="1322">
        <f t="shared" si="28"/>
        <v>0</v>
      </c>
      <c r="BU22" s="1322"/>
      <c r="BV22" s="1322">
        <f t="shared" si="29"/>
        <v>0</v>
      </c>
      <c r="BW22" s="1322"/>
      <c r="BX22" s="1322">
        <f t="shared" si="30"/>
        <v>0</v>
      </c>
      <c r="BY22" s="1322"/>
      <c r="BZ22" s="1322">
        <f t="shared" si="31"/>
        <v>0</v>
      </c>
      <c r="CA22" s="1322"/>
      <c r="CB22" s="1322">
        <f t="shared" si="32"/>
        <v>0</v>
      </c>
      <c r="CC22" s="1322"/>
      <c r="CD22" s="1322">
        <f t="shared" si="33"/>
        <v>0</v>
      </c>
      <c r="CE22" s="1322"/>
      <c r="CF22" s="1322">
        <f t="shared" si="34"/>
        <v>0</v>
      </c>
      <c r="CG22" s="1322"/>
      <c r="CH22" s="1322">
        <f t="shared" si="35"/>
        <v>0</v>
      </c>
      <c r="CI22" s="1322"/>
      <c r="CJ22" s="1322">
        <f t="shared" si="36"/>
        <v>0</v>
      </c>
      <c r="CK22" s="1322"/>
      <c r="CL22" s="1322">
        <f t="shared" si="37"/>
        <v>0</v>
      </c>
      <c r="CM22" s="1322"/>
      <c r="CN22" s="1322">
        <f t="shared" si="38"/>
        <v>0</v>
      </c>
      <c r="CO22" s="1322"/>
      <c r="CP22" s="1322">
        <f t="shared" si="39"/>
        <v>0</v>
      </c>
      <c r="CQ22" s="1322"/>
      <c r="CR22" s="1322">
        <f t="shared" si="40"/>
        <v>0</v>
      </c>
      <c r="CS22" s="1322"/>
      <c r="CT22" s="1322">
        <f t="shared" si="41"/>
        <v>0</v>
      </c>
      <c r="CU22" s="1322"/>
      <c r="CV22" s="1322">
        <f t="shared" si="42"/>
        <v>0</v>
      </c>
      <c r="CW22" s="1322"/>
      <c r="CX22" s="1322">
        <f t="shared" si="43"/>
        <v>0</v>
      </c>
      <c r="CY22" s="1322"/>
      <c r="CZ22" s="1322">
        <f t="shared" si="44"/>
        <v>0</v>
      </c>
      <c r="DA22" s="1322"/>
      <c r="DB22" s="1322">
        <f t="shared" si="45"/>
        <v>0</v>
      </c>
      <c r="DC22" s="1322"/>
      <c r="DD22" s="1322">
        <f t="shared" si="46"/>
        <v>0</v>
      </c>
      <c r="DE22" s="1322"/>
      <c r="DF22" s="1322">
        <f t="shared" si="47"/>
        <v>0</v>
      </c>
      <c r="DG22" s="1322"/>
      <c r="DH22" s="1322">
        <f t="shared" si="48"/>
        <v>0</v>
      </c>
      <c r="DI22" s="1322"/>
      <c r="DJ22" s="1322">
        <f t="shared" si="48"/>
        <v>0</v>
      </c>
      <c r="DK22" s="1322"/>
      <c r="DL22" s="1322">
        <f t="shared" si="48"/>
        <v>0</v>
      </c>
      <c r="DM22" s="1322"/>
      <c r="DN22" s="1322">
        <f t="shared" si="48"/>
        <v>0</v>
      </c>
      <c r="DO22" s="1322"/>
      <c r="DP22" s="1322">
        <f t="shared" si="48"/>
        <v>0</v>
      </c>
      <c r="DQ22" s="1322"/>
      <c r="DR22" s="1322">
        <f t="shared" si="48"/>
        <v>0</v>
      </c>
      <c r="DS22" s="1322"/>
      <c r="DT22" s="1322">
        <f t="shared" si="48"/>
        <v>0</v>
      </c>
      <c r="DU22" s="1322"/>
      <c r="DV22" s="1322">
        <f t="shared" si="48"/>
        <v>0</v>
      </c>
      <c r="DW22" s="1322"/>
      <c r="DX22" s="1322">
        <f t="shared" si="49"/>
        <v>0</v>
      </c>
      <c r="DY22" s="1322"/>
      <c r="DZ22" s="1322">
        <f t="shared" si="49"/>
        <v>0</v>
      </c>
      <c r="EA22" s="1322"/>
      <c r="EB22" s="1322">
        <f t="shared" si="49"/>
        <v>0</v>
      </c>
      <c r="EC22" s="1322"/>
      <c r="ED22" s="1322">
        <f t="shared" si="50"/>
        <v>0</v>
      </c>
      <c r="EE22" s="1322"/>
      <c r="EF22" s="1322">
        <f t="shared" si="50"/>
        <v>0</v>
      </c>
      <c r="EG22" s="1322"/>
      <c r="EH22" s="1322">
        <f t="shared" si="51"/>
        <v>0</v>
      </c>
      <c r="EI22" s="1322"/>
      <c r="EJ22" s="1322">
        <f t="shared" si="52"/>
        <v>0</v>
      </c>
      <c r="EK22" s="1322"/>
      <c r="EL22" s="1322">
        <f t="shared" si="53"/>
        <v>0</v>
      </c>
      <c r="EM22" s="1322"/>
      <c r="EN22" s="1322">
        <f t="shared" si="54"/>
        <v>0</v>
      </c>
      <c r="EO22" s="1322"/>
      <c r="EP22" s="1322">
        <f t="shared" si="54"/>
        <v>0</v>
      </c>
      <c r="EQ22" s="1322"/>
      <c r="ER22" s="1322">
        <f t="shared" si="55"/>
        <v>0</v>
      </c>
      <c r="ES22" s="1322"/>
      <c r="ET22" s="1322">
        <f t="shared" si="56"/>
        <v>0</v>
      </c>
      <c r="EU22" s="1322"/>
      <c r="EV22" s="1322">
        <f t="shared" si="57"/>
        <v>0</v>
      </c>
      <c r="EW22" s="1322"/>
      <c r="EX22" s="1322">
        <f t="shared" si="58"/>
        <v>0</v>
      </c>
      <c r="EY22" s="1322"/>
      <c r="EZ22" s="1322">
        <f t="shared" si="59"/>
        <v>0</v>
      </c>
      <c r="FA22" s="1322"/>
      <c r="FB22" s="1322">
        <f t="shared" si="60"/>
        <v>0</v>
      </c>
      <c r="FC22" s="1322"/>
      <c r="FD22" s="1322">
        <f t="shared" si="61"/>
        <v>0</v>
      </c>
      <c r="FE22" s="1322"/>
      <c r="FF22" s="1322">
        <f t="shared" si="62"/>
        <v>0</v>
      </c>
      <c r="FG22" s="1322"/>
      <c r="FH22" s="1322">
        <f t="shared" si="63"/>
        <v>0</v>
      </c>
      <c r="FI22" s="1322"/>
      <c r="FJ22" s="1322">
        <f t="shared" si="64"/>
        <v>0</v>
      </c>
      <c r="FK22" s="1322"/>
      <c r="FL22" s="1322">
        <f t="shared" si="65"/>
        <v>0</v>
      </c>
      <c r="FM22" s="1322"/>
      <c r="FN22" s="1322">
        <f t="shared" si="66"/>
        <v>0</v>
      </c>
      <c r="FO22" s="1322"/>
      <c r="FP22" s="1322">
        <f t="shared" si="67"/>
        <v>0</v>
      </c>
      <c r="FQ22" s="1322"/>
      <c r="FR22" s="1322">
        <f t="shared" si="68"/>
        <v>0</v>
      </c>
      <c r="FS22" s="1322"/>
      <c r="FT22" s="1322">
        <f t="shared" si="69"/>
        <v>0</v>
      </c>
      <c r="FU22" s="1322"/>
      <c r="FV22" s="1322">
        <f t="shared" si="70"/>
        <v>0</v>
      </c>
      <c r="FW22" s="1322"/>
      <c r="FX22" s="1322">
        <f t="shared" si="71"/>
        <v>0</v>
      </c>
      <c r="FY22" s="1322"/>
      <c r="FZ22" s="1322">
        <f t="shared" si="72"/>
        <v>0</v>
      </c>
      <c r="GA22" s="1322"/>
      <c r="GB22" s="1322">
        <f t="shared" si="73"/>
        <v>0</v>
      </c>
      <c r="GC22" s="1322"/>
      <c r="GD22" s="1322">
        <f t="shared" si="74"/>
        <v>0</v>
      </c>
      <c r="GE22" s="1322"/>
      <c r="GF22" s="1322">
        <f t="shared" si="75"/>
        <v>0</v>
      </c>
      <c r="GG22" s="1322"/>
      <c r="GH22" s="1322">
        <f t="shared" si="76"/>
        <v>0</v>
      </c>
      <c r="GI22" s="1322"/>
      <c r="GJ22" s="1322">
        <f t="shared" si="77"/>
        <v>0</v>
      </c>
      <c r="GK22" s="1322"/>
      <c r="GL22" s="1322">
        <f t="shared" si="78"/>
        <v>0</v>
      </c>
      <c r="GM22" s="1322"/>
      <c r="GN22" s="1322">
        <f t="shared" si="79"/>
        <v>0</v>
      </c>
      <c r="GO22" s="1322"/>
      <c r="GP22" s="1322">
        <f t="shared" si="80"/>
        <v>0</v>
      </c>
      <c r="GQ22" s="1322"/>
      <c r="GR22" s="1322">
        <f t="shared" si="81"/>
        <v>0</v>
      </c>
      <c r="GS22" s="1322"/>
      <c r="GT22" s="1322">
        <f t="shared" si="82"/>
        <v>0</v>
      </c>
      <c r="GU22" s="1322"/>
      <c r="GV22" s="1322">
        <f t="shared" si="83"/>
        <v>0</v>
      </c>
      <c r="GW22" s="1322"/>
      <c r="GX22" s="1322">
        <f t="shared" si="84"/>
        <v>0</v>
      </c>
      <c r="GY22" s="1322"/>
      <c r="GZ22" s="1322">
        <f t="shared" si="85"/>
        <v>0</v>
      </c>
    </row>
    <row r="23" spans="1:208" hidden="1">
      <c r="A23" s="1318"/>
      <c r="B23" s="1318"/>
      <c r="C23" s="1321"/>
      <c r="D23" s="1321">
        <f t="shared" si="1"/>
        <v>0</v>
      </c>
      <c r="E23" s="1321"/>
      <c r="F23" s="1321">
        <f t="shared" si="0"/>
        <v>0</v>
      </c>
      <c r="G23" s="1322"/>
      <c r="H23" s="1322">
        <f t="shared" si="0"/>
        <v>0</v>
      </c>
      <c r="I23" s="1322"/>
      <c r="J23" s="1322">
        <f t="shared" si="0"/>
        <v>0</v>
      </c>
      <c r="K23" s="1322"/>
      <c r="L23" s="1322">
        <f t="shared" si="0"/>
        <v>0</v>
      </c>
      <c r="M23" s="1322"/>
      <c r="N23" s="1322">
        <f t="shared" si="0"/>
        <v>0</v>
      </c>
      <c r="O23" s="1322"/>
      <c r="P23" s="1322">
        <f t="shared" si="0"/>
        <v>0</v>
      </c>
      <c r="Q23" s="1322"/>
      <c r="R23" s="1322">
        <f t="shared" si="0"/>
        <v>0</v>
      </c>
      <c r="S23" s="1322"/>
      <c r="T23" s="1322">
        <f t="shared" si="2"/>
        <v>0</v>
      </c>
      <c r="U23" s="1322"/>
      <c r="V23" s="1322">
        <f t="shared" si="3"/>
        <v>0</v>
      </c>
      <c r="W23" s="1322"/>
      <c r="X23" s="1322">
        <f t="shared" si="4"/>
        <v>0</v>
      </c>
      <c r="Y23" s="1322"/>
      <c r="Z23" s="1322">
        <f t="shared" si="5"/>
        <v>0</v>
      </c>
      <c r="AA23" s="1322"/>
      <c r="AB23" s="1322">
        <f t="shared" si="6"/>
        <v>0</v>
      </c>
      <c r="AC23" s="1322"/>
      <c r="AD23" s="1322">
        <f t="shared" si="7"/>
        <v>0</v>
      </c>
      <c r="AE23" s="1322"/>
      <c r="AF23" s="1322">
        <f t="shared" si="8"/>
        <v>0</v>
      </c>
      <c r="AG23" s="1322"/>
      <c r="AH23" s="1322">
        <f t="shared" si="9"/>
        <v>0</v>
      </c>
      <c r="AI23" s="1322"/>
      <c r="AJ23" s="1322">
        <f t="shared" si="10"/>
        <v>0</v>
      </c>
      <c r="AK23" s="1322"/>
      <c r="AL23" s="1322">
        <f t="shared" si="11"/>
        <v>0</v>
      </c>
      <c r="AM23" s="1322"/>
      <c r="AN23" s="1322">
        <f t="shared" si="12"/>
        <v>0</v>
      </c>
      <c r="AO23" s="1322"/>
      <c r="AP23" s="1322">
        <f t="shared" si="13"/>
        <v>0</v>
      </c>
      <c r="AQ23" s="1322"/>
      <c r="AR23" s="1322">
        <f t="shared" si="14"/>
        <v>0</v>
      </c>
      <c r="AS23" s="1322"/>
      <c r="AT23" s="1322">
        <f t="shared" si="15"/>
        <v>0</v>
      </c>
      <c r="AU23" s="1322"/>
      <c r="AV23" s="1322">
        <f t="shared" si="16"/>
        <v>0</v>
      </c>
      <c r="AW23" s="1322"/>
      <c r="AX23" s="1322">
        <f t="shared" si="17"/>
        <v>0</v>
      </c>
      <c r="AY23" s="1322"/>
      <c r="AZ23" s="1322">
        <f t="shared" si="18"/>
        <v>0</v>
      </c>
      <c r="BA23" s="1322"/>
      <c r="BB23" s="1322">
        <f t="shared" si="19"/>
        <v>0</v>
      </c>
      <c r="BC23" s="1322"/>
      <c r="BD23" s="1322">
        <f t="shared" si="20"/>
        <v>0</v>
      </c>
      <c r="BE23" s="1322"/>
      <c r="BF23" s="1322">
        <f t="shared" si="21"/>
        <v>0</v>
      </c>
      <c r="BG23" s="1322"/>
      <c r="BH23" s="1322">
        <f t="shared" si="22"/>
        <v>0</v>
      </c>
      <c r="BI23" s="1322"/>
      <c r="BJ23" s="1322">
        <f t="shared" si="23"/>
        <v>0</v>
      </c>
      <c r="BK23" s="1322"/>
      <c r="BL23" s="1322">
        <f t="shared" si="24"/>
        <v>0</v>
      </c>
      <c r="BM23" s="1322"/>
      <c r="BN23" s="1322">
        <f t="shared" si="25"/>
        <v>0</v>
      </c>
      <c r="BO23" s="1322"/>
      <c r="BP23" s="1322">
        <f t="shared" si="26"/>
        <v>0</v>
      </c>
      <c r="BQ23" s="1322"/>
      <c r="BR23" s="1322">
        <f t="shared" si="27"/>
        <v>0</v>
      </c>
      <c r="BS23" s="1322"/>
      <c r="BT23" s="1322">
        <f t="shared" si="28"/>
        <v>0</v>
      </c>
      <c r="BU23" s="1322"/>
      <c r="BV23" s="1322">
        <f t="shared" si="29"/>
        <v>0</v>
      </c>
      <c r="BW23" s="1322"/>
      <c r="BX23" s="1322">
        <f t="shared" si="30"/>
        <v>0</v>
      </c>
      <c r="BY23" s="1322"/>
      <c r="BZ23" s="1322">
        <f t="shared" si="31"/>
        <v>0</v>
      </c>
      <c r="CA23" s="1322"/>
      <c r="CB23" s="1322">
        <f t="shared" si="32"/>
        <v>0</v>
      </c>
      <c r="CC23" s="1322"/>
      <c r="CD23" s="1322">
        <f t="shared" si="33"/>
        <v>0</v>
      </c>
      <c r="CE23" s="1322"/>
      <c r="CF23" s="1322">
        <f t="shared" si="34"/>
        <v>0</v>
      </c>
      <c r="CG23" s="1322"/>
      <c r="CH23" s="1322">
        <f t="shared" si="35"/>
        <v>0</v>
      </c>
      <c r="CI23" s="1322"/>
      <c r="CJ23" s="1322">
        <f t="shared" si="36"/>
        <v>0</v>
      </c>
      <c r="CK23" s="1322"/>
      <c r="CL23" s="1322">
        <f t="shared" si="37"/>
        <v>0</v>
      </c>
      <c r="CM23" s="1322"/>
      <c r="CN23" s="1322">
        <f t="shared" si="38"/>
        <v>0</v>
      </c>
      <c r="CO23" s="1322"/>
      <c r="CP23" s="1322">
        <f t="shared" si="39"/>
        <v>0</v>
      </c>
      <c r="CQ23" s="1322"/>
      <c r="CR23" s="1322">
        <f t="shared" si="40"/>
        <v>0</v>
      </c>
      <c r="CS23" s="1322"/>
      <c r="CT23" s="1322">
        <f t="shared" si="41"/>
        <v>0</v>
      </c>
      <c r="CU23" s="1322"/>
      <c r="CV23" s="1322">
        <f t="shared" si="42"/>
        <v>0</v>
      </c>
      <c r="CW23" s="1322"/>
      <c r="CX23" s="1322">
        <f t="shared" si="43"/>
        <v>0</v>
      </c>
      <c r="CY23" s="1322"/>
      <c r="CZ23" s="1322">
        <f t="shared" si="44"/>
        <v>0</v>
      </c>
      <c r="DA23" s="1322"/>
      <c r="DB23" s="1322">
        <f t="shared" si="45"/>
        <v>0</v>
      </c>
      <c r="DC23" s="1322"/>
      <c r="DD23" s="1322">
        <f t="shared" si="46"/>
        <v>0</v>
      </c>
      <c r="DE23" s="1322"/>
      <c r="DF23" s="1322">
        <f t="shared" si="47"/>
        <v>0</v>
      </c>
      <c r="DG23" s="1322"/>
      <c r="DH23" s="1322">
        <f t="shared" si="48"/>
        <v>0</v>
      </c>
      <c r="DI23" s="1322"/>
      <c r="DJ23" s="1322">
        <f t="shared" si="48"/>
        <v>0</v>
      </c>
      <c r="DK23" s="1322"/>
      <c r="DL23" s="1322">
        <f t="shared" si="48"/>
        <v>0</v>
      </c>
      <c r="DM23" s="1322"/>
      <c r="DN23" s="1322">
        <f t="shared" si="48"/>
        <v>0</v>
      </c>
      <c r="DO23" s="1322"/>
      <c r="DP23" s="1322">
        <f t="shared" si="48"/>
        <v>0</v>
      </c>
      <c r="DQ23" s="1322"/>
      <c r="DR23" s="1322">
        <f t="shared" si="48"/>
        <v>0</v>
      </c>
      <c r="DS23" s="1322"/>
      <c r="DT23" s="1322">
        <f t="shared" si="48"/>
        <v>0</v>
      </c>
      <c r="DU23" s="1322"/>
      <c r="DV23" s="1322">
        <f t="shared" si="48"/>
        <v>0</v>
      </c>
      <c r="DW23" s="1322"/>
      <c r="DX23" s="1322">
        <f t="shared" si="49"/>
        <v>0</v>
      </c>
      <c r="DY23" s="1322"/>
      <c r="DZ23" s="1322">
        <f t="shared" si="49"/>
        <v>0</v>
      </c>
      <c r="EA23" s="1322"/>
      <c r="EB23" s="1322">
        <f t="shared" si="49"/>
        <v>0</v>
      </c>
      <c r="EC23" s="1322"/>
      <c r="ED23" s="1322">
        <f t="shared" si="50"/>
        <v>0</v>
      </c>
      <c r="EE23" s="1322"/>
      <c r="EF23" s="1322">
        <f t="shared" si="50"/>
        <v>0</v>
      </c>
      <c r="EG23" s="1322"/>
      <c r="EH23" s="1322">
        <f t="shared" si="51"/>
        <v>0</v>
      </c>
      <c r="EI23" s="1322"/>
      <c r="EJ23" s="1322">
        <f t="shared" si="52"/>
        <v>0</v>
      </c>
      <c r="EK23" s="1322"/>
      <c r="EL23" s="1322">
        <f t="shared" si="53"/>
        <v>0</v>
      </c>
      <c r="EM23" s="1322"/>
      <c r="EN23" s="1322">
        <f t="shared" si="54"/>
        <v>0</v>
      </c>
      <c r="EO23" s="1322"/>
      <c r="EP23" s="1322">
        <f t="shared" si="54"/>
        <v>0</v>
      </c>
      <c r="EQ23" s="1322"/>
      <c r="ER23" s="1322">
        <f t="shared" si="55"/>
        <v>0</v>
      </c>
      <c r="ES23" s="1322"/>
      <c r="ET23" s="1322">
        <f t="shared" si="56"/>
        <v>0</v>
      </c>
      <c r="EU23" s="1322"/>
      <c r="EV23" s="1322">
        <f t="shared" si="57"/>
        <v>0</v>
      </c>
      <c r="EW23" s="1322"/>
      <c r="EX23" s="1322">
        <f t="shared" si="58"/>
        <v>0</v>
      </c>
      <c r="EY23" s="1322"/>
      <c r="EZ23" s="1322">
        <f t="shared" si="59"/>
        <v>0</v>
      </c>
      <c r="FA23" s="1322"/>
      <c r="FB23" s="1322">
        <f t="shared" si="60"/>
        <v>0</v>
      </c>
      <c r="FC23" s="1322"/>
      <c r="FD23" s="1322">
        <f t="shared" si="61"/>
        <v>0</v>
      </c>
      <c r="FE23" s="1322"/>
      <c r="FF23" s="1322">
        <f t="shared" si="62"/>
        <v>0</v>
      </c>
      <c r="FG23" s="1322"/>
      <c r="FH23" s="1322">
        <f t="shared" si="63"/>
        <v>0</v>
      </c>
      <c r="FI23" s="1322"/>
      <c r="FJ23" s="1322">
        <f t="shared" si="64"/>
        <v>0</v>
      </c>
      <c r="FK23" s="1322"/>
      <c r="FL23" s="1322">
        <f t="shared" si="65"/>
        <v>0</v>
      </c>
      <c r="FM23" s="1322"/>
      <c r="FN23" s="1322">
        <f t="shared" si="66"/>
        <v>0</v>
      </c>
      <c r="FO23" s="1322"/>
      <c r="FP23" s="1322">
        <f t="shared" si="67"/>
        <v>0</v>
      </c>
      <c r="FQ23" s="1322"/>
      <c r="FR23" s="1322">
        <f t="shared" si="68"/>
        <v>0</v>
      </c>
      <c r="FS23" s="1322"/>
      <c r="FT23" s="1322">
        <f t="shared" si="69"/>
        <v>0</v>
      </c>
      <c r="FU23" s="1322"/>
      <c r="FV23" s="1322">
        <f t="shared" si="70"/>
        <v>0</v>
      </c>
      <c r="FW23" s="1322"/>
      <c r="FX23" s="1322">
        <f t="shared" si="71"/>
        <v>0</v>
      </c>
      <c r="FY23" s="1322"/>
      <c r="FZ23" s="1322">
        <f t="shared" si="72"/>
        <v>0</v>
      </c>
      <c r="GA23" s="1322"/>
      <c r="GB23" s="1322">
        <f t="shared" si="73"/>
        <v>0</v>
      </c>
      <c r="GC23" s="1322"/>
      <c r="GD23" s="1322">
        <f t="shared" si="74"/>
        <v>0</v>
      </c>
      <c r="GE23" s="1322"/>
      <c r="GF23" s="1322">
        <f t="shared" si="75"/>
        <v>0</v>
      </c>
      <c r="GG23" s="1322"/>
      <c r="GH23" s="1322">
        <f t="shared" si="76"/>
        <v>0</v>
      </c>
      <c r="GI23" s="1322"/>
      <c r="GJ23" s="1322">
        <f t="shared" si="77"/>
        <v>0</v>
      </c>
      <c r="GK23" s="1322"/>
      <c r="GL23" s="1322">
        <f t="shared" si="78"/>
        <v>0</v>
      </c>
      <c r="GM23" s="1322"/>
      <c r="GN23" s="1322">
        <f t="shared" si="79"/>
        <v>0</v>
      </c>
      <c r="GO23" s="1322"/>
      <c r="GP23" s="1322">
        <f t="shared" si="80"/>
        <v>0</v>
      </c>
      <c r="GQ23" s="1322"/>
      <c r="GR23" s="1322">
        <f t="shared" si="81"/>
        <v>0</v>
      </c>
      <c r="GS23" s="1322"/>
      <c r="GT23" s="1322">
        <f t="shared" si="82"/>
        <v>0</v>
      </c>
      <c r="GU23" s="1322"/>
      <c r="GV23" s="1322">
        <f t="shared" si="83"/>
        <v>0</v>
      </c>
      <c r="GW23" s="1322"/>
      <c r="GX23" s="1322">
        <f t="shared" si="84"/>
        <v>0</v>
      </c>
      <c r="GY23" s="1322"/>
      <c r="GZ23" s="1322">
        <f t="shared" si="85"/>
        <v>0</v>
      </c>
    </row>
    <row r="24" spans="1:208" hidden="1">
      <c r="A24" s="1318"/>
      <c r="B24" s="1318"/>
      <c r="C24" s="1321"/>
      <c r="D24" s="1321">
        <f t="shared" si="1"/>
        <v>0</v>
      </c>
      <c r="E24" s="1321"/>
      <c r="F24" s="1321">
        <f t="shared" si="0"/>
        <v>0</v>
      </c>
      <c r="G24" s="1322"/>
      <c r="H24" s="1322">
        <f t="shared" si="0"/>
        <v>0</v>
      </c>
      <c r="I24" s="1322"/>
      <c r="J24" s="1322">
        <f t="shared" si="0"/>
        <v>0</v>
      </c>
      <c r="K24" s="1322"/>
      <c r="L24" s="1322">
        <f t="shared" si="0"/>
        <v>0</v>
      </c>
      <c r="M24" s="1322"/>
      <c r="N24" s="1322">
        <f t="shared" si="0"/>
        <v>0</v>
      </c>
      <c r="O24" s="1322"/>
      <c r="P24" s="1322">
        <f t="shared" si="0"/>
        <v>0</v>
      </c>
      <c r="Q24" s="1322"/>
      <c r="R24" s="1322">
        <f t="shared" si="0"/>
        <v>0</v>
      </c>
      <c r="S24" s="1322"/>
      <c r="T24" s="1322">
        <f t="shared" si="2"/>
        <v>0</v>
      </c>
      <c r="U24" s="1322"/>
      <c r="V24" s="1322">
        <f t="shared" si="3"/>
        <v>0</v>
      </c>
      <c r="W24" s="1322"/>
      <c r="X24" s="1322">
        <f t="shared" si="4"/>
        <v>0</v>
      </c>
      <c r="Y24" s="1322"/>
      <c r="Z24" s="1322">
        <f t="shared" si="5"/>
        <v>0</v>
      </c>
      <c r="AA24" s="1322"/>
      <c r="AB24" s="1322">
        <f t="shared" si="6"/>
        <v>0</v>
      </c>
      <c r="AC24" s="1322"/>
      <c r="AD24" s="1322">
        <f t="shared" si="7"/>
        <v>0</v>
      </c>
      <c r="AE24" s="1322"/>
      <c r="AF24" s="1322">
        <f t="shared" si="8"/>
        <v>0</v>
      </c>
      <c r="AG24" s="1322"/>
      <c r="AH24" s="1322">
        <f t="shared" si="9"/>
        <v>0</v>
      </c>
      <c r="AI24" s="1322"/>
      <c r="AJ24" s="1322">
        <f t="shared" si="10"/>
        <v>0</v>
      </c>
      <c r="AK24" s="1322"/>
      <c r="AL24" s="1322">
        <f t="shared" si="11"/>
        <v>0</v>
      </c>
      <c r="AM24" s="1322"/>
      <c r="AN24" s="1322">
        <f t="shared" si="12"/>
        <v>0</v>
      </c>
      <c r="AO24" s="1322"/>
      <c r="AP24" s="1322">
        <f t="shared" si="13"/>
        <v>0</v>
      </c>
      <c r="AQ24" s="1322"/>
      <c r="AR24" s="1322">
        <f t="shared" si="14"/>
        <v>0</v>
      </c>
      <c r="AS24" s="1322"/>
      <c r="AT24" s="1322">
        <f t="shared" si="15"/>
        <v>0</v>
      </c>
      <c r="AU24" s="1322"/>
      <c r="AV24" s="1322">
        <f t="shared" si="16"/>
        <v>0</v>
      </c>
      <c r="AW24" s="1322"/>
      <c r="AX24" s="1322">
        <f t="shared" si="17"/>
        <v>0</v>
      </c>
      <c r="AY24" s="1322"/>
      <c r="AZ24" s="1322">
        <f t="shared" si="18"/>
        <v>0</v>
      </c>
      <c r="BA24" s="1322"/>
      <c r="BB24" s="1322">
        <f t="shared" si="19"/>
        <v>0</v>
      </c>
      <c r="BC24" s="1322"/>
      <c r="BD24" s="1322">
        <f t="shared" si="20"/>
        <v>0</v>
      </c>
      <c r="BE24" s="1322"/>
      <c r="BF24" s="1322">
        <f t="shared" si="21"/>
        <v>0</v>
      </c>
      <c r="BG24" s="1322"/>
      <c r="BH24" s="1322">
        <f t="shared" si="22"/>
        <v>0</v>
      </c>
      <c r="BI24" s="1322"/>
      <c r="BJ24" s="1322">
        <f t="shared" si="23"/>
        <v>0</v>
      </c>
      <c r="BK24" s="1322"/>
      <c r="BL24" s="1322">
        <f t="shared" si="24"/>
        <v>0</v>
      </c>
      <c r="BM24" s="1322"/>
      <c r="BN24" s="1322">
        <f t="shared" si="25"/>
        <v>0</v>
      </c>
      <c r="BO24" s="1322"/>
      <c r="BP24" s="1322">
        <f t="shared" si="26"/>
        <v>0</v>
      </c>
      <c r="BQ24" s="1322"/>
      <c r="BR24" s="1322">
        <f t="shared" si="27"/>
        <v>0</v>
      </c>
      <c r="BS24" s="1322"/>
      <c r="BT24" s="1322">
        <f t="shared" si="28"/>
        <v>0</v>
      </c>
      <c r="BU24" s="1322"/>
      <c r="BV24" s="1322">
        <f t="shared" si="29"/>
        <v>0</v>
      </c>
      <c r="BW24" s="1322"/>
      <c r="BX24" s="1322">
        <f t="shared" si="30"/>
        <v>0</v>
      </c>
      <c r="BY24" s="1322"/>
      <c r="BZ24" s="1322">
        <f t="shared" si="31"/>
        <v>0</v>
      </c>
      <c r="CA24" s="1322"/>
      <c r="CB24" s="1322">
        <f t="shared" si="32"/>
        <v>0</v>
      </c>
      <c r="CC24" s="1322"/>
      <c r="CD24" s="1322">
        <f t="shared" si="33"/>
        <v>0</v>
      </c>
      <c r="CE24" s="1322"/>
      <c r="CF24" s="1322">
        <f t="shared" si="34"/>
        <v>0</v>
      </c>
      <c r="CG24" s="1322"/>
      <c r="CH24" s="1322">
        <f t="shared" si="35"/>
        <v>0</v>
      </c>
      <c r="CI24" s="1322"/>
      <c r="CJ24" s="1322">
        <f t="shared" si="36"/>
        <v>0</v>
      </c>
      <c r="CK24" s="1322"/>
      <c r="CL24" s="1322">
        <f t="shared" si="37"/>
        <v>0</v>
      </c>
      <c r="CM24" s="1322"/>
      <c r="CN24" s="1322">
        <f t="shared" si="38"/>
        <v>0</v>
      </c>
      <c r="CO24" s="1322"/>
      <c r="CP24" s="1322">
        <f t="shared" si="39"/>
        <v>0</v>
      </c>
      <c r="CQ24" s="1322"/>
      <c r="CR24" s="1322">
        <f t="shared" si="40"/>
        <v>0</v>
      </c>
      <c r="CS24" s="1322"/>
      <c r="CT24" s="1322">
        <f t="shared" si="41"/>
        <v>0</v>
      </c>
      <c r="CU24" s="1322"/>
      <c r="CV24" s="1322">
        <f t="shared" si="42"/>
        <v>0</v>
      </c>
      <c r="CW24" s="1322"/>
      <c r="CX24" s="1322">
        <f t="shared" si="43"/>
        <v>0</v>
      </c>
      <c r="CY24" s="1322"/>
      <c r="CZ24" s="1322">
        <f t="shared" si="44"/>
        <v>0</v>
      </c>
      <c r="DA24" s="1322"/>
      <c r="DB24" s="1322">
        <f t="shared" si="45"/>
        <v>0</v>
      </c>
      <c r="DC24" s="1322"/>
      <c r="DD24" s="1322">
        <f t="shared" si="46"/>
        <v>0</v>
      </c>
      <c r="DE24" s="1322"/>
      <c r="DF24" s="1322">
        <f t="shared" si="47"/>
        <v>0</v>
      </c>
      <c r="DG24" s="1322"/>
      <c r="DH24" s="1322">
        <f t="shared" si="48"/>
        <v>0</v>
      </c>
      <c r="DI24" s="1322"/>
      <c r="DJ24" s="1322">
        <f t="shared" si="48"/>
        <v>0</v>
      </c>
      <c r="DK24" s="1322"/>
      <c r="DL24" s="1322">
        <f t="shared" si="48"/>
        <v>0</v>
      </c>
      <c r="DM24" s="1322"/>
      <c r="DN24" s="1322">
        <f t="shared" si="48"/>
        <v>0</v>
      </c>
      <c r="DO24" s="1322"/>
      <c r="DP24" s="1322">
        <f t="shared" si="48"/>
        <v>0</v>
      </c>
      <c r="DQ24" s="1322"/>
      <c r="DR24" s="1322">
        <f t="shared" si="48"/>
        <v>0</v>
      </c>
      <c r="DS24" s="1322"/>
      <c r="DT24" s="1322">
        <f t="shared" si="48"/>
        <v>0</v>
      </c>
      <c r="DU24" s="1322"/>
      <c r="DV24" s="1322">
        <f t="shared" si="48"/>
        <v>0</v>
      </c>
      <c r="DW24" s="1322"/>
      <c r="DX24" s="1322">
        <f t="shared" si="49"/>
        <v>0</v>
      </c>
      <c r="DY24" s="1322"/>
      <c r="DZ24" s="1322">
        <f t="shared" si="49"/>
        <v>0</v>
      </c>
      <c r="EA24" s="1322"/>
      <c r="EB24" s="1322">
        <f t="shared" si="49"/>
        <v>0</v>
      </c>
      <c r="EC24" s="1322"/>
      <c r="ED24" s="1322">
        <f t="shared" si="50"/>
        <v>0</v>
      </c>
      <c r="EE24" s="1322"/>
      <c r="EF24" s="1322">
        <f t="shared" si="50"/>
        <v>0</v>
      </c>
      <c r="EG24" s="1322"/>
      <c r="EH24" s="1322">
        <f t="shared" si="51"/>
        <v>0</v>
      </c>
      <c r="EI24" s="1322"/>
      <c r="EJ24" s="1322">
        <f t="shared" si="52"/>
        <v>0</v>
      </c>
      <c r="EK24" s="1322"/>
      <c r="EL24" s="1322">
        <f t="shared" si="53"/>
        <v>0</v>
      </c>
      <c r="EM24" s="1322"/>
      <c r="EN24" s="1322">
        <f t="shared" si="54"/>
        <v>0</v>
      </c>
      <c r="EO24" s="1322"/>
      <c r="EP24" s="1322">
        <f t="shared" si="54"/>
        <v>0</v>
      </c>
      <c r="EQ24" s="1322"/>
      <c r="ER24" s="1322">
        <f t="shared" si="55"/>
        <v>0</v>
      </c>
      <c r="ES24" s="1322"/>
      <c r="ET24" s="1322">
        <f t="shared" si="56"/>
        <v>0</v>
      </c>
      <c r="EU24" s="1322"/>
      <c r="EV24" s="1322">
        <f t="shared" si="57"/>
        <v>0</v>
      </c>
      <c r="EW24" s="1322"/>
      <c r="EX24" s="1322">
        <f t="shared" si="58"/>
        <v>0</v>
      </c>
      <c r="EY24" s="1322"/>
      <c r="EZ24" s="1322">
        <f t="shared" si="59"/>
        <v>0</v>
      </c>
      <c r="FA24" s="1322"/>
      <c r="FB24" s="1322">
        <f t="shared" si="60"/>
        <v>0</v>
      </c>
      <c r="FC24" s="1322"/>
      <c r="FD24" s="1322">
        <f t="shared" si="61"/>
        <v>0</v>
      </c>
      <c r="FE24" s="1322"/>
      <c r="FF24" s="1322">
        <f t="shared" si="62"/>
        <v>0</v>
      </c>
      <c r="FG24" s="1322"/>
      <c r="FH24" s="1322">
        <f t="shared" si="63"/>
        <v>0</v>
      </c>
      <c r="FI24" s="1322"/>
      <c r="FJ24" s="1322">
        <f t="shared" si="64"/>
        <v>0</v>
      </c>
      <c r="FK24" s="1322"/>
      <c r="FL24" s="1322">
        <f t="shared" si="65"/>
        <v>0</v>
      </c>
      <c r="FM24" s="1322"/>
      <c r="FN24" s="1322">
        <f t="shared" si="66"/>
        <v>0</v>
      </c>
      <c r="FO24" s="1322"/>
      <c r="FP24" s="1322">
        <f t="shared" si="67"/>
        <v>0</v>
      </c>
      <c r="FQ24" s="1322"/>
      <c r="FR24" s="1322">
        <f t="shared" si="68"/>
        <v>0</v>
      </c>
      <c r="FS24" s="1322"/>
      <c r="FT24" s="1322">
        <f t="shared" si="69"/>
        <v>0</v>
      </c>
      <c r="FU24" s="1322"/>
      <c r="FV24" s="1322">
        <f t="shared" si="70"/>
        <v>0</v>
      </c>
      <c r="FW24" s="1322"/>
      <c r="FX24" s="1322">
        <f t="shared" si="71"/>
        <v>0</v>
      </c>
      <c r="FY24" s="1322"/>
      <c r="FZ24" s="1322">
        <f t="shared" si="72"/>
        <v>0</v>
      </c>
      <c r="GA24" s="1322"/>
      <c r="GB24" s="1322">
        <f t="shared" si="73"/>
        <v>0</v>
      </c>
      <c r="GC24" s="1322"/>
      <c r="GD24" s="1322">
        <f t="shared" si="74"/>
        <v>0</v>
      </c>
      <c r="GE24" s="1322"/>
      <c r="GF24" s="1322">
        <f t="shared" si="75"/>
        <v>0</v>
      </c>
      <c r="GG24" s="1322"/>
      <c r="GH24" s="1322">
        <f t="shared" si="76"/>
        <v>0</v>
      </c>
      <c r="GI24" s="1322"/>
      <c r="GJ24" s="1322">
        <f t="shared" si="77"/>
        <v>0</v>
      </c>
      <c r="GK24" s="1322"/>
      <c r="GL24" s="1322">
        <f t="shared" si="78"/>
        <v>0</v>
      </c>
      <c r="GM24" s="1322"/>
      <c r="GN24" s="1322">
        <f t="shared" si="79"/>
        <v>0</v>
      </c>
      <c r="GO24" s="1322"/>
      <c r="GP24" s="1322">
        <f t="shared" si="80"/>
        <v>0</v>
      </c>
      <c r="GQ24" s="1322"/>
      <c r="GR24" s="1322">
        <f t="shared" si="81"/>
        <v>0</v>
      </c>
      <c r="GS24" s="1322"/>
      <c r="GT24" s="1322">
        <f t="shared" si="82"/>
        <v>0</v>
      </c>
      <c r="GU24" s="1322"/>
      <c r="GV24" s="1322">
        <f t="shared" si="83"/>
        <v>0</v>
      </c>
      <c r="GW24" s="1322"/>
      <c r="GX24" s="1322">
        <f t="shared" si="84"/>
        <v>0</v>
      </c>
      <c r="GY24" s="1322"/>
      <c r="GZ24" s="1322">
        <f t="shared" si="85"/>
        <v>0</v>
      </c>
    </row>
    <row r="25" spans="1:208" hidden="1">
      <c r="A25" s="1318"/>
      <c r="B25" s="1318"/>
      <c r="C25" s="1321"/>
      <c r="D25" s="1321">
        <f t="shared" si="1"/>
        <v>0</v>
      </c>
      <c r="E25" s="1321"/>
      <c r="F25" s="1321">
        <f t="shared" si="0"/>
        <v>0</v>
      </c>
      <c r="G25" s="1322"/>
      <c r="H25" s="1322">
        <f t="shared" si="0"/>
        <v>0</v>
      </c>
      <c r="I25" s="1322"/>
      <c r="J25" s="1322">
        <f t="shared" si="0"/>
        <v>0</v>
      </c>
      <c r="K25" s="1322"/>
      <c r="L25" s="1322">
        <f t="shared" si="0"/>
        <v>0</v>
      </c>
      <c r="M25" s="1322"/>
      <c r="N25" s="1322">
        <f t="shared" si="0"/>
        <v>0</v>
      </c>
      <c r="O25" s="1322"/>
      <c r="P25" s="1322">
        <f t="shared" si="0"/>
        <v>0</v>
      </c>
      <c r="Q25" s="1322"/>
      <c r="R25" s="1322">
        <f t="shared" si="0"/>
        <v>0</v>
      </c>
      <c r="S25" s="1322"/>
      <c r="T25" s="1322">
        <f t="shared" si="2"/>
        <v>0</v>
      </c>
      <c r="U25" s="1322"/>
      <c r="V25" s="1322">
        <f t="shared" si="3"/>
        <v>0</v>
      </c>
      <c r="W25" s="1322"/>
      <c r="X25" s="1322">
        <f t="shared" si="4"/>
        <v>0</v>
      </c>
      <c r="Y25" s="1322"/>
      <c r="Z25" s="1322">
        <f t="shared" si="5"/>
        <v>0</v>
      </c>
      <c r="AA25" s="1322"/>
      <c r="AB25" s="1322">
        <f t="shared" si="6"/>
        <v>0</v>
      </c>
      <c r="AC25" s="1322"/>
      <c r="AD25" s="1322">
        <f t="shared" si="7"/>
        <v>0</v>
      </c>
      <c r="AE25" s="1322"/>
      <c r="AF25" s="1322">
        <f t="shared" si="8"/>
        <v>0</v>
      </c>
      <c r="AG25" s="1322"/>
      <c r="AH25" s="1322">
        <f t="shared" si="9"/>
        <v>0</v>
      </c>
      <c r="AI25" s="1322"/>
      <c r="AJ25" s="1322">
        <f t="shared" si="10"/>
        <v>0</v>
      </c>
      <c r="AK25" s="1322"/>
      <c r="AL25" s="1322">
        <f t="shared" si="11"/>
        <v>0</v>
      </c>
      <c r="AM25" s="1322"/>
      <c r="AN25" s="1322">
        <f t="shared" si="12"/>
        <v>0</v>
      </c>
      <c r="AO25" s="1322"/>
      <c r="AP25" s="1322">
        <f t="shared" si="13"/>
        <v>0</v>
      </c>
      <c r="AQ25" s="1322"/>
      <c r="AR25" s="1322">
        <f t="shared" si="14"/>
        <v>0</v>
      </c>
      <c r="AS25" s="1322"/>
      <c r="AT25" s="1322">
        <f t="shared" si="15"/>
        <v>0</v>
      </c>
      <c r="AU25" s="1322"/>
      <c r="AV25" s="1322">
        <f t="shared" si="16"/>
        <v>0</v>
      </c>
      <c r="AW25" s="1322"/>
      <c r="AX25" s="1322">
        <f t="shared" si="17"/>
        <v>0</v>
      </c>
      <c r="AY25" s="1322"/>
      <c r="AZ25" s="1322">
        <f t="shared" si="18"/>
        <v>0</v>
      </c>
      <c r="BA25" s="1322"/>
      <c r="BB25" s="1322">
        <f t="shared" si="19"/>
        <v>0</v>
      </c>
      <c r="BC25" s="1322"/>
      <c r="BD25" s="1322">
        <f t="shared" si="20"/>
        <v>0</v>
      </c>
      <c r="BE25" s="1322"/>
      <c r="BF25" s="1322">
        <f t="shared" si="21"/>
        <v>0</v>
      </c>
      <c r="BG25" s="1322"/>
      <c r="BH25" s="1322">
        <f t="shared" si="22"/>
        <v>0</v>
      </c>
      <c r="BI25" s="1322"/>
      <c r="BJ25" s="1322">
        <f t="shared" si="23"/>
        <v>0</v>
      </c>
      <c r="BK25" s="1322"/>
      <c r="BL25" s="1322">
        <f t="shared" si="24"/>
        <v>0</v>
      </c>
      <c r="BM25" s="1322"/>
      <c r="BN25" s="1322">
        <f t="shared" si="25"/>
        <v>0</v>
      </c>
      <c r="BO25" s="1322"/>
      <c r="BP25" s="1322">
        <f t="shared" si="26"/>
        <v>0</v>
      </c>
      <c r="BQ25" s="1322"/>
      <c r="BR25" s="1322">
        <f t="shared" si="27"/>
        <v>0</v>
      </c>
      <c r="BS25" s="1322"/>
      <c r="BT25" s="1322">
        <f t="shared" si="28"/>
        <v>0</v>
      </c>
      <c r="BU25" s="1322"/>
      <c r="BV25" s="1322">
        <f t="shared" si="29"/>
        <v>0</v>
      </c>
      <c r="BW25" s="1322"/>
      <c r="BX25" s="1322">
        <f t="shared" si="30"/>
        <v>0</v>
      </c>
      <c r="BY25" s="1322"/>
      <c r="BZ25" s="1322">
        <f t="shared" si="31"/>
        <v>0</v>
      </c>
      <c r="CA25" s="1322"/>
      <c r="CB25" s="1322">
        <f t="shared" si="32"/>
        <v>0</v>
      </c>
      <c r="CC25" s="1322"/>
      <c r="CD25" s="1322">
        <f t="shared" si="33"/>
        <v>0</v>
      </c>
      <c r="CE25" s="1322"/>
      <c r="CF25" s="1322">
        <f t="shared" si="34"/>
        <v>0</v>
      </c>
      <c r="CG25" s="1322"/>
      <c r="CH25" s="1322">
        <f t="shared" si="35"/>
        <v>0</v>
      </c>
      <c r="CI25" s="1322"/>
      <c r="CJ25" s="1322">
        <f t="shared" si="36"/>
        <v>0</v>
      </c>
      <c r="CK25" s="1322"/>
      <c r="CL25" s="1322">
        <f t="shared" si="37"/>
        <v>0</v>
      </c>
      <c r="CM25" s="1322"/>
      <c r="CN25" s="1322">
        <f t="shared" si="38"/>
        <v>0</v>
      </c>
      <c r="CO25" s="1322"/>
      <c r="CP25" s="1322">
        <f t="shared" si="39"/>
        <v>0</v>
      </c>
      <c r="CQ25" s="1322"/>
      <c r="CR25" s="1322">
        <f t="shared" si="40"/>
        <v>0</v>
      </c>
      <c r="CS25" s="1322"/>
      <c r="CT25" s="1322">
        <f t="shared" si="41"/>
        <v>0</v>
      </c>
      <c r="CU25" s="1322"/>
      <c r="CV25" s="1322">
        <f t="shared" si="42"/>
        <v>0</v>
      </c>
      <c r="CW25" s="1322"/>
      <c r="CX25" s="1322">
        <f t="shared" si="43"/>
        <v>0</v>
      </c>
      <c r="CY25" s="1322"/>
      <c r="CZ25" s="1322">
        <f t="shared" si="44"/>
        <v>0</v>
      </c>
      <c r="DA25" s="1322"/>
      <c r="DB25" s="1322">
        <f t="shared" si="45"/>
        <v>0</v>
      </c>
      <c r="DC25" s="1322"/>
      <c r="DD25" s="1322">
        <f t="shared" si="46"/>
        <v>0</v>
      </c>
      <c r="DE25" s="1322"/>
      <c r="DF25" s="1322">
        <f t="shared" si="47"/>
        <v>0</v>
      </c>
      <c r="DG25" s="1322"/>
      <c r="DH25" s="1322">
        <f t="shared" si="48"/>
        <v>0</v>
      </c>
      <c r="DI25" s="1322"/>
      <c r="DJ25" s="1322">
        <f t="shared" si="48"/>
        <v>0</v>
      </c>
      <c r="DK25" s="1322"/>
      <c r="DL25" s="1322">
        <f t="shared" si="48"/>
        <v>0</v>
      </c>
      <c r="DM25" s="1322"/>
      <c r="DN25" s="1322">
        <f t="shared" si="48"/>
        <v>0</v>
      </c>
      <c r="DO25" s="1322"/>
      <c r="DP25" s="1322">
        <f t="shared" si="48"/>
        <v>0</v>
      </c>
      <c r="DQ25" s="1322"/>
      <c r="DR25" s="1322">
        <f t="shared" si="48"/>
        <v>0</v>
      </c>
      <c r="DS25" s="1322"/>
      <c r="DT25" s="1322">
        <f t="shared" si="48"/>
        <v>0</v>
      </c>
      <c r="DU25" s="1322"/>
      <c r="DV25" s="1322">
        <f t="shared" si="48"/>
        <v>0</v>
      </c>
      <c r="DW25" s="1322"/>
      <c r="DX25" s="1322">
        <f t="shared" si="49"/>
        <v>0</v>
      </c>
      <c r="DY25" s="1322"/>
      <c r="DZ25" s="1322">
        <f t="shared" si="49"/>
        <v>0</v>
      </c>
      <c r="EA25" s="1322"/>
      <c r="EB25" s="1322">
        <f t="shared" si="49"/>
        <v>0</v>
      </c>
      <c r="EC25" s="1322"/>
      <c r="ED25" s="1322">
        <f t="shared" si="50"/>
        <v>0</v>
      </c>
      <c r="EE25" s="1322"/>
      <c r="EF25" s="1322">
        <f t="shared" si="50"/>
        <v>0</v>
      </c>
      <c r="EG25" s="1322"/>
      <c r="EH25" s="1322">
        <f t="shared" si="51"/>
        <v>0</v>
      </c>
      <c r="EI25" s="1322"/>
      <c r="EJ25" s="1322">
        <f t="shared" si="52"/>
        <v>0</v>
      </c>
      <c r="EK25" s="1322"/>
      <c r="EL25" s="1322">
        <f t="shared" si="53"/>
        <v>0</v>
      </c>
      <c r="EM25" s="1322"/>
      <c r="EN25" s="1322">
        <f t="shared" si="54"/>
        <v>0</v>
      </c>
      <c r="EO25" s="1322"/>
      <c r="EP25" s="1322">
        <f t="shared" si="54"/>
        <v>0</v>
      </c>
      <c r="EQ25" s="1322"/>
      <c r="ER25" s="1322">
        <f t="shared" si="55"/>
        <v>0</v>
      </c>
      <c r="ES25" s="1322"/>
      <c r="ET25" s="1322">
        <f t="shared" si="56"/>
        <v>0</v>
      </c>
      <c r="EU25" s="1322"/>
      <c r="EV25" s="1322">
        <f t="shared" si="57"/>
        <v>0</v>
      </c>
      <c r="EW25" s="1322"/>
      <c r="EX25" s="1322">
        <f t="shared" si="58"/>
        <v>0</v>
      </c>
      <c r="EY25" s="1322"/>
      <c r="EZ25" s="1322">
        <f t="shared" si="59"/>
        <v>0</v>
      </c>
      <c r="FA25" s="1322"/>
      <c r="FB25" s="1322">
        <f t="shared" si="60"/>
        <v>0</v>
      </c>
      <c r="FC25" s="1322"/>
      <c r="FD25" s="1322">
        <f t="shared" si="61"/>
        <v>0</v>
      </c>
      <c r="FE25" s="1322"/>
      <c r="FF25" s="1322">
        <f t="shared" si="62"/>
        <v>0</v>
      </c>
      <c r="FG25" s="1322"/>
      <c r="FH25" s="1322">
        <f t="shared" si="63"/>
        <v>0</v>
      </c>
      <c r="FI25" s="1322"/>
      <c r="FJ25" s="1322">
        <f t="shared" si="64"/>
        <v>0</v>
      </c>
      <c r="FK25" s="1322"/>
      <c r="FL25" s="1322">
        <f t="shared" si="65"/>
        <v>0</v>
      </c>
      <c r="FM25" s="1322"/>
      <c r="FN25" s="1322">
        <f t="shared" si="66"/>
        <v>0</v>
      </c>
      <c r="FO25" s="1322"/>
      <c r="FP25" s="1322">
        <f t="shared" si="67"/>
        <v>0</v>
      </c>
      <c r="FQ25" s="1322"/>
      <c r="FR25" s="1322">
        <f t="shared" si="68"/>
        <v>0</v>
      </c>
      <c r="FS25" s="1322"/>
      <c r="FT25" s="1322">
        <f t="shared" si="69"/>
        <v>0</v>
      </c>
      <c r="FU25" s="1322"/>
      <c r="FV25" s="1322">
        <f t="shared" si="70"/>
        <v>0</v>
      </c>
      <c r="FW25" s="1322"/>
      <c r="FX25" s="1322">
        <f t="shared" si="71"/>
        <v>0</v>
      </c>
      <c r="FY25" s="1322"/>
      <c r="FZ25" s="1322">
        <f t="shared" si="72"/>
        <v>0</v>
      </c>
      <c r="GA25" s="1322"/>
      <c r="GB25" s="1322">
        <f t="shared" si="73"/>
        <v>0</v>
      </c>
      <c r="GC25" s="1322"/>
      <c r="GD25" s="1322">
        <f t="shared" si="74"/>
        <v>0</v>
      </c>
      <c r="GE25" s="1322"/>
      <c r="GF25" s="1322">
        <f t="shared" si="75"/>
        <v>0</v>
      </c>
      <c r="GG25" s="1322"/>
      <c r="GH25" s="1322">
        <f t="shared" si="76"/>
        <v>0</v>
      </c>
      <c r="GI25" s="1322"/>
      <c r="GJ25" s="1322">
        <f t="shared" si="77"/>
        <v>0</v>
      </c>
      <c r="GK25" s="1322"/>
      <c r="GL25" s="1322">
        <f t="shared" si="78"/>
        <v>0</v>
      </c>
      <c r="GM25" s="1322"/>
      <c r="GN25" s="1322">
        <f t="shared" si="79"/>
        <v>0</v>
      </c>
      <c r="GO25" s="1322"/>
      <c r="GP25" s="1322">
        <f t="shared" si="80"/>
        <v>0</v>
      </c>
      <c r="GQ25" s="1322"/>
      <c r="GR25" s="1322">
        <f t="shared" si="81"/>
        <v>0</v>
      </c>
      <c r="GS25" s="1322"/>
      <c r="GT25" s="1322">
        <f t="shared" si="82"/>
        <v>0</v>
      </c>
      <c r="GU25" s="1322"/>
      <c r="GV25" s="1322">
        <f t="shared" si="83"/>
        <v>0</v>
      </c>
      <c r="GW25" s="1322"/>
      <c r="GX25" s="1322">
        <f t="shared" si="84"/>
        <v>0</v>
      </c>
      <c r="GY25" s="1322"/>
      <c r="GZ25" s="1322">
        <f t="shared" si="85"/>
        <v>0</v>
      </c>
    </row>
    <row r="26" spans="1:208" hidden="1">
      <c r="A26" s="1318"/>
      <c r="B26" s="1318"/>
      <c r="C26" s="1321"/>
      <c r="D26" s="1321">
        <f t="shared" si="1"/>
        <v>0</v>
      </c>
      <c r="E26" s="1321"/>
      <c r="F26" s="1321">
        <f t="shared" si="0"/>
        <v>0</v>
      </c>
      <c r="G26" s="1322"/>
      <c r="H26" s="1322">
        <f t="shared" si="0"/>
        <v>0</v>
      </c>
      <c r="I26" s="1322"/>
      <c r="J26" s="1322">
        <f t="shared" si="0"/>
        <v>0</v>
      </c>
      <c r="K26" s="1322"/>
      <c r="L26" s="1322">
        <f t="shared" si="0"/>
        <v>0</v>
      </c>
      <c r="M26" s="1322"/>
      <c r="N26" s="1322">
        <f t="shared" si="0"/>
        <v>0</v>
      </c>
      <c r="O26" s="1322"/>
      <c r="P26" s="1322">
        <f t="shared" si="0"/>
        <v>0</v>
      </c>
      <c r="Q26" s="1322"/>
      <c r="R26" s="1322">
        <f t="shared" si="0"/>
        <v>0</v>
      </c>
      <c r="S26" s="1322"/>
      <c r="T26" s="1322">
        <f t="shared" si="2"/>
        <v>0</v>
      </c>
      <c r="U26" s="1322"/>
      <c r="V26" s="1322">
        <f t="shared" si="3"/>
        <v>0</v>
      </c>
      <c r="W26" s="1322"/>
      <c r="X26" s="1322">
        <f t="shared" si="4"/>
        <v>0</v>
      </c>
      <c r="Y26" s="1322"/>
      <c r="Z26" s="1322">
        <f t="shared" si="5"/>
        <v>0</v>
      </c>
      <c r="AA26" s="1322"/>
      <c r="AB26" s="1322">
        <f t="shared" si="6"/>
        <v>0</v>
      </c>
      <c r="AC26" s="1322"/>
      <c r="AD26" s="1322">
        <f t="shared" si="7"/>
        <v>0</v>
      </c>
      <c r="AE26" s="1322"/>
      <c r="AF26" s="1322">
        <f t="shared" si="8"/>
        <v>0</v>
      </c>
      <c r="AG26" s="1322"/>
      <c r="AH26" s="1322">
        <f t="shared" si="9"/>
        <v>0</v>
      </c>
      <c r="AI26" s="1322"/>
      <c r="AJ26" s="1322">
        <f t="shared" si="10"/>
        <v>0</v>
      </c>
      <c r="AK26" s="1322"/>
      <c r="AL26" s="1322">
        <f t="shared" si="11"/>
        <v>0</v>
      </c>
      <c r="AM26" s="1322"/>
      <c r="AN26" s="1322">
        <f t="shared" si="12"/>
        <v>0</v>
      </c>
      <c r="AO26" s="1322"/>
      <c r="AP26" s="1322">
        <f t="shared" si="13"/>
        <v>0</v>
      </c>
      <c r="AQ26" s="1322"/>
      <c r="AR26" s="1322">
        <f t="shared" si="14"/>
        <v>0</v>
      </c>
      <c r="AS26" s="1322"/>
      <c r="AT26" s="1322">
        <f t="shared" si="15"/>
        <v>0</v>
      </c>
      <c r="AU26" s="1322"/>
      <c r="AV26" s="1322">
        <f t="shared" si="16"/>
        <v>0</v>
      </c>
      <c r="AW26" s="1322"/>
      <c r="AX26" s="1322">
        <f t="shared" si="17"/>
        <v>0</v>
      </c>
      <c r="AY26" s="1322"/>
      <c r="AZ26" s="1322">
        <f t="shared" si="18"/>
        <v>0</v>
      </c>
      <c r="BA26" s="1322"/>
      <c r="BB26" s="1322">
        <f t="shared" si="19"/>
        <v>0</v>
      </c>
      <c r="BC26" s="1322"/>
      <c r="BD26" s="1322">
        <f t="shared" si="20"/>
        <v>0</v>
      </c>
      <c r="BE26" s="1322"/>
      <c r="BF26" s="1322">
        <f t="shared" si="21"/>
        <v>0</v>
      </c>
      <c r="BG26" s="1322"/>
      <c r="BH26" s="1322">
        <f t="shared" si="22"/>
        <v>0</v>
      </c>
      <c r="BI26" s="1322"/>
      <c r="BJ26" s="1322">
        <f t="shared" si="23"/>
        <v>0</v>
      </c>
      <c r="BK26" s="1322"/>
      <c r="BL26" s="1322">
        <f t="shared" si="24"/>
        <v>0</v>
      </c>
      <c r="BM26" s="1322"/>
      <c r="BN26" s="1322">
        <f t="shared" si="25"/>
        <v>0</v>
      </c>
      <c r="BO26" s="1322"/>
      <c r="BP26" s="1322">
        <f t="shared" si="26"/>
        <v>0</v>
      </c>
      <c r="BQ26" s="1322"/>
      <c r="BR26" s="1322">
        <f t="shared" si="27"/>
        <v>0</v>
      </c>
      <c r="BS26" s="1322"/>
      <c r="BT26" s="1322">
        <f t="shared" si="28"/>
        <v>0</v>
      </c>
      <c r="BU26" s="1322"/>
      <c r="BV26" s="1322">
        <f t="shared" si="29"/>
        <v>0</v>
      </c>
      <c r="BW26" s="1322"/>
      <c r="BX26" s="1322">
        <f t="shared" si="30"/>
        <v>0</v>
      </c>
      <c r="BY26" s="1322"/>
      <c r="BZ26" s="1322">
        <f t="shared" si="31"/>
        <v>0</v>
      </c>
      <c r="CA26" s="1322"/>
      <c r="CB26" s="1322">
        <f t="shared" si="32"/>
        <v>0</v>
      </c>
      <c r="CC26" s="1322"/>
      <c r="CD26" s="1322">
        <f t="shared" si="33"/>
        <v>0</v>
      </c>
      <c r="CE26" s="1322"/>
      <c r="CF26" s="1322">
        <f t="shared" si="34"/>
        <v>0</v>
      </c>
      <c r="CG26" s="1322"/>
      <c r="CH26" s="1322">
        <f t="shared" si="35"/>
        <v>0</v>
      </c>
      <c r="CI26" s="1322"/>
      <c r="CJ26" s="1322">
        <f t="shared" si="36"/>
        <v>0</v>
      </c>
      <c r="CK26" s="1322"/>
      <c r="CL26" s="1322">
        <f t="shared" si="37"/>
        <v>0</v>
      </c>
      <c r="CM26" s="1322"/>
      <c r="CN26" s="1322">
        <f t="shared" si="38"/>
        <v>0</v>
      </c>
      <c r="CO26" s="1322"/>
      <c r="CP26" s="1322">
        <f t="shared" si="39"/>
        <v>0</v>
      </c>
      <c r="CQ26" s="1322"/>
      <c r="CR26" s="1322">
        <f t="shared" si="40"/>
        <v>0</v>
      </c>
      <c r="CS26" s="1322"/>
      <c r="CT26" s="1322">
        <f t="shared" si="41"/>
        <v>0</v>
      </c>
      <c r="CU26" s="1322"/>
      <c r="CV26" s="1322">
        <f t="shared" si="42"/>
        <v>0</v>
      </c>
      <c r="CW26" s="1322"/>
      <c r="CX26" s="1322">
        <f t="shared" si="43"/>
        <v>0</v>
      </c>
      <c r="CY26" s="1322"/>
      <c r="CZ26" s="1322">
        <f t="shared" si="44"/>
        <v>0</v>
      </c>
      <c r="DA26" s="1322"/>
      <c r="DB26" s="1322">
        <f t="shared" si="45"/>
        <v>0</v>
      </c>
      <c r="DC26" s="1322"/>
      <c r="DD26" s="1322">
        <f t="shared" si="46"/>
        <v>0</v>
      </c>
      <c r="DE26" s="1322"/>
      <c r="DF26" s="1322">
        <f t="shared" si="47"/>
        <v>0</v>
      </c>
      <c r="DG26" s="1322"/>
      <c r="DH26" s="1322">
        <f t="shared" si="48"/>
        <v>0</v>
      </c>
      <c r="DI26" s="1322"/>
      <c r="DJ26" s="1322">
        <f t="shared" si="48"/>
        <v>0</v>
      </c>
      <c r="DK26" s="1322"/>
      <c r="DL26" s="1322">
        <f t="shared" si="48"/>
        <v>0</v>
      </c>
      <c r="DM26" s="1322"/>
      <c r="DN26" s="1322">
        <f t="shared" si="48"/>
        <v>0</v>
      </c>
      <c r="DO26" s="1322"/>
      <c r="DP26" s="1322">
        <f t="shared" si="48"/>
        <v>0</v>
      </c>
      <c r="DQ26" s="1322"/>
      <c r="DR26" s="1322">
        <f t="shared" si="48"/>
        <v>0</v>
      </c>
      <c r="DS26" s="1322"/>
      <c r="DT26" s="1322">
        <f t="shared" si="48"/>
        <v>0</v>
      </c>
      <c r="DU26" s="1322"/>
      <c r="DV26" s="1322">
        <f t="shared" si="48"/>
        <v>0</v>
      </c>
      <c r="DW26" s="1322"/>
      <c r="DX26" s="1322">
        <f t="shared" si="49"/>
        <v>0</v>
      </c>
      <c r="DY26" s="1322"/>
      <c r="DZ26" s="1322">
        <f t="shared" si="49"/>
        <v>0</v>
      </c>
      <c r="EA26" s="1322"/>
      <c r="EB26" s="1322">
        <f t="shared" si="49"/>
        <v>0</v>
      </c>
      <c r="EC26" s="1322"/>
      <c r="ED26" s="1322">
        <f t="shared" si="50"/>
        <v>0</v>
      </c>
      <c r="EE26" s="1322"/>
      <c r="EF26" s="1322">
        <f t="shared" si="50"/>
        <v>0</v>
      </c>
      <c r="EG26" s="1322"/>
      <c r="EH26" s="1322">
        <f t="shared" si="51"/>
        <v>0</v>
      </c>
      <c r="EI26" s="1322"/>
      <c r="EJ26" s="1322">
        <f t="shared" si="52"/>
        <v>0</v>
      </c>
      <c r="EK26" s="1322"/>
      <c r="EL26" s="1322">
        <f t="shared" si="53"/>
        <v>0</v>
      </c>
      <c r="EM26" s="1322"/>
      <c r="EN26" s="1322">
        <f t="shared" si="54"/>
        <v>0</v>
      </c>
      <c r="EO26" s="1322"/>
      <c r="EP26" s="1322">
        <f t="shared" si="54"/>
        <v>0</v>
      </c>
      <c r="EQ26" s="1322"/>
      <c r="ER26" s="1322">
        <f t="shared" si="55"/>
        <v>0</v>
      </c>
      <c r="ES26" s="1322"/>
      <c r="ET26" s="1322">
        <f t="shared" si="56"/>
        <v>0</v>
      </c>
      <c r="EU26" s="1322"/>
      <c r="EV26" s="1322">
        <f t="shared" si="57"/>
        <v>0</v>
      </c>
      <c r="EW26" s="1322"/>
      <c r="EX26" s="1322">
        <f t="shared" si="58"/>
        <v>0</v>
      </c>
      <c r="EY26" s="1322"/>
      <c r="EZ26" s="1322">
        <f t="shared" si="59"/>
        <v>0</v>
      </c>
      <c r="FA26" s="1322"/>
      <c r="FB26" s="1322">
        <f t="shared" si="60"/>
        <v>0</v>
      </c>
      <c r="FC26" s="1322"/>
      <c r="FD26" s="1322">
        <f t="shared" si="61"/>
        <v>0</v>
      </c>
      <c r="FE26" s="1322"/>
      <c r="FF26" s="1322">
        <f t="shared" si="62"/>
        <v>0</v>
      </c>
      <c r="FG26" s="1322"/>
      <c r="FH26" s="1322">
        <f t="shared" si="63"/>
        <v>0</v>
      </c>
      <c r="FI26" s="1322"/>
      <c r="FJ26" s="1322">
        <f t="shared" si="64"/>
        <v>0</v>
      </c>
      <c r="FK26" s="1322"/>
      <c r="FL26" s="1322">
        <f t="shared" si="65"/>
        <v>0</v>
      </c>
      <c r="FM26" s="1322"/>
      <c r="FN26" s="1322">
        <f t="shared" si="66"/>
        <v>0</v>
      </c>
      <c r="FO26" s="1322"/>
      <c r="FP26" s="1322">
        <f t="shared" si="67"/>
        <v>0</v>
      </c>
      <c r="FQ26" s="1322"/>
      <c r="FR26" s="1322">
        <f t="shared" si="68"/>
        <v>0</v>
      </c>
      <c r="FS26" s="1322"/>
      <c r="FT26" s="1322">
        <f t="shared" si="69"/>
        <v>0</v>
      </c>
      <c r="FU26" s="1322"/>
      <c r="FV26" s="1322">
        <f t="shared" si="70"/>
        <v>0</v>
      </c>
      <c r="FW26" s="1322"/>
      <c r="FX26" s="1322">
        <f t="shared" si="71"/>
        <v>0</v>
      </c>
      <c r="FY26" s="1322"/>
      <c r="FZ26" s="1322">
        <f t="shared" si="72"/>
        <v>0</v>
      </c>
      <c r="GA26" s="1322"/>
      <c r="GB26" s="1322">
        <f t="shared" si="73"/>
        <v>0</v>
      </c>
      <c r="GC26" s="1322"/>
      <c r="GD26" s="1322">
        <f t="shared" si="74"/>
        <v>0</v>
      </c>
      <c r="GE26" s="1322"/>
      <c r="GF26" s="1322">
        <f t="shared" si="75"/>
        <v>0</v>
      </c>
      <c r="GG26" s="1322"/>
      <c r="GH26" s="1322">
        <f t="shared" si="76"/>
        <v>0</v>
      </c>
      <c r="GI26" s="1322"/>
      <c r="GJ26" s="1322">
        <f t="shared" si="77"/>
        <v>0</v>
      </c>
      <c r="GK26" s="1322"/>
      <c r="GL26" s="1322">
        <f t="shared" si="78"/>
        <v>0</v>
      </c>
      <c r="GM26" s="1322"/>
      <c r="GN26" s="1322">
        <f t="shared" si="79"/>
        <v>0</v>
      </c>
      <c r="GO26" s="1322"/>
      <c r="GP26" s="1322">
        <f t="shared" si="80"/>
        <v>0</v>
      </c>
      <c r="GQ26" s="1322"/>
      <c r="GR26" s="1322">
        <f t="shared" si="81"/>
        <v>0</v>
      </c>
      <c r="GS26" s="1322"/>
      <c r="GT26" s="1322">
        <f t="shared" si="82"/>
        <v>0</v>
      </c>
      <c r="GU26" s="1322"/>
      <c r="GV26" s="1322">
        <f t="shared" si="83"/>
        <v>0</v>
      </c>
      <c r="GW26" s="1322"/>
      <c r="GX26" s="1322">
        <f t="shared" si="84"/>
        <v>0</v>
      </c>
      <c r="GY26" s="1322"/>
      <c r="GZ26" s="1322">
        <f t="shared" si="85"/>
        <v>0</v>
      </c>
    </row>
    <row r="27" spans="1:208" hidden="1">
      <c r="A27" s="1318"/>
      <c r="B27" s="1318"/>
      <c r="C27" s="1321"/>
      <c r="D27" s="1321">
        <f t="shared" si="1"/>
        <v>0</v>
      </c>
      <c r="E27" s="1321"/>
      <c r="F27" s="1321">
        <f t="shared" si="0"/>
        <v>0</v>
      </c>
      <c r="G27" s="1322"/>
      <c r="H27" s="1322">
        <f t="shared" si="0"/>
        <v>0</v>
      </c>
      <c r="I27" s="1322"/>
      <c r="J27" s="1322">
        <f t="shared" si="0"/>
        <v>0</v>
      </c>
      <c r="K27" s="1322"/>
      <c r="L27" s="1322">
        <f t="shared" si="0"/>
        <v>0</v>
      </c>
      <c r="M27" s="1322"/>
      <c r="N27" s="1322">
        <f t="shared" si="0"/>
        <v>0</v>
      </c>
      <c r="O27" s="1322"/>
      <c r="P27" s="1322">
        <f t="shared" si="0"/>
        <v>0</v>
      </c>
      <c r="Q27" s="1322"/>
      <c r="R27" s="1322">
        <f t="shared" si="0"/>
        <v>0</v>
      </c>
      <c r="S27" s="1322"/>
      <c r="T27" s="1322">
        <f t="shared" si="2"/>
        <v>0</v>
      </c>
      <c r="U27" s="1322"/>
      <c r="V27" s="1322">
        <f t="shared" si="3"/>
        <v>0</v>
      </c>
      <c r="W27" s="1322"/>
      <c r="X27" s="1322">
        <f t="shared" si="4"/>
        <v>0</v>
      </c>
      <c r="Y27" s="1322"/>
      <c r="Z27" s="1322">
        <f t="shared" si="5"/>
        <v>0</v>
      </c>
      <c r="AA27" s="1322"/>
      <c r="AB27" s="1322">
        <f t="shared" si="6"/>
        <v>0</v>
      </c>
      <c r="AC27" s="1322"/>
      <c r="AD27" s="1322">
        <f t="shared" si="7"/>
        <v>0</v>
      </c>
      <c r="AE27" s="1322"/>
      <c r="AF27" s="1322">
        <f t="shared" si="8"/>
        <v>0</v>
      </c>
      <c r="AG27" s="1322"/>
      <c r="AH27" s="1322">
        <f t="shared" si="9"/>
        <v>0</v>
      </c>
      <c r="AI27" s="1322"/>
      <c r="AJ27" s="1322">
        <f t="shared" si="10"/>
        <v>0</v>
      </c>
      <c r="AK27" s="1322"/>
      <c r="AL27" s="1322">
        <f t="shared" si="11"/>
        <v>0</v>
      </c>
      <c r="AM27" s="1322"/>
      <c r="AN27" s="1322">
        <f t="shared" si="12"/>
        <v>0</v>
      </c>
      <c r="AO27" s="1322"/>
      <c r="AP27" s="1322">
        <f t="shared" si="13"/>
        <v>0</v>
      </c>
      <c r="AQ27" s="1322"/>
      <c r="AR27" s="1322">
        <f t="shared" si="14"/>
        <v>0</v>
      </c>
      <c r="AS27" s="1322"/>
      <c r="AT27" s="1322">
        <f t="shared" si="15"/>
        <v>0</v>
      </c>
      <c r="AU27" s="1322"/>
      <c r="AV27" s="1322">
        <f t="shared" si="16"/>
        <v>0</v>
      </c>
      <c r="AW27" s="1322"/>
      <c r="AX27" s="1322">
        <f t="shared" si="17"/>
        <v>0</v>
      </c>
      <c r="AY27" s="1322"/>
      <c r="AZ27" s="1322">
        <f t="shared" si="18"/>
        <v>0</v>
      </c>
      <c r="BA27" s="1322"/>
      <c r="BB27" s="1322">
        <f t="shared" si="19"/>
        <v>0</v>
      </c>
      <c r="BC27" s="1322"/>
      <c r="BD27" s="1322">
        <f t="shared" si="20"/>
        <v>0</v>
      </c>
      <c r="BE27" s="1322"/>
      <c r="BF27" s="1322">
        <f t="shared" si="21"/>
        <v>0</v>
      </c>
      <c r="BG27" s="1322"/>
      <c r="BH27" s="1322">
        <f t="shared" si="22"/>
        <v>0</v>
      </c>
      <c r="BI27" s="1322"/>
      <c r="BJ27" s="1322">
        <f t="shared" si="23"/>
        <v>0</v>
      </c>
      <c r="BK27" s="1322"/>
      <c r="BL27" s="1322">
        <f t="shared" si="24"/>
        <v>0</v>
      </c>
      <c r="BM27" s="1322"/>
      <c r="BN27" s="1322">
        <f t="shared" si="25"/>
        <v>0</v>
      </c>
      <c r="BO27" s="1322"/>
      <c r="BP27" s="1322">
        <f t="shared" si="26"/>
        <v>0</v>
      </c>
      <c r="BQ27" s="1322"/>
      <c r="BR27" s="1322">
        <f t="shared" si="27"/>
        <v>0</v>
      </c>
      <c r="BS27" s="1322"/>
      <c r="BT27" s="1322">
        <f t="shared" si="28"/>
        <v>0</v>
      </c>
      <c r="BU27" s="1322"/>
      <c r="BV27" s="1322">
        <f t="shared" si="29"/>
        <v>0</v>
      </c>
      <c r="BW27" s="1322"/>
      <c r="BX27" s="1322">
        <f t="shared" si="30"/>
        <v>0</v>
      </c>
      <c r="BY27" s="1322"/>
      <c r="BZ27" s="1322">
        <f t="shared" si="31"/>
        <v>0</v>
      </c>
      <c r="CA27" s="1322"/>
      <c r="CB27" s="1322">
        <f t="shared" si="32"/>
        <v>0</v>
      </c>
      <c r="CC27" s="1322"/>
      <c r="CD27" s="1322">
        <f t="shared" si="33"/>
        <v>0</v>
      </c>
      <c r="CE27" s="1322"/>
      <c r="CF27" s="1322">
        <f t="shared" si="34"/>
        <v>0</v>
      </c>
      <c r="CG27" s="1322"/>
      <c r="CH27" s="1322">
        <f t="shared" si="35"/>
        <v>0</v>
      </c>
      <c r="CI27" s="1322"/>
      <c r="CJ27" s="1322">
        <f t="shared" si="36"/>
        <v>0</v>
      </c>
      <c r="CK27" s="1322"/>
      <c r="CL27" s="1322">
        <f t="shared" si="37"/>
        <v>0</v>
      </c>
      <c r="CM27" s="1322"/>
      <c r="CN27" s="1322">
        <f t="shared" si="38"/>
        <v>0</v>
      </c>
      <c r="CO27" s="1322"/>
      <c r="CP27" s="1322">
        <f t="shared" si="39"/>
        <v>0</v>
      </c>
      <c r="CQ27" s="1322"/>
      <c r="CR27" s="1322">
        <f t="shared" si="40"/>
        <v>0</v>
      </c>
      <c r="CS27" s="1322"/>
      <c r="CT27" s="1322">
        <f t="shared" si="41"/>
        <v>0</v>
      </c>
      <c r="CU27" s="1322"/>
      <c r="CV27" s="1322">
        <f t="shared" si="42"/>
        <v>0</v>
      </c>
      <c r="CW27" s="1322"/>
      <c r="CX27" s="1322">
        <f t="shared" si="43"/>
        <v>0</v>
      </c>
      <c r="CY27" s="1322"/>
      <c r="CZ27" s="1322">
        <f t="shared" si="44"/>
        <v>0</v>
      </c>
      <c r="DA27" s="1322"/>
      <c r="DB27" s="1322">
        <f t="shared" si="45"/>
        <v>0</v>
      </c>
      <c r="DC27" s="1322"/>
      <c r="DD27" s="1322">
        <f t="shared" si="46"/>
        <v>0</v>
      </c>
      <c r="DE27" s="1322"/>
      <c r="DF27" s="1322">
        <f t="shared" si="47"/>
        <v>0</v>
      </c>
      <c r="DG27" s="1322"/>
      <c r="DH27" s="1322">
        <f t="shared" si="48"/>
        <v>0</v>
      </c>
      <c r="DI27" s="1322"/>
      <c r="DJ27" s="1322">
        <f t="shared" si="48"/>
        <v>0</v>
      </c>
      <c r="DK27" s="1322"/>
      <c r="DL27" s="1322">
        <f t="shared" si="48"/>
        <v>0</v>
      </c>
      <c r="DM27" s="1322"/>
      <c r="DN27" s="1322">
        <f t="shared" si="48"/>
        <v>0</v>
      </c>
      <c r="DO27" s="1322"/>
      <c r="DP27" s="1322">
        <f t="shared" si="48"/>
        <v>0</v>
      </c>
      <c r="DQ27" s="1322"/>
      <c r="DR27" s="1322">
        <f t="shared" si="48"/>
        <v>0</v>
      </c>
      <c r="DS27" s="1322"/>
      <c r="DT27" s="1322">
        <f t="shared" si="48"/>
        <v>0</v>
      </c>
      <c r="DU27" s="1322"/>
      <c r="DV27" s="1322">
        <f t="shared" si="48"/>
        <v>0</v>
      </c>
      <c r="DW27" s="1322"/>
      <c r="DX27" s="1322">
        <f t="shared" si="49"/>
        <v>0</v>
      </c>
      <c r="DY27" s="1322"/>
      <c r="DZ27" s="1322">
        <f t="shared" si="49"/>
        <v>0</v>
      </c>
      <c r="EA27" s="1322"/>
      <c r="EB27" s="1322">
        <f t="shared" si="49"/>
        <v>0</v>
      </c>
      <c r="EC27" s="1322"/>
      <c r="ED27" s="1322">
        <f t="shared" si="50"/>
        <v>0</v>
      </c>
      <c r="EE27" s="1322"/>
      <c r="EF27" s="1322">
        <f t="shared" si="50"/>
        <v>0</v>
      </c>
      <c r="EG27" s="1322"/>
      <c r="EH27" s="1322">
        <f t="shared" si="51"/>
        <v>0</v>
      </c>
      <c r="EI27" s="1322"/>
      <c r="EJ27" s="1322">
        <f t="shared" si="52"/>
        <v>0</v>
      </c>
      <c r="EK27" s="1322"/>
      <c r="EL27" s="1322">
        <f t="shared" si="53"/>
        <v>0</v>
      </c>
      <c r="EM27" s="1322"/>
      <c r="EN27" s="1322">
        <f t="shared" si="54"/>
        <v>0</v>
      </c>
      <c r="EO27" s="1322"/>
      <c r="EP27" s="1322">
        <f t="shared" si="54"/>
        <v>0</v>
      </c>
      <c r="EQ27" s="1322"/>
      <c r="ER27" s="1322">
        <f t="shared" si="55"/>
        <v>0</v>
      </c>
      <c r="ES27" s="1322"/>
      <c r="ET27" s="1322">
        <f t="shared" si="56"/>
        <v>0</v>
      </c>
      <c r="EU27" s="1322"/>
      <c r="EV27" s="1322">
        <f t="shared" si="57"/>
        <v>0</v>
      </c>
      <c r="EW27" s="1322"/>
      <c r="EX27" s="1322">
        <f t="shared" si="58"/>
        <v>0</v>
      </c>
      <c r="EY27" s="1322"/>
      <c r="EZ27" s="1322">
        <f t="shared" si="59"/>
        <v>0</v>
      </c>
      <c r="FA27" s="1322"/>
      <c r="FB27" s="1322">
        <f t="shared" si="60"/>
        <v>0</v>
      </c>
      <c r="FC27" s="1322"/>
      <c r="FD27" s="1322">
        <f t="shared" si="61"/>
        <v>0</v>
      </c>
      <c r="FE27" s="1322"/>
      <c r="FF27" s="1322">
        <f t="shared" si="62"/>
        <v>0</v>
      </c>
      <c r="FG27" s="1322"/>
      <c r="FH27" s="1322">
        <f t="shared" si="63"/>
        <v>0</v>
      </c>
      <c r="FI27" s="1322"/>
      <c r="FJ27" s="1322">
        <f t="shared" si="64"/>
        <v>0</v>
      </c>
      <c r="FK27" s="1322"/>
      <c r="FL27" s="1322">
        <f t="shared" si="65"/>
        <v>0</v>
      </c>
      <c r="FM27" s="1322"/>
      <c r="FN27" s="1322">
        <f t="shared" si="66"/>
        <v>0</v>
      </c>
      <c r="FO27" s="1322"/>
      <c r="FP27" s="1322">
        <f t="shared" si="67"/>
        <v>0</v>
      </c>
      <c r="FQ27" s="1322"/>
      <c r="FR27" s="1322">
        <f t="shared" si="68"/>
        <v>0</v>
      </c>
      <c r="FS27" s="1322"/>
      <c r="FT27" s="1322">
        <f t="shared" si="69"/>
        <v>0</v>
      </c>
      <c r="FU27" s="1322"/>
      <c r="FV27" s="1322">
        <f t="shared" si="70"/>
        <v>0</v>
      </c>
      <c r="FW27" s="1322"/>
      <c r="FX27" s="1322">
        <f t="shared" si="71"/>
        <v>0</v>
      </c>
      <c r="FY27" s="1322"/>
      <c r="FZ27" s="1322">
        <f t="shared" si="72"/>
        <v>0</v>
      </c>
      <c r="GA27" s="1322"/>
      <c r="GB27" s="1322">
        <f t="shared" si="73"/>
        <v>0</v>
      </c>
      <c r="GC27" s="1322"/>
      <c r="GD27" s="1322">
        <f t="shared" si="74"/>
        <v>0</v>
      </c>
      <c r="GE27" s="1322"/>
      <c r="GF27" s="1322">
        <f t="shared" si="75"/>
        <v>0</v>
      </c>
      <c r="GG27" s="1322"/>
      <c r="GH27" s="1322">
        <f t="shared" si="76"/>
        <v>0</v>
      </c>
      <c r="GI27" s="1322"/>
      <c r="GJ27" s="1322">
        <f t="shared" si="77"/>
        <v>0</v>
      </c>
      <c r="GK27" s="1322"/>
      <c r="GL27" s="1322">
        <f t="shared" si="78"/>
        <v>0</v>
      </c>
      <c r="GM27" s="1322"/>
      <c r="GN27" s="1322">
        <f t="shared" si="79"/>
        <v>0</v>
      </c>
      <c r="GO27" s="1322"/>
      <c r="GP27" s="1322">
        <f t="shared" si="80"/>
        <v>0</v>
      </c>
      <c r="GQ27" s="1322"/>
      <c r="GR27" s="1322">
        <f t="shared" si="81"/>
        <v>0</v>
      </c>
      <c r="GS27" s="1322"/>
      <c r="GT27" s="1322">
        <f t="shared" si="82"/>
        <v>0</v>
      </c>
      <c r="GU27" s="1322"/>
      <c r="GV27" s="1322">
        <f t="shared" si="83"/>
        <v>0</v>
      </c>
      <c r="GW27" s="1322"/>
      <c r="GX27" s="1322">
        <f t="shared" si="84"/>
        <v>0</v>
      </c>
      <c r="GY27" s="1322"/>
      <c r="GZ27" s="1322">
        <f t="shared" si="85"/>
        <v>0</v>
      </c>
    </row>
    <row r="28" spans="1:208" hidden="1">
      <c r="A28" s="1318"/>
      <c r="B28" s="1318"/>
      <c r="C28" s="1321"/>
      <c r="D28" s="1321">
        <f t="shared" si="1"/>
        <v>0</v>
      </c>
      <c r="E28" s="1321"/>
      <c r="F28" s="1321">
        <f t="shared" si="0"/>
        <v>0</v>
      </c>
      <c r="G28" s="1322"/>
      <c r="H28" s="1322">
        <f t="shared" si="0"/>
        <v>0</v>
      </c>
      <c r="I28" s="1322"/>
      <c r="J28" s="1322">
        <f t="shared" si="0"/>
        <v>0</v>
      </c>
      <c r="K28" s="1322"/>
      <c r="L28" s="1322">
        <f t="shared" si="0"/>
        <v>0</v>
      </c>
      <c r="M28" s="1322"/>
      <c r="N28" s="1322">
        <f t="shared" si="0"/>
        <v>0</v>
      </c>
      <c r="O28" s="1322"/>
      <c r="P28" s="1322">
        <f t="shared" si="0"/>
        <v>0</v>
      </c>
      <c r="Q28" s="1322"/>
      <c r="R28" s="1322">
        <f t="shared" si="0"/>
        <v>0</v>
      </c>
      <c r="S28" s="1322"/>
      <c r="T28" s="1322">
        <f t="shared" si="2"/>
        <v>0</v>
      </c>
      <c r="U28" s="1322"/>
      <c r="V28" s="1322">
        <f t="shared" si="3"/>
        <v>0</v>
      </c>
      <c r="W28" s="1322"/>
      <c r="X28" s="1322">
        <f t="shared" si="4"/>
        <v>0</v>
      </c>
      <c r="Y28" s="1322"/>
      <c r="Z28" s="1322">
        <f t="shared" si="5"/>
        <v>0</v>
      </c>
      <c r="AA28" s="1322"/>
      <c r="AB28" s="1322">
        <f t="shared" si="6"/>
        <v>0</v>
      </c>
      <c r="AC28" s="1322"/>
      <c r="AD28" s="1322">
        <f t="shared" si="7"/>
        <v>0</v>
      </c>
      <c r="AE28" s="1322"/>
      <c r="AF28" s="1322">
        <f t="shared" si="8"/>
        <v>0</v>
      </c>
      <c r="AG28" s="1322"/>
      <c r="AH28" s="1322">
        <f t="shared" si="9"/>
        <v>0</v>
      </c>
      <c r="AI28" s="1322"/>
      <c r="AJ28" s="1322">
        <f t="shared" si="10"/>
        <v>0</v>
      </c>
      <c r="AK28" s="1322"/>
      <c r="AL28" s="1322">
        <f t="shared" si="11"/>
        <v>0</v>
      </c>
      <c r="AM28" s="1322"/>
      <c r="AN28" s="1322">
        <f t="shared" si="12"/>
        <v>0</v>
      </c>
      <c r="AO28" s="1322"/>
      <c r="AP28" s="1322">
        <f t="shared" si="13"/>
        <v>0</v>
      </c>
      <c r="AQ28" s="1322"/>
      <c r="AR28" s="1322">
        <f t="shared" si="14"/>
        <v>0</v>
      </c>
      <c r="AS28" s="1322"/>
      <c r="AT28" s="1322">
        <f t="shared" si="15"/>
        <v>0</v>
      </c>
      <c r="AU28" s="1322"/>
      <c r="AV28" s="1322">
        <f t="shared" si="16"/>
        <v>0</v>
      </c>
      <c r="AW28" s="1322"/>
      <c r="AX28" s="1322">
        <f t="shared" si="17"/>
        <v>0</v>
      </c>
      <c r="AY28" s="1322"/>
      <c r="AZ28" s="1322">
        <f t="shared" si="18"/>
        <v>0</v>
      </c>
      <c r="BA28" s="1322"/>
      <c r="BB28" s="1322">
        <f t="shared" si="19"/>
        <v>0</v>
      </c>
      <c r="BC28" s="1322"/>
      <c r="BD28" s="1322">
        <f t="shared" si="20"/>
        <v>0</v>
      </c>
      <c r="BE28" s="1322"/>
      <c r="BF28" s="1322">
        <f t="shared" si="21"/>
        <v>0</v>
      </c>
      <c r="BG28" s="1322"/>
      <c r="BH28" s="1322">
        <f t="shared" si="22"/>
        <v>0</v>
      </c>
      <c r="BI28" s="1322"/>
      <c r="BJ28" s="1322">
        <f t="shared" si="23"/>
        <v>0</v>
      </c>
      <c r="BK28" s="1322"/>
      <c r="BL28" s="1322">
        <f t="shared" si="24"/>
        <v>0</v>
      </c>
      <c r="BM28" s="1322"/>
      <c r="BN28" s="1322">
        <f t="shared" si="25"/>
        <v>0</v>
      </c>
      <c r="BO28" s="1322"/>
      <c r="BP28" s="1322">
        <f t="shared" si="26"/>
        <v>0</v>
      </c>
      <c r="BQ28" s="1322"/>
      <c r="BR28" s="1322">
        <f t="shared" si="27"/>
        <v>0</v>
      </c>
      <c r="BS28" s="1322"/>
      <c r="BT28" s="1322">
        <f t="shared" si="28"/>
        <v>0</v>
      </c>
      <c r="BU28" s="1322"/>
      <c r="BV28" s="1322">
        <f t="shared" si="29"/>
        <v>0</v>
      </c>
      <c r="BW28" s="1322"/>
      <c r="BX28" s="1322">
        <f t="shared" si="30"/>
        <v>0</v>
      </c>
      <c r="BY28" s="1322"/>
      <c r="BZ28" s="1322">
        <f t="shared" si="31"/>
        <v>0</v>
      </c>
      <c r="CA28" s="1322"/>
      <c r="CB28" s="1322">
        <f t="shared" si="32"/>
        <v>0</v>
      </c>
      <c r="CC28" s="1322"/>
      <c r="CD28" s="1322">
        <f t="shared" si="33"/>
        <v>0</v>
      </c>
      <c r="CE28" s="1322"/>
      <c r="CF28" s="1322">
        <f t="shared" si="34"/>
        <v>0</v>
      </c>
      <c r="CG28" s="1322"/>
      <c r="CH28" s="1322">
        <f t="shared" si="35"/>
        <v>0</v>
      </c>
      <c r="CI28" s="1322"/>
      <c r="CJ28" s="1322">
        <f t="shared" si="36"/>
        <v>0</v>
      </c>
      <c r="CK28" s="1322"/>
      <c r="CL28" s="1322">
        <f t="shared" si="37"/>
        <v>0</v>
      </c>
      <c r="CM28" s="1322"/>
      <c r="CN28" s="1322">
        <f t="shared" si="38"/>
        <v>0</v>
      </c>
      <c r="CO28" s="1322"/>
      <c r="CP28" s="1322">
        <f t="shared" si="39"/>
        <v>0</v>
      </c>
      <c r="CQ28" s="1322"/>
      <c r="CR28" s="1322">
        <f t="shared" si="40"/>
        <v>0</v>
      </c>
      <c r="CS28" s="1322"/>
      <c r="CT28" s="1322">
        <f t="shared" si="41"/>
        <v>0</v>
      </c>
      <c r="CU28" s="1322"/>
      <c r="CV28" s="1322">
        <f t="shared" si="42"/>
        <v>0</v>
      </c>
      <c r="CW28" s="1322"/>
      <c r="CX28" s="1322">
        <f t="shared" si="43"/>
        <v>0</v>
      </c>
      <c r="CY28" s="1322"/>
      <c r="CZ28" s="1322">
        <f t="shared" si="44"/>
        <v>0</v>
      </c>
      <c r="DA28" s="1322"/>
      <c r="DB28" s="1322">
        <f t="shared" si="45"/>
        <v>0</v>
      </c>
      <c r="DC28" s="1322"/>
      <c r="DD28" s="1322">
        <f t="shared" si="46"/>
        <v>0</v>
      </c>
      <c r="DE28" s="1322"/>
      <c r="DF28" s="1322">
        <f t="shared" si="47"/>
        <v>0</v>
      </c>
      <c r="DG28" s="1322"/>
      <c r="DH28" s="1322">
        <f t="shared" si="48"/>
        <v>0</v>
      </c>
      <c r="DI28" s="1322"/>
      <c r="DJ28" s="1322">
        <f t="shared" si="48"/>
        <v>0</v>
      </c>
      <c r="DK28" s="1322"/>
      <c r="DL28" s="1322">
        <f t="shared" si="48"/>
        <v>0</v>
      </c>
      <c r="DM28" s="1322"/>
      <c r="DN28" s="1322">
        <f t="shared" si="48"/>
        <v>0</v>
      </c>
      <c r="DO28" s="1322"/>
      <c r="DP28" s="1322">
        <f t="shared" si="48"/>
        <v>0</v>
      </c>
      <c r="DQ28" s="1322"/>
      <c r="DR28" s="1322">
        <f t="shared" si="48"/>
        <v>0</v>
      </c>
      <c r="DS28" s="1322"/>
      <c r="DT28" s="1322">
        <f t="shared" si="48"/>
        <v>0</v>
      </c>
      <c r="DU28" s="1322"/>
      <c r="DV28" s="1322">
        <f t="shared" si="48"/>
        <v>0</v>
      </c>
      <c r="DW28" s="1322"/>
      <c r="DX28" s="1322">
        <f t="shared" si="49"/>
        <v>0</v>
      </c>
      <c r="DY28" s="1322"/>
      <c r="DZ28" s="1322">
        <f t="shared" si="49"/>
        <v>0</v>
      </c>
      <c r="EA28" s="1322"/>
      <c r="EB28" s="1322">
        <f t="shared" si="49"/>
        <v>0</v>
      </c>
      <c r="EC28" s="1322"/>
      <c r="ED28" s="1322">
        <f t="shared" si="50"/>
        <v>0</v>
      </c>
      <c r="EE28" s="1322"/>
      <c r="EF28" s="1322">
        <f t="shared" si="50"/>
        <v>0</v>
      </c>
      <c r="EG28" s="1322"/>
      <c r="EH28" s="1322">
        <f t="shared" si="51"/>
        <v>0</v>
      </c>
      <c r="EI28" s="1322"/>
      <c r="EJ28" s="1322">
        <f t="shared" si="52"/>
        <v>0</v>
      </c>
      <c r="EK28" s="1322"/>
      <c r="EL28" s="1322">
        <f t="shared" si="53"/>
        <v>0</v>
      </c>
      <c r="EM28" s="1322"/>
      <c r="EN28" s="1322">
        <f t="shared" si="54"/>
        <v>0</v>
      </c>
      <c r="EO28" s="1322"/>
      <c r="EP28" s="1322">
        <f t="shared" si="54"/>
        <v>0</v>
      </c>
      <c r="EQ28" s="1322"/>
      <c r="ER28" s="1322">
        <f t="shared" si="55"/>
        <v>0</v>
      </c>
      <c r="ES28" s="1322"/>
      <c r="ET28" s="1322">
        <f t="shared" si="56"/>
        <v>0</v>
      </c>
      <c r="EU28" s="1322"/>
      <c r="EV28" s="1322">
        <f t="shared" si="57"/>
        <v>0</v>
      </c>
      <c r="EW28" s="1322"/>
      <c r="EX28" s="1322">
        <f t="shared" si="58"/>
        <v>0</v>
      </c>
      <c r="EY28" s="1322"/>
      <c r="EZ28" s="1322">
        <f t="shared" si="59"/>
        <v>0</v>
      </c>
      <c r="FA28" s="1322"/>
      <c r="FB28" s="1322">
        <f t="shared" si="60"/>
        <v>0</v>
      </c>
      <c r="FC28" s="1322"/>
      <c r="FD28" s="1322">
        <f t="shared" si="61"/>
        <v>0</v>
      </c>
      <c r="FE28" s="1322"/>
      <c r="FF28" s="1322">
        <f t="shared" si="62"/>
        <v>0</v>
      </c>
      <c r="FG28" s="1322"/>
      <c r="FH28" s="1322">
        <f t="shared" si="63"/>
        <v>0</v>
      </c>
      <c r="FI28" s="1322"/>
      <c r="FJ28" s="1322">
        <f t="shared" si="64"/>
        <v>0</v>
      </c>
      <c r="FK28" s="1322"/>
      <c r="FL28" s="1322">
        <f t="shared" si="65"/>
        <v>0</v>
      </c>
      <c r="FM28" s="1322"/>
      <c r="FN28" s="1322">
        <f t="shared" si="66"/>
        <v>0</v>
      </c>
      <c r="FO28" s="1322"/>
      <c r="FP28" s="1322">
        <f t="shared" si="67"/>
        <v>0</v>
      </c>
      <c r="FQ28" s="1322"/>
      <c r="FR28" s="1322">
        <f t="shared" si="68"/>
        <v>0</v>
      </c>
      <c r="FS28" s="1322"/>
      <c r="FT28" s="1322">
        <f t="shared" si="69"/>
        <v>0</v>
      </c>
      <c r="FU28" s="1322"/>
      <c r="FV28" s="1322">
        <f t="shared" si="70"/>
        <v>0</v>
      </c>
      <c r="FW28" s="1322"/>
      <c r="FX28" s="1322">
        <f t="shared" si="71"/>
        <v>0</v>
      </c>
      <c r="FY28" s="1322"/>
      <c r="FZ28" s="1322">
        <f t="shared" si="72"/>
        <v>0</v>
      </c>
      <c r="GA28" s="1322"/>
      <c r="GB28" s="1322">
        <f t="shared" si="73"/>
        <v>0</v>
      </c>
      <c r="GC28" s="1322"/>
      <c r="GD28" s="1322">
        <f t="shared" si="74"/>
        <v>0</v>
      </c>
      <c r="GE28" s="1322"/>
      <c r="GF28" s="1322">
        <f t="shared" si="75"/>
        <v>0</v>
      </c>
      <c r="GG28" s="1322"/>
      <c r="GH28" s="1322">
        <f t="shared" si="76"/>
        <v>0</v>
      </c>
      <c r="GI28" s="1322"/>
      <c r="GJ28" s="1322">
        <f t="shared" si="77"/>
        <v>0</v>
      </c>
      <c r="GK28" s="1322"/>
      <c r="GL28" s="1322">
        <f t="shared" si="78"/>
        <v>0</v>
      </c>
      <c r="GM28" s="1322"/>
      <c r="GN28" s="1322">
        <f t="shared" si="79"/>
        <v>0</v>
      </c>
      <c r="GO28" s="1322"/>
      <c r="GP28" s="1322">
        <f t="shared" si="80"/>
        <v>0</v>
      </c>
      <c r="GQ28" s="1322"/>
      <c r="GR28" s="1322">
        <f t="shared" si="81"/>
        <v>0</v>
      </c>
      <c r="GS28" s="1322"/>
      <c r="GT28" s="1322">
        <f t="shared" si="82"/>
        <v>0</v>
      </c>
      <c r="GU28" s="1322"/>
      <c r="GV28" s="1322">
        <f t="shared" si="83"/>
        <v>0</v>
      </c>
      <c r="GW28" s="1322"/>
      <c r="GX28" s="1322">
        <f t="shared" si="84"/>
        <v>0</v>
      </c>
      <c r="GY28" s="1322"/>
      <c r="GZ28" s="1322">
        <f t="shared" si="85"/>
        <v>0</v>
      </c>
    </row>
    <row r="29" spans="1:208" hidden="1">
      <c r="A29" s="1318"/>
      <c r="B29" s="1318"/>
      <c r="C29" s="1321"/>
      <c r="D29" s="1321">
        <f t="shared" si="1"/>
        <v>0</v>
      </c>
      <c r="E29" s="1321"/>
      <c r="F29" s="1321">
        <f t="shared" si="0"/>
        <v>0</v>
      </c>
      <c r="G29" s="1322"/>
      <c r="H29" s="1322">
        <f t="shared" si="0"/>
        <v>0</v>
      </c>
      <c r="I29" s="1322"/>
      <c r="J29" s="1322">
        <f t="shared" si="0"/>
        <v>0</v>
      </c>
      <c r="K29" s="1322"/>
      <c r="L29" s="1322">
        <f t="shared" si="0"/>
        <v>0</v>
      </c>
      <c r="M29" s="1322"/>
      <c r="N29" s="1322">
        <f t="shared" si="0"/>
        <v>0</v>
      </c>
      <c r="O29" s="1322"/>
      <c r="P29" s="1322">
        <f t="shared" si="0"/>
        <v>0</v>
      </c>
      <c r="Q29" s="1322"/>
      <c r="R29" s="1322">
        <f t="shared" si="0"/>
        <v>0</v>
      </c>
      <c r="S29" s="1322"/>
      <c r="T29" s="1322">
        <f t="shared" si="2"/>
        <v>0</v>
      </c>
      <c r="U29" s="1322"/>
      <c r="V29" s="1322">
        <f t="shared" si="3"/>
        <v>0</v>
      </c>
      <c r="W29" s="1322"/>
      <c r="X29" s="1322">
        <f t="shared" si="4"/>
        <v>0</v>
      </c>
      <c r="Y29" s="1322"/>
      <c r="Z29" s="1322">
        <f t="shared" si="5"/>
        <v>0</v>
      </c>
      <c r="AA29" s="1322"/>
      <c r="AB29" s="1322">
        <f t="shared" si="6"/>
        <v>0</v>
      </c>
      <c r="AC29" s="1322"/>
      <c r="AD29" s="1322">
        <f t="shared" si="7"/>
        <v>0</v>
      </c>
      <c r="AE29" s="1322"/>
      <c r="AF29" s="1322">
        <f t="shared" si="8"/>
        <v>0</v>
      </c>
      <c r="AG29" s="1322"/>
      <c r="AH29" s="1322">
        <f t="shared" si="9"/>
        <v>0</v>
      </c>
      <c r="AI29" s="1322"/>
      <c r="AJ29" s="1322">
        <f t="shared" si="10"/>
        <v>0</v>
      </c>
      <c r="AK29" s="1322"/>
      <c r="AL29" s="1322">
        <f t="shared" si="11"/>
        <v>0</v>
      </c>
      <c r="AM29" s="1322"/>
      <c r="AN29" s="1322">
        <f t="shared" si="12"/>
        <v>0</v>
      </c>
      <c r="AO29" s="1322"/>
      <c r="AP29" s="1322">
        <f t="shared" si="13"/>
        <v>0</v>
      </c>
      <c r="AQ29" s="1322"/>
      <c r="AR29" s="1322">
        <f t="shared" si="14"/>
        <v>0</v>
      </c>
      <c r="AS29" s="1322"/>
      <c r="AT29" s="1322">
        <f t="shared" si="15"/>
        <v>0</v>
      </c>
      <c r="AU29" s="1322"/>
      <c r="AV29" s="1322">
        <f t="shared" si="16"/>
        <v>0</v>
      </c>
      <c r="AW29" s="1322"/>
      <c r="AX29" s="1322">
        <f t="shared" si="17"/>
        <v>0</v>
      </c>
      <c r="AY29" s="1322"/>
      <c r="AZ29" s="1322">
        <f t="shared" si="18"/>
        <v>0</v>
      </c>
      <c r="BA29" s="1322"/>
      <c r="BB29" s="1322">
        <f t="shared" si="19"/>
        <v>0</v>
      </c>
      <c r="BC29" s="1322"/>
      <c r="BD29" s="1322">
        <f t="shared" si="20"/>
        <v>0</v>
      </c>
      <c r="BE29" s="1322"/>
      <c r="BF29" s="1322">
        <f t="shared" si="21"/>
        <v>0</v>
      </c>
      <c r="BG29" s="1322"/>
      <c r="BH29" s="1322">
        <f t="shared" si="22"/>
        <v>0</v>
      </c>
      <c r="BI29" s="1322"/>
      <c r="BJ29" s="1322">
        <f t="shared" si="23"/>
        <v>0</v>
      </c>
      <c r="BK29" s="1322"/>
      <c r="BL29" s="1322">
        <f t="shared" si="24"/>
        <v>0</v>
      </c>
      <c r="BM29" s="1322"/>
      <c r="BN29" s="1322">
        <f t="shared" si="25"/>
        <v>0</v>
      </c>
      <c r="BO29" s="1322"/>
      <c r="BP29" s="1322">
        <f t="shared" si="26"/>
        <v>0</v>
      </c>
      <c r="BQ29" s="1322"/>
      <c r="BR29" s="1322">
        <f t="shared" si="27"/>
        <v>0</v>
      </c>
      <c r="BS29" s="1322"/>
      <c r="BT29" s="1322">
        <f t="shared" si="28"/>
        <v>0</v>
      </c>
      <c r="BU29" s="1322"/>
      <c r="BV29" s="1322">
        <f t="shared" si="29"/>
        <v>0</v>
      </c>
      <c r="BW29" s="1322"/>
      <c r="BX29" s="1322">
        <f t="shared" si="30"/>
        <v>0</v>
      </c>
      <c r="BY29" s="1322"/>
      <c r="BZ29" s="1322">
        <f t="shared" si="31"/>
        <v>0</v>
      </c>
      <c r="CA29" s="1322"/>
      <c r="CB29" s="1322">
        <f t="shared" si="32"/>
        <v>0</v>
      </c>
      <c r="CC29" s="1322"/>
      <c r="CD29" s="1322">
        <f t="shared" si="33"/>
        <v>0</v>
      </c>
      <c r="CE29" s="1322"/>
      <c r="CF29" s="1322">
        <f t="shared" si="34"/>
        <v>0</v>
      </c>
      <c r="CG29" s="1322"/>
      <c r="CH29" s="1322">
        <f t="shared" si="35"/>
        <v>0</v>
      </c>
      <c r="CI29" s="1322"/>
      <c r="CJ29" s="1322">
        <f t="shared" si="36"/>
        <v>0</v>
      </c>
      <c r="CK29" s="1322"/>
      <c r="CL29" s="1322">
        <f t="shared" si="37"/>
        <v>0</v>
      </c>
      <c r="CM29" s="1322"/>
      <c r="CN29" s="1322">
        <f t="shared" si="38"/>
        <v>0</v>
      </c>
      <c r="CO29" s="1322"/>
      <c r="CP29" s="1322">
        <f t="shared" si="39"/>
        <v>0</v>
      </c>
      <c r="CQ29" s="1322"/>
      <c r="CR29" s="1322">
        <f t="shared" si="40"/>
        <v>0</v>
      </c>
      <c r="CS29" s="1322"/>
      <c r="CT29" s="1322">
        <f t="shared" si="41"/>
        <v>0</v>
      </c>
      <c r="CU29" s="1322"/>
      <c r="CV29" s="1322">
        <f t="shared" si="42"/>
        <v>0</v>
      </c>
      <c r="CW29" s="1322"/>
      <c r="CX29" s="1322">
        <f t="shared" si="43"/>
        <v>0</v>
      </c>
      <c r="CY29" s="1322"/>
      <c r="CZ29" s="1322">
        <f t="shared" si="44"/>
        <v>0</v>
      </c>
      <c r="DA29" s="1322"/>
      <c r="DB29" s="1322">
        <f t="shared" si="45"/>
        <v>0</v>
      </c>
      <c r="DC29" s="1322"/>
      <c r="DD29" s="1322">
        <f t="shared" si="46"/>
        <v>0</v>
      </c>
      <c r="DE29" s="1322"/>
      <c r="DF29" s="1322">
        <f t="shared" si="47"/>
        <v>0</v>
      </c>
      <c r="DG29" s="1322"/>
      <c r="DH29" s="1322">
        <f t="shared" si="48"/>
        <v>0</v>
      </c>
      <c r="DI29" s="1322"/>
      <c r="DJ29" s="1322">
        <f t="shared" si="48"/>
        <v>0</v>
      </c>
      <c r="DK29" s="1322"/>
      <c r="DL29" s="1322">
        <f t="shared" si="48"/>
        <v>0</v>
      </c>
      <c r="DM29" s="1322"/>
      <c r="DN29" s="1322">
        <f t="shared" si="48"/>
        <v>0</v>
      </c>
      <c r="DO29" s="1322"/>
      <c r="DP29" s="1322">
        <f t="shared" si="48"/>
        <v>0</v>
      </c>
      <c r="DQ29" s="1322"/>
      <c r="DR29" s="1322">
        <f t="shared" si="48"/>
        <v>0</v>
      </c>
      <c r="DS29" s="1322"/>
      <c r="DT29" s="1322">
        <f t="shared" si="48"/>
        <v>0</v>
      </c>
      <c r="DU29" s="1322"/>
      <c r="DV29" s="1322">
        <f t="shared" ref="DV29:DV60" si="86">DT29-DU29</f>
        <v>0</v>
      </c>
      <c r="DW29" s="1322"/>
      <c r="DX29" s="1322">
        <f t="shared" si="49"/>
        <v>0</v>
      </c>
      <c r="DY29" s="1322"/>
      <c r="DZ29" s="1322">
        <f t="shared" si="49"/>
        <v>0</v>
      </c>
      <c r="EA29" s="1322"/>
      <c r="EB29" s="1322">
        <f t="shared" si="49"/>
        <v>0</v>
      </c>
      <c r="EC29" s="1322"/>
      <c r="ED29" s="1322">
        <f t="shared" si="50"/>
        <v>0</v>
      </c>
      <c r="EE29" s="1322"/>
      <c r="EF29" s="1322">
        <f t="shared" si="50"/>
        <v>0</v>
      </c>
      <c r="EG29" s="1322"/>
      <c r="EH29" s="1322">
        <f t="shared" si="51"/>
        <v>0</v>
      </c>
      <c r="EI29" s="1322"/>
      <c r="EJ29" s="1322">
        <f t="shared" si="52"/>
        <v>0</v>
      </c>
      <c r="EK29" s="1322"/>
      <c r="EL29" s="1322">
        <f t="shared" si="53"/>
        <v>0</v>
      </c>
      <c r="EM29" s="1322"/>
      <c r="EN29" s="1322">
        <f t="shared" si="54"/>
        <v>0</v>
      </c>
      <c r="EO29" s="1322"/>
      <c r="EP29" s="1322">
        <f t="shared" si="54"/>
        <v>0</v>
      </c>
      <c r="EQ29" s="1322"/>
      <c r="ER29" s="1322">
        <f t="shared" si="55"/>
        <v>0</v>
      </c>
      <c r="ES29" s="1322"/>
      <c r="ET29" s="1322">
        <f t="shared" si="56"/>
        <v>0</v>
      </c>
      <c r="EU29" s="1322"/>
      <c r="EV29" s="1322">
        <f t="shared" si="57"/>
        <v>0</v>
      </c>
      <c r="EW29" s="1322"/>
      <c r="EX29" s="1322">
        <f t="shared" si="58"/>
        <v>0</v>
      </c>
      <c r="EY29" s="1322"/>
      <c r="EZ29" s="1322">
        <f t="shared" si="59"/>
        <v>0</v>
      </c>
      <c r="FA29" s="1322"/>
      <c r="FB29" s="1322">
        <f t="shared" si="60"/>
        <v>0</v>
      </c>
      <c r="FC29" s="1322"/>
      <c r="FD29" s="1322">
        <f t="shared" si="61"/>
        <v>0</v>
      </c>
      <c r="FE29" s="1322"/>
      <c r="FF29" s="1322">
        <f t="shared" si="62"/>
        <v>0</v>
      </c>
      <c r="FG29" s="1322"/>
      <c r="FH29" s="1322">
        <f t="shared" si="63"/>
        <v>0</v>
      </c>
      <c r="FI29" s="1322"/>
      <c r="FJ29" s="1322">
        <f t="shared" si="64"/>
        <v>0</v>
      </c>
      <c r="FK29" s="1322"/>
      <c r="FL29" s="1322">
        <f t="shared" si="65"/>
        <v>0</v>
      </c>
      <c r="FM29" s="1322"/>
      <c r="FN29" s="1322">
        <f t="shared" si="66"/>
        <v>0</v>
      </c>
      <c r="FO29" s="1322"/>
      <c r="FP29" s="1322">
        <f t="shared" si="67"/>
        <v>0</v>
      </c>
      <c r="FQ29" s="1322"/>
      <c r="FR29" s="1322">
        <f t="shared" si="68"/>
        <v>0</v>
      </c>
      <c r="FS29" s="1322"/>
      <c r="FT29" s="1322">
        <f t="shared" si="69"/>
        <v>0</v>
      </c>
      <c r="FU29" s="1322"/>
      <c r="FV29" s="1322">
        <f t="shared" si="70"/>
        <v>0</v>
      </c>
      <c r="FW29" s="1322"/>
      <c r="FX29" s="1322">
        <f t="shared" si="71"/>
        <v>0</v>
      </c>
      <c r="FY29" s="1322"/>
      <c r="FZ29" s="1322">
        <f t="shared" si="72"/>
        <v>0</v>
      </c>
      <c r="GA29" s="1322"/>
      <c r="GB29" s="1322">
        <f t="shared" si="73"/>
        <v>0</v>
      </c>
      <c r="GC29" s="1322"/>
      <c r="GD29" s="1322">
        <f t="shared" si="74"/>
        <v>0</v>
      </c>
      <c r="GE29" s="1322"/>
      <c r="GF29" s="1322">
        <f t="shared" si="75"/>
        <v>0</v>
      </c>
      <c r="GG29" s="1322"/>
      <c r="GH29" s="1322">
        <f t="shared" si="76"/>
        <v>0</v>
      </c>
      <c r="GI29" s="1322"/>
      <c r="GJ29" s="1322">
        <f t="shared" si="77"/>
        <v>0</v>
      </c>
      <c r="GK29" s="1322"/>
      <c r="GL29" s="1322">
        <f t="shared" si="78"/>
        <v>0</v>
      </c>
      <c r="GM29" s="1322"/>
      <c r="GN29" s="1322">
        <f t="shared" si="79"/>
        <v>0</v>
      </c>
      <c r="GO29" s="1322"/>
      <c r="GP29" s="1322">
        <f t="shared" si="80"/>
        <v>0</v>
      </c>
      <c r="GQ29" s="1322"/>
      <c r="GR29" s="1322">
        <f t="shared" si="81"/>
        <v>0</v>
      </c>
      <c r="GS29" s="1322"/>
      <c r="GT29" s="1322">
        <f t="shared" si="82"/>
        <v>0</v>
      </c>
      <c r="GU29" s="1322"/>
      <c r="GV29" s="1322">
        <f t="shared" si="83"/>
        <v>0</v>
      </c>
      <c r="GW29" s="1322"/>
      <c r="GX29" s="1322">
        <f t="shared" si="84"/>
        <v>0</v>
      </c>
      <c r="GY29" s="1322"/>
      <c r="GZ29" s="1322">
        <f t="shared" si="85"/>
        <v>0</v>
      </c>
    </row>
    <row r="30" spans="1:208" hidden="1">
      <c r="A30" s="1318"/>
      <c r="B30" s="1318"/>
      <c r="C30" s="1321"/>
      <c r="D30" s="1321">
        <f t="shared" si="1"/>
        <v>0</v>
      </c>
      <c r="E30" s="1321"/>
      <c r="F30" s="1321">
        <f t="shared" si="0"/>
        <v>0</v>
      </c>
      <c r="G30" s="1322"/>
      <c r="H30" s="1322">
        <f t="shared" si="0"/>
        <v>0</v>
      </c>
      <c r="I30" s="1322"/>
      <c r="J30" s="1322">
        <f t="shared" si="0"/>
        <v>0</v>
      </c>
      <c r="K30" s="1322"/>
      <c r="L30" s="1322">
        <f t="shared" si="0"/>
        <v>0</v>
      </c>
      <c r="M30" s="1322"/>
      <c r="N30" s="1322">
        <f t="shared" si="0"/>
        <v>0</v>
      </c>
      <c r="O30" s="1322"/>
      <c r="P30" s="1322">
        <f t="shared" si="0"/>
        <v>0</v>
      </c>
      <c r="Q30" s="1322"/>
      <c r="R30" s="1322">
        <f t="shared" si="0"/>
        <v>0</v>
      </c>
      <c r="S30" s="1322"/>
      <c r="T30" s="1322">
        <f t="shared" si="2"/>
        <v>0</v>
      </c>
      <c r="U30" s="1322"/>
      <c r="V30" s="1322">
        <f t="shared" si="3"/>
        <v>0</v>
      </c>
      <c r="W30" s="1322"/>
      <c r="X30" s="1322">
        <f t="shared" si="4"/>
        <v>0</v>
      </c>
      <c r="Y30" s="1322"/>
      <c r="Z30" s="1322">
        <f t="shared" si="5"/>
        <v>0</v>
      </c>
      <c r="AA30" s="1322"/>
      <c r="AB30" s="1322">
        <f t="shared" si="6"/>
        <v>0</v>
      </c>
      <c r="AC30" s="1322"/>
      <c r="AD30" s="1322">
        <f t="shared" si="7"/>
        <v>0</v>
      </c>
      <c r="AE30" s="1322"/>
      <c r="AF30" s="1322">
        <f t="shared" si="8"/>
        <v>0</v>
      </c>
      <c r="AG30" s="1322"/>
      <c r="AH30" s="1322">
        <f t="shared" si="9"/>
        <v>0</v>
      </c>
      <c r="AI30" s="1322"/>
      <c r="AJ30" s="1322">
        <f t="shared" si="10"/>
        <v>0</v>
      </c>
      <c r="AK30" s="1322"/>
      <c r="AL30" s="1322">
        <f t="shared" si="11"/>
        <v>0</v>
      </c>
      <c r="AM30" s="1322"/>
      <c r="AN30" s="1322">
        <f t="shared" si="12"/>
        <v>0</v>
      </c>
      <c r="AO30" s="1322"/>
      <c r="AP30" s="1322">
        <f t="shared" si="13"/>
        <v>0</v>
      </c>
      <c r="AQ30" s="1322"/>
      <c r="AR30" s="1322">
        <f t="shared" si="14"/>
        <v>0</v>
      </c>
      <c r="AS30" s="1322"/>
      <c r="AT30" s="1322">
        <f t="shared" si="15"/>
        <v>0</v>
      </c>
      <c r="AU30" s="1322"/>
      <c r="AV30" s="1322">
        <f t="shared" si="16"/>
        <v>0</v>
      </c>
      <c r="AW30" s="1322"/>
      <c r="AX30" s="1322">
        <f t="shared" si="17"/>
        <v>0</v>
      </c>
      <c r="AY30" s="1322"/>
      <c r="AZ30" s="1322">
        <f t="shared" si="18"/>
        <v>0</v>
      </c>
      <c r="BA30" s="1322"/>
      <c r="BB30" s="1322">
        <f t="shared" si="19"/>
        <v>0</v>
      </c>
      <c r="BC30" s="1322"/>
      <c r="BD30" s="1322">
        <f t="shared" si="20"/>
        <v>0</v>
      </c>
      <c r="BE30" s="1322"/>
      <c r="BF30" s="1322">
        <f t="shared" si="21"/>
        <v>0</v>
      </c>
      <c r="BG30" s="1322"/>
      <c r="BH30" s="1322">
        <f t="shared" si="22"/>
        <v>0</v>
      </c>
      <c r="BI30" s="1322"/>
      <c r="BJ30" s="1322">
        <f t="shared" si="23"/>
        <v>0</v>
      </c>
      <c r="BK30" s="1322"/>
      <c r="BL30" s="1322">
        <f t="shared" si="24"/>
        <v>0</v>
      </c>
      <c r="BM30" s="1322"/>
      <c r="BN30" s="1322">
        <f t="shared" si="25"/>
        <v>0</v>
      </c>
      <c r="BO30" s="1322"/>
      <c r="BP30" s="1322">
        <f t="shared" si="26"/>
        <v>0</v>
      </c>
      <c r="BQ30" s="1322"/>
      <c r="BR30" s="1322">
        <f t="shared" si="27"/>
        <v>0</v>
      </c>
      <c r="BS30" s="1322"/>
      <c r="BT30" s="1322">
        <f t="shared" si="28"/>
        <v>0</v>
      </c>
      <c r="BU30" s="1322"/>
      <c r="BV30" s="1322">
        <f t="shared" si="29"/>
        <v>0</v>
      </c>
      <c r="BW30" s="1322"/>
      <c r="BX30" s="1322">
        <f t="shared" si="30"/>
        <v>0</v>
      </c>
      <c r="BY30" s="1322"/>
      <c r="BZ30" s="1322">
        <f t="shared" si="31"/>
        <v>0</v>
      </c>
      <c r="CA30" s="1322"/>
      <c r="CB30" s="1322">
        <f t="shared" si="32"/>
        <v>0</v>
      </c>
      <c r="CC30" s="1322"/>
      <c r="CD30" s="1322">
        <f t="shared" si="33"/>
        <v>0</v>
      </c>
      <c r="CE30" s="1322"/>
      <c r="CF30" s="1322">
        <f t="shared" si="34"/>
        <v>0</v>
      </c>
      <c r="CG30" s="1322"/>
      <c r="CH30" s="1322">
        <f t="shared" si="35"/>
        <v>0</v>
      </c>
      <c r="CI30" s="1322"/>
      <c r="CJ30" s="1322">
        <f t="shared" si="36"/>
        <v>0</v>
      </c>
      <c r="CK30" s="1322"/>
      <c r="CL30" s="1322">
        <f t="shared" si="37"/>
        <v>0</v>
      </c>
      <c r="CM30" s="1322"/>
      <c r="CN30" s="1322">
        <f t="shared" si="38"/>
        <v>0</v>
      </c>
      <c r="CO30" s="1322"/>
      <c r="CP30" s="1322">
        <f t="shared" si="39"/>
        <v>0</v>
      </c>
      <c r="CQ30" s="1322"/>
      <c r="CR30" s="1322">
        <f t="shared" si="40"/>
        <v>0</v>
      </c>
      <c r="CS30" s="1322"/>
      <c r="CT30" s="1322">
        <f t="shared" si="41"/>
        <v>0</v>
      </c>
      <c r="CU30" s="1322"/>
      <c r="CV30" s="1322">
        <f t="shared" si="42"/>
        <v>0</v>
      </c>
      <c r="CW30" s="1322"/>
      <c r="CX30" s="1322">
        <f t="shared" si="43"/>
        <v>0</v>
      </c>
      <c r="CY30" s="1322"/>
      <c r="CZ30" s="1322">
        <f t="shared" si="44"/>
        <v>0</v>
      </c>
      <c r="DA30" s="1322"/>
      <c r="DB30" s="1322">
        <f t="shared" si="45"/>
        <v>0</v>
      </c>
      <c r="DC30" s="1322"/>
      <c r="DD30" s="1322">
        <f t="shared" si="46"/>
        <v>0</v>
      </c>
      <c r="DE30" s="1322"/>
      <c r="DF30" s="1322">
        <f t="shared" si="47"/>
        <v>0</v>
      </c>
      <c r="DG30" s="1322"/>
      <c r="DH30" s="1322">
        <f t="shared" si="48"/>
        <v>0</v>
      </c>
      <c r="DI30" s="1322"/>
      <c r="DJ30" s="1322">
        <f t="shared" si="48"/>
        <v>0</v>
      </c>
      <c r="DK30" s="1322"/>
      <c r="DL30" s="1322">
        <f t="shared" si="48"/>
        <v>0</v>
      </c>
      <c r="DM30" s="1322"/>
      <c r="DN30" s="1322">
        <f t="shared" si="48"/>
        <v>0</v>
      </c>
      <c r="DO30" s="1322"/>
      <c r="DP30" s="1322">
        <f t="shared" si="48"/>
        <v>0</v>
      </c>
      <c r="DQ30" s="1322"/>
      <c r="DR30" s="1322">
        <f t="shared" si="48"/>
        <v>0</v>
      </c>
      <c r="DS30" s="1322"/>
      <c r="DT30" s="1322">
        <f t="shared" si="48"/>
        <v>0</v>
      </c>
      <c r="DU30" s="1322"/>
      <c r="DV30" s="1322">
        <f t="shared" si="86"/>
        <v>0</v>
      </c>
      <c r="DW30" s="1322"/>
      <c r="DX30" s="1322">
        <f t="shared" si="49"/>
        <v>0</v>
      </c>
      <c r="DY30" s="1322"/>
      <c r="DZ30" s="1322">
        <f t="shared" si="49"/>
        <v>0</v>
      </c>
      <c r="EA30" s="1322"/>
      <c r="EB30" s="1322">
        <f t="shared" si="49"/>
        <v>0</v>
      </c>
      <c r="EC30" s="1322"/>
      <c r="ED30" s="1322">
        <f t="shared" si="50"/>
        <v>0</v>
      </c>
      <c r="EE30" s="1322"/>
      <c r="EF30" s="1322">
        <f t="shared" si="50"/>
        <v>0</v>
      </c>
      <c r="EG30" s="1322"/>
      <c r="EH30" s="1322">
        <f t="shared" si="51"/>
        <v>0</v>
      </c>
      <c r="EI30" s="1322"/>
      <c r="EJ30" s="1322">
        <f t="shared" si="52"/>
        <v>0</v>
      </c>
      <c r="EK30" s="1322"/>
      <c r="EL30" s="1322">
        <f t="shared" si="53"/>
        <v>0</v>
      </c>
      <c r="EM30" s="1322"/>
      <c r="EN30" s="1322">
        <f t="shared" si="54"/>
        <v>0</v>
      </c>
      <c r="EO30" s="1322"/>
      <c r="EP30" s="1322">
        <f t="shared" si="54"/>
        <v>0</v>
      </c>
      <c r="EQ30" s="1322"/>
      <c r="ER30" s="1322">
        <f t="shared" si="55"/>
        <v>0</v>
      </c>
      <c r="ES30" s="1322"/>
      <c r="ET30" s="1322">
        <f t="shared" si="56"/>
        <v>0</v>
      </c>
      <c r="EU30" s="1322"/>
      <c r="EV30" s="1322">
        <f t="shared" si="57"/>
        <v>0</v>
      </c>
      <c r="EW30" s="1322"/>
      <c r="EX30" s="1322">
        <f t="shared" si="58"/>
        <v>0</v>
      </c>
      <c r="EY30" s="1322"/>
      <c r="EZ30" s="1322">
        <f t="shared" si="59"/>
        <v>0</v>
      </c>
      <c r="FA30" s="1322"/>
      <c r="FB30" s="1322">
        <f t="shared" si="60"/>
        <v>0</v>
      </c>
      <c r="FC30" s="1322"/>
      <c r="FD30" s="1322">
        <f t="shared" si="61"/>
        <v>0</v>
      </c>
      <c r="FE30" s="1322"/>
      <c r="FF30" s="1322">
        <f t="shared" si="62"/>
        <v>0</v>
      </c>
      <c r="FG30" s="1322"/>
      <c r="FH30" s="1322">
        <f t="shared" si="63"/>
        <v>0</v>
      </c>
      <c r="FI30" s="1322"/>
      <c r="FJ30" s="1322">
        <f t="shared" si="64"/>
        <v>0</v>
      </c>
      <c r="FK30" s="1322"/>
      <c r="FL30" s="1322">
        <f t="shared" si="65"/>
        <v>0</v>
      </c>
      <c r="FM30" s="1322"/>
      <c r="FN30" s="1322">
        <f t="shared" si="66"/>
        <v>0</v>
      </c>
      <c r="FO30" s="1322"/>
      <c r="FP30" s="1322">
        <f t="shared" si="67"/>
        <v>0</v>
      </c>
      <c r="FQ30" s="1322"/>
      <c r="FR30" s="1322">
        <f t="shared" si="68"/>
        <v>0</v>
      </c>
      <c r="FS30" s="1322"/>
      <c r="FT30" s="1322">
        <f t="shared" si="69"/>
        <v>0</v>
      </c>
      <c r="FU30" s="1322"/>
      <c r="FV30" s="1322">
        <f t="shared" si="70"/>
        <v>0</v>
      </c>
      <c r="FW30" s="1322"/>
      <c r="FX30" s="1322">
        <f t="shared" si="71"/>
        <v>0</v>
      </c>
      <c r="FY30" s="1322"/>
      <c r="FZ30" s="1322">
        <f t="shared" si="72"/>
        <v>0</v>
      </c>
      <c r="GA30" s="1322"/>
      <c r="GB30" s="1322">
        <f t="shared" si="73"/>
        <v>0</v>
      </c>
      <c r="GC30" s="1322"/>
      <c r="GD30" s="1322">
        <f t="shared" si="74"/>
        <v>0</v>
      </c>
      <c r="GE30" s="1322"/>
      <c r="GF30" s="1322">
        <f t="shared" si="75"/>
        <v>0</v>
      </c>
      <c r="GG30" s="1322"/>
      <c r="GH30" s="1322">
        <f t="shared" si="76"/>
        <v>0</v>
      </c>
      <c r="GI30" s="1322"/>
      <c r="GJ30" s="1322">
        <f t="shared" si="77"/>
        <v>0</v>
      </c>
      <c r="GK30" s="1322"/>
      <c r="GL30" s="1322">
        <f t="shared" si="78"/>
        <v>0</v>
      </c>
      <c r="GM30" s="1322"/>
      <c r="GN30" s="1322">
        <f t="shared" si="79"/>
        <v>0</v>
      </c>
      <c r="GO30" s="1322"/>
      <c r="GP30" s="1322">
        <f t="shared" si="80"/>
        <v>0</v>
      </c>
      <c r="GQ30" s="1322"/>
      <c r="GR30" s="1322">
        <f t="shared" si="81"/>
        <v>0</v>
      </c>
      <c r="GS30" s="1322"/>
      <c r="GT30" s="1322">
        <f t="shared" si="82"/>
        <v>0</v>
      </c>
      <c r="GU30" s="1322"/>
      <c r="GV30" s="1322">
        <f t="shared" si="83"/>
        <v>0</v>
      </c>
      <c r="GW30" s="1322"/>
      <c r="GX30" s="1322">
        <f t="shared" si="84"/>
        <v>0</v>
      </c>
      <c r="GY30" s="1322"/>
      <c r="GZ30" s="1322">
        <f t="shared" si="85"/>
        <v>0</v>
      </c>
    </row>
    <row r="31" spans="1:208" hidden="1">
      <c r="A31" s="1318"/>
      <c r="B31" s="1318"/>
      <c r="C31" s="1321"/>
      <c r="D31" s="1321">
        <f t="shared" si="1"/>
        <v>0</v>
      </c>
      <c r="E31" s="1321"/>
      <c r="F31" s="1321">
        <f t="shared" si="0"/>
        <v>0</v>
      </c>
      <c r="G31" s="1322"/>
      <c r="H31" s="1322">
        <f t="shared" si="0"/>
        <v>0</v>
      </c>
      <c r="I31" s="1322"/>
      <c r="J31" s="1322">
        <f t="shared" si="0"/>
        <v>0</v>
      </c>
      <c r="K31" s="1322"/>
      <c r="L31" s="1322">
        <f t="shared" si="0"/>
        <v>0</v>
      </c>
      <c r="M31" s="1322"/>
      <c r="N31" s="1322">
        <f t="shared" si="0"/>
        <v>0</v>
      </c>
      <c r="O31" s="1322"/>
      <c r="P31" s="1322">
        <f t="shared" si="0"/>
        <v>0</v>
      </c>
      <c r="Q31" s="1322"/>
      <c r="R31" s="1322">
        <f t="shared" si="0"/>
        <v>0</v>
      </c>
      <c r="S31" s="1322"/>
      <c r="T31" s="1322">
        <f t="shared" si="2"/>
        <v>0</v>
      </c>
      <c r="U31" s="1322"/>
      <c r="V31" s="1322">
        <f t="shared" si="3"/>
        <v>0</v>
      </c>
      <c r="W31" s="1322"/>
      <c r="X31" s="1322">
        <f t="shared" si="4"/>
        <v>0</v>
      </c>
      <c r="Y31" s="1322"/>
      <c r="Z31" s="1322">
        <f t="shared" si="5"/>
        <v>0</v>
      </c>
      <c r="AA31" s="1322"/>
      <c r="AB31" s="1322">
        <f t="shared" si="6"/>
        <v>0</v>
      </c>
      <c r="AC31" s="1322"/>
      <c r="AD31" s="1322">
        <f t="shared" si="7"/>
        <v>0</v>
      </c>
      <c r="AE31" s="1322"/>
      <c r="AF31" s="1322">
        <f t="shared" si="8"/>
        <v>0</v>
      </c>
      <c r="AG31" s="1322"/>
      <c r="AH31" s="1322">
        <f t="shared" si="9"/>
        <v>0</v>
      </c>
      <c r="AI31" s="1322"/>
      <c r="AJ31" s="1322">
        <f t="shared" si="10"/>
        <v>0</v>
      </c>
      <c r="AK31" s="1322"/>
      <c r="AL31" s="1322">
        <f t="shared" si="11"/>
        <v>0</v>
      </c>
      <c r="AM31" s="1322"/>
      <c r="AN31" s="1322">
        <f t="shared" si="12"/>
        <v>0</v>
      </c>
      <c r="AO31" s="1322"/>
      <c r="AP31" s="1322">
        <f t="shared" si="13"/>
        <v>0</v>
      </c>
      <c r="AQ31" s="1322"/>
      <c r="AR31" s="1322">
        <f t="shared" si="14"/>
        <v>0</v>
      </c>
      <c r="AS31" s="1322"/>
      <c r="AT31" s="1322">
        <f t="shared" si="15"/>
        <v>0</v>
      </c>
      <c r="AU31" s="1322"/>
      <c r="AV31" s="1322">
        <f t="shared" si="16"/>
        <v>0</v>
      </c>
      <c r="AW31" s="1322"/>
      <c r="AX31" s="1322">
        <f t="shared" si="17"/>
        <v>0</v>
      </c>
      <c r="AY31" s="1322"/>
      <c r="AZ31" s="1322">
        <f t="shared" si="18"/>
        <v>0</v>
      </c>
      <c r="BA31" s="1322"/>
      <c r="BB31" s="1322">
        <f t="shared" si="19"/>
        <v>0</v>
      </c>
      <c r="BC31" s="1322"/>
      <c r="BD31" s="1322">
        <f t="shared" si="20"/>
        <v>0</v>
      </c>
      <c r="BE31" s="1322"/>
      <c r="BF31" s="1322">
        <f t="shared" si="21"/>
        <v>0</v>
      </c>
      <c r="BG31" s="1322"/>
      <c r="BH31" s="1322">
        <f t="shared" si="22"/>
        <v>0</v>
      </c>
      <c r="BI31" s="1322"/>
      <c r="BJ31" s="1322">
        <f t="shared" si="23"/>
        <v>0</v>
      </c>
      <c r="BK31" s="1322"/>
      <c r="BL31" s="1322">
        <f t="shared" si="24"/>
        <v>0</v>
      </c>
      <c r="BM31" s="1322"/>
      <c r="BN31" s="1322">
        <f t="shared" si="25"/>
        <v>0</v>
      </c>
      <c r="BO31" s="1322"/>
      <c r="BP31" s="1322">
        <f t="shared" si="26"/>
        <v>0</v>
      </c>
      <c r="BQ31" s="1322"/>
      <c r="BR31" s="1322">
        <f t="shared" si="27"/>
        <v>0</v>
      </c>
      <c r="BS31" s="1322"/>
      <c r="BT31" s="1322">
        <f t="shared" si="28"/>
        <v>0</v>
      </c>
      <c r="BU31" s="1322"/>
      <c r="BV31" s="1322">
        <f t="shared" si="29"/>
        <v>0</v>
      </c>
      <c r="BW31" s="1322"/>
      <c r="BX31" s="1322">
        <f t="shared" si="30"/>
        <v>0</v>
      </c>
      <c r="BY31" s="1322"/>
      <c r="BZ31" s="1322">
        <f t="shared" si="31"/>
        <v>0</v>
      </c>
      <c r="CA31" s="1322"/>
      <c r="CB31" s="1322">
        <f t="shared" si="32"/>
        <v>0</v>
      </c>
      <c r="CC31" s="1322"/>
      <c r="CD31" s="1322">
        <f t="shared" si="33"/>
        <v>0</v>
      </c>
      <c r="CE31" s="1322"/>
      <c r="CF31" s="1322">
        <f t="shared" si="34"/>
        <v>0</v>
      </c>
      <c r="CG31" s="1322"/>
      <c r="CH31" s="1322">
        <f t="shared" si="35"/>
        <v>0</v>
      </c>
      <c r="CI31" s="1322"/>
      <c r="CJ31" s="1322">
        <f t="shared" si="36"/>
        <v>0</v>
      </c>
      <c r="CK31" s="1322"/>
      <c r="CL31" s="1322">
        <f t="shared" si="37"/>
        <v>0</v>
      </c>
      <c r="CM31" s="1322"/>
      <c r="CN31" s="1322">
        <f t="shared" si="38"/>
        <v>0</v>
      </c>
      <c r="CO31" s="1322"/>
      <c r="CP31" s="1322">
        <f t="shared" si="39"/>
        <v>0</v>
      </c>
      <c r="CQ31" s="1322"/>
      <c r="CR31" s="1322">
        <f t="shared" si="40"/>
        <v>0</v>
      </c>
      <c r="CS31" s="1322"/>
      <c r="CT31" s="1322">
        <f t="shared" si="41"/>
        <v>0</v>
      </c>
      <c r="CU31" s="1322"/>
      <c r="CV31" s="1322">
        <f t="shared" si="42"/>
        <v>0</v>
      </c>
      <c r="CW31" s="1322"/>
      <c r="CX31" s="1322">
        <f t="shared" si="43"/>
        <v>0</v>
      </c>
      <c r="CY31" s="1322"/>
      <c r="CZ31" s="1322">
        <f t="shared" si="44"/>
        <v>0</v>
      </c>
      <c r="DA31" s="1322"/>
      <c r="DB31" s="1322">
        <f t="shared" si="45"/>
        <v>0</v>
      </c>
      <c r="DC31" s="1322"/>
      <c r="DD31" s="1322">
        <f t="shared" si="46"/>
        <v>0</v>
      </c>
      <c r="DE31" s="1322"/>
      <c r="DF31" s="1322">
        <f t="shared" si="47"/>
        <v>0</v>
      </c>
      <c r="DG31" s="1322"/>
      <c r="DH31" s="1322">
        <f t="shared" si="48"/>
        <v>0</v>
      </c>
      <c r="DI31" s="1322"/>
      <c r="DJ31" s="1322">
        <f t="shared" si="48"/>
        <v>0</v>
      </c>
      <c r="DK31" s="1322"/>
      <c r="DL31" s="1322">
        <f t="shared" si="48"/>
        <v>0</v>
      </c>
      <c r="DM31" s="1322"/>
      <c r="DN31" s="1322">
        <f t="shared" si="48"/>
        <v>0</v>
      </c>
      <c r="DO31" s="1322"/>
      <c r="DP31" s="1322">
        <f t="shared" si="48"/>
        <v>0</v>
      </c>
      <c r="DQ31" s="1322"/>
      <c r="DR31" s="1322">
        <f t="shared" si="48"/>
        <v>0</v>
      </c>
      <c r="DS31" s="1322"/>
      <c r="DT31" s="1322">
        <f t="shared" si="48"/>
        <v>0</v>
      </c>
      <c r="DU31" s="1322"/>
      <c r="DV31" s="1322">
        <f t="shared" si="86"/>
        <v>0</v>
      </c>
      <c r="DW31" s="1322"/>
      <c r="DX31" s="1322">
        <f t="shared" si="49"/>
        <v>0</v>
      </c>
      <c r="DY31" s="1322"/>
      <c r="DZ31" s="1322">
        <f t="shared" si="49"/>
        <v>0</v>
      </c>
      <c r="EA31" s="1322"/>
      <c r="EB31" s="1322">
        <f t="shared" si="49"/>
        <v>0</v>
      </c>
      <c r="EC31" s="1322"/>
      <c r="ED31" s="1322">
        <f t="shared" si="50"/>
        <v>0</v>
      </c>
      <c r="EE31" s="1322"/>
      <c r="EF31" s="1322">
        <f t="shared" si="50"/>
        <v>0</v>
      </c>
      <c r="EG31" s="1322"/>
      <c r="EH31" s="1322">
        <f t="shared" si="51"/>
        <v>0</v>
      </c>
      <c r="EI31" s="1322"/>
      <c r="EJ31" s="1322">
        <f t="shared" si="52"/>
        <v>0</v>
      </c>
      <c r="EK31" s="1322"/>
      <c r="EL31" s="1322">
        <f t="shared" si="53"/>
        <v>0</v>
      </c>
      <c r="EM31" s="1322"/>
      <c r="EN31" s="1322">
        <f t="shared" si="54"/>
        <v>0</v>
      </c>
      <c r="EO31" s="1322"/>
      <c r="EP31" s="1322">
        <f t="shared" si="54"/>
        <v>0</v>
      </c>
      <c r="EQ31" s="1322"/>
      <c r="ER31" s="1322">
        <f t="shared" si="55"/>
        <v>0</v>
      </c>
      <c r="ES31" s="1322"/>
      <c r="ET31" s="1322">
        <f t="shared" si="56"/>
        <v>0</v>
      </c>
      <c r="EU31" s="1322"/>
      <c r="EV31" s="1322">
        <f t="shared" si="57"/>
        <v>0</v>
      </c>
      <c r="EW31" s="1322"/>
      <c r="EX31" s="1322">
        <f t="shared" si="58"/>
        <v>0</v>
      </c>
      <c r="EY31" s="1322"/>
      <c r="EZ31" s="1322">
        <f t="shared" si="59"/>
        <v>0</v>
      </c>
      <c r="FA31" s="1322"/>
      <c r="FB31" s="1322">
        <f t="shared" si="60"/>
        <v>0</v>
      </c>
      <c r="FC31" s="1322"/>
      <c r="FD31" s="1322">
        <f t="shared" si="61"/>
        <v>0</v>
      </c>
      <c r="FE31" s="1322"/>
      <c r="FF31" s="1322">
        <f t="shared" si="62"/>
        <v>0</v>
      </c>
      <c r="FG31" s="1322"/>
      <c r="FH31" s="1322">
        <f t="shared" si="63"/>
        <v>0</v>
      </c>
      <c r="FI31" s="1322"/>
      <c r="FJ31" s="1322">
        <f t="shared" si="64"/>
        <v>0</v>
      </c>
      <c r="FK31" s="1322"/>
      <c r="FL31" s="1322">
        <f t="shared" si="65"/>
        <v>0</v>
      </c>
      <c r="FM31" s="1322"/>
      <c r="FN31" s="1322">
        <f t="shared" si="66"/>
        <v>0</v>
      </c>
      <c r="FO31" s="1322"/>
      <c r="FP31" s="1322">
        <f t="shared" si="67"/>
        <v>0</v>
      </c>
      <c r="FQ31" s="1322"/>
      <c r="FR31" s="1322">
        <f t="shared" si="68"/>
        <v>0</v>
      </c>
      <c r="FS31" s="1322"/>
      <c r="FT31" s="1322">
        <f t="shared" si="69"/>
        <v>0</v>
      </c>
      <c r="FU31" s="1322"/>
      <c r="FV31" s="1322">
        <f t="shared" si="70"/>
        <v>0</v>
      </c>
      <c r="FW31" s="1322"/>
      <c r="FX31" s="1322">
        <f t="shared" si="71"/>
        <v>0</v>
      </c>
      <c r="FY31" s="1322"/>
      <c r="FZ31" s="1322">
        <f t="shared" si="72"/>
        <v>0</v>
      </c>
      <c r="GA31" s="1322"/>
      <c r="GB31" s="1322">
        <f t="shared" si="73"/>
        <v>0</v>
      </c>
      <c r="GC31" s="1322"/>
      <c r="GD31" s="1322">
        <f t="shared" si="74"/>
        <v>0</v>
      </c>
      <c r="GE31" s="1322"/>
      <c r="GF31" s="1322">
        <f t="shared" si="75"/>
        <v>0</v>
      </c>
      <c r="GG31" s="1322"/>
      <c r="GH31" s="1322">
        <f t="shared" si="76"/>
        <v>0</v>
      </c>
      <c r="GI31" s="1322"/>
      <c r="GJ31" s="1322">
        <f t="shared" si="77"/>
        <v>0</v>
      </c>
      <c r="GK31" s="1322"/>
      <c r="GL31" s="1322">
        <f t="shared" si="78"/>
        <v>0</v>
      </c>
      <c r="GM31" s="1322"/>
      <c r="GN31" s="1322">
        <f t="shared" si="79"/>
        <v>0</v>
      </c>
      <c r="GO31" s="1322"/>
      <c r="GP31" s="1322">
        <f t="shared" si="80"/>
        <v>0</v>
      </c>
      <c r="GQ31" s="1322"/>
      <c r="GR31" s="1322">
        <f t="shared" si="81"/>
        <v>0</v>
      </c>
      <c r="GS31" s="1322"/>
      <c r="GT31" s="1322">
        <f t="shared" si="82"/>
        <v>0</v>
      </c>
      <c r="GU31" s="1322"/>
      <c r="GV31" s="1322">
        <f t="shared" si="83"/>
        <v>0</v>
      </c>
      <c r="GW31" s="1322"/>
      <c r="GX31" s="1322">
        <f t="shared" si="84"/>
        <v>0</v>
      </c>
      <c r="GY31" s="1322"/>
      <c r="GZ31" s="1322">
        <f t="shared" si="85"/>
        <v>0</v>
      </c>
    </row>
    <row r="32" spans="1:208" hidden="1">
      <c r="A32" s="1318"/>
      <c r="B32" s="1318"/>
      <c r="C32" s="1321"/>
      <c r="D32" s="1321">
        <f t="shared" si="1"/>
        <v>0</v>
      </c>
      <c r="E32" s="1321"/>
      <c r="F32" s="1321">
        <f t="shared" si="0"/>
        <v>0</v>
      </c>
      <c r="G32" s="1322"/>
      <c r="H32" s="1322">
        <f t="shared" si="0"/>
        <v>0</v>
      </c>
      <c r="I32" s="1322"/>
      <c r="J32" s="1322">
        <f t="shared" si="0"/>
        <v>0</v>
      </c>
      <c r="K32" s="1322"/>
      <c r="L32" s="1322">
        <f t="shared" si="0"/>
        <v>0</v>
      </c>
      <c r="M32" s="1322"/>
      <c r="N32" s="1322">
        <f t="shared" si="0"/>
        <v>0</v>
      </c>
      <c r="O32" s="1322"/>
      <c r="P32" s="1322">
        <f t="shared" si="0"/>
        <v>0</v>
      </c>
      <c r="Q32" s="1322"/>
      <c r="R32" s="1322">
        <f t="shared" si="0"/>
        <v>0</v>
      </c>
      <c r="S32" s="1322"/>
      <c r="T32" s="1322">
        <f t="shared" si="2"/>
        <v>0</v>
      </c>
      <c r="U32" s="1322"/>
      <c r="V32" s="1322">
        <f t="shared" si="3"/>
        <v>0</v>
      </c>
      <c r="W32" s="1322"/>
      <c r="X32" s="1322">
        <f t="shared" si="4"/>
        <v>0</v>
      </c>
      <c r="Y32" s="1322"/>
      <c r="Z32" s="1322">
        <f t="shared" si="5"/>
        <v>0</v>
      </c>
      <c r="AA32" s="1322"/>
      <c r="AB32" s="1322">
        <f t="shared" si="6"/>
        <v>0</v>
      </c>
      <c r="AC32" s="1322"/>
      <c r="AD32" s="1322">
        <f t="shared" si="7"/>
        <v>0</v>
      </c>
      <c r="AE32" s="1322"/>
      <c r="AF32" s="1322">
        <f t="shared" si="8"/>
        <v>0</v>
      </c>
      <c r="AG32" s="1322"/>
      <c r="AH32" s="1322">
        <f t="shared" si="9"/>
        <v>0</v>
      </c>
      <c r="AI32" s="1322"/>
      <c r="AJ32" s="1322">
        <f t="shared" si="10"/>
        <v>0</v>
      </c>
      <c r="AK32" s="1322"/>
      <c r="AL32" s="1322">
        <f t="shared" si="11"/>
        <v>0</v>
      </c>
      <c r="AM32" s="1322"/>
      <c r="AN32" s="1322">
        <f t="shared" si="12"/>
        <v>0</v>
      </c>
      <c r="AO32" s="1322"/>
      <c r="AP32" s="1322">
        <f t="shared" si="13"/>
        <v>0</v>
      </c>
      <c r="AQ32" s="1322"/>
      <c r="AR32" s="1322">
        <f t="shared" si="14"/>
        <v>0</v>
      </c>
      <c r="AS32" s="1322"/>
      <c r="AT32" s="1322">
        <f t="shared" si="15"/>
        <v>0</v>
      </c>
      <c r="AU32" s="1322"/>
      <c r="AV32" s="1322">
        <f t="shared" si="16"/>
        <v>0</v>
      </c>
      <c r="AW32" s="1322"/>
      <c r="AX32" s="1322">
        <f t="shared" si="17"/>
        <v>0</v>
      </c>
      <c r="AY32" s="1322"/>
      <c r="AZ32" s="1322">
        <f t="shared" si="18"/>
        <v>0</v>
      </c>
      <c r="BA32" s="1322"/>
      <c r="BB32" s="1322">
        <f t="shared" si="19"/>
        <v>0</v>
      </c>
      <c r="BC32" s="1322"/>
      <c r="BD32" s="1322">
        <f t="shared" si="20"/>
        <v>0</v>
      </c>
      <c r="BE32" s="1322"/>
      <c r="BF32" s="1322">
        <f t="shared" si="21"/>
        <v>0</v>
      </c>
      <c r="BG32" s="1322"/>
      <c r="BH32" s="1322">
        <f t="shared" si="22"/>
        <v>0</v>
      </c>
      <c r="BI32" s="1322"/>
      <c r="BJ32" s="1322">
        <f t="shared" si="23"/>
        <v>0</v>
      </c>
      <c r="BK32" s="1322"/>
      <c r="BL32" s="1322">
        <f t="shared" si="24"/>
        <v>0</v>
      </c>
      <c r="BM32" s="1322"/>
      <c r="BN32" s="1322">
        <f t="shared" si="25"/>
        <v>0</v>
      </c>
      <c r="BO32" s="1322"/>
      <c r="BP32" s="1322">
        <f t="shared" si="26"/>
        <v>0</v>
      </c>
      <c r="BQ32" s="1322"/>
      <c r="BR32" s="1322">
        <f t="shared" si="27"/>
        <v>0</v>
      </c>
      <c r="BS32" s="1322"/>
      <c r="BT32" s="1322">
        <f t="shared" si="28"/>
        <v>0</v>
      </c>
      <c r="BU32" s="1322"/>
      <c r="BV32" s="1322">
        <f t="shared" si="29"/>
        <v>0</v>
      </c>
      <c r="BW32" s="1322"/>
      <c r="BX32" s="1322">
        <f t="shared" si="30"/>
        <v>0</v>
      </c>
      <c r="BY32" s="1322"/>
      <c r="BZ32" s="1322">
        <f t="shared" si="31"/>
        <v>0</v>
      </c>
      <c r="CA32" s="1322"/>
      <c r="CB32" s="1322">
        <f t="shared" si="32"/>
        <v>0</v>
      </c>
      <c r="CC32" s="1322"/>
      <c r="CD32" s="1322">
        <f t="shared" si="33"/>
        <v>0</v>
      </c>
      <c r="CE32" s="1322"/>
      <c r="CF32" s="1322">
        <f t="shared" si="34"/>
        <v>0</v>
      </c>
      <c r="CG32" s="1322"/>
      <c r="CH32" s="1322">
        <f t="shared" si="35"/>
        <v>0</v>
      </c>
      <c r="CI32" s="1322"/>
      <c r="CJ32" s="1322">
        <f t="shared" si="36"/>
        <v>0</v>
      </c>
      <c r="CK32" s="1322"/>
      <c r="CL32" s="1322">
        <f t="shared" si="37"/>
        <v>0</v>
      </c>
      <c r="CM32" s="1322"/>
      <c r="CN32" s="1322">
        <f t="shared" si="38"/>
        <v>0</v>
      </c>
      <c r="CO32" s="1322"/>
      <c r="CP32" s="1322">
        <f t="shared" si="39"/>
        <v>0</v>
      </c>
      <c r="CQ32" s="1322"/>
      <c r="CR32" s="1322">
        <f t="shared" si="40"/>
        <v>0</v>
      </c>
      <c r="CS32" s="1322"/>
      <c r="CT32" s="1322">
        <f t="shared" si="41"/>
        <v>0</v>
      </c>
      <c r="CU32" s="1322"/>
      <c r="CV32" s="1322">
        <f t="shared" si="42"/>
        <v>0</v>
      </c>
      <c r="CW32" s="1322"/>
      <c r="CX32" s="1322">
        <f t="shared" si="43"/>
        <v>0</v>
      </c>
      <c r="CY32" s="1322"/>
      <c r="CZ32" s="1322">
        <f t="shared" si="44"/>
        <v>0</v>
      </c>
      <c r="DA32" s="1322"/>
      <c r="DB32" s="1322">
        <f t="shared" si="45"/>
        <v>0</v>
      </c>
      <c r="DC32" s="1322"/>
      <c r="DD32" s="1322">
        <f t="shared" si="46"/>
        <v>0</v>
      </c>
      <c r="DE32" s="1322"/>
      <c r="DF32" s="1322">
        <f t="shared" si="47"/>
        <v>0</v>
      </c>
      <c r="DG32" s="1322"/>
      <c r="DH32" s="1322">
        <f t="shared" si="48"/>
        <v>0</v>
      </c>
      <c r="DI32" s="1322"/>
      <c r="DJ32" s="1322">
        <f t="shared" si="48"/>
        <v>0</v>
      </c>
      <c r="DK32" s="1322"/>
      <c r="DL32" s="1322">
        <f t="shared" si="48"/>
        <v>0</v>
      </c>
      <c r="DM32" s="1322"/>
      <c r="DN32" s="1322">
        <f t="shared" si="48"/>
        <v>0</v>
      </c>
      <c r="DO32" s="1322"/>
      <c r="DP32" s="1322">
        <f t="shared" si="48"/>
        <v>0</v>
      </c>
      <c r="DQ32" s="1322"/>
      <c r="DR32" s="1322">
        <f t="shared" si="48"/>
        <v>0</v>
      </c>
      <c r="DS32" s="1322"/>
      <c r="DT32" s="1322">
        <f t="shared" si="48"/>
        <v>0</v>
      </c>
      <c r="DU32" s="1322"/>
      <c r="DV32" s="1322">
        <f t="shared" si="86"/>
        <v>0</v>
      </c>
      <c r="DW32" s="1322"/>
      <c r="DX32" s="1322">
        <f t="shared" si="49"/>
        <v>0</v>
      </c>
      <c r="DY32" s="1322"/>
      <c r="DZ32" s="1322">
        <f t="shared" si="49"/>
        <v>0</v>
      </c>
      <c r="EA32" s="1322"/>
      <c r="EB32" s="1322">
        <f t="shared" si="49"/>
        <v>0</v>
      </c>
      <c r="EC32" s="1322"/>
      <c r="ED32" s="1322">
        <f t="shared" si="50"/>
        <v>0</v>
      </c>
      <c r="EE32" s="1322"/>
      <c r="EF32" s="1322">
        <f t="shared" si="50"/>
        <v>0</v>
      </c>
      <c r="EG32" s="1322"/>
      <c r="EH32" s="1322">
        <f t="shared" si="51"/>
        <v>0</v>
      </c>
      <c r="EI32" s="1322"/>
      <c r="EJ32" s="1322">
        <f t="shared" si="52"/>
        <v>0</v>
      </c>
      <c r="EK32" s="1322"/>
      <c r="EL32" s="1322">
        <f t="shared" si="53"/>
        <v>0</v>
      </c>
      <c r="EM32" s="1322"/>
      <c r="EN32" s="1322">
        <f t="shared" si="54"/>
        <v>0</v>
      </c>
      <c r="EO32" s="1322"/>
      <c r="EP32" s="1322">
        <f t="shared" si="54"/>
        <v>0</v>
      </c>
      <c r="EQ32" s="1322"/>
      <c r="ER32" s="1322">
        <f t="shared" si="55"/>
        <v>0</v>
      </c>
      <c r="ES32" s="1322"/>
      <c r="ET32" s="1322">
        <f t="shared" si="56"/>
        <v>0</v>
      </c>
      <c r="EU32" s="1322"/>
      <c r="EV32" s="1322">
        <f t="shared" si="57"/>
        <v>0</v>
      </c>
      <c r="EW32" s="1322"/>
      <c r="EX32" s="1322">
        <f t="shared" si="58"/>
        <v>0</v>
      </c>
      <c r="EY32" s="1322"/>
      <c r="EZ32" s="1322">
        <f t="shared" si="59"/>
        <v>0</v>
      </c>
      <c r="FA32" s="1322"/>
      <c r="FB32" s="1322">
        <f t="shared" si="60"/>
        <v>0</v>
      </c>
      <c r="FC32" s="1322"/>
      <c r="FD32" s="1322">
        <f t="shared" si="61"/>
        <v>0</v>
      </c>
      <c r="FE32" s="1322"/>
      <c r="FF32" s="1322">
        <f t="shared" si="62"/>
        <v>0</v>
      </c>
      <c r="FG32" s="1322"/>
      <c r="FH32" s="1322">
        <f t="shared" si="63"/>
        <v>0</v>
      </c>
      <c r="FI32" s="1322"/>
      <c r="FJ32" s="1322">
        <f t="shared" si="64"/>
        <v>0</v>
      </c>
      <c r="FK32" s="1322"/>
      <c r="FL32" s="1322">
        <f t="shared" si="65"/>
        <v>0</v>
      </c>
      <c r="FM32" s="1322"/>
      <c r="FN32" s="1322">
        <f t="shared" si="66"/>
        <v>0</v>
      </c>
      <c r="FO32" s="1322"/>
      <c r="FP32" s="1322">
        <f t="shared" si="67"/>
        <v>0</v>
      </c>
      <c r="FQ32" s="1322"/>
      <c r="FR32" s="1322">
        <f t="shared" si="68"/>
        <v>0</v>
      </c>
      <c r="FS32" s="1322"/>
      <c r="FT32" s="1322">
        <f t="shared" si="69"/>
        <v>0</v>
      </c>
      <c r="FU32" s="1322"/>
      <c r="FV32" s="1322">
        <f t="shared" si="70"/>
        <v>0</v>
      </c>
      <c r="FW32" s="1322"/>
      <c r="FX32" s="1322">
        <f t="shared" si="71"/>
        <v>0</v>
      </c>
      <c r="FY32" s="1322"/>
      <c r="FZ32" s="1322">
        <f t="shared" si="72"/>
        <v>0</v>
      </c>
      <c r="GA32" s="1322"/>
      <c r="GB32" s="1322">
        <f t="shared" si="73"/>
        <v>0</v>
      </c>
      <c r="GC32" s="1322"/>
      <c r="GD32" s="1322">
        <f t="shared" si="74"/>
        <v>0</v>
      </c>
      <c r="GE32" s="1322"/>
      <c r="GF32" s="1322">
        <f t="shared" si="75"/>
        <v>0</v>
      </c>
      <c r="GG32" s="1322"/>
      <c r="GH32" s="1322">
        <f t="shared" si="76"/>
        <v>0</v>
      </c>
      <c r="GI32" s="1322"/>
      <c r="GJ32" s="1322">
        <f t="shared" si="77"/>
        <v>0</v>
      </c>
      <c r="GK32" s="1322"/>
      <c r="GL32" s="1322">
        <f t="shared" si="78"/>
        <v>0</v>
      </c>
      <c r="GM32" s="1322"/>
      <c r="GN32" s="1322">
        <f t="shared" si="79"/>
        <v>0</v>
      </c>
      <c r="GO32" s="1322"/>
      <c r="GP32" s="1322">
        <f t="shared" si="80"/>
        <v>0</v>
      </c>
      <c r="GQ32" s="1322"/>
      <c r="GR32" s="1322">
        <f t="shared" si="81"/>
        <v>0</v>
      </c>
      <c r="GS32" s="1322"/>
      <c r="GT32" s="1322">
        <f t="shared" si="82"/>
        <v>0</v>
      </c>
      <c r="GU32" s="1322"/>
      <c r="GV32" s="1322">
        <f t="shared" si="83"/>
        <v>0</v>
      </c>
      <c r="GW32" s="1322"/>
      <c r="GX32" s="1322">
        <f t="shared" si="84"/>
        <v>0</v>
      </c>
      <c r="GY32" s="1322"/>
      <c r="GZ32" s="1322">
        <f t="shared" si="85"/>
        <v>0</v>
      </c>
    </row>
    <row r="33" spans="1:208" hidden="1">
      <c r="A33" s="1318"/>
      <c r="B33" s="1318"/>
      <c r="C33" s="1321"/>
      <c r="D33" s="1321">
        <f t="shared" si="1"/>
        <v>0</v>
      </c>
      <c r="E33" s="1321"/>
      <c r="F33" s="1321">
        <f t="shared" si="0"/>
        <v>0</v>
      </c>
      <c r="G33" s="1322"/>
      <c r="H33" s="1322">
        <f t="shared" si="0"/>
        <v>0</v>
      </c>
      <c r="I33" s="1322"/>
      <c r="J33" s="1322">
        <f t="shared" si="0"/>
        <v>0</v>
      </c>
      <c r="K33" s="1322"/>
      <c r="L33" s="1322">
        <f t="shared" si="0"/>
        <v>0</v>
      </c>
      <c r="M33" s="1322"/>
      <c r="N33" s="1322">
        <f t="shared" si="0"/>
        <v>0</v>
      </c>
      <c r="O33" s="1322"/>
      <c r="P33" s="1322">
        <f t="shared" si="0"/>
        <v>0</v>
      </c>
      <c r="Q33" s="1322"/>
      <c r="R33" s="1322">
        <f t="shared" si="0"/>
        <v>0</v>
      </c>
      <c r="S33" s="1322"/>
      <c r="T33" s="1322">
        <f t="shared" si="2"/>
        <v>0</v>
      </c>
      <c r="U33" s="1322"/>
      <c r="V33" s="1322">
        <f t="shared" si="3"/>
        <v>0</v>
      </c>
      <c r="W33" s="1322"/>
      <c r="X33" s="1322">
        <f t="shared" si="4"/>
        <v>0</v>
      </c>
      <c r="Y33" s="1322"/>
      <c r="Z33" s="1322">
        <f t="shared" si="5"/>
        <v>0</v>
      </c>
      <c r="AA33" s="1322"/>
      <c r="AB33" s="1322">
        <f t="shared" si="6"/>
        <v>0</v>
      </c>
      <c r="AC33" s="1322"/>
      <c r="AD33" s="1322">
        <f t="shared" si="7"/>
        <v>0</v>
      </c>
      <c r="AE33" s="1322"/>
      <c r="AF33" s="1322">
        <f t="shared" si="8"/>
        <v>0</v>
      </c>
      <c r="AG33" s="1322"/>
      <c r="AH33" s="1322">
        <f t="shared" si="9"/>
        <v>0</v>
      </c>
      <c r="AI33" s="1322"/>
      <c r="AJ33" s="1322">
        <f t="shared" si="10"/>
        <v>0</v>
      </c>
      <c r="AK33" s="1322"/>
      <c r="AL33" s="1322">
        <f t="shared" si="11"/>
        <v>0</v>
      </c>
      <c r="AM33" s="1322"/>
      <c r="AN33" s="1322">
        <f t="shared" si="12"/>
        <v>0</v>
      </c>
      <c r="AO33" s="1322"/>
      <c r="AP33" s="1322">
        <f t="shared" si="13"/>
        <v>0</v>
      </c>
      <c r="AQ33" s="1322"/>
      <c r="AR33" s="1322">
        <f t="shared" si="14"/>
        <v>0</v>
      </c>
      <c r="AS33" s="1322"/>
      <c r="AT33" s="1322">
        <f t="shared" si="15"/>
        <v>0</v>
      </c>
      <c r="AU33" s="1322"/>
      <c r="AV33" s="1322">
        <f t="shared" si="16"/>
        <v>0</v>
      </c>
      <c r="AW33" s="1322"/>
      <c r="AX33" s="1322">
        <f t="shared" si="17"/>
        <v>0</v>
      </c>
      <c r="AY33" s="1322"/>
      <c r="AZ33" s="1322">
        <f t="shared" si="18"/>
        <v>0</v>
      </c>
      <c r="BA33" s="1322"/>
      <c r="BB33" s="1322">
        <f t="shared" si="19"/>
        <v>0</v>
      </c>
      <c r="BC33" s="1322"/>
      <c r="BD33" s="1322">
        <f t="shared" si="20"/>
        <v>0</v>
      </c>
      <c r="BE33" s="1322"/>
      <c r="BF33" s="1322">
        <f t="shared" si="21"/>
        <v>0</v>
      </c>
      <c r="BG33" s="1322"/>
      <c r="BH33" s="1322">
        <f t="shared" si="22"/>
        <v>0</v>
      </c>
      <c r="BI33" s="1322"/>
      <c r="BJ33" s="1322">
        <f t="shared" si="23"/>
        <v>0</v>
      </c>
      <c r="BK33" s="1322"/>
      <c r="BL33" s="1322">
        <f t="shared" si="24"/>
        <v>0</v>
      </c>
      <c r="BM33" s="1322"/>
      <c r="BN33" s="1322">
        <f t="shared" si="25"/>
        <v>0</v>
      </c>
      <c r="BO33" s="1322"/>
      <c r="BP33" s="1322">
        <f t="shared" si="26"/>
        <v>0</v>
      </c>
      <c r="BQ33" s="1322"/>
      <c r="BR33" s="1322">
        <f t="shared" si="27"/>
        <v>0</v>
      </c>
      <c r="BS33" s="1322"/>
      <c r="BT33" s="1322">
        <f t="shared" si="28"/>
        <v>0</v>
      </c>
      <c r="BU33" s="1322"/>
      <c r="BV33" s="1322">
        <f t="shared" si="29"/>
        <v>0</v>
      </c>
      <c r="BW33" s="1322"/>
      <c r="BX33" s="1322">
        <f t="shared" si="30"/>
        <v>0</v>
      </c>
      <c r="BY33" s="1322"/>
      <c r="BZ33" s="1322">
        <f t="shared" si="31"/>
        <v>0</v>
      </c>
      <c r="CA33" s="1322"/>
      <c r="CB33" s="1322">
        <f t="shared" si="32"/>
        <v>0</v>
      </c>
      <c r="CC33" s="1322"/>
      <c r="CD33" s="1322">
        <f t="shared" si="33"/>
        <v>0</v>
      </c>
      <c r="CE33" s="1322"/>
      <c r="CF33" s="1322">
        <f t="shared" si="34"/>
        <v>0</v>
      </c>
      <c r="CG33" s="1322"/>
      <c r="CH33" s="1322">
        <f t="shared" si="35"/>
        <v>0</v>
      </c>
      <c r="CI33" s="1322"/>
      <c r="CJ33" s="1322">
        <f t="shared" si="36"/>
        <v>0</v>
      </c>
      <c r="CK33" s="1322"/>
      <c r="CL33" s="1322">
        <f t="shared" si="37"/>
        <v>0</v>
      </c>
      <c r="CM33" s="1322"/>
      <c r="CN33" s="1322">
        <f t="shared" si="38"/>
        <v>0</v>
      </c>
      <c r="CO33" s="1322"/>
      <c r="CP33" s="1322">
        <f t="shared" si="39"/>
        <v>0</v>
      </c>
      <c r="CQ33" s="1322"/>
      <c r="CR33" s="1322">
        <f t="shared" si="40"/>
        <v>0</v>
      </c>
      <c r="CS33" s="1322"/>
      <c r="CT33" s="1322">
        <f t="shared" si="41"/>
        <v>0</v>
      </c>
      <c r="CU33" s="1322"/>
      <c r="CV33" s="1322">
        <f t="shared" si="42"/>
        <v>0</v>
      </c>
      <c r="CW33" s="1322"/>
      <c r="CX33" s="1322">
        <f t="shared" si="43"/>
        <v>0</v>
      </c>
      <c r="CY33" s="1322"/>
      <c r="CZ33" s="1322">
        <f t="shared" si="44"/>
        <v>0</v>
      </c>
      <c r="DA33" s="1322"/>
      <c r="DB33" s="1322">
        <f t="shared" si="45"/>
        <v>0</v>
      </c>
      <c r="DC33" s="1322"/>
      <c r="DD33" s="1322">
        <f t="shared" si="46"/>
        <v>0</v>
      </c>
      <c r="DE33" s="1322"/>
      <c r="DF33" s="1322">
        <f t="shared" si="47"/>
        <v>0</v>
      </c>
      <c r="DG33" s="1322"/>
      <c r="DH33" s="1322">
        <f t="shared" si="48"/>
        <v>0</v>
      </c>
      <c r="DI33" s="1322"/>
      <c r="DJ33" s="1322">
        <f t="shared" si="48"/>
        <v>0</v>
      </c>
      <c r="DK33" s="1322"/>
      <c r="DL33" s="1322">
        <f t="shared" si="48"/>
        <v>0</v>
      </c>
      <c r="DM33" s="1322"/>
      <c r="DN33" s="1322">
        <f t="shared" si="48"/>
        <v>0</v>
      </c>
      <c r="DO33" s="1322"/>
      <c r="DP33" s="1322">
        <f t="shared" si="48"/>
        <v>0</v>
      </c>
      <c r="DQ33" s="1322"/>
      <c r="DR33" s="1322">
        <f t="shared" si="48"/>
        <v>0</v>
      </c>
      <c r="DS33" s="1322"/>
      <c r="DT33" s="1322">
        <f t="shared" si="48"/>
        <v>0</v>
      </c>
      <c r="DU33" s="1322"/>
      <c r="DV33" s="1322">
        <f t="shared" si="86"/>
        <v>0</v>
      </c>
      <c r="DW33" s="1322"/>
      <c r="DX33" s="1322">
        <f t="shared" si="49"/>
        <v>0</v>
      </c>
      <c r="DY33" s="1322"/>
      <c r="DZ33" s="1322">
        <f t="shared" si="49"/>
        <v>0</v>
      </c>
      <c r="EA33" s="1322"/>
      <c r="EB33" s="1322">
        <f t="shared" si="49"/>
        <v>0</v>
      </c>
      <c r="EC33" s="1322"/>
      <c r="ED33" s="1322">
        <f t="shared" si="50"/>
        <v>0</v>
      </c>
      <c r="EE33" s="1322"/>
      <c r="EF33" s="1322">
        <f t="shared" si="50"/>
        <v>0</v>
      </c>
      <c r="EG33" s="1322"/>
      <c r="EH33" s="1322">
        <f t="shared" si="51"/>
        <v>0</v>
      </c>
      <c r="EI33" s="1322"/>
      <c r="EJ33" s="1322">
        <f t="shared" si="52"/>
        <v>0</v>
      </c>
      <c r="EK33" s="1322"/>
      <c r="EL33" s="1322">
        <f t="shared" si="53"/>
        <v>0</v>
      </c>
      <c r="EM33" s="1322"/>
      <c r="EN33" s="1322">
        <f t="shared" si="54"/>
        <v>0</v>
      </c>
      <c r="EO33" s="1322"/>
      <c r="EP33" s="1322">
        <f t="shared" si="54"/>
        <v>0</v>
      </c>
      <c r="EQ33" s="1322"/>
      <c r="ER33" s="1322">
        <f t="shared" si="55"/>
        <v>0</v>
      </c>
      <c r="ES33" s="1322"/>
      <c r="ET33" s="1322">
        <f t="shared" si="56"/>
        <v>0</v>
      </c>
      <c r="EU33" s="1322"/>
      <c r="EV33" s="1322">
        <f t="shared" si="57"/>
        <v>0</v>
      </c>
      <c r="EW33" s="1322"/>
      <c r="EX33" s="1322">
        <f t="shared" si="58"/>
        <v>0</v>
      </c>
      <c r="EY33" s="1322"/>
      <c r="EZ33" s="1322">
        <f t="shared" si="59"/>
        <v>0</v>
      </c>
      <c r="FA33" s="1322"/>
      <c r="FB33" s="1322">
        <f t="shared" si="60"/>
        <v>0</v>
      </c>
      <c r="FC33" s="1322"/>
      <c r="FD33" s="1322">
        <f t="shared" si="61"/>
        <v>0</v>
      </c>
      <c r="FE33" s="1322"/>
      <c r="FF33" s="1322">
        <f t="shared" si="62"/>
        <v>0</v>
      </c>
      <c r="FG33" s="1322"/>
      <c r="FH33" s="1322">
        <f t="shared" si="63"/>
        <v>0</v>
      </c>
      <c r="FI33" s="1322"/>
      <c r="FJ33" s="1322">
        <f t="shared" si="64"/>
        <v>0</v>
      </c>
      <c r="FK33" s="1322"/>
      <c r="FL33" s="1322">
        <f t="shared" si="65"/>
        <v>0</v>
      </c>
      <c r="FM33" s="1322"/>
      <c r="FN33" s="1322">
        <f t="shared" si="66"/>
        <v>0</v>
      </c>
      <c r="FO33" s="1322"/>
      <c r="FP33" s="1322">
        <f t="shared" si="67"/>
        <v>0</v>
      </c>
      <c r="FQ33" s="1322"/>
      <c r="FR33" s="1322">
        <f t="shared" si="68"/>
        <v>0</v>
      </c>
      <c r="FS33" s="1322"/>
      <c r="FT33" s="1322">
        <f t="shared" si="69"/>
        <v>0</v>
      </c>
      <c r="FU33" s="1322"/>
      <c r="FV33" s="1322">
        <f t="shared" si="70"/>
        <v>0</v>
      </c>
      <c r="FW33" s="1322"/>
      <c r="FX33" s="1322">
        <f t="shared" si="71"/>
        <v>0</v>
      </c>
      <c r="FY33" s="1322"/>
      <c r="FZ33" s="1322">
        <f t="shared" si="72"/>
        <v>0</v>
      </c>
      <c r="GA33" s="1322"/>
      <c r="GB33" s="1322">
        <f t="shared" si="73"/>
        <v>0</v>
      </c>
      <c r="GC33" s="1322"/>
      <c r="GD33" s="1322">
        <f t="shared" si="74"/>
        <v>0</v>
      </c>
      <c r="GE33" s="1322"/>
      <c r="GF33" s="1322">
        <f t="shared" si="75"/>
        <v>0</v>
      </c>
      <c r="GG33" s="1322"/>
      <c r="GH33" s="1322">
        <f t="shared" si="76"/>
        <v>0</v>
      </c>
      <c r="GI33" s="1322"/>
      <c r="GJ33" s="1322">
        <f t="shared" si="77"/>
        <v>0</v>
      </c>
      <c r="GK33" s="1322"/>
      <c r="GL33" s="1322">
        <f t="shared" si="78"/>
        <v>0</v>
      </c>
      <c r="GM33" s="1322"/>
      <c r="GN33" s="1322">
        <f t="shared" si="79"/>
        <v>0</v>
      </c>
      <c r="GO33" s="1322"/>
      <c r="GP33" s="1322">
        <f t="shared" si="80"/>
        <v>0</v>
      </c>
      <c r="GQ33" s="1322"/>
      <c r="GR33" s="1322">
        <f t="shared" si="81"/>
        <v>0</v>
      </c>
      <c r="GS33" s="1322"/>
      <c r="GT33" s="1322">
        <f t="shared" si="82"/>
        <v>0</v>
      </c>
      <c r="GU33" s="1322"/>
      <c r="GV33" s="1322">
        <f t="shared" si="83"/>
        <v>0</v>
      </c>
      <c r="GW33" s="1322"/>
      <c r="GX33" s="1322">
        <f t="shared" si="84"/>
        <v>0</v>
      </c>
      <c r="GY33" s="1322"/>
      <c r="GZ33" s="1322">
        <f t="shared" si="85"/>
        <v>0</v>
      </c>
    </row>
    <row r="34" spans="1:208" hidden="1">
      <c r="A34" s="1318"/>
      <c r="B34" s="1318"/>
      <c r="C34" s="1321"/>
      <c r="D34" s="1321">
        <f t="shared" si="1"/>
        <v>0</v>
      </c>
      <c r="E34" s="1321"/>
      <c r="F34" s="1321">
        <f t="shared" si="0"/>
        <v>0</v>
      </c>
      <c r="G34" s="1322"/>
      <c r="H34" s="1322">
        <f t="shared" si="0"/>
        <v>0</v>
      </c>
      <c r="I34" s="1322"/>
      <c r="J34" s="1322">
        <f t="shared" si="0"/>
        <v>0</v>
      </c>
      <c r="K34" s="1322"/>
      <c r="L34" s="1322">
        <f t="shared" si="0"/>
        <v>0</v>
      </c>
      <c r="M34" s="1322"/>
      <c r="N34" s="1322">
        <f t="shared" si="0"/>
        <v>0</v>
      </c>
      <c r="O34" s="1322"/>
      <c r="P34" s="1322">
        <f t="shared" si="0"/>
        <v>0</v>
      </c>
      <c r="Q34" s="1322"/>
      <c r="R34" s="1322">
        <f t="shared" si="0"/>
        <v>0</v>
      </c>
      <c r="S34" s="1322"/>
      <c r="T34" s="1322">
        <f t="shared" si="2"/>
        <v>0</v>
      </c>
      <c r="U34" s="1322"/>
      <c r="V34" s="1322">
        <f t="shared" si="3"/>
        <v>0</v>
      </c>
      <c r="W34" s="1322"/>
      <c r="X34" s="1322">
        <f t="shared" si="4"/>
        <v>0</v>
      </c>
      <c r="Y34" s="1322"/>
      <c r="Z34" s="1322">
        <f t="shared" si="5"/>
        <v>0</v>
      </c>
      <c r="AA34" s="1322"/>
      <c r="AB34" s="1322">
        <f t="shared" si="6"/>
        <v>0</v>
      </c>
      <c r="AC34" s="1322"/>
      <c r="AD34" s="1322">
        <f t="shared" si="7"/>
        <v>0</v>
      </c>
      <c r="AE34" s="1322"/>
      <c r="AF34" s="1322">
        <f t="shared" si="8"/>
        <v>0</v>
      </c>
      <c r="AG34" s="1322"/>
      <c r="AH34" s="1322">
        <f t="shared" si="9"/>
        <v>0</v>
      </c>
      <c r="AI34" s="1322"/>
      <c r="AJ34" s="1322">
        <f t="shared" si="10"/>
        <v>0</v>
      </c>
      <c r="AK34" s="1322"/>
      <c r="AL34" s="1322">
        <f t="shared" si="11"/>
        <v>0</v>
      </c>
      <c r="AM34" s="1322"/>
      <c r="AN34" s="1322">
        <f t="shared" si="12"/>
        <v>0</v>
      </c>
      <c r="AO34" s="1322"/>
      <c r="AP34" s="1322">
        <f t="shared" si="13"/>
        <v>0</v>
      </c>
      <c r="AQ34" s="1322"/>
      <c r="AR34" s="1322">
        <f t="shared" si="14"/>
        <v>0</v>
      </c>
      <c r="AS34" s="1322"/>
      <c r="AT34" s="1322">
        <f t="shared" si="15"/>
        <v>0</v>
      </c>
      <c r="AU34" s="1322"/>
      <c r="AV34" s="1322">
        <f t="shared" si="16"/>
        <v>0</v>
      </c>
      <c r="AW34" s="1322"/>
      <c r="AX34" s="1322">
        <f t="shared" si="17"/>
        <v>0</v>
      </c>
      <c r="AY34" s="1322"/>
      <c r="AZ34" s="1322">
        <f t="shared" si="18"/>
        <v>0</v>
      </c>
      <c r="BA34" s="1322"/>
      <c r="BB34" s="1322">
        <f t="shared" si="19"/>
        <v>0</v>
      </c>
      <c r="BC34" s="1322"/>
      <c r="BD34" s="1322">
        <f t="shared" si="20"/>
        <v>0</v>
      </c>
      <c r="BE34" s="1322"/>
      <c r="BF34" s="1322">
        <f t="shared" si="21"/>
        <v>0</v>
      </c>
      <c r="BG34" s="1322"/>
      <c r="BH34" s="1322">
        <f t="shared" si="22"/>
        <v>0</v>
      </c>
      <c r="BI34" s="1322"/>
      <c r="BJ34" s="1322">
        <f t="shared" si="23"/>
        <v>0</v>
      </c>
      <c r="BK34" s="1322"/>
      <c r="BL34" s="1322">
        <f t="shared" si="24"/>
        <v>0</v>
      </c>
      <c r="BM34" s="1322"/>
      <c r="BN34" s="1322">
        <f t="shared" si="25"/>
        <v>0</v>
      </c>
      <c r="BO34" s="1322"/>
      <c r="BP34" s="1322">
        <f t="shared" si="26"/>
        <v>0</v>
      </c>
      <c r="BQ34" s="1322"/>
      <c r="BR34" s="1322">
        <f t="shared" si="27"/>
        <v>0</v>
      </c>
      <c r="BS34" s="1322"/>
      <c r="BT34" s="1322">
        <f t="shared" si="28"/>
        <v>0</v>
      </c>
      <c r="BU34" s="1322"/>
      <c r="BV34" s="1322">
        <f t="shared" si="29"/>
        <v>0</v>
      </c>
      <c r="BW34" s="1322"/>
      <c r="BX34" s="1322">
        <f t="shared" si="30"/>
        <v>0</v>
      </c>
      <c r="BY34" s="1322"/>
      <c r="BZ34" s="1322">
        <f t="shared" si="31"/>
        <v>0</v>
      </c>
      <c r="CA34" s="1322"/>
      <c r="CB34" s="1322">
        <f t="shared" si="32"/>
        <v>0</v>
      </c>
      <c r="CC34" s="1322"/>
      <c r="CD34" s="1322">
        <f t="shared" si="33"/>
        <v>0</v>
      </c>
      <c r="CE34" s="1322"/>
      <c r="CF34" s="1322">
        <f t="shared" si="34"/>
        <v>0</v>
      </c>
      <c r="CG34" s="1322"/>
      <c r="CH34" s="1322">
        <f t="shared" si="35"/>
        <v>0</v>
      </c>
      <c r="CI34" s="1322"/>
      <c r="CJ34" s="1322">
        <f t="shared" si="36"/>
        <v>0</v>
      </c>
      <c r="CK34" s="1322"/>
      <c r="CL34" s="1322">
        <f t="shared" si="37"/>
        <v>0</v>
      </c>
      <c r="CM34" s="1322"/>
      <c r="CN34" s="1322">
        <f t="shared" si="38"/>
        <v>0</v>
      </c>
      <c r="CO34" s="1322"/>
      <c r="CP34" s="1322">
        <f t="shared" si="39"/>
        <v>0</v>
      </c>
      <c r="CQ34" s="1322"/>
      <c r="CR34" s="1322">
        <f t="shared" si="40"/>
        <v>0</v>
      </c>
      <c r="CS34" s="1322"/>
      <c r="CT34" s="1322">
        <f t="shared" si="41"/>
        <v>0</v>
      </c>
      <c r="CU34" s="1322"/>
      <c r="CV34" s="1322">
        <f t="shared" si="42"/>
        <v>0</v>
      </c>
      <c r="CW34" s="1322"/>
      <c r="CX34" s="1322">
        <f t="shared" si="43"/>
        <v>0</v>
      </c>
      <c r="CY34" s="1322"/>
      <c r="CZ34" s="1322">
        <f t="shared" si="44"/>
        <v>0</v>
      </c>
      <c r="DA34" s="1322"/>
      <c r="DB34" s="1322">
        <f t="shared" si="45"/>
        <v>0</v>
      </c>
      <c r="DC34" s="1322"/>
      <c r="DD34" s="1322">
        <f t="shared" si="46"/>
        <v>0</v>
      </c>
      <c r="DE34" s="1322"/>
      <c r="DF34" s="1322">
        <f t="shared" si="47"/>
        <v>0</v>
      </c>
      <c r="DG34" s="1322"/>
      <c r="DH34" s="1322">
        <f t="shared" si="48"/>
        <v>0</v>
      </c>
      <c r="DI34" s="1322"/>
      <c r="DJ34" s="1322">
        <f t="shared" si="48"/>
        <v>0</v>
      </c>
      <c r="DK34" s="1322"/>
      <c r="DL34" s="1322">
        <f t="shared" si="48"/>
        <v>0</v>
      </c>
      <c r="DM34" s="1322"/>
      <c r="DN34" s="1322">
        <f t="shared" si="48"/>
        <v>0</v>
      </c>
      <c r="DO34" s="1322"/>
      <c r="DP34" s="1322">
        <f t="shared" si="48"/>
        <v>0</v>
      </c>
      <c r="DQ34" s="1322"/>
      <c r="DR34" s="1322">
        <f t="shared" si="48"/>
        <v>0</v>
      </c>
      <c r="DS34" s="1322"/>
      <c r="DT34" s="1322">
        <f t="shared" si="48"/>
        <v>0</v>
      </c>
      <c r="DU34" s="1322"/>
      <c r="DV34" s="1322">
        <f t="shared" si="86"/>
        <v>0</v>
      </c>
      <c r="DW34" s="1322"/>
      <c r="DX34" s="1322">
        <f t="shared" si="49"/>
        <v>0</v>
      </c>
      <c r="DY34" s="1322"/>
      <c r="DZ34" s="1322">
        <f t="shared" si="49"/>
        <v>0</v>
      </c>
      <c r="EA34" s="1322"/>
      <c r="EB34" s="1322">
        <f t="shared" si="49"/>
        <v>0</v>
      </c>
      <c r="EC34" s="1322"/>
      <c r="ED34" s="1322">
        <f t="shared" si="50"/>
        <v>0</v>
      </c>
      <c r="EE34" s="1322"/>
      <c r="EF34" s="1322">
        <f t="shared" si="50"/>
        <v>0</v>
      </c>
      <c r="EG34" s="1322"/>
      <c r="EH34" s="1322">
        <f t="shared" si="51"/>
        <v>0</v>
      </c>
      <c r="EI34" s="1322"/>
      <c r="EJ34" s="1322">
        <f t="shared" si="52"/>
        <v>0</v>
      </c>
      <c r="EK34" s="1322"/>
      <c r="EL34" s="1322">
        <f t="shared" si="53"/>
        <v>0</v>
      </c>
      <c r="EM34" s="1322"/>
      <c r="EN34" s="1322">
        <f t="shared" si="54"/>
        <v>0</v>
      </c>
      <c r="EO34" s="1322"/>
      <c r="EP34" s="1322">
        <f t="shared" si="54"/>
        <v>0</v>
      </c>
      <c r="EQ34" s="1322"/>
      <c r="ER34" s="1322">
        <f t="shared" si="55"/>
        <v>0</v>
      </c>
      <c r="ES34" s="1322"/>
      <c r="ET34" s="1322">
        <f t="shared" si="56"/>
        <v>0</v>
      </c>
      <c r="EU34" s="1322"/>
      <c r="EV34" s="1322">
        <f t="shared" si="57"/>
        <v>0</v>
      </c>
      <c r="EW34" s="1322"/>
      <c r="EX34" s="1322">
        <f t="shared" si="58"/>
        <v>0</v>
      </c>
      <c r="EY34" s="1322"/>
      <c r="EZ34" s="1322">
        <f t="shared" si="59"/>
        <v>0</v>
      </c>
      <c r="FA34" s="1322"/>
      <c r="FB34" s="1322">
        <f t="shared" si="60"/>
        <v>0</v>
      </c>
      <c r="FC34" s="1322"/>
      <c r="FD34" s="1322">
        <f t="shared" si="61"/>
        <v>0</v>
      </c>
      <c r="FE34" s="1322"/>
      <c r="FF34" s="1322">
        <f t="shared" si="62"/>
        <v>0</v>
      </c>
      <c r="FG34" s="1322"/>
      <c r="FH34" s="1322">
        <f t="shared" si="63"/>
        <v>0</v>
      </c>
      <c r="FI34" s="1322"/>
      <c r="FJ34" s="1322">
        <f t="shared" si="64"/>
        <v>0</v>
      </c>
      <c r="FK34" s="1322"/>
      <c r="FL34" s="1322">
        <f t="shared" si="65"/>
        <v>0</v>
      </c>
      <c r="FM34" s="1322"/>
      <c r="FN34" s="1322">
        <f t="shared" si="66"/>
        <v>0</v>
      </c>
      <c r="FO34" s="1322"/>
      <c r="FP34" s="1322">
        <f t="shared" si="67"/>
        <v>0</v>
      </c>
      <c r="FQ34" s="1322"/>
      <c r="FR34" s="1322">
        <f t="shared" si="68"/>
        <v>0</v>
      </c>
      <c r="FS34" s="1322"/>
      <c r="FT34" s="1322">
        <f t="shared" si="69"/>
        <v>0</v>
      </c>
      <c r="FU34" s="1322"/>
      <c r="FV34" s="1322">
        <f t="shared" si="70"/>
        <v>0</v>
      </c>
      <c r="FW34" s="1322"/>
      <c r="FX34" s="1322">
        <f t="shared" si="71"/>
        <v>0</v>
      </c>
      <c r="FY34" s="1322"/>
      <c r="FZ34" s="1322">
        <f t="shared" si="72"/>
        <v>0</v>
      </c>
      <c r="GA34" s="1322"/>
      <c r="GB34" s="1322">
        <f t="shared" si="73"/>
        <v>0</v>
      </c>
      <c r="GC34" s="1322"/>
      <c r="GD34" s="1322">
        <f t="shared" si="74"/>
        <v>0</v>
      </c>
      <c r="GE34" s="1322"/>
      <c r="GF34" s="1322">
        <f t="shared" si="75"/>
        <v>0</v>
      </c>
      <c r="GG34" s="1322"/>
      <c r="GH34" s="1322">
        <f t="shared" si="76"/>
        <v>0</v>
      </c>
      <c r="GI34" s="1322"/>
      <c r="GJ34" s="1322">
        <f t="shared" si="77"/>
        <v>0</v>
      </c>
      <c r="GK34" s="1322"/>
      <c r="GL34" s="1322">
        <f t="shared" si="78"/>
        <v>0</v>
      </c>
      <c r="GM34" s="1322"/>
      <c r="GN34" s="1322">
        <f t="shared" si="79"/>
        <v>0</v>
      </c>
      <c r="GO34" s="1322"/>
      <c r="GP34" s="1322">
        <f t="shared" si="80"/>
        <v>0</v>
      </c>
      <c r="GQ34" s="1322"/>
      <c r="GR34" s="1322">
        <f t="shared" si="81"/>
        <v>0</v>
      </c>
      <c r="GS34" s="1322"/>
      <c r="GT34" s="1322">
        <f t="shared" si="82"/>
        <v>0</v>
      </c>
      <c r="GU34" s="1322"/>
      <c r="GV34" s="1322">
        <f t="shared" si="83"/>
        <v>0</v>
      </c>
      <c r="GW34" s="1322"/>
      <c r="GX34" s="1322">
        <f t="shared" si="84"/>
        <v>0</v>
      </c>
      <c r="GY34" s="1322"/>
      <c r="GZ34" s="1322">
        <f t="shared" si="85"/>
        <v>0</v>
      </c>
    </row>
    <row r="35" spans="1:208" hidden="1">
      <c r="A35" s="1318"/>
      <c r="B35" s="1318"/>
      <c r="C35" s="1321"/>
      <c r="D35" s="1321">
        <f t="shared" si="1"/>
        <v>0</v>
      </c>
      <c r="E35" s="1321"/>
      <c r="F35" s="1321">
        <f t="shared" si="0"/>
        <v>0</v>
      </c>
      <c r="G35" s="1322"/>
      <c r="H35" s="1322">
        <f t="shared" si="0"/>
        <v>0</v>
      </c>
      <c r="I35" s="1322"/>
      <c r="J35" s="1322">
        <f t="shared" si="0"/>
        <v>0</v>
      </c>
      <c r="K35" s="1322"/>
      <c r="L35" s="1322">
        <f t="shared" si="0"/>
        <v>0</v>
      </c>
      <c r="M35" s="1322"/>
      <c r="N35" s="1322">
        <f t="shared" si="0"/>
        <v>0</v>
      </c>
      <c r="O35" s="1322"/>
      <c r="P35" s="1322">
        <f t="shared" si="0"/>
        <v>0</v>
      </c>
      <c r="Q35" s="1322"/>
      <c r="R35" s="1322">
        <f t="shared" si="0"/>
        <v>0</v>
      </c>
      <c r="S35" s="1322"/>
      <c r="T35" s="1322">
        <f t="shared" si="2"/>
        <v>0</v>
      </c>
      <c r="U35" s="1322"/>
      <c r="V35" s="1322">
        <f t="shared" si="3"/>
        <v>0</v>
      </c>
      <c r="W35" s="1322"/>
      <c r="X35" s="1322">
        <f t="shared" si="4"/>
        <v>0</v>
      </c>
      <c r="Y35" s="1322"/>
      <c r="Z35" s="1322">
        <f t="shared" si="5"/>
        <v>0</v>
      </c>
      <c r="AA35" s="1322"/>
      <c r="AB35" s="1322">
        <f t="shared" si="6"/>
        <v>0</v>
      </c>
      <c r="AC35" s="1322"/>
      <c r="AD35" s="1322">
        <f t="shared" si="7"/>
        <v>0</v>
      </c>
      <c r="AE35" s="1322"/>
      <c r="AF35" s="1322">
        <f t="shared" si="8"/>
        <v>0</v>
      </c>
      <c r="AG35" s="1322"/>
      <c r="AH35" s="1322">
        <f t="shared" si="9"/>
        <v>0</v>
      </c>
      <c r="AI35" s="1322"/>
      <c r="AJ35" s="1322">
        <f t="shared" si="10"/>
        <v>0</v>
      </c>
      <c r="AK35" s="1322"/>
      <c r="AL35" s="1322">
        <f t="shared" si="11"/>
        <v>0</v>
      </c>
      <c r="AM35" s="1322"/>
      <c r="AN35" s="1322">
        <f t="shared" si="12"/>
        <v>0</v>
      </c>
      <c r="AO35" s="1322"/>
      <c r="AP35" s="1322">
        <f t="shared" si="13"/>
        <v>0</v>
      </c>
      <c r="AQ35" s="1322"/>
      <c r="AR35" s="1322">
        <f t="shared" si="14"/>
        <v>0</v>
      </c>
      <c r="AS35" s="1322"/>
      <c r="AT35" s="1322">
        <f t="shared" si="15"/>
        <v>0</v>
      </c>
      <c r="AU35" s="1322"/>
      <c r="AV35" s="1322">
        <f t="shared" si="16"/>
        <v>0</v>
      </c>
      <c r="AW35" s="1322"/>
      <c r="AX35" s="1322">
        <f t="shared" si="17"/>
        <v>0</v>
      </c>
      <c r="AY35" s="1322"/>
      <c r="AZ35" s="1322">
        <f t="shared" si="18"/>
        <v>0</v>
      </c>
      <c r="BA35" s="1322"/>
      <c r="BB35" s="1322">
        <f t="shared" si="19"/>
        <v>0</v>
      </c>
      <c r="BC35" s="1322"/>
      <c r="BD35" s="1322">
        <f t="shared" si="20"/>
        <v>0</v>
      </c>
      <c r="BE35" s="1322"/>
      <c r="BF35" s="1322">
        <f t="shared" si="21"/>
        <v>0</v>
      </c>
      <c r="BG35" s="1322"/>
      <c r="BH35" s="1322">
        <f t="shared" si="22"/>
        <v>0</v>
      </c>
      <c r="BI35" s="1322"/>
      <c r="BJ35" s="1322">
        <f t="shared" si="23"/>
        <v>0</v>
      </c>
      <c r="BK35" s="1322"/>
      <c r="BL35" s="1322">
        <f t="shared" si="24"/>
        <v>0</v>
      </c>
      <c r="BM35" s="1322"/>
      <c r="BN35" s="1322">
        <f t="shared" si="25"/>
        <v>0</v>
      </c>
      <c r="BO35" s="1322"/>
      <c r="BP35" s="1322">
        <f t="shared" si="26"/>
        <v>0</v>
      </c>
      <c r="BQ35" s="1322"/>
      <c r="BR35" s="1322">
        <f t="shared" si="27"/>
        <v>0</v>
      </c>
      <c r="BS35" s="1322"/>
      <c r="BT35" s="1322">
        <f t="shared" si="28"/>
        <v>0</v>
      </c>
      <c r="BU35" s="1322"/>
      <c r="BV35" s="1322">
        <f t="shared" si="29"/>
        <v>0</v>
      </c>
      <c r="BW35" s="1322"/>
      <c r="BX35" s="1322">
        <f t="shared" si="30"/>
        <v>0</v>
      </c>
      <c r="BY35" s="1322"/>
      <c r="BZ35" s="1322">
        <f t="shared" si="31"/>
        <v>0</v>
      </c>
      <c r="CA35" s="1322"/>
      <c r="CB35" s="1322">
        <f t="shared" si="32"/>
        <v>0</v>
      </c>
      <c r="CC35" s="1322"/>
      <c r="CD35" s="1322">
        <f t="shared" si="33"/>
        <v>0</v>
      </c>
      <c r="CE35" s="1322"/>
      <c r="CF35" s="1322">
        <f t="shared" si="34"/>
        <v>0</v>
      </c>
      <c r="CG35" s="1322"/>
      <c r="CH35" s="1322">
        <f t="shared" si="35"/>
        <v>0</v>
      </c>
      <c r="CI35" s="1322"/>
      <c r="CJ35" s="1322">
        <f t="shared" si="36"/>
        <v>0</v>
      </c>
      <c r="CK35" s="1322"/>
      <c r="CL35" s="1322">
        <f t="shared" si="37"/>
        <v>0</v>
      </c>
      <c r="CM35" s="1322"/>
      <c r="CN35" s="1322">
        <f t="shared" si="38"/>
        <v>0</v>
      </c>
      <c r="CO35" s="1322"/>
      <c r="CP35" s="1322">
        <f t="shared" si="39"/>
        <v>0</v>
      </c>
      <c r="CQ35" s="1322"/>
      <c r="CR35" s="1322">
        <f t="shared" si="40"/>
        <v>0</v>
      </c>
      <c r="CS35" s="1322"/>
      <c r="CT35" s="1322">
        <f t="shared" si="41"/>
        <v>0</v>
      </c>
      <c r="CU35" s="1322"/>
      <c r="CV35" s="1322">
        <f t="shared" si="42"/>
        <v>0</v>
      </c>
      <c r="CW35" s="1322"/>
      <c r="CX35" s="1322">
        <f t="shared" si="43"/>
        <v>0</v>
      </c>
      <c r="CY35" s="1322"/>
      <c r="CZ35" s="1322">
        <f t="shared" si="44"/>
        <v>0</v>
      </c>
      <c r="DA35" s="1322"/>
      <c r="DB35" s="1322">
        <f t="shared" si="45"/>
        <v>0</v>
      </c>
      <c r="DC35" s="1322"/>
      <c r="DD35" s="1322">
        <f t="shared" si="46"/>
        <v>0</v>
      </c>
      <c r="DE35" s="1322"/>
      <c r="DF35" s="1322">
        <f t="shared" si="47"/>
        <v>0</v>
      </c>
      <c r="DG35" s="1322"/>
      <c r="DH35" s="1322">
        <f t="shared" si="48"/>
        <v>0</v>
      </c>
      <c r="DI35" s="1322"/>
      <c r="DJ35" s="1322">
        <f t="shared" si="48"/>
        <v>0</v>
      </c>
      <c r="DK35" s="1322"/>
      <c r="DL35" s="1322">
        <f t="shared" si="48"/>
        <v>0</v>
      </c>
      <c r="DM35" s="1322"/>
      <c r="DN35" s="1322">
        <f t="shared" si="48"/>
        <v>0</v>
      </c>
      <c r="DO35" s="1322"/>
      <c r="DP35" s="1322">
        <f t="shared" si="48"/>
        <v>0</v>
      </c>
      <c r="DQ35" s="1322"/>
      <c r="DR35" s="1322">
        <f t="shared" si="48"/>
        <v>0</v>
      </c>
      <c r="DS35" s="1322"/>
      <c r="DT35" s="1322">
        <f t="shared" si="48"/>
        <v>0</v>
      </c>
      <c r="DU35" s="1322"/>
      <c r="DV35" s="1322">
        <f t="shared" si="86"/>
        <v>0</v>
      </c>
      <c r="DW35" s="1322"/>
      <c r="DX35" s="1322">
        <f t="shared" si="49"/>
        <v>0</v>
      </c>
      <c r="DY35" s="1322"/>
      <c r="DZ35" s="1322">
        <f t="shared" si="49"/>
        <v>0</v>
      </c>
      <c r="EA35" s="1322"/>
      <c r="EB35" s="1322">
        <f t="shared" si="49"/>
        <v>0</v>
      </c>
      <c r="EC35" s="1322"/>
      <c r="ED35" s="1322">
        <f t="shared" si="50"/>
        <v>0</v>
      </c>
      <c r="EE35" s="1322"/>
      <c r="EF35" s="1322">
        <f t="shared" si="50"/>
        <v>0</v>
      </c>
      <c r="EG35" s="1322"/>
      <c r="EH35" s="1322">
        <f t="shared" si="51"/>
        <v>0</v>
      </c>
      <c r="EI35" s="1322"/>
      <c r="EJ35" s="1322">
        <f t="shared" si="52"/>
        <v>0</v>
      </c>
      <c r="EK35" s="1322"/>
      <c r="EL35" s="1322">
        <f t="shared" si="53"/>
        <v>0</v>
      </c>
      <c r="EM35" s="1322"/>
      <c r="EN35" s="1322">
        <f t="shared" si="54"/>
        <v>0</v>
      </c>
      <c r="EO35" s="1322"/>
      <c r="EP35" s="1322">
        <f t="shared" si="54"/>
        <v>0</v>
      </c>
      <c r="EQ35" s="1322"/>
      <c r="ER35" s="1322">
        <f t="shared" si="55"/>
        <v>0</v>
      </c>
      <c r="ES35" s="1322"/>
      <c r="ET35" s="1322">
        <f t="shared" si="56"/>
        <v>0</v>
      </c>
      <c r="EU35" s="1322"/>
      <c r="EV35" s="1322">
        <f t="shared" si="57"/>
        <v>0</v>
      </c>
      <c r="EW35" s="1322"/>
      <c r="EX35" s="1322">
        <f t="shared" si="58"/>
        <v>0</v>
      </c>
      <c r="EY35" s="1322"/>
      <c r="EZ35" s="1322">
        <f t="shared" si="59"/>
        <v>0</v>
      </c>
      <c r="FA35" s="1322"/>
      <c r="FB35" s="1322">
        <f t="shared" si="60"/>
        <v>0</v>
      </c>
      <c r="FC35" s="1322"/>
      <c r="FD35" s="1322">
        <f t="shared" si="61"/>
        <v>0</v>
      </c>
      <c r="FE35" s="1322"/>
      <c r="FF35" s="1322">
        <f t="shared" si="62"/>
        <v>0</v>
      </c>
      <c r="FG35" s="1322"/>
      <c r="FH35" s="1322">
        <f t="shared" si="63"/>
        <v>0</v>
      </c>
      <c r="FI35" s="1322"/>
      <c r="FJ35" s="1322">
        <f t="shared" si="64"/>
        <v>0</v>
      </c>
      <c r="FK35" s="1322"/>
      <c r="FL35" s="1322">
        <f t="shared" si="65"/>
        <v>0</v>
      </c>
      <c r="FM35" s="1322"/>
      <c r="FN35" s="1322">
        <f t="shared" si="66"/>
        <v>0</v>
      </c>
      <c r="FO35" s="1322"/>
      <c r="FP35" s="1322">
        <f t="shared" si="67"/>
        <v>0</v>
      </c>
      <c r="FQ35" s="1322"/>
      <c r="FR35" s="1322">
        <f t="shared" si="68"/>
        <v>0</v>
      </c>
      <c r="FS35" s="1322"/>
      <c r="FT35" s="1322">
        <f t="shared" si="69"/>
        <v>0</v>
      </c>
      <c r="FU35" s="1322"/>
      <c r="FV35" s="1322">
        <f t="shared" si="70"/>
        <v>0</v>
      </c>
      <c r="FW35" s="1322"/>
      <c r="FX35" s="1322">
        <f t="shared" si="71"/>
        <v>0</v>
      </c>
      <c r="FY35" s="1322"/>
      <c r="FZ35" s="1322">
        <f t="shared" si="72"/>
        <v>0</v>
      </c>
      <c r="GA35" s="1322"/>
      <c r="GB35" s="1322">
        <f t="shared" si="73"/>
        <v>0</v>
      </c>
      <c r="GC35" s="1322"/>
      <c r="GD35" s="1322">
        <f t="shared" si="74"/>
        <v>0</v>
      </c>
      <c r="GE35" s="1322"/>
      <c r="GF35" s="1322">
        <f t="shared" si="75"/>
        <v>0</v>
      </c>
      <c r="GG35" s="1322"/>
      <c r="GH35" s="1322">
        <f t="shared" si="76"/>
        <v>0</v>
      </c>
      <c r="GI35" s="1322"/>
      <c r="GJ35" s="1322">
        <f t="shared" si="77"/>
        <v>0</v>
      </c>
      <c r="GK35" s="1322"/>
      <c r="GL35" s="1322">
        <f t="shared" si="78"/>
        <v>0</v>
      </c>
      <c r="GM35" s="1322"/>
      <c r="GN35" s="1322">
        <f t="shared" si="79"/>
        <v>0</v>
      </c>
      <c r="GO35" s="1322"/>
      <c r="GP35" s="1322">
        <f t="shared" si="80"/>
        <v>0</v>
      </c>
      <c r="GQ35" s="1322"/>
      <c r="GR35" s="1322">
        <f t="shared" si="81"/>
        <v>0</v>
      </c>
      <c r="GS35" s="1322"/>
      <c r="GT35" s="1322">
        <f t="shared" si="82"/>
        <v>0</v>
      </c>
      <c r="GU35" s="1322"/>
      <c r="GV35" s="1322">
        <f t="shared" si="83"/>
        <v>0</v>
      </c>
      <c r="GW35" s="1322"/>
      <c r="GX35" s="1322">
        <f t="shared" si="84"/>
        <v>0</v>
      </c>
      <c r="GY35" s="1322"/>
      <c r="GZ35" s="1322">
        <f t="shared" si="85"/>
        <v>0</v>
      </c>
    </row>
    <row r="36" spans="1:208" hidden="1">
      <c r="A36" s="1318"/>
      <c r="B36" s="1318"/>
      <c r="C36" s="1321"/>
      <c r="D36" s="1321">
        <f t="shared" si="1"/>
        <v>0</v>
      </c>
      <c r="E36" s="1321"/>
      <c r="F36" s="1321">
        <f t="shared" si="0"/>
        <v>0</v>
      </c>
      <c r="G36" s="1322"/>
      <c r="H36" s="1322">
        <f t="shared" si="0"/>
        <v>0</v>
      </c>
      <c r="I36" s="1322"/>
      <c r="J36" s="1322">
        <f t="shared" si="0"/>
        <v>0</v>
      </c>
      <c r="K36" s="1322"/>
      <c r="L36" s="1322">
        <f t="shared" si="0"/>
        <v>0</v>
      </c>
      <c r="M36" s="1322"/>
      <c r="N36" s="1322">
        <f t="shared" si="0"/>
        <v>0</v>
      </c>
      <c r="O36" s="1322"/>
      <c r="P36" s="1322">
        <f t="shared" si="0"/>
        <v>0</v>
      </c>
      <c r="Q36" s="1322"/>
      <c r="R36" s="1322">
        <f t="shared" si="0"/>
        <v>0</v>
      </c>
      <c r="S36" s="1322"/>
      <c r="T36" s="1322">
        <f t="shared" si="2"/>
        <v>0</v>
      </c>
      <c r="U36" s="1322"/>
      <c r="V36" s="1322">
        <f t="shared" si="3"/>
        <v>0</v>
      </c>
      <c r="W36" s="1322"/>
      <c r="X36" s="1322">
        <f t="shared" si="4"/>
        <v>0</v>
      </c>
      <c r="Y36" s="1322"/>
      <c r="Z36" s="1322">
        <f t="shared" si="5"/>
        <v>0</v>
      </c>
      <c r="AA36" s="1322"/>
      <c r="AB36" s="1322">
        <f t="shared" si="6"/>
        <v>0</v>
      </c>
      <c r="AC36" s="1322"/>
      <c r="AD36" s="1322">
        <f t="shared" si="7"/>
        <v>0</v>
      </c>
      <c r="AE36" s="1322"/>
      <c r="AF36" s="1322">
        <f t="shared" si="8"/>
        <v>0</v>
      </c>
      <c r="AG36" s="1322"/>
      <c r="AH36" s="1322">
        <f t="shared" si="9"/>
        <v>0</v>
      </c>
      <c r="AI36" s="1322"/>
      <c r="AJ36" s="1322">
        <f t="shared" si="10"/>
        <v>0</v>
      </c>
      <c r="AK36" s="1322"/>
      <c r="AL36" s="1322">
        <f t="shared" si="11"/>
        <v>0</v>
      </c>
      <c r="AM36" s="1322"/>
      <c r="AN36" s="1322">
        <f t="shared" si="12"/>
        <v>0</v>
      </c>
      <c r="AO36" s="1322"/>
      <c r="AP36" s="1322">
        <f t="shared" si="13"/>
        <v>0</v>
      </c>
      <c r="AQ36" s="1322"/>
      <c r="AR36" s="1322">
        <f t="shared" si="14"/>
        <v>0</v>
      </c>
      <c r="AS36" s="1322"/>
      <c r="AT36" s="1322">
        <f t="shared" si="15"/>
        <v>0</v>
      </c>
      <c r="AU36" s="1322"/>
      <c r="AV36" s="1322">
        <f t="shared" si="16"/>
        <v>0</v>
      </c>
      <c r="AW36" s="1322"/>
      <c r="AX36" s="1322">
        <f t="shared" si="17"/>
        <v>0</v>
      </c>
      <c r="AY36" s="1322"/>
      <c r="AZ36" s="1322">
        <f t="shared" si="18"/>
        <v>0</v>
      </c>
      <c r="BA36" s="1322"/>
      <c r="BB36" s="1322">
        <f t="shared" si="19"/>
        <v>0</v>
      </c>
      <c r="BC36" s="1322"/>
      <c r="BD36" s="1322">
        <f t="shared" si="20"/>
        <v>0</v>
      </c>
      <c r="BE36" s="1322"/>
      <c r="BF36" s="1322">
        <f t="shared" si="21"/>
        <v>0</v>
      </c>
      <c r="BG36" s="1322"/>
      <c r="BH36" s="1322">
        <f t="shared" si="22"/>
        <v>0</v>
      </c>
      <c r="BI36" s="1322"/>
      <c r="BJ36" s="1322">
        <f t="shared" si="23"/>
        <v>0</v>
      </c>
      <c r="BK36" s="1322"/>
      <c r="BL36" s="1322">
        <f t="shared" si="24"/>
        <v>0</v>
      </c>
      <c r="BM36" s="1322"/>
      <c r="BN36" s="1322">
        <f t="shared" si="25"/>
        <v>0</v>
      </c>
      <c r="BO36" s="1322"/>
      <c r="BP36" s="1322">
        <f t="shared" si="26"/>
        <v>0</v>
      </c>
      <c r="BQ36" s="1322"/>
      <c r="BR36" s="1322">
        <f t="shared" si="27"/>
        <v>0</v>
      </c>
      <c r="BS36" s="1322"/>
      <c r="BT36" s="1322">
        <f t="shared" si="28"/>
        <v>0</v>
      </c>
      <c r="BU36" s="1322"/>
      <c r="BV36" s="1322">
        <f t="shared" si="29"/>
        <v>0</v>
      </c>
      <c r="BW36" s="1322"/>
      <c r="BX36" s="1322">
        <f t="shared" si="30"/>
        <v>0</v>
      </c>
      <c r="BY36" s="1322"/>
      <c r="BZ36" s="1322">
        <f t="shared" si="31"/>
        <v>0</v>
      </c>
      <c r="CA36" s="1322"/>
      <c r="CB36" s="1322">
        <f t="shared" si="32"/>
        <v>0</v>
      </c>
      <c r="CC36" s="1322"/>
      <c r="CD36" s="1322">
        <f t="shared" si="33"/>
        <v>0</v>
      </c>
      <c r="CE36" s="1322"/>
      <c r="CF36" s="1322">
        <f t="shared" si="34"/>
        <v>0</v>
      </c>
      <c r="CG36" s="1322"/>
      <c r="CH36" s="1322">
        <f t="shared" si="35"/>
        <v>0</v>
      </c>
      <c r="CI36" s="1322"/>
      <c r="CJ36" s="1322">
        <f t="shared" si="36"/>
        <v>0</v>
      </c>
      <c r="CK36" s="1322"/>
      <c r="CL36" s="1322">
        <f t="shared" si="37"/>
        <v>0</v>
      </c>
      <c r="CM36" s="1322"/>
      <c r="CN36" s="1322">
        <f t="shared" si="38"/>
        <v>0</v>
      </c>
      <c r="CO36" s="1322"/>
      <c r="CP36" s="1322">
        <f t="shared" si="39"/>
        <v>0</v>
      </c>
      <c r="CQ36" s="1322"/>
      <c r="CR36" s="1322">
        <f t="shared" si="40"/>
        <v>0</v>
      </c>
      <c r="CS36" s="1322"/>
      <c r="CT36" s="1322">
        <f t="shared" si="41"/>
        <v>0</v>
      </c>
      <c r="CU36" s="1322"/>
      <c r="CV36" s="1322">
        <f t="shared" si="42"/>
        <v>0</v>
      </c>
      <c r="CW36" s="1322"/>
      <c r="CX36" s="1322">
        <f t="shared" si="43"/>
        <v>0</v>
      </c>
      <c r="CY36" s="1322"/>
      <c r="CZ36" s="1322">
        <f t="shared" si="44"/>
        <v>0</v>
      </c>
      <c r="DA36" s="1322"/>
      <c r="DB36" s="1322">
        <f t="shared" si="45"/>
        <v>0</v>
      </c>
      <c r="DC36" s="1322"/>
      <c r="DD36" s="1322">
        <f t="shared" si="46"/>
        <v>0</v>
      </c>
      <c r="DE36" s="1322"/>
      <c r="DF36" s="1322">
        <f t="shared" si="47"/>
        <v>0</v>
      </c>
      <c r="DG36" s="1322"/>
      <c r="DH36" s="1322">
        <f t="shared" si="48"/>
        <v>0</v>
      </c>
      <c r="DI36" s="1322"/>
      <c r="DJ36" s="1322">
        <f t="shared" si="48"/>
        <v>0</v>
      </c>
      <c r="DK36" s="1322"/>
      <c r="DL36" s="1322">
        <f t="shared" si="48"/>
        <v>0</v>
      </c>
      <c r="DM36" s="1322"/>
      <c r="DN36" s="1322">
        <f t="shared" si="48"/>
        <v>0</v>
      </c>
      <c r="DO36" s="1322"/>
      <c r="DP36" s="1322">
        <f t="shared" si="48"/>
        <v>0</v>
      </c>
      <c r="DQ36" s="1322"/>
      <c r="DR36" s="1322">
        <f t="shared" si="48"/>
        <v>0</v>
      </c>
      <c r="DS36" s="1322"/>
      <c r="DT36" s="1322">
        <f t="shared" si="48"/>
        <v>0</v>
      </c>
      <c r="DU36" s="1322"/>
      <c r="DV36" s="1322">
        <f t="shared" si="86"/>
        <v>0</v>
      </c>
      <c r="DW36" s="1322"/>
      <c r="DX36" s="1322">
        <f t="shared" si="49"/>
        <v>0</v>
      </c>
      <c r="DY36" s="1322"/>
      <c r="DZ36" s="1322">
        <f t="shared" si="49"/>
        <v>0</v>
      </c>
      <c r="EA36" s="1322"/>
      <c r="EB36" s="1322">
        <f t="shared" si="49"/>
        <v>0</v>
      </c>
      <c r="EC36" s="1322"/>
      <c r="ED36" s="1322">
        <f t="shared" si="50"/>
        <v>0</v>
      </c>
      <c r="EE36" s="1322"/>
      <c r="EF36" s="1322">
        <f t="shared" si="50"/>
        <v>0</v>
      </c>
      <c r="EG36" s="1322"/>
      <c r="EH36" s="1322">
        <f t="shared" si="51"/>
        <v>0</v>
      </c>
      <c r="EI36" s="1322"/>
      <c r="EJ36" s="1322">
        <f t="shared" si="52"/>
        <v>0</v>
      </c>
      <c r="EK36" s="1322"/>
      <c r="EL36" s="1322">
        <f t="shared" si="53"/>
        <v>0</v>
      </c>
      <c r="EM36" s="1322"/>
      <c r="EN36" s="1322">
        <f t="shared" si="54"/>
        <v>0</v>
      </c>
      <c r="EO36" s="1322"/>
      <c r="EP36" s="1322">
        <f t="shared" si="54"/>
        <v>0</v>
      </c>
      <c r="EQ36" s="1322"/>
      <c r="ER36" s="1322">
        <f t="shared" si="55"/>
        <v>0</v>
      </c>
      <c r="ES36" s="1322"/>
      <c r="ET36" s="1322">
        <f t="shared" si="56"/>
        <v>0</v>
      </c>
      <c r="EU36" s="1322"/>
      <c r="EV36" s="1322">
        <f t="shared" si="57"/>
        <v>0</v>
      </c>
      <c r="EW36" s="1322"/>
      <c r="EX36" s="1322">
        <f t="shared" si="58"/>
        <v>0</v>
      </c>
      <c r="EY36" s="1322"/>
      <c r="EZ36" s="1322">
        <f t="shared" si="59"/>
        <v>0</v>
      </c>
      <c r="FA36" s="1322"/>
      <c r="FB36" s="1322">
        <f t="shared" si="60"/>
        <v>0</v>
      </c>
      <c r="FC36" s="1322"/>
      <c r="FD36" s="1322">
        <f t="shared" si="61"/>
        <v>0</v>
      </c>
      <c r="FE36" s="1322"/>
      <c r="FF36" s="1322">
        <f t="shared" si="62"/>
        <v>0</v>
      </c>
      <c r="FG36" s="1322"/>
      <c r="FH36" s="1322">
        <f t="shared" si="63"/>
        <v>0</v>
      </c>
      <c r="FI36" s="1322"/>
      <c r="FJ36" s="1322">
        <f t="shared" si="64"/>
        <v>0</v>
      </c>
      <c r="FK36" s="1322"/>
      <c r="FL36" s="1322">
        <f t="shared" si="65"/>
        <v>0</v>
      </c>
      <c r="FM36" s="1322"/>
      <c r="FN36" s="1322">
        <f t="shared" si="66"/>
        <v>0</v>
      </c>
      <c r="FO36" s="1322"/>
      <c r="FP36" s="1322">
        <f t="shared" si="67"/>
        <v>0</v>
      </c>
      <c r="FQ36" s="1322"/>
      <c r="FR36" s="1322">
        <f t="shared" si="68"/>
        <v>0</v>
      </c>
      <c r="FS36" s="1322"/>
      <c r="FT36" s="1322">
        <f t="shared" si="69"/>
        <v>0</v>
      </c>
      <c r="FU36" s="1322"/>
      <c r="FV36" s="1322">
        <f t="shared" si="70"/>
        <v>0</v>
      </c>
      <c r="FW36" s="1322"/>
      <c r="FX36" s="1322">
        <f t="shared" si="71"/>
        <v>0</v>
      </c>
      <c r="FY36" s="1322"/>
      <c r="FZ36" s="1322">
        <f t="shared" si="72"/>
        <v>0</v>
      </c>
      <c r="GA36" s="1322"/>
      <c r="GB36" s="1322">
        <f t="shared" si="73"/>
        <v>0</v>
      </c>
      <c r="GC36" s="1322"/>
      <c r="GD36" s="1322">
        <f t="shared" si="74"/>
        <v>0</v>
      </c>
      <c r="GE36" s="1322"/>
      <c r="GF36" s="1322">
        <f t="shared" si="75"/>
        <v>0</v>
      </c>
      <c r="GG36" s="1322"/>
      <c r="GH36" s="1322">
        <f t="shared" si="76"/>
        <v>0</v>
      </c>
      <c r="GI36" s="1322"/>
      <c r="GJ36" s="1322">
        <f t="shared" si="77"/>
        <v>0</v>
      </c>
      <c r="GK36" s="1322"/>
      <c r="GL36" s="1322">
        <f t="shared" si="78"/>
        <v>0</v>
      </c>
      <c r="GM36" s="1322"/>
      <c r="GN36" s="1322">
        <f t="shared" si="79"/>
        <v>0</v>
      </c>
      <c r="GO36" s="1322"/>
      <c r="GP36" s="1322">
        <f t="shared" si="80"/>
        <v>0</v>
      </c>
      <c r="GQ36" s="1322"/>
      <c r="GR36" s="1322">
        <f t="shared" si="81"/>
        <v>0</v>
      </c>
      <c r="GS36" s="1322"/>
      <c r="GT36" s="1322">
        <f t="shared" si="82"/>
        <v>0</v>
      </c>
      <c r="GU36" s="1322"/>
      <c r="GV36" s="1322">
        <f t="shared" si="83"/>
        <v>0</v>
      </c>
      <c r="GW36" s="1322"/>
      <c r="GX36" s="1322">
        <f t="shared" si="84"/>
        <v>0</v>
      </c>
      <c r="GY36" s="1322"/>
      <c r="GZ36" s="1322">
        <f t="shared" si="85"/>
        <v>0</v>
      </c>
    </row>
    <row r="37" spans="1:208" hidden="1">
      <c r="A37" s="1318"/>
      <c r="B37" s="1318"/>
      <c r="C37" s="1321"/>
      <c r="D37" s="1321">
        <f t="shared" si="1"/>
        <v>0</v>
      </c>
      <c r="E37" s="1321"/>
      <c r="F37" s="1321">
        <f t="shared" si="0"/>
        <v>0</v>
      </c>
      <c r="G37" s="1322"/>
      <c r="H37" s="1322">
        <f t="shared" si="0"/>
        <v>0</v>
      </c>
      <c r="I37" s="1322"/>
      <c r="J37" s="1322">
        <f t="shared" si="0"/>
        <v>0</v>
      </c>
      <c r="K37" s="1322"/>
      <c r="L37" s="1322">
        <f t="shared" si="0"/>
        <v>0</v>
      </c>
      <c r="M37" s="1322"/>
      <c r="N37" s="1322">
        <f t="shared" si="0"/>
        <v>0</v>
      </c>
      <c r="O37" s="1322"/>
      <c r="P37" s="1322">
        <f t="shared" si="0"/>
        <v>0</v>
      </c>
      <c r="Q37" s="1322"/>
      <c r="R37" s="1322">
        <f t="shared" si="0"/>
        <v>0</v>
      </c>
      <c r="S37" s="1322"/>
      <c r="T37" s="1322">
        <f t="shared" si="2"/>
        <v>0</v>
      </c>
      <c r="U37" s="1322"/>
      <c r="V37" s="1322">
        <f t="shared" si="3"/>
        <v>0</v>
      </c>
      <c r="W37" s="1322"/>
      <c r="X37" s="1322">
        <f t="shared" si="4"/>
        <v>0</v>
      </c>
      <c r="Y37" s="1322"/>
      <c r="Z37" s="1322">
        <f t="shared" si="5"/>
        <v>0</v>
      </c>
      <c r="AA37" s="1322"/>
      <c r="AB37" s="1322">
        <f t="shared" si="6"/>
        <v>0</v>
      </c>
      <c r="AC37" s="1322"/>
      <c r="AD37" s="1322">
        <f t="shared" si="7"/>
        <v>0</v>
      </c>
      <c r="AE37" s="1322"/>
      <c r="AF37" s="1322">
        <f t="shared" si="8"/>
        <v>0</v>
      </c>
      <c r="AG37" s="1322"/>
      <c r="AH37" s="1322">
        <f t="shared" si="9"/>
        <v>0</v>
      </c>
      <c r="AI37" s="1322"/>
      <c r="AJ37" s="1322">
        <f t="shared" si="10"/>
        <v>0</v>
      </c>
      <c r="AK37" s="1322"/>
      <c r="AL37" s="1322">
        <f t="shared" si="11"/>
        <v>0</v>
      </c>
      <c r="AM37" s="1322"/>
      <c r="AN37" s="1322">
        <f t="shared" si="12"/>
        <v>0</v>
      </c>
      <c r="AO37" s="1322"/>
      <c r="AP37" s="1322">
        <f t="shared" si="13"/>
        <v>0</v>
      </c>
      <c r="AQ37" s="1322"/>
      <c r="AR37" s="1322">
        <f t="shared" si="14"/>
        <v>0</v>
      </c>
      <c r="AS37" s="1322"/>
      <c r="AT37" s="1322">
        <f t="shared" si="15"/>
        <v>0</v>
      </c>
      <c r="AU37" s="1322"/>
      <c r="AV37" s="1322">
        <f t="shared" si="16"/>
        <v>0</v>
      </c>
      <c r="AW37" s="1322"/>
      <c r="AX37" s="1322">
        <f t="shared" si="17"/>
        <v>0</v>
      </c>
      <c r="AY37" s="1322"/>
      <c r="AZ37" s="1322">
        <f t="shared" si="18"/>
        <v>0</v>
      </c>
      <c r="BA37" s="1322"/>
      <c r="BB37" s="1322">
        <f t="shared" si="19"/>
        <v>0</v>
      </c>
      <c r="BC37" s="1322"/>
      <c r="BD37" s="1322">
        <f t="shared" si="20"/>
        <v>0</v>
      </c>
      <c r="BE37" s="1322"/>
      <c r="BF37" s="1322">
        <f t="shared" si="21"/>
        <v>0</v>
      </c>
      <c r="BG37" s="1322"/>
      <c r="BH37" s="1322">
        <f t="shared" si="22"/>
        <v>0</v>
      </c>
      <c r="BI37" s="1322"/>
      <c r="BJ37" s="1322">
        <f t="shared" si="23"/>
        <v>0</v>
      </c>
      <c r="BK37" s="1322"/>
      <c r="BL37" s="1322">
        <f t="shared" si="24"/>
        <v>0</v>
      </c>
      <c r="BM37" s="1322"/>
      <c r="BN37" s="1322">
        <f t="shared" si="25"/>
        <v>0</v>
      </c>
      <c r="BO37" s="1322"/>
      <c r="BP37" s="1322">
        <f t="shared" si="26"/>
        <v>0</v>
      </c>
      <c r="BQ37" s="1322"/>
      <c r="BR37" s="1322">
        <f t="shared" si="27"/>
        <v>0</v>
      </c>
      <c r="BS37" s="1322"/>
      <c r="BT37" s="1322">
        <f t="shared" si="28"/>
        <v>0</v>
      </c>
      <c r="BU37" s="1322"/>
      <c r="BV37" s="1322">
        <f t="shared" si="29"/>
        <v>0</v>
      </c>
      <c r="BW37" s="1322"/>
      <c r="BX37" s="1322">
        <f t="shared" si="30"/>
        <v>0</v>
      </c>
      <c r="BY37" s="1322"/>
      <c r="BZ37" s="1322">
        <f t="shared" si="31"/>
        <v>0</v>
      </c>
      <c r="CA37" s="1322"/>
      <c r="CB37" s="1322">
        <f t="shared" si="32"/>
        <v>0</v>
      </c>
      <c r="CC37" s="1322"/>
      <c r="CD37" s="1322">
        <f t="shared" si="33"/>
        <v>0</v>
      </c>
      <c r="CE37" s="1322"/>
      <c r="CF37" s="1322">
        <f t="shared" si="34"/>
        <v>0</v>
      </c>
      <c r="CG37" s="1322"/>
      <c r="CH37" s="1322">
        <f t="shared" si="35"/>
        <v>0</v>
      </c>
      <c r="CI37" s="1322"/>
      <c r="CJ37" s="1322">
        <f t="shared" si="36"/>
        <v>0</v>
      </c>
      <c r="CK37" s="1322"/>
      <c r="CL37" s="1322">
        <f t="shared" si="37"/>
        <v>0</v>
      </c>
      <c r="CM37" s="1322"/>
      <c r="CN37" s="1322">
        <f t="shared" si="38"/>
        <v>0</v>
      </c>
      <c r="CO37" s="1322"/>
      <c r="CP37" s="1322">
        <f t="shared" si="39"/>
        <v>0</v>
      </c>
      <c r="CQ37" s="1322"/>
      <c r="CR37" s="1322">
        <f t="shared" si="40"/>
        <v>0</v>
      </c>
      <c r="CS37" s="1322"/>
      <c r="CT37" s="1322">
        <f t="shared" si="41"/>
        <v>0</v>
      </c>
      <c r="CU37" s="1322"/>
      <c r="CV37" s="1322">
        <f t="shared" si="42"/>
        <v>0</v>
      </c>
      <c r="CW37" s="1322"/>
      <c r="CX37" s="1322">
        <f t="shared" si="43"/>
        <v>0</v>
      </c>
      <c r="CY37" s="1322"/>
      <c r="CZ37" s="1322">
        <f t="shared" si="44"/>
        <v>0</v>
      </c>
      <c r="DA37" s="1322"/>
      <c r="DB37" s="1322">
        <f t="shared" si="45"/>
        <v>0</v>
      </c>
      <c r="DC37" s="1322"/>
      <c r="DD37" s="1322">
        <f t="shared" si="46"/>
        <v>0</v>
      </c>
      <c r="DE37" s="1322"/>
      <c r="DF37" s="1322">
        <f t="shared" si="47"/>
        <v>0</v>
      </c>
      <c r="DG37" s="1322"/>
      <c r="DH37" s="1322">
        <f t="shared" si="48"/>
        <v>0</v>
      </c>
      <c r="DI37" s="1322"/>
      <c r="DJ37" s="1322">
        <f t="shared" si="48"/>
        <v>0</v>
      </c>
      <c r="DK37" s="1322"/>
      <c r="DL37" s="1322">
        <f t="shared" si="48"/>
        <v>0</v>
      </c>
      <c r="DM37" s="1322"/>
      <c r="DN37" s="1322">
        <f t="shared" si="48"/>
        <v>0</v>
      </c>
      <c r="DO37" s="1322"/>
      <c r="DP37" s="1322">
        <f t="shared" si="48"/>
        <v>0</v>
      </c>
      <c r="DQ37" s="1322"/>
      <c r="DR37" s="1322">
        <f t="shared" si="48"/>
        <v>0</v>
      </c>
      <c r="DS37" s="1322"/>
      <c r="DT37" s="1322">
        <f t="shared" si="48"/>
        <v>0</v>
      </c>
      <c r="DU37" s="1322"/>
      <c r="DV37" s="1322">
        <f t="shared" si="86"/>
        <v>0</v>
      </c>
      <c r="DW37" s="1322"/>
      <c r="DX37" s="1322">
        <f t="shared" si="49"/>
        <v>0</v>
      </c>
      <c r="DY37" s="1322"/>
      <c r="DZ37" s="1322">
        <f t="shared" si="49"/>
        <v>0</v>
      </c>
      <c r="EA37" s="1322"/>
      <c r="EB37" s="1322">
        <f t="shared" si="49"/>
        <v>0</v>
      </c>
      <c r="EC37" s="1322"/>
      <c r="ED37" s="1322">
        <f t="shared" si="50"/>
        <v>0</v>
      </c>
      <c r="EE37" s="1322"/>
      <c r="EF37" s="1322">
        <f t="shared" si="50"/>
        <v>0</v>
      </c>
      <c r="EG37" s="1322"/>
      <c r="EH37" s="1322">
        <f t="shared" si="51"/>
        <v>0</v>
      </c>
      <c r="EI37" s="1322"/>
      <c r="EJ37" s="1322">
        <f t="shared" si="52"/>
        <v>0</v>
      </c>
      <c r="EK37" s="1322"/>
      <c r="EL37" s="1322">
        <f t="shared" si="53"/>
        <v>0</v>
      </c>
      <c r="EM37" s="1322"/>
      <c r="EN37" s="1322">
        <f t="shared" si="54"/>
        <v>0</v>
      </c>
      <c r="EO37" s="1322"/>
      <c r="EP37" s="1322">
        <f t="shared" si="54"/>
        <v>0</v>
      </c>
      <c r="EQ37" s="1322"/>
      <c r="ER37" s="1322">
        <f t="shared" si="55"/>
        <v>0</v>
      </c>
      <c r="ES37" s="1322"/>
      <c r="ET37" s="1322">
        <f t="shared" si="56"/>
        <v>0</v>
      </c>
      <c r="EU37" s="1322"/>
      <c r="EV37" s="1322">
        <f t="shared" si="57"/>
        <v>0</v>
      </c>
      <c r="EW37" s="1322"/>
      <c r="EX37" s="1322">
        <f t="shared" si="58"/>
        <v>0</v>
      </c>
      <c r="EY37" s="1322"/>
      <c r="EZ37" s="1322">
        <f t="shared" si="59"/>
        <v>0</v>
      </c>
      <c r="FA37" s="1322"/>
      <c r="FB37" s="1322">
        <f t="shared" si="60"/>
        <v>0</v>
      </c>
      <c r="FC37" s="1322"/>
      <c r="FD37" s="1322">
        <f t="shared" si="61"/>
        <v>0</v>
      </c>
      <c r="FE37" s="1322"/>
      <c r="FF37" s="1322">
        <f t="shared" si="62"/>
        <v>0</v>
      </c>
      <c r="FG37" s="1322"/>
      <c r="FH37" s="1322">
        <f t="shared" si="63"/>
        <v>0</v>
      </c>
      <c r="FI37" s="1322"/>
      <c r="FJ37" s="1322">
        <f t="shared" si="64"/>
        <v>0</v>
      </c>
      <c r="FK37" s="1322"/>
      <c r="FL37" s="1322">
        <f t="shared" si="65"/>
        <v>0</v>
      </c>
      <c r="FM37" s="1322"/>
      <c r="FN37" s="1322">
        <f t="shared" si="66"/>
        <v>0</v>
      </c>
      <c r="FO37" s="1322"/>
      <c r="FP37" s="1322">
        <f t="shared" si="67"/>
        <v>0</v>
      </c>
      <c r="FQ37" s="1322"/>
      <c r="FR37" s="1322">
        <f t="shared" si="68"/>
        <v>0</v>
      </c>
      <c r="FS37" s="1322"/>
      <c r="FT37" s="1322">
        <f t="shared" si="69"/>
        <v>0</v>
      </c>
      <c r="FU37" s="1322"/>
      <c r="FV37" s="1322">
        <f t="shared" si="70"/>
        <v>0</v>
      </c>
      <c r="FW37" s="1322"/>
      <c r="FX37" s="1322">
        <f t="shared" si="71"/>
        <v>0</v>
      </c>
      <c r="FY37" s="1322"/>
      <c r="FZ37" s="1322">
        <f t="shared" si="72"/>
        <v>0</v>
      </c>
      <c r="GA37" s="1322"/>
      <c r="GB37" s="1322">
        <f t="shared" si="73"/>
        <v>0</v>
      </c>
      <c r="GC37" s="1322"/>
      <c r="GD37" s="1322">
        <f t="shared" si="74"/>
        <v>0</v>
      </c>
      <c r="GE37" s="1322"/>
      <c r="GF37" s="1322">
        <f t="shared" si="75"/>
        <v>0</v>
      </c>
      <c r="GG37" s="1322"/>
      <c r="GH37" s="1322">
        <f t="shared" si="76"/>
        <v>0</v>
      </c>
      <c r="GI37" s="1322"/>
      <c r="GJ37" s="1322">
        <f t="shared" si="77"/>
        <v>0</v>
      </c>
      <c r="GK37" s="1322"/>
      <c r="GL37" s="1322">
        <f t="shared" si="78"/>
        <v>0</v>
      </c>
      <c r="GM37" s="1322"/>
      <c r="GN37" s="1322">
        <f t="shared" si="79"/>
        <v>0</v>
      </c>
      <c r="GO37" s="1322"/>
      <c r="GP37" s="1322">
        <f t="shared" si="80"/>
        <v>0</v>
      </c>
      <c r="GQ37" s="1322"/>
      <c r="GR37" s="1322">
        <f t="shared" si="81"/>
        <v>0</v>
      </c>
      <c r="GS37" s="1322"/>
      <c r="GT37" s="1322">
        <f t="shared" si="82"/>
        <v>0</v>
      </c>
      <c r="GU37" s="1322"/>
      <c r="GV37" s="1322">
        <f t="shared" si="83"/>
        <v>0</v>
      </c>
      <c r="GW37" s="1322"/>
      <c r="GX37" s="1322">
        <f t="shared" si="84"/>
        <v>0</v>
      </c>
      <c r="GY37" s="1322"/>
      <c r="GZ37" s="1322">
        <f t="shared" si="85"/>
        <v>0</v>
      </c>
    </row>
    <row r="38" spans="1:208" hidden="1">
      <c r="A38" s="1318"/>
      <c r="B38" s="1318"/>
      <c r="C38" s="1321"/>
      <c r="D38" s="1321">
        <f t="shared" si="1"/>
        <v>0</v>
      </c>
      <c r="E38" s="1321"/>
      <c r="F38" s="1321">
        <f t="shared" si="1"/>
        <v>0</v>
      </c>
      <c r="G38" s="1322"/>
      <c r="H38" s="1321">
        <f t="shared" si="1"/>
        <v>0</v>
      </c>
      <c r="I38" s="1322"/>
      <c r="J38" s="1321">
        <f t="shared" si="1"/>
        <v>0</v>
      </c>
      <c r="K38" s="1322"/>
      <c r="L38" s="1321">
        <f t="shared" si="1"/>
        <v>0</v>
      </c>
      <c r="M38" s="1322"/>
      <c r="N38" s="1321">
        <f t="shared" si="1"/>
        <v>0</v>
      </c>
      <c r="O38" s="1322"/>
      <c r="P38" s="1321">
        <f t="shared" si="1"/>
        <v>0</v>
      </c>
      <c r="Q38" s="1322"/>
      <c r="R38" s="1321">
        <f t="shared" si="1"/>
        <v>0</v>
      </c>
      <c r="S38" s="1322"/>
      <c r="T38" s="1321">
        <f t="shared" si="1"/>
        <v>0</v>
      </c>
      <c r="U38" s="1322"/>
      <c r="V38" s="1321">
        <f t="shared" si="1"/>
        <v>0</v>
      </c>
      <c r="W38" s="1322"/>
      <c r="X38" s="1321">
        <f t="shared" si="4"/>
        <v>0</v>
      </c>
      <c r="Y38" s="1322"/>
      <c r="Z38" s="1321">
        <f t="shared" si="5"/>
        <v>0</v>
      </c>
      <c r="AA38" s="1322"/>
      <c r="AB38" s="1321">
        <f t="shared" si="6"/>
        <v>0</v>
      </c>
      <c r="AC38" s="1322"/>
      <c r="AD38" s="1321">
        <f t="shared" si="7"/>
        <v>0</v>
      </c>
      <c r="AE38" s="1322"/>
      <c r="AF38" s="1321">
        <f t="shared" si="8"/>
        <v>0</v>
      </c>
      <c r="AG38" s="1322"/>
      <c r="AH38" s="1321">
        <f t="shared" si="9"/>
        <v>0</v>
      </c>
      <c r="AI38" s="1322"/>
      <c r="AJ38" s="1321">
        <f t="shared" si="10"/>
        <v>0</v>
      </c>
      <c r="AK38" s="1322"/>
      <c r="AL38" s="1321">
        <f t="shared" si="11"/>
        <v>0</v>
      </c>
      <c r="AM38" s="1322"/>
      <c r="AN38" s="1321">
        <f t="shared" si="12"/>
        <v>0</v>
      </c>
      <c r="AO38" s="1322"/>
      <c r="AP38" s="1321">
        <f t="shared" si="13"/>
        <v>0</v>
      </c>
      <c r="AQ38" s="1322"/>
      <c r="AR38" s="1321">
        <f t="shared" si="14"/>
        <v>0</v>
      </c>
      <c r="AS38" s="1322"/>
      <c r="AT38" s="1321">
        <f t="shared" si="15"/>
        <v>0</v>
      </c>
      <c r="AU38" s="1322"/>
      <c r="AV38" s="1321">
        <f t="shared" si="16"/>
        <v>0</v>
      </c>
      <c r="AW38" s="1322"/>
      <c r="AX38" s="1321">
        <f t="shared" si="17"/>
        <v>0</v>
      </c>
      <c r="AY38" s="1322"/>
      <c r="AZ38" s="1321">
        <f t="shared" si="18"/>
        <v>0</v>
      </c>
      <c r="BA38" s="1322"/>
      <c r="BB38" s="1321">
        <f t="shared" si="19"/>
        <v>0</v>
      </c>
      <c r="BC38" s="1322"/>
      <c r="BD38" s="1321">
        <f t="shared" si="20"/>
        <v>0</v>
      </c>
      <c r="BE38" s="1322"/>
      <c r="BF38" s="1321">
        <f t="shared" si="21"/>
        <v>0</v>
      </c>
      <c r="BG38" s="1322"/>
      <c r="BH38" s="1321">
        <f t="shared" si="22"/>
        <v>0</v>
      </c>
      <c r="BI38" s="1322"/>
      <c r="BJ38" s="1321">
        <f t="shared" si="23"/>
        <v>0</v>
      </c>
      <c r="BK38" s="1322"/>
      <c r="BL38" s="1321">
        <f t="shared" si="24"/>
        <v>0</v>
      </c>
      <c r="BM38" s="1322"/>
      <c r="BN38" s="1321">
        <f t="shared" si="25"/>
        <v>0</v>
      </c>
      <c r="BO38" s="1322"/>
      <c r="BP38" s="1321">
        <f t="shared" si="26"/>
        <v>0</v>
      </c>
      <c r="BQ38" s="1322"/>
      <c r="BR38" s="1321">
        <f t="shared" si="27"/>
        <v>0</v>
      </c>
      <c r="BS38" s="1322"/>
      <c r="BT38" s="1321">
        <f t="shared" si="28"/>
        <v>0</v>
      </c>
      <c r="BU38" s="1322"/>
      <c r="BV38" s="1321">
        <f t="shared" si="29"/>
        <v>0</v>
      </c>
      <c r="BW38" s="1322"/>
      <c r="BX38" s="1321">
        <f t="shared" si="30"/>
        <v>0</v>
      </c>
      <c r="BY38" s="1322"/>
      <c r="BZ38" s="1321">
        <f t="shared" si="31"/>
        <v>0</v>
      </c>
      <c r="CA38" s="1322"/>
      <c r="CB38" s="1321">
        <f t="shared" si="32"/>
        <v>0</v>
      </c>
      <c r="CC38" s="1322"/>
      <c r="CD38" s="1321">
        <f t="shared" si="33"/>
        <v>0</v>
      </c>
      <c r="CE38" s="1322"/>
      <c r="CF38" s="1321">
        <f t="shared" si="34"/>
        <v>0</v>
      </c>
      <c r="CG38" s="1322"/>
      <c r="CH38" s="1321">
        <f t="shared" si="35"/>
        <v>0</v>
      </c>
      <c r="CI38" s="1322"/>
      <c r="CJ38" s="1321">
        <f t="shared" si="36"/>
        <v>0</v>
      </c>
      <c r="CK38" s="1322"/>
      <c r="CL38" s="1321">
        <f t="shared" si="37"/>
        <v>0</v>
      </c>
      <c r="CM38" s="1322"/>
      <c r="CN38" s="1321">
        <f t="shared" si="38"/>
        <v>0</v>
      </c>
      <c r="CO38" s="1322"/>
      <c r="CP38" s="1321">
        <f t="shared" si="39"/>
        <v>0</v>
      </c>
      <c r="CQ38" s="1322"/>
      <c r="CR38" s="1321">
        <f t="shared" si="40"/>
        <v>0</v>
      </c>
      <c r="CS38" s="1322"/>
      <c r="CT38" s="1321">
        <f t="shared" si="41"/>
        <v>0</v>
      </c>
      <c r="CU38" s="1322"/>
      <c r="CV38" s="1321">
        <f t="shared" si="42"/>
        <v>0</v>
      </c>
      <c r="CW38" s="1322"/>
      <c r="CX38" s="1321">
        <f t="shared" si="43"/>
        <v>0</v>
      </c>
      <c r="CY38" s="1322"/>
      <c r="CZ38" s="1321">
        <f t="shared" si="44"/>
        <v>0</v>
      </c>
      <c r="DA38" s="1322"/>
      <c r="DB38" s="1321">
        <f t="shared" si="45"/>
        <v>0</v>
      </c>
      <c r="DC38" s="1322"/>
      <c r="DD38" s="1321">
        <f t="shared" si="46"/>
        <v>0</v>
      </c>
      <c r="DE38" s="1322"/>
      <c r="DF38" s="1321">
        <f t="shared" si="47"/>
        <v>0</v>
      </c>
      <c r="DG38" s="1322"/>
      <c r="DH38" s="1321">
        <f t="shared" ref="DH38:DH60" si="87">DF38-DG38</f>
        <v>0</v>
      </c>
      <c r="DI38" s="1322"/>
      <c r="DJ38" s="1321">
        <f t="shared" ref="DJ38:DJ60" si="88">DH38-DI38</f>
        <v>0</v>
      </c>
      <c r="DK38" s="1322"/>
      <c r="DL38" s="1321">
        <f t="shared" ref="DL38:DL60" si="89">DJ38-DK38</f>
        <v>0</v>
      </c>
      <c r="DM38" s="1322"/>
      <c r="DN38" s="1321">
        <f t="shared" ref="DN38:DN60" si="90">DL38-DM38</f>
        <v>0</v>
      </c>
      <c r="DO38" s="1322"/>
      <c r="DP38" s="1321">
        <f t="shared" ref="DP38:DP60" si="91">DN38-DO38</f>
        <v>0</v>
      </c>
      <c r="DQ38" s="1322"/>
      <c r="DR38" s="1321">
        <f t="shared" ref="DR38:DR60" si="92">DP38-DQ38</f>
        <v>0</v>
      </c>
      <c r="DS38" s="1322"/>
      <c r="DT38" s="1321">
        <f t="shared" ref="DT38:DT60" si="93">DR38-DS38</f>
        <v>0</v>
      </c>
      <c r="DU38" s="1322"/>
      <c r="DV38" s="1321">
        <f t="shared" si="86"/>
        <v>0</v>
      </c>
      <c r="DW38" s="1322"/>
      <c r="DX38" s="1321">
        <f t="shared" ref="DX38:DX60" si="94">DV38-DW38</f>
        <v>0</v>
      </c>
      <c r="DY38" s="1322"/>
      <c r="DZ38" s="1321">
        <f t="shared" ref="DZ38:DZ60" si="95">DX38-DY38</f>
        <v>0</v>
      </c>
      <c r="EA38" s="1322"/>
      <c r="EB38" s="1321">
        <f t="shared" ref="EB38:EB60" si="96">DZ38-EA38</f>
        <v>0</v>
      </c>
      <c r="EC38" s="1322"/>
      <c r="ED38" s="1321">
        <f t="shared" ref="ED38:ED60" si="97">EB38-EC38</f>
        <v>0</v>
      </c>
      <c r="EE38" s="1322"/>
      <c r="EF38" s="1321">
        <f t="shared" ref="EF38:EF60" si="98">ED38-EE38</f>
        <v>0</v>
      </c>
      <c r="EG38" s="1322"/>
      <c r="EH38" s="1321">
        <f t="shared" si="51"/>
        <v>0</v>
      </c>
      <c r="EI38" s="1322"/>
      <c r="EJ38" s="1321">
        <f t="shared" si="52"/>
        <v>0</v>
      </c>
      <c r="EK38" s="1322"/>
      <c r="EL38" s="1321">
        <f t="shared" si="53"/>
        <v>0</v>
      </c>
      <c r="EM38" s="1322"/>
      <c r="EN38" s="1321">
        <f t="shared" ref="EN38:EN60" si="99">EL38-EM38</f>
        <v>0</v>
      </c>
      <c r="EO38" s="1322"/>
      <c r="EP38" s="1321">
        <f t="shared" ref="EP38:EP60" si="100">EN38-EO38</f>
        <v>0</v>
      </c>
      <c r="EQ38" s="1322"/>
      <c r="ER38" s="1321">
        <f t="shared" si="55"/>
        <v>0</v>
      </c>
      <c r="ES38" s="1322"/>
      <c r="ET38" s="1321">
        <f t="shared" si="56"/>
        <v>0</v>
      </c>
      <c r="EU38" s="1322"/>
      <c r="EV38" s="1321">
        <f t="shared" si="57"/>
        <v>0</v>
      </c>
      <c r="EW38" s="1322"/>
      <c r="EX38" s="1321">
        <f t="shared" si="58"/>
        <v>0</v>
      </c>
      <c r="EY38" s="1322"/>
      <c r="EZ38" s="1321">
        <f t="shared" si="59"/>
        <v>0</v>
      </c>
      <c r="FA38" s="1322"/>
      <c r="FB38" s="1321">
        <f t="shared" si="60"/>
        <v>0</v>
      </c>
      <c r="FC38" s="1322"/>
      <c r="FD38" s="1321">
        <f t="shared" si="61"/>
        <v>0</v>
      </c>
      <c r="FE38" s="1322"/>
      <c r="FF38" s="1321">
        <f t="shared" si="62"/>
        <v>0</v>
      </c>
      <c r="FG38" s="1322"/>
      <c r="FH38" s="1321">
        <f t="shared" si="63"/>
        <v>0</v>
      </c>
      <c r="FI38" s="1322"/>
      <c r="FJ38" s="1321">
        <f t="shared" si="64"/>
        <v>0</v>
      </c>
      <c r="FK38" s="1322"/>
      <c r="FL38" s="1321">
        <f t="shared" si="65"/>
        <v>0</v>
      </c>
      <c r="FM38" s="1322"/>
      <c r="FN38" s="1321">
        <f t="shared" si="66"/>
        <v>0</v>
      </c>
      <c r="FO38" s="1322"/>
      <c r="FP38" s="1321">
        <f t="shared" si="67"/>
        <v>0</v>
      </c>
      <c r="FQ38" s="1322"/>
      <c r="FR38" s="1321">
        <f t="shared" si="68"/>
        <v>0</v>
      </c>
      <c r="FS38" s="1322"/>
      <c r="FT38" s="1321">
        <f t="shared" si="69"/>
        <v>0</v>
      </c>
      <c r="FU38" s="1322"/>
      <c r="FV38" s="1321">
        <f t="shared" si="70"/>
        <v>0</v>
      </c>
      <c r="FW38" s="1322"/>
      <c r="FX38" s="1321">
        <f t="shared" si="71"/>
        <v>0</v>
      </c>
      <c r="FY38" s="1322"/>
      <c r="FZ38" s="1321">
        <f t="shared" si="72"/>
        <v>0</v>
      </c>
      <c r="GA38" s="1322"/>
      <c r="GB38" s="1322"/>
      <c r="GC38" s="1322"/>
      <c r="GD38" s="1322"/>
      <c r="GE38" s="1322"/>
      <c r="GF38" s="1322"/>
      <c r="GG38" s="1322"/>
      <c r="GH38" s="1322"/>
      <c r="GI38" s="1322"/>
      <c r="GJ38" s="1322"/>
      <c r="GK38" s="1322"/>
      <c r="GL38" s="1322"/>
      <c r="GM38" s="1322"/>
      <c r="GN38" s="1322"/>
      <c r="GO38" s="1322"/>
      <c r="GP38" s="1322"/>
      <c r="GQ38" s="1322"/>
      <c r="GR38" s="1322"/>
      <c r="GS38" s="1322"/>
      <c r="GT38" s="1322"/>
      <c r="GU38" s="1322"/>
      <c r="GV38" s="1322"/>
      <c r="GW38" s="1322"/>
      <c r="GX38" s="1322"/>
      <c r="GY38" s="1322"/>
      <c r="GZ38" s="1322"/>
    </row>
    <row r="39" spans="1:208" hidden="1">
      <c r="A39" s="1318"/>
      <c r="B39" s="1318"/>
      <c r="C39" s="1321"/>
      <c r="D39" s="1321">
        <f t="shared" si="1"/>
        <v>0</v>
      </c>
      <c r="E39" s="1321"/>
      <c r="F39" s="1321">
        <f t="shared" si="1"/>
        <v>0</v>
      </c>
      <c r="G39" s="1322"/>
      <c r="H39" s="1321">
        <f t="shared" si="1"/>
        <v>0</v>
      </c>
      <c r="I39" s="1322"/>
      <c r="J39" s="1321">
        <f t="shared" si="1"/>
        <v>0</v>
      </c>
      <c r="K39" s="1322"/>
      <c r="L39" s="1321">
        <f t="shared" si="1"/>
        <v>0</v>
      </c>
      <c r="M39" s="1322"/>
      <c r="N39" s="1321">
        <f t="shared" si="1"/>
        <v>0</v>
      </c>
      <c r="O39" s="1322"/>
      <c r="P39" s="1321">
        <f t="shared" si="1"/>
        <v>0</v>
      </c>
      <c r="Q39" s="1322"/>
      <c r="R39" s="1321">
        <f t="shared" si="1"/>
        <v>0</v>
      </c>
      <c r="S39" s="1322"/>
      <c r="T39" s="1321">
        <f t="shared" si="1"/>
        <v>0</v>
      </c>
      <c r="U39" s="1322"/>
      <c r="V39" s="1321">
        <f t="shared" si="1"/>
        <v>0</v>
      </c>
      <c r="W39" s="1322"/>
      <c r="X39" s="1321">
        <f t="shared" si="4"/>
        <v>0</v>
      </c>
      <c r="Y39" s="1322"/>
      <c r="Z39" s="1321">
        <f t="shared" si="5"/>
        <v>0</v>
      </c>
      <c r="AA39" s="1322"/>
      <c r="AB39" s="1321">
        <f t="shared" si="6"/>
        <v>0</v>
      </c>
      <c r="AC39" s="1322"/>
      <c r="AD39" s="1321">
        <f t="shared" si="7"/>
        <v>0</v>
      </c>
      <c r="AE39" s="1322"/>
      <c r="AF39" s="1321">
        <f t="shared" si="8"/>
        <v>0</v>
      </c>
      <c r="AG39" s="1322"/>
      <c r="AH39" s="1321">
        <f t="shared" si="9"/>
        <v>0</v>
      </c>
      <c r="AI39" s="1322"/>
      <c r="AJ39" s="1321">
        <f t="shared" si="10"/>
        <v>0</v>
      </c>
      <c r="AK39" s="1322"/>
      <c r="AL39" s="1321">
        <f t="shared" si="11"/>
        <v>0</v>
      </c>
      <c r="AM39" s="1322"/>
      <c r="AN39" s="1321">
        <f t="shared" si="12"/>
        <v>0</v>
      </c>
      <c r="AO39" s="1322"/>
      <c r="AP39" s="1321">
        <f t="shared" si="13"/>
        <v>0</v>
      </c>
      <c r="AQ39" s="1322"/>
      <c r="AR39" s="1321">
        <f t="shared" si="14"/>
        <v>0</v>
      </c>
      <c r="AS39" s="1322"/>
      <c r="AT39" s="1321">
        <f t="shared" si="15"/>
        <v>0</v>
      </c>
      <c r="AU39" s="1322"/>
      <c r="AV39" s="1321">
        <f t="shared" si="16"/>
        <v>0</v>
      </c>
      <c r="AW39" s="1322"/>
      <c r="AX39" s="1321">
        <f t="shared" si="17"/>
        <v>0</v>
      </c>
      <c r="AY39" s="1322"/>
      <c r="AZ39" s="1321">
        <f t="shared" si="18"/>
        <v>0</v>
      </c>
      <c r="BA39" s="1322"/>
      <c r="BB39" s="1321">
        <f t="shared" si="19"/>
        <v>0</v>
      </c>
      <c r="BC39" s="1322"/>
      <c r="BD39" s="1321">
        <f t="shared" si="20"/>
        <v>0</v>
      </c>
      <c r="BE39" s="1322"/>
      <c r="BF39" s="1321">
        <f t="shared" si="21"/>
        <v>0</v>
      </c>
      <c r="BG39" s="1322"/>
      <c r="BH39" s="1321">
        <f t="shared" si="22"/>
        <v>0</v>
      </c>
      <c r="BI39" s="1322"/>
      <c r="BJ39" s="1321">
        <f t="shared" si="23"/>
        <v>0</v>
      </c>
      <c r="BK39" s="1322"/>
      <c r="BL39" s="1321">
        <f t="shared" si="24"/>
        <v>0</v>
      </c>
      <c r="BM39" s="1322"/>
      <c r="BN39" s="1321">
        <f t="shared" si="25"/>
        <v>0</v>
      </c>
      <c r="BO39" s="1322"/>
      <c r="BP39" s="1321">
        <f t="shared" si="26"/>
        <v>0</v>
      </c>
      <c r="BQ39" s="1322"/>
      <c r="BR39" s="1321">
        <f t="shared" si="27"/>
        <v>0</v>
      </c>
      <c r="BS39" s="1322"/>
      <c r="BT39" s="1321">
        <f t="shared" si="28"/>
        <v>0</v>
      </c>
      <c r="BU39" s="1322"/>
      <c r="BV39" s="1321">
        <f t="shared" si="29"/>
        <v>0</v>
      </c>
      <c r="BW39" s="1322"/>
      <c r="BX39" s="1321">
        <f t="shared" si="30"/>
        <v>0</v>
      </c>
      <c r="BY39" s="1322"/>
      <c r="BZ39" s="1321">
        <f t="shared" si="31"/>
        <v>0</v>
      </c>
      <c r="CA39" s="1322"/>
      <c r="CB39" s="1321">
        <f t="shared" si="32"/>
        <v>0</v>
      </c>
      <c r="CC39" s="1322"/>
      <c r="CD39" s="1321">
        <f t="shared" si="33"/>
        <v>0</v>
      </c>
      <c r="CE39" s="1322"/>
      <c r="CF39" s="1321">
        <f t="shared" si="34"/>
        <v>0</v>
      </c>
      <c r="CG39" s="1322"/>
      <c r="CH39" s="1321">
        <f t="shared" si="35"/>
        <v>0</v>
      </c>
      <c r="CI39" s="1322"/>
      <c r="CJ39" s="1321">
        <f t="shared" si="36"/>
        <v>0</v>
      </c>
      <c r="CK39" s="1322"/>
      <c r="CL39" s="1321">
        <f t="shared" si="37"/>
        <v>0</v>
      </c>
      <c r="CM39" s="1322"/>
      <c r="CN39" s="1321">
        <f t="shared" si="38"/>
        <v>0</v>
      </c>
      <c r="CO39" s="1322"/>
      <c r="CP39" s="1321">
        <f t="shared" si="39"/>
        <v>0</v>
      </c>
      <c r="CQ39" s="1322"/>
      <c r="CR39" s="1321">
        <f t="shared" si="40"/>
        <v>0</v>
      </c>
      <c r="CS39" s="1322"/>
      <c r="CT39" s="1321">
        <f t="shared" si="41"/>
        <v>0</v>
      </c>
      <c r="CU39" s="1322"/>
      <c r="CV39" s="1321">
        <f t="shared" si="42"/>
        <v>0</v>
      </c>
      <c r="CW39" s="1322"/>
      <c r="CX39" s="1321">
        <f t="shared" si="43"/>
        <v>0</v>
      </c>
      <c r="CY39" s="1322"/>
      <c r="CZ39" s="1321">
        <f t="shared" si="44"/>
        <v>0</v>
      </c>
      <c r="DA39" s="1322"/>
      <c r="DB39" s="1321">
        <f t="shared" si="45"/>
        <v>0</v>
      </c>
      <c r="DC39" s="1322"/>
      <c r="DD39" s="1321">
        <f t="shared" si="46"/>
        <v>0</v>
      </c>
      <c r="DE39" s="1322"/>
      <c r="DF39" s="1321">
        <f t="shared" si="47"/>
        <v>0</v>
      </c>
      <c r="DG39" s="1322"/>
      <c r="DH39" s="1321">
        <f t="shared" si="87"/>
        <v>0</v>
      </c>
      <c r="DI39" s="1322"/>
      <c r="DJ39" s="1321">
        <f t="shared" si="88"/>
        <v>0</v>
      </c>
      <c r="DK39" s="1322"/>
      <c r="DL39" s="1321">
        <f t="shared" si="89"/>
        <v>0</v>
      </c>
      <c r="DM39" s="1322"/>
      <c r="DN39" s="1321">
        <f t="shared" si="90"/>
        <v>0</v>
      </c>
      <c r="DO39" s="1322"/>
      <c r="DP39" s="1321">
        <f t="shared" si="91"/>
        <v>0</v>
      </c>
      <c r="DQ39" s="1322"/>
      <c r="DR39" s="1321">
        <f t="shared" si="92"/>
        <v>0</v>
      </c>
      <c r="DS39" s="1322"/>
      <c r="DT39" s="1321">
        <f t="shared" si="93"/>
        <v>0</v>
      </c>
      <c r="DU39" s="1322"/>
      <c r="DV39" s="1321">
        <f t="shared" si="86"/>
        <v>0</v>
      </c>
      <c r="DW39" s="1322"/>
      <c r="DX39" s="1321">
        <f t="shared" si="94"/>
        <v>0</v>
      </c>
      <c r="DY39" s="1322"/>
      <c r="DZ39" s="1321">
        <f t="shared" si="95"/>
        <v>0</v>
      </c>
      <c r="EA39" s="1322"/>
      <c r="EB39" s="1321">
        <f t="shared" si="96"/>
        <v>0</v>
      </c>
      <c r="EC39" s="1322"/>
      <c r="ED39" s="1321">
        <f t="shared" si="97"/>
        <v>0</v>
      </c>
      <c r="EE39" s="1322"/>
      <c r="EF39" s="1321">
        <f t="shared" si="98"/>
        <v>0</v>
      </c>
      <c r="EG39" s="1322"/>
      <c r="EH39" s="1321">
        <f t="shared" si="51"/>
        <v>0</v>
      </c>
      <c r="EI39" s="1322"/>
      <c r="EJ39" s="1321">
        <f t="shared" si="52"/>
        <v>0</v>
      </c>
      <c r="EK39" s="1322"/>
      <c r="EL39" s="1321">
        <f t="shared" si="53"/>
        <v>0</v>
      </c>
      <c r="EM39" s="1322"/>
      <c r="EN39" s="1321">
        <f t="shared" si="99"/>
        <v>0</v>
      </c>
      <c r="EO39" s="1322"/>
      <c r="EP39" s="1321">
        <f t="shared" si="100"/>
        <v>0</v>
      </c>
      <c r="EQ39" s="1322"/>
      <c r="ER39" s="1321">
        <f t="shared" si="55"/>
        <v>0</v>
      </c>
      <c r="ES39" s="1322"/>
      <c r="ET39" s="1321">
        <f t="shared" si="56"/>
        <v>0</v>
      </c>
      <c r="EU39" s="1322"/>
      <c r="EV39" s="1321">
        <f t="shared" si="57"/>
        <v>0</v>
      </c>
      <c r="EW39" s="1322"/>
      <c r="EX39" s="1321">
        <f t="shared" si="58"/>
        <v>0</v>
      </c>
      <c r="EY39" s="1322"/>
      <c r="EZ39" s="1321">
        <f t="shared" si="59"/>
        <v>0</v>
      </c>
      <c r="FA39" s="1322"/>
      <c r="FB39" s="1321">
        <f t="shared" si="60"/>
        <v>0</v>
      </c>
      <c r="FC39" s="1322"/>
      <c r="FD39" s="1321">
        <f t="shared" si="61"/>
        <v>0</v>
      </c>
      <c r="FE39" s="1322"/>
      <c r="FF39" s="1321">
        <f t="shared" si="62"/>
        <v>0</v>
      </c>
      <c r="FG39" s="1322"/>
      <c r="FH39" s="1321">
        <f t="shared" si="63"/>
        <v>0</v>
      </c>
      <c r="FI39" s="1322"/>
      <c r="FJ39" s="1321">
        <f t="shared" si="64"/>
        <v>0</v>
      </c>
      <c r="FK39" s="1322"/>
      <c r="FL39" s="1321">
        <f t="shared" si="65"/>
        <v>0</v>
      </c>
      <c r="FM39" s="1322"/>
      <c r="FN39" s="1321">
        <f t="shared" si="66"/>
        <v>0</v>
      </c>
      <c r="FO39" s="1322"/>
      <c r="FP39" s="1321">
        <f t="shared" si="67"/>
        <v>0</v>
      </c>
      <c r="FQ39" s="1322"/>
      <c r="FR39" s="1321">
        <f t="shared" si="68"/>
        <v>0</v>
      </c>
      <c r="FS39" s="1322"/>
      <c r="FT39" s="1321">
        <f t="shared" si="69"/>
        <v>0</v>
      </c>
      <c r="FU39" s="1322"/>
      <c r="FV39" s="1321">
        <f t="shared" si="70"/>
        <v>0</v>
      </c>
      <c r="FW39" s="1322"/>
      <c r="FX39" s="1321">
        <f t="shared" si="71"/>
        <v>0</v>
      </c>
      <c r="FY39" s="1322"/>
      <c r="FZ39" s="1321">
        <f t="shared" si="72"/>
        <v>0</v>
      </c>
      <c r="GA39" s="1322"/>
      <c r="GB39" s="1322"/>
      <c r="GC39" s="1322"/>
      <c r="GD39" s="1322"/>
      <c r="GE39" s="1322"/>
      <c r="GF39" s="1322"/>
      <c r="GG39" s="1322"/>
      <c r="GH39" s="1322"/>
      <c r="GI39" s="1322"/>
      <c r="GJ39" s="1322"/>
      <c r="GK39" s="1322"/>
      <c r="GL39" s="1322"/>
      <c r="GM39" s="1322"/>
      <c r="GN39" s="1322"/>
      <c r="GO39" s="1322"/>
      <c r="GP39" s="1322"/>
      <c r="GQ39" s="1322"/>
      <c r="GR39" s="1322"/>
      <c r="GS39" s="1322"/>
      <c r="GT39" s="1322"/>
      <c r="GU39" s="1322"/>
      <c r="GV39" s="1322"/>
      <c r="GW39" s="1322"/>
      <c r="GX39" s="1322"/>
      <c r="GY39" s="1322"/>
      <c r="GZ39" s="1322"/>
    </row>
    <row r="40" spans="1:208" hidden="1">
      <c r="A40" s="1318"/>
      <c r="B40" s="1318"/>
      <c r="C40" s="1321"/>
      <c r="D40" s="1321">
        <f t="shared" si="1"/>
        <v>0</v>
      </c>
      <c r="E40" s="1321"/>
      <c r="F40" s="1321">
        <f t="shared" si="1"/>
        <v>0</v>
      </c>
      <c r="G40" s="1322"/>
      <c r="H40" s="1321">
        <f t="shared" si="1"/>
        <v>0</v>
      </c>
      <c r="I40" s="1322"/>
      <c r="J40" s="1321">
        <f t="shared" si="1"/>
        <v>0</v>
      </c>
      <c r="K40" s="1322"/>
      <c r="L40" s="1321">
        <f t="shared" si="1"/>
        <v>0</v>
      </c>
      <c r="M40" s="1322"/>
      <c r="N40" s="1321">
        <f t="shared" si="1"/>
        <v>0</v>
      </c>
      <c r="O40" s="1322"/>
      <c r="P40" s="1321">
        <f t="shared" si="1"/>
        <v>0</v>
      </c>
      <c r="Q40" s="1322"/>
      <c r="R40" s="1321">
        <f t="shared" si="1"/>
        <v>0</v>
      </c>
      <c r="S40" s="1322"/>
      <c r="T40" s="1321">
        <f t="shared" si="1"/>
        <v>0</v>
      </c>
      <c r="U40" s="1322"/>
      <c r="V40" s="1321">
        <f t="shared" si="1"/>
        <v>0</v>
      </c>
      <c r="W40" s="1322"/>
      <c r="X40" s="1321">
        <f t="shared" si="4"/>
        <v>0</v>
      </c>
      <c r="Y40" s="1322"/>
      <c r="Z40" s="1321">
        <f t="shared" si="5"/>
        <v>0</v>
      </c>
      <c r="AA40" s="1322"/>
      <c r="AB40" s="1321">
        <f t="shared" si="6"/>
        <v>0</v>
      </c>
      <c r="AC40" s="1322"/>
      <c r="AD40" s="1321">
        <f t="shared" si="7"/>
        <v>0</v>
      </c>
      <c r="AE40" s="1322"/>
      <c r="AF40" s="1321">
        <f t="shared" si="8"/>
        <v>0</v>
      </c>
      <c r="AG40" s="1322"/>
      <c r="AH40" s="1321">
        <f t="shared" si="9"/>
        <v>0</v>
      </c>
      <c r="AI40" s="1322"/>
      <c r="AJ40" s="1321">
        <f t="shared" si="10"/>
        <v>0</v>
      </c>
      <c r="AK40" s="1322"/>
      <c r="AL40" s="1321">
        <f t="shared" si="11"/>
        <v>0</v>
      </c>
      <c r="AM40" s="1322"/>
      <c r="AN40" s="1321">
        <f t="shared" si="12"/>
        <v>0</v>
      </c>
      <c r="AO40" s="1322"/>
      <c r="AP40" s="1321">
        <f t="shared" si="13"/>
        <v>0</v>
      </c>
      <c r="AQ40" s="1322"/>
      <c r="AR40" s="1321">
        <f t="shared" si="14"/>
        <v>0</v>
      </c>
      <c r="AS40" s="1322"/>
      <c r="AT40" s="1321">
        <f t="shared" si="15"/>
        <v>0</v>
      </c>
      <c r="AU40" s="1322"/>
      <c r="AV40" s="1321">
        <f t="shared" si="16"/>
        <v>0</v>
      </c>
      <c r="AW40" s="1322"/>
      <c r="AX40" s="1321">
        <f t="shared" si="17"/>
        <v>0</v>
      </c>
      <c r="AY40" s="1322"/>
      <c r="AZ40" s="1321">
        <f t="shared" si="18"/>
        <v>0</v>
      </c>
      <c r="BA40" s="1322"/>
      <c r="BB40" s="1321">
        <f t="shared" si="19"/>
        <v>0</v>
      </c>
      <c r="BC40" s="1322"/>
      <c r="BD40" s="1321">
        <f t="shared" si="20"/>
        <v>0</v>
      </c>
      <c r="BE40" s="1322"/>
      <c r="BF40" s="1321">
        <f t="shared" si="21"/>
        <v>0</v>
      </c>
      <c r="BG40" s="1322"/>
      <c r="BH40" s="1321">
        <f t="shared" si="22"/>
        <v>0</v>
      </c>
      <c r="BI40" s="1322"/>
      <c r="BJ40" s="1321">
        <f t="shared" si="23"/>
        <v>0</v>
      </c>
      <c r="BK40" s="1322"/>
      <c r="BL40" s="1321">
        <f t="shared" si="24"/>
        <v>0</v>
      </c>
      <c r="BM40" s="1322"/>
      <c r="BN40" s="1321">
        <f t="shared" si="25"/>
        <v>0</v>
      </c>
      <c r="BO40" s="1322"/>
      <c r="BP40" s="1321">
        <f t="shared" si="26"/>
        <v>0</v>
      </c>
      <c r="BQ40" s="1322"/>
      <c r="BR40" s="1321">
        <f t="shared" si="27"/>
        <v>0</v>
      </c>
      <c r="BS40" s="1322"/>
      <c r="BT40" s="1321">
        <f t="shared" si="28"/>
        <v>0</v>
      </c>
      <c r="BU40" s="1322"/>
      <c r="BV40" s="1321">
        <f t="shared" si="29"/>
        <v>0</v>
      </c>
      <c r="BW40" s="1322"/>
      <c r="BX40" s="1321">
        <f t="shared" si="30"/>
        <v>0</v>
      </c>
      <c r="BY40" s="1322"/>
      <c r="BZ40" s="1321">
        <f t="shared" si="31"/>
        <v>0</v>
      </c>
      <c r="CA40" s="1322"/>
      <c r="CB40" s="1321">
        <f t="shared" si="32"/>
        <v>0</v>
      </c>
      <c r="CC40" s="1322"/>
      <c r="CD40" s="1321">
        <f t="shared" si="33"/>
        <v>0</v>
      </c>
      <c r="CE40" s="1322"/>
      <c r="CF40" s="1321">
        <f t="shared" si="34"/>
        <v>0</v>
      </c>
      <c r="CG40" s="1322"/>
      <c r="CH40" s="1321">
        <f t="shared" si="35"/>
        <v>0</v>
      </c>
      <c r="CI40" s="1322"/>
      <c r="CJ40" s="1321">
        <f t="shared" si="36"/>
        <v>0</v>
      </c>
      <c r="CK40" s="1322"/>
      <c r="CL40" s="1321">
        <f t="shared" si="37"/>
        <v>0</v>
      </c>
      <c r="CM40" s="1322"/>
      <c r="CN40" s="1321">
        <f t="shared" si="38"/>
        <v>0</v>
      </c>
      <c r="CO40" s="1322"/>
      <c r="CP40" s="1321">
        <f t="shared" si="39"/>
        <v>0</v>
      </c>
      <c r="CQ40" s="1322"/>
      <c r="CR40" s="1321">
        <f t="shared" si="40"/>
        <v>0</v>
      </c>
      <c r="CS40" s="1322"/>
      <c r="CT40" s="1321">
        <f t="shared" si="41"/>
        <v>0</v>
      </c>
      <c r="CU40" s="1322"/>
      <c r="CV40" s="1321">
        <f t="shared" si="42"/>
        <v>0</v>
      </c>
      <c r="CW40" s="1322"/>
      <c r="CX40" s="1321">
        <f t="shared" si="43"/>
        <v>0</v>
      </c>
      <c r="CY40" s="1322"/>
      <c r="CZ40" s="1321">
        <f t="shared" si="44"/>
        <v>0</v>
      </c>
      <c r="DA40" s="1322"/>
      <c r="DB40" s="1321">
        <f t="shared" si="45"/>
        <v>0</v>
      </c>
      <c r="DC40" s="1322"/>
      <c r="DD40" s="1321">
        <f t="shared" si="46"/>
        <v>0</v>
      </c>
      <c r="DE40" s="1322"/>
      <c r="DF40" s="1321">
        <f t="shared" si="47"/>
        <v>0</v>
      </c>
      <c r="DG40" s="1322"/>
      <c r="DH40" s="1321">
        <f t="shared" si="87"/>
        <v>0</v>
      </c>
      <c r="DI40" s="1322"/>
      <c r="DJ40" s="1321">
        <f t="shared" si="88"/>
        <v>0</v>
      </c>
      <c r="DK40" s="1322"/>
      <c r="DL40" s="1321">
        <f t="shared" si="89"/>
        <v>0</v>
      </c>
      <c r="DM40" s="1322"/>
      <c r="DN40" s="1321">
        <f t="shared" si="90"/>
        <v>0</v>
      </c>
      <c r="DO40" s="1322"/>
      <c r="DP40" s="1321">
        <f t="shared" si="91"/>
        <v>0</v>
      </c>
      <c r="DQ40" s="1322"/>
      <c r="DR40" s="1321">
        <f t="shared" si="92"/>
        <v>0</v>
      </c>
      <c r="DS40" s="1322"/>
      <c r="DT40" s="1321">
        <f t="shared" si="93"/>
        <v>0</v>
      </c>
      <c r="DU40" s="1322"/>
      <c r="DV40" s="1321">
        <f t="shared" si="86"/>
        <v>0</v>
      </c>
      <c r="DW40" s="1322"/>
      <c r="DX40" s="1321">
        <f t="shared" si="94"/>
        <v>0</v>
      </c>
      <c r="DY40" s="1322"/>
      <c r="DZ40" s="1321">
        <f t="shared" si="95"/>
        <v>0</v>
      </c>
      <c r="EA40" s="1322"/>
      <c r="EB40" s="1321">
        <f t="shared" si="96"/>
        <v>0</v>
      </c>
      <c r="EC40" s="1322"/>
      <c r="ED40" s="1321">
        <f t="shared" si="97"/>
        <v>0</v>
      </c>
      <c r="EE40" s="1322"/>
      <c r="EF40" s="1321">
        <f t="shared" si="98"/>
        <v>0</v>
      </c>
      <c r="EG40" s="1322"/>
      <c r="EH40" s="1321">
        <f t="shared" si="51"/>
        <v>0</v>
      </c>
      <c r="EI40" s="1322"/>
      <c r="EJ40" s="1321">
        <f t="shared" si="52"/>
        <v>0</v>
      </c>
      <c r="EK40" s="1322"/>
      <c r="EL40" s="1321">
        <f t="shared" si="53"/>
        <v>0</v>
      </c>
      <c r="EM40" s="1322"/>
      <c r="EN40" s="1321">
        <f t="shared" si="99"/>
        <v>0</v>
      </c>
      <c r="EO40" s="1322"/>
      <c r="EP40" s="1321">
        <f t="shared" si="100"/>
        <v>0</v>
      </c>
      <c r="EQ40" s="1322"/>
      <c r="ER40" s="1321">
        <f t="shared" si="55"/>
        <v>0</v>
      </c>
      <c r="ES40" s="1322"/>
      <c r="ET40" s="1321">
        <f t="shared" si="56"/>
        <v>0</v>
      </c>
      <c r="EU40" s="1322"/>
      <c r="EV40" s="1321">
        <f t="shared" si="57"/>
        <v>0</v>
      </c>
      <c r="EW40" s="1322"/>
      <c r="EX40" s="1321">
        <f t="shared" si="58"/>
        <v>0</v>
      </c>
      <c r="EY40" s="1322"/>
      <c r="EZ40" s="1321">
        <f t="shared" si="59"/>
        <v>0</v>
      </c>
      <c r="FA40" s="1322"/>
      <c r="FB40" s="1321">
        <f t="shared" si="60"/>
        <v>0</v>
      </c>
      <c r="FC40" s="1322"/>
      <c r="FD40" s="1321">
        <f t="shared" si="61"/>
        <v>0</v>
      </c>
      <c r="FE40" s="1322"/>
      <c r="FF40" s="1321">
        <f t="shared" si="62"/>
        <v>0</v>
      </c>
      <c r="FG40" s="1322"/>
      <c r="FH40" s="1321">
        <f t="shared" si="63"/>
        <v>0</v>
      </c>
      <c r="FI40" s="1322"/>
      <c r="FJ40" s="1321">
        <f t="shared" si="64"/>
        <v>0</v>
      </c>
      <c r="FK40" s="1322"/>
      <c r="FL40" s="1321">
        <f t="shared" si="65"/>
        <v>0</v>
      </c>
      <c r="FM40" s="1322"/>
      <c r="FN40" s="1321">
        <f t="shared" si="66"/>
        <v>0</v>
      </c>
      <c r="FO40" s="1322"/>
      <c r="FP40" s="1321">
        <f t="shared" si="67"/>
        <v>0</v>
      </c>
      <c r="FQ40" s="1322"/>
      <c r="FR40" s="1321">
        <f t="shared" si="68"/>
        <v>0</v>
      </c>
      <c r="FS40" s="1322"/>
      <c r="FT40" s="1321">
        <f t="shared" si="69"/>
        <v>0</v>
      </c>
      <c r="FU40" s="1322"/>
      <c r="FV40" s="1321">
        <f t="shared" si="70"/>
        <v>0</v>
      </c>
      <c r="FW40" s="1322"/>
      <c r="FX40" s="1321">
        <f t="shared" si="71"/>
        <v>0</v>
      </c>
      <c r="FY40" s="1322"/>
      <c r="FZ40" s="1321">
        <f t="shared" si="72"/>
        <v>0</v>
      </c>
      <c r="GA40" s="1322"/>
      <c r="GB40" s="1322"/>
      <c r="GC40" s="1322"/>
      <c r="GD40" s="1322"/>
      <c r="GE40" s="1322"/>
      <c r="GF40" s="1322"/>
      <c r="GG40" s="1322"/>
      <c r="GH40" s="1322"/>
      <c r="GI40" s="1322"/>
      <c r="GJ40" s="1322"/>
      <c r="GK40" s="1322"/>
      <c r="GL40" s="1322"/>
      <c r="GM40" s="1322"/>
      <c r="GN40" s="1322"/>
      <c r="GO40" s="1322"/>
      <c r="GP40" s="1322"/>
      <c r="GQ40" s="1322"/>
      <c r="GR40" s="1322"/>
      <c r="GS40" s="1322"/>
      <c r="GT40" s="1322"/>
      <c r="GU40" s="1322"/>
      <c r="GV40" s="1322"/>
      <c r="GW40" s="1322"/>
      <c r="GX40" s="1322"/>
      <c r="GY40" s="1322"/>
      <c r="GZ40" s="1322"/>
    </row>
    <row r="41" spans="1:208" hidden="1">
      <c r="A41" s="1318"/>
      <c r="B41" s="1318"/>
      <c r="C41" s="1321"/>
      <c r="D41" s="1321">
        <f t="shared" si="1"/>
        <v>0</v>
      </c>
      <c r="E41" s="1321"/>
      <c r="F41" s="1321">
        <f t="shared" si="1"/>
        <v>0</v>
      </c>
      <c r="G41" s="1322"/>
      <c r="H41" s="1321">
        <f t="shared" si="1"/>
        <v>0</v>
      </c>
      <c r="I41" s="1322"/>
      <c r="J41" s="1321">
        <f t="shared" si="1"/>
        <v>0</v>
      </c>
      <c r="K41" s="1322"/>
      <c r="L41" s="1321">
        <f t="shared" si="1"/>
        <v>0</v>
      </c>
      <c r="M41" s="1322"/>
      <c r="N41" s="1321">
        <f t="shared" si="1"/>
        <v>0</v>
      </c>
      <c r="O41" s="1322"/>
      <c r="P41" s="1321">
        <f t="shared" si="1"/>
        <v>0</v>
      </c>
      <c r="Q41" s="1322"/>
      <c r="R41" s="1321">
        <f t="shared" si="1"/>
        <v>0</v>
      </c>
      <c r="S41" s="1322"/>
      <c r="T41" s="1321">
        <f t="shared" si="1"/>
        <v>0</v>
      </c>
      <c r="U41" s="1322"/>
      <c r="V41" s="1321">
        <f t="shared" si="1"/>
        <v>0</v>
      </c>
      <c r="W41" s="1322"/>
      <c r="X41" s="1321">
        <f t="shared" si="4"/>
        <v>0</v>
      </c>
      <c r="Y41" s="1322"/>
      <c r="Z41" s="1321">
        <f t="shared" si="5"/>
        <v>0</v>
      </c>
      <c r="AA41" s="1322"/>
      <c r="AB41" s="1321">
        <f t="shared" si="6"/>
        <v>0</v>
      </c>
      <c r="AC41" s="1322"/>
      <c r="AD41" s="1321">
        <f t="shared" si="7"/>
        <v>0</v>
      </c>
      <c r="AE41" s="1322"/>
      <c r="AF41" s="1321">
        <f t="shared" si="8"/>
        <v>0</v>
      </c>
      <c r="AG41" s="1322"/>
      <c r="AH41" s="1321">
        <f t="shared" si="9"/>
        <v>0</v>
      </c>
      <c r="AI41" s="1322"/>
      <c r="AJ41" s="1321">
        <f t="shared" si="10"/>
        <v>0</v>
      </c>
      <c r="AK41" s="1322"/>
      <c r="AL41" s="1321">
        <f t="shared" si="11"/>
        <v>0</v>
      </c>
      <c r="AM41" s="1322"/>
      <c r="AN41" s="1321">
        <f t="shared" si="12"/>
        <v>0</v>
      </c>
      <c r="AO41" s="1322"/>
      <c r="AP41" s="1321">
        <f t="shared" si="13"/>
        <v>0</v>
      </c>
      <c r="AQ41" s="1322"/>
      <c r="AR41" s="1321">
        <f t="shared" si="14"/>
        <v>0</v>
      </c>
      <c r="AS41" s="1322"/>
      <c r="AT41" s="1321">
        <f t="shared" si="15"/>
        <v>0</v>
      </c>
      <c r="AU41" s="1322"/>
      <c r="AV41" s="1321">
        <f t="shared" si="16"/>
        <v>0</v>
      </c>
      <c r="AW41" s="1322"/>
      <c r="AX41" s="1321">
        <f t="shared" si="17"/>
        <v>0</v>
      </c>
      <c r="AY41" s="1322"/>
      <c r="AZ41" s="1321">
        <f t="shared" si="18"/>
        <v>0</v>
      </c>
      <c r="BA41" s="1322"/>
      <c r="BB41" s="1321">
        <f t="shared" si="19"/>
        <v>0</v>
      </c>
      <c r="BC41" s="1322"/>
      <c r="BD41" s="1321">
        <f t="shared" si="20"/>
        <v>0</v>
      </c>
      <c r="BE41" s="1322"/>
      <c r="BF41" s="1321">
        <f t="shared" si="21"/>
        <v>0</v>
      </c>
      <c r="BG41" s="1322"/>
      <c r="BH41" s="1321">
        <f t="shared" si="22"/>
        <v>0</v>
      </c>
      <c r="BI41" s="1322"/>
      <c r="BJ41" s="1321">
        <f t="shared" si="23"/>
        <v>0</v>
      </c>
      <c r="BK41" s="1322"/>
      <c r="BL41" s="1321">
        <f t="shared" si="24"/>
        <v>0</v>
      </c>
      <c r="BM41" s="1322"/>
      <c r="BN41" s="1321">
        <f t="shared" si="25"/>
        <v>0</v>
      </c>
      <c r="BO41" s="1322"/>
      <c r="BP41" s="1321">
        <f t="shared" si="26"/>
        <v>0</v>
      </c>
      <c r="BQ41" s="1322"/>
      <c r="BR41" s="1321">
        <f t="shared" si="27"/>
        <v>0</v>
      </c>
      <c r="BS41" s="1322"/>
      <c r="BT41" s="1321">
        <f t="shared" si="28"/>
        <v>0</v>
      </c>
      <c r="BU41" s="1322"/>
      <c r="BV41" s="1321">
        <f t="shared" si="29"/>
        <v>0</v>
      </c>
      <c r="BW41" s="1322"/>
      <c r="BX41" s="1321">
        <f t="shared" si="30"/>
        <v>0</v>
      </c>
      <c r="BY41" s="1322"/>
      <c r="BZ41" s="1321">
        <f t="shared" si="31"/>
        <v>0</v>
      </c>
      <c r="CA41" s="1322"/>
      <c r="CB41" s="1321">
        <f t="shared" si="32"/>
        <v>0</v>
      </c>
      <c r="CC41" s="1322"/>
      <c r="CD41" s="1321">
        <f t="shared" si="33"/>
        <v>0</v>
      </c>
      <c r="CE41" s="1322"/>
      <c r="CF41" s="1321">
        <f t="shared" si="34"/>
        <v>0</v>
      </c>
      <c r="CG41" s="1322"/>
      <c r="CH41" s="1321">
        <f t="shared" si="35"/>
        <v>0</v>
      </c>
      <c r="CI41" s="1322"/>
      <c r="CJ41" s="1321">
        <f t="shared" si="36"/>
        <v>0</v>
      </c>
      <c r="CK41" s="1322"/>
      <c r="CL41" s="1321">
        <f t="shared" si="37"/>
        <v>0</v>
      </c>
      <c r="CM41" s="1322"/>
      <c r="CN41" s="1321">
        <f t="shared" si="38"/>
        <v>0</v>
      </c>
      <c r="CO41" s="1322"/>
      <c r="CP41" s="1321">
        <f t="shared" si="39"/>
        <v>0</v>
      </c>
      <c r="CQ41" s="1322"/>
      <c r="CR41" s="1321">
        <f t="shared" si="40"/>
        <v>0</v>
      </c>
      <c r="CS41" s="1322"/>
      <c r="CT41" s="1321">
        <f t="shared" si="41"/>
        <v>0</v>
      </c>
      <c r="CU41" s="1322"/>
      <c r="CV41" s="1321">
        <f t="shared" si="42"/>
        <v>0</v>
      </c>
      <c r="CW41" s="1322"/>
      <c r="CX41" s="1321">
        <f t="shared" si="43"/>
        <v>0</v>
      </c>
      <c r="CY41" s="1322"/>
      <c r="CZ41" s="1321">
        <f t="shared" si="44"/>
        <v>0</v>
      </c>
      <c r="DA41" s="1322"/>
      <c r="DB41" s="1321">
        <f t="shared" si="45"/>
        <v>0</v>
      </c>
      <c r="DC41" s="1322"/>
      <c r="DD41" s="1321">
        <f t="shared" si="46"/>
        <v>0</v>
      </c>
      <c r="DE41" s="1322"/>
      <c r="DF41" s="1321">
        <f t="shared" si="47"/>
        <v>0</v>
      </c>
      <c r="DG41" s="1322"/>
      <c r="DH41" s="1321">
        <f t="shared" si="87"/>
        <v>0</v>
      </c>
      <c r="DI41" s="1322"/>
      <c r="DJ41" s="1321">
        <f t="shared" si="88"/>
        <v>0</v>
      </c>
      <c r="DK41" s="1322"/>
      <c r="DL41" s="1321">
        <f t="shared" si="89"/>
        <v>0</v>
      </c>
      <c r="DM41" s="1322"/>
      <c r="DN41" s="1321">
        <f t="shared" si="90"/>
        <v>0</v>
      </c>
      <c r="DO41" s="1322"/>
      <c r="DP41" s="1321">
        <f t="shared" si="91"/>
        <v>0</v>
      </c>
      <c r="DQ41" s="1322"/>
      <c r="DR41" s="1321">
        <f t="shared" si="92"/>
        <v>0</v>
      </c>
      <c r="DS41" s="1322"/>
      <c r="DT41" s="1321">
        <f t="shared" si="93"/>
        <v>0</v>
      </c>
      <c r="DU41" s="1322"/>
      <c r="DV41" s="1321">
        <f t="shared" si="86"/>
        <v>0</v>
      </c>
      <c r="DW41" s="1322"/>
      <c r="DX41" s="1321">
        <f t="shared" si="94"/>
        <v>0</v>
      </c>
      <c r="DY41" s="1322"/>
      <c r="DZ41" s="1321">
        <f t="shared" si="95"/>
        <v>0</v>
      </c>
      <c r="EA41" s="1322"/>
      <c r="EB41" s="1321">
        <f t="shared" si="96"/>
        <v>0</v>
      </c>
      <c r="EC41" s="1322"/>
      <c r="ED41" s="1321">
        <f t="shared" si="97"/>
        <v>0</v>
      </c>
      <c r="EE41" s="1322"/>
      <c r="EF41" s="1321">
        <f t="shared" si="98"/>
        <v>0</v>
      </c>
      <c r="EG41" s="1322"/>
      <c r="EH41" s="1321">
        <f t="shared" si="51"/>
        <v>0</v>
      </c>
      <c r="EI41" s="1322"/>
      <c r="EJ41" s="1321">
        <f t="shared" si="52"/>
        <v>0</v>
      </c>
      <c r="EK41" s="1322"/>
      <c r="EL41" s="1321">
        <f t="shared" si="53"/>
        <v>0</v>
      </c>
      <c r="EM41" s="1322"/>
      <c r="EN41" s="1321">
        <f t="shared" si="99"/>
        <v>0</v>
      </c>
      <c r="EO41" s="1322"/>
      <c r="EP41" s="1321">
        <f t="shared" si="100"/>
        <v>0</v>
      </c>
      <c r="EQ41" s="1322"/>
      <c r="ER41" s="1321">
        <f t="shared" si="55"/>
        <v>0</v>
      </c>
      <c r="ES41" s="1322"/>
      <c r="ET41" s="1321">
        <f t="shared" si="56"/>
        <v>0</v>
      </c>
      <c r="EU41" s="1322"/>
      <c r="EV41" s="1321">
        <f t="shared" si="57"/>
        <v>0</v>
      </c>
      <c r="EW41" s="1322"/>
      <c r="EX41" s="1321">
        <f t="shared" si="58"/>
        <v>0</v>
      </c>
      <c r="EY41" s="1322"/>
      <c r="EZ41" s="1321">
        <f t="shared" si="59"/>
        <v>0</v>
      </c>
      <c r="FA41" s="1322"/>
      <c r="FB41" s="1321">
        <f t="shared" si="60"/>
        <v>0</v>
      </c>
      <c r="FC41" s="1322"/>
      <c r="FD41" s="1321">
        <f t="shared" si="61"/>
        <v>0</v>
      </c>
      <c r="FE41" s="1322"/>
      <c r="FF41" s="1321">
        <f t="shared" si="62"/>
        <v>0</v>
      </c>
      <c r="FG41" s="1322"/>
      <c r="FH41" s="1321">
        <f t="shared" si="63"/>
        <v>0</v>
      </c>
      <c r="FI41" s="1322"/>
      <c r="FJ41" s="1321">
        <f t="shared" si="64"/>
        <v>0</v>
      </c>
      <c r="FK41" s="1322"/>
      <c r="FL41" s="1321">
        <f t="shared" si="65"/>
        <v>0</v>
      </c>
      <c r="FM41" s="1322"/>
      <c r="FN41" s="1321">
        <f t="shared" si="66"/>
        <v>0</v>
      </c>
      <c r="FO41" s="1322"/>
      <c r="FP41" s="1321">
        <f t="shared" si="67"/>
        <v>0</v>
      </c>
      <c r="FQ41" s="1322"/>
      <c r="FR41" s="1321">
        <f t="shared" si="68"/>
        <v>0</v>
      </c>
      <c r="FS41" s="1322"/>
      <c r="FT41" s="1321">
        <f t="shared" si="69"/>
        <v>0</v>
      </c>
      <c r="FU41" s="1322"/>
      <c r="FV41" s="1321">
        <f t="shared" si="70"/>
        <v>0</v>
      </c>
      <c r="FW41" s="1322"/>
      <c r="FX41" s="1321">
        <f t="shared" si="71"/>
        <v>0</v>
      </c>
      <c r="FY41" s="1322"/>
      <c r="FZ41" s="1321">
        <f t="shared" si="72"/>
        <v>0</v>
      </c>
      <c r="GA41" s="1322"/>
      <c r="GB41" s="1322"/>
      <c r="GC41" s="1322"/>
      <c r="GD41" s="1322"/>
      <c r="GE41" s="1322"/>
      <c r="GF41" s="1322"/>
      <c r="GG41" s="1322"/>
      <c r="GH41" s="1322"/>
      <c r="GI41" s="1322"/>
      <c r="GJ41" s="1322"/>
      <c r="GK41" s="1322"/>
      <c r="GL41" s="1322"/>
      <c r="GM41" s="1322"/>
      <c r="GN41" s="1322"/>
      <c r="GO41" s="1322"/>
      <c r="GP41" s="1322"/>
      <c r="GQ41" s="1322"/>
      <c r="GR41" s="1322"/>
      <c r="GS41" s="1322"/>
      <c r="GT41" s="1322"/>
      <c r="GU41" s="1322"/>
      <c r="GV41" s="1322"/>
      <c r="GW41" s="1322"/>
      <c r="GX41" s="1322"/>
      <c r="GY41" s="1322"/>
      <c r="GZ41" s="1322"/>
    </row>
    <row r="42" spans="1:208" hidden="1">
      <c r="A42" s="1318"/>
      <c r="B42" s="1318"/>
      <c r="C42" s="1321"/>
      <c r="D42" s="1321">
        <f t="shared" si="1"/>
        <v>0</v>
      </c>
      <c r="E42" s="1321"/>
      <c r="F42" s="1321">
        <f t="shared" si="1"/>
        <v>0</v>
      </c>
      <c r="G42" s="1322"/>
      <c r="H42" s="1321">
        <f t="shared" si="1"/>
        <v>0</v>
      </c>
      <c r="I42" s="1322"/>
      <c r="J42" s="1321">
        <f t="shared" si="1"/>
        <v>0</v>
      </c>
      <c r="K42" s="1322"/>
      <c r="L42" s="1321">
        <f t="shared" si="1"/>
        <v>0</v>
      </c>
      <c r="M42" s="1322"/>
      <c r="N42" s="1321">
        <f t="shared" si="1"/>
        <v>0</v>
      </c>
      <c r="O42" s="1322"/>
      <c r="P42" s="1321">
        <f t="shared" si="1"/>
        <v>0</v>
      </c>
      <c r="Q42" s="1322"/>
      <c r="R42" s="1321">
        <f t="shared" si="1"/>
        <v>0</v>
      </c>
      <c r="S42" s="1322"/>
      <c r="T42" s="1321">
        <f t="shared" si="1"/>
        <v>0</v>
      </c>
      <c r="U42" s="1322"/>
      <c r="V42" s="1321">
        <f t="shared" si="1"/>
        <v>0</v>
      </c>
      <c r="W42" s="1322"/>
      <c r="X42" s="1321">
        <f t="shared" si="4"/>
        <v>0</v>
      </c>
      <c r="Y42" s="1322"/>
      <c r="Z42" s="1321">
        <f t="shared" si="5"/>
        <v>0</v>
      </c>
      <c r="AA42" s="1322"/>
      <c r="AB42" s="1321">
        <f t="shared" si="6"/>
        <v>0</v>
      </c>
      <c r="AC42" s="1322"/>
      <c r="AD42" s="1321">
        <f t="shared" si="7"/>
        <v>0</v>
      </c>
      <c r="AE42" s="1322"/>
      <c r="AF42" s="1321">
        <f t="shared" si="8"/>
        <v>0</v>
      </c>
      <c r="AG42" s="1322"/>
      <c r="AH42" s="1321">
        <f t="shared" si="9"/>
        <v>0</v>
      </c>
      <c r="AI42" s="1322"/>
      <c r="AJ42" s="1321">
        <f t="shared" si="10"/>
        <v>0</v>
      </c>
      <c r="AK42" s="1322"/>
      <c r="AL42" s="1321">
        <f t="shared" si="11"/>
        <v>0</v>
      </c>
      <c r="AM42" s="1322"/>
      <c r="AN42" s="1321">
        <f t="shared" si="12"/>
        <v>0</v>
      </c>
      <c r="AO42" s="1322"/>
      <c r="AP42" s="1321">
        <f t="shared" si="13"/>
        <v>0</v>
      </c>
      <c r="AQ42" s="1322"/>
      <c r="AR42" s="1321">
        <f t="shared" si="14"/>
        <v>0</v>
      </c>
      <c r="AS42" s="1322"/>
      <c r="AT42" s="1321">
        <f t="shared" si="15"/>
        <v>0</v>
      </c>
      <c r="AU42" s="1322"/>
      <c r="AV42" s="1321">
        <f t="shared" si="16"/>
        <v>0</v>
      </c>
      <c r="AW42" s="1322"/>
      <c r="AX42" s="1321">
        <f t="shared" si="17"/>
        <v>0</v>
      </c>
      <c r="AY42" s="1322"/>
      <c r="AZ42" s="1321">
        <f t="shared" si="18"/>
        <v>0</v>
      </c>
      <c r="BA42" s="1322"/>
      <c r="BB42" s="1321">
        <f t="shared" si="19"/>
        <v>0</v>
      </c>
      <c r="BC42" s="1322"/>
      <c r="BD42" s="1321">
        <f t="shared" si="20"/>
        <v>0</v>
      </c>
      <c r="BE42" s="1322"/>
      <c r="BF42" s="1321">
        <f t="shared" si="21"/>
        <v>0</v>
      </c>
      <c r="BG42" s="1322"/>
      <c r="BH42" s="1321">
        <f t="shared" si="22"/>
        <v>0</v>
      </c>
      <c r="BI42" s="1322"/>
      <c r="BJ42" s="1321">
        <f t="shared" si="23"/>
        <v>0</v>
      </c>
      <c r="BK42" s="1322"/>
      <c r="BL42" s="1321">
        <f t="shared" si="24"/>
        <v>0</v>
      </c>
      <c r="BM42" s="1322"/>
      <c r="BN42" s="1321">
        <f t="shared" si="25"/>
        <v>0</v>
      </c>
      <c r="BO42" s="1322"/>
      <c r="BP42" s="1321">
        <f t="shared" si="26"/>
        <v>0</v>
      </c>
      <c r="BQ42" s="1322"/>
      <c r="BR42" s="1321">
        <f t="shared" si="27"/>
        <v>0</v>
      </c>
      <c r="BS42" s="1322"/>
      <c r="BT42" s="1321">
        <f t="shared" si="28"/>
        <v>0</v>
      </c>
      <c r="BU42" s="1322"/>
      <c r="BV42" s="1321">
        <f t="shared" si="29"/>
        <v>0</v>
      </c>
      <c r="BW42" s="1322"/>
      <c r="BX42" s="1321">
        <f t="shared" si="30"/>
        <v>0</v>
      </c>
      <c r="BY42" s="1322"/>
      <c r="BZ42" s="1321">
        <f t="shared" si="31"/>
        <v>0</v>
      </c>
      <c r="CA42" s="1322"/>
      <c r="CB42" s="1321">
        <f t="shared" si="32"/>
        <v>0</v>
      </c>
      <c r="CC42" s="1322"/>
      <c r="CD42" s="1321">
        <f t="shared" si="33"/>
        <v>0</v>
      </c>
      <c r="CE42" s="1322"/>
      <c r="CF42" s="1321">
        <f t="shared" si="34"/>
        <v>0</v>
      </c>
      <c r="CG42" s="1322"/>
      <c r="CH42" s="1321">
        <f t="shared" si="35"/>
        <v>0</v>
      </c>
      <c r="CI42" s="1322"/>
      <c r="CJ42" s="1321">
        <f t="shared" si="36"/>
        <v>0</v>
      </c>
      <c r="CK42" s="1322"/>
      <c r="CL42" s="1321">
        <f t="shared" si="37"/>
        <v>0</v>
      </c>
      <c r="CM42" s="1322"/>
      <c r="CN42" s="1321">
        <f t="shared" si="38"/>
        <v>0</v>
      </c>
      <c r="CO42" s="1322"/>
      <c r="CP42" s="1321">
        <f t="shared" si="39"/>
        <v>0</v>
      </c>
      <c r="CQ42" s="1322"/>
      <c r="CR42" s="1321">
        <f t="shared" si="40"/>
        <v>0</v>
      </c>
      <c r="CS42" s="1322"/>
      <c r="CT42" s="1321">
        <f t="shared" si="41"/>
        <v>0</v>
      </c>
      <c r="CU42" s="1322"/>
      <c r="CV42" s="1321">
        <f t="shared" si="42"/>
        <v>0</v>
      </c>
      <c r="CW42" s="1322"/>
      <c r="CX42" s="1321">
        <f t="shared" si="43"/>
        <v>0</v>
      </c>
      <c r="CY42" s="1322"/>
      <c r="CZ42" s="1321">
        <f t="shared" si="44"/>
        <v>0</v>
      </c>
      <c r="DA42" s="1322"/>
      <c r="DB42" s="1321">
        <f t="shared" si="45"/>
        <v>0</v>
      </c>
      <c r="DC42" s="1322"/>
      <c r="DD42" s="1321">
        <f t="shared" si="46"/>
        <v>0</v>
      </c>
      <c r="DE42" s="1322"/>
      <c r="DF42" s="1321">
        <f t="shared" si="47"/>
        <v>0</v>
      </c>
      <c r="DG42" s="1322"/>
      <c r="DH42" s="1321">
        <f t="shared" si="87"/>
        <v>0</v>
      </c>
      <c r="DI42" s="1322"/>
      <c r="DJ42" s="1321">
        <f t="shared" si="88"/>
        <v>0</v>
      </c>
      <c r="DK42" s="1322"/>
      <c r="DL42" s="1321">
        <f t="shared" si="89"/>
        <v>0</v>
      </c>
      <c r="DM42" s="1322"/>
      <c r="DN42" s="1321">
        <f t="shared" si="90"/>
        <v>0</v>
      </c>
      <c r="DO42" s="1322"/>
      <c r="DP42" s="1321">
        <f t="shared" si="91"/>
        <v>0</v>
      </c>
      <c r="DQ42" s="1322"/>
      <c r="DR42" s="1321">
        <f t="shared" si="92"/>
        <v>0</v>
      </c>
      <c r="DS42" s="1322"/>
      <c r="DT42" s="1321">
        <f t="shared" si="93"/>
        <v>0</v>
      </c>
      <c r="DU42" s="1322"/>
      <c r="DV42" s="1321">
        <f t="shared" si="86"/>
        <v>0</v>
      </c>
      <c r="DW42" s="1322"/>
      <c r="DX42" s="1321">
        <f t="shared" si="94"/>
        <v>0</v>
      </c>
      <c r="DY42" s="1322"/>
      <c r="DZ42" s="1321">
        <f t="shared" si="95"/>
        <v>0</v>
      </c>
      <c r="EA42" s="1322"/>
      <c r="EB42" s="1321">
        <f t="shared" si="96"/>
        <v>0</v>
      </c>
      <c r="EC42" s="1322"/>
      <c r="ED42" s="1321">
        <f t="shared" si="97"/>
        <v>0</v>
      </c>
      <c r="EE42" s="1322"/>
      <c r="EF42" s="1321">
        <f t="shared" si="98"/>
        <v>0</v>
      </c>
      <c r="EG42" s="1322"/>
      <c r="EH42" s="1321">
        <f t="shared" si="51"/>
        <v>0</v>
      </c>
      <c r="EI42" s="1322"/>
      <c r="EJ42" s="1321">
        <f t="shared" si="52"/>
        <v>0</v>
      </c>
      <c r="EK42" s="1322"/>
      <c r="EL42" s="1321">
        <f t="shared" si="53"/>
        <v>0</v>
      </c>
      <c r="EM42" s="1322"/>
      <c r="EN42" s="1321">
        <f t="shared" si="99"/>
        <v>0</v>
      </c>
      <c r="EO42" s="1322"/>
      <c r="EP42" s="1321">
        <f t="shared" si="100"/>
        <v>0</v>
      </c>
      <c r="EQ42" s="1322"/>
      <c r="ER42" s="1321">
        <f t="shared" si="55"/>
        <v>0</v>
      </c>
      <c r="ES42" s="1322"/>
      <c r="ET42" s="1321">
        <f t="shared" si="56"/>
        <v>0</v>
      </c>
      <c r="EU42" s="1322"/>
      <c r="EV42" s="1321">
        <f t="shared" si="57"/>
        <v>0</v>
      </c>
      <c r="EW42" s="1322"/>
      <c r="EX42" s="1321">
        <f t="shared" si="58"/>
        <v>0</v>
      </c>
      <c r="EY42" s="1322"/>
      <c r="EZ42" s="1321">
        <f t="shared" si="59"/>
        <v>0</v>
      </c>
      <c r="FA42" s="1322"/>
      <c r="FB42" s="1321">
        <f t="shared" si="60"/>
        <v>0</v>
      </c>
      <c r="FC42" s="1322"/>
      <c r="FD42" s="1321">
        <f t="shared" si="61"/>
        <v>0</v>
      </c>
      <c r="FE42" s="1322"/>
      <c r="FF42" s="1321">
        <f t="shared" si="62"/>
        <v>0</v>
      </c>
      <c r="FG42" s="1322"/>
      <c r="FH42" s="1321">
        <f t="shared" si="63"/>
        <v>0</v>
      </c>
      <c r="FI42" s="1322"/>
      <c r="FJ42" s="1321">
        <f t="shared" si="64"/>
        <v>0</v>
      </c>
      <c r="FK42" s="1322"/>
      <c r="FL42" s="1321">
        <f t="shared" si="65"/>
        <v>0</v>
      </c>
      <c r="FM42" s="1322"/>
      <c r="FN42" s="1321">
        <f t="shared" si="66"/>
        <v>0</v>
      </c>
      <c r="FO42" s="1322"/>
      <c r="FP42" s="1321">
        <f t="shared" si="67"/>
        <v>0</v>
      </c>
      <c r="FQ42" s="1322"/>
      <c r="FR42" s="1321">
        <f t="shared" si="68"/>
        <v>0</v>
      </c>
      <c r="FS42" s="1322"/>
      <c r="FT42" s="1321">
        <f t="shared" si="69"/>
        <v>0</v>
      </c>
      <c r="FU42" s="1322"/>
      <c r="FV42" s="1321">
        <f t="shared" si="70"/>
        <v>0</v>
      </c>
      <c r="FW42" s="1322"/>
      <c r="FX42" s="1321">
        <f t="shared" si="71"/>
        <v>0</v>
      </c>
      <c r="FY42" s="1322"/>
      <c r="FZ42" s="1321">
        <f t="shared" si="72"/>
        <v>0</v>
      </c>
      <c r="GA42" s="1322"/>
      <c r="GB42" s="1322"/>
      <c r="GC42" s="1322"/>
      <c r="GD42" s="1322"/>
      <c r="GE42" s="1322"/>
      <c r="GF42" s="1322"/>
      <c r="GG42" s="1322"/>
      <c r="GH42" s="1322"/>
      <c r="GI42" s="1322"/>
      <c r="GJ42" s="1322"/>
      <c r="GK42" s="1322"/>
      <c r="GL42" s="1322"/>
      <c r="GM42" s="1322"/>
      <c r="GN42" s="1322"/>
      <c r="GO42" s="1322"/>
      <c r="GP42" s="1322"/>
      <c r="GQ42" s="1322"/>
      <c r="GR42" s="1322"/>
      <c r="GS42" s="1322"/>
      <c r="GT42" s="1322"/>
      <c r="GU42" s="1322"/>
      <c r="GV42" s="1322"/>
      <c r="GW42" s="1322"/>
      <c r="GX42" s="1322"/>
      <c r="GY42" s="1322"/>
      <c r="GZ42" s="1322"/>
    </row>
    <row r="43" spans="1:208" hidden="1">
      <c r="A43" s="1318"/>
      <c r="B43" s="1318"/>
      <c r="C43" s="1321"/>
      <c r="D43" s="1321">
        <f t="shared" si="1"/>
        <v>0</v>
      </c>
      <c r="E43" s="1321"/>
      <c r="F43" s="1321">
        <f t="shared" si="1"/>
        <v>0</v>
      </c>
      <c r="G43" s="1322"/>
      <c r="H43" s="1321">
        <f t="shared" si="1"/>
        <v>0</v>
      </c>
      <c r="I43" s="1322"/>
      <c r="J43" s="1321">
        <f t="shared" si="1"/>
        <v>0</v>
      </c>
      <c r="K43" s="1322"/>
      <c r="L43" s="1321">
        <f t="shared" si="1"/>
        <v>0</v>
      </c>
      <c r="M43" s="1322"/>
      <c r="N43" s="1321">
        <f t="shared" si="1"/>
        <v>0</v>
      </c>
      <c r="O43" s="1322"/>
      <c r="P43" s="1321">
        <f t="shared" si="1"/>
        <v>0</v>
      </c>
      <c r="Q43" s="1322"/>
      <c r="R43" s="1321">
        <f t="shared" si="1"/>
        <v>0</v>
      </c>
      <c r="S43" s="1322"/>
      <c r="T43" s="1321">
        <f t="shared" si="1"/>
        <v>0</v>
      </c>
      <c r="U43" s="1322"/>
      <c r="V43" s="1321">
        <f t="shared" si="1"/>
        <v>0</v>
      </c>
      <c r="W43" s="1322"/>
      <c r="X43" s="1321">
        <f t="shared" si="4"/>
        <v>0</v>
      </c>
      <c r="Y43" s="1322"/>
      <c r="Z43" s="1321">
        <f t="shared" si="5"/>
        <v>0</v>
      </c>
      <c r="AA43" s="1322"/>
      <c r="AB43" s="1321">
        <f t="shared" si="6"/>
        <v>0</v>
      </c>
      <c r="AC43" s="1322"/>
      <c r="AD43" s="1321">
        <f t="shared" si="7"/>
        <v>0</v>
      </c>
      <c r="AE43" s="1322"/>
      <c r="AF43" s="1321">
        <f t="shared" si="8"/>
        <v>0</v>
      </c>
      <c r="AG43" s="1322"/>
      <c r="AH43" s="1321">
        <f t="shared" si="9"/>
        <v>0</v>
      </c>
      <c r="AI43" s="1322"/>
      <c r="AJ43" s="1321">
        <f t="shared" si="10"/>
        <v>0</v>
      </c>
      <c r="AK43" s="1322"/>
      <c r="AL43" s="1321">
        <f t="shared" si="11"/>
        <v>0</v>
      </c>
      <c r="AM43" s="1322"/>
      <c r="AN43" s="1321">
        <f t="shared" si="12"/>
        <v>0</v>
      </c>
      <c r="AO43" s="1322"/>
      <c r="AP43" s="1321">
        <f t="shared" si="13"/>
        <v>0</v>
      </c>
      <c r="AQ43" s="1322"/>
      <c r="AR43" s="1321">
        <f t="shared" si="14"/>
        <v>0</v>
      </c>
      <c r="AS43" s="1322"/>
      <c r="AT43" s="1321">
        <f t="shared" si="15"/>
        <v>0</v>
      </c>
      <c r="AU43" s="1322"/>
      <c r="AV43" s="1321">
        <f t="shared" si="16"/>
        <v>0</v>
      </c>
      <c r="AW43" s="1322"/>
      <c r="AX43" s="1321">
        <f t="shared" si="17"/>
        <v>0</v>
      </c>
      <c r="AY43" s="1322"/>
      <c r="AZ43" s="1321">
        <f t="shared" si="18"/>
        <v>0</v>
      </c>
      <c r="BA43" s="1322"/>
      <c r="BB43" s="1321">
        <f t="shared" si="19"/>
        <v>0</v>
      </c>
      <c r="BC43" s="1322"/>
      <c r="BD43" s="1321">
        <f t="shared" si="20"/>
        <v>0</v>
      </c>
      <c r="BE43" s="1322"/>
      <c r="BF43" s="1321">
        <f t="shared" si="21"/>
        <v>0</v>
      </c>
      <c r="BG43" s="1322"/>
      <c r="BH43" s="1321">
        <f t="shared" si="22"/>
        <v>0</v>
      </c>
      <c r="BI43" s="1322"/>
      <c r="BJ43" s="1321">
        <f t="shared" si="23"/>
        <v>0</v>
      </c>
      <c r="BK43" s="1322"/>
      <c r="BL43" s="1321">
        <f t="shared" si="24"/>
        <v>0</v>
      </c>
      <c r="BM43" s="1322"/>
      <c r="BN43" s="1321">
        <f t="shared" si="25"/>
        <v>0</v>
      </c>
      <c r="BO43" s="1322"/>
      <c r="BP43" s="1321">
        <f t="shared" si="26"/>
        <v>0</v>
      </c>
      <c r="BQ43" s="1322"/>
      <c r="BR43" s="1321">
        <f t="shared" si="27"/>
        <v>0</v>
      </c>
      <c r="BS43" s="1322"/>
      <c r="BT43" s="1321">
        <f t="shared" si="28"/>
        <v>0</v>
      </c>
      <c r="BU43" s="1322"/>
      <c r="BV43" s="1321">
        <f t="shared" si="29"/>
        <v>0</v>
      </c>
      <c r="BW43" s="1322"/>
      <c r="BX43" s="1321">
        <f t="shared" si="30"/>
        <v>0</v>
      </c>
      <c r="BY43" s="1322"/>
      <c r="BZ43" s="1321">
        <f t="shared" si="31"/>
        <v>0</v>
      </c>
      <c r="CA43" s="1322"/>
      <c r="CB43" s="1321">
        <f t="shared" si="32"/>
        <v>0</v>
      </c>
      <c r="CC43" s="1322"/>
      <c r="CD43" s="1321">
        <f t="shared" si="33"/>
        <v>0</v>
      </c>
      <c r="CE43" s="1322"/>
      <c r="CF43" s="1321">
        <f t="shared" si="34"/>
        <v>0</v>
      </c>
      <c r="CG43" s="1322"/>
      <c r="CH43" s="1321">
        <f t="shared" si="35"/>
        <v>0</v>
      </c>
      <c r="CI43" s="1322"/>
      <c r="CJ43" s="1321">
        <f t="shared" si="36"/>
        <v>0</v>
      </c>
      <c r="CK43" s="1322"/>
      <c r="CL43" s="1321">
        <f t="shared" si="37"/>
        <v>0</v>
      </c>
      <c r="CM43" s="1322"/>
      <c r="CN43" s="1321">
        <f t="shared" si="38"/>
        <v>0</v>
      </c>
      <c r="CO43" s="1322"/>
      <c r="CP43" s="1321">
        <f t="shared" si="39"/>
        <v>0</v>
      </c>
      <c r="CQ43" s="1322"/>
      <c r="CR43" s="1321">
        <f t="shared" si="40"/>
        <v>0</v>
      </c>
      <c r="CS43" s="1322"/>
      <c r="CT43" s="1321">
        <f t="shared" si="41"/>
        <v>0</v>
      </c>
      <c r="CU43" s="1322"/>
      <c r="CV43" s="1321">
        <f t="shared" si="42"/>
        <v>0</v>
      </c>
      <c r="CW43" s="1322"/>
      <c r="CX43" s="1321">
        <f t="shared" si="43"/>
        <v>0</v>
      </c>
      <c r="CY43" s="1322"/>
      <c r="CZ43" s="1321">
        <f t="shared" si="44"/>
        <v>0</v>
      </c>
      <c r="DA43" s="1322"/>
      <c r="DB43" s="1321">
        <f t="shared" si="45"/>
        <v>0</v>
      </c>
      <c r="DC43" s="1322"/>
      <c r="DD43" s="1321">
        <f t="shared" si="46"/>
        <v>0</v>
      </c>
      <c r="DE43" s="1322"/>
      <c r="DF43" s="1321">
        <f t="shared" si="47"/>
        <v>0</v>
      </c>
      <c r="DG43" s="1322"/>
      <c r="DH43" s="1321">
        <f t="shared" si="87"/>
        <v>0</v>
      </c>
      <c r="DI43" s="1322"/>
      <c r="DJ43" s="1321">
        <f t="shared" si="88"/>
        <v>0</v>
      </c>
      <c r="DK43" s="1322"/>
      <c r="DL43" s="1321">
        <f t="shared" si="89"/>
        <v>0</v>
      </c>
      <c r="DM43" s="1322"/>
      <c r="DN43" s="1321">
        <f t="shared" si="90"/>
        <v>0</v>
      </c>
      <c r="DO43" s="1322"/>
      <c r="DP43" s="1321">
        <f t="shared" si="91"/>
        <v>0</v>
      </c>
      <c r="DQ43" s="1322"/>
      <c r="DR43" s="1321">
        <f t="shared" si="92"/>
        <v>0</v>
      </c>
      <c r="DS43" s="1322"/>
      <c r="DT43" s="1321">
        <f t="shared" si="93"/>
        <v>0</v>
      </c>
      <c r="DU43" s="1322"/>
      <c r="DV43" s="1321">
        <f t="shared" si="86"/>
        <v>0</v>
      </c>
      <c r="DW43" s="1322"/>
      <c r="DX43" s="1321">
        <f t="shared" si="94"/>
        <v>0</v>
      </c>
      <c r="DY43" s="1322"/>
      <c r="DZ43" s="1321">
        <f t="shared" si="95"/>
        <v>0</v>
      </c>
      <c r="EA43" s="1322"/>
      <c r="EB43" s="1321">
        <f t="shared" si="96"/>
        <v>0</v>
      </c>
      <c r="EC43" s="1322"/>
      <c r="ED43" s="1321">
        <f t="shared" si="97"/>
        <v>0</v>
      </c>
      <c r="EE43" s="1322"/>
      <c r="EF43" s="1321">
        <f t="shared" si="98"/>
        <v>0</v>
      </c>
      <c r="EG43" s="1322"/>
      <c r="EH43" s="1321">
        <f t="shared" si="51"/>
        <v>0</v>
      </c>
      <c r="EI43" s="1322"/>
      <c r="EJ43" s="1321">
        <f t="shared" si="52"/>
        <v>0</v>
      </c>
      <c r="EK43" s="1322"/>
      <c r="EL43" s="1321">
        <f t="shared" si="53"/>
        <v>0</v>
      </c>
      <c r="EM43" s="1322"/>
      <c r="EN43" s="1321">
        <f t="shared" si="99"/>
        <v>0</v>
      </c>
      <c r="EO43" s="1322"/>
      <c r="EP43" s="1321">
        <f t="shared" si="100"/>
        <v>0</v>
      </c>
      <c r="EQ43" s="1322"/>
      <c r="ER43" s="1321">
        <f t="shared" si="55"/>
        <v>0</v>
      </c>
      <c r="ES43" s="1322"/>
      <c r="ET43" s="1321">
        <f t="shared" si="56"/>
        <v>0</v>
      </c>
      <c r="EU43" s="1322"/>
      <c r="EV43" s="1321">
        <f t="shared" si="57"/>
        <v>0</v>
      </c>
      <c r="EW43" s="1322"/>
      <c r="EX43" s="1321">
        <f t="shared" si="58"/>
        <v>0</v>
      </c>
      <c r="EY43" s="1322"/>
      <c r="EZ43" s="1321">
        <f t="shared" si="59"/>
        <v>0</v>
      </c>
      <c r="FA43" s="1322"/>
      <c r="FB43" s="1321">
        <f t="shared" si="60"/>
        <v>0</v>
      </c>
      <c r="FC43" s="1322"/>
      <c r="FD43" s="1321">
        <f t="shared" si="61"/>
        <v>0</v>
      </c>
      <c r="FE43" s="1322"/>
      <c r="FF43" s="1321">
        <f t="shared" si="62"/>
        <v>0</v>
      </c>
      <c r="FG43" s="1322"/>
      <c r="FH43" s="1321">
        <f t="shared" si="63"/>
        <v>0</v>
      </c>
      <c r="FI43" s="1322"/>
      <c r="FJ43" s="1321">
        <f t="shared" si="64"/>
        <v>0</v>
      </c>
      <c r="FK43" s="1322"/>
      <c r="FL43" s="1321">
        <f t="shared" si="65"/>
        <v>0</v>
      </c>
      <c r="FM43" s="1322"/>
      <c r="FN43" s="1321">
        <f t="shared" si="66"/>
        <v>0</v>
      </c>
      <c r="FO43" s="1322"/>
      <c r="FP43" s="1321">
        <f t="shared" si="67"/>
        <v>0</v>
      </c>
      <c r="FQ43" s="1322"/>
      <c r="FR43" s="1321">
        <f t="shared" si="68"/>
        <v>0</v>
      </c>
      <c r="FS43" s="1322"/>
      <c r="FT43" s="1321">
        <f t="shared" si="69"/>
        <v>0</v>
      </c>
      <c r="FU43" s="1322"/>
      <c r="FV43" s="1321">
        <f t="shared" si="70"/>
        <v>0</v>
      </c>
      <c r="FW43" s="1322"/>
      <c r="FX43" s="1321">
        <f t="shared" si="71"/>
        <v>0</v>
      </c>
      <c r="FY43" s="1322"/>
      <c r="FZ43" s="1321">
        <f t="shared" si="72"/>
        <v>0</v>
      </c>
      <c r="GA43" s="1322"/>
      <c r="GB43" s="1322"/>
      <c r="GC43" s="1322"/>
      <c r="GD43" s="1322"/>
      <c r="GE43" s="1322"/>
      <c r="GF43" s="1322"/>
      <c r="GG43" s="1322"/>
      <c r="GH43" s="1322"/>
      <c r="GI43" s="1322"/>
      <c r="GJ43" s="1322"/>
      <c r="GK43" s="1322"/>
      <c r="GL43" s="1322"/>
      <c r="GM43" s="1322"/>
      <c r="GN43" s="1322"/>
      <c r="GO43" s="1322"/>
      <c r="GP43" s="1322"/>
      <c r="GQ43" s="1322"/>
      <c r="GR43" s="1322"/>
      <c r="GS43" s="1322"/>
      <c r="GT43" s="1322"/>
      <c r="GU43" s="1322"/>
      <c r="GV43" s="1322"/>
      <c r="GW43" s="1322"/>
      <c r="GX43" s="1322"/>
      <c r="GY43" s="1322"/>
      <c r="GZ43" s="1322"/>
    </row>
    <row r="44" spans="1:208" hidden="1">
      <c r="A44" s="1318"/>
      <c r="B44" s="1318"/>
      <c r="C44" s="1321"/>
      <c r="D44" s="1321">
        <f t="shared" si="1"/>
        <v>0</v>
      </c>
      <c r="E44" s="1321"/>
      <c r="F44" s="1321">
        <f t="shared" si="1"/>
        <v>0</v>
      </c>
      <c r="G44" s="1322"/>
      <c r="H44" s="1321">
        <f t="shared" si="1"/>
        <v>0</v>
      </c>
      <c r="I44" s="1322"/>
      <c r="J44" s="1321">
        <f t="shared" si="1"/>
        <v>0</v>
      </c>
      <c r="K44" s="1322"/>
      <c r="L44" s="1321">
        <f t="shared" si="1"/>
        <v>0</v>
      </c>
      <c r="M44" s="1322"/>
      <c r="N44" s="1321">
        <f t="shared" si="1"/>
        <v>0</v>
      </c>
      <c r="O44" s="1322"/>
      <c r="P44" s="1321">
        <f t="shared" si="1"/>
        <v>0</v>
      </c>
      <c r="Q44" s="1322"/>
      <c r="R44" s="1321">
        <f t="shared" si="1"/>
        <v>0</v>
      </c>
      <c r="S44" s="1322"/>
      <c r="T44" s="1321">
        <f t="shared" si="1"/>
        <v>0</v>
      </c>
      <c r="U44" s="1322"/>
      <c r="V44" s="1321">
        <f t="shared" si="1"/>
        <v>0</v>
      </c>
      <c r="W44" s="1322"/>
      <c r="X44" s="1321">
        <f t="shared" si="4"/>
        <v>0</v>
      </c>
      <c r="Y44" s="1322"/>
      <c r="Z44" s="1321">
        <f t="shared" si="5"/>
        <v>0</v>
      </c>
      <c r="AA44" s="1322"/>
      <c r="AB44" s="1321">
        <f t="shared" si="6"/>
        <v>0</v>
      </c>
      <c r="AC44" s="1322"/>
      <c r="AD44" s="1321">
        <f t="shared" si="7"/>
        <v>0</v>
      </c>
      <c r="AE44" s="1322"/>
      <c r="AF44" s="1321">
        <f t="shared" si="8"/>
        <v>0</v>
      </c>
      <c r="AG44" s="1322"/>
      <c r="AH44" s="1321">
        <f t="shared" si="9"/>
        <v>0</v>
      </c>
      <c r="AI44" s="1322"/>
      <c r="AJ44" s="1321">
        <f t="shared" si="10"/>
        <v>0</v>
      </c>
      <c r="AK44" s="1322"/>
      <c r="AL44" s="1321">
        <f t="shared" si="11"/>
        <v>0</v>
      </c>
      <c r="AM44" s="1322"/>
      <c r="AN44" s="1321">
        <f t="shared" si="12"/>
        <v>0</v>
      </c>
      <c r="AO44" s="1322"/>
      <c r="AP44" s="1321">
        <f t="shared" si="13"/>
        <v>0</v>
      </c>
      <c r="AQ44" s="1322"/>
      <c r="AR44" s="1321">
        <f t="shared" si="14"/>
        <v>0</v>
      </c>
      <c r="AS44" s="1322"/>
      <c r="AT44" s="1321">
        <f t="shared" si="15"/>
        <v>0</v>
      </c>
      <c r="AU44" s="1322"/>
      <c r="AV44" s="1321">
        <f t="shared" si="16"/>
        <v>0</v>
      </c>
      <c r="AW44" s="1322"/>
      <c r="AX44" s="1321">
        <f t="shared" si="17"/>
        <v>0</v>
      </c>
      <c r="AY44" s="1322"/>
      <c r="AZ44" s="1321">
        <f t="shared" si="18"/>
        <v>0</v>
      </c>
      <c r="BA44" s="1322"/>
      <c r="BB44" s="1321">
        <f t="shared" si="19"/>
        <v>0</v>
      </c>
      <c r="BC44" s="1322"/>
      <c r="BD44" s="1321">
        <f t="shared" si="20"/>
        <v>0</v>
      </c>
      <c r="BE44" s="1322"/>
      <c r="BF44" s="1321">
        <f t="shared" si="21"/>
        <v>0</v>
      </c>
      <c r="BG44" s="1322"/>
      <c r="BH44" s="1321">
        <f t="shared" si="22"/>
        <v>0</v>
      </c>
      <c r="BI44" s="1322"/>
      <c r="BJ44" s="1321">
        <f t="shared" si="23"/>
        <v>0</v>
      </c>
      <c r="BK44" s="1322"/>
      <c r="BL44" s="1321">
        <f t="shared" si="24"/>
        <v>0</v>
      </c>
      <c r="BM44" s="1322"/>
      <c r="BN44" s="1321">
        <f t="shared" si="25"/>
        <v>0</v>
      </c>
      <c r="BO44" s="1322"/>
      <c r="BP44" s="1321">
        <f t="shared" si="26"/>
        <v>0</v>
      </c>
      <c r="BQ44" s="1322"/>
      <c r="BR44" s="1321">
        <f t="shared" si="27"/>
        <v>0</v>
      </c>
      <c r="BS44" s="1322"/>
      <c r="BT44" s="1321">
        <f t="shared" si="28"/>
        <v>0</v>
      </c>
      <c r="BU44" s="1322"/>
      <c r="BV44" s="1321">
        <f t="shared" si="29"/>
        <v>0</v>
      </c>
      <c r="BW44" s="1322"/>
      <c r="BX44" s="1321">
        <f t="shared" si="30"/>
        <v>0</v>
      </c>
      <c r="BY44" s="1322"/>
      <c r="BZ44" s="1321">
        <f t="shared" si="31"/>
        <v>0</v>
      </c>
      <c r="CA44" s="1322"/>
      <c r="CB44" s="1321">
        <f t="shared" si="32"/>
        <v>0</v>
      </c>
      <c r="CC44" s="1322"/>
      <c r="CD44" s="1321">
        <f t="shared" si="33"/>
        <v>0</v>
      </c>
      <c r="CE44" s="1322"/>
      <c r="CF44" s="1321">
        <f t="shared" si="34"/>
        <v>0</v>
      </c>
      <c r="CG44" s="1322"/>
      <c r="CH44" s="1321">
        <f t="shared" si="35"/>
        <v>0</v>
      </c>
      <c r="CI44" s="1322"/>
      <c r="CJ44" s="1321">
        <f t="shared" si="36"/>
        <v>0</v>
      </c>
      <c r="CK44" s="1322"/>
      <c r="CL44" s="1321">
        <f t="shared" si="37"/>
        <v>0</v>
      </c>
      <c r="CM44" s="1322"/>
      <c r="CN44" s="1321">
        <f t="shared" si="38"/>
        <v>0</v>
      </c>
      <c r="CO44" s="1322"/>
      <c r="CP44" s="1321">
        <f t="shared" si="39"/>
        <v>0</v>
      </c>
      <c r="CQ44" s="1322"/>
      <c r="CR44" s="1321">
        <f t="shared" si="40"/>
        <v>0</v>
      </c>
      <c r="CS44" s="1322"/>
      <c r="CT44" s="1321">
        <f t="shared" si="41"/>
        <v>0</v>
      </c>
      <c r="CU44" s="1322"/>
      <c r="CV44" s="1321">
        <f t="shared" si="42"/>
        <v>0</v>
      </c>
      <c r="CW44" s="1322"/>
      <c r="CX44" s="1321">
        <f t="shared" si="43"/>
        <v>0</v>
      </c>
      <c r="CY44" s="1322"/>
      <c r="CZ44" s="1321">
        <f t="shared" si="44"/>
        <v>0</v>
      </c>
      <c r="DA44" s="1322"/>
      <c r="DB44" s="1321">
        <f t="shared" si="45"/>
        <v>0</v>
      </c>
      <c r="DC44" s="1322"/>
      <c r="DD44" s="1321">
        <f t="shared" si="46"/>
        <v>0</v>
      </c>
      <c r="DE44" s="1322"/>
      <c r="DF44" s="1321">
        <f t="shared" si="47"/>
        <v>0</v>
      </c>
      <c r="DG44" s="1322"/>
      <c r="DH44" s="1321">
        <f t="shared" si="87"/>
        <v>0</v>
      </c>
      <c r="DI44" s="1322"/>
      <c r="DJ44" s="1321">
        <f t="shared" si="88"/>
        <v>0</v>
      </c>
      <c r="DK44" s="1322"/>
      <c r="DL44" s="1321">
        <f t="shared" si="89"/>
        <v>0</v>
      </c>
      <c r="DM44" s="1322"/>
      <c r="DN44" s="1321">
        <f t="shared" si="90"/>
        <v>0</v>
      </c>
      <c r="DO44" s="1322"/>
      <c r="DP44" s="1321">
        <f t="shared" si="91"/>
        <v>0</v>
      </c>
      <c r="DQ44" s="1322"/>
      <c r="DR44" s="1321">
        <f t="shared" si="92"/>
        <v>0</v>
      </c>
      <c r="DS44" s="1322"/>
      <c r="DT44" s="1321">
        <f t="shared" si="93"/>
        <v>0</v>
      </c>
      <c r="DU44" s="1322"/>
      <c r="DV44" s="1321">
        <f t="shared" si="86"/>
        <v>0</v>
      </c>
      <c r="DW44" s="1322"/>
      <c r="DX44" s="1321">
        <f t="shared" si="94"/>
        <v>0</v>
      </c>
      <c r="DY44" s="1322"/>
      <c r="DZ44" s="1321">
        <f t="shared" si="95"/>
        <v>0</v>
      </c>
      <c r="EA44" s="1322"/>
      <c r="EB44" s="1321">
        <f t="shared" si="96"/>
        <v>0</v>
      </c>
      <c r="EC44" s="1322"/>
      <c r="ED44" s="1321">
        <f t="shared" si="97"/>
        <v>0</v>
      </c>
      <c r="EE44" s="1322"/>
      <c r="EF44" s="1321">
        <f t="shared" si="98"/>
        <v>0</v>
      </c>
      <c r="EG44" s="1322"/>
      <c r="EH44" s="1321">
        <f t="shared" si="51"/>
        <v>0</v>
      </c>
      <c r="EI44" s="1322"/>
      <c r="EJ44" s="1321">
        <f t="shared" si="52"/>
        <v>0</v>
      </c>
      <c r="EK44" s="1322"/>
      <c r="EL44" s="1321">
        <f t="shared" si="53"/>
        <v>0</v>
      </c>
      <c r="EM44" s="1322"/>
      <c r="EN44" s="1321">
        <f t="shared" si="99"/>
        <v>0</v>
      </c>
      <c r="EO44" s="1322"/>
      <c r="EP44" s="1321">
        <f t="shared" si="100"/>
        <v>0</v>
      </c>
      <c r="EQ44" s="1322"/>
      <c r="ER44" s="1321">
        <f t="shared" si="55"/>
        <v>0</v>
      </c>
      <c r="ES44" s="1322"/>
      <c r="ET44" s="1321">
        <f t="shared" si="56"/>
        <v>0</v>
      </c>
      <c r="EU44" s="1322"/>
      <c r="EV44" s="1321">
        <f t="shared" si="57"/>
        <v>0</v>
      </c>
      <c r="EW44" s="1322"/>
      <c r="EX44" s="1321">
        <f t="shared" si="58"/>
        <v>0</v>
      </c>
      <c r="EY44" s="1322"/>
      <c r="EZ44" s="1321">
        <f t="shared" si="59"/>
        <v>0</v>
      </c>
      <c r="FA44" s="1322"/>
      <c r="FB44" s="1321">
        <f t="shared" si="60"/>
        <v>0</v>
      </c>
      <c r="FC44" s="1322"/>
      <c r="FD44" s="1321">
        <f t="shared" si="61"/>
        <v>0</v>
      </c>
      <c r="FE44" s="1322"/>
      <c r="FF44" s="1321">
        <f t="shared" si="62"/>
        <v>0</v>
      </c>
      <c r="FG44" s="1322"/>
      <c r="FH44" s="1321">
        <f t="shared" si="63"/>
        <v>0</v>
      </c>
      <c r="FI44" s="1322"/>
      <c r="FJ44" s="1321">
        <f t="shared" si="64"/>
        <v>0</v>
      </c>
      <c r="FK44" s="1322"/>
      <c r="FL44" s="1321">
        <f t="shared" si="65"/>
        <v>0</v>
      </c>
      <c r="FM44" s="1322"/>
      <c r="FN44" s="1321">
        <f t="shared" si="66"/>
        <v>0</v>
      </c>
      <c r="FO44" s="1322"/>
      <c r="FP44" s="1321">
        <f t="shared" si="67"/>
        <v>0</v>
      </c>
      <c r="FQ44" s="1322"/>
      <c r="FR44" s="1321">
        <f t="shared" si="68"/>
        <v>0</v>
      </c>
      <c r="FS44" s="1322"/>
      <c r="FT44" s="1321">
        <f t="shared" si="69"/>
        <v>0</v>
      </c>
      <c r="FU44" s="1322"/>
      <c r="FV44" s="1321">
        <f t="shared" si="70"/>
        <v>0</v>
      </c>
      <c r="FW44" s="1322"/>
      <c r="FX44" s="1321">
        <f t="shared" si="71"/>
        <v>0</v>
      </c>
      <c r="FY44" s="1322"/>
      <c r="FZ44" s="1321">
        <f t="shared" si="72"/>
        <v>0</v>
      </c>
      <c r="GA44" s="1322"/>
      <c r="GB44" s="1322"/>
      <c r="GC44" s="1322"/>
      <c r="GD44" s="1322"/>
      <c r="GE44" s="1322"/>
      <c r="GF44" s="1322"/>
      <c r="GG44" s="1322"/>
      <c r="GH44" s="1322"/>
      <c r="GI44" s="1322"/>
      <c r="GJ44" s="1322"/>
      <c r="GK44" s="1322"/>
      <c r="GL44" s="1322"/>
      <c r="GM44" s="1322"/>
      <c r="GN44" s="1322"/>
      <c r="GO44" s="1322"/>
      <c r="GP44" s="1322"/>
      <c r="GQ44" s="1322"/>
      <c r="GR44" s="1322"/>
      <c r="GS44" s="1322"/>
      <c r="GT44" s="1322"/>
      <c r="GU44" s="1322"/>
      <c r="GV44" s="1322"/>
      <c r="GW44" s="1322"/>
      <c r="GX44" s="1322"/>
      <c r="GY44" s="1322"/>
      <c r="GZ44" s="1322"/>
    </row>
    <row r="45" spans="1:208" hidden="1">
      <c r="A45" s="1318"/>
      <c r="B45" s="1318"/>
      <c r="C45" s="1321"/>
      <c r="D45" s="1321">
        <f t="shared" si="1"/>
        <v>0</v>
      </c>
      <c r="E45" s="1321"/>
      <c r="F45" s="1321">
        <f t="shared" si="1"/>
        <v>0</v>
      </c>
      <c r="G45" s="1322"/>
      <c r="H45" s="1321">
        <f t="shared" si="1"/>
        <v>0</v>
      </c>
      <c r="I45" s="1322"/>
      <c r="J45" s="1321">
        <f t="shared" si="1"/>
        <v>0</v>
      </c>
      <c r="K45" s="1322"/>
      <c r="L45" s="1321">
        <f t="shared" si="1"/>
        <v>0</v>
      </c>
      <c r="M45" s="1322"/>
      <c r="N45" s="1321">
        <f t="shared" si="1"/>
        <v>0</v>
      </c>
      <c r="O45" s="1322"/>
      <c r="P45" s="1321">
        <f t="shared" si="1"/>
        <v>0</v>
      </c>
      <c r="Q45" s="1322"/>
      <c r="R45" s="1321">
        <f t="shared" si="1"/>
        <v>0</v>
      </c>
      <c r="S45" s="1322"/>
      <c r="T45" s="1321">
        <f t="shared" si="1"/>
        <v>0</v>
      </c>
      <c r="U45" s="1322"/>
      <c r="V45" s="1321">
        <f t="shared" si="1"/>
        <v>0</v>
      </c>
      <c r="W45" s="1322"/>
      <c r="X45" s="1321">
        <f t="shared" si="4"/>
        <v>0</v>
      </c>
      <c r="Y45" s="1322"/>
      <c r="Z45" s="1321">
        <f t="shared" si="5"/>
        <v>0</v>
      </c>
      <c r="AA45" s="1322"/>
      <c r="AB45" s="1321">
        <f t="shared" si="6"/>
        <v>0</v>
      </c>
      <c r="AC45" s="1322"/>
      <c r="AD45" s="1321">
        <f t="shared" si="7"/>
        <v>0</v>
      </c>
      <c r="AE45" s="1322"/>
      <c r="AF45" s="1321">
        <f t="shared" si="8"/>
        <v>0</v>
      </c>
      <c r="AG45" s="1322"/>
      <c r="AH45" s="1321">
        <f t="shared" si="9"/>
        <v>0</v>
      </c>
      <c r="AI45" s="1322"/>
      <c r="AJ45" s="1321">
        <f t="shared" si="10"/>
        <v>0</v>
      </c>
      <c r="AK45" s="1322"/>
      <c r="AL45" s="1321">
        <f t="shared" si="11"/>
        <v>0</v>
      </c>
      <c r="AM45" s="1322"/>
      <c r="AN45" s="1321">
        <f t="shared" si="12"/>
        <v>0</v>
      </c>
      <c r="AO45" s="1322"/>
      <c r="AP45" s="1321">
        <f t="shared" si="13"/>
        <v>0</v>
      </c>
      <c r="AQ45" s="1322"/>
      <c r="AR45" s="1321">
        <f t="shared" si="14"/>
        <v>0</v>
      </c>
      <c r="AS45" s="1322"/>
      <c r="AT45" s="1321">
        <f t="shared" si="15"/>
        <v>0</v>
      </c>
      <c r="AU45" s="1322"/>
      <c r="AV45" s="1321">
        <f t="shared" si="16"/>
        <v>0</v>
      </c>
      <c r="AW45" s="1322"/>
      <c r="AX45" s="1321">
        <f t="shared" si="17"/>
        <v>0</v>
      </c>
      <c r="AY45" s="1322"/>
      <c r="AZ45" s="1321">
        <f t="shared" si="18"/>
        <v>0</v>
      </c>
      <c r="BA45" s="1322"/>
      <c r="BB45" s="1321">
        <f t="shared" si="19"/>
        <v>0</v>
      </c>
      <c r="BC45" s="1322"/>
      <c r="BD45" s="1321">
        <f t="shared" si="20"/>
        <v>0</v>
      </c>
      <c r="BE45" s="1322"/>
      <c r="BF45" s="1321">
        <f t="shared" si="21"/>
        <v>0</v>
      </c>
      <c r="BG45" s="1322"/>
      <c r="BH45" s="1321">
        <f t="shared" si="22"/>
        <v>0</v>
      </c>
      <c r="BI45" s="1322"/>
      <c r="BJ45" s="1321">
        <f t="shared" si="23"/>
        <v>0</v>
      </c>
      <c r="BK45" s="1322"/>
      <c r="BL45" s="1321">
        <f t="shared" si="24"/>
        <v>0</v>
      </c>
      <c r="BM45" s="1322"/>
      <c r="BN45" s="1321">
        <f t="shared" si="25"/>
        <v>0</v>
      </c>
      <c r="BO45" s="1322"/>
      <c r="BP45" s="1321">
        <f t="shared" si="26"/>
        <v>0</v>
      </c>
      <c r="BQ45" s="1322"/>
      <c r="BR45" s="1321">
        <f t="shared" si="27"/>
        <v>0</v>
      </c>
      <c r="BS45" s="1322"/>
      <c r="BT45" s="1321">
        <f t="shared" si="28"/>
        <v>0</v>
      </c>
      <c r="BU45" s="1322"/>
      <c r="BV45" s="1321">
        <f t="shared" si="29"/>
        <v>0</v>
      </c>
      <c r="BW45" s="1322"/>
      <c r="BX45" s="1321">
        <f t="shared" si="30"/>
        <v>0</v>
      </c>
      <c r="BY45" s="1322"/>
      <c r="BZ45" s="1321">
        <f t="shared" si="31"/>
        <v>0</v>
      </c>
      <c r="CA45" s="1322"/>
      <c r="CB45" s="1321">
        <f t="shared" si="32"/>
        <v>0</v>
      </c>
      <c r="CC45" s="1322"/>
      <c r="CD45" s="1321">
        <f t="shared" si="33"/>
        <v>0</v>
      </c>
      <c r="CE45" s="1322"/>
      <c r="CF45" s="1321">
        <f t="shared" si="34"/>
        <v>0</v>
      </c>
      <c r="CG45" s="1322"/>
      <c r="CH45" s="1321">
        <f t="shared" si="35"/>
        <v>0</v>
      </c>
      <c r="CI45" s="1322"/>
      <c r="CJ45" s="1321">
        <f t="shared" si="36"/>
        <v>0</v>
      </c>
      <c r="CK45" s="1322"/>
      <c r="CL45" s="1321">
        <f t="shared" si="37"/>
        <v>0</v>
      </c>
      <c r="CM45" s="1322"/>
      <c r="CN45" s="1321">
        <f t="shared" si="38"/>
        <v>0</v>
      </c>
      <c r="CO45" s="1322"/>
      <c r="CP45" s="1321">
        <f t="shared" si="39"/>
        <v>0</v>
      </c>
      <c r="CQ45" s="1322"/>
      <c r="CR45" s="1321">
        <f t="shared" si="40"/>
        <v>0</v>
      </c>
      <c r="CS45" s="1322"/>
      <c r="CT45" s="1321">
        <f t="shared" si="41"/>
        <v>0</v>
      </c>
      <c r="CU45" s="1322"/>
      <c r="CV45" s="1321">
        <f t="shared" si="42"/>
        <v>0</v>
      </c>
      <c r="CW45" s="1322"/>
      <c r="CX45" s="1321">
        <f t="shared" si="43"/>
        <v>0</v>
      </c>
      <c r="CY45" s="1322"/>
      <c r="CZ45" s="1321">
        <f t="shared" si="44"/>
        <v>0</v>
      </c>
      <c r="DA45" s="1322"/>
      <c r="DB45" s="1321">
        <f t="shared" si="45"/>
        <v>0</v>
      </c>
      <c r="DC45" s="1322"/>
      <c r="DD45" s="1321">
        <f t="shared" si="46"/>
        <v>0</v>
      </c>
      <c r="DE45" s="1322"/>
      <c r="DF45" s="1321">
        <f t="shared" si="47"/>
        <v>0</v>
      </c>
      <c r="DG45" s="1322"/>
      <c r="DH45" s="1321">
        <f t="shared" si="87"/>
        <v>0</v>
      </c>
      <c r="DI45" s="1322"/>
      <c r="DJ45" s="1321">
        <f t="shared" si="88"/>
        <v>0</v>
      </c>
      <c r="DK45" s="1322"/>
      <c r="DL45" s="1321">
        <f t="shared" si="89"/>
        <v>0</v>
      </c>
      <c r="DM45" s="1322"/>
      <c r="DN45" s="1321">
        <f t="shared" si="90"/>
        <v>0</v>
      </c>
      <c r="DO45" s="1322"/>
      <c r="DP45" s="1321">
        <f t="shared" si="91"/>
        <v>0</v>
      </c>
      <c r="DQ45" s="1322"/>
      <c r="DR45" s="1321">
        <f t="shared" si="92"/>
        <v>0</v>
      </c>
      <c r="DS45" s="1322"/>
      <c r="DT45" s="1321">
        <f t="shared" si="93"/>
        <v>0</v>
      </c>
      <c r="DU45" s="1322"/>
      <c r="DV45" s="1321">
        <f t="shared" si="86"/>
        <v>0</v>
      </c>
      <c r="DW45" s="1322"/>
      <c r="DX45" s="1321">
        <f t="shared" si="94"/>
        <v>0</v>
      </c>
      <c r="DY45" s="1322"/>
      <c r="DZ45" s="1321">
        <f t="shared" si="95"/>
        <v>0</v>
      </c>
      <c r="EA45" s="1322"/>
      <c r="EB45" s="1321">
        <f t="shared" si="96"/>
        <v>0</v>
      </c>
      <c r="EC45" s="1322"/>
      <c r="ED45" s="1321">
        <f t="shared" si="97"/>
        <v>0</v>
      </c>
      <c r="EE45" s="1322"/>
      <c r="EF45" s="1321">
        <f t="shared" si="98"/>
        <v>0</v>
      </c>
      <c r="EG45" s="1322"/>
      <c r="EH45" s="1321">
        <f t="shared" si="51"/>
        <v>0</v>
      </c>
      <c r="EI45" s="1322"/>
      <c r="EJ45" s="1321">
        <f t="shared" si="52"/>
        <v>0</v>
      </c>
      <c r="EK45" s="1322"/>
      <c r="EL45" s="1321">
        <f t="shared" si="53"/>
        <v>0</v>
      </c>
      <c r="EM45" s="1322"/>
      <c r="EN45" s="1321">
        <f t="shared" si="99"/>
        <v>0</v>
      </c>
      <c r="EO45" s="1322"/>
      <c r="EP45" s="1321">
        <f t="shared" si="100"/>
        <v>0</v>
      </c>
      <c r="EQ45" s="1322"/>
      <c r="ER45" s="1321">
        <f t="shared" si="55"/>
        <v>0</v>
      </c>
      <c r="ES45" s="1322"/>
      <c r="ET45" s="1321">
        <f t="shared" si="56"/>
        <v>0</v>
      </c>
      <c r="EU45" s="1322"/>
      <c r="EV45" s="1321">
        <f t="shared" si="57"/>
        <v>0</v>
      </c>
      <c r="EW45" s="1322"/>
      <c r="EX45" s="1321">
        <f t="shared" si="58"/>
        <v>0</v>
      </c>
      <c r="EY45" s="1322"/>
      <c r="EZ45" s="1321">
        <f t="shared" si="59"/>
        <v>0</v>
      </c>
      <c r="FA45" s="1322"/>
      <c r="FB45" s="1321">
        <f t="shared" si="60"/>
        <v>0</v>
      </c>
      <c r="FC45" s="1322"/>
      <c r="FD45" s="1321">
        <f t="shared" si="61"/>
        <v>0</v>
      </c>
      <c r="FE45" s="1322"/>
      <c r="FF45" s="1321">
        <f t="shared" si="62"/>
        <v>0</v>
      </c>
      <c r="FG45" s="1322"/>
      <c r="FH45" s="1321">
        <f t="shared" si="63"/>
        <v>0</v>
      </c>
      <c r="FI45" s="1322"/>
      <c r="FJ45" s="1321">
        <f t="shared" si="64"/>
        <v>0</v>
      </c>
      <c r="FK45" s="1322"/>
      <c r="FL45" s="1321">
        <f t="shared" si="65"/>
        <v>0</v>
      </c>
      <c r="FM45" s="1322"/>
      <c r="FN45" s="1321">
        <f t="shared" si="66"/>
        <v>0</v>
      </c>
      <c r="FO45" s="1322"/>
      <c r="FP45" s="1321">
        <f t="shared" si="67"/>
        <v>0</v>
      </c>
      <c r="FQ45" s="1322"/>
      <c r="FR45" s="1321">
        <f t="shared" si="68"/>
        <v>0</v>
      </c>
      <c r="FS45" s="1322"/>
      <c r="FT45" s="1321">
        <f t="shared" si="69"/>
        <v>0</v>
      </c>
      <c r="FU45" s="1322"/>
      <c r="FV45" s="1321">
        <f t="shared" si="70"/>
        <v>0</v>
      </c>
      <c r="FW45" s="1322"/>
      <c r="FX45" s="1321">
        <f t="shared" si="71"/>
        <v>0</v>
      </c>
      <c r="FY45" s="1322"/>
      <c r="FZ45" s="1321">
        <f t="shared" si="72"/>
        <v>0</v>
      </c>
      <c r="GA45" s="1322"/>
      <c r="GB45" s="1322"/>
      <c r="GC45" s="1322"/>
      <c r="GD45" s="1322"/>
      <c r="GE45" s="1322"/>
      <c r="GF45" s="1322"/>
      <c r="GG45" s="1322"/>
      <c r="GH45" s="1322"/>
      <c r="GI45" s="1322"/>
      <c r="GJ45" s="1322"/>
      <c r="GK45" s="1322"/>
      <c r="GL45" s="1322"/>
      <c r="GM45" s="1322"/>
      <c r="GN45" s="1322"/>
      <c r="GO45" s="1322"/>
      <c r="GP45" s="1322"/>
      <c r="GQ45" s="1322"/>
      <c r="GR45" s="1322"/>
      <c r="GS45" s="1322"/>
      <c r="GT45" s="1322"/>
      <c r="GU45" s="1322"/>
      <c r="GV45" s="1322"/>
      <c r="GW45" s="1322"/>
      <c r="GX45" s="1322"/>
      <c r="GY45" s="1322"/>
      <c r="GZ45" s="1322"/>
    </row>
    <row r="46" spans="1:208" hidden="1">
      <c r="A46" s="1318"/>
      <c r="B46" s="1318"/>
      <c r="C46" s="1321"/>
      <c r="D46" s="1321">
        <f t="shared" si="1"/>
        <v>0</v>
      </c>
      <c r="E46" s="1321"/>
      <c r="F46" s="1321">
        <f t="shared" si="1"/>
        <v>0</v>
      </c>
      <c r="G46" s="1322"/>
      <c r="H46" s="1321">
        <f t="shared" si="1"/>
        <v>0</v>
      </c>
      <c r="I46" s="1322"/>
      <c r="J46" s="1321">
        <f t="shared" si="1"/>
        <v>0</v>
      </c>
      <c r="K46" s="1322"/>
      <c r="L46" s="1321">
        <f t="shared" si="1"/>
        <v>0</v>
      </c>
      <c r="M46" s="1322"/>
      <c r="N46" s="1321">
        <f t="shared" si="1"/>
        <v>0</v>
      </c>
      <c r="O46" s="1322"/>
      <c r="P46" s="1321">
        <f t="shared" si="1"/>
        <v>0</v>
      </c>
      <c r="Q46" s="1322"/>
      <c r="R46" s="1321">
        <f t="shared" si="1"/>
        <v>0</v>
      </c>
      <c r="S46" s="1322"/>
      <c r="T46" s="1321">
        <f t="shared" si="1"/>
        <v>0</v>
      </c>
      <c r="U46" s="1322"/>
      <c r="V46" s="1321">
        <f t="shared" si="1"/>
        <v>0</v>
      </c>
      <c r="W46" s="1322"/>
      <c r="X46" s="1321">
        <f t="shared" si="4"/>
        <v>0</v>
      </c>
      <c r="Y46" s="1322"/>
      <c r="Z46" s="1321">
        <f t="shared" si="5"/>
        <v>0</v>
      </c>
      <c r="AA46" s="1322"/>
      <c r="AB46" s="1321">
        <f t="shared" si="6"/>
        <v>0</v>
      </c>
      <c r="AC46" s="1322"/>
      <c r="AD46" s="1321">
        <f t="shared" si="7"/>
        <v>0</v>
      </c>
      <c r="AE46" s="1322"/>
      <c r="AF46" s="1321">
        <f t="shared" si="8"/>
        <v>0</v>
      </c>
      <c r="AG46" s="1322"/>
      <c r="AH46" s="1321">
        <f t="shared" si="9"/>
        <v>0</v>
      </c>
      <c r="AI46" s="1322"/>
      <c r="AJ46" s="1321">
        <f t="shared" si="10"/>
        <v>0</v>
      </c>
      <c r="AK46" s="1322"/>
      <c r="AL46" s="1321">
        <f t="shared" si="11"/>
        <v>0</v>
      </c>
      <c r="AM46" s="1322"/>
      <c r="AN46" s="1321">
        <f t="shared" si="12"/>
        <v>0</v>
      </c>
      <c r="AO46" s="1322"/>
      <c r="AP46" s="1321">
        <f t="shared" si="13"/>
        <v>0</v>
      </c>
      <c r="AQ46" s="1322"/>
      <c r="AR46" s="1321">
        <f t="shared" si="14"/>
        <v>0</v>
      </c>
      <c r="AS46" s="1322"/>
      <c r="AT46" s="1321">
        <f t="shared" si="15"/>
        <v>0</v>
      </c>
      <c r="AU46" s="1322"/>
      <c r="AV46" s="1321">
        <f t="shared" si="16"/>
        <v>0</v>
      </c>
      <c r="AW46" s="1322"/>
      <c r="AX46" s="1321">
        <f t="shared" si="17"/>
        <v>0</v>
      </c>
      <c r="AY46" s="1322"/>
      <c r="AZ46" s="1321">
        <f t="shared" si="18"/>
        <v>0</v>
      </c>
      <c r="BA46" s="1322"/>
      <c r="BB46" s="1321">
        <f t="shared" si="19"/>
        <v>0</v>
      </c>
      <c r="BC46" s="1322"/>
      <c r="BD46" s="1321">
        <f t="shared" si="20"/>
        <v>0</v>
      </c>
      <c r="BE46" s="1322"/>
      <c r="BF46" s="1321">
        <f t="shared" si="21"/>
        <v>0</v>
      </c>
      <c r="BG46" s="1322"/>
      <c r="BH46" s="1321">
        <f t="shared" si="22"/>
        <v>0</v>
      </c>
      <c r="BI46" s="1322"/>
      <c r="BJ46" s="1321">
        <f t="shared" si="23"/>
        <v>0</v>
      </c>
      <c r="BK46" s="1322"/>
      <c r="BL46" s="1321">
        <f t="shared" si="24"/>
        <v>0</v>
      </c>
      <c r="BM46" s="1322"/>
      <c r="BN46" s="1321">
        <f t="shared" si="25"/>
        <v>0</v>
      </c>
      <c r="BO46" s="1322"/>
      <c r="BP46" s="1321">
        <f t="shared" si="26"/>
        <v>0</v>
      </c>
      <c r="BQ46" s="1322"/>
      <c r="BR46" s="1321">
        <f t="shared" si="27"/>
        <v>0</v>
      </c>
      <c r="BS46" s="1322"/>
      <c r="BT46" s="1321">
        <f t="shared" si="28"/>
        <v>0</v>
      </c>
      <c r="BU46" s="1322"/>
      <c r="BV46" s="1321">
        <f t="shared" si="29"/>
        <v>0</v>
      </c>
      <c r="BW46" s="1322"/>
      <c r="BX46" s="1321">
        <f t="shared" si="30"/>
        <v>0</v>
      </c>
      <c r="BY46" s="1322"/>
      <c r="BZ46" s="1321">
        <f t="shared" si="31"/>
        <v>0</v>
      </c>
      <c r="CA46" s="1322"/>
      <c r="CB46" s="1321">
        <f t="shared" si="32"/>
        <v>0</v>
      </c>
      <c r="CC46" s="1322"/>
      <c r="CD46" s="1321">
        <f t="shared" si="33"/>
        <v>0</v>
      </c>
      <c r="CE46" s="1322"/>
      <c r="CF46" s="1321">
        <f t="shared" si="34"/>
        <v>0</v>
      </c>
      <c r="CG46" s="1322"/>
      <c r="CH46" s="1321">
        <f t="shared" si="35"/>
        <v>0</v>
      </c>
      <c r="CI46" s="1322"/>
      <c r="CJ46" s="1321">
        <f t="shared" si="36"/>
        <v>0</v>
      </c>
      <c r="CK46" s="1322"/>
      <c r="CL46" s="1321">
        <f t="shared" si="37"/>
        <v>0</v>
      </c>
      <c r="CM46" s="1322"/>
      <c r="CN46" s="1321">
        <f t="shared" si="38"/>
        <v>0</v>
      </c>
      <c r="CO46" s="1322"/>
      <c r="CP46" s="1321">
        <f t="shared" si="39"/>
        <v>0</v>
      </c>
      <c r="CQ46" s="1322"/>
      <c r="CR46" s="1321">
        <f t="shared" si="40"/>
        <v>0</v>
      </c>
      <c r="CS46" s="1322"/>
      <c r="CT46" s="1321">
        <f t="shared" si="41"/>
        <v>0</v>
      </c>
      <c r="CU46" s="1322"/>
      <c r="CV46" s="1321">
        <f t="shared" si="42"/>
        <v>0</v>
      </c>
      <c r="CW46" s="1322"/>
      <c r="CX46" s="1321">
        <f t="shared" si="43"/>
        <v>0</v>
      </c>
      <c r="CY46" s="1322"/>
      <c r="CZ46" s="1321">
        <f t="shared" si="44"/>
        <v>0</v>
      </c>
      <c r="DA46" s="1322"/>
      <c r="DB46" s="1321">
        <f t="shared" si="45"/>
        <v>0</v>
      </c>
      <c r="DC46" s="1322"/>
      <c r="DD46" s="1321">
        <f t="shared" si="46"/>
        <v>0</v>
      </c>
      <c r="DE46" s="1322"/>
      <c r="DF46" s="1321">
        <f t="shared" si="47"/>
        <v>0</v>
      </c>
      <c r="DG46" s="1322"/>
      <c r="DH46" s="1321">
        <f t="shared" si="87"/>
        <v>0</v>
      </c>
      <c r="DI46" s="1322"/>
      <c r="DJ46" s="1321">
        <f t="shared" si="88"/>
        <v>0</v>
      </c>
      <c r="DK46" s="1322"/>
      <c r="DL46" s="1321">
        <f t="shared" si="89"/>
        <v>0</v>
      </c>
      <c r="DM46" s="1322"/>
      <c r="DN46" s="1321">
        <f t="shared" si="90"/>
        <v>0</v>
      </c>
      <c r="DO46" s="1322"/>
      <c r="DP46" s="1321">
        <f t="shared" si="91"/>
        <v>0</v>
      </c>
      <c r="DQ46" s="1322"/>
      <c r="DR46" s="1321">
        <f t="shared" si="92"/>
        <v>0</v>
      </c>
      <c r="DS46" s="1322"/>
      <c r="DT46" s="1321">
        <f t="shared" si="93"/>
        <v>0</v>
      </c>
      <c r="DU46" s="1322"/>
      <c r="DV46" s="1321">
        <f t="shared" si="86"/>
        <v>0</v>
      </c>
      <c r="DW46" s="1322"/>
      <c r="DX46" s="1321">
        <f t="shared" si="94"/>
        <v>0</v>
      </c>
      <c r="DY46" s="1322"/>
      <c r="DZ46" s="1321">
        <f t="shared" si="95"/>
        <v>0</v>
      </c>
      <c r="EA46" s="1322"/>
      <c r="EB46" s="1321">
        <f t="shared" si="96"/>
        <v>0</v>
      </c>
      <c r="EC46" s="1322"/>
      <c r="ED46" s="1321">
        <f t="shared" si="97"/>
        <v>0</v>
      </c>
      <c r="EE46" s="1322"/>
      <c r="EF46" s="1321">
        <f t="shared" si="98"/>
        <v>0</v>
      </c>
      <c r="EG46" s="1322"/>
      <c r="EH46" s="1321">
        <f t="shared" si="51"/>
        <v>0</v>
      </c>
      <c r="EI46" s="1322"/>
      <c r="EJ46" s="1321">
        <f t="shared" si="52"/>
        <v>0</v>
      </c>
      <c r="EK46" s="1322"/>
      <c r="EL46" s="1321">
        <f t="shared" si="53"/>
        <v>0</v>
      </c>
      <c r="EM46" s="1322"/>
      <c r="EN46" s="1321">
        <f t="shared" si="99"/>
        <v>0</v>
      </c>
      <c r="EO46" s="1322"/>
      <c r="EP46" s="1321">
        <f t="shared" si="100"/>
        <v>0</v>
      </c>
      <c r="EQ46" s="1322"/>
      <c r="ER46" s="1321">
        <f t="shared" si="55"/>
        <v>0</v>
      </c>
      <c r="ES46" s="1322"/>
      <c r="ET46" s="1321">
        <f t="shared" si="56"/>
        <v>0</v>
      </c>
      <c r="EU46" s="1322"/>
      <c r="EV46" s="1321">
        <f t="shared" si="57"/>
        <v>0</v>
      </c>
      <c r="EW46" s="1322"/>
      <c r="EX46" s="1321">
        <f t="shared" si="58"/>
        <v>0</v>
      </c>
      <c r="EY46" s="1322"/>
      <c r="EZ46" s="1321">
        <f t="shared" si="59"/>
        <v>0</v>
      </c>
      <c r="FA46" s="1322"/>
      <c r="FB46" s="1321">
        <f t="shared" si="60"/>
        <v>0</v>
      </c>
      <c r="FC46" s="1322"/>
      <c r="FD46" s="1321">
        <f t="shared" si="61"/>
        <v>0</v>
      </c>
      <c r="FE46" s="1322"/>
      <c r="FF46" s="1321">
        <f t="shared" si="62"/>
        <v>0</v>
      </c>
      <c r="FG46" s="1322"/>
      <c r="FH46" s="1321">
        <f t="shared" si="63"/>
        <v>0</v>
      </c>
      <c r="FI46" s="1322"/>
      <c r="FJ46" s="1321">
        <f t="shared" si="64"/>
        <v>0</v>
      </c>
      <c r="FK46" s="1322"/>
      <c r="FL46" s="1321">
        <f t="shared" si="65"/>
        <v>0</v>
      </c>
      <c r="FM46" s="1322"/>
      <c r="FN46" s="1321">
        <f t="shared" si="66"/>
        <v>0</v>
      </c>
      <c r="FO46" s="1322"/>
      <c r="FP46" s="1321">
        <f t="shared" si="67"/>
        <v>0</v>
      </c>
      <c r="FQ46" s="1322"/>
      <c r="FR46" s="1321">
        <f t="shared" si="68"/>
        <v>0</v>
      </c>
      <c r="FS46" s="1322"/>
      <c r="FT46" s="1321">
        <f t="shared" si="69"/>
        <v>0</v>
      </c>
      <c r="FU46" s="1322"/>
      <c r="FV46" s="1321">
        <f t="shared" si="70"/>
        <v>0</v>
      </c>
      <c r="FW46" s="1322"/>
      <c r="FX46" s="1321">
        <f t="shared" si="71"/>
        <v>0</v>
      </c>
      <c r="FY46" s="1322"/>
      <c r="FZ46" s="1321">
        <f t="shared" si="72"/>
        <v>0</v>
      </c>
      <c r="GA46" s="1322"/>
      <c r="GB46" s="1322"/>
      <c r="GC46" s="1322"/>
      <c r="GD46" s="1322"/>
      <c r="GE46" s="1322"/>
      <c r="GF46" s="1322"/>
      <c r="GG46" s="1322"/>
      <c r="GH46" s="1322"/>
      <c r="GI46" s="1322"/>
      <c r="GJ46" s="1322"/>
      <c r="GK46" s="1322"/>
      <c r="GL46" s="1322"/>
      <c r="GM46" s="1322"/>
      <c r="GN46" s="1322"/>
      <c r="GO46" s="1322"/>
      <c r="GP46" s="1322"/>
      <c r="GQ46" s="1322"/>
      <c r="GR46" s="1322"/>
      <c r="GS46" s="1322"/>
      <c r="GT46" s="1322"/>
      <c r="GU46" s="1322"/>
      <c r="GV46" s="1322"/>
      <c r="GW46" s="1322"/>
      <c r="GX46" s="1322"/>
      <c r="GY46" s="1322"/>
      <c r="GZ46" s="1322"/>
    </row>
    <row r="47" spans="1:208" hidden="1">
      <c r="A47" s="1318"/>
      <c r="B47" s="1318"/>
      <c r="C47" s="1321"/>
      <c r="D47" s="1321">
        <f t="shared" si="1"/>
        <v>0</v>
      </c>
      <c r="E47" s="1321"/>
      <c r="F47" s="1321">
        <f t="shared" si="1"/>
        <v>0</v>
      </c>
      <c r="G47" s="1322"/>
      <c r="H47" s="1321">
        <f t="shared" si="1"/>
        <v>0</v>
      </c>
      <c r="I47" s="1322"/>
      <c r="J47" s="1321">
        <f t="shared" si="1"/>
        <v>0</v>
      </c>
      <c r="K47" s="1322"/>
      <c r="L47" s="1321">
        <f t="shared" si="1"/>
        <v>0</v>
      </c>
      <c r="M47" s="1322"/>
      <c r="N47" s="1321">
        <f t="shared" si="1"/>
        <v>0</v>
      </c>
      <c r="O47" s="1322"/>
      <c r="P47" s="1321">
        <f t="shared" si="1"/>
        <v>0</v>
      </c>
      <c r="Q47" s="1322"/>
      <c r="R47" s="1321">
        <f t="shared" si="1"/>
        <v>0</v>
      </c>
      <c r="S47" s="1322"/>
      <c r="T47" s="1321">
        <f t="shared" si="1"/>
        <v>0</v>
      </c>
      <c r="U47" s="1322"/>
      <c r="V47" s="1321">
        <f t="shared" ref="V47:V60" si="101">T47-U47</f>
        <v>0</v>
      </c>
      <c r="W47" s="1322"/>
      <c r="X47" s="1321">
        <f t="shared" si="4"/>
        <v>0</v>
      </c>
      <c r="Y47" s="1322"/>
      <c r="Z47" s="1321">
        <f t="shared" si="5"/>
        <v>0</v>
      </c>
      <c r="AA47" s="1322"/>
      <c r="AB47" s="1321">
        <f t="shared" si="6"/>
        <v>0</v>
      </c>
      <c r="AC47" s="1322"/>
      <c r="AD47" s="1321">
        <f t="shared" si="7"/>
        <v>0</v>
      </c>
      <c r="AE47" s="1322"/>
      <c r="AF47" s="1321">
        <f t="shared" si="8"/>
        <v>0</v>
      </c>
      <c r="AG47" s="1322"/>
      <c r="AH47" s="1321">
        <f t="shared" si="9"/>
        <v>0</v>
      </c>
      <c r="AI47" s="1322"/>
      <c r="AJ47" s="1321">
        <f t="shared" si="10"/>
        <v>0</v>
      </c>
      <c r="AK47" s="1322"/>
      <c r="AL47" s="1321">
        <f t="shared" si="11"/>
        <v>0</v>
      </c>
      <c r="AM47" s="1322"/>
      <c r="AN47" s="1321">
        <f t="shared" si="12"/>
        <v>0</v>
      </c>
      <c r="AO47" s="1322"/>
      <c r="AP47" s="1321">
        <f t="shared" si="13"/>
        <v>0</v>
      </c>
      <c r="AQ47" s="1322"/>
      <c r="AR47" s="1321">
        <f t="shared" si="14"/>
        <v>0</v>
      </c>
      <c r="AS47" s="1322"/>
      <c r="AT47" s="1321">
        <f t="shared" si="15"/>
        <v>0</v>
      </c>
      <c r="AU47" s="1322"/>
      <c r="AV47" s="1321">
        <f t="shared" si="16"/>
        <v>0</v>
      </c>
      <c r="AW47" s="1322"/>
      <c r="AX47" s="1321">
        <f t="shared" si="17"/>
        <v>0</v>
      </c>
      <c r="AY47" s="1322"/>
      <c r="AZ47" s="1321">
        <f t="shared" si="18"/>
        <v>0</v>
      </c>
      <c r="BA47" s="1322"/>
      <c r="BB47" s="1321">
        <f t="shared" si="19"/>
        <v>0</v>
      </c>
      <c r="BC47" s="1322"/>
      <c r="BD47" s="1321">
        <f t="shared" si="20"/>
        <v>0</v>
      </c>
      <c r="BE47" s="1322"/>
      <c r="BF47" s="1321">
        <f t="shared" si="21"/>
        <v>0</v>
      </c>
      <c r="BG47" s="1322"/>
      <c r="BH47" s="1321">
        <f t="shared" si="22"/>
        <v>0</v>
      </c>
      <c r="BI47" s="1322"/>
      <c r="BJ47" s="1321">
        <f t="shared" si="23"/>
        <v>0</v>
      </c>
      <c r="BK47" s="1322"/>
      <c r="BL47" s="1321">
        <f t="shared" si="24"/>
        <v>0</v>
      </c>
      <c r="BM47" s="1322"/>
      <c r="BN47" s="1321">
        <f t="shared" si="25"/>
        <v>0</v>
      </c>
      <c r="BO47" s="1322"/>
      <c r="BP47" s="1321">
        <f t="shared" si="26"/>
        <v>0</v>
      </c>
      <c r="BQ47" s="1322"/>
      <c r="BR47" s="1321">
        <f t="shared" si="27"/>
        <v>0</v>
      </c>
      <c r="BS47" s="1322"/>
      <c r="BT47" s="1321">
        <f t="shared" si="28"/>
        <v>0</v>
      </c>
      <c r="BU47" s="1322"/>
      <c r="BV47" s="1321">
        <f t="shared" si="29"/>
        <v>0</v>
      </c>
      <c r="BW47" s="1322"/>
      <c r="BX47" s="1321">
        <f t="shared" si="30"/>
        <v>0</v>
      </c>
      <c r="BY47" s="1322"/>
      <c r="BZ47" s="1321">
        <f t="shared" si="31"/>
        <v>0</v>
      </c>
      <c r="CA47" s="1322"/>
      <c r="CB47" s="1321">
        <f t="shared" si="32"/>
        <v>0</v>
      </c>
      <c r="CC47" s="1322"/>
      <c r="CD47" s="1321">
        <f t="shared" si="33"/>
        <v>0</v>
      </c>
      <c r="CE47" s="1322"/>
      <c r="CF47" s="1321">
        <f t="shared" si="34"/>
        <v>0</v>
      </c>
      <c r="CG47" s="1322"/>
      <c r="CH47" s="1321">
        <f t="shared" si="35"/>
        <v>0</v>
      </c>
      <c r="CI47" s="1322"/>
      <c r="CJ47" s="1321">
        <f t="shared" si="36"/>
        <v>0</v>
      </c>
      <c r="CK47" s="1322"/>
      <c r="CL47" s="1321">
        <f t="shared" si="37"/>
        <v>0</v>
      </c>
      <c r="CM47" s="1322"/>
      <c r="CN47" s="1321">
        <f t="shared" si="38"/>
        <v>0</v>
      </c>
      <c r="CO47" s="1322"/>
      <c r="CP47" s="1321">
        <f t="shared" si="39"/>
        <v>0</v>
      </c>
      <c r="CQ47" s="1322"/>
      <c r="CR47" s="1321">
        <f t="shared" si="40"/>
        <v>0</v>
      </c>
      <c r="CS47" s="1322"/>
      <c r="CT47" s="1321">
        <f t="shared" si="41"/>
        <v>0</v>
      </c>
      <c r="CU47" s="1322"/>
      <c r="CV47" s="1321">
        <f t="shared" si="42"/>
        <v>0</v>
      </c>
      <c r="CW47" s="1322"/>
      <c r="CX47" s="1321">
        <f t="shared" si="43"/>
        <v>0</v>
      </c>
      <c r="CY47" s="1322"/>
      <c r="CZ47" s="1321">
        <f t="shared" si="44"/>
        <v>0</v>
      </c>
      <c r="DA47" s="1322"/>
      <c r="DB47" s="1321">
        <f t="shared" si="45"/>
        <v>0</v>
      </c>
      <c r="DC47" s="1322"/>
      <c r="DD47" s="1321">
        <f t="shared" si="46"/>
        <v>0</v>
      </c>
      <c r="DE47" s="1322"/>
      <c r="DF47" s="1321">
        <f t="shared" si="47"/>
        <v>0</v>
      </c>
      <c r="DG47" s="1322"/>
      <c r="DH47" s="1321">
        <f t="shared" si="87"/>
        <v>0</v>
      </c>
      <c r="DI47" s="1322"/>
      <c r="DJ47" s="1321">
        <f t="shared" si="88"/>
        <v>0</v>
      </c>
      <c r="DK47" s="1322"/>
      <c r="DL47" s="1321">
        <f t="shared" si="89"/>
        <v>0</v>
      </c>
      <c r="DM47" s="1322"/>
      <c r="DN47" s="1321">
        <f t="shared" si="90"/>
        <v>0</v>
      </c>
      <c r="DO47" s="1322"/>
      <c r="DP47" s="1321">
        <f t="shared" si="91"/>
        <v>0</v>
      </c>
      <c r="DQ47" s="1322"/>
      <c r="DR47" s="1321">
        <f t="shared" si="92"/>
        <v>0</v>
      </c>
      <c r="DS47" s="1322"/>
      <c r="DT47" s="1321">
        <f t="shared" si="93"/>
        <v>0</v>
      </c>
      <c r="DU47" s="1322"/>
      <c r="DV47" s="1321">
        <f t="shared" si="86"/>
        <v>0</v>
      </c>
      <c r="DW47" s="1322"/>
      <c r="DX47" s="1321">
        <f t="shared" si="94"/>
        <v>0</v>
      </c>
      <c r="DY47" s="1322"/>
      <c r="DZ47" s="1321">
        <f t="shared" si="95"/>
        <v>0</v>
      </c>
      <c r="EA47" s="1322"/>
      <c r="EB47" s="1321">
        <f t="shared" si="96"/>
        <v>0</v>
      </c>
      <c r="EC47" s="1322"/>
      <c r="ED47" s="1321">
        <f t="shared" si="97"/>
        <v>0</v>
      </c>
      <c r="EE47" s="1322"/>
      <c r="EF47" s="1321">
        <f t="shared" si="98"/>
        <v>0</v>
      </c>
      <c r="EG47" s="1322"/>
      <c r="EH47" s="1321">
        <f t="shared" si="51"/>
        <v>0</v>
      </c>
      <c r="EI47" s="1322"/>
      <c r="EJ47" s="1321">
        <f t="shared" si="52"/>
        <v>0</v>
      </c>
      <c r="EK47" s="1322"/>
      <c r="EL47" s="1321">
        <f t="shared" si="53"/>
        <v>0</v>
      </c>
      <c r="EM47" s="1322"/>
      <c r="EN47" s="1321">
        <f t="shared" si="99"/>
        <v>0</v>
      </c>
      <c r="EO47" s="1322"/>
      <c r="EP47" s="1321">
        <f t="shared" si="100"/>
        <v>0</v>
      </c>
      <c r="EQ47" s="1322"/>
      <c r="ER47" s="1321">
        <f t="shared" si="55"/>
        <v>0</v>
      </c>
      <c r="ES47" s="1322"/>
      <c r="ET47" s="1321">
        <f t="shared" si="56"/>
        <v>0</v>
      </c>
      <c r="EU47" s="1322"/>
      <c r="EV47" s="1321">
        <f t="shared" si="57"/>
        <v>0</v>
      </c>
      <c r="EW47" s="1322"/>
      <c r="EX47" s="1321">
        <f t="shared" si="58"/>
        <v>0</v>
      </c>
      <c r="EY47" s="1322"/>
      <c r="EZ47" s="1321">
        <f t="shared" si="59"/>
        <v>0</v>
      </c>
      <c r="FA47" s="1322"/>
      <c r="FB47" s="1321">
        <f t="shared" si="60"/>
        <v>0</v>
      </c>
      <c r="FC47" s="1322"/>
      <c r="FD47" s="1321">
        <f t="shared" si="61"/>
        <v>0</v>
      </c>
      <c r="FE47" s="1322"/>
      <c r="FF47" s="1321">
        <f t="shared" si="62"/>
        <v>0</v>
      </c>
      <c r="FG47" s="1322"/>
      <c r="FH47" s="1321">
        <f t="shared" si="63"/>
        <v>0</v>
      </c>
      <c r="FI47" s="1322"/>
      <c r="FJ47" s="1321">
        <f t="shared" si="64"/>
        <v>0</v>
      </c>
      <c r="FK47" s="1322"/>
      <c r="FL47" s="1321">
        <f t="shared" si="65"/>
        <v>0</v>
      </c>
      <c r="FM47" s="1322"/>
      <c r="FN47" s="1321">
        <f t="shared" si="66"/>
        <v>0</v>
      </c>
      <c r="FO47" s="1322"/>
      <c r="FP47" s="1321">
        <f t="shared" si="67"/>
        <v>0</v>
      </c>
      <c r="FQ47" s="1322"/>
      <c r="FR47" s="1321">
        <f t="shared" si="68"/>
        <v>0</v>
      </c>
      <c r="FS47" s="1322"/>
      <c r="FT47" s="1321">
        <f t="shared" si="69"/>
        <v>0</v>
      </c>
      <c r="FU47" s="1322"/>
      <c r="FV47" s="1321">
        <f t="shared" si="70"/>
        <v>0</v>
      </c>
      <c r="FW47" s="1322"/>
      <c r="FX47" s="1321">
        <f t="shared" si="71"/>
        <v>0</v>
      </c>
      <c r="FY47" s="1322"/>
      <c r="FZ47" s="1321">
        <f t="shared" si="72"/>
        <v>0</v>
      </c>
      <c r="GA47" s="1322"/>
      <c r="GB47" s="1322"/>
      <c r="GC47" s="1322"/>
      <c r="GD47" s="1322"/>
      <c r="GE47" s="1322"/>
      <c r="GF47" s="1322"/>
      <c r="GG47" s="1322"/>
      <c r="GH47" s="1322"/>
      <c r="GI47" s="1322"/>
      <c r="GJ47" s="1322"/>
      <c r="GK47" s="1322"/>
      <c r="GL47" s="1322"/>
      <c r="GM47" s="1322"/>
      <c r="GN47" s="1322"/>
      <c r="GO47" s="1322"/>
      <c r="GP47" s="1322"/>
      <c r="GQ47" s="1322"/>
      <c r="GR47" s="1322"/>
      <c r="GS47" s="1322"/>
      <c r="GT47" s="1322"/>
      <c r="GU47" s="1322"/>
      <c r="GV47" s="1322"/>
      <c r="GW47" s="1322"/>
      <c r="GX47" s="1322"/>
      <c r="GY47" s="1322"/>
      <c r="GZ47" s="1322"/>
    </row>
    <row r="48" spans="1:208" hidden="1">
      <c r="A48" s="1318"/>
      <c r="B48" s="1318"/>
      <c r="C48" s="1321"/>
      <c r="D48" s="1321">
        <f t="shared" si="1"/>
        <v>0</v>
      </c>
      <c r="E48" s="1321"/>
      <c r="F48" s="1321">
        <f t="shared" si="1"/>
        <v>0</v>
      </c>
      <c r="G48" s="1322"/>
      <c r="H48" s="1321">
        <f t="shared" si="1"/>
        <v>0</v>
      </c>
      <c r="I48" s="1322"/>
      <c r="J48" s="1321">
        <f t="shared" si="1"/>
        <v>0</v>
      </c>
      <c r="K48" s="1322"/>
      <c r="L48" s="1321">
        <f t="shared" si="1"/>
        <v>0</v>
      </c>
      <c r="M48" s="1322"/>
      <c r="N48" s="1321">
        <f t="shared" si="1"/>
        <v>0</v>
      </c>
      <c r="O48" s="1322"/>
      <c r="P48" s="1321">
        <f t="shared" si="1"/>
        <v>0</v>
      </c>
      <c r="Q48" s="1322"/>
      <c r="R48" s="1321">
        <f t="shared" si="1"/>
        <v>0</v>
      </c>
      <c r="S48" s="1322"/>
      <c r="T48" s="1321">
        <f t="shared" si="1"/>
        <v>0</v>
      </c>
      <c r="U48" s="1322"/>
      <c r="V48" s="1321">
        <f t="shared" si="101"/>
        <v>0</v>
      </c>
      <c r="W48" s="1322"/>
      <c r="X48" s="1321">
        <f t="shared" si="4"/>
        <v>0</v>
      </c>
      <c r="Y48" s="1322"/>
      <c r="Z48" s="1321">
        <f t="shared" si="5"/>
        <v>0</v>
      </c>
      <c r="AA48" s="1322"/>
      <c r="AB48" s="1321">
        <f t="shared" si="6"/>
        <v>0</v>
      </c>
      <c r="AC48" s="1322"/>
      <c r="AD48" s="1321">
        <f t="shared" si="7"/>
        <v>0</v>
      </c>
      <c r="AE48" s="1322"/>
      <c r="AF48" s="1321">
        <f t="shared" si="8"/>
        <v>0</v>
      </c>
      <c r="AG48" s="1322"/>
      <c r="AH48" s="1321">
        <f t="shared" si="9"/>
        <v>0</v>
      </c>
      <c r="AI48" s="1322"/>
      <c r="AJ48" s="1321">
        <f t="shared" si="10"/>
        <v>0</v>
      </c>
      <c r="AK48" s="1322"/>
      <c r="AL48" s="1321">
        <f t="shared" si="11"/>
        <v>0</v>
      </c>
      <c r="AM48" s="1322"/>
      <c r="AN48" s="1321">
        <f t="shared" si="12"/>
        <v>0</v>
      </c>
      <c r="AO48" s="1322"/>
      <c r="AP48" s="1321">
        <f t="shared" si="13"/>
        <v>0</v>
      </c>
      <c r="AQ48" s="1322"/>
      <c r="AR48" s="1321">
        <f t="shared" si="14"/>
        <v>0</v>
      </c>
      <c r="AS48" s="1322"/>
      <c r="AT48" s="1321">
        <f t="shared" si="15"/>
        <v>0</v>
      </c>
      <c r="AU48" s="1322"/>
      <c r="AV48" s="1321">
        <f t="shared" si="16"/>
        <v>0</v>
      </c>
      <c r="AW48" s="1322"/>
      <c r="AX48" s="1321">
        <f t="shared" si="17"/>
        <v>0</v>
      </c>
      <c r="AY48" s="1322"/>
      <c r="AZ48" s="1321">
        <f t="shared" si="18"/>
        <v>0</v>
      </c>
      <c r="BA48" s="1322"/>
      <c r="BB48" s="1321">
        <f t="shared" si="19"/>
        <v>0</v>
      </c>
      <c r="BC48" s="1322"/>
      <c r="BD48" s="1321">
        <f t="shared" si="20"/>
        <v>0</v>
      </c>
      <c r="BE48" s="1322"/>
      <c r="BF48" s="1321">
        <f t="shared" si="21"/>
        <v>0</v>
      </c>
      <c r="BG48" s="1322"/>
      <c r="BH48" s="1321">
        <f t="shared" si="22"/>
        <v>0</v>
      </c>
      <c r="BI48" s="1322"/>
      <c r="BJ48" s="1321">
        <f t="shared" si="23"/>
        <v>0</v>
      </c>
      <c r="BK48" s="1322"/>
      <c r="BL48" s="1321">
        <f t="shared" si="24"/>
        <v>0</v>
      </c>
      <c r="BM48" s="1322"/>
      <c r="BN48" s="1321">
        <f t="shared" si="25"/>
        <v>0</v>
      </c>
      <c r="BO48" s="1322"/>
      <c r="BP48" s="1321">
        <f t="shared" si="26"/>
        <v>0</v>
      </c>
      <c r="BQ48" s="1322"/>
      <c r="BR48" s="1321">
        <f t="shared" si="27"/>
        <v>0</v>
      </c>
      <c r="BS48" s="1322"/>
      <c r="BT48" s="1321">
        <f t="shared" si="28"/>
        <v>0</v>
      </c>
      <c r="BU48" s="1322"/>
      <c r="BV48" s="1321">
        <f t="shared" si="29"/>
        <v>0</v>
      </c>
      <c r="BW48" s="1322"/>
      <c r="BX48" s="1321">
        <f t="shared" si="30"/>
        <v>0</v>
      </c>
      <c r="BY48" s="1322"/>
      <c r="BZ48" s="1321">
        <f t="shared" si="31"/>
        <v>0</v>
      </c>
      <c r="CA48" s="1322"/>
      <c r="CB48" s="1321">
        <f t="shared" si="32"/>
        <v>0</v>
      </c>
      <c r="CC48" s="1322"/>
      <c r="CD48" s="1321">
        <f t="shared" si="33"/>
        <v>0</v>
      </c>
      <c r="CE48" s="1322"/>
      <c r="CF48" s="1321">
        <f t="shared" si="34"/>
        <v>0</v>
      </c>
      <c r="CG48" s="1322"/>
      <c r="CH48" s="1321">
        <f t="shared" si="35"/>
        <v>0</v>
      </c>
      <c r="CI48" s="1322"/>
      <c r="CJ48" s="1321">
        <f t="shared" si="36"/>
        <v>0</v>
      </c>
      <c r="CK48" s="1322"/>
      <c r="CL48" s="1321">
        <f t="shared" si="37"/>
        <v>0</v>
      </c>
      <c r="CM48" s="1322"/>
      <c r="CN48" s="1321">
        <f t="shared" si="38"/>
        <v>0</v>
      </c>
      <c r="CO48" s="1322"/>
      <c r="CP48" s="1321">
        <f t="shared" si="39"/>
        <v>0</v>
      </c>
      <c r="CQ48" s="1322"/>
      <c r="CR48" s="1321">
        <f t="shared" si="40"/>
        <v>0</v>
      </c>
      <c r="CS48" s="1322"/>
      <c r="CT48" s="1321">
        <f t="shared" si="41"/>
        <v>0</v>
      </c>
      <c r="CU48" s="1322"/>
      <c r="CV48" s="1321">
        <f t="shared" si="42"/>
        <v>0</v>
      </c>
      <c r="CW48" s="1322"/>
      <c r="CX48" s="1321">
        <f t="shared" si="43"/>
        <v>0</v>
      </c>
      <c r="CY48" s="1322"/>
      <c r="CZ48" s="1321">
        <f t="shared" si="44"/>
        <v>0</v>
      </c>
      <c r="DA48" s="1322"/>
      <c r="DB48" s="1321">
        <f t="shared" si="45"/>
        <v>0</v>
      </c>
      <c r="DC48" s="1322"/>
      <c r="DD48" s="1321">
        <f t="shared" si="46"/>
        <v>0</v>
      </c>
      <c r="DE48" s="1322"/>
      <c r="DF48" s="1321">
        <f t="shared" si="47"/>
        <v>0</v>
      </c>
      <c r="DG48" s="1322"/>
      <c r="DH48" s="1321">
        <f t="shared" si="87"/>
        <v>0</v>
      </c>
      <c r="DI48" s="1322"/>
      <c r="DJ48" s="1321">
        <f t="shared" si="88"/>
        <v>0</v>
      </c>
      <c r="DK48" s="1322"/>
      <c r="DL48" s="1321">
        <f t="shared" si="89"/>
        <v>0</v>
      </c>
      <c r="DM48" s="1322"/>
      <c r="DN48" s="1321">
        <f t="shared" si="90"/>
        <v>0</v>
      </c>
      <c r="DO48" s="1322"/>
      <c r="DP48" s="1321">
        <f t="shared" si="91"/>
        <v>0</v>
      </c>
      <c r="DQ48" s="1322"/>
      <c r="DR48" s="1321">
        <f t="shared" si="92"/>
        <v>0</v>
      </c>
      <c r="DS48" s="1322"/>
      <c r="DT48" s="1321">
        <f t="shared" si="93"/>
        <v>0</v>
      </c>
      <c r="DU48" s="1322"/>
      <c r="DV48" s="1321">
        <f t="shared" si="86"/>
        <v>0</v>
      </c>
      <c r="DW48" s="1322"/>
      <c r="DX48" s="1321">
        <f t="shared" si="94"/>
        <v>0</v>
      </c>
      <c r="DY48" s="1322"/>
      <c r="DZ48" s="1321">
        <f t="shared" si="95"/>
        <v>0</v>
      </c>
      <c r="EA48" s="1322"/>
      <c r="EB48" s="1321">
        <f t="shared" si="96"/>
        <v>0</v>
      </c>
      <c r="EC48" s="1322"/>
      <c r="ED48" s="1321">
        <f t="shared" si="97"/>
        <v>0</v>
      </c>
      <c r="EE48" s="1322"/>
      <c r="EF48" s="1321">
        <f t="shared" si="98"/>
        <v>0</v>
      </c>
      <c r="EG48" s="1322"/>
      <c r="EH48" s="1321">
        <f t="shared" si="51"/>
        <v>0</v>
      </c>
      <c r="EI48" s="1322"/>
      <c r="EJ48" s="1321">
        <f t="shared" si="52"/>
        <v>0</v>
      </c>
      <c r="EK48" s="1322"/>
      <c r="EL48" s="1321">
        <f t="shared" si="53"/>
        <v>0</v>
      </c>
      <c r="EM48" s="1322"/>
      <c r="EN48" s="1321">
        <f t="shared" si="99"/>
        <v>0</v>
      </c>
      <c r="EO48" s="1322"/>
      <c r="EP48" s="1321">
        <f t="shared" si="100"/>
        <v>0</v>
      </c>
      <c r="EQ48" s="1322"/>
      <c r="ER48" s="1321">
        <f t="shared" si="55"/>
        <v>0</v>
      </c>
      <c r="ES48" s="1322"/>
      <c r="ET48" s="1321">
        <f t="shared" si="56"/>
        <v>0</v>
      </c>
      <c r="EU48" s="1322"/>
      <c r="EV48" s="1321">
        <f t="shared" si="57"/>
        <v>0</v>
      </c>
      <c r="EW48" s="1322"/>
      <c r="EX48" s="1321">
        <f t="shared" si="58"/>
        <v>0</v>
      </c>
      <c r="EY48" s="1322"/>
      <c r="EZ48" s="1321">
        <f t="shared" si="59"/>
        <v>0</v>
      </c>
      <c r="FA48" s="1322"/>
      <c r="FB48" s="1321">
        <f t="shared" si="60"/>
        <v>0</v>
      </c>
      <c r="FC48" s="1322"/>
      <c r="FD48" s="1321">
        <f t="shared" si="61"/>
        <v>0</v>
      </c>
      <c r="FE48" s="1322"/>
      <c r="FF48" s="1321">
        <f t="shared" si="62"/>
        <v>0</v>
      </c>
      <c r="FG48" s="1322"/>
      <c r="FH48" s="1321">
        <f t="shared" si="63"/>
        <v>0</v>
      </c>
      <c r="FI48" s="1322"/>
      <c r="FJ48" s="1321">
        <f t="shared" si="64"/>
        <v>0</v>
      </c>
      <c r="FK48" s="1322"/>
      <c r="FL48" s="1321">
        <f t="shared" si="65"/>
        <v>0</v>
      </c>
      <c r="FM48" s="1322"/>
      <c r="FN48" s="1321">
        <f t="shared" si="66"/>
        <v>0</v>
      </c>
      <c r="FO48" s="1322"/>
      <c r="FP48" s="1321">
        <f t="shared" si="67"/>
        <v>0</v>
      </c>
      <c r="FQ48" s="1322"/>
      <c r="FR48" s="1321">
        <f t="shared" si="68"/>
        <v>0</v>
      </c>
      <c r="FS48" s="1322"/>
      <c r="FT48" s="1321">
        <f t="shared" si="69"/>
        <v>0</v>
      </c>
      <c r="FU48" s="1322"/>
      <c r="FV48" s="1321">
        <f t="shared" si="70"/>
        <v>0</v>
      </c>
      <c r="FW48" s="1322"/>
      <c r="FX48" s="1321">
        <f t="shared" si="71"/>
        <v>0</v>
      </c>
      <c r="FY48" s="1322"/>
      <c r="FZ48" s="1321">
        <f t="shared" si="72"/>
        <v>0</v>
      </c>
      <c r="GA48" s="1322"/>
      <c r="GB48" s="1322"/>
      <c r="GC48" s="1322"/>
      <c r="GD48" s="1322"/>
      <c r="GE48" s="1322"/>
      <c r="GF48" s="1322"/>
      <c r="GG48" s="1322"/>
      <c r="GH48" s="1322"/>
      <c r="GI48" s="1322"/>
      <c r="GJ48" s="1322"/>
      <c r="GK48" s="1322"/>
      <c r="GL48" s="1322"/>
      <c r="GM48" s="1322"/>
      <c r="GN48" s="1322"/>
      <c r="GO48" s="1322"/>
      <c r="GP48" s="1322"/>
      <c r="GQ48" s="1322"/>
      <c r="GR48" s="1322"/>
      <c r="GS48" s="1322"/>
      <c r="GT48" s="1322"/>
      <c r="GU48" s="1322"/>
      <c r="GV48" s="1322"/>
      <c r="GW48" s="1322"/>
      <c r="GX48" s="1322"/>
      <c r="GY48" s="1322"/>
      <c r="GZ48" s="1322"/>
    </row>
    <row r="49" spans="1:208" hidden="1">
      <c r="A49" s="1318"/>
      <c r="B49" s="1318"/>
      <c r="C49" s="1321"/>
      <c r="D49" s="1321">
        <f t="shared" si="1"/>
        <v>0</v>
      </c>
      <c r="E49" s="1321"/>
      <c r="F49" s="1321">
        <f t="shared" si="1"/>
        <v>0</v>
      </c>
      <c r="G49" s="1322"/>
      <c r="H49" s="1321">
        <f t="shared" si="1"/>
        <v>0</v>
      </c>
      <c r="I49" s="1322"/>
      <c r="J49" s="1321">
        <f t="shared" si="1"/>
        <v>0</v>
      </c>
      <c r="K49" s="1322"/>
      <c r="L49" s="1321">
        <f t="shared" si="1"/>
        <v>0</v>
      </c>
      <c r="M49" s="1322"/>
      <c r="N49" s="1321">
        <f t="shared" si="1"/>
        <v>0</v>
      </c>
      <c r="O49" s="1322"/>
      <c r="P49" s="1321">
        <f t="shared" si="1"/>
        <v>0</v>
      </c>
      <c r="Q49" s="1322"/>
      <c r="R49" s="1321">
        <f t="shared" si="1"/>
        <v>0</v>
      </c>
      <c r="S49" s="1322"/>
      <c r="T49" s="1321">
        <f t="shared" si="1"/>
        <v>0</v>
      </c>
      <c r="U49" s="1322"/>
      <c r="V49" s="1321">
        <f t="shared" si="101"/>
        <v>0</v>
      </c>
      <c r="W49" s="1322"/>
      <c r="X49" s="1321">
        <f t="shared" si="4"/>
        <v>0</v>
      </c>
      <c r="Y49" s="1322"/>
      <c r="Z49" s="1321">
        <f t="shared" si="5"/>
        <v>0</v>
      </c>
      <c r="AA49" s="1322"/>
      <c r="AB49" s="1321">
        <f t="shared" si="6"/>
        <v>0</v>
      </c>
      <c r="AC49" s="1322"/>
      <c r="AD49" s="1321">
        <f t="shared" si="7"/>
        <v>0</v>
      </c>
      <c r="AE49" s="1322"/>
      <c r="AF49" s="1321">
        <f t="shared" si="8"/>
        <v>0</v>
      </c>
      <c r="AG49" s="1322"/>
      <c r="AH49" s="1321">
        <f t="shared" si="9"/>
        <v>0</v>
      </c>
      <c r="AI49" s="1322"/>
      <c r="AJ49" s="1321">
        <f t="shared" si="10"/>
        <v>0</v>
      </c>
      <c r="AK49" s="1322"/>
      <c r="AL49" s="1321">
        <f t="shared" si="11"/>
        <v>0</v>
      </c>
      <c r="AM49" s="1322"/>
      <c r="AN49" s="1321">
        <f t="shared" si="12"/>
        <v>0</v>
      </c>
      <c r="AO49" s="1322"/>
      <c r="AP49" s="1321">
        <f t="shared" si="13"/>
        <v>0</v>
      </c>
      <c r="AQ49" s="1322"/>
      <c r="AR49" s="1321">
        <f t="shared" si="14"/>
        <v>0</v>
      </c>
      <c r="AS49" s="1322"/>
      <c r="AT49" s="1321">
        <f t="shared" si="15"/>
        <v>0</v>
      </c>
      <c r="AU49" s="1322"/>
      <c r="AV49" s="1321">
        <f t="shared" si="16"/>
        <v>0</v>
      </c>
      <c r="AW49" s="1322"/>
      <c r="AX49" s="1321">
        <f t="shared" si="17"/>
        <v>0</v>
      </c>
      <c r="AY49" s="1322"/>
      <c r="AZ49" s="1321">
        <f t="shared" si="18"/>
        <v>0</v>
      </c>
      <c r="BA49" s="1322"/>
      <c r="BB49" s="1321">
        <f t="shared" si="19"/>
        <v>0</v>
      </c>
      <c r="BC49" s="1322"/>
      <c r="BD49" s="1321">
        <f t="shared" si="20"/>
        <v>0</v>
      </c>
      <c r="BE49" s="1322"/>
      <c r="BF49" s="1321">
        <f t="shared" si="21"/>
        <v>0</v>
      </c>
      <c r="BG49" s="1322"/>
      <c r="BH49" s="1321">
        <f t="shared" si="22"/>
        <v>0</v>
      </c>
      <c r="BI49" s="1322"/>
      <c r="BJ49" s="1321">
        <f t="shared" si="23"/>
        <v>0</v>
      </c>
      <c r="BK49" s="1322"/>
      <c r="BL49" s="1321">
        <f t="shared" si="24"/>
        <v>0</v>
      </c>
      <c r="BM49" s="1322"/>
      <c r="BN49" s="1321">
        <f t="shared" si="25"/>
        <v>0</v>
      </c>
      <c r="BO49" s="1322"/>
      <c r="BP49" s="1321">
        <f t="shared" si="26"/>
        <v>0</v>
      </c>
      <c r="BQ49" s="1322"/>
      <c r="BR49" s="1321">
        <f t="shared" si="27"/>
        <v>0</v>
      </c>
      <c r="BS49" s="1322"/>
      <c r="BT49" s="1321">
        <f t="shared" si="28"/>
        <v>0</v>
      </c>
      <c r="BU49" s="1322"/>
      <c r="BV49" s="1321">
        <f t="shared" si="29"/>
        <v>0</v>
      </c>
      <c r="BW49" s="1322"/>
      <c r="BX49" s="1321">
        <f t="shared" si="30"/>
        <v>0</v>
      </c>
      <c r="BY49" s="1322"/>
      <c r="BZ49" s="1321">
        <f t="shared" si="31"/>
        <v>0</v>
      </c>
      <c r="CA49" s="1322"/>
      <c r="CB49" s="1321">
        <f t="shared" si="32"/>
        <v>0</v>
      </c>
      <c r="CC49" s="1322"/>
      <c r="CD49" s="1321">
        <f t="shared" si="33"/>
        <v>0</v>
      </c>
      <c r="CE49" s="1322"/>
      <c r="CF49" s="1321">
        <f t="shared" si="34"/>
        <v>0</v>
      </c>
      <c r="CG49" s="1322"/>
      <c r="CH49" s="1321">
        <f t="shared" si="35"/>
        <v>0</v>
      </c>
      <c r="CI49" s="1322"/>
      <c r="CJ49" s="1321">
        <f t="shared" si="36"/>
        <v>0</v>
      </c>
      <c r="CK49" s="1322"/>
      <c r="CL49" s="1321">
        <f t="shared" si="37"/>
        <v>0</v>
      </c>
      <c r="CM49" s="1322"/>
      <c r="CN49" s="1321">
        <f t="shared" si="38"/>
        <v>0</v>
      </c>
      <c r="CO49" s="1322"/>
      <c r="CP49" s="1321">
        <f t="shared" si="39"/>
        <v>0</v>
      </c>
      <c r="CQ49" s="1322"/>
      <c r="CR49" s="1321">
        <f t="shared" si="40"/>
        <v>0</v>
      </c>
      <c r="CS49" s="1322"/>
      <c r="CT49" s="1321">
        <f t="shared" si="41"/>
        <v>0</v>
      </c>
      <c r="CU49" s="1322"/>
      <c r="CV49" s="1321">
        <f t="shared" si="42"/>
        <v>0</v>
      </c>
      <c r="CW49" s="1322"/>
      <c r="CX49" s="1321">
        <f t="shared" si="43"/>
        <v>0</v>
      </c>
      <c r="CY49" s="1322"/>
      <c r="CZ49" s="1321">
        <f t="shared" si="44"/>
        <v>0</v>
      </c>
      <c r="DA49" s="1322"/>
      <c r="DB49" s="1321">
        <f t="shared" si="45"/>
        <v>0</v>
      </c>
      <c r="DC49" s="1322"/>
      <c r="DD49" s="1321">
        <f t="shared" si="46"/>
        <v>0</v>
      </c>
      <c r="DE49" s="1322"/>
      <c r="DF49" s="1321">
        <f t="shared" si="47"/>
        <v>0</v>
      </c>
      <c r="DG49" s="1322"/>
      <c r="DH49" s="1321">
        <f t="shared" si="87"/>
        <v>0</v>
      </c>
      <c r="DI49" s="1322"/>
      <c r="DJ49" s="1321">
        <f t="shared" si="88"/>
        <v>0</v>
      </c>
      <c r="DK49" s="1322"/>
      <c r="DL49" s="1321">
        <f t="shared" si="89"/>
        <v>0</v>
      </c>
      <c r="DM49" s="1322"/>
      <c r="DN49" s="1321">
        <f t="shared" si="90"/>
        <v>0</v>
      </c>
      <c r="DO49" s="1322"/>
      <c r="DP49" s="1321">
        <f t="shared" si="91"/>
        <v>0</v>
      </c>
      <c r="DQ49" s="1322"/>
      <c r="DR49" s="1321">
        <f t="shared" si="92"/>
        <v>0</v>
      </c>
      <c r="DS49" s="1322"/>
      <c r="DT49" s="1321">
        <f t="shared" si="93"/>
        <v>0</v>
      </c>
      <c r="DU49" s="1322"/>
      <c r="DV49" s="1321">
        <f t="shared" si="86"/>
        <v>0</v>
      </c>
      <c r="DW49" s="1322"/>
      <c r="DX49" s="1321">
        <f t="shared" si="94"/>
        <v>0</v>
      </c>
      <c r="DY49" s="1322"/>
      <c r="DZ49" s="1321">
        <f t="shared" si="95"/>
        <v>0</v>
      </c>
      <c r="EA49" s="1322"/>
      <c r="EB49" s="1321">
        <f t="shared" si="96"/>
        <v>0</v>
      </c>
      <c r="EC49" s="1322"/>
      <c r="ED49" s="1321">
        <f t="shared" si="97"/>
        <v>0</v>
      </c>
      <c r="EE49" s="1322"/>
      <c r="EF49" s="1321">
        <f t="shared" si="98"/>
        <v>0</v>
      </c>
      <c r="EG49" s="1322"/>
      <c r="EH49" s="1321">
        <f t="shared" si="51"/>
        <v>0</v>
      </c>
      <c r="EI49" s="1322"/>
      <c r="EJ49" s="1321">
        <f t="shared" si="52"/>
        <v>0</v>
      </c>
      <c r="EK49" s="1322"/>
      <c r="EL49" s="1321">
        <f t="shared" si="53"/>
        <v>0</v>
      </c>
      <c r="EM49" s="1322"/>
      <c r="EN49" s="1321">
        <f t="shared" si="99"/>
        <v>0</v>
      </c>
      <c r="EO49" s="1322"/>
      <c r="EP49" s="1321">
        <f t="shared" si="100"/>
        <v>0</v>
      </c>
      <c r="EQ49" s="1322"/>
      <c r="ER49" s="1321">
        <f t="shared" si="55"/>
        <v>0</v>
      </c>
      <c r="ES49" s="1322"/>
      <c r="ET49" s="1321">
        <f t="shared" si="56"/>
        <v>0</v>
      </c>
      <c r="EU49" s="1322"/>
      <c r="EV49" s="1321">
        <f t="shared" si="57"/>
        <v>0</v>
      </c>
      <c r="EW49" s="1322"/>
      <c r="EX49" s="1321">
        <f t="shared" si="58"/>
        <v>0</v>
      </c>
      <c r="EY49" s="1322"/>
      <c r="EZ49" s="1321">
        <f t="shared" si="59"/>
        <v>0</v>
      </c>
      <c r="FA49" s="1322"/>
      <c r="FB49" s="1321">
        <f t="shared" si="60"/>
        <v>0</v>
      </c>
      <c r="FC49" s="1322"/>
      <c r="FD49" s="1321">
        <f t="shared" si="61"/>
        <v>0</v>
      </c>
      <c r="FE49" s="1322"/>
      <c r="FF49" s="1321">
        <f t="shared" si="62"/>
        <v>0</v>
      </c>
      <c r="FG49" s="1322"/>
      <c r="FH49" s="1321">
        <f t="shared" si="63"/>
        <v>0</v>
      </c>
      <c r="FI49" s="1322"/>
      <c r="FJ49" s="1321">
        <f t="shared" si="64"/>
        <v>0</v>
      </c>
      <c r="FK49" s="1322"/>
      <c r="FL49" s="1321">
        <f t="shared" si="65"/>
        <v>0</v>
      </c>
      <c r="FM49" s="1322"/>
      <c r="FN49" s="1321">
        <f t="shared" si="66"/>
        <v>0</v>
      </c>
      <c r="FO49" s="1322"/>
      <c r="FP49" s="1321">
        <f t="shared" si="67"/>
        <v>0</v>
      </c>
      <c r="FQ49" s="1322"/>
      <c r="FR49" s="1321">
        <f t="shared" si="68"/>
        <v>0</v>
      </c>
      <c r="FS49" s="1322"/>
      <c r="FT49" s="1321">
        <f t="shared" si="69"/>
        <v>0</v>
      </c>
      <c r="FU49" s="1322"/>
      <c r="FV49" s="1321">
        <f t="shared" si="70"/>
        <v>0</v>
      </c>
      <c r="FW49" s="1322"/>
      <c r="FX49" s="1321">
        <f t="shared" si="71"/>
        <v>0</v>
      </c>
      <c r="FY49" s="1322"/>
      <c r="FZ49" s="1321">
        <f t="shared" si="72"/>
        <v>0</v>
      </c>
      <c r="GA49" s="1322"/>
      <c r="GB49" s="1322"/>
      <c r="GC49" s="1322"/>
      <c r="GD49" s="1322"/>
      <c r="GE49" s="1322"/>
      <c r="GF49" s="1322"/>
      <c r="GG49" s="1322"/>
      <c r="GH49" s="1322"/>
      <c r="GI49" s="1322"/>
      <c r="GJ49" s="1322"/>
      <c r="GK49" s="1322"/>
      <c r="GL49" s="1322"/>
      <c r="GM49" s="1322"/>
      <c r="GN49" s="1322"/>
      <c r="GO49" s="1322"/>
      <c r="GP49" s="1322"/>
      <c r="GQ49" s="1322"/>
      <c r="GR49" s="1322"/>
      <c r="GS49" s="1322"/>
      <c r="GT49" s="1322"/>
      <c r="GU49" s="1322"/>
      <c r="GV49" s="1322"/>
      <c r="GW49" s="1322"/>
      <c r="GX49" s="1322"/>
      <c r="GY49" s="1322"/>
      <c r="GZ49" s="1322"/>
    </row>
    <row r="50" spans="1:208" hidden="1">
      <c r="A50" s="1318"/>
      <c r="B50" s="1318"/>
      <c r="C50" s="1321"/>
      <c r="D50" s="1321">
        <f t="shared" si="1"/>
        <v>0</v>
      </c>
      <c r="E50" s="1321"/>
      <c r="F50" s="1321">
        <f t="shared" si="1"/>
        <v>0</v>
      </c>
      <c r="G50" s="1322"/>
      <c r="H50" s="1321">
        <f t="shared" si="1"/>
        <v>0</v>
      </c>
      <c r="I50" s="1322"/>
      <c r="J50" s="1321">
        <f t="shared" si="1"/>
        <v>0</v>
      </c>
      <c r="K50" s="1322"/>
      <c r="L50" s="1321">
        <f t="shared" si="1"/>
        <v>0</v>
      </c>
      <c r="M50" s="1322"/>
      <c r="N50" s="1321">
        <f t="shared" si="1"/>
        <v>0</v>
      </c>
      <c r="O50" s="1322"/>
      <c r="P50" s="1321">
        <f t="shared" si="1"/>
        <v>0</v>
      </c>
      <c r="Q50" s="1322"/>
      <c r="R50" s="1321">
        <f t="shared" si="1"/>
        <v>0</v>
      </c>
      <c r="S50" s="1322"/>
      <c r="T50" s="1321">
        <f t="shared" si="1"/>
        <v>0</v>
      </c>
      <c r="U50" s="1322"/>
      <c r="V50" s="1321">
        <f t="shared" si="101"/>
        <v>0</v>
      </c>
      <c r="W50" s="1322"/>
      <c r="X50" s="1321">
        <f t="shared" si="4"/>
        <v>0</v>
      </c>
      <c r="Y50" s="1322"/>
      <c r="Z50" s="1321">
        <f t="shared" si="5"/>
        <v>0</v>
      </c>
      <c r="AA50" s="1322"/>
      <c r="AB50" s="1321">
        <f t="shared" si="6"/>
        <v>0</v>
      </c>
      <c r="AC50" s="1322"/>
      <c r="AD50" s="1321">
        <f t="shared" si="7"/>
        <v>0</v>
      </c>
      <c r="AE50" s="1322"/>
      <c r="AF50" s="1321">
        <f t="shared" si="8"/>
        <v>0</v>
      </c>
      <c r="AG50" s="1322"/>
      <c r="AH50" s="1321">
        <f t="shared" si="9"/>
        <v>0</v>
      </c>
      <c r="AI50" s="1322"/>
      <c r="AJ50" s="1321">
        <f t="shared" si="10"/>
        <v>0</v>
      </c>
      <c r="AK50" s="1322"/>
      <c r="AL50" s="1321">
        <f t="shared" si="11"/>
        <v>0</v>
      </c>
      <c r="AM50" s="1322"/>
      <c r="AN50" s="1321">
        <f t="shared" si="12"/>
        <v>0</v>
      </c>
      <c r="AO50" s="1322"/>
      <c r="AP50" s="1321">
        <f t="shared" si="13"/>
        <v>0</v>
      </c>
      <c r="AQ50" s="1322"/>
      <c r="AR50" s="1321">
        <f t="shared" si="14"/>
        <v>0</v>
      </c>
      <c r="AS50" s="1322"/>
      <c r="AT50" s="1321">
        <f t="shared" si="15"/>
        <v>0</v>
      </c>
      <c r="AU50" s="1322"/>
      <c r="AV50" s="1321">
        <f t="shared" si="16"/>
        <v>0</v>
      </c>
      <c r="AW50" s="1322"/>
      <c r="AX50" s="1321">
        <f t="shared" si="17"/>
        <v>0</v>
      </c>
      <c r="AY50" s="1322"/>
      <c r="AZ50" s="1321">
        <f t="shared" si="18"/>
        <v>0</v>
      </c>
      <c r="BA50" s="1322"/>
      <c r="BB50" s="1321">
        <f t="shared" si="19"/>
        <v>0</v>
      </c>
      <c r="BC50" s="1322"/>
      <c r="BD50" s="1321">
        <f t="shared" si="20"/>
        <v>0</v>
      </c>
      <c r="BE50" s="1322"/>
      <c r="BF50" s="1321">
        <f t="shared" si="21"/>
        <v>0</v>
      </c>
      <c r="BG50" s="1322"/>
      <c r="BH50" s="1321">
        <f t="shared" si="22"/>
        <v>0</v>
      </c>
      <c r="BI50" s="1322"/>
      <c r="BJ50" s="1321">
        <f t="shared" si="23"/>
        <v>0</v>
      </c>
      <c r="BK50" s="1322"/>
      <c r="BL50" s="1321">
        <f t="shared" si="24"/>
        <v>0</v>
      </c>
      <c r="BM50" s="1322"/>
      <c r="BN50" s="1321">
        <f t="shared" si="25"/>
        <v>0</v>
      </c>
      <c r="BO50" s="1322"/>
      <c r="BP50" s="1321">
        <f t="shared" si="26"/>
        <v>0</v>
      </c>
      <c r="BQ50" s="1322"/>
      <c r="BR50" s="1321">
        <f t="shared" si="27"/>
        <v>0</v>
      </c>
      <c r="BS50" s="1322"/>
      <c r="BT50" s="1321">
        <f t="shared" si="28"/>
        <v>0</v>
      </c>
      <c r="BU50" s="1322"/>
      <c r="BV50" s="1321">
        <f t="shared" si="29"/>
        <v>0</v>
      </c>
      <c r="BW50" s="1322"/>
      <c r="BX50" s="1321">
        <f t="shared" si="30"/>
        <v>0</v>
      </c>
      <c r="BY50" s="1322"/>
      <c r="BZ50" s="1321">
        <f t="shared" si="31"/>
        <v>0</v>
      </c>
      <c r="CA50" s="1322"/>
      <c r="CB50" s="1321">
        <f t="shared" si="32"/>
        <v>0</v>
      </c>
      <c r="CC50" s="1322"/>
      <c r="CD50" s="1321">
        <f t="shared" si="33"/>
        <v>0</v>
      </c>
      <c r="CE50" s="1322"/>
      <c r="CF50" s="1321">
        <f t="shared" si="34"/>
        <v>0</v>
      </c>
      <c r="CG50" s="1322"/>
      <c r="CH50" s="1321">
        <f t="shared" si="35"/>
        <v>0</v>
      </c>
      <c r="CI50" s="1322"/>
      <c r="CJ50" s="1321">
        <f t="shared" si="36"/>
        <v>0</v>
      </c>
      <c r="CK50" s="1322"/>
      <c r="CL50" s="1321">
        <f t="shared" si="37"/>
        <v>0</v>
      </c>
      <c r="CM50" s="1322"/>
      <c r="CN50" s="1321">
        <f t="shared" si="38"/>
        <v>0</v>
      </c>
      <c r="CO50" s="1322"/>
      <c r="CP50" s="1321">
        <f t="shared" si="39"/>
        <v>0</v>
      </c>
      <c r="CQ50" s="1322"/>
      <c r="CR50" s="1321">
        <f t="shared" si="40"/>
        <v>0</v>
      </c>
      <c r="CS50" s="1322"/>
      <c r="CT50" s="1321">
        <f t="shared" si="41"/>
        <v>0</v>
      </c>
      <c r="CU50" s="1322"/>
      <c r="CV50" s="1321">
        <f t="shared" si="42"/>
        <v>0</v>
      </c>
      <c r="CW50" s="1322"/>
      <c r="CX50" s="1321">
        <f t="shared" si="43"/>
        <v>0</v>
      </c>
      <c r="CY50" s="1322"/>
      <c r="CZ50" s="1321">
        <f t="shared" si="44"/>
        <v>0</v>
      </c>
      <c r="DA50" s="1322"/>
      <c r="DB50" s="1321">
        <f t="shared" si="45"/>
        <v>0</v>
      </c>
      <c r="DC50" s="1322"/>
      <c r="DD50" s="1321">
        <f t="shared" si="46"/>
        <v>0</v>
      </c>
      <c r="DE50" s="1322"/>
      <c r="DF50" s="1321">
        <f t="shared" si="47"/>
        <v>0</v>
      </c>
      <c r="DG50" s="1322"/>
      <c r="DH50" s="1321">
        <f t="shared" si="87"/>
        <v>0</v>
      </c>
      <c r="DI50" s="1322"/>
      <c r="DJ50" s="1321">
        <f t="shared" si="88"/>
        <v>0</v>
      </c>
      <c r="DK50" s="1322"/>
      <c r="DL50" s="1321">
        <f t="shared" si="89"/>
        <v>0</v>
      </c>
      <c r="DM50" s="1322"/>
      <c r="DN50" s="1321">
        <f t="shared" si="90"/>
        <v>0</v>
      </c>
      <c r="DO50" s="1322"/>
      <c r="DP50" s="1321">
        <f t="shared" si="91"/>
        <v>0</v>
      </c>
      <c r="DQ50" s="1322"/>
      <c r="DR50" s="1321">
        <f t="shared" si="92"/>
        <v>0</v>
      </c>
      <c r="DS50" s="1322"/>
      <c r="DT50" s="1321">
        <f t="shared" si="93"/>
        <v>0</v>
      </c>
      <c r="DU50" s="1322"/>
      <c r="DV50" s="1321">
        <f t="shared" si="86"/>
        <v>0</v>
      </c>
      <c r="DW50" s="1322"/>
      <c r="DX50" s="1321">
        <f t="shared" si="94"/>
        <v>0</v>
      </c>
      <c r="DY50" s="1322"/>
      <c r="DZ50" s="1321">
        <f t="shared" si="95"/>
        <v>0</v>
      </c>
      <c r="EA50" s="1322"/>
      <c r="EB50" s="1321">
        <f t="shared" si="96"/>
        <v>0</v>
      </c>
      <c r="EC50" s="1322"/>
      <c r="ED50" s="1321">
        <f t="shared" si="97"/>
        <v>0</v>
      </c>
      <c r="EE50" s="1322"/>
      <c r="EF50" s="1321">
        <f t="shared" si="98"/>
        <v>0</v>
      </c>
      <c r="EG50" s="1322"/>
      <c r="EH50" s="1321">
        <f t="shared" si="51"/>
        <v>0</v>
      </c>
      <c r="EI50" s="1322"/>
      <c r="EJ50" s="1321">
        <f t="shared" si="52"/>
        <v>0</v>
      </c>
      <c r="EK50" s="1322"/>
      <c r="EL50" s="1321">
        <f t="shared" si="53"/>
        <v>0</v>
      </c>
      <c r="EM50" s="1322"/>
      <c r="EN50" s="1321">
        <f t="shared" si="99"/>
        <v>0</v>
      </c>
      <c r="EO50" s="1322"/>
      <c r="EP50" s="1321">
        <f t="shared" si="100"/>
        <v>0</v>
      </c>
      <c r="EQ50" s="1322"/>
      <c r="ER50" s="1321">
        <f t="shared" si="55"/>
        <v>0</v>
      </c>
      <c r="ES50" s="1322"/>
      <c r="ET50" s="1321">
        <f t="shared" si="56"/>
        <v>0</v>
      </c>
      <c r="EU50" s="1322"/>
      <c r="EV50" s="1321">
        <f t="shared" si="57"/>
        <v>0</v>
      </c>
      <c r="EW50" s="1322"/>
      <c r="EX50" s="1321">
        <f t="shared" si="58"/>
        <v>0</v>
      </c>
      <c r="EY50" s="1322"/>
      <c r="EZ50" s="1321">
        <f t="shared" si="59"/>
        <v>0</v>
      </c>
      <c r="FA50" s="1322"/>
      <c r="FB50" s="1321">
        <f t="shared" si="60"/>
        <v>0</v>
      </c>
      <c r="FC50" s="1322"/>
      <c r="FD50" s="1321">
        <f t="shared" si="61"/>
        <v>0</v>
      </c>
      <c r="FE50" s="1322"/>
      <c r="FF50" s="1321">
        <f t="shared" si="62"/>
        <v>0</v>
      </c>
      <c r="FG50" s="1322"/>
      <c r="FH50" s="1321">
        <f t="shared" si="63"/>
        <v>0</v>
      </c>
      <c r="FI50" s="1322"/>
      <c r="FJ50" s="1321">
        <f t="shared" si="64"/>
        <v>0</v>
      </c>
      <c r="FK50" s="1322"/>
      <c r="FL50" s="1321">
        <f t="shared" si="65"/>
        <v>0</v>
      </c>
      <c r="FM50" s="1322"/>
      <c r="FN50" s="1321">
        <f t="shared" si="66"/>
        <v>0</v>
      </c>
      <c r="FO50" s="1322"/>
      <c r="FP50" s="1321">
        <f t="shared" si="67"/>
        <v>0</v>
      </c>
      <c r="FQ50" s="1322"/>
      <c r="FR50" s="1321">
        <f t="shared" si="68"/>
        <v>0</v>
      </c>
      <c r="FS50" s="1322"/>
      <c r="FT50" s="1321">
        <f t="shared" si="69"/>
        <v>0</v>
      </c>
      <c r="FU50" s="1322"/>
      <c r="FV50" s="1321">
        <f t="shared" si="70"/>
        <v>0</v>
      </c>
      <c r="FW50" s="1322"/>
      <c r="FX50" s="1321">
        <f t="shared" si="71"/>
        <v>0</v>
      </c>
      <c r="FY50" s="1322"/>
      <c r="FZ50" s="1321">
        <f t="shared" si="72"/>
        <v>0</v>
      </c>
      <c r="GA50" s="1322"/>
      <c r="GB50" s="1322"/>
      <c r="GC50" s="1322"/>
      <c r="GD50" s="1322"/>
      <c r="GE50" s="1322"/>
      <c r="GF50" s="1322"/>
      <c r="GG50" s="1322"/>
      <c r="GH50" s="1322"/>
      <c r="GI50" s="1322"/>
      <c r="GJ50" s="1322"/>
      <c r="GK50" s="1322"/>
      <c r="GL50" s="1322"/>
      <c r="GM50" s="1322"/>
      <c r="GN50" s="1322"/>
      <c r="GO50" s="1322"/>
      <c r="GP50" s="1322"/>
      <c r="GQ50" s="1322"/>
      <c r="GR50" s="1322"/>
      <c r="GS50" s="1322"/>
      <c r="GT50" s="1322"/>
      <c r="GU50" s="1322"/>
      <c r="GV50" s="1322"/>
      <c r="GW50" s="1322"/>
      <c r="GX50" s="1322"/>
      <c r="GY50" s="1322"/>
      <c r="GZ50" s="1322"/>
    </row>
    <row r="51" spans="1:208" hidden="1">
      <c r="A51" s="1318"/>
      <c r="B51" s="1318"/>
      <c r="C51" s="1321"/>
      <c r="D51" s="1321">
        <f t="shared" si="1"/>
        <v>0</v>
      </c>
      <c r="E51" s="1321"/>
      <c r="F51" s="1321">
        <f t="shared" si="1"/>
        <v>0</v>
      </c>
      <c r="G51" s="1322"/>
      <c r="H51" s="1321">
        <f t="shared" si="1"/>
        <v>0</v>
      </c>
      <c r="I51" s="1322"/>
      <c r="J51" s="1321">
        <f t="shared" si="1"/>
        <v>0</v>
      </c>
      <c r="K51" s="1322"/>
      <c r="L51" s="1321">
        <f t="shared" si="1"/>
        <v>0</v>
      </c>
      <c r="M51" s="1322"/>
      <c r="N51" s="1321">
        <f t="shared" si="1"/>
        <v>0</v>
      </c>
      <c r="O51" s="1322"/>
      <c r="P51" s="1321">
        <f t="shared" si="1"/>
        <v>0</v>
      </c>
      <c r="Q51" s="1322"/>
      <c r="R51" s="1321">
        <f t="shared" si="1"/>
        <v>0</v>
      </c>
      <c r="S51" s="1322"/>
      <c r="T51" s="1321">
        <f t="shared" si="1"/>
        <v>0</v>
      </c>
      <c r="U51" s="1322"/>
      <c r="V51" s="1321">
        <f t="shared" si="101"/>
        <v>0</v>
      </c>
      <c r="W51" s="1322"/>
      <c r="X51" s="1321">
        <f t="shared" si="4"/>
        <v>0</v>
      </c>
      <c r="Y51" s="1322"/>
      <c r="Z51" s="1321">
        <f t="shared" si="5"/>
        <v>0</v>
      </c>
      <c r="AA51" s="1322"/>
      <c r="AB51" s="1321">
        <f t="shared" si="6"/>
        <v>0</v>
      </c>
      <c r="AC51" s="1322"/>
      <c r="AD51" s="1321">
        <f t="shared" si="7"/>
        <v>0</v>
      </c>
      <c r="AE51" s="1322"/>
      <c r="AF51" s="1321">
        <f t="shared" si="8"/>
        <v>0</v>
      </c>
      <c r="AG51" s="1322"/>
      <c r="AH51" s="1321">
        <f t="shared" si="9"/>
        <v>0</v>
      </c>
      <c r="AI51" s="1322"/>
      <c r="AJ51" s="1321">
        <f t="shared" si="10"/>
        <v>0</v>
      </c>
      <c r="AK51" s="1322"/>
      <c r="AL51" s="1321">
        <f t="shared" si="11"/>
        <v>0</v>
      </c>
      <c r="AM51" s="1322"/>
      <c r="AN51" s="1321">
        <f t="shared" si="12"/>
        <v>0</v>
      </c>
      <c r="AO51" s="1322"/>
      <c r="AP51" s="1321">
        <f t="shared" si="13"/>
        <v>0</v>
      </c>
      <c r="AQ51" s="1322"/>
      <c r="AR51" s="1321">
        <f t="shared" si="14"/>
        <v>0</v>
      </c>
      <c r="AS51" s="1322"/>
      <c r="AT51" s="1321">
        <f t="shared" si="15"/>
        <v>0</v>
      </c>
      <c r="AU51" s="1322"/>
      <c r="AV51" s="1321">
        <f t="shared" si="16"/>
        <v>0</v>
      </c>
      <c r="AW51" s="1322"/>
      <c r="AX51" s="1321">
        <f t="shared" si="17"/>
        <v>0</v>
      </c>
      <c r="AY51" s="1322"/>
      <c r="AZ51" s="1321">
        <f t="shared" si="18"/>
        <v>0</v>
      </c>
      <c r="BA51" s="1322"/>
      <c r="BB51" s="1321">
        <f t="shared" si="19"/>
        <v>0</v>
      </c>
      <c r="BC51" s="1322"/>
      <c r="BD51" s="1321">
        <f t="shared" si="20"/>
        <v>0</v>
      </c>
      <c r="BE51" s="1322"/>
      <c r="BF51" s="1321">
        <f t="shared" si="21"/>
        <v>0</v>
      </c>
      <c r="BG51" s="1322"/>
      <c r="BH51" s="1321">
        <f t="shared" si="22"/>
        <v>0</v>
      </c>
      <c r="BI51" s="1322"/>
      <c r="BJ51" s="1321">
        <f t="shared" si="23"/>
        <v>0</v>
      </c>
      <c r="BK51" s="1322"/>
      <c r="BL51" s="1321">
        <f t="shared" si="24"/>
        <v>0</v>
      </c>
      <c r="BM51" s="1322"/>
      <c r="BN51" s="1321">
        <f t="shared" si="25"/>
        <v>0</v>
      </c>
      <c r="BO51" s="1322"/>
      <c r="BP51" s="1321">
        <f t="shared" si="26"/>
        <v>0</v>
      </c>
      <c r="BQ51" s="1322"/>
      <c r="BR51" s="1321">
        <f t="shared" si="27"/>
        <v>0</v>
      </c>
      <c r="BS51" s="1322"/>
      <c r="BT51" s="1321">
        <f t="shared" si="28"/>
        <v>0</v>
      </c>
      <c r="BU51" s="1322"/>
      <c r="BV51" s="1321">
        <f t="shared" si="29"/>
        <v>0</v>
      </c>
      <c r="BW51" s="1322"/>
      <c r="BX51" s="1321">
        <f t="shared" si="30"/>
        <v>0</v>
      </c>
      <c r="BY51" s="1322"/>
      <c r="BZ51" s="1321">
        <f t="shared" si="31"/>
        <v>0</v>
      </c>
      <c r="CA51" s="1322"/>
      <c r="CB51" s="1321">
        <f t="shared" si="32"/>
        <v>0</v>
      </c>
      <c r="CC51" s="1322"/>
      <c r="CD51" s="1321">
        <f t="shared" si="33"/>
        <v>0</v>
      </c>
      <c r="CE51" s="1322"/>
      <c r="CF51" s="1321">
        <f t="shared" si="34"/>
        <v>0</v>
      </c>
      <c r="CG51" s="1322"/>
      <c r="CH51" s="1321">
        <f t="shared" si="35"/>
        <v>0</v>
      </c>
      <c r="CI51" s="1322"/>
      <c r="CJ51" s="1321">
        <f t="shared" si="36"/>
        <v>0</v>
      </c>
      <c r="CK51" s="1322"/>
      <c r="CL51" s="1321">
        <f t="shared" si="37"/>
        <v>0</v>
      </c>
      <c r="CM51" s="1322"/>
      <c r="CN51" s="1321">
        <f t="shared" si="38"/>
        <v>0</v>
      </c>
      <c r="CO51" s="1322"/>
      <c r="CP51" s="1321">
        <f t="shared" si="39"/>
        <v>0</v>
      </c>
      <c r="CQ51" s="1322"/>
      <c r="CR51" s="1321">
        <f t="shared" si="40"/>
        <v>0</v>
      </c>
      <c r="CS51" s="1322"/>
      <c r="CT51" s="1321">
        <f t="shared" si="41"/>
        <v>0</v>
      </c>
      <c r="CU51" s="1322"/>
      <c r="CV51" s="1321">
        <f t="shared" si="42"/>
        <v>0</v>
      </c>
      <c r="CW51" s="1322"/>
      <c r="CX51" s="1321">
        <f t="shared" si="43"/>
        <v>0</v>
      </c>
      <c r="CY51" s="1322"/>
      <c r="CZ51" s="1321">
        <f t="shared" si="44"/>
        <v>0</v>
      </c>
      <c r="DA51" s="1322"/>
      <c r="DB51" s="1321">
        <f t="shared" si="45"/>
        <v>0</v>
      </c>
      <c r="DC51" s="1322"/>
      <c r="DD51" s="1321">
        <f t="shared" si="46"/>
        <v>0</v>
      </c>
      <c r="DE51" s="1322"/>
      <c r="DF51" s="1321">
        <f t="shared" si="47"/>
        <v>0</v>
      </c>
      <c r="DG51" s="1322"/>
      <c r="DH51" s="1321">
        <f t="shared" si="87"/>
        <v>0</v>
      </c>
      <c r="DI51" s="1322"/>
      <c r="DJ51" s="1321">
        <f t="shared" si="88"/>
        <v>0</v>
      </c>
      <c r="DK51" s="1322"/>
      <c r="DL51" s="1321">
        <f t="shared" si="89"/>
        <v>0</v>
      </c>
      <c r="DM51" s="1322"/>
      <c r="DN51" s="1321">
        <f t="shared" si="90"/>
        <v>0</v>
      </c>
      <c r="DO51" s="1322"/>
      <c r="DP51" s="1321">
        <f t="shared" si="91"/>
        <v>0</v>
      </c>
      <c r="DQ51" s="1322"/>
      <c r="DR51" s="1321">
        <f t="shared" si="92"/>
        <v>0</v>
      </c>
      <c r="DS51" s="1322"/>
      <c r="DT51" s="1321">
        <f t="shared" si="93"/>
        <v>0</v>
      </c>
      <c r="DU51" s="1322"/>
      <c r="DV51" s="1321">
        <f t="shared" si="86"/>
        <v>0</v>
      </c>
      <c r="DW51" s="1322"/>
      <c r="DX51" s="1321">
        <f t="shared" si="94"/>
        <v>0</v>
      </c>
      <c r="DY51" s="1322"/>
      <c r="DZ51" s="1321">
        <f t="shared" si="95"/>
        <v>0</v>
      </c>
      <c r="EA51" s="1322"/>
      <c r="EB51" s="1321">
        <f t="shared" si="96"/>
        <v>0</v>
      </c>
      <c r="EC51" s="1322"/>
      <c r="ED51" s="1321">
        <f t="shared" si="97"/>
        <v>0</v>
      </c>
      <c r="EE51" s="1322"/>
      <c r="EF51" s="1321">
        <f t="shared" si="98"/>
        <v>0</v>
      </c>
      <c r="EG51" s="1322"/>
      <c r="EH51" s="1321">
        <f t="shared" si="51"/>
        <v>0</v>
      </c>
      <c r="EI51" s="1322"/>
      <c r="EJ51" s="1321">
        <f t="shared" si="52"/>
        <v>0</v>
      </c>
      <c r="EK51" s="1322"/>
      <c r="EL51" s="1321">
        <f t="shared" si="53"/>
        <v>0</v>
      </c>
      <c r="EM51" s="1322"/>
      <c r="EN51" s="1321">
        <f t="shared" si="99"/>
        <v>0</v>
      </c>
      <c r="EO51" s="1322"/>
      <c r="EP51" s="1321">
        <f t="shared" si="100"/>
        <v>0</v>
      </c>
      <c r="EQ51" s="1322"/>
      <c r="ER51" s="1321">
        <f t="shared" si="55"/>
        <v>0</v>
      </c>
      <c r="ES51" s="1322"/>
      <c r="ET51" s="1321">
        <f t="shared" si="56"/>
        <v>0</v>
      </c>
      <c r="EU51" s="1322"/>
      <c r="EV51" s="1321">
        <f t="shared" si="57"/>
        <v>0</v>
      </c>
      <c r="EW51" s="1322"/>
      <c r="EX51" s="1321">
        <f t="shared" si="58"/>
        <v>0</v>
      </c>
      <c r="EY51" s="1322"/>
      <c r="EZ51" s="1321">
        <f t="shared" si="59"/>
        <v>0</v>
      </c>
      <c r="FA51" s="1322"/>
      <c r="FB51" s="1321">
        <f t="shared" si="60"/>
        <v>0</v>
      </c>
      <c r="FC51" s="1322"/>
      <c r="FD51" s="1321">
        <f t="shared" si="61"/>
        <v>0</v>
      </c>
      <c r="FE51" s="1322"/>
      <c r="FF51" s="1321">
        <f t="shared" si="62"/>
        <v>0</v>
      </c>
      <c r="FG51" s="1322"/>
      <c r="FH51" s="1321">
        <f t="shared" si="63"/>
        <v>0</v>
      </c>
      <c r="FI51" s="1322"/>
      <c r="FJ51" s="1321">
        <f t="shared" si="64"/>
        <v>0</v>
      </c>
      <c r="FK51" s="1322"/>
      <c r="FL51" s="1321">
        <f t="shared" si="65"/>
        <v>0</v>
      </c>
      <c r="FM51" s="1322"/>
      <c r="FN51" s="1321">
        <f t="shared" si="66"/>
        <v>0</v>
      </c>
      <c r="FO51" s="1322"/>
      <c r="FP51" s="1321">
        <f t="shared" si="67"/>
        <v>0</v>
      </c>
      <c r="FQ51" s="1322"/>
      <c r="FR51" s="1321">
        <f t="shared" si="68"/>
        <v>0</v>
      </c>
      <c r="FS51" s="1322"/>
      <c r="FT51" s="1321">
        <f t="shared" si="69"/>
        <v>0</v>
      </c>
      <c r="FU51" s="1322"/>
      <c r="FV51" s="1321">
        <f t="shared" si="70"/>
        <v>0</v>
      </c>
      <c r="FW51" s="1322"/>
      <c r="FX51" s="1321">
        <f t="shared" si="71"/>
        <v>0</v>
      </c>
      <c r="FY51" s="1322"/>
      <c r="FZ51" s="1321">
        <f t="shared" si="72"/>
        <v>0</v>
      </c>
      <c r="GA51" s="1322"/>
      <c r="GB51" s="1322"/>
      <c r="GC51" s="1322"/>
      <c r="GD51" s="1322"/>
      <c r="GE51" s="1322"/>
      <c r="GF51" s="1322"/>
      <c r="GG51" s="1322"/>
      <c r="GH51" s="1322"/>
      <c r="GI51" s="1322"/>
      <c r="GJ51" s="1322"/>
      <c r="GK51" s="1322"/>
      <c r="GL51" s="1322"/>
      <c r="GM51" s="1322"/>
      <c r="GN51" s="1322"/>
      <c r="GO51" s="1322"/>
      <c r="GP51" s="1322"/>
      <c r="GQ51" s="1322"/>
      <c r="GR51" s="1322"/>
      <c r="GS51" s="1322"/>
      <c r="GT51" s="1322"/>
      <c r="GU51" s="1322"/>
      <c r="GV51" s="1322"/>
      <c r="GW51" s="1322"/>
      <c r="GX51" s="1322"/>
      <c r="GY51" s="1322"/>
      <c r="GZ51" s="1322"/>
    </row>
    <row r="52" spans="1:208" hidden="1">
      <c r="A52" s="1318"/>
      <c r="B52" s="1318"/>
      <c r="C52" s="1321"/>
      <c r="D52" s="1321">
        <f t="shared" si="1"/>
        <v>0</v>
      </c>
      <c r="E52" s="1321"/>
      <c r="F52" s="1321">
        <f t="shared" si="1"/>
        <v>0</v>
      </c>
      <c r="G52" s="1322"/>
      <c r="H52" s="1321">
        <f t="shared" si="1"/>
        <v>0</v>
      </c>
      <c r="I52" s="1322"/>
      <c r="J52" s="1321">
        <f t="shared" si="1"/>
        <v>0</v>
      </c>
      <c r="K52" s="1322"/>
      <c r="L52" s="1321">
        <f t="shared" si="1"/>
        <v>0</v>
      </c>
      <c r="M52" s="1322"/>
      <c r="N52" s="1321">
        <f t="shared" si="1"/>
        <v>0</v>
      </c>
      <c r="O52" s="1322"/>
      <c r="P52" s="1321">
        <f t="shared" si="1"/>
        <v>0</v>
      </c>
      <c r="Q52" s="1322"/>
      <c r="R52" s="1321">
        <f t="shared" si="1"/>
        <v>0</v>
      </c>
      <c r="S52" s="1322"/>
      <c r="T52" s="1321">
        <f t="shared" si="1"/>
        <v>0</v>
      </c>
      <c r="U52" s="1322"/>
      <c r="V52" s="1321">
        <f t="shared" si="101"/>
        <v>0</v>
      </c>
      <c r="W52" s="1322"/>
      <c r="X52" s="1321">
        <f t="shared" si="4"/>
        <v>0</v>
      </c>
      <c r="Y52" s="1322"/>
      <c r="Z52" s="1321">
        <f t="shared" si="5"/>
        <v>0</v>
      </c>
      <c r="AA52" s="1322"/>
      <c r="AB52" s="1321">
        <f t="shared" si="6"/>
        <v>0</v>
      </c>
      <c r="AC52" s="1322"/>
      <c r="AD52" s="1321">
        <f t="shared" si="7"/>
        <v>0</v>
      </c>
      <c r="AE52" s="1322"/>
      <c r="AF52" s="1321">
        <f t="shared" si="8"/>
        <v>0</v>
      </c>
      <c r="AG52" s="1322"/>
      <c r="AH52" s="1321">
        <f t="shared" si="9"/>
        <v>0</v>
      </c>
      <c r="AI52" s="1322"/>
      <c r="AJ52" s="1321">
        <f t="shared" si="10"/>
        <v>0</v>
      </c>
      <c r="AK52" s="1322"/>
      <c r="AL52" s="1321">
        <f t="shared" si="11"/>
        <v>0</v>
      </c>
      <c r="AM52" s="1322"/>
      <c r="AN52" s="1321">
        <f t="shared" si="12"/>
        <v>0</v>
      </c>
      <c r="AO52" s="1322"/>
      <c r="AP52" s="1321">
        <f t="shared" si="13"/>
        <v>0</v>
      </c>
      <c r="AQ52" s="1322"/>
      <c r="AR52" s="1321">
        <f t="shared" si="14"/>
        <v>0</v>
      </c>
      <c r="AS52" s="1322"/>
      <c r="AT52" s="1321">
        <f t="shared" si="15"/>
        <v>0</v>
      </c>
      <c r="AU52" s="1322"/>
      <c r="AV52" s="1321">
        <f t="shared" si="16"/>
        <v>0</v>
      </c>
      <c r="AW52" s="1322"/>
      <c r="AX52" s="1321">
        <f t="shared" si="17"/>
        <v>0</v>
      </c>
      <c r="AY52" s="1322"/>
      <c r="AZ52" s="1321">
        <f t="shared" si="18"/>
        <v>0</v>
      </c>
      <c r="BA52" s="1322"/>
      <c r="BB52" s="1321">
        <f t="shared" si="19"/>
        <v>0</v>
      </c>
      <c r="BC52" s="1322"/>
      <c r="BD52" s="1321">
        <f t="shared" si="20"/>
        <v>0</v>
      </c>
      <c r="BE52" s="1322"/>
      <c r="BF52" s="1321">
        <f t="shared" si="21"/>
        <v>0</v>
      </c>
      <c r="BG52" s="1322"/>
      <c r="BH52" s="1321">
        <f t="shared" si="22"/>
        <v>0</v>
      </c>
      <c r="BI52" s="1322"/>
      <c r="BJ52" s="1321">
        <f t="shared" si="23"/>
        <v>0</v>
      </c>
      <c r="BK52" s="1322"/>
      <c r="BL52" s="1321">
        <f t="shared" si="24"/>
        <v>0</v>
      </c>
      <c r="BM52" s="1322"/>
      <c r="BN52" s="1321">
        <f t="shared" si="25"/>
        <v>0</v>
      </c>
      <c r="BO52" s="1322"/>
      <c r="BP52" s="1321">
        <f t="shared" si="26"/>
        <v>0</v>
      </c>
      <c r="BQ52" s="1322"/>
      <c r="BR52" s="1321">
        <f t="shared" si="27"/>
        <v>0</v>
      </c>
      <c r="BS52" s="1322"/>
      <c r="BT52" s="1321">
        <f t="shared" si="28"/>
        <v>0</v>
      </c>
      <c r="BU52" s="1322"/>
      <c r="BV52" s="1321">
        <f t="shared" si="29"/>
        <v>0</v>
      </c>
      <c r="BW52" s="1322"/>
      <c r="BX52" s="1321">
        <f t="shared" si="30"/>
        <v>0</v>
      </c>
      <c r="BY52" s="1322"/>
      <c r="BZ52" s="1321">
        <f t="shared" si="31"/>
        <v>0</v>
      </c>
      <c r="CA52" s="1322"/>
      <c r="CB52" s="1321">
        <f t="shared" si="32"/>
        <v>0</v>
      </c>
      <c r="CC52" s="1322"/>
      <c r="CD52" s="1321">
        <f t="shared" si="33"/>
        <v>0</v>
      </c>
      <c r="CE52" s="1322"/>
      <c r="CF52" s="1321">
        <f t="shared" si="34"/>
        <v>0</v>
      </c>
      <c r="CG52" s="1322"/>
      <c r="CH52" s="1321">
        <f t="shared" si="35"/>
        <v>0</v>
      </c>
      <c r="CI52" s="1322"/>
      <c r="CJ52" s="1321">
        <f t="shared" si="36"/>
        <v>0</v>
      </c>
      <c r="CK52" s="1322"/>
      <c r="CL52" s="1321">
        <f t="shared" si="37"/>
        <v>0</v>
      </c>
      <c r="CM52" s="1322"/>
      <c r="CN52" s="1321">
        <f t="shared" si="38"/>
        <v>0</v>
      </c>
      <c r="CO52" s="1322"/>
      <c r="CP52" s="1321">
        <f t="shared" si="39"/>
        <v>0</v>
      </c>
      <c r="CQ52" s="1322"/>
      <c r="CR52" s="1321">
        <f t="shared" si="40"/>
        <v>0</v>
      </c>
      <c r="CS52" s="1322"/>
      <c r="CT52" s="1321">
        <f t="shared" si="41"/>
        <v>0</v>
      </c>
      <c r="CU52" s="1322"/>
      <c r="CV52" s="1321">
        <f t="shared" si="42"/>
        <v>0</v>
      </c>
      <c r="CW52" s="1322"/>
      <c r="CX52" s="1321">
        <f t="shared" si="43"/>
        <v>0</v>
      </c>
      <c r="CY52" s="1322"/>
      <c r="CZ52" s="1321">
        <f t="shared" si="44"/>
        <v>0</v>
      </c>
      <c r="DA52" s="1322"/>
      <c r="DB52" s="1321">
        <f t="shared" si="45"/>
        <v>0</v>
      </c>
      <c r="DC52" s="1322"/>
      <c r="DD52" s="1321">
        <f t="shared" si="46"/>
        <v>0</v>
      </c>
      <c r="DE52" s="1322"/>
      <c r="DF52" s="1321">
        <f t="shared" si="47"/>
        <v>0</v>
      </c>
      <c r="DG52" s="1322"/>
      <c r="DH52" s="1321">
        <f t="shared" si="87"/>
        <v>0</v>
      </c>
      <c r="DI52" s="1322"/>
      <c r="DJ52" s="1321">
        <f t="shared" si="88"/>
        <v>0</v>
      </c>
      <c r="DK52" s="1322"/>
      <c r="DL52" s="1321">
        <f t="shared" si="89"/>
        <v>0</v>
      </c>
      <c r="DM52" s="1322"/>
      <c r="DN52" s="1321">
        <f t="shared" si="90"/>
        <v>0</v>
      </c>
      <c r="DO52" s="1322"/>
      <c r="DP52" s="1321">
        <f t="shared" si="91"/>
        <v>0</v>
      </c>
      <c r="DQ52" s="1322"/>
      <c r="DR52" s="1321">
        <f t="shared" si="92"/>
        <v>0</v>
      </c>
      <c r="DS52" s="1322"/>
      <c r="DT52" s="1321">
        <f t="shared" si="93"/>
        <v>0</v>
      </c>
      <c r="DU52" s="1322"/>
      <c r="DV52" s="1321">
        <f t="shared" si="86"/>
        <v>0</v>
      </c>
      <c r="DW52" s="1322"/>
      <c r="DX52" s="1321">
        <f t="shared" si="94"/>
        <v>0</v>
      </c>
      <c r="DY52" s="1322"/>
      <c r="DZ52" s="1321">
        <f t="shared" si="95"/>
        <v>0</v>
      </c>
      <c r="EA52" s="1322"/>
      <c r="EB52" s="1321">
        <f t="shared" si="96"/>
        <v>0</v>
      </c>
      <c r="EC52" s="1322"/>
      <c r="ED52" s="1321">
        <f t="shared" si="97"/>
        <v>0</v>
      </c>
      <c r="EE52" s="1322"/>
      <c r="EF52" s="1321">
        <f t="shared" si="98"/>
        <v>0</v>
      </c>
      <c r="EG52" s="1322"/>
      <c r="EH52" s="1321">
        <f t="shared" si="51"/>
        <v>0</v>
      </c>
      <c r="EI52" s="1322"/>
      <c r="EJ52" s="1321">
        <f t="shared" si="52"/>
        <v>0</v>
      </c>
      <c r="EK52" s="1322"/>
      <c r="EL52" s="1321">
        <f t="shared" si="53"/>
        <v>0</v>
      </c>
      <c r="EM52" s="1322"/>
      <c r="EN52" s="1321">
        <f t="shared" si="99"/>
        <v>0</v>
      </c>
      <c r="EO52" s="1322"/>
      <c r="EP52" s="1321">
        <f t="shared" si="100"/>
        <v>0</v>
      </c>
      <c r="EQ52" s="1322"/>
      <c r="ER52" s="1321">
        <f t="shared" si="55"/>
        <v>0</v>
      </c>
      <c r="ES52" s="1322"/>
      <c r="ET52" s="1321">
        <f t="shared" si="56"/>
        <v>0</v>
      </c>
      <c r="EU52" s="1322"/>
      <c r="EV52" s="1321">
        <f t="shared" si="57"/>
        <v>0</v>
      </c>
      <c r="EW52" s="1322"/>
      <c r="EX52" s="1321">
        <f t="shared" si="58"/>
        <v>0</v>
      </c>
      <c r="EY52" s="1322"/>
      <c r="EZ52" s="1321">
        <f t="shared" si="59"/>
        <v>0</v>
      </c>
      <c r="FA52" s="1322"/>
      <c r="FB52" s="1321">
        <f t="shared" si="60"/>
        <v>0</v>
      </c>
      <c r="FC52" s="1322"/>
      <c r="FD52" s="1321">
        <f t="shared" si="61"/>
        <v>0</v>
      </c>
      <c r="FE52" s="1322"/>
      <c r="FF52" s="1321">
        <f t="shared" si="62"/>
        <v>0</v>
      </c>
      <c r="FG52" s="1322"/>
      <c r="FH52" s="1321">
        <f t="shared" si="63"/>
        <v>0</v>
      </c>
      <c r="FI52" s="1322"/>
      <c r="FJ52" s="1321">
        <f t="shared" si="64"/>
        <v>0</v>
      </c>
      <c r="FK52" s="1322"/>
      <c r="FL52" s="1321">
        <f t="shared" si="65"/>
        <v>0</v>
      </c>
      <c r="FM52" s="1322"/>
      <c r="FN52" s="1321">
        <f t="shared" si="66"/>
        <v>0</v>
      </c>
      <c r="FO52" s="1322"/>
      <c r="FP52" s="1321">
        <f t="shared" si="67"/>
        <v>0</v>
      </c>
      <c r="FQ52" s="1322"/>
      <c r="FR52" s="1321">
        <f t="shared" si="68"/>
        <v>0</v>
      </c>
      <c r="FS52" s="1322"/>
      <c r="FT52" s="1321">
        <f t="shared" si="69"/>
        <v>0</v>
      </c>
      <c r="FU52" s="1322"/>
      <c r="FV52" s="1321">
        <f t="shared" si="70"/>
        <v>0</v>
      </c>
      <c r="FW52" s="1322"/>
      <c r="FX52" s="1321">
        <f t="shared" si="71"/>
        <v>0</v>
      </c>
      <c r="FY52" s="1322"/>
      <c r="FZ52" s="1321">
        <f t="shared" si="72"/>
        <v>0</v>
      </c>
      <c r="GA52" s="1322"/>
      <c r="GB52" s="1322"/>
      <c r="GC52" s="1322"/>
      <c r="GD52" s="1322"/>
      <c r="GE52" s="1322"/>
      <c r="GF52" s="1322"/>
      <c r="GG52" s="1322"/>
      <c r="GH52" s="1322"/>
      <c r="GI52" s="1322"/>
      <c r="GJ52" s="1322"/>
      <c r="GK52" s="1322"/>
      <c r="GL52" s="1322"/>
      <c r="GM52" s="1322"/>
      <c r="GN52" s="1322"/>
      <c r="GO52" s="1322"/>
      <c r="GP52" s="1322"/>
      <c r="GQ52" s="1322"/>
      <c r="GR52" s="1322"/>
      <c r="GS52" s="1322"/>
      <c r="GT52" s="1322"/>
      <c r="GU52" s="1322"/>
      <c r="GV52" s="1322"/>
      <c r="GW52" s="1322"/>
      <c r="GX52" s="1322"/>
      <c r="GY52" s="1322"/>
      <c r="GZ52" s="1322"/>
    </row>
    <row r="53" spans="1:208" hidden="1">
      <c r="A53" s="1318"/>
      <c r="B53" s="1318"/>
      <c r="C53" s="1321"/>
      <c r="D53" s="1321">
        <f t="shared" si="1"/>
        <v>0</v>
      </c>
      <c r="E53" s="1321"/>
      <c r="F53" s="1321">
        <f t="shared" si="1"/>
        <v>0</v>
      </c>
      <c r="G53" s="1322"/>
      <c r="H53" s="1321">
        <f t="shared" si="1"/>
        <v>0</v>
      </c>
      <c r="I53" s="1322"/>
      <c r="J53" s="1321">
        <f t="shared" si="1"/>
        <v>0</v>
      </c>
      <c r="K53" s="1322"/>
      <c r="L53" s="1321">
        <f t="shared" si="1"/>
        <v>0</v>
      </c>
      <c r="M53" s="1322"/>
      <c r="N53" s="1321">
        <f t="shared" si="1"/>
        <v>0</v>
      </c>
      <c r="O53" s="1322"/>
      <c r="P53" s="1321">
        <f t="shared" si="1"/>
        <v>0</v>
      </c>
      <c r="Q53" s="1322"/>
      <c r="R53" s="1321">
        <f t="shared" si="1"/>
        <v>0</v>
      </c>
      <c r="S53" s="1322"/>
      <c r="T53" s="1321">
        <f t="shared" si="1"/>
        <v>0</v>
      </c>
      <c r="U53" s="1322"/>
      <c r="V53" s="1321">
        <f t="shared" si="101"/>
        <v>0</v>
      </c>
      <c r="W53" s="1322"/>
      <c r="X53" s="1321">
        <f t="shared" si="4"/>
        <v>0</v>
      </c>
      <c r="Y53" s="1322"/>
      <c r="Z53" s="1321">
        <f t="shared" si="5"/>
        <v>0</v>
      </c>
      <c r="AA53" s="1322"/>
      <c r="AB53" s="1321">
        <f t="shared" si="6"/>
        <v>0</v>
      </c>
      <c r="AC53" s="1322"/>
      <c r="AD53" s="1321">
        <f t="shared" si="7"/>
        <v>0</v>
      </c>
      <c r="AE53" s="1322"/>
      <c r="AF53" s="1321">
        <f t="shared" si="8"/>
        <v>0</v>
      </c>
      <c r="AG53" s="1322"/>
      <c r="AH53" s="1321">
        <f t="shared" si="9"/>
        <v>0</v>
      </c>
      <c r="AI53" s="1322"/>
      <c r="AJ53" s="1321">
        <f t="shared" si="10"/>
        <v>0</v>
      </c>
      <c r="AK53" s="1322"/>
      <c r="AL53" s="1321">
        <f t="shared" si="11"/>
        <v>0</v>
      </c>
      <c r="AM53" s="1322"/>
      <c r="AN53" s="1321">
        <f t="shared" si="12"/>
        <v>0</v>
      </c>
      <c r="AO53" s="1322"/>
      <c r="AP53" s="1321">
        <f t="shared" si="13"/>
        <v>0</v>
      </c>
      <c r="AQ53" s="1322"/>
      <c r="AR53" s="1321">
        <f t="shared" si="14"/>
        <v>0</v>
      </c>
      <c r="AS53" s="1322"/>
      <c r="AT53" s="1321">
        <f t="shared" si="15"/>
        <v>0</v>
      </c>
      <c r="AU53" s="1322"/>
      <c r="AV53" s="1321">
        <f t="shared" si="16"/>
        <v>0</v>
      </c>
      <c r="AW53" s="1322"/>
      <c r="AX53" s="1321">
        <f t="shared" si="17"/>
        <v>0</v>
      </c>
      <c r="AY53" s="1322"/>
      <c r="AZ53" s="1321">
        <f t="shared" si="18"/>
        <v>0</v>
      </c>
      <c r="BA53" s="1322"/>
      <c r="BB53" s="1321">
        <f t="shared" si="19"/>
        <v>0</v>
      </c>
      <c r="BC53" s="1322"/>
      <c r="BD53" s="1321">
        <f t="shared" si="20"/>
        <v>0</v>
      </c>
      <c r="BE53" s="1322"/>
      <c r="BF53" s="1321">
        <f t="shared" si="21"/>
        <v>0</v>
      </c>
      <c r="BG53" s="1322"/>
      <c r="BH53" s="1321">
        <f t="shared" si="22"/>
        <v>0</v>
      </c>
      <c r="BI53" s="1322"/>
      <c r="BJ53" s="1321">
        <f t="shared" si="23"/>
        <v>0</v>
      </c>
      <c r="BK53" s="1322"/>
      <c r="BL53" s="1321">
        <f t="shared" si="24"/>
        <v>0</v>
      </c>
      <c r="BM53" s="1322"/>
      <c r="BN53" s="1321">
        <f t="shared" si="25"/>
        <v>0</v>
      </c>
      <c r="BO53" s="1322"/>
      <c r="BP53" s="1321">
        <f t="shared" si="26"/>
        <v>0</v>
      </c>
      <c r="BQ53" s="1322"/>
      <c r="BR53" s="1321">
        <f t="shared" si="27"/>
        <v>0</v>
      </c>
      <c r="BS53" s="1322"/>
      <c r="BT53" s="1321">
        <f t="shared" si="28"/>
        <v>0</v>
      </c>
      <c r="BU53" s="1322"/>
      <c r="BV53" s="1321">
        <f t="shared" si="29"/>
        <v>0</v>
      </c>
      <c r="BW53" s="1322"/>
      <c r="BX53" s="1321">
        <f t="shared" si="30"/>
        <v>0</v>
      </c>
      <c r="BY53" s="1322"/>
      <c r="BZ53" s="1321">
        <f t="shared" si="31"/>
        <v>0</v>
      </c>
      <c r="CA53" s="1322"/>
      <c r="CB53" s="1321">
        <f t="shared" si="32"/>
        <v>0</v>
      </c>
      <c r="CC53" s="1322"/>
      <c r="CD53" s="1321">
        <f t="shared" si="33"/>
        <v>0</v>
      </c>
      <c r="CE53" s="1322"/>
      <c r="CF53" s="1321">
        <f t="shared" si="34"/>
        <v>0</v>
      </c>
      <c r="CG53" s="1322"/>
      <c r="CH53" s="1321">
        <f t="shared" si="35"/>
        <v>0</v>
      </c>
      <c r="CI53" s="1322"/>
      <c r="CJ53" s="1321">
        <f t="shared" si="36"/>
        <v>0</v>
      </c>
      <c r="CK53" s="1322"/>
      <c r="CL53" s="1321">
        <f t="shared" si="37"/>
        <v>0</v>
      </c>
      <c r="CM53" s="1322"/>
      <c r="CN53" s="1321">
        <f t="shared" si="38"/>
        <v>0</v>
      </c>
      <c r="CO53" s="1322"/>
      <c r="CP53" s="1321">
        <f t="shared" si="39"/>
        <v>0</v>
      </c>
      <c r="CQ53" s="1322"/>
      <c r="CR53" s="1321">
        <f t="shared" si="40"/>
        <v>0</v>
      </c>
      <c r="CS53" s="1322"/>
      <c r="CT53" s="1321">
        <f t="shared" si="41"/>
        <v>0</v>
      </c>
      <c r="CU53" s="1322"/>
      <c r="CV53" s="1321">
        <f t="shared" si="42"/>
        <v>0</v>
      </c>
      <c r="CW53" s="1322"/>
      <c r="CX53" s="1321">
        <f t="shared" si="43"/>
        <v>0</v>
      </c>
      <c r="CY53" s="1322"/>
      <c r="CZ53" s="1321">
        <f t="shared" si="44"/>
        <v>0</v>
      </c>
      <c r="DA53" s="1322"/>
      <c r="DB53" s="1321">
        <f t="shared" si="45"/>
        <v>0</v>
      </c>
      <c r="DC53" s="1322"/>
      <c r="DD53" s="1321">
        <f t="shared" si="46"/>
        <v>0</v>
      </c>
      <c r="DE53" s="1322"/>
      <c r="DF53" s="1321">
        <f t="shared" si="47"/>
        <v>0</v>
      </c>
      <c r="DG53" s="1322"/>
      <c r="DH53" s="1321">
        <f t="shared" si="87"/>
        <v>0</v>
      </c>
      <c r="DI53" s="1322"/>
      <c r="DJ53" s="1321">
        <f t="shared" si="88"/>
        <v>0</v>
      </c>
      <c r="DK53" s="1322"/>
      <c r="DL53" s="1321">
        <f t="shared" si="89"/>
        <v>0</v>
      </c>
      <c r="DM53" s="1322"/>
      <c r="DN53" s="1321">
        <f t="shared" si="90"/>
        <v>0</v>
      </c>
      <c r="DO53" s="1322"/>
      <c r="DP53" s="1321">
        <f t="shared" si="91"/>
        <v>0</v>
      </c>
      <c r="DQ53" s="1322"/>
      <c r="DR53" s="1321">
        <f t="shared" si="92"/>
        <v>0</v>
      </c>
      <c r="DS53" s="1322"/>
      <c r="DT53" s="1321">
        <f t="shared" si="93"/>
        <v>0</v>
      </c>
      <c r="DU53" s="1322"/>
      <c r="DV53" s="1321">
        <f t="shared" si="86"/>
        <v>0</v>
      </c>
      <c r="DW53" s="1322"/>
      <c r="DX53" s="1321">
        <f t="shared" si="94"/>
        <v>0</v>
      </c>
      <c r="DY53" s="1322"/>
      <c r="DZ53" s="1321">
        <f t="shared" si="95"/>
        <v>0</v>
      </c>
      <c r="EA53" s="1322"/>
      <c r="EB53" s="1321">
        <f t="shared" si="96"/>
        <v>0</v>
      </c>
      <c r="EC53" s="1322"/>
      <c r="ED53" s="1321">
        <f t="shared" si="97"/>
        <v>0</v>
      </c>
      <c r="EE53" s="1322"/>
      <c r="EF53" s="1321">
        <f t="shared" si="98"/>
        <v>0</v>
      </c>
      <c r="EG53" s="1322"/>
      <c r="EH53" s="1321">
        <f t="shared" si="51"/>
        <v>0</v>
      </c>
      <c r="EI53" s="1322"/>
      <c r="EJ53" s="1321">
        <f t="shared" si="52"/>
        <v>0</v>
      </c>
      <c r="EK53" s="1322"/>
      <c r="EL53" s="1321">
        <f t="shared" si="53"/>
        <v>0</v>
      </c>
      <c r="EM53" s="1322"/>
      <c r="EN53" s="1321">
        <f t="shared" si="99"/>
        <v>0</v>
      </c>
      <c r="EO53" s="1322"/>
      <c r="EP53" s="1321">
        <f t="shared" si="100"/>
        <v>0</v>
      </c>
      <c r="EQ53" s="1322"/>
      <c r="ER53" s="1321">
        <f t="shared" si="55"/>
        <v>0</v>
      </c>
      <c r="ES53" s="1322"/>
      <c r="ET53" s="1321">
        <f t="shared" si="56"/>
        <v>0</v>
      </c>
      <c r="EU53" s="1322"/>
      <c r="EV53" s="1321">
        <f t="shared" si="57"/>
        <v>0</v>
      </c>
      <c r="EW53" s="1322"/>
      <c r="EX53" s="1321">
        <f t="shared" si="58"/>
        <v>0</v>
      </c>
      <c r="EY53" s="1322"/>
      <c r="EZ53" s="1321">
        <f t="shared" si="59"/>
        <v>0</v>
      </c>
      <c r="FA53" s="1322"/>
      <c r="FB53" s="1321">
        <f t="shared" si="60"/>
        <v>0</v>
      </c>
      <c r="FC53" s="1322"/>
      <c r="FD53" s="1321">
        <f t="shared" si="61"/>
        <v>0</v>
      </c>
      <c r="FE53" s="1322"/>
      <c r="FF53" s="1321">
        <f t="shared" si="62"/>
        <v>0</v>
      </c>
      <c r="FG53" s="1322"/>
      <c r="FH53" s="1321">
        <f t="shared" si="63"/>
        <v>0</v>
      </c>
      <c r="FI53" s="1322"/>
      <c r="FJ53" s="1321">
        <f t="shared" si="64"/>
        <v>0</v>
      </c>
      <c r="FK53" s="1322"/>
      <c r="FL53" s="1321">
        <f t="shared" si="65"/>
        <v>0</v>
      </c>
      <c r="FM53" s="1322"/>
      <c r="FN53" s="1321">
        <f t="shared" si="66"/>
        <v>0</v>
      </c>
      <c r="FO53" s="1322"/>
      <c r="FP53" s="1321">
        <f t="shared" si="67"/>
        <v>0</v>
      </c>
      <c r="FQ53" s="1322"/>
      <c r="FR53" s="1321">
        <f t="shared" si="68"/>
        <v>0</v>
      </c>
      <c r="FS53" s="1322"/>
      <c r="FT53" s="1321">
        <f t="shared" si="69"/>
        <v>0</v>
      </c>
      <c r="FU53" s="1322"/>
      <c r="FV53" s="1321">
        <f t="shared" si="70"/>
        <v>0</v>
      </c>
      <c r="FW53" s="1322"/>
      <c r="FX53" s="1321">
        <f t="shared" si="71"/>
        <v>0</v>
      </c>
      <c r="FY53" s="1322"/>
      <c r="FZ53" s="1321">
        <f t="shared" si="72"/>
        <v>0</v>
      </c>
      <c r="GA53" s="1322"/>
      <c r="GB53" s="1322"/>
      <c r="GC53" s="1322"/>
      <c r="GD53" s="1322"/>
      <c r="GE53" s="1322"/>
      <c r="GF53" s="1322"/>
      <c r="GG53" s="1322"/>
      <c r="GH53" s="1322"/>
      <c r="GI53" s="1322"/>
      <c r="GJ53" s="1322"/>
      <c r="GK53" s="1322"/>
      <c r="GL53" s="1322"/>
      <c r="GM53" s="1322"/>
      <c r="GN53" s="1322"/>
      <c r="GO53" s="1322"/>
      <c r="GP53" s="1322"/>
      <c r="GQ53" s="1322"/>
      <c r="GR53" s="1322"/>
      <c r="GS53" s="1322"/>
      <c r="GT53" s="1322"/>
      <c r="GU53" s="1322"/>
      <c r="GV53" s="1322"/>
      <c r="GW53" s="1322"/>
      <c r="GX53" s="1322"/>
      <c r="GY53" s="1322"/>
      <c r="GZ53" s="1322"/>
    </row>
    <row r="54" spans="1:208" hidden="1">
      <c r="A54" s="1318"/>
      <c r="B54" s="1318"/>
      <c r="C54" s="1321"/>
      <c r="D54" s="1321">
        <f t="shared" si="1"/>
        <v>0</v>
      </c>
      <c r="E54" s="1321"/>
      <c r="F54" s="1321">
        <f t="shared" si="1"/>
        <v>0</v>
      </c>
      <c r="G54" s="1322"/>
      <c r="H54" s="1321">
        <f t="shared" si="1"/>
        <v>0</v>
      </c>
      <c r="I54" s="1322"/>
      <c r="J54" s="1321">
        <f t="shared" si="1"/>
        <v>0</v>
      </c>
      <c r="K54" s="1322"/>
      <c r="L54" s="1321">
        <f t="shared" si="1"/>
        <v>0</v>
      </c>
      <c r="M54" s="1322"/>
      <c r="N54" s="1321">
        <f t="shared" si="1"/>
        <v>0</v>
      </c>
      <c r="O54" s="1322"/>
      <c r="P54" s="1321">
        <f t="shared" si="1"/>
        <v>0</v>
      </c>
      <c r="Q54" s="1322"/>
      <c r="R54" s="1321">
        <f t="shared" si="1"/>
        <v>0</v>
      </c>
      <c r="S54" s="1322"/>
      <c r="T54" s="1321">
        <f t="shared" si="1"/>
        <v>0</v>
      </c>
      <c r="U54" s="1322"/>
      <c r="V54" s="1321">
        <f t="shared" si="101"/>
        <v>0</v>
      </c>
      <c r="W54" s="1322"/>
      <c r="X54" s="1321">
        <f t="shared" si="4"/>
        <v>0</v>
      </c>
      <c r="Y54" s="1322"/>
      <c r="Z54" s="1321">
        <f t="shared" si="5"/>
        <v>0</v>
      </c>
      <c r="AA54" s="1322"/>
      <c r="AB54" s="1321">
        <f t="shared" si="6"/>
        <v>0</v>
      </c>
      <c r="AC54" s="1322"/>
      <c r="AD54" s="1321">
        <f t="shared" si="7"/>
        <v>0</v>
      </c>
      <c r="AE54" s="1322"/>
      <c r="AF54" s="1321">
        <f t="shared" si="8"/>
        <v>0</v>
      </c>
      <c r="AG54" s="1322"/>
      <c r="AH54" s="1321">
        <f t="shared" si="9"/>
        <v>0</v>
      </c>
      <c r="AI54" s="1322"/>
      <c r="AJ54" s="1321">
        <f t="shared" si="10"/>
        <v>0</v>
      </c>
      <c r="AK54" s="1322"/>
      <c r="AL54" s="1321">
        <f t="shared" si="11"/>
        <v>0</v>
      </c>
      <c r="AM54" s="1322"/>
      <c r="AN54" s="1321">
        <f t="shared" si="12"/>
        <v>0</v>
      </c>
      <c r="AO54" s="1322"/>
      <c r="AP54" s="1321">
        <f t="shared" si="13"/>
        <v>0</v>
      </c>
      <c r="AQ54" s="1322"/>
      <c r="AR54" s="1321">
        <f t="shared" si="14"/>
        <v>0</v>
      </c>
      <c r="AS54" s="1322"/>
      <c r="AT54" s="1321">
        <f t="shared" si="15"/>
        <v>0</v>
      </c>
      <c r="AU54" s="1322"/>
      <c r="AV54" s="1321">
        <f t="shared" si="16"/>
        <v>0</v>
      </c>
      <c r="AW54" s="1322"/>
      <c r="AX54" s="1321">
        <f t="shared" si="17"/>
        <v>0</v>
      </c>
      <c r="AY54" s="1322"/>
      <c r="AZ54" s="1321">
        <f t="shared" si="18"/>
        <v>0</v>
      </c>
      <c r="BA54" s="1322"/>
      <c r="BB54" s="1321">
        <f t="shared" si="19"/>
        <v>0</v>
      </c>
      <c r="BC54" s="1322"/>
      <c r="BD54" s="1321">
        <f t="shared" si="20"/>
        <v>0</v>
      </c>
      <c r="BE54" s="1322"/>
      <c r="BF54" s="1321">
        <f t="shared" si="21"/>
        <v>0</v>
      </c>
      <c r="BG54" s="1322"/>
      <c r="BH54" s="1321">
        <f t="shared" si="22"/>
        <v>0</v>
      </c>
      <c r="BI54" s="1322"/>
      <c r="BJ54" s="1321">
        <f t="shared" si="23"/>
        <v>0</v>
      </c>
      <c r="BK54" s="1322"/>
      <c r="BL54" s="1321">
        <f t="shared" si="24"/>
        <v>0</v>
      </c>
      <c r="BM54" s="1322"/>
      <c r="BN54" s="1321">
        <f t="shared" si="25"/>
        <v>0</v>
      </c>
      <c r="BO54" s="1322"/>
      <c r="BP54" s="1321">
        <f t="shared" si="26"/>
        <v>0</v>
      </c>
      <c r="BQ54" s="1322"/>
      <c r="BR54" s="1321">
        <f t="shared" si="27"/>
        <v>0</v>
      </c>
      <c r="BS54" s="1322"/>
      <c r="BT54" s="1321">
        <f t="shared" si="28"/>
        <v>0</v>
      </c>
      <c r="BU54" s="1322"/>
      <c r="BV54" s="1321">
        <f t="shared" si="29"/>
        <v>0</v>
      </c>
      <c r="BW54" s="1322"/>
      <c r="BX54" s="1321">
        <f t="shared" si="30"/>
        <v>0</v>
      </c>
      <c r="BY54" s="1322"/>
      <c r="BZ54" s="1321">
        <f t="shared" si="31"/>
        <v>0</v>
      </c>
      <c r="CA54" s="1322"/>
      <c r="CB54" s="1321">
        <f t="shared" si="32"/>
        <v>0</v>
      </c>
      <c r="CC54" s="1322"/>
      <c r="CD54" s="1321">
        <f t="shared" si="33"/>
        <v>0</v>
      </c>
      <c r="CE54" s="1322"/>
      <c r="CF54" s="1321">
        <f t="shared" si="34"/>
        <v>0</v>
      </c>
      <c r="CG54" s="1322"/>
      <c r="CH54" s="1321">
        <f t="shared" si="35"/>
        <v>0</v>
      </c>
      <c r="CI54" s="1322"/>
      <c r="CJ54" s="1321">
        <f t="shared" si="36"/>
        <v>0</v>
      </c>
      <c r="CK54" s="1322"/>
      <c r="CL54" s="1321">
        <f t="shared" si="37"/>
        <v>0</v>
      </c>
      <c r="CM54" s="1322"/>
      <c r="CN54" s="1321">
        <f t="shared" si="38"/>
        <v>0</v>
      </c>
      <c r="CO54" s="1322"/>
      <c r="CP54" s="1321">
        <f t="shared" si="39"/>
        <v>0</v>
      </c>
      <c r="CQ54" s="1322"/>
      <c r="CR54" s="1321">
        <f t="shared" si="40"/>
        <v>0</v>
      </c>
      <c r="CS54" s="1322"/>
      <c r="CT54" s="1321">
        <f t="shared" si="41"/>
        <v>0</v>
      </c>
      <c r="CU54" s="1322"/>
      <c r="CV54" s="1321">
        <f t="shared" si="42"/>
        <v>0</v>
      </c>
      <c r="CW54" s="1322"/>
      <c r="CX54" s="1321">
        <f t="shared" si="43"/>
        <v>0</v>
      </c>
      <c r="CY54" s="1322"/>
      <c r="CZ54" s="1321">
        <f t="shared" si="44"/>
        <v>0</v>
      </c>
      <c r="DA54" s="1322"/>
      <c r="DB54" s="1321">
        <f t="shared" si="45"/>
        <v>0</v>
      </c>
      <c r="DC54" s="1322"/>
      <c r="DD54" s="1321">
        <f t="shared" si="46"/>
        <v>0</v>
      </c>
      <c r="DE54" s="1322"/>
      <c r="DF54" s="1321">
        <f t="shared" si="47"/>
        <v>0</v>
      </c>
      <c r="DG54" s="1322"/>
      <c r="DH54" s="1321">
        <f t="shared" si="87"/>
        <v>0</v>
      </c>
      <c r="DI54" s="1322"/>
      <c r="DJ54" s="1321">
        <f t="shared" si="88"/>
        <v>0</v>
      </c>
      <c r="DK54" s="1322"/>
      <c r="DL54" s="1321">
        <f t="shared" si="89"/>
        <v>0</v>
      </c>
      <c r="DM54" s="1322"/>
      <c r="DN54" s="1321">
        <f t="shared" si="90"/>
        <v>0</v>
      </c>
      <c r="DO54" s="1322"/>
      <c r="DP54" s="1321">
        <f t="shared" si="91"/>
        <v>0</v>
      </c>
      <c r="DQ54" s="1322"/>
      <c r="DR54" s="1321">
        <f t="shared" si="92"/>
        <v>0</v>
      </c>
      <c r="DS54" s="1322"/>
      <c r="DT54" s="1321">
        <f t="shared" si="93"/>
        <v>0</v>
      </c>
      <c r="DU54" s="1322"/>
      <c r="DV54" s="1321">
        <f t="shared" si="86"/>
        <v>0</v>
      </c>
      <c r="DW54" s="1322"/>
      <c r="DX54" s="1321">
        <f t="shared" si="94"/>
        <v>0</v>
      </c>
      <c r="DY54" s="1322"/>
      <c r="DZ54" s="1321">
        <f t="shared" si="95"/>
        <v>0</v>
      </c>
      <c r="EA54" s="1322"/>
      <c r="EB54" s="1321">
        <f t="shared" si="96"/>
        <v>0</v>
      </c>
      <c r="EC54" s="1322"/>
      <c r="ED54" s="1321">
        <f t="shared" si="97"/>
        <v>0</v>
      </c>
      <c r="EE54" s="1322"/>
      <c r="EF54" s="1321">
        <f t="shared" si="98"/>
        <v>0</v>
      </c>
      <c r="EG54" s="1322"/>
      <c r="EH54" s="1321">
        <f t="shared" si="51"/>
        <v>0</v>
      </c>
      <c r="EI54" s="1322"/>
      <c r="EJ54" s="1321">
        <f t="shared" si="52"/>
        <v>0</v>
      </c>
      <c r="EK54" s="1322"/>
      <c r="EL54" s="1321">
        <f t="shared" si="53"/>
        <v>0</v>
      </c>
      <c r="EM54" s="1322"/>
      <c r="EN54" s="1321">
        <f t="shared" si="99"/>
        <v>0</v>
      </c>
      <c r="EO54" s="1322"/>
      <c r="EP54" s="1321">
        <f t="shared" si="100"/>
        <v>0</v>
      </c>
      <c r="EQ54" s="1322"/>
      <c r="ER54" s="1321">
        <f t="shared" si="55"/>
        <v>0</v>
      </c>
      <c r="ES54" s="1322"/>
      <c r="ET54" s="1321">
        <f t="shared" si="56"/>
        <v>0</v>
      </c>
      <c r="EU54" s="1322"/>
      <c r="EV54" s="1321">
        <f t="shared" si="57"/>
        <v>0</v>
      </c>
      <c r="EW54" s="1322"/>
      <c r="EX54" s="1321">
        <f t="shared" si="58"/>
        <v>0</v>
      </c>
      <c r="EY54" s="1322"/>
      <c r="EZ54" s="1321">
        <f t="shared" si="59"/>
        <v>0</v>
      </c>
      <c r="FA54" s="1322"/>
      <c r="FB54" s="1321">
        <f t="shared" si="60"/>
        <v>0</v>
      </c>
      <c r="FC54" s="1322"/>
      <c r="FD54" s="1321">
        <f t="shared" si="61"/>
        <v>0</v>
      </c>
      <c r="FE54" s="1322"/>
      <c r="FF54" s="1321">
        <f t="shared" si="62"/>
        <v>0</v>
      </c>
      <c r="FG54" s="1322"/>
      <c r="FH54" s="1321">
        <f t="shared" si="63"/>
        <v>0</v>
      </c>
      <c r="FI54" s="1322"/>
      <c r="FJ54" s="1321">
        <f t="shared" si="64"/>
        <v>0</v>
      </c>
      <c r="FK54" s="1322"/>
      <c r="FL54" s="1321">
        <f t="shared" si="65"/>
        <v>0</v>
      </c>
      <c r="FM54" s="1322"/>
      <c r="FN54" s="1321">
        <f t="shared" si="66"/>
        <v>0</v>
      </c>
      <c r="FO54" s="1322"/>
      <c r="FP54" s="1321">
        <f t="shared" si="67"/>
        <v>0</v>
      </c>
      <c r="FQ54" s="1322"/>
      <c r="FR54" s="1321">
        <f t="shared" si="68"/>
        <v>0</v>
      </c>
      <c r="FS54" s="1322"/>
      <c r="FT54" s="1321">
        <f t="shared" si="69"/>
        <v>0</v>
      </c>
      <c r="FU54" s="1322"/>
      <c r="FV54" s="1321">
        <f t="shared" si="70"/>
        <v>0</v>
      </c>
      <c r="FW54" s="1322"/>
      <c r="FX54" s="1321">
        <f t="shared" si="71"/>
        <v>0</v>
      </c>
      <c r="FY54" s="1322"/>
      <c r="FZ54" s="1321">
        <f t="shared" si="72"/>
        <v>0</v>
      </c>
      <c r="GA54" s="1322"/>
      <c r="GB54" s="1322"/>
      <c r="GC54" s="1322"/>
      <c r="GD54" s="1322"/>
      <c r="GE54" s="1322"/>
      <c r="GF54" s="1322"/>
      <c r="GG54" s="1322"/>
      <c r="GH54" s="1322"/>
      <c r="GI54" s="1322"/>
      <c r="GJ54" s="1322"/>
      <c r="GK54" s="1322"/>
      <c r="GL54" s="1322"/>
      <c r="GM54" s="1322"/>
      <c r="GN54" s="1322"/>
      <c r="GO54" s="1322"/>
      <c r="GP54" s="1322"/>
      <c r="GQ54" s="1322"/>
      <c r="GR54" s="1322"/>
      <c r="GS54" s="1322"/>
      <c r="GT54" s="1322"/>
      <c r="GU54" s="1322"/>
      <c r="GV54" s="1322"/>
      <c r="GW54" s="1322"/>
      <c r="GX54" s="1322"/>
      <c r="GY54" s="1322"/>
      <c r="GZ54" s="1322"/>
    </row>
    <row r="55" spans="1:208" hidden="1">
      <c r="A55" s="1318"/>
      <c r="B55" s="1318"/>
      <c r="C55" s="1321"/>
      <c r="D55" s="1321">
        <f t="shared" si="1"/>
        <v>0</v>
      </c>
      <c r="E55" s="1321"/>
      <c r="F55" s="1321">
        <f t="shared" si="1"/>
        <v>0</v>
      </c>
      <c r="G55" s="1322"/>
      <c r="H55" s="1321">
        <f t="shared" si="1"/>
        <v>0</v>
      </c>
      <c r="I55" s="1322"/>
      <c r="J55" s="1321">
        <f t="shared" si="1"/>
        <v>0</v>
      </c>
      <c r="K55" s="1322"/>
      <c r="L55" s="1321">
        <f t="shared" si="1"/>
        <v>0</v>
      </c>
      <c r="M55" s="1322"/>
      <c r="N55" s="1321">
        <f t="shared" si="1"/>
        <v>0</v>
      </c>
      <c r="O55" s="1322"/>
      <c r="P55" s="1321">
        <f t="shared" si="1"/>
        <v>0</v>
      </c>
      <c r="Q55" s="1322"/>
      <c r="R55" s="1321">
        <f t="shared" si="1"/>
        <v>0</v>
      </c>
      <c r="S55" s="1322"/>
      <c r="T55" s="1321">
        <f t="shared" si="1"/>
        <v>0</v>
      </c>
      <c r="U55" s="1322"/>
      <c r="V55" s="1321">
        <f t="shared" si="101"/>
        <v>0</v>
      </c>
      <c r="W55" s="1322"/>
      <c r="X55" s="1321">
        <f t="shared" si="4"/>
        <v>0</v>
      </c>
      <c r="Y55" s="1322"/>
      <c r="Z55" s="1321">
        <f t="shared" si="5"/>
        <v>0</v>
      </c>
      <c r="AA55" s="1322"/>
      <c r="AB55" s="1321">
        <f t="shared" si="6"/>
        <v>0</v>
      </c>
      <c r="AC55" s="1322"/>
      <c r="AD55" s="1321">
        <f t="shared" si="7"/>
        <v>0</v>
      </c>
      <c r="AE55" s="1322"/>
      <c r="AF55" s="1321">
        <f t="shared" si="8"/>
        <v>0</v>
      </c>
      <c r="AG55" s="1322"/>
      <c r="AH55" s="1321">
        <f t="shared" si="9"/>
        <v>0</v>
      </c>
      <c r="AI55" s="1322"/>
      <c r="AJ55" s="1321">
        <f t="shared" si="10"/>
        <v>0</v>
      </c>
      <c r="AK55" s="1322"/>
      <c r="AL55" s="1321">
        <f t="shared" si="11"/>
        <v>0</v>
      </c>
      <c r="AM55" s="1322"/>
      <c r="AN55" s="1321">
        <f t="shared" si="12"/>
        <v>0</v>
      </c>
      <c r="AO55" s="1322"/>
      <c r="AP55" s="1321">
        <f t="shared" si="13"/>
        <v>0</v>
      </c>
      <c r="AQ55" s="1322"/>
      <c r="AR55" s="1321">
        <f t="shared" si="14"/>
        <v>0</v>
      </c>
      <c r="AS55" s="1322"/>
      <c r="AT55" s="1321">
        <f t="shared" si="15"/>
        <v>0</v>
      </c>
      <c r="AU55" s="1322"/>
      <c r="AV55" s="1321">
        <f t="shared" si="16"/>
        <v>0</v>
      </c>
      <c r="AW55" s="1322"/>
      <c r="AX55" s="1321">
        <f t="shared" si="17"/>
        <v>0</v>
      </c>
      <c r="AY55" s="1322"/>
      <c r="AZ55" s="1321">
        <f t="shared" si="18"/>
        <v>0</v>
      </c>
      <c r="BA55" s="1322"/>
      <c r="BB55" s="1321">
        <f t="shared" si="19"/>
        <v>0</v>
      </c>
      <c r="BC55" s="1322"/>
      <c r="BD55" s="1321">
        <f t="shared" si="20"/>
        <v>0</v>
      </c>
      <c r="BE55" s="1322"/>
      <c r="BF55" s="1321">
        <f t="shared" si="21"/>
        <v>0</v>
      </c>
      <c r="BG55" s="1322"/>
      <c r="BH55" s="1321">
        <f t="shared" si="22"/>
        <v>0</v>
      </c>
      <c r="BI55" s="1322"/>
      <c r="BJ55" s="1321">
        <f t="shared" si="23"/>
        <v>0</v>
      </c>
      <c r="BK55" s="1322"/>
      <c r="BL55" s="1321">
        <f t="shared" si="24"/>
        <v>0</v>
      </c>
      <c r="BM55" s="1322"/>
      <c r="BN55" s="1321">
        <f t="shared" si="25"/>
        <v>0</v>
      </c>
      <c r="BO55" s="1322"/>
      <c r="BP55" s="1321">
        <f t="shared" si="26"/>
        <v>0</v>
      </c>
      <c r="BQ55" s="1322"/>
      <c r="BR55" s="1321">
        <f t="shared" si="27"/>
        <v>0</v>
      </c>
      <c r="BS55" s="1322"/>
      <c r="BT55" s="1321">
        <f t="shared" si="28"/>
        <v>0</v>
      </c>
      <c r="BU55" s="1322"/>
      <c r="BV55" s="1321">
        <f t="shared" si="29"/>
        <v>0</v>
      </c>
      <c r="BW55" s="1322"/>
      <c r="BX55" s="1321">
        <f t="shared" si="30"/>
        <v>0</v>
      </c>
      <c r="BY55" s="1322"/>
      <c r="BZ55" s="1321">
        <f t="shared" si="31"/>
        <v>0</v>
      </c>
      <c r="CA55" s="1322"/>
      <c r="CB55" s="1321">
        <f t="shared" si="32"/>
        <v>0</v>
      </c>
      <c r="CC55" s="1322"/>
      <c r="CD55" s="1321">
        <f t="shared" si="33"/>
        <v>0</v>
      </c>
      <c r="CE55" s="1322"/>
      <c r="CF55" s="1321">
        <f t="shared" si="34"/>
        <v>0</v>
      </c>
      <c r="CG55" s="1322"/>
      <c r="CH55" s="1321">
        <f t="shared" si="35"/>
        <v>0</v>
      </c>
      <c r="CI55" s="1322"/>
      <c r="CJ55" s="1321">
        <f t="shared" si="36"/>
        <v>0</v>
      </c>
      <c r="CK55" s="1322"/>
      <c r="CL55" s="1321">
        <f t="shared" si="37"/>
        <v>0</v>
      </c>
      <c r="CM55" s="1322"/>
      <c r="CN55" s="1321">
        <f t="shared" si="38"/>
        <v>0</v>
      </c>
      <c r="CO55" s="1322"/>
      <c r="CP55" s="1321">
        <f t="shared" si="39"/>
        <v>0</v>
      </c>
      <c r="CQ55" s="1322"/>
      <c r="CR55" s="1321">
        <f t="shared" si="40"/>
        <v>0</v>
      </c>
      <c r="CS55" s="1322"/>
      <c r="CT55" s="1321">
        <f t="shared" si="41"/>
        <v>0</v>
      </c>
      <c r="CU55" s="1322"/>
      <c r="CV55" s="1321">
        <f t="shared" si="42"/>
        <v>0</v>
      </c>
      <c r="CW55" s="1322"/>
      <c r="CX55" s="1321">
        <f t="shared" si="43"/>
        <v>0</v>
      </c>
      <c r="CY55" s="1322"/>
      <c r="CZ55" s="1321">
        <f t="shared" si="44"/>
        <v>0</v>
      </c>
      <c r="DA55" s="1322"/>
      <c r="DB55" s="1321">
        <f t="shared" si="45"/>
        <v>0</v>
      </c>
      <c r="DC55" s="1322"/>
      <c r="DD55" s="1321">
        <f t="shared" si="46"/>
        <v>0</v>
      </c>
      <c r="DE55" s="1322"/>
      <c r="DF55" s="1321">
        <f t="shared" si="47"/>
        <v>0</v>
      </c>
      <c r="DG55" s="1322"/>
      <c r="DH55" s="1321">
        <f t="shared" si="87"/>
        <v>0</v>
      </c>
      <c r="DI55" s="1322"/>
      <c r="DJ55" s="1321">
        <f t="shared" si="88"/>
        <v>0</v>
      </c>
      <c r="DK55" s="1322"/>
      <c r="DL55" s="1321">
        <f t="shared" si="89"/>
        <v>0</v>
      </c>
      <c r="DM55" s="1322"/>
      <c r="DN55" s="1321">
        <f t="shared" si="90"/>
        <v>0</v>
      </c>
      <c r="DO55" s="1322"/>
      <c r="DP55" s="1321">
        <f t="shared" si="91"/>
        <v>0</v>
      </c>
      <c r="DQ55" s="1322"/>
      <c r="DR55" s="1321">
        <f t="shared" si="92"/>
        <v>0</v>
      </c>
      <c r="DS55" s="1322"/>
      <c r="DT55" s="1321">
        <f t="shared" si="93"/>
        <v>0</v>
      </c>
      <c r="DU55" s="1322"/>
      <c r="DV55" s="1321">
        <f t="shared" si="86"/>
        <v>0</v>
      </c>
      <c r="DW55" s="1322"/>
      <c r="DX55" s="1321">
        <f t="shared" si="94"/>
        <v>0</v>
      </c>
      <c r="DY55" s="1322"/>
      <c r="DZ55" s="1321">
        <f t="shared" si="95"/>
        <v>0</v>
      </c>
      <c r="EA55" s="1322"/>
      <c r="EB55" s="1321">
        <f t="shared" si="96"/>
        <v>0</v>
      </c>
      <c r="EC55" s="1322"/>
      <c r="ED55" s="1321">
        <f t="shared" si="97"/>
        <v>0</v>
      </c>
      <c r="EE55" s="1322"/>
      <c r="EF55" s="1321">
        <f t="shared" si="98"/>
        <v>0</v>
      </c>
      <c r="EG55" s="1322"/>
      <c r="EH55" s="1321">
        <f t="shared" si="51"/>
        <v>0</v>
      </c>
      <c r="EI55" s="1322"/>
      <c r="EJ55" s="1321">
        <f t="shared" si="52"/>
        <v>0</v>
      </c>
      <c r="EK55" s="1322"/>
      <c r="EL55" s="1321">
        <f t="shared" si="53"/>
        <v>0</v>
      </c>
      <c r="EM55" s="1322"/>
      <c r="EN55" s="1321">
        <f t="shared" si="99"/>
        <v>0</v>
      </c>
      <c r="EO55" s="1322"/>
      <c r="EP55" s="1321">
        <f t="shared" si="100"/>
        <v>0</v>
      </c>
      <c r="EQ55" s="1322"/>
      <c r="ER55" s="1321">
        <f t="shared" si="55"/>
        <v>0</v>
      </c>
      <c r="ES55" s="1322"/>
      <c r="ET55" s="1321">
        <f t="shared" si="56"/>
        <v>0</v>
      </c>
      <c r="EU55" s="1322"/>
      <c r="EV55" s="1321">
        <f t="shared" si="57"/>
        <v>0</v>
      </c>
      <c r="EW55" s="1322"/>
      <c r="EX55" s="1321">
        <f t="shared" si="58"/>
        <v>0</v>
      </c>
      <c r="EY55" s="1322"/>
      <c r="EZ55" s="1321">
        <f t="shared" si="59"/>
        <v>0</v>
      </c>
      <c r="FA55" s="1322"/>
      <c r="FB55" s="1321">
        <f t="shared" si="60"/>
        <v>0</v>
      </c>
      <c r="FC55" s="1322"/>
      <c r="FD55" s="1321">
        <f t="shared" si="61"/>
        <v>0</v>
      </c>
      <c r="FE55" s="1322"/>
      <c r="FF55" s="1321">
        <f t="shared" si="62"/>
        <v>0</v>
      </c>
      <c r="FG55" s="1322"/>
      <c r="FH55" s="1321">
        <f t="shared" si="63"/>
        <v>0</v>
      </c>
      <c r="FI55" s="1322"/>
      <c r="FJ55" s="1321">
        <f t="shared" si="64"/>
        <v>0</v>
      </c>
      <c r="FK55" s="1322"/>
      <c r="FL55" s="1321">
        <f t="shared" si="65"/>
        <v>0</v>
      </c>
      <c r="FM55" s="1322"/>
      <c r="FN55" s="1321">
        <f t="shared" si="66"/>
        <v>0</v>
      </c>
      <c r="FO55" s="1322"/>
      <c r="FP55" s="1321">
        <f t="shared" si="67"/>
        <v>0</v>
      </c>
      <c r="FQ55" s="1322"/>
      <c r="FR55" s="1321">
        <f t="shared" si="68"/>
        <v>0</v>
      </c>
      <c r="FS55" s="1322"/>
      <c r="FT55" s="1321">
        <f t="shared" si="69"/>
        <v>0</v>
      </c>
      <c r="FU55" s="1322"/>
      <c r="FV55" s="1321">
        <f t="shared" si="70"/>
        <v>0</v>
      </c>
      <c r="FW55" s="1322"/>
      <c r="FX55" s="1321">
        <f t="shared" si="71"/>
        <v>0</v>
      </c>
      <c r="FY55" s="1322"/>
      <c r="FZ55" s="1321">
        <f t="shared" si="72"/>
        <v>0</v>
      </c>
      <c r="GA55" s="1322"/>
      <c r="GB55" s="1322"/>
      <c r="GC55" s="1322"/>
      <c r="GD55" s="1322"/>
      <c r="GE55" s="1322"/>
      <c r="GF55" s="1322"/>
      <c r="GG55" s="1322"/>
      <c r="GH55" s="1322"/>
      <c r="GI55" s="1322"/>
      <c r="GJ55" s="1322"/>
      <c r="GK55" s="1322"/>
      <c r="GL55" s="1322"/>
      <c r="GM55" s="1322"/>
      <c r="GN55" s="1322"/>
      <c r="GO55" s="1322"/>
      <c r="GP55" s="1322"/>
      <c r="GQ55" s="1322"/>
      <c r="GR55" s="1322"/>
      <c r="GS55" s="1322"/>
      <c r="GT55" s="1322"/>
      <c r="GU55" s="1322"/>
      <c r="GV55" s="1322"/>
      <c r="GW55" s="1322"/>
      <c r="GX55" s="1322"/>
      <c r="GY55" s="1322"/>
      <c r="GZ55" s="1322"/>
    </row>
    <row r="56" spans="1:208" hidden="1">
      <c r="A56" s="1318"/>
      <c r="B56" s="1318"/>
      <c r="C56" s="1321"/>
      <c r="D56" s="1321">
        <f t="shared" si="1"/>
        <v>0</v>
      </c>
      <c r="E56" s="1321"/>
      <c r="F56" s="1321">
        <f t="shared" si="1"/>
        <v>0</v>
      </c>
      <c r="G56" s="1322"/>
      <c r="H56" s="1321">
        <f t="shared" si="1"/>
        <v>0</v>
      </c>
      <c r="I56" s="1322"/>
      <c r="J56" s="1321">
        <f t="shared" si="1"/>
        <v>0</v>
      </c>
      <c r="K56" s="1322"/>
      <c r="L56" s="1321">
        <f t="shared" si="1"/>
        <v>0</v>
      </c>
      <c r="M56" s="1322"/>
      <c r="N56" s="1321">
        <f t="shared" si="1"/>
        <v>0</v>
      </c>
      <c r="O56" s="1322"/>
      <c r="P56" s="1321">
        <f t="shared" si="1"/>
        <v>0</v>
      </c>
      <c r="Q56" s="1322"/>
      <c r="R56" s="1321">
        <f t="shared" si="1"/>
        <v>0</v>
      </c>
      <c r="S56" s="1322"/>
      <c r="T56" s="1321">
        <f t="shared" si="1"/>
        <v>0</v>
      </c>
      <c r="U56" s="1322"/>
      <c r="V56" s="1321">
        <f t="shared" si="101"/>
        <v>0</v>
      </c>
      <c r="W56" s="1322"/>
      <c r="X56" s="1321">
        <f t="shared" si="4"/>
        <v>0</v>
      </c>
      <c r="Y56" s="1322"/>
      <c r="Z56" s="1321">
        <f t="shared" si="5"/>
        <v>0</v>
      </c>
      <c r="AA56" s="1322"/>
      <c r="AB56" s="1321">
        <f t="shared" si="6"/>
        <v>0</v>
      </c>
      <c r="AC56" s="1322"/>
      <c r="AD56" s="1321">
        <f t="shared" si="7"/>
        <v>0</v>
      </c>
      <c r="AE56" s="1322"/>
      <c r="AF56" s="1321">
        <f t="shared" si="8"/>
        <v>0</v>
      </c>
      <c r="AG56" s="1322"/>
      <c r="AH56" s="1321">
        <f t="shared" si="9"/>
        <v>0</v>
      </c>
      <c r="AI56" s="1322"/>
      <c r="AJ56" s="1321">
        <f t="shared" si="10"/>
        <v>0</v>
      </c>
      <c r="AK56" s="1322"/>
      <c r="AL56" s="1321">
        <f t="shared" si="11"/>
        <v>0</v>
      </c>
      <c r="AM56" s="1322"/>
      <c r="AN56" s="1321">
        <f t="shared" si="12"/>
        <v>0</v>
      </c>
      <c r="AO56" s="1322"/>
      <c r="AP56" s="1321">
        <f t="shared" si="13"/>
        <v>0</v>
      </c>
      <c r="AQ56" s="1322"/>
      <c r="AR56" s="1321">
        <f t="shared" si="14"/>
        <v>0</v>
      </c>
      <c r="AS56" s="1322"/>
      <c r="AT56" s="1321">
        <f t="shared" si="15"/>
        <v>0</v>
      </c>
      <c r="AU56" s="1322"/>
      <c r="AV56" s="1321">
        <f t="shared" si="16"/>
        <v>0</v>
      </c>
      <c r="AW56" s="1322"/>
      <c r="AX56" s="1321">
        <f t="shared" si="17"/>
        <v>0</v>
      </c>
      <c r="AY56" s="1322"/>
      <c r="AZ56" s="1321">
        <f t="shared" si="18"/>
        <v>0</v>
      </c>
      <c r="BA56" s="1322"/>
      <c r="BB56" s="1321">
        <f t="shared" si="19"/>
        <v>0</v>
      </c>
      <c r="BC56" s="1322"/>
      <c r="BD56" s="1321">
        <f t="shared" si="20"/>
        <v>0</v>
      </c>
      <c r="BE56" s="1322"/>
      <c r="BF56" s="1321">
        <f t="shared" si="21"/>
        <v>0</v>
      </c>
      <c r="BG56" s="1322"/>
      <c r="BH56" s="1321">
        <f t="shared" si="22"/>
        <v>0</v>
      </c>
      <c r="BI56" s="1322"/>
      <c r="BJ56" s="1321">
        <f t="shared" si="23"/>
        <v>0</v>
      </c>
      <c r="BK56" s="1322"/>
      <c r="BL56" s="1321">
        <f t="shared" si="24"/>
        <v>0</v>
      </c>
      <c r="BM56" s="1322"/>
      <c r="BN56" s="1321">
        <f t="shared" si="25"/>
        <v>0</v>
      </c>
      <c r="BO56" s="1322"/>
      <c r="BP56" s="1321">
        <f t="shared" si="26"/>
        <v>0</v>
      </c>
      <c r="BQ56" s="1322"/>
      <c r="BR56" s="1321">
        <f t="shared" si="27"/>
        <v>0</v>
      </c>
      <c r="BS56" s="1322"/>
      <c r="BT56" s="1321">
        <f t="shared" si="28"/>
        <v>0</v>
      </c>
      <c r="BU56" s="1322"/>
      <c r="BV56" s="1321">
        <f t="shared" si="29"/>
        <v>0</v>
      </c>
      <c r="BW56" s="1322"/>
      <c r="BX56" s="1321">
        <f t="shared" si="30"/>
        <v>0</v>
      </c>
      <c r="BY56" s="1322"/>
      <c r="BZ56" s="1321">
        <f t="shared" si="31"/>
        <v>0</v>
      </c>
      <c r="CA56" s="1322"/>
      <c r="CB56" s="1321">
        <f t="shared" si="32"/>
        <v>0</v>
      </c>
      <c r="CC56" s="1322"/>
      <c r="CD56" s="1321">
        <f t="shared" si="33"/>
        <v>0</v>
      </c>
      <c r="CE56" s="1322"/>
      <c r="CF56" s="1321">
        <f t="shared" si="34"/>
        <v>0</v>
      </c>
      <c r="CG56" s="1322"/>
      <c r="CH56" s="1321">
        <f t="shared" si="35"/>
        <v>0</v>
      </c>
      <c r="CI56" s="1322"/>
      <c r="CJ56" s="1321">
        <f t="shared" si="36"/>
        <v>0</v>
      </c>
      <c r="CK56" s="1322"/>
      <c r="CL56" s="1321">
        <f t="shared" si="37"/>
        <v>0</v>
      </c>
      <c r="CM56" s="1322"/>
      <c r="CN56" s="1321">
        <f t="shared" si="38"/>
        <v>0</v>
      </c>
      <c r="CO56" s="1322"/>
      <c r="CP56" s="1321">
        <f t="shared" si="39"/>
        <v>0</v>
      </c>
      <c r="CQ56" s="1322"/>
      <c r="CR56" s="1321">
        <f t="shared" si="40"/>
        <v>0</v>
      </c>
      <c r="CS56" s="1322"/>
      <c r="CT56" s="1321">
        <f t="shared" si="41"/>
        <v>0</v>
      </c>
      <c r="CU56" s="1322"/>
      <c r="CV56" s="1321">
        <f t="shared" si="42"/>
        <v>0</v>
      </c>
      <c r="CW56" s="1322"/>
      <c r="CX56" s="1321">
        <f t="shared" si="43"/>
        <v>0</v>
      </c>
      <c r="CY56" s="1322"/>
      <c r="CZ56" s="1321">
        <f t="shared" si="44"/>
        <v>0</v>
      </c>
      <c r="DA56" s="1322"/>
      <c r="DB56" s="1321">
        <f t="shared" si="45"/>
        <v>0</v>
      </c>
      <c r="DC56" s="1322"/>
      <c r="DD56" s="1321">
        <f t="shared" si="46"/>
        <v>0</v>
      </c>
      <c r="DE56" s="1322"/>
      <c r="DF56" s="1321">
        <f t="shared" si="47"/>
        <v>0</v>
      </c>
      <c r="DG56" s="1322"/>
      <c r="DH56" s="1321">
        <f t="shared" si="87"/>
        <v>0</v>
      </c>
      <c r="DI56" s="1322"/>
      <c r="DJ56" s="1321">
        <f t="shared" si="88"/>
        <v>0</v>
      </c>
      <c r="DK56" s="1322"/>
      <c r="DL56" s="1321">
        <f t="shared" si="89"/>
        <v>0</v>
      </c>
      <c r="DM56" s="1322"/>
      <c r="DN56" s="1321">
        <f t="shared" si="90"/>
        <v>0</v>
      </c>
      <c r="DO56" s="1322"/>
      <c r="DP56" s="1321">
        <f t="shared" si="91"/>
        <v>0</v>
      </c>
      <c r="DQ56" s="1322"/>
      <c r="DR56" s="1321">
        <f t="shared" si="92"/>
        <v>0</v>
      </c>
      <c r="DS56" s="1322"/>
      <c r="DT56" s="1321">
        <f t="shared" si="93"/>
        <v>0</v>
      </c>
      <c r="DU56" s="1322"/>
      <c r="DV56" s="1321">
        <f t="shared" si="86"/>
        <v>0</v>
      </c>
      <c r="DW56" s="1322"/>
      <c r="DX56" s="1321">
        <f t="shared" si="94"/>
        <v>0</v>
      </c>
      <c r="DY56" s="1322"/>
      <c r="DZ56" s="1321">
        <f t="shared" si="95"/>
        <v>0</v>
      </c>
      <c r="EA56" s="1322"/>
      <c r="EB56" s="1321">
        <f t="shared" si="96"/>
        <v>0</v>
      </c>
      <c r="EC56" s="1322"/>
      <c r="ED56" s="1321">
        <f t="shared" si="97"/>
        <v>0</v>
      </c>
      <c r="EE56" s="1322"/>
      <c r="EF56" s="1321">
        <f t="shared" si="98"/>
        <v>0</v>
      </c>
      <c r="EG56" s="1322"/>
      <c r="EH56" s="1321">
        <f t="shared" si="51"/>
        <v>0</v>
      </c>
      <c r="EI56" s="1322"/>
      <c r="EJ56" s="1321">
        <f t="shared" si="52"/>
        <v>0</v>
      </c>
      <c r="EK56" s="1322"/>
      <c r="EL56" s="1321">
        <f t="shared" si="53"/>
        <v>0</v>
      </c>
      <c r="EM56" s="1322"/>
      <c r="EN56" s="1321">
        <f t="shared" si="99"/>
        <v>0</v>
      </c>
      <c r="EO56" s="1322"/>
      <c r="EP56" s="1321">
        <f t="shared" si="100"/>
        <v>0</v>
      </c>
      <c r="EQ56" s="1322"/>
      <c r="ER56" s="1321">
        <f t="shared" si="55"/>
        <v>0</v>
      </c>
      <c r="ES56" s="1322"/>
      <c r="ET56" s="1321">
        <f t="shared" si="56"/>
        <v>0</v>
      </c>
      <c r="EU56" s="1322"/>
      <c r="EV56" s="1321">
        <f t="shared" si="57"/>
        <v>0</v>
      </c>
      <c r="EW56" s="1322"/>
      <c r="EX56" s="1321">
        <f t="shared" si="58"/>
        <v>0</v>
      </c>
      <c r="EY56" s="1322"/>
      <c r="EZ56" s="1321">
        <f t="shared" si="59"/>
        <v>0</v>
      </c>
      <c r="FA56" s="1322"/>
      <c r="FB56" s="1321">
        <f t="shared" si="60"/>
        <v>0</v>
      </c>
      <c r="FC56" s="1322"/>
      <c r="FD56" s="1321">
        <f t="shared" si="61"/>
        <v>0</v>
      </c>
      <c r="FE56" s="1322"/>
      <c r="FF56" s="1321">
        <f t="shared" si="62"/>
        <v>0</v>
      </c>
      <c r="FG56" s="1322"/>
      <c r="FH56" s="1321">
        <f t="shared" si="63"/>
        <v>0</v>
      </c>
      <c r="FI56" s="1322"/>
      <c r="FJ56" s="1321">
        <f t="shared" si="64"/>
        <v>0</v>
      </c>
      <c r="FK56" s="1322"/>
      <c r="FL56" s="1321">
        <f t="shared" si="65"/>
        <v>0</v>
      </c>
      <c r="FM56" s="1322"/>
      <c r="FN56" s="1321">
        <f t="shared" si="66"/>
        <v>0</v>
      </c>
      <c r="FO56" s="1322"/>
      <c r="FP56" s="1321">
        <f t="shared" si="67"/>
        <v>0</v>
      </c>
      <c r="FQ56" s="1322"/>
      <c r="FR56" s="1321">
        <f t="shared" si="68"/>
        <v>0</v>
      </c>
      <c r="FS56" s="1322"/>
      <c r="FT56" s="1321">
        <f t="shared" si="69"/>
        <v>0</v>
      </c>
      <c r="FU56" s="1322"/>
      <c r="FV56" s="1321">
        <f t="shared" si="70"/>
        <v>0</v>
      </c>
      <c r="FW56" s="1322"/>
      <c r="FX56" s="1321">
        <f t="shared" si="71"/>
        <v>0</v>
      </c>
      <c r="FY56" s="1322"/>
      <c r="FZ56" s="1321">
        <f t="shared" si="72"/>
        <v>0</v>
      </c>
      <c r="GA56" s="1322"/>
      <c r="GB56" s="1322"/>
      <c r="GC56" s="1322"/>
      <c r="GD56" s="1322"/>
      <c r="GE56" s="1322"/>
      <c r="GF56" s="1322"/>
      <c r="GG56" s="1322"/>
      <c r="GH56" s="1322"/>
      <c r="GI56" s="1322"/>
      <c r="GJ56" s="1322"/>
      <c r="GK56" s="1322"/>
      <c r="GL56" s="1322"/>
      <c r="GM56" s="1322"/>
      <c r="GN56" s="1322"/>
      <c r="GO56" s="1322"/>
      <c r="GP56" s="1322"/>
      <c r="GQ56" s="1322"/>
      <c r="GR56" s="1322"/>
      <c r="GS56" s="1322"/>
      <c r="GT56" s="1322"/>
      <c r="GU56" s="1322"/>
      <c r="GV56" s="1322"/>
      <c r="GW56" s="1322"/>
      <c r="GX56" s="1322"/>
      <c r="GY56" s="1322"/>
      <c r="GZ56" s="1322"/>
    </row>
    <row r="57" spans="1:208" hidden="1">
      <c r="A57" s="1318"/>
      <c r="B57" s="1318"/>
      <c r="C57" s="1321"/>
      <c r="D57" s="1321">
        <f t="shared" si="1"/>
        <v>0</v>
      </c>
      <c r="E57" s="1321"/>
      <c r="F57" s="1321">
        <f t="shared" si="1"/>
        <v>0</v>
      </c>
      <c r="G57" s="1322"/>
      <c r="H57" s="1321">
        <f t="shared" si="1"/>
        <v>0</v>
      </c>
      <c r="I57" s="1322"/>
      <c r="J57" s="1321">
        <f t="shared" si="1"/>
        <v>0</v>
      </c>
      <c r="K57" s="1322"/>
      <c r="L57" s="1321">
        <f t="shared" si="1"/>
        <v>0</v>
      </c>
      <c r="M57" s="1322"/>
      <c r="N57" s="1321">
        <f t="shared" si="1"/>
        <v>0</v>
      </c>
      <c r="O57" s="1322"/>
      <c r="P57" s="1321">
        <f t="shared" si="1"/>
        <v>0</v>
      </c>
      <c r="Q57" s="1322"/>
      <c r="R57" s="1321">
        <f t="shared" si="1"/>
        <v>0</v>
      </c>
      <c r="S57" s="1322"/>
      <c r="T57" s="1321">
        <f t="shared" si="1"/>
        <v>0</v>
      </c>
      <c r="U57" s="1322"/>
      <c r="V57" s="1321">
        <f t="shared" si="101"/>
        <v>0</v>
      </c>
      <c r="W57" s="1322"/>
      <c r="X57" s="1321">
        <f t="shared" si="4"/>
        <v>0</v>
      </c>
      <c r="Y57" s="1322"/>
      <c r="Z57" s="1321">
        <f t="shared" si="5"/>
        <v>0</v>
      </c>
      <c r="AA57" s="1322"/>
      <c r="AB57" s="1321">
        <f t="shared" si="6"/>
        <v>0</v>
      </c>
      <c r="AC57" s="1322"/>
      <c r="AD57" s="1321">
        <f t="shared" si="7"/>
        <v>0</v>
      </c>
      <c r="AE57" s="1322"/>
      <c r="AF57" s="1321">
        <f t="shared" si="8"/>
        <v>0</v>
      </c>
      <c r="AG57" s="1322"/>
      <c r="AH57" s="1321">
        <f t="shared" si="9"/>
        <v>0</v>
      </c>
      <c r="AI57" s="1322"/>
      <c r="AJ57" s="1321">
        <f t="shared" si="10"/>
        <v>0</v>
      </c>
      <c r="AK57" s="1322"/>
      <c r="AL57" s="1321">
        <f t="shared" si="11"/>
        <v>0</v>
      </c>
      <c r="AM57" s="1322"/>
      <c r="AN57" s="1321">
        <f t="shared" si="12"/>
        <v>0</v>
      </c>
      <c r="AO57" s="1322"/>
      <c r="AP57" s="1321">
        <f t="shared" si="13"/>
        <v>0</v>
      </c>
      <c r="AQ57" s="1322"/>
      <c r="AR57" s="1321">
        <f t="shared" si="14"/>
        <v>0</v>
      </c>
      <c r="AS57" s="1322"/>
      <c r="AT57" s="1321">
        <f t="shared" si="15"/>
        <v>0</v>
      </c>
      <c r="AU57" s="1322"/>
      <c r="AV57" s="1321">
        <f t="shared" si="16"/>
        <v>0</v>
      </c>
      <c r="AW57" s="1322"/>
      <c r="AX57" s="1321">
        <f t="shared" si="17"/>
        <v>0</v>
      </c>
      <c r="AY57" s="1322"/>
      <c r="AZ57" s="1321">
        <f t="shared" si="18"/>
        <v>0</v>
      </c>
      <c r="BA57" s="1322"/>
      <c r="BB57" s="1321">
        <f t="shared" si="19"/>
        <v>0</v>
      </c>
      <c r="BC57" s="1322"/>
      <c r="BD57" s="1321">
        <f t="shared" si="20"/>
        <v>0</v>
      </c>
      <c r="BE57" s="1322"/>
      <c r="BF57" s="1321">
        <f t="shared" si="21"/>
        <v>0</v>
      </c>
      <c r="BG57" s="1322"/>
      <c r="BH57" s="1321">
        <f t="shared" si="22"/>
        <v>0</v>
      </c>
      <c r="BI57" s="1322"/>
      <c r="BJ57" s="1321">
        <f t="shared" si="23"/>
        <v>0</v>
      </c>
      <c r="BK57" s="1322"/>
      <c r="BL57" s="1321">
        <f t="shared" si="24"/>
        <v>0</v>
      </c>
      <c r="BM57" s="1322"/>
      <c r="BN57" s="1321">
        <f t="shared" si="25"/>
        <v>0</v>
      </c>
      <c r="BO57" s="1322"/>
      <c r="BP57" s="1321">
        <f t="shared" si="26"/>
        <v>0</v>
      </c>
      <c r="BQ57" s="1322"/>
      <c r="BR57" s="1321">
        <f t="shared" si="27"/>
        <v>0</v>
      </c>
      <c r="BS57" s="1322"/>
      <c r="BT57" s="1321">
        <f t="shared" si="28"/>
        <v>0</v>
      </c>
      <c r="BU57" s="1322"/>
      <c r="BV57" s="1321">
        <f t="shared" si="29"/>
        <v>0</v>
      </c>
      <c r="BW57" s="1322"/>
      <c r="BX57" s="1321">
        <f t="shared" si="30"/>
        <v>0</v>
      </c>
      <c r="BY57" s="1322"/>
      <c r="BZ57" s="1321">
        <f t="shared" si="31"/>
        <v>0</v>
      </c>
      <c r="CA57" s="1322"/>
      <c r="CB57" s="1321">
        <f t="shared" si="32"/>
        <v>0</v>
      </c>
      <c r="CC57" s="1322"/>
      <c r="CD57" s="1321">
        <f t="shared" si="33"/>
        <v>0</v>
      </c>
      <c r="CE57" s="1322"/>
      <c r="CF57" s="1321">
        <f t="shared" si="34"/>
        <v>0</v>
      </c>
      <c r="CG57" s="1322"/>
      <c r="CH57" s="1321">
        <f t="shared" si="35"/>
        <v>0</v>
      </c>
      <c r="CI57" s="1322"/>
      <c r="CJ57" s="1321">
        <f t="shared" si="36"/>
        <v>0</v>
      </c>
      <c r="CK57" s="1322"/>
      <c r="CL57" s="1321">
        <f t="shared" si="37"/>
        <v>0</v>
      </c>
      <c r="CM57" s="1322"/>
      <c r="CN57" s="1321">
        <f t="shared" si="38"/>
        <v>0</v>
      </c>
      <c r="CO57" s="1322"/>
      <c r="CP57" s="1321">
        <f t="shared" si="39"/>
        <v>0</v>
      </c>
      <c r="CQ57" s="1322"/>
      <c r="CR57" s="1321">
        <f t="shared" si="40"/>
        <v>0</v>
      </c>
      <c r="CS57" s="1322"/>
      <c r="CT57" s="1321">
        <f t="shared" si="41"/>
        <v>0</v>
      </c>
      <c r="CU57" s="1322"/>
      <c r="CV57" s="1321">
        <f t="shared" si="42"/>
        <v>0</v>
      </c>
      <c r="CW57" s="1322"/>
      <c r="CX57" s="1321">
        <f t="shared" si="43"/>
        <v>0</v>
      </c>
      <c r="CY57" s="1322"/>
      <c r="CZ57" s="1321">
        <f t="shared" si="44"/>
        <v>0</v>
      </c>
      <c r="DA57" s="1322"/>
      <c r="DB57" s="1321">
        <f t="shared" si="45"/>
        <v>0</v>
      </c>
      <c r="DC57" s="1322"/>
      <c r="DD57" s="1321">
        <f t="shared" si="46"/>
        <v>0</v>
      </c>
      <c r="DE57" s="1322"/>
      <c r="DF57" s="1321">
        <f t="shared" si="47"/>
        <v>0</v>
      </c>
      <c r="DG57" s="1322"/>
      <c r="DH57" s="1321">
        <f t="shared" si="87"/>
        <v>0</v>
      </c>
      <c r="DI57" s="1322"/>
      <c r="DJ57" s="1321">
        <f t="shared" si="88"/>
        <v>0</v>
      </c>
      <c r="DK57" s="1322"/>
      <c r="DL57" s="1321">
        <f t="shared" si="89"/>
        <v>0</v>
      </c>
      <c r="DM57" s="1322"/>
      <c r="DN57" s="1321">
        <f t="shared" si="90"/>
        <v>0</v>
      </c>
      <c r="DO57" s="1322"/>
      <c r="DP57" s="1321">
        <f t="shared" si="91"/>
        <v>0</v>
      </c>
      <c r="DQ57" s="1322"/>
      <c r="DR57" s="1321">
        <f t="shared" si="92"/>
        <v>0</v>
      </c>
      <c r="DS57" s="1322"/>
      <c r="DT57" s="1321">
        <f t="shared" si="93"/>
        <v>0</v>
      </c>
      <c r="DU57" s="1322"/>
      <c r="DV57" s="1321">
        <f t="shared" si="86"/>
        <v>0</v>
      </c>
      <c r="DW57" s="1322"/>
      <c r="DX57" s="1321">
        <f t="shared" si="94"/>
        <v>0</v>
      </c>
      <c r="DY57" s="1322"/>
      <c r="DZ57" s="1321">
        <f t="shared" si="95"/>
        <v>0</v>
      </c>
      <c r="EA57" s="1322"/>
      <c r="EB57" s="1321">
        <f t="shared" si="96"/>
        <v>0</v>
      </c>
      <c r="EC57" s="1322"/>
      <c r="ED57" s="1321">
        <f t="shared" si="97"/>
        <v>0</v>
      </c>
      <c r="EE57" s="1322"/>
      <c r="EF57" s="1321">
        <f t="shared" si="98"/>
        <v>0</v>
      </c>
      <c r="EG57" s="1322"/>
      <c r="EH57" s="1321">
        <f t="shared" si="51"/>
        <v>0</v>
      </c>
      <c r="EI57" s="1322"/>
      <c r="EJ57" s="1321">
        <f t="shared" si="52"/>
        <v>0</v>
      </c>
      <c r="EK57" s="1322"/>
      <c r="EL57" s="1321">
        <f t="shared" si="53"/>
        <v>0</v>
      </c>
      <c r="EM57" s="1322"/>
      <c r="EN57" s="1321">
        <f t="shared" si="99"/>
        <v>0</v>
      </c>
      <c r="EO57" s="1322"/>
      <c r="EP57" s="1321">
        <f t="shared" si="100"/>
        <v>0</v>
      </c>
      <c r="EQ57" s="1322"/>
      <c r="ER57" s="1321">
        <f t="shared" si="55"/>
        <v>0</v>
      </c>
      <c r="ES57" s="1322"/>
      <c r="ET57" s="1321">
        <f t="shared" si="56"/>
        <v>0</v>
      </c>
      <c r="EU57" s="1322"/>
      <c r="EV57" s="1321">
        <f t="shared" si="57"/>
        <v>0</v>
      </c>
      <c r="EW57" s="1322"/>
      <c r="EX57" s="1321">
        <f t="shared" si="58"/>
        <v>0</v>
      </c>
      <c r="EY57" s="1322"/>
      <c r="EZ57" s="1321">
        <f t="shared" si="59"/>
        <v>0</v>
      </c>
      <c r="FA57" s="1322"/>
      <c r="FB57" s="1321">
        <f t="shared" si="60"/>
        <v>0</v>
      </c>
      <c r="FC57" s="1322"/>
      <c r="FD57" s="1321">
        <f t="shared" si="61"/>
        <v>0</v>
      </c>
      <c r="FE57" s="1322"/>
      <c r="FF57" s="1321">
        <f t="shared" si="62"/>
        <v>0</v>
      </c>
      <c r="FG57" s="1322"/>
      <c r="FH57" s="1321">
        <f t="shared" si="63"/>
        <v>0</v>
      </c>
      <c r="FI57" s="1322"/>
      <c r="FJ57" s="1321">
        <f t="shared" si="64"/>
        <v>0</v>
      </c>
      <c r="FK57" s="1322"/>
      <c r="FL57" s="1321">
        <f t="shared" si="65"/>
        <v>0</v>
      </c>
      <c r="FM57" s="1322"/>
      <c r="FN57" s="1321">
        <f t="shared" si="66"/>
        <v>0</v>
      </c>
      <c r="FO57" s="1322"/>
      <c r="FP57" s="1321">
        <f t="shared" si="67"/>
        <v>0</v>
      </c>
      <c r="FQ57" s="1322"/>
      <c r="FR57" s="1321">
        <f t="shared" si="68"/>
        <v>0</v>
      </c>
      <c r="FS57" s="1322"/>
      <c r="FT57" s="1321">
        <f t="shared" si="69"/>
        <v>0</v>
      </c>
      <c r="FU57" s="1322"/>
      <c r="FV57" s="1321">
        <f t="shared" si="70"/>
        <v>0</v>
      </c>
      <c r="FW57" s="1322"/>
      <c r="FX57" s="1321">
        <f t="shared" si="71"/>
        <v>0</v>
      </c>
      <c r="FY57" s="1322"/>
      <c r="FZ57" s="1321">
        <f t="shared" si="72"/>
        <v>0</v>
      </c>
      <c r="GA57" s="1322"/>
      <c r="GB57" s="1322"/>
      <c r="GC57" s="1322"/>
      <c r="GD57" s="1322"/>
      <c r="GE57" s="1322"/>
      <c r="GF57" s="1322"/>
      <c r="GG57" s="1322"/>
      <c r="GH57" s="1322"/>
      <c r="GI57" s="1322"/>
      <c r="GJ57" s="1322"/>
      <c r="GK57" s="1322"/>
      <c r="GL57" s="1322"/>
      <c r="GM57" s="1322"/>
      <c r="GN57" s="1322"/>
      <c r="GO57" s="1322"/>
      <c r="GP57" s="1322"/>
      <c r="GQ57" s="1322"/>
      <c r="GR57" s="1322"/>
      <c r="GS57" s="1322"/>
      <c r="GT57" s="1322"/>
      <c r="GU57" s="1322"/>
      <c r="GV57" s="1322"/>
      <c r="GW57" s="1322"/>
      <c r="GX57" s="1322"/>
      <c r="GY57" s="1322"/>
      <c r="GZ57" s="1322"/>
    </row>
    <row r="58" spans="1:208" hidden="1">
      <c r="A58" s="1318"/>
      <c r="B58" s="1318"/>
      <c r="C58" s="1321"/>
      <c r="D58" s="1321">
        <f t="shared" si="1"/>
        <v>0</v>
      </c>
      <c r="E58" s="1321"/>
      <c r="F58" s="1321">
        <f t="shared" si="1"/>
        <v>0</v>
      </c>
      <c r="G58" s="1322"/>
      <c r="H58" s="1321">
        <f t="shared" si="1"/>
        <v>0</v>
      </c>
      <c r="I58" s="1322"/>
      <c r="J58" s="1321">
        <f t="shared" si="1"/>
        <v>0</v>
      </c>
      <c r="K58" s="1322"/>
      <c r="L58" s="1321">
        <f t="shared" si="1"/>
        <v>0</v>
      </c>
      <c r="M58" s="1322"/>
      <c r="N58" s="1321">
        <f t="shared" si="1"/>
        <v>0</v>
      </c>
      <c r="O58" s="1322"/>
      <c r="P58" s="1321">
        <f t="shared" si="1"/>
        <v>0</v>
      </c>
      <c r="Q58" s="1322"/>
      <c r="R58" s="1321">
        <f t="shared" si="1"/>
        <v>0</v>
      </c>
      <c r="S58" s="1322"/>
      <c r="T58" s="1321">
        <f t="shared" si="1"/>
        <v>0</v>
      </c>
      <c r="U58" s="1322"/>
      <c r="V58" s="1321">
        <f t="shared" si="101"/>
        <v>0</v>
      </c>
      <c r="W58" s="1322"/>
      <c r="X58" s="1321">
        <f t="shared" si="4"/>
        <v>0</v>
      </c>
      <c r="Y58" s="1322"/>
      <c r="Z58" s="1321">
        <f t="shared" si="5"/>
        <v>0</v>
      </c>
      <c r="AA58" s="1322"/>
      <c r="AB58" s="1321">
        <f t="shared" si="6"/>
        <v>0</v>
      </c>
      <c r="AC58" s="1322"/>
      <c r="AD58" s="1321">
        <f t="shared" si="7"/>
        <v>0</v>
      </c>
      <c r="AE58" s="1322"/>
      <c r="AF58" s="1321">
        <f t="shared" si="8"/>
        <v>0</v>
      </c>
      <c r="AG58" s="1322"/>
      <c r="AH58" s="1321">
        <f t="shared" si="9"/>
        <v>0</v>
      </c>
      <c r="AI58" s="1322"/>
      <c r="AJ58" s="1321">
        <f t="shared" si="10"/>
        <v>0</v>
      </c>
      <c r="AK58" s="1322"/>
      <c r="AL58" s="1321">
        <f t="shared" si="11"/>
        <v>0</v>
      </c>
      <c r="AM58" s="1322"/>
      <c r="AN58" s="1321">
        <f t="shared" si="12"/>
        <v>0</v>
      </c>
      <c r="AO58" s="1322"/>
      <c r="AP58" s="1321">
        <f t="shared" si="13"/>
        <v>0</v>
      </c>
      <c r="AQ58" s="1322"/>
      <c r="AR58" s="1321">
        <f t="shared" si="14"/>
        <v>0</v>
      </c>
      <c r="AS58" s="1322"/>
      <c r="AT58" s="1321">
        <f t="shared" si="15"/>
        <v>0</v>
      </c>
      <c r="AU58" s="1322"/>
      <c r="AV58" s="1321">
        <f t="shared" si="16"/>
        <v>0</v>
      </c>
      <c r="AW58" s="1322"/>
      <c r="AX58" s="1321">
        <f t="shared" si="17"/>
        <v>0</v>
      </c>
      <c r="AY58" s="1322"/>
      <c r="AZ58" s="1321">
        <f t="shared" si="18"/>
        <v>0</v>
      </c>
      <c r="BA58" s="1322"/>
      <c r="BB58" s="1321">
        <f t="shared" si="19"/>
        <v>0</v>
      </c>
      <c r="BC58" s="1322"/>
      <c r="BD58" s="1321">
        <f t="shared" si="20"/>
        <v>0</v>
      </c>
      <c r="BE58" s="1322"/>
      <c r="BF58" s="1321">
        <f t="shared" si="21"/>
        <v>0</v>
      </c>
      <c r="BG58" s="1322"/>
      <c r="BH58" s="1321">
        <f t="shared" si="22"/>
        <v>0</v>
      </c>
      <c r="BI58" s="1322"/>
      <c r="BJ58" s="1321">
        <f t="shared" si="23"/>
        <v>0</v>
      </c>
      <c r="BK58" s="1322"/>
      <c r="BL58" s="1321">
        <f t="shared" si="24"/>
        <v>0</v>
      </c>
      <c r="BM58" s="1322"/>
      <c r="BN58" s="1321">
        <f t="shared" si="25"/>
        <v>0</v>
      </c>
      <c r="BO58" s="1322"/>
      <c r="BP58" s="1321">
        <f t="shared" si="26"/>
        <v>0</v>
      </c>
      <c r="BQ58" s="1322"/>
      <c r="BR58" s="1321">
        <f t="shared" si="27"/>
        <v>0</v>
      </c>
      <c r="BS58" s="1322"/>
      <c r="BT58" s="1321">
        <f t="shared" si="28"/>
        <v>0</v>
      </c>
      <c r="BU58" s="1322"/>
      <c r="BV58" s="1321">
        <f t="shared" si="29"/>
        <v>0</v>
      </c>
      <c r="BW58" s="1322"/>
      <c r="BX58" s="1321">
        <f t="shared" si="30"/>
        <v>0</v>
      </c>
      <c r="BY58" s="1322"/>
      <c r="BZ58" s="1321">
        <f t="shared" si="31"/>
        <v>0</v>
      </c>
      <c r="CA58" s="1322"/>
      <c r="CB58" s="1321">
        <f t="shared" si="32"/>
        <v>0</v>
      </c>
      <c r="CC58" s="1322"/>
      <c r="CD58" s="1321">
        <f t="shared" si="33"/>
        <v>0</v>
      </c>
      <c r="CE58" s="1322"/>
      <c r="CF58" s="1321">
        <f t="shared" si="34"/>
        <v>0</v>
      </c>
      <c r="CG58" s="1322"/>
      <c r="CH58" s="1321">
        <f t="shared" si="35"/>
        <v>0</v>
      </c>
      <c r="CI58" s="1322"/>
      <c r="CJ58" s="1321">
        <f t="shared" si="36"/>
        <v>0</v>
      </c>
      <c r="CK58" s="1322"/>
      <c r="CL58" s="1321">
        <f t="shared" si="37"/>
        <v>0</v>
      </c>
      <c r="CM58" s="1322"/>
      <c r="CN58" s="1321">
        <f t="shared" si="38"/>
        <v>0</v>
      </c>
      <c r="CO58" s="1322"/>
      <c r="CP58" s="1321">
        <f t="shared" si="39"/>
        <v>0</v>
      </c>
      <c r="CQ58" s="1322"/>
      <c r="CR58" s="1321">
        <f t="shared" si="40"/>
        <v>0</v>
      </c>
      <c r="CS58" s="1322"/>
      <c r="CT58" s="1321">
        <f t="shared" si="41"/>
        <v>0</v>
      </c>
      <c r="CU58" s="1322"/>
      <c r="CV58" s="1321">
        <f t="shared" si="42"/>
        <v>0</v>
      </c>
      <c r="CW58" s="1322"/>
      <c r="CX58" s="1321">
        <f t="shared" si="43"/>
        <v>0</v>
      </c>
      <c r="CY58" s="1322"/>
      <c r="CZ58" s="1321">
        <f t="shared" si="44"/>
        <v>0</v>
      </c>
      <c r="DA58" s="1322"/>
      <c r="DB58" s="1321">
        <f t="shared" si="45"/>
        <v>0</v>
      </c>
      <c r="DC58" s="1322"/>
      <c r="DD58" s="1321">
        <f t="shared" si="46"/>
        <v>0</v>
      </c>
      <c r="DE58" s="1322"/>
      <c r="DF58" s="1321">
        <f t="shared" si="47"/>
        <v>0</v>
      </c>
      <c r="DG58" s="1322"/>
      <c r="DH58" s="1321">
        <f t="shared" si="87"/>
        <v>0</v>
      </c>
      <c r="DI58" s="1322"/>
      <c r="DJ58" s="1321">
        <f t="shared" si="88"/>
        <v>0</v>
      </c>
      <c r="DK58" s="1322"/>
      <c r="DL58" s="1321">
        <f t="shared" si="89"/>
        <v>0</v>
      </c>
      <c r="DM58" s="1322"/>
      <c r="DN58" s="1321">
        <f t="shared" si="90"/>
        <v>0</v>
      </c>
      <c r="DO58" s="1322"/>
      <c r="DP58" s="1321">
        <f t="shared" si="91"/>
        <v>0</v>
      </c>
      <c r="DQ58" s="1322"/>
      <c r="DR58" s="1321">
        <f t="shared" si="92"/>
        <v>0</v>
      </c>
      <c r="DS58" s="1322"/>
      <c r="DT58" s="1321">
        <f t="shared" si="93"/>
        <v>0</v>
      </c>
      <c r="DU58" s="1322"/>
      <c r="DV58" s="1321">
        <f t="shared" si="86"/>
        <v>0</v>
      </c>
      <c r="DW58" s="1322"/>
      <c r="DX58" s="1321">
        <f t="shared" si="94"/>
        <v>0</v>
      </c>
      <c r="DY58" s="1322"/>
      <c r="DZ58" s="1321">
        <f t="shared" si="95"/>
        <v>0</v>
      </c>
      <c r="EA58" s="1322"/>
      <c r="EB58" s="1321">
        <f t="shared" si="96"/>
        <v>0</v>
      </c>
      <c r="EC58" s="1322"/>
      <c r="ED58" s="1321">
        <f t="shared" si="97"/>
        <v>0</v>
      </c>
      <c r="EE58" s="1322"/>
      <c r="EF58" s="1321">
        <f t="shared" si="98"/>
        <v>0</v>
      </c>
      <c r="EG58" s="1322"/>
      <c r="EH58" s="1321">
        <f t="shared" si="51"/>
        <v>0</v>
      </c>
      <c r="EI58" s="1322"/>
      <c r="EJ58" s="1321">
        <f t="shared" si="52"/>
        <v>0</v>
      </c>
      <c r="EK58" s="1322"/>
      <c r="EL58" s="1321">
        <f t="shared" si="53"/>
        <v>0</v>
      </c>
      <c r="EM58" s="1322"/>
      <c r="EN58" s="1321">
        <f t="shared" si="99"/>
        <v>0</v>
      </c>
      <c r="EO58" s="1322"/>
      <c r="EP58" s="1321">
        <f t="shared" si="100"/>
        <v>0</v>
      </c>
      <c r="EQ58" s="1322"/>
      <c r="ER58" s="1321">
        <f t="shared" si="55"/>
        <v>0</v>
      </c>
      <c r="ES58" s="1322"/>
      <c r="ET58" s="1321">
        <f t="shared" si="56"/>
        <v>0</v>
      </c>
      <c r="EU58" s="1322"/>
      <c r="EV58" s="1321">
        <f t="shared" si="57"/>
        <v>0</v>
      </c>
      <c r="EW58" s="1322"/>
      <c r="EX58" s="1321">
        <f t="shared" si="58"/>
        <v>0</v>
      </c>
      <c r="EY58" s="1322"/>
      <c r="EZ58" s="1321">
        <f t="shared" si="59"/>
        <v>0</v>
      </c>
      <c r="FA58" s="1322"/>
      <c r="FB58" s="1321">
        <f t="shared" si="60"/>
        <v>0</v>
      </c>
      <c r="FC58" s="1322"/>
      <c r="FD58" s="1321">
        <f t="shared" si="61"/>
        <v>0</v>
      </c>
      <c r="FE58" s="1322"/>
      <c r="FF58" s="1321">
        <f t="shared" si="62"/>
        <v>0</v>
      </c>
      <c r="FG58" s="1322"/>
      <c r="FH58" s="1321">
        <f t="shared" si="63"/>
        <v>0</v>
      </c>
      <c r="FI58" s="1322"/>
      <c r="FJ58" s="1321">
        <f t="shared" si="64"/>
        <v>0</v>
      </c>
      <c r="FK58" s="1322"/>
      <c r="FL58" s="1321">
        <f t="shared" si="65"/>
        <v>0</v>
      </c>
      <c r="FM58" s="1322"/>
      <c r="FN58" s="1321">
        <f t="shared" si="66"/>
        <v>0</v>
      </c>
      <c r="FO58" s="1322"/>
      <c r="FP58" s="1321">
        <f t="shared" si="67"/>
        <v>0</v>
      </c>
      <c r="FQ58" s="1322"/>
      <c r="FR58" s="1321">
        <f t="shared" si="68"/>
        <v>0</v>
      </c>
      <c r="FS58" s="1322"/>
      <c r="FT58" s="1321">
        <f t="shared" si="69"/>
        <v>0</v>
      </c>
      <c r="FU58" s="1322"/>
      <c r="FV58" s="1321">
        <f t="shared" si="70"/>
        <v>0</v>
      </c>
      <c r="FW58" s="1322"/>
      <c r="FX58" s="1321">
        <f t="shared" si="71"/>
        <v>0</v>
      </c>
      <c r="FY58" s="1322"/>
      <c r="FZ58" s="1321">
        <f t="shared" si="72"/>
        <v>0</v>
      </c>
      <c r="GA58" s="1322"/>
      <c r="GB58" s="1322"/>
      <c r="GC58" s="1322"/>
      <c r="GD58" s="1322"/>
      <c r="GE58" s="1322"/>
      <c r="GF58" s="1322"/>
      <c r="GG58" s="1322"/>
      <c r="GH58" s="1322"/>
      <c r="GI58" s="1322"/>
      <c r="GJ58" s="1322"/>
      <c r="GK58" s="1322"/>
      <c r="GL58" s="1322"/>
      <c r="GM58" s="1322"/>
      <c r="GN58" s="1322"/>
      <c r="GO58" s="1322"/>
      <c r="GP58" s="1322"/>
      <c r="GQ58" s="1322"/>
      <c r="GR58" s="1322"/>
      <c r="GS58" s="1322"/>
      <c r="GT58" s="1322"/>
      <c r="GU58" s="1322"/>
      <c r="GV58" s="1322"/>
      <c r="GW58" s="1322"/>
      <c r="GX58" s="1322"/>
      <c r="GY58" s="1322"/>
      <c r="GZ58" s="1322"/>
    </row>
    <row r="59" spans="1:208" hidden="1">
      <c r="A59" s="1318"/>
      <c r="B59" s="1318"/>
      <c r="C59" s="1321"/>
      <c r="D59" s="1321">
        <f t="shared" si="1"/>
        <v>0</v>
      </c>
      <c r="E59" s="1321"/>
      <c r="F59" s="1321">
        <f t="shared" si="1"/>
        <v>0</v>
      </c>
      <c r="G59" s="1322"/>
      <c r="H59" s="1321">
        <f t="shared" si="1"/>
        <v>0</v>
      </c>
      <c r="I59" s="1322"/>
      <c r="J59" s="1321">
        <f t="shared" si="1"/>
        <v>0</v>
      </c>
      <c r="K59" s="1322"/>
      <c r="L59" s="1321">
        <f t="shared" si="1"/>
        <v>0</v>
      </c>
      <c r="M59" s="1322"/>
      <c r="N59" s="1321">
        <f t="shared" si="1"/>
        <v>0</v>
      </c>
      <c r="O59" s="1322"/>
      <c r="P59" s="1321">
        <f t="shared" si="1"/>
        <v>0</v>
      </c>
      <c r="Q59" s="1322"/>
      <c r="R59" s="1321">
        <f t="shared" si="1"/>
        <v>0</v>
      </c>
      <c r="S59" s="1322"/>
      <c r="T59" s="1321">
        <f t="shared" si="1"/>
        <v>0</v>
      </c>
      <c r="U59" s="1322"/>
      <c r="V59" s="1321">
        <f t="shared" si="101"/>
        <v>0</v>
      </c>
      <c r="W59" s="1322"/>
      <c r="X59" s="1321">
        <f t="shared" si="4"/>
        <v>0</v>
      </c>
      <c r="Y59" s="1322"/>
      <c r="Z59" s="1321">
        <f t="shared" si="5"/>
        <v>0</v>
      </c>
      <c r="AA59" s="1322"/>
      <c r="AB59" s="1321">
        <f t="shared" si="6"/>
        <v>0</v>
      </c>
      <c r="AC59" s="1322"/>
      <c r="AD59" s="1321">
        <f t="shared" si="7"/>
        <v>0</v>
      </c>
      <c r="AE59" s="1322"/>
      <c r="AF59" s="1321">
        <f t="shared" si="8"/>
        <v>0</v>
      </c>
      <c r="AG59" s="1322"/>
      <c r="AH59" s="1321">
        <f t="shared" si="9"/>
        <v>0</v>
      </c>
      <c r="AI59" s="1322"/>
      <c r="AJ59" s="1321">
        <f t="shared" si="10"/>
        <v>0</v>
      </c>
      <c r="AK59" s="1322"/>
      <c r="AL59" s="1321">
        <f t="shared" si="11"/>
        <v>0</v>
      </c>
      <c r="AM59" s="1322"/>
      <c r="AN59" s="1321">
        <f t="shared" si="12"/>
        <v>0</v>
      </c>
      <c r="AO59" s="1322"/>
      <c r="AP59" s="1321">
        <f t="shared" si="13"/>
        <v>0</v>
      </c>
      <c r="AQ59" s="1322"/>
      <c r="AR59" s="1321">
        <f t="shared" si="14"/>
        <v>0</v>
      </c>
      <c r="AS59" s="1322"/>
      <c r="AT59" s="1321">
        <f t="shared" si="15"/>
        <v>0</v>
      </c>
      <c r="AU59" s="1322"/>
      <c r="AV59" s="1321">
        <f t="shared" si="16"/>
        <v>0</v>
      </c>
      <c r="AW59" s="1322"/>
      <c r="AX59" s="1321">
        <f t="shared" si="17"/>
        <v>0</v>
      </c>
      <c r="AY59" s="1322"/>
      <c r="AZ59" s="1321">
        <f t="shared" si="18"/>
        <v>0</v>
      </c>
      <c r="BA59" s="1322"/>
      <c r="BB59" s="1321">
        <f t="shared" si="19"/>
        <v>0</v>
      </c>
      <c r="BC59" s="1322"/>
      <c r="BD59" s="1321">
        <f t="shared" si="20"/>
        <v>0</v>
      </c>
      <c r="BE59" s="1322"/>
      <c r="BF59" s="1321">
        <f t="shared" si="21"/>
        <v>0</v>
      </c>
      <c r="BG59" s="1322"/>
      <c r="BH59" s="1321">
        <f t="shared" si="22"/>
        <v>0</v>
      </c>
      <c r="BI59" s="1322"/>
      <c r="BJ59" s="1321">
        <f t="shared" si="23"/>
        <v>0</v>
      </c>
      <c r="BK59" s="1322"/>
      <c r="BL59" s="1321">
        <f t="shared" si="24"/>
        <v>0</v>
      </c>
      <c r="BM59" s="1322"/>
      <c r="BN59" s="1321">
        <f t="shared" si="25"/>
        <v>0</v>
      </c>
      <c r="BO59" s="1322"/>
      <c r="BP59" s="1321">
        <f t="shared" si="26"/>
        <v>0</v>
      </c>
      <c r="BQ59" s="1322"/>
      <c r="BR59" s="1321">
        <f t="shared" si="27"/>
        <v>0</v>
      </c>
      <c r="BS59" s="1322"/>
      <c r="BT59" s="1321">
        <f t="shared" si="28"/>
        <v>0</v>
      </c>
      <c r="BU59" s="1322"/>
      <c r="BV59" s="1321">
        <f t="shared" si="29"/>
        <v>0</v>
      </c>
      <c r="BW59" s="1322"/>
      <c r="BX59" s="1321">
        <f t="shared" si="30"/>
        <v>0</v>
      </c>
      <c r="BY59" s="1322"/>
      <c r="BZ59" s="1321">
        <f t="shared" si="31"/>
        <v>0</v>
      </c>
      <c r="CA59" s="1322"/>
      <c r="CB59" s="1321">
        <f t="shared" si="32"/>
        <v>0</v>
      </c>
      <c r="CC59" s="1322"/>
      <c r="CD59" s="1321">
        <f t="shared" si="33"/>
        <v>0</v>
      </c>
      <c r="CE59" s="1322"/>
      <c r="CF59" s="1321">
        <f t="shared" si="34"/>
        <v>0</v>
      </c>
      <c r="CG59" s="1322"/>
      <c r="CH59" s="1321">
        <f t="shared" si="35"/>
        <v>0</v>
      </c>
      <c r="CI59" s="1322"/>
      <c r="CJ59" s="1321">
        <f t="shared" si="36"/>
        <v>0</v>
      </c>
      <c r="CK59" s="1322"/>
      <c r="CL59" s="1321">
        <f t="shared" si="37"/>
        <v>0</v>
      </c>
      <c r="CM59" s="1322"/>
      <c r="CN59" s="1321">
        <f t="shared" si="38"/>
        <v>0</v>
      </c>
      <c r="CO59" s="1322"/>
      <c r="CP59" s="1321">
        <f t="shared" si="39"/>
        <v>0</v>
      </c>
      <c r="CQ59" s="1322"/>
      <c r="CR59" s="1321">
        <f t="shared" si="40"/>
        <v>0</v>
      </c>
      <c r="CS59" s="1322"/>
      <c r="CT59" s="1321">
        <f t="shared" si="41"/>
        <v>0</v>
      </c>
      <c r="CU59" s="1322"/>
      <c r="CV59" s="1321">
        <f t="shared" si="42"/>
        <v>0</v>
      </c>
      <c r="CW59" s="1322"/>
      <c r="CX59" s="1321">
        <f t="shared" si="43"/>
        <v>0</v>
      </c>
      <c r="CY59" s="1322"/>
      <c r="CZ59" s="1321">
        <f t="shared" si="44"/>
        <v>0</v>
      </c>
      <c r="DA59" s="1322"/>
      <c r="DB59" s="1321">
        <f t="shared" si="45"/>
        <v>0</v>
      </c>
      <c r="DC59" s="1322"/>
      <c r="DD59" s="1321">
        <f t="shared" si="46"/>
        <v>0</v>
      </c>
      <c r="DE59" s="1322"/>
      <c r="DF59" s="1321">
        <f t="shared" si="47"/>
        <v>0</v>
      </c>
      <c r="DG59" s="1322"/>
      <c r="DH59" s="1321">
        <f t="shared" si="87"/>
        <v>0</v>
      </c>
      <c r="DI59" s="1322"/>
      <c r="DJ59" s="1321">
        <f t="shared" si="88"/>
        <v>0</v>
      </c>
      <c r="DK59" s="1322"/>
      <c r="DL59" s="1321">
        <f t="shared" si="89"/>
        <v>0</v>
      </c>
      <c r="DM59" s="1322"/>
      <c r="DN59" s="1321">
        <f t="shared" si="90"/>
        <v>0</v>
      </c>
      <c r="DO59" s="1322"/>
      <c r="DP59" s="1321">
        <f t="shared" si="91"/>
        <v>0</v>
      </c>
      <c r="DQ59" s="1322"/>
      <c r="DR59" s="1321">
        <f t="shared" si="92"/>
        <v>0</v>
      </c>
      <c r="DS59" s="1322"/>
      <c r="DT59" s="1321">
        <f t="shared" si="93"/>
        <v>0</v>
      </c>
      <c r="DU59" s="1322"/>
      <c r="DV59" s="1321">
        <f t="shared" si="86"/>
        <v>0</v>
      </c>
      <c r="DW59" s="1322"/>
      <c r="DX59" s="1321">
        <f t="shared" si="94"/>
        <v>0</v>
      </c>
      <c r="DY59" s="1322"/>
      <c r="DZ59" s="1321">
        <f t="shared" si="95"/>
        <v>0</v>
      </c>
      <c r="EA59" s="1322"/>
      <c r="EB59" s="1321">
        <f t="shared" si="96"/>
        <v>0</v>
      </c>
      <c r="EC59" s="1322"/>
      <c r="ED59" s="1321">
        <f t="shared" si="97"/>
        <v>0</v>
      </c>
      <c r="EE59" s="1322"/>
      <c r="EF59" s="1321">
        <f t="shared" si="98"/>
        <v>0</v>
      </c>
      <c r="EG59" s="1322"/>
      <c r="EH59" s="1321">
        <f t="shared" si="51"/>
        <v>0</v>
      </c>
      <c r="EI59" s="1322"/>
      <c r="EJ59" s="1321">
        <f t="shared" si="52"/>
        <v>0</v>
      </c>
      <c r="EK59" s="1322"/>
      <c r="EL59" s="1321">
        <f t="shared" si="53"/>
        <v>0</v>
      </c>
      <c r="EM59" s="1322"/>
      <c r="EN59" s="1321">
        <f t="shared" si="99"/>
        <v>0</v>
      </c>
      <c r="EO59" s="1322"/>
      <c r="EP59" s="1321">
        <f t="shared" si="100"/>
        <v>0</v>
      </c>
      <c r="EQ59" s="1322"/>
      <c r="ER59" s="1321">
        <f t="shared" si="55"/>
        <v>0</v>
      </c>
      <c r="ES59" s="1322"/>
      <c r="ET59" s="1321">
        <f t="shared" si="56"/>
        <v>0</v>
      </c>
      <c r="EU59" s="1322"/>
      <c r="EV59" s="1321">
        <f t="shared" si="57"/>
        <v>0</v>
      </c>
      <c r="EW59" s="1322"/>
      <c r="EX59" s="1321">
        <f t="shared" si="58"/>
        <v>0</v>
      </c>
      <c r="EY59" s="1322"/>
      <c r="EZ59" s="1321">
        <f t="shared" si="59"/>
        <v>0</v>
      </c>
      <c r="FA59" s="1322"/>
      <c r="FB59" s="1321">
        <f t="shared" si="60"/>
        <v>0</v>
      </c>
      <c r="FC59" s="1322"/>
      <c r="FD59" s="1321">
        <f t="shared" si="61"/>
        <v>0</v>
      </c>
      <c r="FE59" s="1322"/>
      <c r="FF59" s="1321">
        <f t="shared" si="62"/>
        <v>0</v>
      </c>
      <c r="FG59" s="1322"/>
      <c r="FH59" s="1321">
        <f t="shared" si="63"/>
        <v>0</v>
      </c>
      <c r="FI59" s="1322"/>
      <c r="FJ59" s="1321">
        <f t="shared" si="64"/>
        <v>0</v>
      </c>
      <c r="FK59" s="1322"/>
      <c r="FL59" s="1321">
        <f t="shared" si="65"/>
        <v>0</v>
      </c>
      <c r="FM59" s="1322"/>
      <c r="FN59" s="1321">
        <f t="shared" si="66"/>
        <v>0</v>
      </c>
      <c r="FO59" s="1322"/>
      <c r="FP59" s="1321">
        <f t="shared" si="67"/>
        <v>0</v>
      </c>
      <c r="FQ59" s="1322"/>
      <c r="FR59" s="1321">
        <f t="shared" si="68"/>
        <v>0</v>
      </c>
      <c r="FS59" s="1322"/>
      <c r="FT59" s="1321">
        <f t="shared" si="69"/>
        <v>0</v>
      </c>
      <c r="FU59" s="1322"/>
      <c r="FV59" s="1321">
        <f t="shared" si="70"/>
        <v>0</v>
      </c>
      <c r="FW59" s="1322"/>
      <c r="FX59" s="1321">
        <f t="shared" si="71"/>
        <v>0</v>
      </c>
      <c r="FY59" s="1322"/>
      <c r="FZ59" s="1321">
        <f t="shared" si="72"/>
        <v>0</v>
      </c>
      <c r="GA59" s="1322"/>
      <c r="GB59" s="1322"/>
      <c r="GC59" s="1322"/>
      <c r="GD59" s="1322"/>
      <c r="GE59" s="1322"/>
      <c r="GF59" s="1322"/>
      <c r="GG59" s="1322"/>
      <c r="GH59" s="1322"/>
      <c r="GI59" s="1322"/>
      <c r="GJ59" s="1322"/>
      <c r="GK59" s="1322"/>
      <c r="GL59" s="1322"/>
      <c r="GM59" s="1322"/>
      <c r="GN59" s="1322"/>
      <c r="GO59" s="1322"/>
      <c r="GP59" s="1322"/>
      <c r="GQ59" s="1322"/>
      <c r="GR59" s="1322"/>
      <c r="GS59" s="1322"/>
      <c r="GT59" s="1322"/>
      <c r="GU59" s="1322"/>
      <c r="GV59" s="1322"/>
      <c r="GW59" s="1322"/>
      <c r="GX59" s="1322"/>
      <c r="GY59" s="1322"/>
      <c r="GZ59" s="1322"/>
    </row>
    <row r="60" spans="1:208" hidden="1">
      <c r="A60" s="1318"/>
      <c r="B60" s="1318"/>
      <c r="C60" s="1321"/>
      <c r="D60" s="1321">
        <f t="shared" si="1"/>
        <v>0</v>
      </c>
      <c r="E60" s="1321"/>
      <c r="F60" s="1321">
        <f t="shared" si="1"/>
        <v>0</v>
      </c>
      <c r="G60" s="1322"/>
      <c r="H60" s="1321">
        <f t="shared" si="1"/>
        <v>0</v>
      </c>
      <c r="I60" s="1322"/>
      <c r="J60" s="1321">
        <f t="shared" si="1"/>
        <v>0</v>
      </c>
      <c r="K60" s="1322"/>
      <c r="L60" s="1321">
        <f t="shared" si="1"/>
        <v>0</v>
      </c>
      <c r="M60" s="1322"/>
      <c r="N60" s="1321">
        <f t="shared" si="1"/>
        <v>0</v>
      </c>
      <c r="O60" s="1322"/>
      <c r="P60" s="1321">
        <f t="shared" si="1"/>
        <v>0</v>
      </c>
      <c r="Q60" s="1322"/>
      <c r="R60" s="1321">
        <f t="shared" si="1"/>
        <v>0</v>
      </c>
      <c r="S60" s="1322"/>
      <c r="T60" s="1321">
        <f t="shared" si="1"/>
        <v>0</v>
      </c>
      <c r="U60" s="1322"/>
      <c r="V60" s="1321">
        <f t="shared" si="101"/>
        <v>0</v>
      </c>
      <c r="W60" s="1322"/>
      <c r="X60" s="1321">
        <f t="shared" si="4"/>
        <v>0</v>
      </c>
      <c r="Y60" s="1322"/>
      <c r="Z60" s="1321">
        <f t="shared" si="5"/>
        <v>0</v>
      </c>
      <c r="AA60" s="1322"/>
      <c r="AB60" s="1321">
        <f t="shared" si="6"/>
        <v>0</v>
      </c>
      <c r="AC60" s="1322"/>
      <c r="AD60" s="1321">
        <f t="shared" si="7"/>
        <v>0</v>
      </c>
      <c r="AE60" s="1322"/>
      <c r="AF60" s="1321">
        <f t="shared" si="8"/>
        <v>0</v>
      </c>
      <c r="AG60" s="1322"/>
      <c r="AH60" s="1321">
        <f t="shared" si="9"/>
        <v>0</v>
      </c>
      <c r="AI60" s="1322"/>
      <c r="AJ60" s="1321">
        <f t="shared" si="10"/>
        <v>0</v>
      </c>
      <c r="AK60" s="1322"/>
      <c r="AL60" s="1321">
        <f t="shared" si="11"/>
        <v>0</v>
      </c>
      <c r="AM60" s="1322"/>
      <c r="AN60" s="1321">
        <f t="shared" si="12"/>
        <v>0</v>
      </c>
      <c r="AO60" s="1322"/>
      <c r="AP60" s="1321">
        <f t="shared" si="13"/>
        <v>0</v>
      </c>
      <c r="AQ60" s="1322"/>
      <c r="AR60" s="1321">
        <f t="shared" si="14"/>
        <v>0</v>
      </c>
      <c r="AS60" s="1322"/>
      <c r="AT60" s="1321">
        <f t="shared" si="15"/>
        <v>0</v>
      </c>
      <c r="AU60" s="1322"/>
      <c r="AV60" s="1321">
        <f t="shared" si="16"/>
        <v>0</v>
      </c>
      <c r="AW60" s="1322"/>
      <c r="AX60" s="1321">
        <f t="shared" si="17"/>
        <v>0</v>
      </c>
      <c r="AY60" s="1322"/>
      <c r="AZ60" s="1321">
        <f t="shared" si="18"/>
        <v>0</v>
      </c>
      <c r="BA60" s="1322"/>
      <c r="BB60" s="1321">
        <f t="shared" si="19"/>
        <v>0</v>
      </c>
      <c r="BC60" s="1322"/>
      <c r="BD60" s="1321">
        <f t="shared" si="20"/>
        <v>0</v>
      </c>
      <c r="BE60" s="1322"/>
      <c r="BF60" s="1321">
        <f t="shared" si="21"/>
        <v>0</v>
      </c>
      <c r="BG60" s="1322"/>
      <c r="BH60" s="1321">
        <f t="shared" si="22"/>
        <v>0</v>
      </c>
      <c r="BI60" s="1322"/>
      <c r="BJ60" s="1321">
        <f t="shared" si="23"/>
        <v>0</v>
      </c>
      <c r="BK60" s="1322"/>
      <c r="BL60" s="1321">
        <f t="shared" si="24"/>
        <v>0</v>
      </c>
      <c r="BM60" s="1322"/>
      <c r="BN60" s="1321">
        <f t="shared" si="25"/>
        <v>0</v>
      </c>
      <c r="BO60" s="1322"/>
      <c r="BP60" s="1321">
        <f t="shared" si="26"/>
        <v>0</v>
      </c>
      <c r="BQ60" s="1322"/>
      <c r="BR60" s="1321">
        <f t="shared" si="27"/>
        <v>0</v>
      </c>
      <c r="BS60" s="1322"/>
      <c r="BT60" s="1321">
        <f t="shared" si="28"/>
        <v>0</v>
      </c>
      <c r="BU60" s="1322"/>
      <c r="BV60" s="1321">
        <f t="shared" si="29"/>
        <v>0</v>
      </c>
      <c r="BW60" s="1322"/>
      <c r="BX60" s="1321">
        <f t="shared" si="30"/>
        <v>0</v>
      </c>
      <c r="BY60" s="1322"/>
      <c r="BZ60" s="1321">
        <f t="shared" si="31"/>
        <v>0</v>
      </c>
      <c r="CA60" s="1322"/>
      <c r="CB60" s="1321">
        <f t="shared" si="32"/>
        <v>0</v>
      </c>
      <c r="CC60" s="1322"/>
      <c r="CD60" s="1321">
        <f t="shared" si="33"/>
        <v>0</v>
      </c>
      <c r="CE60" s="1322"/>
      <c r="CF60" s="1321">
        <f t="shared" si="34"/>
        <v>0</v>
      </c>
      <c r="CG60" s="1322"/>
      <c r="CH60" s="1321">
        <f t="shared" si="35"/>
        <v>0</v>
      </c>
      <c r="CI60" s="1322"/>
      <c r="CJ60" s="1321">
        <f t="shared" si="36"/>
        <v>0</v>
      </c>
      <c r="CK60" s="1322"/>
      <c r="CL60" s="1321">
        <f t="shared" si="37"/>
        <v>0</v>
      </c>
      <c r="CM60" s="1322"/>
      <c r="CN60" s="1321">
        <f t="shared" si="38"/>
        <v>0</v>
      </c>
      <c r="CO60" s="1322"/>
      <c r="CP60" s="1321">
        <f t="shared" si="39"/>
        <v>0</v>
      </c>
      <c r="CQ60" s="1322"/>
      <c r="CR60" s="1321">
        <f t="shared" si="40"/>
        <v>0</v>
      </c>
      <c r="CS60" s="1322"/>
      <c r="CT60" s="1321">
        <f t="shared" si="41"/>
        <v>0</v>
      </c>
      <c r="CU60" s="1322"/>
      <c r="CV60" s="1321">
        <f t="shared" si="42"/>
        <v>0</v>
      </c>
      <c r="CW60" s="1322"/>
      <c r="CX60" s="1321">
        <f t="shared" si="43"/>
        <v>0</v>
      </c>
      <c r="CY60" s="1322"/>
      <c r="CZ60" s="1321">
        <f t="shared" si="44"/>
        <v>0</v>
      </c>
      <c r="DA60" s="1322"/>
      <c r="DB60" s="1321">
        <f t="shared" si="45"/>
        <v>0</v>
      </c>
      <c r="DC60" s="1322"/>
      <c r="DD60" s="1321">
        <f t="shared" si="46"/>
        <v>0</v>
      </c>
      <c r="DE60" s="1322"/>
      <c r="DF60" s="1321">
        <f t="shared" si="47"/>
        <v>0</v>
      </c>
      <c r="DG60" s="1322"/>
      <c r="DH60" s="1321">
        <f t="shared" si="87"/>
        <v>0</v>
      </c>
      <c r="DI60" s="1322"/>
      <c r="DJ60" s="1321">
        <f t="shared" si="88"/>
        <v>0</v>
      </c>
      <c r="DK60" s="1322"/>
      <c r="DL60" s="1321">
        <f t="shared" si="89"/>
        <v>0</v>
      </c>
      <c r="DM60" s="1322"/>
      <c r="DN60" s="1321">
        <f t="shared" si="90"/>
        <v>0</v>
      </c>
      <c r="DO60" s="1322"/>
      <c r="DP60" s="1321">
        <f t="shared" si="91"/>
        <v>0</v>
      </c>
      <c r="DQ60" s="1322"/>
      <c r="DR60" s="1321">
        <f t="shared" si="92"/>
        <v>0</v>
      </c>
      <c r="DS60" s="1322"/>
      <c r="DT60" s="1321">
        <f t="shared" si="93"/>
        <v>0</v>
      </c>
      <c r="DU60" s="1322"/>
      <c r="DV60" s="1321">
        <f t="shared" si="86"/>
        <v>0</v>
      </c>
      <c r="DW60" s="1322"/>
      <c r="DX60" s="1321">
        <f t="shared" si="94"/>
        <v>0</v>
      </c>
      <c r="DY60" s="1322"/>
      <c r="DZ60" s="1321">
        <f t="shared" si="95"/>
        <v>0</v>
      </c>
      <c r="EA60" s="1322"/>
      <c r="EB60" s="1321">
        <f t="shared" si="96"/>
        <v>0</v>
      </c>
      <c r="EC60" s="1322"/>
      <c r="ED60" s="1321">
        <f t="shared" si="97"/>
        <v>0</v>
      </c>
      <c r="EE60" s="1322"/>
      <c r="EF60" s="1321">
        <f t="shared" si="98"/>
        <v>0</v>
      </c>
      <c r="EG60" s="1322"/>
      <c r="EH60" s="1321">
        <f t="shared" si="51"/>
        <v>0</v>
      </c>
      <c r="EI60" s="1322"/>
      <c r="EJ60" s="1321">
        <f t="shared" si="52"/>
        <v>0</v>
      </c>
      <c r="EK60" s="1322"/>
      <c r="EL60" s="1321">
        <f t="shared" si="53"/>
        <v>0</v>
      </c>
      <c r="EM60" s="1322"/>
      <c r="EN60" s="1321">
        <f t="shared" si="99"/>
        <v>0</v>
      </c>
      <c r="EO60" s="1322"/>
      <c r="EP60" s="1321">
        <f t="shared" si="100"/>
        <v>0</v>
      </c>
      <c r="EQ60" s="1322"/>
      <c r="ER60" s="1321">
        <f t="shared" si="55"/>
        <v>0</v>
      </c>
      <c r="ES60" s="1322"/>
      <c r="ET60" s="1321">
        <f t="shared" si="56"/>
        <v>0</v>
      </c>
      <c r="EU60" s="1322"/>
      <c r="EV60" s="1321">
        <f t="shared" si="57"/>
        <v>0</v>
      </c>
      <c r="EW60" s="1322"/>
      <c r="EX60" s="1321">
        <f t="shared" si="58"/>
        <v>0</v>
      </c>
      <c r="EY60" s="1322"/>
      <c r="EZ60" s="1321">
        <f t="shared" si="59"/>
        <v>0</v>
      </c>
      <c r="FA60" s="1322"/>
      <c r="FB60" s="1321">
        <f t="shared" si="60"/>
        <v>0</v>
      </c>
      <c r="FC60" s="1322"/>
      <c r="FD60" s="1321">
        <f t="shared" si="61"/>
        <v>0</v>
      </c>
      <c r="FE60" s="1322"/>
      <c r="FF60" s="1321">
        <f t="shared" si="62"/>
        <v>0</v>
      </c>
      <c r="FG60" s="1322"/>
      <c r="FH60" s="1321">
        <f t="shared" si="63"/>
        <v>0</v>
      </c>
      <c r="FI60" s="1322"/>
      <c r="FJ60" s="1321">
        <f t="shared" si="64"/>
        <v>0</v>
      </c>
      <c r="FK60" s="1322"/>
      <c r="FL60" s="1321">
        <f t="shared" si="65"/>
        <v>0</v>
      </c>
      <c r="FM60" s="1322"/>
      <c r="FN60" s="1321">
        <f t="shared" si="66"/>
        <v>0</v>
      </c>
      <c r="FO60" s="1322"/>
      <c r="FP60" s="1321">
        <f t="shared" si="67"/>
        <v>0</v>
      </c>
      <c r="FQ60" s="1322"/>
      <c r="FR60" s="1321">
        <f t="shared" si="68"/>
        <v>0</v>
      </c>
      <c r="FS60" s="1322"/>
      <c r="FT60" s="1321">
        <f t="shared" si="69"/>
        <v>0</v>
      </c>
      <c r="FU60" s="1322"/>
      <c r="FV60" s="1321">
        <f t="shared" si="70"/>
        <v>0</v>
      </c>
      <c r="FW60" s="1322"/>
      <c r="FX60" s="1321">
        <f t="shared" si="71"/>
        <v>0</v>
      </c>
      <c r="FY60" s="1322"/>
      <c r="FZ60" s="1321">
        <f t="shared" si="72"/>
        <v>0</v>
      </c>
      <c r="GA60" s="1322"/>
      <c r="GB60" s="1322"/>
      <c r="GC60" s="1322"/>
      <c r="GD60" s="1322"/>
      <c r="GE60" s="1322"/>
      <c r="GF60" s="1322"/>
      <c r="GG60" s="1322"/>
      <c r="GH60" s="1322"/>
      <c r="GI60" s="1322"/>
      <c r="GJ60" s="1322"/>
      <c r="GK60" s="1322"/>
      <c r="GL60" s="1322"/>
      <c r="GM60" s="1322"/>
      <c r="GN60" s="1322"/>
      <c r="GO60" s="1322"/>
      <c r="GP60" s="1322"/>
      <c r="GQ60" s="1322"/>
      <c r="GR60" s="1322"/>
      <c r="GS60" s="1322"/>
      <c r="GT60" s="1322"/>
      <c r="GU60" s="1322"/>
      <c r="GV60" s="1322"/>
      <c r="GW60" s="1322"/>
      <c r="GX60" s="1322"/>
      <c r="GY60" s="1322"/>
      <c r="GZ60" s="1322"/>
    </row>
    <row r="61" spans="1:208" hidden="1"/>
    <row r="62" spans="1:208" ht="15" hidden="1" thickBot="1">
      <c r="B62" s="134"/>
      <c r="C62" s="134">
        <v>2</v>
      </c>
      <c r="D62" s="134">
        <v>3</v>
      </c>
      <c r="E62" s="134">
        <v>4</v>
      </c>
      <c r="F62" s="134">
        <v>5</v>
      </c>
      <c r="G62" s="134">
        <v>6</v>
      </c>
      <c r="H62" s="134">
        <v>7</v>
      </c>
      <c r="I62" s="134">
        <v>8</v>
      </c>
      <c r="J62" s="134">
        <v>9</v>
      </c>
      <c r="K62" s="134">
        <v>10</v>
      </c>
      <c r="L62" s="134">
        <v>11</v>
      </c>
      <c r="M62" s="134">
        <v>12</v>
      </c>
      <c r="N62" s="134">
        <v>13</v>
      </c>
      <c r="O62" s="134">
        <v>14</v>
      </c>
      <c r="P62" s="134">
        <v>15</v>
      </c>
      <c r="Q62" s="134">
        <v>16</v>
      </c>
      <c r="R62" s="134">
        <v>17</v>
      </c>
      <c r="S62" s="134">
        <v>18</v>
      </c>
      <c r="T62" s="134">
        <v>19</v>
      </c>
      <c r="U62" s="134">
        <v>20</v>
      </c>
      <c r="V62" s="134">
        <v>21</v>
      </c>
      <c r="W62" s="134">
        <v>22</v>
      </c>
      <c r="X62" s="134">
        <v>23</v>
      </c>
      <c r="Y62" s="134">
        <v>24</v>
      </c>
      <c r="Z62" s="134">
        <v>25</v>
      </c>
      <c r="AA62" s="134">
        <v>26</v>
      </c>
      <c r="AB62" s="134">
        <v>27</v>
      </c>
      <c r="AC62" s="134">
        <v>28</v>
      </c>
      <c r="AD62" s="134">
        <v>29</v>
      </c>
      <c r="AE62" s="134">
        <v>30</v>
      </c>
      <c r="AF62" s="134">
        <v>31</v>
      </c>
      <c r="AG62" s="134">
        <v>32</v>
      </c>
      <c r="AH62" s="134">
        <v>33</v>
      </c>
      <c r="AI62" s="134">
        <v>34</v>
      </c>
      <c r="AJ62" s="134">
        <v>35</v>
      </c>
      <c r="AK62" s="134">
        <v>36</v>
      </c>
      <c r="AL62" s="134">
        <v>37</v>
      </c>
      <c r="AM62" s="134">
        <v>38</v>
      </c>
      <c r="AN62" s="134">
        <v>39</v>
      </c>
      <c r="AO62" s="134">
        <v>40</v>
      </c>
      <c r="AP62" s="134">
        <v>41</v>
      </c>
      <c r="AQ62" s="134">
        <v>42</v>
      </c>
      <c r="AR62" s="134">
        <v>43</v>
      </c>
      <c r="AS62" s="134">
        <v>44</v>
      </c>
      <c r="AT62" s="134">
        <v>45</v>
      </c>
      <c r="AU62" s="134">
        <v>46</v>
      </c>
      <c r="AV62" s="134">
        <v>47</v>
      </c>
      <c r="AW62" s="134">
        <v>48</v>
      </c>
      <c r="AX62" s="134">
        <v>49</v>
      </c>
      <c r="AY62" s="134">
        <v>50</v>
      </c>
      <c r="AZ62" s="134">
        <v>51</v>
      </c>
      <c r="BA62" s="134">
        <v>52</v>
      </c>
      <c r="BB62" s="134">
        <v>53</v>
      </c>
      <c r="BC62" s="134">
        <v>54</v>
      </c>
      <c r="BD62" s="134">
        <v>55</v>
      </c>
      <c r="BE62" s="134">
        <v>56</v>
      </c>
      <c r="BF62" s="134">
        <v>57</v>
      </c>
      <c r="BG62" s="134">
        <v>58</v>
      </c>
      <c r="BH62" s="134">
        <v>59</v>
      </c>
      <c r="BI62" s="134">
        <v>60</v>
      </c>
      <c r="BJ62" s="134">
        <v>61</v>
      </c>
      <c r="BK62" s="134">
        <v>62</v>
      </c>
      <c r="BL62" s="134">
        <v>63</v>
      </c>
      <c r="BM62" s="134">
        <v>64</v>
      </c>
      <c r="BN62" s="134">
        <v>65</v>
      </c>
      <c r="BO62" s="134">
        <v>66</v>
      </c>
      <c r="BP62" s="134">
        <v>67</v>
      </c>
      <c r="BQ62" s="134">
        <v>68</v>
      </c>
      <c r="BR62" s="134">
        <v>69</v>
      </c>
      <c r="BS62" s="134">
        <v>70</v>
      </c>
      <c r="BT62" s="134">
        <v>71</v>
      </c>
      <c r="BU62" s="134">
        <v>72</v>
      </c>
      <c r="BV62" s="134">
        <v>73</v>
      </c>
      <c r="BW62" s="134">
        <v>74</v>
      </c>
      <c r="BX62" s="134">
        <v>75</v>
      </c>
      <c r="BY62" s="134">
        <v>76</v>
      </c>
      <c r="BZ62" s="134">
        <v>77</v>
      </c>
      <c r="CA62" s="134">
        <v>78</v>
      </c>
      <c r="CB62" s="134">
        <v>79</v>
      </c>
      <c r="CC62" s="134">
        <v>80</v>
      </c>
      <c r="CD62" s="134">
        <v>81</v>
      </c>
      <c r="CE62" s="134">
        <v>82</v>
      </c>
      <c r="CF62" s="134">
        <v>83</v>
      </c>
      <c r="CG62" s="134">
        <v>84</v>
      </c>
      <c r="CH62" s="134">
        <v>85</v>
      </c>
      <c r="CI62" s="134">
        <v>86</v>
      </c>
      <c r="CJ62" s="134">
        <v>87</v>
      </c>
      <c r="CK62" s="134">
        <v>88</v>
      </c>
      <c r="CL62" s="134">
        <v>89</v>
      </c>
      <c r="CM62" s="134">
        <v>90</v>
      </c>
      <c r="CN62" s="134">
        <v>91</v>
      </c>
      <c r="CO62" s="134">
        <v>92</v>
      </c>
      <c r="CP62" s="134">
        <v>93</v>
      </c>
      <c r="CQ62" s="134">
        <v>94</v>
      </c>
      <c r="CR62" s="134">
        <v>95</v>
      </c>
      <c r="CS62" s="134">
        <v>96</v>
      </c>
      <c r="CT62" s="134">
        <v>97</v>
      </c>
      <c r="CU62" s="134">
        <v>98</v>
      </c>
      <c r="CV62" s="134">
        <v>99</v>
      </c>
      <c r="CW62" s="134">
        <v>100</v>
      </c>
      <c r="CX62" s="134">
        <v>101</v>
      </c>
      <c r="CY62" s="134">
        <v>102</v>
      </c>
      <c r="CZ62" s="134">
        <v>103</v>
      </c>
    </row>
    <row r="63" spans="1:208" ht="15" hidden="1" thickBot="1">
      <c r="C63" s="1326">
        <f>SUM(D63:DL63)</f>
        <v>2</v>
      </c>
      <c r="D63" s="134">
        <f>IF(SUM(D67:D90)&gt;1,1,0)</f>
        <v>1</v>
      </c>
      <c r="E63" s="134">
        <f t="shared" ref="E63:BP63" si="102">IF(SUM(E67:E90)&gt;1,1,0)</f>
        <v>0</v>
      </c>
      <c r="F63" s="134">
        <f t="shared" si="102"/>
        <v>1</v>
      </c>
      <c r="G63" s="134">
        <f>IF(SUM(G67:G90)&gt;1,1,0)</f>
        <v>0</v>
      </c>
      <c r="H63" s="134">
        <f t="shared" si="102"/>
        <v>0</v>
      </c>
      <c r="I63" s="134">
        <f t="shared" si="102"/>
        <v>0</v>
      </c>
      <c r="J63" s="134">
        <f t="shared" si="102"/>
        <v>0</v>
      </c>
      <c r="K63" s="134">
        <f t="shared" si="102"/>
        <v>0</v>
      </c>
      <c r="L63" s="134">
        <f t="shared" si="102"/>
        <v>0</v>
      </c>
      <c r="M63" s="134">
        <f t="shared" si="102"/>
        <v>0</v>
      </c>
      <c r="N63" s="134">
        <f t="shared" si="102"/>
        <v>0</v>
      </c>
      <c r="O63" s="134">
        <f t="shared" si="102"/>
        <v>0</v>
      </c>
      <c r="P63" s="134">
        <f t="shared" si="102"/>
        <v>0</v>
      </c>
      <c r="Q63" s="134">
        <f t="shared" si="102"/>
        <v>0</v>
      </c>
      <c r="R63" s="134">
        <f t="shared" si="102"/>
        <v>0</v>
      </c>
      <c r="S63" s="134">
        <f t="shared" si="102"/>
        <v>0</v>
      </c>
      <c r="T63" s="134">
        <f t="shared" si="102"/>
        <v>0</v>
      </c>
      <c r="U63" s="134">
        <f t="shared" si="102"/>
        <v>0</v>
      </c>
      <c r="V63" s="134">
        <f t="shared" si="102"/>
        <v>0</v>
      </c>
      <c r="W63" s="134">
        <f t="shared" si="102"/>
        <v>0</v>
      </c>
      <c r="X63" s="134">
        <f t="shared" si="102"/>
        <v>0</v>
      </c>
      <c r="Y63" s="134">
        <f t="shared" si="102"/>
        <v>0</v>
      </c>
      <c r="Z63" s="134">
        <f t="shared" si="102"/>
        <v>0</v>
      </c>
      <c r="AA63" s="134">
        <f t="shared" si="102"/>
        <v>0</v>
      </c>
      <c r="AB63" s="134">
        <f t="shared" si="102"/>
        <v>0</v>
      </c>
      <c r="AC63" s="134">
        <f t="shared" si="102"/>
        <v>0</v>
      </c>
      <c r="AD63" s="134">
        <f t="shared" si="102"/>
        <v>0</v>
      </c>
      <c r="AE63" s="134">
        <f t="shared" si="102"/>
        <v>0</v>
      </c>
      <c r="AF63" s="134">
        <f t="shared" si="102"/>
        <v>0</v>
      </c>
      <c r="AG63" s="134">
        <f t="shared" si="102"/>
        <v>0</v>
      </c>
      <c r="AH63" s="134">
        <f t="shared" si="102"/>
        <v>0</v>
      </c>
      <c r="AI63" s="134">
        <f t="shared" si="102"/>
        <v>0</v>
      </c>
      <c r="AJ63" s="134">
        <f t="shared" si="102"/>
        <v>0</v>
      </c>
      <c r="AK63" s="134">
        <f t="shared" si="102"/>
        <v>0</v>
      </c>
      <c r="AL63" s="134">
        <f t="shared" si="102"/>
        <v>0</v>
      </c>
      <c r="AM63" s="134">
        <f t="shared" si="102"/>
        <v>0</v>
      </c>
      <c r="AN63" s="134">
        <f t="shared" si="102"/>
        <v>0</v>
      </c>
      <c r="AO63" s="134">
        <f t="shared" si="102"/>
        <v>0</v>
      </c>
      <c r="AP63" s="134">
        <f t="shared" si="102"/>
        <v>0</v>
      </c>
      <c r="AQ63" s="134">
        <f t="shared" si="102"/>
        <v>0</v>
      </c>
      <c r="AR63" s="134">
        <f t="shared" si="102"/>
        <v>0</v>
      </c>
      <c r="AS63" s="134">
        <f t="shared" si="102"/>
        <v>0</v>
      </c>
      <c r="AT63" s="134">
        <f t="shared" si="102"/>
        <v>0</v>
      </c>
      <c r="AU63" s="134">
        <f t="shared" si="102"/>
        <v>0</v>
      </c>
      <c r="AV63" s="134">
        <f t="shared" si="102"/>
        <v>0</v>
      </c>
      <c r="AW63" s="134">
        <f t="shared" si="102"/>
        <v>0</v>
      </c>
      <c r="AX63" s="134">
        <f t="shared" si="102"/>
        <v>0</v>
      </c>
      <c r="AY63" s="134">
        <f t="shared" si="102"/>
        <v>0</v>
      </c>
      <c r="AZ63" s="134">
        <f t="shared" si="102"/>
        <v>0</v>
      </c>
      <c r="BA63" s="134">
        <f t="shared" si="102"/>
        <v>0</v>
      </c>
      <c r="BB63" s="134">
        <f t="shared" si="102"/>
        <v>0</v>
      </c>
      <c r="BC63" s="134">
        <f t="shared" si="102"/>
        <v>0</v>
      </c>
      <c r="BD63" s="134">
        <f t="shared" si="102"/>
        <v>0</v>
      </c>
      <c r="BE63" s="134">
        <f t="shared" si="102"/>
        <v>0</v>
      </c>
      <c r="BF63" s="134">
        <f t="shared" si="102"/>
        <v>0</v>
      </c>
      <c r="BG63" s="134">
        <f t="shared" si="102"/>
        <v>0</v>
      </c>
      <c r="BH63" s="134">
        <f t="shared" si="102"/>
        <v>0</v>
      </c>
      <c r="BI63" s="134">
        <f t="shared" si="102"/>
        <v>0</v>
      </c>
      <c r="BJ63" s="134">
        <f t="shared" si="102"/>
        <v>0</v>
      </c>
      <c r="BK63" s="134">
        <f t="shared" si="102"/>
        <v>0</v>
      </c>
      <c r="BL63" s="134">
        <f t="shared" si="102"/>
        <v>0</v>
      </c>
      <c r="BM63" s="134">
        <f t="shared" si="102"/>
        <v>0</v>
      </c>
      <c r="BN63" s="134">
        <f t="shared" si="102"/>
        <v>0</v>
      </c>
      <c r="BO63" s="134">
        <f t="shared" si="102"/>
        <v>0</v>
      </c>
      <c r="BP63" s="134">
        <f t="shared" si="102"/>
        <v>0</v>
      </c>
      <c r="BQ63" s="134">
        <f t="shared" ref="BQ63:CZ63" si="103">IF(SUM(BQ67:BQ90)&gt;1,1,0)</f>
        <v>0</v>
      </c>
      <c r="BR63" s="134">
        <f t="shared" si="103"/>
        <v>0</v>
      </c>
      <c r="BS63" s="134">
        <f t="shared" si="103"/>
        <v>0</v>
      </c>
      <c r="BT63" s="134">
        <f t="shared" si="103"/>
        <v>0</v>
      </c>
      <c r="BU63" s="134">
        <f t="shared" si="103"/>
        <v>0</v>
      </c>
      <c r="BV63" s="134">
        <f t="shared" si="103"/>
        <v>0</v>
      </c>
      <c r="BW63" s="134">
        <f t="shared" si="103"/>
        <v>0</v>
      </c>
      <c r="BX63" s="134">
        <f t="shared" si="103"/>
        <v>0</v>
      </c>
      <c r="BY63" s="134">
        <f t="shared" si="103"/>
        <v>0</v>
      </c>
      <c r="BZ63" s="134">
        <f t="shared" si="103"/>
        <v>0</v>
      </c>
      <c r="CA63" s="134">
        <f t="shared" si="103"/>
        <v>0</v>
      </c>
      <c r="CB63" s="134">
        <f t="shared" si="103"/>
        <v>0</v>
      </c>
      <c r="CC63" s="134">
        <f t="shared" si="103"/>
        <v>0</v>
      </c>
      <c r="CD63" s="134">
        <f t="shared" si="103"/>
        <v>0</v>
      </c>
      <c r="CE63" s="134">
        <f t="shared" si="103"/>
        <v>0</v>
      </c>
      <c r="CF63" s="134">
        <f t="shared" si="103"/>
        <v>0</v>
      </c>
      <c r="CG63" s="134">
        <f t="shared" si="103"/>
        <v>0</v>
      </c>
      <c r="CH63" s="134">
        <f t="shared" si="103"/>
        <v>0</v>
      </c>
      <c r="CI63" s="134">
        <f t="shared" si="103"/>
        <v>0</v>
      </c>
      <c r="CJ63" s="134">
        <f t="shared" si="103"/>
        <v>0</v>
      </c>
      <c r="CK63" s="134">
        <f t="shared" si="103"/>
        <v>0</v>
      </c>
      <c r="CL63" s="134">
        <f t="shared" si="103"/>
        <v>0</v>
      </c>
      <c r="CM63" s="134">
        <f t="shared" si="103"/>
        <v>0</v>
      </c>
      <c r="CN63" s="134">
        <f t="shared" si="103"/>
        <v>0</v>
      </c>
      <c r="CO63" s="134">
        <f t="shared" si="103"/>
        <v>0</v>
      </c>
      <c r="CP63" s="134">
        <f t="shared" si="103"/>
        <v>0</v>
      </c>
      <c r="CQ63" s="134">
        <f t="shared" si="103"/>
        <v>0</v>
      </c>
      <c r="CR63" s="134">
        <f t="shared" si="103"/>
        <v>0</v>
      </c>
      <c r="CS63" s="134">
        <f t="shared" si="103"/>
        <v>0</v>
      </c>
      <c r="CT63" s="134">
        <f t="shared" si="103"/>
        <v>0</v>
      </c>
      <c r="CU63" s="134">
        <f t="shared" si="103"/>
        <v>0</v>
      </c>
      <c r="CV63" s="134">
        <f t="shared" si="103"/>
        <v>0</v>
      </c>
      <c r="CW63" s="134">
        <f t="shared" si="103"/>
        <v>0</v>
      </c>
      <c r="CX63" s="134">
        <f t="shared" si="103"/>
        <v>0</v>
      </c>
      <c r="CY63" s="134">
        <f t="shared" si="103"/>
        <v>0</v>
      </c>
      <c r="CZ63" s="134">
        <f t="shared" si="103"/>
        <v>0</v>
      </c>
      <c r="DA63" s="134"/>
      <c r="DB63" s="134"/>
      <c r="DC63" s="134"/>
      <c r="DD63" s="134"/>
      <c r="DE63" s="134"/>
      <c r="DF63" s="134"/>
      <c r="DG63" s="134"/>
      <c r="DH63" s="134"/>
      <c r="DI63" s="134"/>
      <c r="DJ63" s="134"/>
      <c r="DK63" s="134"/>
      <c r="DL63" s="134"/>
      <c r="DM63" s="134"/>
      <c r="DN63" s="134"/>
      <c r="DO63" s="134"/>
      <c r="DP63" s="134"/>
      <c r="DQ63" s="134"/>
      <c r="DR63" s="134"/>
      <c r="DS63" s="134"/>
      <c r="DT63" s="134"/>
      <c r="DU63" s="134"/>
      <c r="DV63" s="134"/>
      <c r="DW63" s="134"/>
      <c r="DX63" s="134"/>
      <c r="DY63" s="134"/>
      <c r="DZ63" s="134"/>
      <c r="EA63" s="134"/>
      <c r="EB63" s="134"/>
      <c r="EC63" s="134"/>
      <c r="ED63" s="134"/>
      <c r="EE63" s="134"/>
      <c r="EF63" s="134"/>
      <c r="EG63" s="134"/>
      <c r="EH63" s="134"/>
      <c r="EI63" s="134"/>
      <c r="EJ63" s="134"/>
      <c r="EK63" s="134"/>
      <c r="EL63" s="134"/>
      <c r="EM63" s="134"/>
      <c r="EN63" s="134"/>
      <c r="EO63" s="134"/>
      <c r="EP63" s="134"/>
      <c r="EQ63" s="134"/>
      <c r="ER63" s="134"/>
      <c r="ES63" s="134"/>
      <c r="ET63" s="134"/>
      <c r="EU63" s="134"/>
      <c r="EV63" s="134"/>
      <c r="EW63" s="134"/>
      <c r="EX63" s="134"/>
      <c r="EY63" s="134"/>
      <c r="EZ63" s="134"/>
      <c r="FA63" s="134"/>
      <c r="FB63" s="134"/>
      <c r="FC63" s="134"/>
      <c r="FD63" s="134"/>
      <c r="FE63" s="134"/>
      <c r="FF63" s="134"/>
      <c r="FG63" s="134"/>
      <c r="FH63" s="134"/>
      <c r="FI63" s="134"/>
      <c r="FJ63" s="134"/>
      <c r="FK63" s="134"/>
      <c r="FL63" s="134"/>
      <c r="FM63" s="134"/>
      <c r="FN63" s="134"/>
      <c r="FO63" s="134"/>
      <c r="FP63" s="134"/>
      <c r="FQ63" s="134"/>
      <c r="FR63" s="134"/>
      <c r="FS63" s="134"/>
      <c r="FT63" s="134"/>
      <c r="FU63" s="134"/>
      <c r="FV63" s="134"/>
      <c r="FW63" s="134"/>
      <c r="FX63" s="134"/>
      <c r="FY63" s="134"/>
      <c r="FZ63" s="134"/>
      <c r="GA63" s="134"/>
      <c r="GB63" s="134"/>
      <c r="GC63" s="134"/>
      <c r="GD63" s="134"/>
      <c r="GE63" s="134"/>
      <c r="GF63" s="134"/>
      <c r="GG63" s="134"/>
      <c r="GH63" s="134"/>
      <c r="GI63" s="134"/>
      <c r="GJ63" s="134"/>
      <c r="GK63" s="134"/>
      <c r="GL63" s="134"/>
      <c r="GM63" s="134"/>
      <c r="GN63" s="134"/>
      <c r="GO63" s="134"/>
      <c r="GP63" s="134"/>
      <c r="GQ63" s="134"/>
      <c r="GR63" s="134"/>
      <c r="GS63" s="134"/>
      <c r="GT63" s="134"/>
      <c r="GU63" s="134"/>
      <c r="GV63" s="134"/>
      <c r="GW63" s="134"/>
      <c r="GX63" s="134"/>
      <c r="GY63" s="134"/>
      <c r="GZ63" s="134"/>
    </row>
    <row r="64" spans="1:208" hidden="1">
      <c r="C64" s="1327" t="s">
        <v>2675</v>
      </c>
      <c r="D64" s="1328">
        <v>1</v>
      </c>
      <c r="E64" s="1328" t="s">
        <v>2676</v>
      </c>
      <c r="F64" s="1328">
        <v>2</v>
      </c>
      <c r="G64" s="1328" t="s">
        <v>2731</v>
      </c>
      <c r="H64" s="1328">
        <v>3</v>
      </c>
      <c r="I64" s="1328" t="s">
        <v>2678</v>
      </c>
      <c r="J64" s="1328">
        <v>4</v>
      </c>
      <c r="K64" s="1328" t="s">
        <v>2679</v>
      </c>
      <c r="L64" s="1328">
        <v>5</v>
      </c>
      <c r="M64" s="1328" t="s">
        <v>2680</v>
      </c>
      <c r="N64" s="1328">
        <v>6</v>
      </c>
      <c r="O64" s="1328" t="s">
        <v>2681</v>
      </c>
      <c r="P64" s="1328">
        <v>7</v>
      </c>
      <c r="Q64" s="1328" t="s">
        <v>2682</v>
      </c>
      <c r="R64" s="1328">
        <v>8</v>
      </c>
      <c r="S64" s="1328" t="s">
        <v>2732</v>
      </c>
      <c r="T64" s="1328">
        <v>9</v>
      </c>
      <c r="U64" s="1328" t="s">
        <v>2733</v>
      </c>
      <c r="V64" s="1328">
        <v>10</v>
      </c>
      <c r="W64" s="1328" t="s">
        <v>2734</v>
      </c>
      <c r="X64" s="1328">
        <v>11</v>
      </c>
      <c r="Y64" s="1328" t="s">
        <v>2735</v>
      </c>
      <c r="Z64" s="1328">
        <v>12</v>
      </c>
      <c r="AA64" s="1328" t="s">
        <v>2736</v>
      </c>
      <c r="AB64" s="1328">
        <v>13</v>
      </c>
      <c r="AC64" s="1328" t="s">
        <v>2737</v>
      </c>
      <c r="AD64" s="1328">
        <v>14</v>
      </c>
      <c r="AE64" s="1328" t="s">
        <v>2738</v>
      </c>
      <c r="AF64" s="1328">
        <v>15</v>
      </c>
      <c r="AG64" s="1328" t="s">
        <v>2739</v>
      </c>
      <c r="AH64" s="1328">
        <v>16</v>
      </c>
      <c r="AI64" s="1328" t="s">
        <v>2740</v>
      </c>
      <c r="AJ64" s="1328">
        <v>17</v>
      </c>
      <c r="AK64" s="1328" t="s">
        <v>2741</v>
      </c>
      <c r="AL64" s="1328">
        <v>18</v>
      </c>
      <c r="AM64" s="1328" t="s">
        <v>2742</v>
      </c>
      <c r="AN64" s="1328">
        <v>19</v>
      </c>
      <c r="AO64" s="1328" t="s">
        <v>2743</v>
      </c>
      <c r="AP64" s="1328">
        <v>20</v>
      </c>
      <c r="AQ64" s="1329" t="s">
        <v>2695</v>
      </c>
      <c r="AR64" s="1329">
        <v>21</v>
      </c>
      <c r="AS64" s="1329" t="s">
        <v>2696</v>
      </c>
      <c r="AT64" s="1329">
        <v>22</v>
      </c>
      <c r="AU64" s="1329" t="s">
        <v>2697</v>
      </c>
      <c r="AV64" s="1329">
        <v>23</v>
      </c>
      <c r="AW64" s="1329" t="s">
        <v>2698</v>
      </c>
      <c r="AX64" s="1329">
        <v>24</v>
      </c>
      <c r="AY64" s="1329" t="s">
        <v>2699</v>
      </c>
      <c r="AZ64" s="1329">
        <v>25</v>
      </c>
      <c r="BA64" s="1329" t="s">
        <v>2700</v>
      </c>
      <c r="BB64" s="1329">
        <v>26</v>
      </c>
      <c r="BC64" s="1329" t="s">
        <v>2701</v>
      </c>
      <c r="BD64" s="1329">
        <v>27</v>
      </c>
      <c r="BE64" s="1329" t="s">
        <v>2702</v>
      </c>
      <c r="BF64" s="1329">
        <v>28</v>
      </c>
      <c r="BG64" s="1329" t="s">
        <v>2703</v>
      </c>
      <c r="BH64" s="1329">
        <v>29</v>
      </c>
      <c r="BI64" s="1329" t="s">
        <v>2704</v>
      </c>
      <c r="BJ64" s="1329">
        <v>30</v>
      </c>
      <c r="BK64" s="1329" t="s">
        <v>2705</v>
      </c>
      <c r="BL64" s="1329">
        <v>31</v>
      </c>
      <c r="BM64" s="1329" t="s">
        <v>2706</v>
      </c>
      <c r="BN64" s="1329">
        <v>32</v>
      </c>
      <c r="BO64" s="1329" t="s">
        <v>2707</v>
      </c>
      <c r="BP64" s="1329">
        <v>33</v>
      </c>
      <c r="BQ64" s="1329" t="s">
        <v>2744</v>
      </c>
      <c r="BR64" s="1329">
        <v>34</v>
      </c>
      <c r="BS64" s="1329" t="s">
        <v>2709</v>
      </c>
      <c r="BT64" s="1329">
        <v>35</v>
      </c>
      <c r="BU64" s="1329" t="s">
        <v>2804</v>
      </c>
      <c r="BV64" s="1329">
        <v>36</v>
      </c>
      <c r="BW64" s="1332" t="s">
        <v>2711</v>
      </c>
      <c r="BX64" s="1332">
        <v>37</v>
      </c>
      <c r="BY64" s="1332" t="s">
        <v>2712</v>
      </c>
      <c r="BZ64" s="1332">
        <v>38</v>
      </c>
      <c r="CA64" s="1332" t="s">
        <v>2713</v>
      </c>
      <c r="CB64" s="1332">
        <v>39</v>
      </c>
      <c r="CC64" s="1332" t="s">
        <v>2714</v>
      </c>
      <c r="CD64" s="1332">
        <v>40</v>
      </c>
      <c r="CE64" s="1332" t="s">
        <v>2715</v>
      </c>
      <c r="CF64" s="1332">
        <v>41</v>
      </c>
      <c r="CG64" s="1332" t="s">
        <v>2716</v>
      </c>
      <c r="CH64" s="1332">
        <v>42</v>
      </c>
      <c r="CI64" s="1332" t="s">
        <v>2717</v>
      </c>
      <c r="CJ64" s="1332">
        <v>43</v>
      </c>
      <c r="CK64" s="1332" t="s">
        <v>2718</v>
      </c>
      <c r="CL64" s="1332">
        <v>44</v>
      </c>
      <c r="CM64" s="1332" t="s">
        <v>2719</v>
      </c>
      <c r="CN64" s="1332">
        <v>45</v>
      </c>
      <c r="CO64" s="1332" t="s">
        <v>2720</v>
      </c>
      <c r="CP64" s="1332">
        <v>46</v>
      </c>
      <c r="CQ64" s="1332" t="s">
        <v>2721</v>
      </c>
      <c r="CR64" s="1332">
        <v>47</v>
      </c>
      <c r="CS64" s="1332" t="s">
        <v>2722</v>
      </c>
      <c r="CT64" s="1332">
        <v>48</v>
      </c>
      <c r="CU64" s="1332" t="s">
        <v>2723</v>
      </c>
      <c r="CV64" s="1332">
        <v>49</v>
      </c>
      <c r="CW64" s="1332" t="s">
        <v>2724</v>
      </c>
      <c r="CX64" s="1332">
        <v>50</v>
      </c>
      <c r="CY64" s="1332" t="s">
        <v>2725</v>
      </c>
      <c r="CZ64" s="1332">
        <v>51</v>
      </c>
      <c r="DA64" s="1332" t="s">
        <v>2726</v>
      </c>
      <c r="DB64" s="1332">
        <v>52</v>
      </c>
      <c r="DC64" s="1332" t="s">
        <v>2727</v>
      </c>
      <c r="DD64" s="1332">
        <v>53</v>
      </c>
      <c r="DE64" s="1332" t="s">
        <v>2728</v>
      </c>
      <c r="DF64" s="1332">
        <v>54</v>
      </c>
      <c r="DG64" s="1332" t="s">
        <v>2729</v>
      </c>
      <c r="DH64" s="1332">
        <v>55</v>
      </c>
      <c r="DI64" s="1332" t="s">
        <v>2730</v>
      </c>
      <c r="DJ64" s="1332">
        <v>56</v>
      </c>
      <c r="DK64" s="1332" t="s">
        <v>2757</v>
      </c>
      <c r="DL64" s="1332">
        <v>57</v>
      </c>
      <c r="DM64" s="1332" t="s">
        <v>2758</v>
      </c>
      <c r="DN64" s="1332">
        <v>58</v>
      </c>
      <c r="DO64" s="1332" t="s">
        <v>2759</v>
      </c>
      <c r="DP64" s="1332">
        <v>59</v>
      </c>
      <c r="DQ64" s="1332" t="s">
        <v>2760</v>
      </c>
      <c r="DR64" s="1332">
        <v>60</v>
      </c>
      <c r="DS64" s="1332" t="s">
        <v>2761</v>
      </c>
      <c r="DT64" s="1332"/>
      <c r="DU64" s="1332" t="s">
        <v>2762</v>
      </c>
      <c r="DV64" s="1332"/>
      <c r="DW64" s="1333" t="s">
        <v>2763</v>
      </c>
      <c r="DX64" s="1334"/>
      <c r="DY64" s="1333" t="s">
        <v>2764</v>
      </c>
      <c r="DZ64" s="1334"/>
      <c r="EA64" s="1332" t="s">
        <v>2765</v>
      </c>
      <c r="EB64" s="1332"/>
      <c r="EC64" s="1333" t="s">
        <v>2766</v>
      </c>
      <c r="ED64" s="1334"/>
      <c r="EE64" s="1332" t="s">
        <v>2767</v>
      </c>
      <c r="EF64" s="1332"/>
      <c r="EG64" s="1333" t="s">
        <v>2768</v>
      </c>
      <c r="EH64" s="1334"/>
      <c r="EI64" s="1333" t="s">
        <v>2769</v>
      </c>
      <c r="EJ64" s="1334"/>
      <c r="EK64" s="1332" t="s">
        <v>2770</v>
      </c>
      <c r="EL64" s="1332"/>
      <c r="EM64" s="1333" t="s">
        <v>2771</v>
      </c>
      <c r="EN64" s="1334"/>
      <c r="EO64" s="1332" t="s">
        <v>2772</v>
      </c>
      <c r="EP64" s="1332"/>
      <c r="EQ64" s="1333" t="s">
        <v>2773</v>
      </c>
      <c r="ER64" s="1334"/>
      <c r="ES64" s="1333" t="s">
        <v>2774</v>
      </c>
      <c r="ET64" s="1334"/>
      <c r="EU64" s="1332" t="s">
        <v>2775</v>
      </c>
      <c r="EV64" s="1332"/>
      <c r="EW64" s="1333" t="s">
        <v>2776</v>
      </c>
      <c r="EX64" s="1334"/>
      <c r="EY64" s="1332" t="s">
        <v>2777</v>
      </c>
      <c r="EZ64" s="1332"/>
      <c r="FA64" s="1333" t="s">
        <v>2778</v>
      </c>
      <c r="FB64" s="1334"/>
      <c r="FC64" s="1333" t="s">
        <v>2779</v>
      </c>
      <c r="FD64" s="1334"/>
      <c r="FE64" s="1332" t="s">
        <v>2780</v>
      </c>
      <c r="FF64" s="1332"/>
      <c r="FG64" s="1333" t="s">
        <v>2781</v>
      </c>
      <c r="FH64" s="1334"/>
      <c r="FI64" s="1332" t="s">
        <v>2782</v>
      </c>
      <c r="FJ64" s="1332"/>
      <c r="FK64" s="1333" t="s">
        <v>2783</v>
      </c>
      <c r="FL64" s="1334"/>
      <c r="FM64" s="1333" t="s">
        <v>2784</v>
      </c>
      <c r="FN64" s="1334"/>
      <c r="FO64" s="1332" t="s">
        <v>2785</v>
      </c>
      <c r="FP64" s="1332"/>
      <c r="FQ64" s="1333" t="s">
        <v>2786</v>
      </c>
      <c r="FR64" s="1334"/>
      <c r="FS64" s="1332" t="s">
        <v>2787</v>
      </c>
      <c r="FT64" s="1332"/>
      <c r="FU64" s="1333" t="s">
        <v>2788</v>
      </c>
      <c r="FV64" s="1334"/>
      <c r="FW64" s="1333" t="s">
        <v>2789</v>
      </c>
      <c r="FX64" s="1334"/>
      <c r="FY64" s="1332" t="s">
        <v>2790</v>
      </c>
      <c r="FZ64" s="1332"/>
      <c r="GA64" s="1333" t="s">
        <v>2791</v>
      </c>
      <c r="GB64" s="1334"/>
      <c r="GC64" s="1332" t="s">
        <v>2792</v>
      </c>
      <c r="GD64" s="1332"/>
      <c r="GE64" s="1333" t="s">
        <v>2793</v>
      </c>
      <c r="GF64" s="1334"/>
      <c r="GG64" s="1333" t="s">
        <v>2794</v>
      </c>
      <c r="GH64" s="1334"/>
      <c r="GI64" s="1332" t="s">
        <v>2795</v>
      </c>
      <c r="GJ64" s="1332"/>
      <c r="GK64" s="1333" t="s">
        <v>2796</v>
      </c>
      <c r="GL64" s="1334"/>
      <c r="GM64" s="1332" t="s">
        <v>2797</v>
      </c>
      <c r="GN64" s="1332"/>
      <c r="GO64" s="1333" t="s">
        <v>2798</v>
      </c>
      <c r="GP64" s="1334"/>
      <c r="GQ64" s="1333" t="s">
        <v>2799</v>
      </c>
      <c r="GR64" s="1334"/>
      <c r="GS64" s="1332" t="s">
        <v>2800</v>
      </c>
      <c r="GT64" s="1332"/>
      <c r="GU64" s="1688" t="s">
        <v>2801</v>
      </c>
      <c r="GV64" s="1689"/>
      <c r="GW64" s="1688" t="s">
        <v>2802</v>
      </c>
      <c r="GX64" s="1689"/>
      <c r="GY64" s="1690" t="s">
        <v>2803</v>
      </c>
      <c r="GZ64" s="1690"/>
    </row>
    <row r="65" spans="3:208" hidden="1">
      <c r="C65" s="1330" t="s">
        <v>2745</v>
      </c>
      <c r="D65" s="1330" t="str">
        <f>IF(IFERROR(INDEX(D65:D90,MATCH("SL20T"&amp;"*",C65:C90,0)),0)&lt;&gt;0,"L",IF(IFERROR(INDEX(D65:D90,MATCH("SL15T"&amp;"*",C65:C90,0)),0)&lt;&gt;0,"M","S"))</f>
        <v>L</v>
      </c>
      <c r="E65" s="1330" t="s">
        <v>2745</v>
      </c>
      <c r="F65" s="1330" t="str">
        <f>IF(IFERROR(INDEX(F65:F90,MATCH("SL20T"&amp;"*",E65:E90,0)),0)&lt;&gt;0,"L",IF(IFERROR(INDEX(F65:F90,MATCH("SL15T"&amp;"*",E65:E90,0)),0)&lt;&gt;0,"M","S"))</f>
        <v>L</v>
      </c>
      <c r="G65" s="1330" t="s">
        <v>2745</v>
      </c>
      <c r="H65" s="1330" t="str">
        <f>IF(IFERROR(INDEX(H65:H90,MATCH("SL20T"&amp;"*",G65:G90,0)),0)&lt;&gt;0,"L",IF(IFERROR(INDEX(H65:H90,MATCH("SL15T"&amp;"*",G65:G90,0)),0)&lt;&gt;0,"M","S"))</f>
        <v>L</v>
      </c>
      <c r="I65" s="1330" t="s">
        <v>2745</v>
      </c>
      <c r="J65" s="1330" t="str">
        <f>IF(IFERROR(INDEX(J65:J90,MATCH("SL20T",I65:I90,0)),0)&lt;&gt;0,"L",IF(IFERROR(INDEX(J65:J90,MATCH("SL15T",I65:I90,0)),0)&lt;&gt;0,"M","S"))</f>
        <v>S</v>
      </c>
      <c r="K65" s="1330" t="s">
        <v>2745</v>
      </c>
      <c r="L65" s="1330" t="str">
        <f>IF(IFERROR(INDEX(L65:L90,MATCH("SL20T",K65:K90,0)),0)&lt;&gt;0,"L",IF(IFERROR(INDEX(L65:L90,MATCH("SL15T",K65:K90,0)),0)&lt;&gt;0,"M","S"))</f>
        <v>S</v>
      </c>
      <c r="M65" s="1330" t="s">
        <v>2745</v>
      </c>
      <c r="N65" s="1330" t="str">
        <f>IF(IFERROR(INDEX(N65:N90,MATCH("SL20T",M65:M90,0)),0)&lt;&gt;0,"L",IF(IFERROR(INDEX(N65:N90,MATCH("SL15T",M65:M90,0)),0)&lt;&gt;0,"M","S"))</f>
        <v>S</v>
      </c>
      <c r="O65" s="1330" t="s">
        <v>2745</v>
      </c>
      <c r="P65" s="1330" t="str">
        <f>IF(IFERROR(INDEX(P65:P90,MATCH("SL20T",O65:O90,0)),0)&lt;&gt;0,"L",IF(IFERROR(INDEX(P65:P90,MATCH("SL15T",O65:O90,0)),0)&lt;&gt;0,"M","S"))</f>
        <v>S</v>
      </c>
      <c r="Q65" s="1330" t="s">
        <v>2745</v>
      </c>
      <c r="R65" s="1330" t="str">
        <f>IF(IFERROR(INDEX(R65:R90,MATCH("SL20T",Q65:Q90,0)),0)&lt;&gt;0,"L",IF(IFERROR(INDEX(R65:R90,MATCH("SL15T",Q65:Q90,0)),0)&lt;&gt;0,"M","S"))</f>
        <v>S</v>
      </c>
      <c r="S65" s="1330" t="s">
        <v>2745</v>
      </c>
      <c r="T65" s="1330" t="str">
        <f>IF(IFERROR(INDEX(T65:T90,MATCH("SL20T",S65:S90,0)),0)&lt;&gt;0,"L",IF(IFERROR(INDEX(T65:T90,MATCH("SL15T",S65:S90,0)),0)&lt;&gt;0,"M","S"))</f>
        <v>S</v>
      </c>
      <c r="U65" s="1330" t="s">
        <v>2745</v>
      </c>
      <c r="V65" s="1330" t="str">
        <f>IF(IFERROR(INDEX(V65:V90,MATCH("SL20T",U65:U90,0)),0)&lt;&gt;0,"L",IF(IFERROR(INDEX(V65:V90,MATCH("SL15T",U65:U90,0)),0)&lt;&gt;0,"M","S"))</f>
        <v>S</v>
      </c>
      <c r="W65" s="1330" t="s">
        <v>2745</v>
      </c>
      <c r="X65" s="1330" t="str">
        <f>IF(IFERROR(INDEX(X65:X90,MATCH("SL20T",W65:W90,0)),0)&lt;&gt;0,"L",IF(IFERROR(INDEX(X65:X90,MATCH("SL15T",W65:W90,0)),0)&lt;&gt;0,"M","S"))</f>
        <v>S</v>
      </c>
      <c r="Y65" s="1330" t="s">
        <v>2745</v>
      </c>
      <c r="Z65" s="1330" t="str">
        <f>IF(IFERROR(INDEX(Z65:Z90,MATCH("SL20T",Y65:Y90,0)),0)&lt;&gt;0,"L",IF(IFERROR(INDEX(Z65:Z90,MATCH("SL15T",Y65:Y90,0)),0)&lt;&gt;0,"M","S"))</f>
        <v>S</v>
      </c>
      <c r="AA65" s="1330" t="s">
        <v>2745</v>
      </c>
      <c r="AB65" s="1330" t="str">
        <f>IF(IFERROR(INDEX(AB65:AB90,MATCH("W1020D",AA65:AA90,0)),0)&lt;&gt;0,"L",IF(IFERROR(INDEX(AB65:AB90,MATCH("W1015D",AA65:AA90,0)),0)&lt;&gt;0,"M","S"))</f>
        <v>S</v>
      </c>
      <c r="AC65" s="1330" t="s">
        <v>2745</v>
      </c>
      <c r="AD65" s="1330" t="str">
        <f>IF(IFERROR(INDEX(AD65:AD90,MATCH("W1020D",AC65:AC90,0)),0)&lt;&gt;0,"L",IF(IFERROR(INDEX(AD65:AD90,MATCH("W1015D",AC65:AC90,0)),0)&lt;&gt;0,"M","S"))</f>
        <v>S</v>
      </c>
      <c r="AE65" s="1330" t="s">
        <v>2745</v>
      </c>
      <c r="AF65" s="1330" t="str">
        <f>IF(IFERROR(INDEX(AF65:AF90,MATCH("W1020D",AE65:AE90,0)),0)&lt;&gt;0,"L",IF(IFERROR(INDEX(AF65:AF90,MATCH("W1015D",AE65:AE90,0)),0)&lt;&gt;0,"M","S"))</f>
        <v>S</v>
      </c>
      <c r="AG65" s="1330" t="s">
        <v>2745</v>
      </c>
      <c r="AH65" s="1330" t="str">
        <f>IF(IFERROR(INDEX(AH65:AH90,MATCH("W1020D",AG65:AG90,0)),0)&lt;&gt;0,"L",IF(IFERROR(INDEX(AH65:AH90,MATCH("W1015D",AG65:AG90,0)),0)&lt;&gt;0,"M","S"))</f>
        <v>S</v>
      </c>
      <c r="AI65" s="1330" t="s">
        <v>2745</v>
      </c>
      <c r="AJ65" s="1330" t="str">
        <f>IF(IFERROR(INDEX(AJ65:AJ90,MATCH("W1020D",AI65:AI90,0)),0)&lt;&gt;0,"L",IF(IFERROR(INDEX(AJ65:AJ90,MATCH("W1015D",AI65:AI90,0)),0)&lt;&gt;0,"M","S"))</f>
        <v>S</v>
      </c>
      <c r="AK65" s="1330" t="s">
        <v>2745</v>
      </c>
      <c r="AL65" s="1330" t="str">
        <f>IF(IFERROR(INDEX(AL65:AL90,MATCH("W1020D",AK65:AK90,0)),0)&lt;&gt;0,"L",IF(IFERROR(INDEX(AL65:AL90,MATCH("W1015D",AK65:AK90,0)),0)&lt;&gt;0,"M","S"))</f>
        <v>S</v>
      </c>
      <c r="AM65" s="1330" t="s">
        <v>2745</v>
      </c>
      <c r="AN65" s="1330" t="str">
        <f>IF(IFERROR(INDEX(AN65:AN90,MATCH("W1020D",AM65:AM90,0)),0)&lt;&gt;0,"L",IF(IFERROR(INDEX(AN65:AN90,MATCH("W1015D",AM65:AM90,0)),0)&lt;&gt;0,"M","S"))</f>
        <v>S</v>
      </c>
      <c r="AO65" s="1330" t="s">
        <v>2745</v>
      </c>
      <c r="AP65" s="1330" t="str">
        <f>IF(IFERROR(INDEX(AP65:AP90,MATCH("W1020D",AO65:AO90,0)),0)&lt;&gt;0,"L",IF(IFERROR(INDEX(AP65:AP90,MATCH("W1015D",AO65:AO90,0)),0)&lt;&gt;0,"M","S"))</f>
        <v>S</v>
      </c>
      <c r="AQ65" s="1330" t="s">
        <v>2745</v>
      </c>
      <c r="AR65" s="1330" t="str">
        <f>IF(IFERROR(INDEX(AR65:AR90,MATCH("W1020D",AQ65:AQ90,0)),0)&lt;&gt;0,"L",IF(IFERROR(INDEX(AR65:AR90,MATCH("W1015D",AQ65:AQ90,0)),0)&lt;&gt;0,"M","S"))</f>
        <v>S</v>
      </c>
      <c r="AS65" s="1330" t="s">
        <v>2745</v>
      </c>
      <c r="AT65" s="1330" t="str">
        <f>IF(IFERROR(INDEX(AT65:AT90,MATCH("W1020D",AS65:AS90,0)),0)&lt;&gt;0,"L",IF(IFERROR(INDEX(AT65:AT90,MATCH("W1015D",AS65:AS90,0)),0)&lt;&gt;0,"M","S"))</f>
        <v>S</v>
      </c>
      <c r="AU65" s="1330" t="s">
        <v>2745</v>
      </c>
      <c r="AV65" s="1330" t="str">
        <f>IF(IFERROR(INDEX(AV65:AV90,MATCH("W1020D",AU65:AU90,0)),0)&lt;&gt;0,"L",IF(IFERROR(INDEX(AV65:AV90,MATCH("W1015D",AU65:AU90,0)),0)&lt;&gt;0,"M","S"))</f>
        <v>S</v>
      </c>
      <c r="AW65" s="1330" t="s">
        <v>2745</v>
      </c>
      <c r="AX65" s="1330" t="str">
        <f>IF(IFERROR(INDEX(AX65:AX90,MATCH("W1020D",AW65:AW90,0)),0)&lt;&gt;0,"L",IF(IFERROR(INDEX(AX65:AX90,MATCH("W1015D",AW65:AW90,0)),0)&lt;&gt;0,"M","S"))</f>
        <v>S</v>
      </c>
      <c r="AY65" s="1330" t="s">
        <v>2745</v>
      </c>
      <c r="AZ65" s="1330" t="str">
        <f>IF(IFERROR(INDEX(AZ65:AZ90,MATCH("W1020D",AY65:AY90,0)),0)&lt;&gt;0,"L",IF(IFERROR(INDEX(AZ65:AZ90,MATCH("W1015D",AY65:AY90,0)),0)&lt;&gt;0,"M","S"))</f>
        <v>S</v>
      </c>
      <c r="BA65" s="1330" t="s">
        <v>2745</v>
      </c>
      <c r="BB65" s="1330" t="str">
        <f>IF(IFERROR(INDEX(BB65:BB90,MATCH("W1020D",BA65:BA90,0)),0)&lt;&gt;0,"L",IF(IFERROR(INDEX(BB65:BB90,MATCH("W1015D",BA65:BA90,0)),0)&lt;&gt;0,"M","S"))</f>
        <v>S</v>
      </c>
      <c r="BC65" s="1330" t="s">
        <v>2745</v>
      </c>
      <c r="BD65" s="1330" t="str">
        <f>IF(IFERROR(INDEX(BD65:BD90,MATCH("W1020D",BC65:BC90,0)),0)&lt;&gt;0,"L",IF(IFERROR(INDEX(BD65:BD90,MATCH("W1015D",BC65:BC90,0)),0)&lt;&gt;0,"M","S"))</f>
        <v>S</v>
      </c>
      <c r="BE65" s="1330" t="s">
        <v>2745</v>
      </c>
      <c r="BF65" s="1330" t="str">
        <f>IF(IFERROR(INDEX(BF65:BF90,MATCH("W1020D",BE65:BE90,0)),0)&lt;&gt;0,"L",IF(IFERROR(INDEX(BF65:BF90,MATCH("W1015D",BE65:BE90,0)),0)&lt;&gt;0,"M","S"))</f>
        <v>S</v>
      </c>
      <c r="BG65" s="1330" t="s">
        <v>2745</v>
      </c>
      <c r="BH65" s="1330" t="str">
        <f>IF(IFERROR(INDEX(BH65:BH90,MATCH("W1020D",BG65:BG90,0)),0)&lt;&gt;0,"L",IF(IFERROR(INDEX(BH65:BH90,MATCH("W1015D",BG65:BG90,0)),0)&lt;&gt;0,"M","S"))</f>
        <v>S</v>
      </c>
      <c r="BI65" s="1330" t="s">
        <v>2745</v>
      </c>
      <c r="BJ65" s="1330" t="str">
        <f>IF(IFERROR(INDEX(BJ65:BJ90,MATCH("W1020D",BI65:BI90,0)),0)&lt;&gt;0,"L",IF(IFERROR(INDEX(BJ65:BJ90,MATCH("W1015D",BI65:BI90,0)),0)&lt;&gt;0,"M","S"))</f>
        <v>S</v>
      </c>
      <c r="BK65" s="1330" t="s">
        <v>2745</v>
      </c>
      <c r="BL65" s="1330" t="str">
        <f>IF(IFERROR(INDEX(BL65:BL90,MATCH("W1020D",BK65:BK90,0)),0)&lt;&gt;0,"L",IF(IFERROR(INDEX(BL65:BL90,MATCH("W1015D",BK65:BK90,0)),0)&lt;&gt;0,"M","S"))</f>
        <v>S</v>
      </c>
      <c r="BM65" s="1330" t="s">
        <v>2745</v>
      </c>
      <c r="BN65" s="1330" t="str">
        <f>IF(IFERROR(INDEX(BN65:BN90,MATCH("W1020D",BM65:BM90,0)),0)&lt;&gt;0,"L",IF(IFERROR(INDEX(BN65:BN90,MATCH("W1015D",BM65:BM90,0)),0)&lt;&gt;0,"M","S"))</f>
        <v>S</v>
      </c>
      <c r="BO65" s="1330" t="s">
        <v>2745</v>
      </c>
      <c r="BP65" s="1330" t="str">
        <f>IF(IFERROR(INDEX(BP65:BP90,MATCH("W1020D",BO65:BO90,0)),0)&lt;&gt;0,"L",IF(IFERROR(INDEX(BP65:BP90,MATCH("W1015D",BO65:BO90,0)),0)&lt;&gt;0,"M","S"))</f>
        <v>S</v>
      </c>
      <c r="BQ65" s="1330" t="s">
        <v>2745</v>
      </c>
      <c r="BR65" s="1330" t="str">
        <f>IF(IFERROR(INDEX(BR65:BR90,MATCH("W1020D",BQ65:BQ90,0)),0)&lt;&gt;0,"L",IF(IFERROR(INDEX(BR65:BR90,MATCH("W1015D",BQ65:BQ90,0)),0)&lt;&gt;0,"M","S"))</f>
        <v>S</v>
      </c>
      <c r="BS65" s="1330" t="s">
        <v>2745</v>
      </c>
      <c r="BT65" s="1330" t="str">
        <f>IF(IFERROR(INDEX(BT65:BT90,MATCH("W1020D",BS65:BS90,0)),0)&lt;&gt;0,"L",IF(IFERROR(INDEX(BT65:BT90,MATCH("W1015D",BS65:BS90,0)),0)&lt;&gt;0,"M","S"))</f>
        <v>S</v>
      </c>
      <c r="BU65" s="1330" t="s">
        <v>2745</v>
      </c>
      <c r="BV65" s="1330" t="str">
        <f>IF(IFERROR(INDEX(BV65:BV90,MATCH("W1020D",BU65:BU90,0)),0)&lt;&gt;0,"L",IF(IFERROR(INDEX(BV65:BV90,MATCH("W1015D",BU65:BU90,0)),0)&lt;&gt;0,"M","S"))</f>
        <v>S</v>
      </c>
      <c r="BW65" s="1330" t="s">
        <v>2745</v>
      </c>
      <c r="BX65" s="1330" t="str">
        <f>IF(IFERROR(INDEX(BX65:BX90,MATCH("W1020D",BW65:BW90,0)),0)&lt;&gt;0,"L",IF(IFERROR(INDEX(BX65:BX90,MATCH("W1015D",BW65:BW90,0)),0)&lt;&gt;0,"M","S"))</f>
        <v>S</v>
      </c>
      <c r="BY65" s="1330" t="s">
        <v>2745</v>
      </c>
      <c r="BZ65" s="1330" t="str">
        <f>IF(IFERROR(INDEX(BZ65:BZ90,MATCH("W1020D",BY65:BY90,0)),0)&lt;&gt;0,"L",IF(IFERROR(INDEX(BZ65:BZ90,MATCH("W1015D",BY65:BY90,0)),0)&lt;&gt;0,"M","S"))</f>
        <v>S</v>
      </c>
      <c r="CA65" s="1330" t="s">
        <v>2745</v>
      </c>
      <c r="CB65" s="1330" t="str">
        <f>IF(IFERROR(INDEX(CB65:CB90,MATCH("W1020D",CA65:CA90,0)),0)&lt;&gt;0,"L",IF(IFERROR(INDEX(CB65:CB90,MATCH("W1015D",CA65:CA90,0)),0)&lt;&gt;0,"M","S"))</f>
        <v>S</v>
      </c>
      <c r="CC65" s="1330" t="s">
        <v>2745</v>
      </c>
      <c r="CD65" s="1330" t="str">
        <f>IF(IFERROR(INDEX(CD65:CD90,MATCH("W1020D",CC65:CC90,0)),0)&lt;&gt;0,"L",IF(IFERROR(INDEX(CD65:CD90,MATCH("W1015D",CC65:CC90,0)),0)&lt;&gt;0,"M","S"))</f>
        <v>S</v>
      </c>
      <c r="CE65" s="1330" t="s">
        <v>2745</v>
      </c>
      <c r="CF65" s="1330" t="str">
        <f>IF(IFERROR(INDEX(CF65:CF90,MATCH("W1020D",CE65:CE90,0)),0)&lt;&gt;0,"L",IF(IFERROR(INDEX(CF65:CF90,MATCH("W1015D",CE65:CE90,0)),0)&lt;&gt;0,"M","S"))</f>
        <v>S</v>
      </c>
      <c r="CG65" s="1330" t="s">
        <v>2745</v>
      </c>
      <c r="CH65" s="1330" t="str">
        <f>IF(IFERROR(INDEX(CH65:CH90,MATCH("W1020D",CG65:CG90,0)),0)&lt;&gt;0,"L",IF(IFERROR(INDEX(CH65:CH90,MATCH("W1015D",CG65:CG90,0)),0)&lt;&gt;0,"M","S"))</f>
        <v>S</v>
      </c>
      <c r="CI65" s="1330" t="s">
        <v>2745</v>
      </c>
      <c r="CJ65" s="1330" t="str">
        <f>IF(IFERROR(INDEX(CJ65:CJ90,MATCH("W1020D",CI65:CI90,0)),0)&lt;&gt;0,"L",IF(IFERROR(INDEX(CJ65:CJ90,MATCH("W1015D",CI65:CI90,0)),0)&lt;&gt;0,"M","S"))</f>
        <v>S</v>
      </c>
      <c r="CK65" s="1330" t="s">
        <v>2745</v>
      </c>
      <c r="CL65" s="1330" t="str">
        <f>IF(IFERROR(INDEX(CL65:CL90,MATCH("W1020D",CK65:CK90,0)),0)&lt;&gt;0,"L",IF(IFERROR(INDEX(CL65:CL90,MATCH("W1015D",CK65:CK90,0)),0)&lt;&gt;0,"M","S"))</f>
        <v>S</v>
      </c>
      <c r="CM65" s="1330" t="s">
        <v>2745</v>
      </c>
      <c r="CN65" s="1330" t="str">
        <f>IF(IFERROR(INDEX(CN65:CN90,MATCH("W1020D",CM65:CM90,0)),0)&lt;&gt;0,"L",IF(IFERROR(INDEX(CN65:CN90,MATCH("W1015D",CM65:CM90,0)),0)&lt;&gt;0,"M","S"))</f>
        <v>S</v>
      </c>
      <c r="CO65" s="1330" t="s">
        <v>2745</v>
      </c>
      <c r="CP65" s="1330" t="str">
        <f>IF(IFERROR(INDEX(CP65:CP90,MATCH("W1020D",CO65:CO90,0)),0)&lt;&gt;0,"L",IF(IFERROR(INDEX(CP65:CP90,MATCH("W1015D",CO65:CO90,0)),0)&lt;&gt;0,"M","S"))</f>
        <v>S</v>
      </c>
      <c r="CQ65" s="1330" t="s">
        <v>2745</v>
      </c>
      <c r="CR65" s="1330" t="str">
        <f>IF(IFERROR(INDEX(CR65:CR90,MATCH("W1020D",CQ65:CQ90,0)),0)&lt;&gt;0,"L",IF(IFERROR(INDEX(CR65:CR90,MATCH("W1015D",CQ65:CQ90,0)),0)&lt;&gt;0,"M","S"))</f>
        <v>S</v>
      </c>
      <c r="CS65" s="1330" t="s">
        <v>2745</v>
      </c>
      <c r="CT65" s="1330" t="str">
        <f>IF(IFERROR(INDEX(CT65:CT90,MATCH("W1020D",CS65:CS90,0)),0)&lt;&gt;0,"L",IF(IFERROR(INDEX(CT65:CT90,MATCH("W1015D",CS65:CS90,0)),0)&lt;&gt;0,"M","S"))</f>
        <v>S</v>
      </c>
      <c r="CU65" s="1330" t="s">
        <v>2745</v>
      </c>
      <c r="CV65" s="1330" t="str">
        <f>IF(IFERROR(INDEX(CV65:CV90,MATCH("W1020D",CU65:CU90,0)),0)&lt;&gt;0,"L",IF(IFERROR(INDEX(CV65:CV90,MATCH("W1015D",CU65:CU90,0)),0)&lt;&gt;0,"M","S"))</f>
        <v>S</v>
      </c>
      <c r="CW65" s="1330" t="s">
        <v>2745</v>
      </c>
      <c r="CX65" s="1330" t="str">
        <f>IF(IFERROR(INDEX(CX65:CX90,MATCH("W1020D",CW65:CW90,0)),0)&lt;&gt;0,"L",IF(IFERROR(INDEX(CX65:CX90,MATCH("W1015D",CW65:CW90,0)),0)&lt;&gt;0,"M","S"))</f>
        <v>S</v>
      </c>
      <c r="CY65" s="1330" t="s">
        <v>2745</v>
      </c>
      <c r="CZ65" s="1330"/>
      <c r="DA65" s="1330" t="s">
        <v>2745</v>
      </c>
      <c r="DB65" s="1330"/>
      <c r="DC65" s="1330" t="s">
        <v>2745</v>
      </c>
      <c r="DD65" s="1330"/>
      <c r="DE65" s="1330" t="s">
        <v>2745</v>
      </c>
      <c r="DF65" s="1330"/>
      <c r="DG65" s="1330" t="s">
        <v>2745</v>
      </c>
      <c r="DH65" s="1330"/>
      <c r="DI65" s="1330" t="s">
        <v>2745</v>
      </c>
      <c r="DJ65" s="1330"/>
      <c r="DK65" s="1330" t="s">
        <v>2745</v>
      </c>
      <c r="DL65" s="1330"/>
      <c r="DM65" s="1330" t="s">
        <v>2745</v>
      </c>
      <c r="DN65" s="1330"/>
      <c r="DO65" s="1330" t="s">
        <v>2745</v>
      </c>
      <c r="DP65" s="1330"/>
      <c r="DQ65" s="1330" t="s">
        <v>2745</v>
      </c>
      <c r="DR65" s="1330"/>
      <c r="DS65" s="1330" t="s">
        <v>2745</v>
      </c>
      <c r="DT65" s="1330"/>
      <c r="DU65" s="1330" t="s">
        <v>2745</v>
      </c>
      <c r="DV65" s="1330"/>
      <c r="DW65" s="1330" t="s">
        <v>2745</v>
      </c>
      <c r="DX65" s="1330"/>
      <c r="DY65" s="1330" t="s">
        <v>2745</v>
      </c>
      <c r="DZ65" s="1330"/>
      <c r="EA65" s="1330" t="s">
        <v>2745</v>
      </c>
      <c r="EB65" s="1330"/>
      <c r="EC65" s="1330" t="s">
        <v>2745</v>
      </c>
      <c r="ED65" s="1330"/>
      <c r="EE65" s="1330" t="s">
        <v>2745</v>
      </c>
      <c r="EF65" s="1330"/>
      <c r="EG65" s="1330" t="s">
        <v>2745</v>
      </c>
      <c r="EH65" s="1330"/>
      <c r="EI65" s="1330" t="s">
        <v>2745</v>
      </c>
      <c r="EJ65" s="1330"/>
      <c r="EK65" s="1330" t="s">
        <v>2745</v>
      </c>
      <c r="EL65" s="1330"/>
      <c r="EM65" s="1330" t="s">
        <v>2745</v>
      </c>
      <c r="EN65" s="1330"/>
      <c r="EO65" s="1330" t="s">
        <v>2745</v>
      </c>
      <c r="EP65" s="1330"/>
      <c r="EQ65" s="1330" t="s">
        <v>2745</v>
      </c>
      <c r="ER65" s="1330"/>
      <c r="ES65" s="1330" t="s">
        <v>2745</v>
      </c>
      <c r="ET65" s="1330"/>
      <c r="EU65" s="1330" t="s">
        <v>2745</v>
      </c>
      <c r="EV65" s="1330"/>
      <c r="EW65" s="1330" t="s">
        <v>2745</v>
      </c>
      <c r="EX65" s="1330"/>
      <c r="EY65" s="1330" t="s">
        <v>2745</v>
      </c>
      <c r="EZ65" s="1330"/>
      <c r="FA65" s="1330" t="s">
        <v>2745</v>
      </c>
      <c r="FB65" s="1330"/>
      <c r="FC65" s="1330" t="s">
        <v>2745</v>
      </c>
      <c r="FD65" s="1330"/>
      <c r="FE65" s="1330" t="s">
        <v>2745</v>
      </c>
      <c r="FF65" s="1330"/>
      <c r="FG65" s="1330" t="s">
        <v>2745</v>
      </c>
      <c r="FH65" s="1330"/>
      <c r="FI65" s="1330" t="s">
        <v>2745</v>
      </c>
      <c r="FJ65" s="1330"/>
      <c r="FK65" s="1330" t="s">
        <v>2745</v>
      </c>
      <c r="FL65" s="1330"/>
      <c r="FM65" s="1330" t="s">
        <v>2745</v>
      </c>
      <c r="FN65" s="1330"/>
      <c r="FO65" s="1330" t="s">
        <v>2745</v>
      </c>
      <c r="FP65" s="1330"/>
      <c r="FQ65" s="1330" t="s">
        <v>2745</v>
      </c>
      <c r="FR65" s="1330"/>
      <c r="FS65" s="1330" t="s">
        <v>2745</v>
      </c>
      <c r="FT65" s="1330"/>
      <c r="FU65" s="1330" t="s">
        <v>2745</v>
      </c>
      <c r="FV65" s="1330"/>
      <c r="FW65" s="1330" t="s">
        <v>2745</v>
      </c>
      <c r="FX65" s="1330"/>
      <c r="FY65" s="1330" t="s">
        <v>2745</v>
      </c>
      <c r="FZ65" s="1330"/>
      <c r="GA65" s="1330" t="s">
        <v>2745</v>
      </c>
      <c r="GB65" s="1330"/>
      <c r="GC65" s="1330" t="s">
        <v>2745</v>
      </c>
      <c r="GD65" s="1330"/>
      <c r="GE65" s="1330" t="s">
        <v>2745</v>
      </c>
      <c r="GF65" s="1330"/>
      <c r="GG65" s="1330" t="s">
        <v>2745</v>
      </c>
      <c r="GH65" s="1330"/>
      <c r="GI65" s="1330" t="s">
        <v>2745</v>
      </c>
      <c r="GJ65" s="1330"/>
      <c r="GK65" s="1330" t="s">
        <v>2745</v>
      </c>
      <c r="GL65" s="1330"/>
      <c r="GM65" s="1330" t="s">
        <v>2745</v>
      </c>
      <c r="GN65" s="1330"/>
      <c r="GO65" s="1330" t="s">
        <v>2745</v>
      </c>
      <c r="GP65" s="1330"/>
      <c r="GQ65" s="1330" t="s">
        <v>2745</v>
      </c>
      <c r="GR65" s="1330"/>
      <c r="GS65" s="1330" t="s">
        <v>2745</v>
      </c>
      <c r="GT65" s="1330"/>
      <c r="GU65" s="1330" t="s">
        <v>2745</v>
      </c>
      <c r="GV65" s="1330"/>
      <c r="GW65" s="1330" t="s">
        <v>2745</v>
      </c>
      <c r="GX65" s="1330"/>
      <c r="GY65" s="1330" t="s">
        <v>2745</v>
      </c>
      <c r="GZ65" s="1330"/>
    </row>
    <row r="66" spans="3:208" hidden="1">
      <c r="C66" s="1330" t="s">
        <v>1275</v>
      </c>
      <c r="D66" s="1330" t="s">
        <v>239</v>
      </c>
      <c r="E66" s="1330" t="s">
        <v>1275</v>
      </c>
      <c r="F66" s="1330" t="s">
        <v>239</v>
      </c>
      <c r="G66" s="1330" t="s">
        <v>1275</v>
      </c>
      <c r="H66" s="1330" t="s">
        <v>239</v>
      </c>
      <c r="I66" s="1330" t="s">
        <v>1275</v>
      </c>
      <c r="J66" s="1330" t="s">
        <v>239</v>
      </c>
      <c r="K66" s="1330" t="s">
        <v>1275</v>
      </c>
      <c r="L66" s="1330" t="s">
        <v>239</v>
      </c>
      <c r="M66" s="1330" t="s">
        <v>1275</v>
      </c>
      <c r="N66" s="1330" t="s">
        <v>239</v>
      </c>
      <c r="O66" s="1330" t="s">
        <v>1275</v>
      </c>
      <c r="P66" s="1330" t="s">
        <v>239</v>
      </c>
      <c r="Q66" s="1330" t="s">
        <v>1275</v>
      </c>
      <c r="R66" s="1330" t="s">
        <v>239</v>
      </c>
      <c r="S66" s="1330" t="s">
        <v>1275</v>
      </c>
      <c r="T66" s="1330" t="s">
        <v>239</v>
      </c>
      <c r="U66" s="1330" t="s">
        <v>1275</v>
      </c>
      <c r="V66" s="1330" t="s">
        <v>239</v>
      </c>
      <c r="W66" s="1330" t="s">
        <v>1275</v>
      </c>
      <c r="X66" s="1330" t="s">
        <v>239</v>
      </c>
      <c r="Y66" s="1330" t="s">
        <v>1275</v>
      </c>
      <c r="Z66" s="1330" t="s">
        <v>239</v>
      </c>
      <c r="AA66" s="1330" t="s">
        <v>1275</v>
      </c>
      <c r="AB66" s="1330" t="s">
        <v>239</v>
      </c>
      <c r="AC66" s="1330" t="s">
        <v>1275</v>
      </c>
      <c r="AD66" s="1330" t="s">
        <v>239</v>
      </c>
      <c r="AE66" s="1330" t="s">
        <v>1275</v>
      </c>
      <c r="AF66" s="1330" t="s">
        <v>239</v>
      </c>
      <c r="AG66" s="1330" t="s">
        <v>1275</v>
      </c>
      <c r="AH66" s="1330" t="s">
        <v>239</v>
      </c>
      <c r="AI66" s="1330" t="s">
        <v>1275</v>
      </c>
      <c r="AJ66" s="1330" t="s">
        <v>239</v>
      </c>
      <c r="AK66" s="1330" t="s">
        <v>1275</v>
      </c>
      <c r="AL66" s="1330" t="s">
        <v>239</v>
      </c>
      <c r="AM66" s="1330" t="s">
        <v>1275</v>
      </c>
      <c r="AN66" s="1330" t="s">
        <v>239</v>
      </c>
      <c r="AO66" s="1330" t="s">
        <v>1275</v>
      </c>
      <c r="AP66" s="1330" t="s">
        <v>239</v>
      </c>
      <c r="AQ66" s="1330" t="s">
        <v>1275</v>
      </c>
      <c r="AR66" s="1330" t="s">
        <v>239</v>
      </c>
      <c r="AS66" s="1330" t="s">
        <v>1275</v>
      </c>
      <c r="AT66" s="1330" t="s">
        <v>239</v>
      </c>
      <c r="AU66" s="1330" t="s">
        <v>1275</v>
      </c>
      <c r="AV66" s="1330" t="s">
        <v>239</v>
      </c>
      <c r="AW66" s="1330" t="s">
        <v>1275</v>
      </c>
      <c r="AX66" s="1330" t="s">
        <v>239</v>
      </c>
      <c r="AY66" s="1330" t="s">
        <v>1275</v>
      </c>
      <c r="AZ66" s="1330" t="s">
        <v>239</v>
      </c>
      <c r="BA66" s="1330" t="s">
        <v>1275</v>
      </c>
      <c r="BB66" s="1330" t="s">
        <v>239</v>
      </c>
      <c r="BC66" s="1330" t="s">
        <v>1275</v>
      </c>
      <c r="BD66" s="1330" t="s">
        <v>239</v>
      </c>
      <c r="BE66" s="1330" t="s">
        <v>1275</v>
      </c>
      <c r="BF66" s="1330" t="s">
        <v>239</v>
      </c>
      <c r="BG66" s="1330" t="s">
        <v>1275</v>
      </c>
      <c r="BH66" s="1330" t="s">
        <v>239</v>
      </c>
      <c r="BI66" s="1330" t="s">
        <v>1275</v>
      </c>
      <c r="BJ66" s="1330" t="s">
        <v>239</v>
      </c>
      <c r="BK66" s="1330" t="s">
        <v>1275</v>
      </c>
      <c r="BL66" s="1330" t="s">
        <v>239</v>
      </c>
      <c r="BM66" s="1330" t="s">
        <v>1275</v>
      </c>
      <c r="BN66" s="1330" t="s">
        <v>239</v>
      </c>
      <c r="BO66" s="1330" t="s">
        <v>1275</v>
      </c>
      <c r="BP66" s="1330" t="s">
        <v>239</v>
      </c>
      <c r="BQ66" s="1330" t="s">
        <v>1275</v>
      </c>
      <c r="BR66" s="1330" t="s">
        <v>239</v>
      </c>
      <c r="BS66" s="1330" t="s">
        <v>1275</v>
      </c>
      <c r="BT66" s="1330" t="s">
        <v>239</v>
      </c>
      <c r="BU66" s="1330" t="s">
        <v>1275</v>
      </c>
      <c r="BV66" s="1330" t="s">
        <v>239</v>
      </c>
      <c r="BW66" s="1330" t="s">
        <v>1275</v>
      </c>
      <c r="BX66" s="1330" t="s">
        <v>239</v>
      </c>
      <c r="BY66" s="1330" t="s">
        <v>1275</v>
      </c>
      <c r="BZ66" s="1330" t="s">
        <v>239</v>
      </c>
      <c r="CA66" s="1330" t="s">
        <v>1275</v>
      </c>
      <c r="CB66" s="1330" t="s">
        <v>239</v>
      </c>
      <c r="CC66" s="1330" t="s">
        <v>1275</v>
      </c>
      <c r="CD66" s="1330" t="s">
        <v>239</v>
      </c>
      <c r="CE66" s="1330" t="s">
        <v>1275</v>
      </c>
      <c r="CF66" s="1330" t="s">
        <v>239</v>
      </c>
      <c r="CG66" s="1330" t="s">
        <v>1275</v>
      </c>
      <c r="CH66" s="1330" t="s">
        <v>239</v>
      </c>
      <c r="CI66" s="1330" t="s">
        <v>1275</v>
      </c>
      <c r="CJ66" s="1330" t="s">
        <v>239</v>
      </c>
      <c r="CK66" s="1330" t="s">
        <v>1275</v>
      </c>
      <c r="CL66" s="1330" t="s">
        <v>239</v>
      </c>
      <c r="CM66" s="1330" t="s">
        <v>1275</v>
      </c>
      <c r="CN66" s="1330" t="s">
        <v>239</v>
      </c>
      <c r="CO66" s="1330" t="s">
        <v>1275</v>
      </c>
      <c r="CP66" s="1330" t="s">
        <v>239</v>
      </c>
      <c r="CQ66" s="1330" t="s">
        <v>1275</v>
      </c>
      <c r="CR66" s="1330" t="s">
        <v>239</v>
      </c>
      <c r="CS66" s="1330" t="s">
        <v>1275</v>
      </c>
      <c r="CT66" s="1330" t="s">
        <v>239</v>
      </c>
      <c r="CU66" s="1330" t="s">
        <v>1275</v>
      </c>
      <c r="CV66" s="1330" t="s">
        <v>239</v>
      </c>
      <c r="CW66" s="1330" t="s">
        <v>1275</v>
      </c>
      <c r="CX66" s="1330" t="s">
        <v>239</v>
      </c>
      <c r="CY66" s="1330" t="s">
        <v>1275</v>
      </c>
      <c r="CZ66" s="1330" t="s">
        <v>239</v>
      </c>
      <c r="DA66" s="1330" t="s">
        <v>1275</v>
      </c>
      <c r="DB66" s="1330" t="s">
        <v>239</v>
      </c>
      <c r="DC66" s="1330" t="s">
        <v>1275</v>
      </c>
      <c r="DD66" s="1330" t="s">
        <v>239</v>
      </c>
      <c r="DE66" s="1330" t="s">
        <v>1275</v>
      </c>
      <c r="DF66" s="1330" t="s">
        <v>239</v>
      </c>
      <c r="DG66" s="1330" t="s">
        <v>1275</v>
      </c>
      <c r="DH66" s="1330" t="s">
        <v>239</v>
      </c>
      <c r="DI66" s="1330" t="s">
        <v>1275</v>
      </c>
      <c r="DJ66" s="1330" t="s">
        <v>239</v>
      </c>
      <c r="DK66" s="1330" t="s">
        <v>1275</v>
      </c>
      <c r="DL66" s="1330" t="s">
        <v>239</v>
      </c>
      <c r="DM66" s="1330" t="s">
        <v>1275</v>
      </c>
      <c r="DN66" s="1330" t="s">
        <v>239</v>
      </c>
      <c r="DO66" s="1330" t="s">
        <v>1275</v>
      </c>
      <c r="DP66" s="1330" t="s">
        <v>239</v>
      </c>
      <c r="DQ66" s="1330" t="s">
        <v>1275</v>
      </c>
      <c r="DR66" s="1330" t="s">
        <v>239</v>
      </c>
      <c r="DS66" s="1330" t="s">
        <v>1275</v>
      </c>
      <c r="DT66" s="1330" t="s">
        <v>239</v>
      </c>
      <c r="DU66" s="1330" t="s">
        <v>1275</v>
      </c>
      <c r="DV66" s="1330" t="s">
        <v>239</v>
      </c>
      <c r="DW66" s="1330" t="s">
        <v>1275</v>
      </c>
      <c r="DX66" s="1330" t="s">
        <v>239</v>
      </c>
      <c r="DY66" s="1330" t="s">
        <v>1275</v>
      </c>
      <c r="DZ66" s="1330" t="s">
        <v>239</v>
      </c>
      <c r="EA66" s="1330" t="s">
        <v>1275</v>
      </c>
      <c r="EB66" s="1330" t="s">
        <v>239</v>
      </c>
      <c r="EC66" s="1330" t="s">
        <v>1275</v>
      </c>
      <c r="ED66" s="1330" t="s">
        <v>239</v>
      </c>
      <c r="EE66" s="1330" t="s">
        <v>1275</v>
      </c>
      <c r="EF66" s="1330" t="s">
        <v>239</v>
      </c>
      <c r="EG66" s="1330" t="s">
        <v>1275</v>
      </c>
      <c r="EH66" s="1330" t="s">
        <v>239</v>
      </c>
      <c r="EI66" s="1330" t="s">
        <v>1275</v>
      </c>
      <c r="EJ66" s="1330" t="s">
        <v>239</v>
      </c>
      <c r="EK66" s="1330" t="s">
        <v>1275</v>
      </c>
      <c r="EL66" s="1330" t="s">
        <v>239</v>
      </c>
      <c r="EM66" s="1330" t="s">
        <v>1275</v>
      </c>
      <c r="EN66" s="1330" t="s">
        <v>239</v>
      </c>
      <c r="EO66" s="1330" t="s">
        <v>1275</v>
      </c>
      <c r="EP66" s="1330" t="s">
        <v>239</v>
      </c>
      <c r="EQ66" s="1330" t="s">
        <v>1275</v>
      </c>
      <c r="ER66" s="1330" t="s">
        <v>239</v>
      </c>
      <c r="ES66" s="1330" t="s">
        <v>1275</v>
      </c>
      <c r="ET66" s="1330" t="s">
        <v>239</v>
      </c>
      <c r="EU66" s="1330" t="s">
        <v>1275</v>
      </c>
      <c r="EV66" s="1330" t="s">
        <v>239</v>
      </c>
      <c r="EW66" s="1330" t="s">
        <v>1275</v>
      </c>
      <c r="EX66" s="1330" t="s">
        <v>239</v>
      </c>
      <c r="EY66" s="1330" t="s">
        <v>1275</v>
      </c>
      <c r="EZ66" s="1330" t="s">
        <v>239</v>
      </c>
      <c r="FA66" s="1330" t="s">
        <v>1275</v>
      </c>
      <c r="FB66" s="1330" t="s">
        <v>239</v>
      </c>
      <c r="FC66" s="1330" t="s">
        <v>1275</v>
      </c>
      <c r="FD66" s="1330" t="s">
        <v>239</v>
      </c>
      <c r="FE66" s="1330" t="s">
        <v>1275</v>
      </c>
      <c r="FF66" s="1330" t="s">
        <v>239</v>
      </c>
      <c r="FG66" s="1330" t="s">
        <v>1275</v>
      </c>
      <c r="FH66" s="1330" t="s">
        <v>239</v>
      </c>
      <c r="FI66" s="1330" t="s">
        <v>1275</v>
      </c>
      <c r="FJ66" s="1330" t="s">
        <v>239</v>
      </c>
      <c r="FK66" s="1330" t="s">
        <v>1275</v>
      </c>
      <c r="FL66" s="1330" t="s">
        <v>239</v>
      </c>
      <c r="FM66" s="1330" t="s">
        <v>1275</v>
      </c>
      <c r="FN66" s="1330" t="s">
        <v>239</v>
      </c>
      <c r="FO66" s="1330" t="s">
        <v>1275</v>
      </c>
      <c r="FP66" s="1330" t="s">
        <v>239</v>
      </c>
      <c r="FQ66" s="1330" t="s">
        <v>1275</v>
      </c>
      <c r="FR66" s="1330" t="s">
        <v>239</v>
      </c>
      <c r="FS66" s="1330" t="s">
        <v>1275</v>
      </c>
      <c r="FT66" s="1330" t="s">
        <v>239</v>
      </c>
      <c r="FU66" s="1330" t="s">
        <v>1275</v>
      </c>
      <c r="FV66" s="1330" t="s">
        <v>239</v>
      </c>
      <c r="FW66" s="1330" t="s">
        <v>1275</v>
      </c>
      <c r="FX66" s="1330" t="s">
        <v>239</v>
      </c>
      <c r="FY66" s="1330" t="s">
        <v>1275</v>
      </c>
      <c r="FZ66" s="1330" t="s">
        <v>239</v>
      </c>
      <c r="GA66" s="1330" t="s">
        <v>1275</v>
      </c>
      <c r="GB66" s="1330" t="s">
        <v>239</v>
      </c>
      <c r="GC66" s="1330" t="s">
        <v>1275</v>
      </c>
      <c r="GD66" s="1330" t="s">
        <v>239</v>
      </c>
      <c r="GE66" s="1330" t="s">
        <v>1275</v>
      </c>
      <c r="GF66" s="1330" t="s">
        <v>239</v>
      </c>
      <c r="GG66" s="1330" t="s">
        <v>1275</v>
      </c>
      <c r="GH66" s="1330" t="s">
        <v>239</v>
      </c>
      <c r="GI66" s="1330" t="s">
        <v>1275</v>
      </c>
      <c r="GJ66" s="1330" t="s">
        <v>239</v>
      </c>
      <c r="GK66" s="1330" t="s">
        <v>1275</v>
      </c>
      <c r="GL66" s="1330" t="s">
        <v>239</v>
      </c>
      <c r="GM66" s="1330" t="s">
        <v>1275</v>
      </c>
      <c r="GN66" s="1330" t="s">
        <v>239</v>
      </c>
      <c r="GO66" s="1330" t="s">
        <v>1275</v>
      </c>
      <c r="GP66" s="1330" t="s">
        <v>239</v>
      </c>
      <c r="GQ66" s="1330" t="s">
        <v>1275</v>
      </c>
      <c r="GR66" s="1330" t="s">
        <v>239</v>
      </c>
      <c r="GS66" s="1330" t="s">
        <v>1275</v>
      </c>
      <c r="GT66" s="1330" t="s">
        <v>239</v>
      </c>
      <c r="GU66" s="1330" t="s">
        <v>1275</v>
      </c>
      <c r="GV66" s="1330" t="s">
        <v>239</v>
      </c>
      <c r="GW66" s="1330" t="s">
        <v>1275</v>
      </c>
      <c r="GX66" s="1330" t="s">
        <v>239</v>
      </c>
      <c r="GY66" s="1330" t="s">
        <v>1275</v>
      </c>
      <c r="GZ66" s="1330" t="s">
        <v>239</v>
      </c>
    </row>
    <row r="67" spans="3:208" hidden="1">
      <c r="C67" s="1321" t="str">
        <f t="array" ref="C67">IF( ISERROR(INDEX($A$4:$A$60,SMALL(IF($C$4:$C$60&lt;&gt;0,ROW($C$4:$C$60)-4),ROW(A1)))),"",INDEX($A$4:$A$60,SMALL(IF($C$4:$C$60&lt;&gt;0,ROW($C$5:$C$60)-4),ROW(A1))))</f>
        <v>SL20T</v>
      </c>
      <c r="D67" s="1321">
        <f t="array" ref="D67">IF(ISERROR(INDEX($C$4:$C$60,SMALL(IF($C$4:$C$60&lt;&gt;0,ROW($C$4:$C$60)-3),ROW(D1)))),"",INDEX($C$4:$C$60,SMALL(IF($C$4:$C$60&lt;&gt;0,ROW($C$4:$C$60)-3),ROW(D1))))</f>
        <v>25</v>
      </c>
      <c r="E67" s="1321" t="str">
        <f t="array" ref="E67">IF( ISERROR(INDEX($A$4:$A$60,SMALL(IF($E$4:$E$60&lt;&gt;0,ROW($E$4:$E$60)-4),ROW(E1)))),"",INDEX($A$4:$A$60,SMALL(IF($E$4:$E$60&lt;&gt;0,ROW($E$5:$E$60)-4),ROW(E1))))</f>
        <v>SL20T</v>
      </c>
      <c r="F67" s="1321">
        <f t="array" ref="F67">IF(ISERROR(INDEX($E$4:$E$60,SMALL(IF($E$4:$E$60&lt;&gt;0,ROW($E$4:$E$60)-3),ROW(F1)))),"",INDEX($E$4:$E$60,SMALL(IF($E$4:$E$60&lt;&gt;0,ROW($E$4:$E$60)-3),ROW(F1))))</f>
        <v>25</v>
      </c>
      <c r="G67" s="1321" t="str">
        <f t="array" ref="G67">IF( ISERROR(INDEX($A$4:$A$60,SMALL(IF($G$4:$G$60&lt;&gt;0,ROW($G$4:$G$60)-4),ROW(G1)))),"",INDEX($A$4:$A$60,SMALL(IF($G$4:$G$60&lt;&gt;0,ROW($G$5:$G$60)-4),ROW(G1))))</f>
        <v>SL20T</v>
      </c>
      <c r="H67" s="1321">
        <f t="array" ref="H67">IF(ISERROR(INDEX($E$4:$E$60,SMALL(IF($G$4:$G$60&lt;&gt;0,ROW($G$4:$G$60)-3),ROW(H1)))),"",INDEX($G$4:$G$60,SMALL(IF($G$4:$G$60&lt;&gt;0,ROW($G$4:$G$60)-3),ROW(H1))))</f>
        <v>-20</v>
      </c>
      <c r="I67" s="1321" t="str">
        <f t="array" ref="I67">IF( ISERROR(INDEX($A$4:$A$60,SMALL(IF($I$4:$I$60&lt;&gt;0,ROW($I$4:$I$60)-4),ROW(I1)))),"",INDEX($A$4:$A$60,SMALL(IF($I$4:$I$60&lt;&gt;0,ROW($I$5:$I$60)-4),ROW(I1))))</f>
        <v/>
      </c>
      <c r="J67" s="1321" t="str">
        <f t="array" ref="J67">IF(ISERROR(INDEX($I$4:$I$60,SMALL(IF($I$4:$I$60&lt;&gt;0,ROW($I$4:$I$60)-3),ROW(J1)))),"",INDEX($I$4:$I$60,SMALL(IF($I$4:$I$60&lt;&gt;0,ROW($I$4:$I$60)-3),ROW(J1))))</f>
        <v/>
      </c>
      <c r="K67" s="1321" t="str">
        <f t="array" ref="K67">IF( ISERROR(INDEX($A$4:$A$60,SMALL(IF($K$4:$K$60&lt;&gt;0,ROW($K$4:$K$60)-4),ROW(K1)))),"",INDEX($A$4:$A$60,SMALL(IF($K$4:$K$60&lt;&gt;0,ROW($K$5:$K$60)-4),ROW(K1))))</f>
        <v/>
      </c>
      <c r="L67" s="1321" t="str">
        <f t="array" ref="L67">IF(ISERROR(INDEX($K$4:$K$60,SMALL(IF($K$4:$K$60&lt;&gt;0,ROW($K$4:$K$60)-3),ROW(L1)))),"",INDEX($K$4:$K$60,SMALL(IF($K$4:$K$60&lt;&gt;0,ROW($K$4:$K$60)-3),ROW(L1))))</f>
        <v/>
      </c>
      <c r="M67" s="1321" t="str">
        <f t="array" ref="M67">IF( ISERROR(INDEX($A$4:$A$60,SMALL(IF($M$4:$M$60&lt;&gt;0,ROW($M$4:$M$60)-4),ROW(M1)))),"",INDEX($A$4:$A$60,SMALL(IF($M$4:$M$60&lt;&gt;0,ROW($M$5:$M$60)-4),ROW(M1))))</f>
        <v/>
      </c>
      <c r="N67" s="1321" t="str">
        <f t="array" ref="N67">IF(ISERROR(INDEX($M$4:$M$60,SMALL(IF($M$4:$M$60&lt;&gt;0,ROW($M$4:$M$60)-3),ROW(N1)))),"",INDEX($M$4:$M$60,SMALL(IF($M$4:$M$60&lt;&gt;0,ROW($M$4:$M$60)-3),ROW(N1))))</f>
        <v/>
      </c>
      <c r="O67" s="1321" t="str">
        <f t="array" ref="O67">IF( ISERROR(INDEX($A$4:$A$60,SMALL(IF($O$4:$O$60&lt;&gt;0,ROW($O$4:$O$60)-4),ROW(O1)))),"",INDEX($A$4:$A$60,SMALL(IF($O$4:$O$60&lt;&gt;0,ROW($O$5:$O$60)-4),ROW(O1))))</f>
        <v/>
      </c>
      <c r="P67" s="1321" t="str">
        <f t="array" ref="P67">IF(ISERROR(INDEX($O$4:$O$60,SMALL(IF($O$4:$O$60&lt;&gt;0,ROW($O$4:$O$60)-3),ROW(P1)))),"",INDEX($O$4:$O$60,SMALL(IF($O$4:$O$60&lt;&gt;0,ROW($O$4:$O$60)-3),ROW(P1))))</f>
        <v/>
      </c>
      <c r="Q67" s="1321" t="str">
        <f t="array" ref="Q67">IF( ISERROR(INDEX($A$4:$A$60,SMALL(IF($Q$4:$Q$60&lt;&gt;0,ROW($Q$4:$Q$60)-4),ROW(Q1)))),"",INDEX($A$4:$A$60,SMALL(IF($Q$4:$Q$60&lt;&gt;0,ROW($Q$5:$Q$60)-4),ROW(Q1))))</f>
        <v/>
      </c>
      <c r="R67" s="1321" t="str">
        <f t="array" ref="R67">IF(ISERROR(INDEX($Q$4:$Q$60,SMALL(IF($Q$4:$Q$60&lt;&gt;0,ROW($Q$4:$Q$60)-3),ROW(R1)))),"",INDEX($Q$4:$Q$60,SMALL(IF($Q$4:$Q$60&lt;&gt;0,ROW($Q$4:$Q$60)-3),ROW(R1))))</f>
        <v/>
      </c>
      <c r="S67" s="1321" t="str">
        <f t="array" ref="S67">IF( ISERROR(INDEX($A$4:$A$60,SMALL(IF($S$4:$S$60&lt;&gt;0,ROW($S$4:$S$60)-4),ROW(S1)))),"",INDEX($A$4:$A$60,SMALL(IF($S$4:$S$60&lt;&gt;0,ROW($S$5:$S$60)-4),ROW(S1))))</f>
        <v/>
      </c>
      <c r="T67" s="1321" t="str">
        <f t="array" ref="T67">IF(ISERROR(INDEX($S$4:$S$60,SMALL(IF($S$4:$S$60&lt;&gt;0,ROW($S$4:$S$60)-3),ROW(T1)))),"",INDEX($S$4:$S$60,SMALL(IF($S$4:$S$60&lt;&gt;0,ROW($S$4:$S$60)-3),ROW(T1))))</f>
        <v/>
      </c>
      <c r="U67" s="1321" t="str">
        <f t="array" ref="U67">IF( ISERROR(INDEX($A$4:$A$60,SMALL(IF($U$4:$U$60&lt;&gt;0,ROW($U$4:$U$60)-4),ROW(U1)))),"",INDEX($A$4:$A$60,SMALL(IF($U$4:$U$60&lt;&gt;0,ROW($U$5:$U$60)-4),ROW(U1))))</f>
        <v/>
      </c>
      <c r="V67" s="1321" t="str">
        <f t="array" ref="V67">IF(ISERROR(INDEX($U$4:$U$60,SMALL(IF($U$4:$U$60&lt;&gt;0,ROW($U$4:$U$60)-3),ROW(V1)))),"",INDEX($U$4:$U$60,SMALL(IF($U$4:$U$60&lt;&gt;0,ROW($U$4:$U$60)-3),ROW(V1))))</f>
        <v/>
      </c>
      <c r="W67" s="1321" t="str">
        <f t="array" ref="W67">IF( ISERROR(INDEX($A$4:$A$60,SMALL(IF($W$4:$W$60&lt;&gt;0,ROW($W$4:$W$60)-4),ROW(W1)))),"",INDEX($A$4:$A$60,SMALL(IF($W$4:$W$60&lt;&gt;0,ROW($W$5:$W$60)-4),ROW(W1))))</f>
        <v/>
      </c>
      <c r="X67" s="1321" t="str">
        <f t="array" ref="X67">IF(ISERROR(INDEX($W$4:$W$60,SMALL(IF($W$4:$W$60&lt;&gt;0,ROW($W$4:$W$60)-3),ROW(X1)))),"",INDEX($W$4:$W$60,SMALL(IF($W$4:$W$60&lt;&gt;0,ROW($W$4:$W$60)-3),ROW(X1))))</f>
        <v/>
      </c>
      <c r="Y67" s="1321" t="str">
        <f t="array" ref="Y67">IF( ISERROR(INDEX($A$4:$A$60,SMALL(IF($Y$4:$Y$60&lt;&gt;0,ROW($Y$4:$Y$60)-4),ROW(Y1)))),"",INDEX($A$4:$A$60,SMALL(IF($Y$4:$Y$60&lt;&gt;0,ROW($Y$5:$Y$60)-4),ROW(Y1))))</f>
        <v/>
      </c>
      <c r="Z67" s="1321" t="str">
        <f t="array" ref="Z67">IF(ISERROR(INDEX($Y$4:$Y$60,SMALL(IF($Y$4:$Y$60&lt;&gt;0,ROW($Y$4:$Y$60)-3),ROW(Z1)))),"",INDEX($Y$4:$Y$60,SMALL(IF($Y$4:$Y$60&lt;&gt;0,ROW($Y$4:$Y$60)-3),ROW(Z1))))</f>
        <v/>
      </c>
      <c r="AA67" s="1321" t="str">
        <f t="array" ref="AA67">IF( ISERROR(INDEX($A$4:$A$60,SMALL(IF($AA$4:$AA$60&lt;&gt;0,ROW($AA$4:$AA$60)-4),ROW(AA1)))),"",INDEX($A$4:$A$60,SMALL(IF($AA$4:$AA$60&lt;&gt;0,ROW($AA$5:$AA$60)-4),ROW(AA1))))</f>
        <v/>
      </c>
      <c r="AB67" s="1321" t="str">
        <f t="array" ref="AB67">IF(ISERROR(INDEX($AA$4:$AA$60,SMALL(IF($AA$4:$AA$60&lt;&gt;0,ROW($AA$4:$AA$60)-3),ROW(AB1)))),"",INDEX($AA$4:$AA$60,SMALL(IF($AA$4:$AA$60&lt;&gt;0,ROW($AA$4:$AA$60)-3),ROW(AB1))))</f>
        <v/>
      </c>
      <c r="AC67" s="1321" t="str">
        <f t="array" ref="AC67">IF( ISERROR(INDEX($A$4:$A$60,SMALL(IF($AC$4:$AC$60&lt;&gt;0,ROW($AC$4:$AC$60)-4),ROW(AC1)))),"",INDEX($A$4:$A$60,SMALL(IF($AC$4:$AC$60&lt;&gt;0,ROW($AC$5:$AC$60)-4),ROW(AC1))))</f>
        <v/>
      </c>
      <c r="AD67" s="1321" t="str">
        <f t="array" ref="AD67">IF(ISERROR(INDEX($AC$4:$AC$60,SMALL(IF($AC$4:$AC$60&lt;&gt;0,ROW($AC$4:$AC$60)-3),ROW(AD1)))),"",INDEX($AC$4:$AC$60,SMALL(IF($AC$4:$AC$60&lt;&gt;0,ROW($AC$4:$AC$60)-3),ROW(AD1))))</f>
        <v/>
      </c>
      <c r="AE67" s="1321" t="str">
        <f t="array" ref="AE67">IF( ISERROR(INDEX($A$4:$A$60,SMALL(IF($AE$4:$AE$60&lt;&gt;0,ROW($AE$4:$AE$60)-4),ROW(AE1)))),"",INDEX($A$4:$A$60,SMALL(IF($AE$4:$AE$60&lt;&gt;0,ROW($AE$5:$AE$60)-4),ROW(AE1))))</f>
        <v/>
      </c>
      <c r="AF67" s="1321" t="str">
        <f t="array" ref="AF67">IF(ISERROR(INDEX($AE$4:$AE$60,SMALL(IF($AE$4:$AE$60&lt;&gt;0,ROW($AE$4:$AE$60)-3),ROW(AF1)))),"",INDEX($AE$4:$AE$60,SMALL(IF($AE$4:$AE$60&lt;&gt;0,ROW($AE$4:$AE$60)-3),ROW(AF1))))</f>
        <v/>
      </c>
      <c r="AG67" s="1321" t="str">
        <f t="array" ref="AG67">IF( ISERROR(INDEX($A$4:$A$60,SMALL(IF($AG$4:$AG$60&lt;&gt;0,ROW($AG$4:$AG$60)-4),ROW(AG1)))),"",INDEX($A$4:$A$60,SMALL(IF($AG$4:$AG$60&lt;&gt;0,ROW($AG$5:$AG$60)-4),ROW(AG1))))</f>
        <v/>
      </c>
      <c r="AH67" s="1321" t="str">
        <f t="array" ref="AH67">IF(ISERROR(INDEX($AG$4:$AG$60,SMALL(IF($AG$4:$AG$60&lt;&gt;0,ROW($AG$4:$AG$60)-3),ROW(AH1)))),"",INDEX($AG$4:$AG$60,SMALL(IF($AG$4:$AG$60&lt;&gt;0,ROW($AG$4:$AG$60)-3),ROW(AH1))))</f>
        <v/>
      </c>
      <c r="AI67" s="1321" t="str">
        <f t="array" ref="AI67">IF( ISERROR(INDEX($A$4:$A$60,SMALL(IF($AI$4:$AI$60&lt;&gt;0,ROW($AI$4:$AI$60)-4),ROW(AI1)))),"",INDEX($A$4:$A$60,SMALL(IF($AI$4:$AI$60&lt;&gt;0,ROW($AI$5:$AI$60)-4),ROW(AI1))))</f>
        <v/>
      </c>
      <c r="AJ67" s="1321" t="str">
        <f t="array" ref="AJ67">IF(ISERROR(INDEX($E$4:$E$60,SMALL(IF($AI$4:$AI$60&lt;&gt;0,ROW($AI$4:$AI$60)-3),ROW(AJ1)))),"",INDEX($AI$4:$AI$60,SMALL(IF($AI$4:$AI$60&lt;&gt;0,ROW($AI$4:$AI$60)-3),ROW(AJ1))))</f>
        <v/>
      </c>
      <c r="AK67" s="1321" t="str">
        <f t="array" ref="AK67">IF( ISERROR(INDEX($A$4:$A$60,SMALL(IF($AK$4:$AK$60&lt;&gt;0,ROW($AK$4:$AK$60)-4),ROW(AK1)))),"",INDEX($A$4:$A$60,SMALL(IF($AK$4:$AK$60&lt;&gt;0,ROW($AK$5:$AK$60)-4),ROW(AK1))))</f>
        <v/>
      </c>
      <c r="AL67" s="1321" t="str">
        <f t="array" ref="AL67">IF(ISERROR(INDEX($AK$4:$AK$60,SMALL(IF($AK$4:$AK$60&lt;&gt;0,ROW($AK$4:$AK$60)-3),ROW(AL1)))),"",INDEX($AK$4:$AK$60,SMALL(IF($AK$4:$AK$60&lt;&gt;0,ROW($AK$4:$AK$60)-3),ROW(AL1))))</f>
        <v/>
      </c>
      <c r="AM67" s="1321" t="str">
        <f t="array" ref="AM67">IF( ISERROR(INDEX($A$4:$A$60,SMALL(IF($AM$4:$AM$60&lt;&gt;0,ROW($AM$4:$AM$60)-4),ROW(AM1)))),"",INDEX($A$4:$A$60,SMALL(IF($AM$4:$AM$60&lt;&gt;0,ROW($AM$5:$AM$60)-4),ROW(AM1))))</f>
        <v/>
      </c>
      <c r="AN67" s="1321" t="str">
        <f t="array" ref="AN67">IF(ISERROR(INDEX($AM$4:$AM$60,SMALL(IF($AM$4:$AM$60&lt;&gt;0,ROW($AM$4:$AM$60)-3),ROW(AN1)))),"",INDEX($AM$4:$AM$60,SMALL(IF($AM$4:$AM$60&lt;&gt;0,ROW($AM$4:$AM$60)-3),ROW(AN1))))</f>
        <v/>
      </c>
      <c r="AO67" s="1321" t="str">
        <f t="array" ref="AO67">IF( ISERROR(INDEX($A$4:$A$60,SMALL(IF($AO$4:$AO$60&lt;&gt;0,ROW($AO$4:$AO$60)-4),ROW(AO1)))),"",INDEX($A$4:$A$60,SMALL(IF($AO$4:$AO$60&lt;&gt;0,ROW($AO$5:$AO$60)-4),ROW(AO1))))</f>
        <v/>
      </c>
      <c r="AP67" s="1321" t="str">
        <f t="array" ref="AP67">IF(ISERROR(INDEX($AO$4:$AO$60,SMALL(IF($AO$4:$AO$60&lt;&gt;0,ROW($AO$4:$AO$60)-3),ROW(AP1)))),"",INDEX($AO$4:$AO$60,SMALL(IF($AO$4:$AO$60&lt;&gt;0,ROW($AO$4:$AO$60)-3),ROW(AP1))))</f>
        <v/>
      </c>
      <c r="AQ67" s="1321" t="str">
        <f t="array" ref="AQ67">IF( ISERROR(INDEX($A$4:$A$60,SMALL(IF($AQ$4:$AQ$60&lt;&gt;0,ROW($AQ$4:$AQ$60)-4),ROW(AQ1)))),"",INDEX($A$4:$A$60,SMALL(IF($AQ$4:$AQ$60&lt;&gt;0,ROW($AQ$5:$AQ$60)-4),ROW(AQ1))))</f>
        <v/>
      </c>
      <c r="AR67" s="1321" t="str">
        <f t="array" ref="AR67">IF(ISERROR(INDEX($AQ$4:$AQ$60,SMALL(IF($AQ$4:$AQ$60&lt;&gt;0,ROW($AQ$4:$AQ$60)-3),ROW(AR1)))),"",INDEX($AQ$4:$AQ$60,SMALL(IF($AQ$4:$AQ$60&lt;&gt;0,ROW($AQ$4:$AQ$60)-3),ROW(AR1))))</f>
        <v/>
      </c>
      <c r="AS67" s="1321" t="str">
        <f t="array" ref="AS67">IF( ISERROR(INDEX($A$4:$A$60,SMALL(IF($AS$4:$AS$60&lt;&gt;0,ROW($AS$4:$AS$60)-4),ROW(AS1)))),"",INDEX($A$4:$A$60,SMALL(IF($AS$4:$AS$60&lt;&gt;0,ROW($AS$5:$AS$60)-4),ROW(AS1))))</f>
        <v/>
      </c>
      <c r="AT67" s="1321" t="str">
        <f t="array" ref="AT67">IF(ISERROR(INDEX($AS$4:$AS$60,SMALL(IF($AS$4:$AS$60&lt;&gt;0,ROW($AS$4:$AS$60)-3),ROW(AT1)))),"",INDEX($AS$4:$AS$60,SMALL(IF($AS$4:$AS$60&lt;&gt;0,ROW($AS$4:$AS$60)-3),ROW(AT1))))</f>
        <v/>
      </c>
      <c r="AU67" s="1321" t="str">
        <f t="array" ref="AU67">IF( ISERROR(INDEX($A$4:$A$60,SMALL(IF($AU$4:$AU$60&lt;&gt;0,ROW($AU$4:$AU$60)-4),ROW(AU1)))),"",INDEX($A$4:$A$60,SMALL(IF($AU$4:$AU$60&lt;&gt;0,ROW($AU$5:$AU$60)-4),ROW(AU1))))</f>
        <v/>
      </c>
      <c r="AV67" s="1321" t="str">
        <f t="array" ref="AV67">IF(ISERROR(INDEX($AU$4:$AU$60,SMALL(IF($AU$4:$AU$60&lt;&gt;0,ROW($AU$4:$AU$60)-3),ROW(AV1)))),"",INDEX($AU$4:$AU$60,SMALL(IF($AU$4:$AU$60&lt;&gt;0,ROW($AU$4:$AU$60)-3),ROW(AV1))))</f>
        <v/>
      </c>
      <c r="AW67" s="1321" t="str">
        <f t="array" ref="AW67">IF( ISERROR(INDEX($A$4:$A$60,SMALL(IF($AW$4:$AW$60&lt;&gt;0,ROW($AW$4:$AW$60)-4),ROW(AW1)))),"",INDEX($A$4:$A$60,SMALL(IF($AW$4:$AW$60&lt;&gt;0,ROW($AW$5:$AW$60)-4),ROW(AW1))))</f>
        <v/>
      </c>
      <c r="AX67" s="1321" t="str">
        <f t="array" ref="AX67">IF(ISERROR(INDEX($AW$4:$AW$60,SMALL(IF($AW$4:$AW$60&lt;&gt;0,ROW($AW$4:$AW$60)-3),ROW(AX1)))),"",INDEX($AW$4:$AW$60,SMALL(IF($AW$4:$AW$60&lt;&gt;0,ROW($AW$4:$AW$60)-3),ROW(AX1))))</f>
        <v/>
      </c>
      <c r="AY67" s="1321" t="str">
        <f t="array" ref="AY67">IF( ISERROR(INDEX($A$4:$A$60,SMALL(IF($AY$4:$AY$60&lt;&gt;0,ROW($AY$4:$AY$60)-4),ROW(AY1)))),"",INDEX($A$4:$A$60,SMALL(IF($AY$4:$AY$60&lt;&gt;0,ROW($AY$5:$AY$60)-4),ROW(AY1))))</f>
        <v/>
      </c>
      <c r="AZ67" s="1321" t="str">
        <f t="array" ref="AZ67">IF(ISERROR(INDEX($AY$4:$AY$60,SMALL(IF($AY$4:$AY$60&lt;&gt;0,ROW($AY$4:$AY$60)-3),ROW(AZ1)))),"",INDEX($AY$4:$AY$60,SMALL(IF($AY$4:$AY$60&lt;&gt;0,ROW($AY$4:$AY$60)-3),ROW(AZ1))))</f>
        <v/>
      </c>
      <c r="BA67" s="1321" t="str">
        <f t="array" ref="BA67">IF( ISERROR(INDEX($A$4:$A$60,SMALL(IF($BA$4:$BA$60&lt;&gt;0,ROW($BA$4:$BA$60)-4),ROW(BA1)))),"",INDEX($A$4:$A$60,SMALL(IF($BA$4:$BA$60&lt;&gt;0,ROW($BA$5:$BA$60)-4),ROW(BA1))))</f>
        <v/>
      </c>
      <c r="BB67" s="1321" t="str">
        <f t="array" ref="BB67">IF(ISERROR(INDEX($BA$4:$BA$60,SMALL(IF($BA$4:$BA$60&lt;&gt;0,ROW($BA$4:$BA$60)-3),ROW(BB1)))),"",INDEX($BA$4:$BA$60,SMALL(IF($BA$4:$BA$60&lt;&gt;0,ROW($BA$4:$BA$60)-3),ROW(BB1))))</f>
        <v/>
      </c>
      <c r="BC67" s="1321" t="str">
        <f t="array" ref="BC67">IF( ISERROR(INDEX($A$4:$A$60,SMALL(IF($BC$4:$BC$60&lt;&gt;0,ROW($BC$4:$BC$60)-4),ROW(BC1)))),"",INDEX($A$4:$A$60,SMALL(IF($BC$4:$BC$60&lt;&gt;0,ROW($BC$5:$BC$60)-4),ROW(BC1))))</f>
        <v/>
      </c>
      <c r="BD67" s="1321" t="str">
        <f t="array" ref="BD67">IF(ISERROR(INDEX($BC$4:$BC$60,SMALL(IF($BC$4:$BC$60&lt;&gt;0,ROW($BC$4:$BC$60)-3),ROW(BD1)))),"",INDEX($BC$4:$BC$60,SMALL(IF($BC$4:$BC$60&lt;&gt;0,ROW($BC$4:$BC$60)-3),ROW(BD1))))</f>
        <v/>
      </c>
      <c r="BE67" s="1321" t="str">
        <f t="array" ref="BE67">IF( ISERROR(INDEX($A$4:$A$60,SMALL(IF($BE$4:$BE$60&lt;&gt;0,ROW($BE$4:$BE$60)-4),ROW(BE1)))),"",INDEX($A$4:$A$60,SMALL(IF($BE$4:$BE$60&lt;&gt;0,ROW($BE$5:$BE$60)-4),ROW(BE1))))</f>
        <v/>
      </c>
      <c r="BF67" s="1321" t="str">
        <f t="array" ref="BF67">IF(ISERROR(INDEX($BE$4:$BE$60,SMALL(IF($BE$4:$BE$60&lt;&gt;0,ROW($BE$4:$BE$60)-3),ROW(BF1)))),"",INDEX($BE$4:$BE$60,SMALL(IF($BE$4:$BE$60&lt;&gt;0,ROW($BE$4:$BE$60)-3),ROW(BF1))))</f>
        <v/>
      </c>
      <c r="BG67" s="1321" t="str">
        <f t="array" ref="BG67">IF( ISERROR(INDEX($A$4:$A$60,SMALL(IF($BG$4:$BG$60&lt;&gt;0,ROW($BG$4:$BG$60)-4),ROW(BG1)))),"",INDEX($A$4:$A$60,SMALL(IF($BG$4:$BG$60&lt;&gt;0,ROW($BG$5:$BG$60)-4),ROW(BG1))))</f>
        <v/>
      </c>
      <c r="BH67" s="1321" t="str">
        <f t="array" ref="BH67">IF(ISERROR(INDEX($BG$4:$BG$60,SMALL(IF($BG$4:$BG$60&lt;&gt;0,ROW($BG$4:$BG$60)-3),ROW(BH1)))),"",INDEX($BG$4:$BG$60,SMALL(IF($BG$4:$BG$60&lt;&gt;0,ROW($BG$4:$BG$60)-3),ROW(BH1))))</f>
        <v/>
      </c>
      <c r="BI67" s="1321" t="str">
        <f t="array" ref="BI67">IF( ISERROR(INDEX($A$4:$A$60,SMALL(IF($BI$4:$BI$60&lt;&gt;0,ROW($BI$4:$BI$60)-4),ROW(BI1)))),"",INDEX($A$4:$A$60,SMALL(IF($BI$4:$BI$60&lt;&gt;0,ROW($BI$5:$BI$60)-4),ROW(BI1))))</f>
        <v/>
      </c>
      <c r="BJ67" s="1321" t="str">
        <f t="array" ref="BJ67">IF(ISERROR(INDEX($BI$4:$BI$60,SMALL(IF($BI$4:$BI$60&lt;&gt;0,ROW($BI$4:$BI$60)-3),ROW(BJ1)))),"",INDEX($BI$4:$BI$60,SMALL(IF($BI$4:$BI$60&lt;&gt;0,ROW($BI$4:$BI$60)-3),ROW(BJ1))))</f>
        <v/>
      </c>
      <c r="BK67" s="1321" t="str">
        <f t="array" ref="BK67">IF( ISERROR(INDEX($A$4:$A$60,SMALL(IF($BK$4:$BK$60&lt;&gt;0,ROW($BK$4:$BK$60)-4),ROW(BK1)))),"",INDEX($A$4:$A$60,SMALL(IF($BK$4:$BK$60&lt;&gt;0,ROW($BK$5:$BK$60)-4),ROW(BK1))))</f>
        <v/>
      </c>
      <c r="BL67" s="1321" t="str">
        <f t="array" ref="BL67">IF(ISERROR(INDEX($BK$4:$BK$60,SMALL(IF($BK$4:$BK$60&lt;&gt;0,ROW($BK$4:$BK$60)-3),ROW(BL1)))),"",INDEX($BK$4:$BK$60,SMALL(IF($BK$4:$BK$60&lt;&gt;0,ROW($BK$4:$BK$60)-3),ROW(BL1))))</f>
        <v/>
      </c>
      <c r="BM67" s="1321" t="str">
        <f t="array" ref="BM67">IF( ISERROR(INDEX($A$4:$A$60,SMALL(IF($BM$4:$BM$60&lt;&gt;0,ROW($BM$4:$BM$60)-4),ROW(BM1)))),"",INDEX($A$4:$A$60,SMALL(IF($BM$4:$BM$60&lt;&gt;0,ROW($BM$5:$BM$60)-4),ROW(BM1))))</f>
        <v/>
      </c>
      <c r="BN67" s="1321" t="str">
        <f t="array" ref="BN67">IF(ISERROR(INDEX($BM$4:$BM$60,SMALL(IF($BM$4:$BM$60&lt;&gt;0,ROW($BM$4:$BM$60)-3),ROW(BN1)))),"",INDEX($BM$4:$BM$60,SMALL(IF($BM$4:$BM$60&lt;&gt;0,ROW($BM$4:$BM$60)-3),ROW(BN1))))</f>
        <v/>
      </c>
      <c r="BO67" s="1321" t="str">
        <f t="array" ref="BO67">IF( ISERROR(INDEX($A$4:$A$60,SMALL(IF($BO$4:$BO$60&lt;&gt;0,ROW($BO$4:$BO$60)-4),ROW(BO1)))),"",INDEX($A$4:$A$60,SMALL(IF($BO$4:$BO$60&lt;&gt;0,ROW($BO$5:$BO$60)-4),ROW(BO1))))</f>
        <v/>
      </c>
      <c r="BP67" s="1321" t="str">
        <f t="array" ref="BP67">IF(ISERROR(INDEX($BO$4:$BO$60,SMALL(IF($BO$4:$BO$60&lt;&gt;0,ROW($BO$4:$BO$60)-3),ROW(BP1)))),"",INDEX($BO$4:$BO$60,SMALL(IF($BO$4:$BO$60&lt;&gt;0,ROW($BO$4:$BO$60)-3),ROW(BP1))))</f>
        <v/>
      </c>
      <c r="BQ67" s="1321" t="str">
        <f t="array" ref="BQ67">IF( ISERROR(INDEX($A$4:$A$60,SMALL(IF($BQ$4:$BQ$60&lt;&gt;0,ROW($BQ$4:$BQ$60)-4),ROW(BQ1)))),"",INDEX($A$4:$A$60,SMALL(IF($BQ$4:$BQ$60&lt;&gt;0,ROW($BQ$5:$BQ$60)-4),ROW(BQ1))))</f>
        <v/>
      </c>
      <c r="BR67" s="1321" t="str">
        <f t="array" ref="BR67">IF(ISERROR(INDEX($BQ$4:$BQ$60,SMALL(IF($BQ$4:$BQ$60&lt;&gt;0,ROW($BQ$4:$BQ$60)-3),ROW(BR1)))),"",INDEX($BQ$4:$BQ$60,SMALL(IF($BQ$4:$BQ$60&lt;&gt;0,ROW($BQ$4:$BQ$60)-3),ROW(BR1))))</f>
        <v/>
      </c>
      <c r="BS67" s="1321" t="str">
        <f t="array" ref="BS67">IF( ISERROR(INDEX($A$4:$A$60,SMALL(IF($BS$4:$BS$60&lt;&gt;0,ROW($BS$4:$BS$60)-4),ROW(BS1)))),"",INDEX($A$4:$A$60,SMALL(IF($BS$4:$BS$60&lt;&gt;0,ROW($BS$5:$BS$60)-4),ROW(BS1))))</f>
        <v/>
      </c>
      <c r="BT67" s="1321" t="str">
        <f t="array" ref="BT67">IF(ISERROR(INDEX($BS$4:$BS$60,SMALL(IF($BS$4:$BS$60&lt;&gt;0,ROW($BS$4:$BS$60)-3),ROW(BT1)))),"",INDEX($BS$4:$BS$60,SMALL(IF($BS$4:$BS$60&lt;&gt;0,ROW($BS$4:$BS$60)-3),ROW(BT1))))</f>
        <v/>
      </c>
      <c r="BU67" s="1321" t="str">
        <f t="array" ref="BU67">IF( ISERROR(INDEX($A$4:$A$60,SMALL(IF($BU$4:$BU$60&lt;&gt;0,ROW($BU$4:$BU$60)-4),ROW(BU1)))),"",INDEX($A$4:$A$60,SMALL(IF($BU$4:$BU$60&lt;&gt;0,ROW($BU$5:$BU$60)-4),ROW(BU1))))</f>
        <v/>
      </c>
      <c r="BV67" s="1321" t="str">
        <f t="array" ref="BV67">IF(ISERROR(INDEX($BQ$4:$BQ$60,SMALL(IF($BU$4:$BU$60&lt;&gt;0,ROW($BU$4:$BU$60)-3),ROW(BV1)))),"",INDEX($BU$4:$BU$60,SMALL(IF($BU$4:$BU$60&lt;&gt;0,ROW($BU$4:$BU$60)-3),ROW(BV1))))</f>
        <v/>
      </c>
      <c r="BW67" s="1321" t="str">
        <f t="array" ref="BW67">IF( ISERROR(INDEX($A$4:$A$60,SMALL(IF($BW$4:$BW$60&lt;&gt;0,ROW($BW$4:$BW$60)-4),ROW(BW1)))),"",INDEX($A$4:$A$60,SMALL(IF($BW$4:$BW$60&lt;&gt;0,ROW($BW$5:$BW$60)-4),ROW(BW1))))</f>
        <v/>
      </c>
      <c r="BX67" s="1321" t="str">
        <f t="array" ref="BX67">IF(ISERROR(INDEX($BW$4:$BW$60,SMALL(IF($BW$4:$BW$60&lt;&gt;0,ROW($BW$4:$BW$60)-3),ROW(BX1)))),"",INDEX($BW$4:$BW$60,SMALL(IF($BW$4:$BW$60&lt;&gt;0,ROW($BW$4:$BW$60)-3),ROW(BX1))))</f>
        <v/>
      </c>
      <c r="BY67" s="1321" t="str">
        <f t="array" ref="BY67">IF( ISERROR(INDEX($A$4:$A$60,SMALL(IF($BY$4:$BY$60&lt;&gt;0,ROW($BY$4:$BY$60)-4),ROW(BY1)))),"",INDEX($A$4:$A$60,SMALL(IF($BY$4:$BY$60&lt;&gt;0,ROW($BY$5:$BY$60)-4),ROW(BY1))))</f>
        <v/>
      </c>
      <c r="BZ67" s="1321" t="str">
        <f t="array" ref="BZ67">IF(ISERROR(INDEX($BY$4:$BY$60,SMALL(IF($BY$4:$BY$60&lt;&gt;0,ROW($BY$4:$BY$60)-3),ROW(BZ1)))),"",INDEX($BY$4:$BY$60,SMALL(IF($BY$4:$BY$60&lt;&gt;0,ROW($BY$4:$BY$60)-3),ROW(BZ1))))</f>
        <v/>
      </c>
      <c r="CA67" s="1321" t="str">
        <f t="array" ref="CA67">IF( ISERROR(INDEX($A$4:$A$60,SMALL(IF($CA$4:$CA$60&lt;&gt;0,ROW($CA$4:$CA$60)-4),ROW(CA1)))),"",INDEX($A$4:$A$60,SMALL(IF($CA$4:$CA$60&lt;&gt;0,ROW($CA$5:$CA$60)-4),ROW(CA1))))</f>
        <v/>
      </c>
      <c r="CB67" s="1321" t="str">
        <f t="array" ref="CB67">IF(ISERROR(INDEX($CA$4:$CA$60,SMALL(IF($CA$4:$CA$60&lt;&gt;0,ROW($CA$4:$CA$60)-3),ROW(CB1)))),"",INDEX($CA$4:$CA$60,SMALL(IF($CA$4:$CA$60&lt;&gt;0,ROW($CA$4:$CA$60)-3),ROW(CB1))))</f>
        <v/>
      </c>
      <c r="CC67" s="1321" t="str">
        <f t="array" ref="CC67">IF( ISERROR(INDEX($A$4:$A$60,SMALL(IF($CC$4:$CC$60&lt;&gt;0,ROW($CC$4:$CC$60)-4),ROW(CC1)))),"",INDEX($A$4:$A$60,SMALL(IF($CC$4:$CC$60&lt;&gt;0,ROW($CC$5:$CC$60)-4),ROW(CC1))))</f>
        <v/>
      </c>
      <c r="CD67" s="1321" t="str">
        <f t="array" ref="CD67">IF(ISERROR(INDEX($CC$4:$CC$60,SMALL(IF($CC$4:$CC$60&lt;&gt;0,ROW($CC$4:$CC$60)-3),ROW(CD1)))),"",INDEX($CC$4:$CC$60,SMALL(IF($CC$4:$CC$60&lt;&gt;0,ROW($CC$4:$CC$60)-3),ROW(CD1))))</f>
        <v/>
      </c>
      <c r="CE67" s="1321" t="str">
        <f t="array" ref="CE67">IF( ISERROR(INDEX($A$4:$A$60,SMALL(IF($CE$4:$CE$60&lt;&gt;0,ROW($CE$4:$CE$60)-4),ROW(CE1)))),"",INDEX($A$4:$A$60,SMALL(IF($CE$4:$CE$60&lt;&gt;0,ROW($CE$5:$CE$60)-4),ROW(CE1))))</f>
        <v/>
      </c>
      <c r="CF67" s="1321" t="str">
        <f t="array" ref="CF67">IF(ISERROR(INDEX($CE$4:$CE$60,SMALL(IF($CE$4:$CE$60&lt;&gt;0,ROW($CE$4:$CE$60)-3),ROW(CF1)))),"",INDEX($CE$4:$CE$60,SMALL(IF($CE$4:$CE$60&lt;&gt;0,ROW($CE$4:$CE$60)-3),ROW(CF1))))</f>
        <v/>
      </c>
      <c r="CG67" s="1321" t="str">
        <f t="array" ref="CG67">IF( ISERROR(INDEX($A$4:$A$60,SMALL(IF($CG$4:$CG$60&lt;&gt;0,ROW($CG$4:$CG$60)-4),ROW(CG1)))),"",INDEX($A$4:$A$60,SMALL(IF($CG$4:$CG$60&lt;&gt;0,ROW($CG$5:$CG$60)-4),ROW(CG1))))</f>
        <v/>
      </c>
      <c r="CH67" s="1321" t="str">
        <f t="array" ref="CH67">IF(ISERROR(INDEX($CG$4:$CG$60,SMALL(IF($CG$4:$CG$60&lt;&gt;0,ROW($CG$4:$CG$60)-3),ROW(CH1)))),"",INDEX($CG$4:$CG$60,SMALL(IF($CG$4:$CG$60&lt;&gt;0,ROW($CG$4:$CG$60)-3),ROW(CH1))))</f>
        <v/>
      </c>
      <c r="CI67" s="1321" t="str">
        <f t="array" ref="CI67">IF( ISERROR(INDEX($A$4:$A$60,SMALL(IF($CA$4:$CA$60&lt;&gt;0,ROW($CA$4:$CA$60)-4),ROW(CI1)))),"",INDEX($A$4:$A$60,SMALL(IF($CA$4:$CA$60&lt;&gt;0,ROW($CA$5:$CA$60)-4),ROW(CI1))))</f>
        <v/>
      </c>
      <c r="CJ67" s="1321" t="str">
        <f t="array" ref="CJ67">IF(ISERROR(INDEX($CA$4:$CA$60,SMALL(IF($CA$4:$CA$60&lt;&gt;0,ROW($CA$4:$CA$60)-3),ROW(CJ1)))),"",INDEX($CA$4:$CA$60,SMALL(IF($CA$4:$CA$60&lt;&gt;0,ROW($CA$4:$CA$60)-3),ROW(CJ1))))</f>
        <v/>
      </c>
      <c r="CK67" s="1321" t="str">
        <f t="array" ref="CK67">IF( ISERROR(INDEX($A$4:$A$60,SMALL(IF($CK$4:$CK$60&lt;&gt;0,ROW($CK$4:$CK$60)-4),ROW(CK1)))),"",INDEX($A$4:$A$60,SMALL(IF($CK$4:$CK$60&lt;&gt;0,ROW($CK$5:$CK$60)-4),ROW(CK1))))</f>
        <v/>
      </c>
      <c r="CL67" s="1321" t="str">
        <f t="array" ref="CL67">IF(ISERROR(INDEX($CK$4:$CK$60,SMALL(IF($CK$4:$CK$60&lt;&gt;0,ROW($CK$4:$CK$60)-3),ROW(CL1)))),"",INDEX($CK$4:$CK$60,SMALL(IF($CK$4:$CK$60&lt;&gt;0,ROW($CK$4:$CK$60)-3),ROW(CL1))))</f>
        <v/>
      </c>
      <c r="CM67" s="1321" t="str">
        <f t="array" ref="CM67">IF( ISERROR(INDEX($A$4:$A$60,SMALL(IF($CM$4:$CM$60&lt;&gt;0,ROW($CM$4:$CM$60)-4),ROW(CM1)))),"",INDEX($A$4:$A$60,SMALL(IF($CM$4:$CM$60&lt;&gt;0,ROW($CM$5:$CM$60)-4),ROW(CM1))))</f>
        <v/>
      </c>
      <c r="CN67" s="1321" t="str">
        <f t="array" ref="CN67">IF(ISERROR(INDEX($CM$4:$CM$60,SMALL(IF($CM$4:$CM$60&lt;&gt;0,ROW($CM$4:$CM$60)-3),ROW(CN1)))),"",INDEX($CM$4:$CM$60,SMALL(IF($CM$4:$CM$60&lt;&gt;0,ROW($CM$4:$CM$60)-3),ROW(CN1))))</f>
        <v/>
      </c>
      <c r="CO67" s="1321" t="str">
        <f t="array" ref="CO67">IF( ISERROR(INDEX($A$4:$A$60,SMALL(IF($CO$4:$CO$60&lt;&gt;0,ROW($CO$4:$CO$60)-4),ROW(CO1)))),"",INDEX($A$4:$A$60,SMALL(IF($CO$4:$CO$60&lt;&gt;0,ROW($CO$5:$CO$60)-4),ROW(CO1))))</f>
        <v/>
      </c>
      <c r="CP67" s="1321" t="str">
        <f t="array" ref="CP67">IF(ISERROR(INDEX($CO$4:$CO$60,SMALL(IF($CO$4:$CO$60&lt;&gt;0,ROW($CO$4:$CO$60)-3),ROW(CP1)))),"",INDEX($CO$4:$CO$60,SMALL(IF($CO$4:$CO$60&lt;&gt;0,ROW($CO$4:$CO$60)-3),ROW(CP1))))</f>
        <v/>
      </c>
      <c r="CQ67" s="1321" t="str">
        <f t="array" ref="CQ67">IF( ISERROR(INDEX($A$4:$A$60,SMALL(IF($CQ$4:$CQ$60&lt;&gt;0,ROW($CQ$4:$CQ$60)-4),ROW(CQ1)))),"",INDEX($A$4:$A$60,SMALL(IF($CQ$4:$CQ$60&lt;&gt;0,ROW($CQ$5:$CQ$60)-4),ROW(CQ1))))</f>
        <v/>
      </c>
      <c r="CR67" s="1321" t="str">
        <f t="array" ref="CR67">IF(ISERROR(INDEX($CQ$4:$CQ$60,SMALL(IF($CQ$4:$CQ$60&lt;&gt;0,ROW($CQ$4:$CQ$60)-3),ROW(CR1)))),"",INDEX($CQ$4:$CQ$60,SMALL(IF($CQ$4:$CQ$60&lt;&gt;0,ROW($CQ$4:$CQ$60)-3),ROW(CR1))))</f>
        <v/>
      </c>
      <c r="CS67" s="1321" t="str">
        <f t="array" ref="CS67">IF( ISERROR(INDEX($A$4:$A$60,SMALL(IF($CS$4:$CS$60&lt;&gt;0,ROW($CS$4:$CS$60)-4),ROW(CS1)))),"",INDEX($A$4:$A$60,SMALL(IF($CS$4:$CS$60&lt;&gt;0,ROW($CS$5:$CS$60)-4),ROW(CS1))))</f>
        <v/>
      </c>
      <c r="CT67" s="1321" t="str">
        <f t="array" ref="CT67">IF(ISERROR(INDEX($CS$4:$CS$60,SMALL(IF($CS$4:$CS$60&lt;&gt;0,ROW($CS$4:$CS$60)-3),ROW(CT1)))),"",INDEX($CS$4:$CS$60,SMALL(IF($CS$4:$CS$60&lt;&gt;0,ROW($CS$4:$CS$60)-3),ROW(CT1))))</f>
        <v/>
      </c>
      <c r="CU67" s="1321" t="str">
        <f t="array" ref="CU67">IF( ISERROR(INDEX($A$4:$A$60,SMALL(IF($CU$4:$CU$60&lt;&gt;0,ROW($CU$4:$CU$60)-4),ROW(CU1)))),"",INDEX($A$4:$A$60,SMALL(IF($CU$4:$CU$60&lt;&gt;0,ROW($CU$5:$CU$60)-4),ROW(CU1))))</f>
        <v/>
      </c>
      <c r="CV67" s="1321" t="str">
        <f t="array" ref="CV67">IF(ISERROR(INDEX($CU$4:$CU$60,SMALL(IF($CU$4:$CU$60&lt;&gt;0,ROW($CU$4:$CU$60)-3),ROW(CV1)))),"",INDEX($CU$4:$CU$60,SMALL(IF($CU$4:$CU$60&lt;&gt;0,ROW($CU$4:$CU$60)-3),ROW(CV1))))</f>
        <v/>
      </c>
      <c r="CW67" s="1321" t="str">
        <f t="array" ref="CW67">IF( ISERROR(INDEX($A$4:$A$60,SMALL(IF($CW$4:$CW$60&lt;&gt;0,ROW($CW$4:$CW$60)-4),ROW(CW1)))),"",INDEX($A$4:$A$60,SMALL(IF($CW$4:$CW$60&lt;&gt;0,ROW($CW$5:$CW$60)-4),ROW(CW1))))</f>
        <v/>
      </c>
      <c r="CX67" s="1321" t="str">
        <f t="array" ref="CX67">IF(ISERROR(INDEX($CW$4:$CW$60,SMALL(IF($CW$4:$CW$60&lt;&gt;0,ROW($CW$4:$CW$60)-3),ROW(CX1)))),"",INDEX($CW$4:$CW$60,SMALL(IF($CW$4:$CW$60&lt;&gt;0,ROW($CW$4:$CW$60)-3),ROW(CX1))))</f>
        <v/>
      </c>
      <c r="CY67" s="1321" t="str">
        <f t="array" ref="CY67">IF( ISERROR(INDEX($A$4:$A$60,SMALL(IF($CY$4:$CY$60&lt;&gt;0,ROW($CY$4:$CY$60)-4),ROW(CY1)))),"",INDEX($A$4:$A$60,SMALL(IF($CY$4:$CY$60&lt;&gt;0,ROW($CY$5:$CY$60)-4),ROW(CY1))))</f>
        <v/>
      </c>
      <c r="CZ67" s="1321" t="str">
        <f t="array" ref="CZ67">IF(ISERROR(INDEX($CY$4:$CY$60,SMALL(IF($CY$4:$CY$60&lt;&gt;0,ROW($CY$4:$CY$60)-3),ROW(CZ1)))),"",INDEX($CY$4:$CY$60,SMALL(IF($CY$4:$CY$60&lt;&gt;0,ROW($CY$4:$CY$60)-3),ROW(CZ1))))</f>
        <v/>
      </c>
      <c r="DA67" s="1321"/>
      <c r="DB67" s="1321"/>
      <c r="DC67" s="1321"/>
      <c r="DD67" s="1321"/>
      <c r="DE67" s="1321"/>
      <c r="DF67" s="1321"/>
      <c r="DG67" s="1321"/>
      <c r="DH67" s="1321"/>
      <c r="DI67" s="1321"/>
      <c r="DJ67" s="1321"/>
      <c r="DK67" s="1321"/>
      <c r="DL67" s="1321"/>
      <c r="DM67" s="1321"/>
      <c r="DN67" s="1321"/>
      <c r="DO67" s="1321"/>
      <c r="DP67" s="1321"/>
      <c r="DQ67" s="1321"/>
      <c r="DR67" s="1321"/>
      <c r="DS67" s="1321"/>
      <c r="DT67" s="1321"/>
      <c r="DU67" s="1321"/>
      <c r="DV67" s="1321"/>
      <c r="DW67" s="1321"/>
      <c r="DX67" s="1321"/>
      <c r="DY67" s="1321"/>
      <c r="DZ67" s="1321"/>
      <c r="EA67" s="1321"/>
      <c r="EB67" s="1321"/>
      <c r="EC67" s="1321"/>
      <c r="ED67" s="1321"/>
      <c r="EE67" s="1321"/>
      <c r="EF67" s="1321"/>
      <c r="EG67" s="1321"/>
      <c r="EH67" s="1321"/>
      <c r="EI67" s="1321"/>
      <c r="EJ67" s="1321"/>
      <c r="EK67" s="1321"/>
      <c r="EL67" s="1321"/>
      <c r="EM67" s="1321"/>
      <c r="EN67" s="1321"/>
      <c r="EO67" s="1321"/>
      <c r="EP67" s="1321"/>
      <c r="EQ67" s="1321"/>
      <c r="ER67" s="1321"/>
      <c r="ES67" s="1321"/>
      <c r="ET67" s="1321"/>
      <c r="EU67" s="1321"/>
      <c r="EV67" s="1321"/>
      <c r="EW67" s="1321"/>
      <c r="EX67" s="1321"/>
      <c r="EY67" s="1321"/>
      <c r="EZ67" s="1321"/>
      <c r="FA67" s="1321"/>
      <c r="FB67" s="1321"/>
      <c r="FC67" s="1321"/>
      <c r="FD67" s="1321"/>
      <c r="FE67" s="1321"/>
      <c r="FF67" s="1321"/>
      <c r="FG67" s="1321"/>
      <c r="FH67" s="1321"/>
      <c r="FI67" s="1321"/>
      <c r="FJ67" s="1321"/>
      <c r="FK67" s="1321"/>
      <c r="FL67" s="1321"/>
      <c r="FM67" s="1321"/>
      <c r="FN67" s="1321"/>
      <c r="FO67" s="1321"/>
      <c r="FP67" s="1321"/>
      <c r="FQ67" s="1321"/>
      <c r="FR67" s="1321"/>
      <c r="FS67" s="1321"/>
      <c r="FT67" s="1321"/>
      <c r="FU67" s="1321"/>
      <c r="FV67" s="1321"/>
      <c r="FW67" s="1321"/>
      <c r="FX67" s="1321"/>
      <c r="FY67" s="1321"/>
      <c r="FZ67" s="1321"/>
      <c r="GA67" s="1321"/>
      <c r="GB67" s="1321"/>
      <c r="GC67" s="1321"/>
      <c r="GD67" s="1321"/>
      <c r="GE67" s="1321"/>
      <c r="GF67" s="1321"/>
      <c r="GG67" s="1321"/>
      <c r="GH67" s="1321"/>
      <c r="GI67" s="1321"/>
      <c r="GJ67" s="1321"/>
      <c r="GK67" s="1321"/>
      <c r="GL67" s="1321"/>
      <c r="GM67" s="1321"/>
      <c r="GN67" s="1321"/>
      <c r="GO67" s="1321"/>
      <c r="GP67" s="1321"/>
      <c r="GQ67" s="1321"/>
      <c r="GR67" s="1321"/>
      <c r="GS67" s="1321"/>
      <c r="GT67" s="1321"/>
      <c r="GU67" s="1321"/>
      <c r="GV67" s="1321"/>
      <c r="GW67" s="1321"/>
      <c r="GX67" s="1321"/>
      <c r="GY67" s="1321"/>
      <c r="GZ67" s="1321"/>
    </row>
    <row r="68" spans="3:208" hidden="1">
      <c r="C68" s="1321" t="str">
        <f t="array" ref="C68">IF( ISERROR(INDEX($A$4:$A$60,SMALL(IF($C$4:$C$60&lt;&gt;0,ROW($C$4:$C$60)-4),ROW(A2)))),"",INDEX($A$4:$A$60,SMALL(IF($C$4:$C$60&lt;&gt;0,ROW($C$5:$C$60)-4),ROW(A2))))</f>
        <v/>
      </c>
      <c r="D68" s="1321" t="str">
        <f t="array" ref="D68">IF(ISERROR(INDEX($C$4:$C$60,SMALL(IF($C$4:$C$60&lt;&gt;0,ROW($C$4:$C$60)-3),ROW(D2)))),"",INDEX($C$4:$C$60,SMALL(IF($C$4:$C$60&lt;&gt;0,ROW($C$4:$C$60)-3),ROW(D2))))</f>
        <v/>
      </c>
      <c r="E68" s="1321" t="str">
        <f t="array" ref="E68">IF( ISERROR(INDEX($A$4:$A$60,SMALL(IF($E$4:$E$60&lt;&gt;0,ROW($E$4:$E$60)-4),ROW(E2)))),"",INDEX($A$4:$A$60,SMALL(IF($E$4:$E$60&lt;&gt;0,ROW($E$5:$E$60)-4),ROW(E2))))</f>
        <v/>
      </c>
      <c r="F68" s="1321" t="str">
        <f t="array" ref="F68">IF(ISERROR(INDEX($E$4:$E$60,SMALL(IF($E$4:$E$60&lt;&gt;0,ROW($E$4:$E$60)-3),ROW(F2)))),"",INDEX($E$4:$E$60,SMALL(IF($E$4:$E$60&lt;&gt;0,ROW($E$4:$E$60)-3),ROW(F2))))</f>
        <v/>
      </c>
      <c r="G68" s="1321" t="str">
        <f t="array" ref="G68">IF( ISERROR(INDEX($A$4:$A$60,SMALL(IF($G$4:$G$60&lt;&gt;0,ROW($G$4:$G$60)-4),ROW(G2)))),"",INDEX($A$4:$A$60,SMALL(IF($G$4:$G$60&lt;&gt;0,ROW($G$5:$G$60)-4),ROW(G2))))</f>
        <v/>
      </c>
      <c r="H68" s="1321" t="str">
        <f t="array" ref="H68">IF(ISERROR(INDEX($E$4:$E$60,SMALL(IF($G$4:$G$60&lt;&gt;0,ROW($G$4:$G$60)-3),ROW(H2)))),"",INDEX($G$4:$G$60,SMALL(IF($G$4:$G$60&lt;&gt;0,ROW($G$4:$G$60)-3),ROW(H2))))</f>
        <v/>
      </c>
      <c r="I68" s="1321" t="str">
        <f t="array" ref="I68">IF( ISERROR(INDEX($A$4:$A$60,SMALL(IF($I$4:$I$60&lt;&gt;0,ROW($I$4:$I$60)-4),ROW(I2)))),"",INDEX($A$4:$A$60,SMALL(IF($I$4:$I$60&lt;&gt;0,ROW($I$5:$I$60)-4),ROW(I2))))</f>
        <v/>
      </c>
      <c r="J68" s="1321" t="str">
        <f t="array" ref="J68">IF(ISERROR(INDEX($I$4:$I$60,SMALL(IF($I$4:$I$60&lt;&gt;0,ROW($I$4:$I$60)-3),ROW(J2)))),"",INDEX($I$4:$I$60,SMALL(IF($I$4:$I$60&lt;&gt;0,ROW($I$4:$I$60)-3),ROW(J2))))</f>
        <v/>
      </c>
      <c r="K68" s="1321" t="str">
        <f t="array" ref="K68">IF( ISERROR(INDEX($A$4:$A$60,SMALL(IF($K$4:$K$60&lt;&gt;0,ROW($K$4:$K$60)-4),ROW(K2)))),"",INDEX($A$4:$A$60,SMALL(IF($K$4:$K$60&lt;&gt;0,ROW($K$5:$K$60)-4),ROW(K2))))</f>
        <v/>
      </c>
      <c r="L68" s="1321" t="str">
        <f t="array" ref="L68">IF(ISERROR(INDEX($K$4:$K$60,SMALL(IF($K$4:$K$60&lt;&gt;0,ROW($K$4:$K$60)-3),ROW(L2)))),"",INDEX($K$4:$K$60,SMALL(IF($K$4:$K$60&lt;&gt;0,ROW($K$4:$K$60)-3),ROW(L2))))</f>
        <v/>
      </c>
      <c r="M68" s="1321" t="str">
        <f t="array" ref="M68">IF( ISERROR(INDEX($A$4:$A$60,SMALL(IF($M$4:$M$60&lt;&gt;0,ROW($M$4:$M$60)-4),ROW(M2)))),"",INDEX($A$4:$A$60,SMALL(IF($M$4:$M$60&lt;&gt;0,ROW($M$5:$M$60)-4),ROW(M2))))</f>
        <v/>
      </c>
      <c r="N68" s="1321" t="str">
        <f t="array" ref="N68">IF(ISERROR(INDEX($M$4:$M$60,SMALL(IF($M$4:$M$60&lt;&gt;0,ROW($M$4:$M$60)-3),ROW(N2)))),"",INDEX($M$4:$M$60,SMALL(IF($M$4:$M$60&lt;&gt;0,ROW($M$4:$M$60)-3),ROW(N2))))</f>
        <v/>
      </c>
      <c r="O68" s="1321" t="str">
        <f t="array" ref="O68">IF( ISERROR(INDEX($A$4:$A$60,SMALL(IF($O$4:$O$60&lt;&gt;0,ROW($O$4:$O$60)-4),ROW(O2)))),"",INDEX($A$4:$A$60,SMALL(IF($O$4:$O$60&lt;&gt;0,ROW($O$5:$O$60)-4),ROW(O2))))</f>
        <v/>
      </c>
      <c r="P68" s="1321" t="str">
        <f t="array" ref="P68">IF(ISERROR(INDEX($O$4:$O$60,SMALL(IF($O$4:$O$60&lt;&gt;0,ROW($O$4:$O$60)-3),ROW(P2)))),"",INDEX($O$4:$O$60,SMALL(IF($O$4:$O$60&lt;&gt;0,ROW($O$4:$O$60)-3),ROW(P2))))</f>
        <v/>
      </c>
      <c r="Q68" s="1321" t="str">
        <f t="array" ref="Q68">IF( ISERROR(INDEX($A$4:$A$60,SMALL(IF($Q$4:$Q$60&lt;&gt;0,ROW($Q$4:$Q$60)-4),ROW(Q2)))),"",INDEX($A$4:$A$60,SMALL(IF($Q$4:$Q$60&lt;&gt;0,ROW($Q$5:$Q$60)-4),ROW(Q2))))</f>
        <v/>
      </c>
      <c r="R68" s="1321" t="str">
        <f t="array" ref="R68">IF(ISERROR(INDEX($Q$4:$Q$60,SMALL(IF($Q$4:$Q$60&lt;&gt;0,ROW($Q$4:$Q$60)-3),ROW(R2)))),"",INDEX($Q$4:$Q$60,SMALL(IF($Q$4:$Q$60&lt;&gt;0,ROW($Q$4:$Q$60)-3),ROW(R2))))</f>
        <v/>
      </c>
      <c r="S68" s="1321" t="str">
        <f t="array" ref="S68">IF( ISERROR(INDEX($A$4:$A$60,SMALL(IF($S$4:$S$60&lt;&gt;0,ROW($S$4:$S$60)-4),ROW(S2)))),"",INDEX($A$4:$A$60,SMALL(IF($S$4:$S$60&lt;&gt;0,ROW($S$5:$S$60)-4),ROW(S2))))</f>
        <v/>
      </c>
      <c r="T68" s="1321" t="str">
        <f t="array" ref="T68">IF(ISERROR(INDEX($S$4:$S$60,SMALL(IF($S$4:$S$60&lt;&gt;0,ROW($S$4:$S$60)-3),ROW(T2)))),"",INDEX($S$4:$S$60,SMALL(IF($S$4:$S$60&lt;&gt;0,ROW($S$4:$S$60)-3),ROW(T2))))</f>
        <v/>
      </c>
      <c r="U68" s="1321" t="str">
        <f t="array" ref="U68">IF( ISERROR(INDEX($A$4:$A$60,SMALL(IF($U$4:$U$60&lt;&gt;0,ROW($U$4:$U$60)-4),ROW(U2)))),"",INDEX($A$4:$A$60,SMALL(IF($U$4:$U$60&lt;&gt;0,ROW($U$5:$U$60)-4),ROW(U2))))</f>
        <v/>
      </c>
      <c r="V68" s="1321" t="str">
        <f t="array" ref="V68">IF(ISERROR(INDEX($U$4:$U$60,SMALL(IF($U$4:$U$60&lt;&gt;0,ROW($U$4:$U$60)-3),ROW(V2)))),"",INDEX($U$4:$U$60,SMALL(IF($U$4:$U$60&lt;&gt;0,ROW($U$4:$U$60)-3),ROW(V2))))</f>
        <v/>
      </c>
      <c r="W68" s="1321" t="str">
        <f t="array" ref="W68">IF( ISERROR(INDEX($A$4:$A$60,SMALL(IF($W$4:$W$60&lt;&gt;0,ROW($W$4:$W$60)-4),ROW(W2)))),"",INDEX($A$4:$A$60,SMALL(IF($W$4:$W$60&lt;&gt;0,ROW($W$5:$W$60)-4),ROW(W2))))</f>
        <v/>
      </c>
      <c r="X68" s="1321" t="str">
        <f t="array" ref="X68">IF(ISERROR(INDEX($W$4:$W$60,SMALL(IF($W$4:$W$60&lt;&gt;0,ROW($W$4:$W$60)-3),ROW(X2)))),"",INDEX($W$4:$W$60,SMALL(IF($W$4:$W$60&lt;&gt;0,ROW($W$4:$W$60)-3),ROW(X2))))</f>
        <v/>
      </c>
      <c r="Y68" s="1321" t="str">
        <f t="array" ref="Y68">IF( ISERROR(INDEX($A$4:$A$60,SMALL(IF($Y$4:$Y$60&lt;&gt;0,ROW($Y$4:$Y$60)-4),ROW(Y2)))),"",INDEX($A$4:$A$60,SMALL(IF($Y$4:$Y$60&lt;&gt;0,ROW($Y$5:$Y$60)-4),ROW(Y2))))</f>
        <v/>
      </c>
      <c r="Z68" s="1321" t="str">
        <f t="array" ref="Z68">IF(ISERROR(INDEX($Y$4:$Y$60,SMALL(IF($Y$4:$Y$60&lt;&gt;0,ROW($Y$4:$Y$60)-3),ROW(Z2)))),"",INDEX($Y$4:$Y$60,SMALL(IF($Y$4:$Y$60&lt;&gt;0,ROW($Y$4:$Y$60)-3),ROW(Z2))))</f>
        <v/>
      </c>
      <c r="AA68" s="1321" t="str">
        <f t="array" ref="AA68">IF( ISERROR(INDEX($A$4:$A$60,SMALL(IF($AA$4:$AA$60&lt;&gt;0,ROW($AA$4:$AA$60)-4),ROW(AA2)))),"",INDEX($A$4:$A$60,SMALL(IF($AA$4:$AA$60&lt;&gt;0,ROW($AA$5:$AA$60)-4),ROW(AA2))))</f>
        <v/>
      </c>
      <c r="AB68" s="1321" t="str">
        <f t="array" ref="AB68">IF(ISERROR(INDEX($AA$4:$AA$60,SMALL(IF($AA$4:$AA$60&lt;&gt;0,ROW($AA$4:$AA$60)-3),ROW(AB2)))),"",INDEX($AA$4:$AA$60,SMALL(IF($AA$4:$AA$60&lt;&gt;0,ROW($AA$4:$AA$60)-3),ROW(AB2))))</f>
        <v/>
      </c>
      <c r="AC68" s="1321" t="str">
        <f t="array" ref="AC68">IF( ISERROR(INDEX($A$4:$A$60,SMALL(IF($AC$4:$AC$60&lt;&gt;0,ROW($AC$4:$AC$60)-4),ROW(AC2)))),"",INDEX($A$4:$A$60,SMALL(IF($AC$4:$AC$60&lt;&gt;0,ROW($AC$5:$AC$60)-4),ROW(AC2))))</f>
        <v/>
      </c>
      <c r="AD68" s="1321" t="str">
        <f t="array" ref="AD68">IF(ISERROR(INDEX($AC$4:$AC$60,SMALL(IF($AC$4:$AC$60&lt;&gt;0,ROW($AC$4:$AC$60)-3),ROW(AD2)))),"",INDEX($AC$4:$AC$60,SMALL(IF($AC$4:$AC$60&lt;&gt;0,ROW($AC$4:$AC$60)-3),ROW(AD2))))</f>
        <v/>
      </c>
      <c r="AE68" s="1321" t="str">
        <f t="array" ref="AE68">IF( ISERROR(INDEX($A$4:$A$60,SMALL(IF($AE$4:$AE$60&lt;&gt;0,ROW($AE$4:$AE$60)-4),ROW(AE2)))),"",INDEX($A$4:$A$60,SMALL(IF($AE$4:$AE$60&lt;&gt;0,ROW($AE$5:$AE$60)-4),ROW(AE2))))</f>
        <v/>
      </c>
      <c r="AF68" s="1321" t="str">
        <f t="array" ref="AF68">IF(ISERROR(INDEX($AE$4:$AE$60,SMALL(IF($AE$4:$AE$60&lt;&gt;0,ROW($AE$4:$AE$60)-3),ROW(AF2)))),"",INDEX($AE$4:$AE$60,SMALL(IF($AE$4:$AE$60&lt;&gt;0,ROW($AE$4:$AE$60)-3),ROW(AF2))))</f>
        <v/>
      </c>
      <c r="AG68" s="1321" t="str">
        <f t="array" ref="AG68">IF( ISERROR(INDEX($A$4:$A$60,SMALL(IF($AG$4:$AG$60&lt;&gt;0,ROW($AG$4:$AG$60)-4),ROW(AG2)))),"",INDEX($A$4:$A$60,SMALL(IF($AG$4:$AG$60&lt;&gt;0,ROW($AG$5:$AG$60)-4),ROW(AG2))))</f>
        <v/>
      </c>
      <c r="AH68" s="1321" t="str">
        <f t="array" ref="AH68">IF(ISERROR(INDEX($AG$4:$AG$60,SMALL(IF($AG$4:$AG$60&lt;&gt;0,ROW($AG$4:$AG$60)-3),ROW(AH2)))),"",INDEX($AG$4:$AG$60,SMALL(IF($AG$4:$AG$60&lt;&gt;0,ROW($AG$4:$AG$60)-3),ROW(AH2))))</f>
        <v/>
      </c>
      <c r="AI68" s="1321" t="str">
        <f t="array" ref="AI68">IF( ISERROR(INDEX($A$4:$A$60,SMALL(IF($AI$4:$AI$60&lt;&gt;0,ROW($AI$4:$AI$60)-4),ROW(AI2)))),"",INDEX($A$4:$A$60,SMALL(IF($AI$4:$AI$60&lt;&gt;0,ROW($AI$5:$AI$60)-4),ROW(AI2))))</f>
        <v/>
      </c>
      <c r="AJ68" s="1321" t="str">
        <f t="array" ref="AJ68">IF(ISERROR(INDEX($E$4:$E$60,SMALL(IF($AI$4:$AI$60&lt;&gt;0,ROW($AI$4:$AI$60)-3),ROW(AJ2)))),"",INDEX($AI$4:$AI$60,SMALL(IF($AI$4:$AI$60&lt;&gt;0,ROW($AI$4:$AI$60)-3),ROW(AJ2))))</f>
        <v/>
      </c>
      <c r="AK68" s="1321" t="str">
        <f t="array" ref="AK68">IF( ISERROR(INDEX($A$4:$A$60,SMALL(IF($AK$4:$AK$60&lt;&gt;0,ROW($AK$4:$AK$60)-4),ROW(AK2)))),"",INDEX($A$4:$A$60,SMALL(IF($AK$4:$AK$60&lt;&gt;0,ROW($AK$5:$AK$60)-4),ROW(AK2))))</f>
        <v/>
      </c>
      <c r="AL68" s="1321" t="str">
        <f t="array" ref="AL68">IF(ISERROR(INDEX($AK$4:$AK$60,SMALL(IF($AK$4:$AK$60&lt;&gt;0,ROW($AK$4:$AK$60)-3),ROW(AL2)))),"",INDEX($AK$4:$AK$60,SMALL(IF($AK$4:$AK$60&lt;&gt;0,ROW($AK$4:$AK$60)-3),ROW(AL2))))</f>
        <v/>
      </c>
      <c r="AM68" s="1321" t="str">
        <f t="array" ref="AM68">IF( ISERROR(INDEX($A$4:$A$60,SMALL(IF($AM$4:$AM$60&lt;&gt;0,ROW($AM$4:$AM$60)-4),ROW(AM2)))),"",INDEX($A$4:$A$60,SMALL(IF($AM$4:$AM$60&lt;&gt;0,ROW($AM$5:$AM$60)-4),ROW(AM2))))</f>
        <v/>
      </c>
      <c r="AN68" s="1321" t="str">
        <f t="array" ref="AN68">IF(ISERROR(INDEX($AM$4:$AM$60,SMALL(IF($AM$4:$AM$60&lt;&gt;0,ROW($AM$4:$AM$60)-3),ROW(AN2)))),"",INDEX($AM$4:$AM$60,SMALL(IF($AM$4:$AM$60&lt;&gt;0,ROW($AM$4:$AM$60)-3),ROW(AN2))))</f>
        <v/>
      </c>
      <c r="AO68" s="1321" t="str">
        <f t="array" ref="AO68">IF( ISERROR(INDEX($A$4:$A$60,SMALL(IF($AO$4:$AO$60&lt;&gt;0,ROW($AO$4:$AO$60)-4),ROW(AO2)))),"",INDEX($A$4:$A$60,SMALL(IF($AO$4:$AO$60&lt;&gt;0,ROW($AO$5:$AO$60)-4),ROW(AO2))))</f>
        <v/>
      </c>
      <c r="AP68" s="1321" t="str">
        <f t="array" ref="AP68">IF(ISERROR(INDEX($AO$4:$AO$60,SMALL(IF($AO$4:$AO$60&lt;&gt;0,ROW($AO$4:$AO$60)-3),ROW(AP2)))),"",INDEX($AO$4:$AO$60,SMALL(IF($AO$4:$AO$60&lt;&gt;0,ROW($AO$4:$AO$60)-3),ROW(AP2))))</f>
        <v/>
      </c>
      <c r="AQ68" s="1321" t="str">
        <f t="array" ref="AQ68">IF( ISERROR(INDEX($A$4:$A$60,SMALL(IF($AQ$4:$AQ$60&lt;&gt;0,ROW($AQ$4:$AQ$60)-4),ROW(AQ2)))),"",INDEX($A$4:$A$60,SMALL(IF($AQ$4:$AQ$60&lt;&gt;0,ROW($AQ$5:$AQ$60)-4),ROW(AQ2))))</f>
        <v/>
      </c>
      <c r="AR68" s="1321" t="str">
        <f t="array" ref="AR68">IF(ISERROR(INDEX($AQ$4:$AQ$60,SMALL(IF($AQ$4:$AQ$60&lt;&gt;0,ROW($AQ$4:$AQ$60)-3),ROW(AR2)))),"",INDEX($AQ$4:$AQ$60,SMALL(IF($AQ$4:$AQ$60&lt;&gt;0,ROW($AQ$4:$AQ$60)-3),ROW(AR2))))</f>
        <v/>
      </c>
      <c r="AS68" s="1321" t="str">
        <f t="array" ref="AS68">IF( ISERROR(INDEX($A$4:$A$60,SMALL(IF($AS$4:$AS$60&lt;&gt;0,ROW($AS$4:$AS$60)-4),ROW(AS2)))),"",INDEX($A$4:$A$60,SMALL(IF($AS$4:$AS$60&lt;&gt;0,ROW($AS$5:$AS$60)-4),ROW(AS2))))</f>
        <v/>
      </c>
      <c r="AT68" s="1321" t="str">
        <f t="array" ref="AT68">IF(ISERROR(INDEX($AS$4:$AS$60,SMALL(IF($AS$4:$AS$60&lt;&gt;0,ROW($AS$4:$AS$60)-3),ROW(AT2)))),"",INDEX($AS$4:$AS$60,SMALL(IF($AS$4:$AS$60&lt;&gt;0,ROW($AS$4:$AS$60)-3),ROW(AT2))))</f>
        <v/>
      </c>
      <c r="AU68" s="1321" t="str">
        <f t="array" ref="AU68">IF( ISERROR(INDEX($A$4:$A$60,SMALL(IF($AU$4:$AU$60&lt;&gt;0,ROW($AU$4:$AU$60)-4),ROW(AU2)))),"",INDEX($A$4:$A$60,SMALL(IF($AU$4:$AU$60&lt;&gt;0,ROW($AU$5:$AU$60)-4),ROW(AU2))))</f>
        <v/>
      </c>
      <c r="AV68" s="1321" t="str">
        <f t="array" ref="AV68">IF(ISERROR(INDEX($AU$4:$AU$60,SMALL(IF($AU$4:$AU$60&lt;&gt;0,ROW($AU$4:$AU$60)-3),ROW(AV2)))),"",INDEX($AU$4:$AU$60,SMALL(IF($AU$4:$AU$60&lt;&gt;0,ROW($AU$4:$AU$60)-3),ROW(AV2))))</f>
        <v/>
      </c>
      <c r="AW68" s="1321" t="str">
        <f t="array" ref="AW68">IF( ISERROR(INDEX($A$4:$A$60,SMALL(IF($AW$4:$AW$60&lt;&gt;0,ROW($AW$4:$AW$60)-4),ROW(AW2)))),"",INDEX($A$4:$A$60,SMALL(IF($AW$4:$AW$60&lt;&gt;0,ROW($AW$5:$AW$60)-4),ROW(AW2))))</f>
        <v/>
      </c>
      <c r="AX68" s="1321" t="str">
        <f t="array" ref="AX68">IF(ISERROR(INDEX($AW$4:$AW$60,SMALL(IF($AW$4:$AW$60&lt;&gt;0,ROW($AW$4:$AW$60)-3),ROW(AX2)))),"",INDEX($AW$4:$AW$60,SMALL(IF($AW$4:$AW$60&lt;&gt;0,ROW($AW$4:$AW$60)-3),ROW(AX2))))</f>
        <v/>
      </c>
      <c r="AY68" s="1321" t="str">
        <f t="array" ref="AY68">IF( ISERROR(INDEX($A$4:$A$60,SMALL(IF($AY$4:$AY$60&lt;&gt;0,ROW($AY$4:$AY$60)-4),ROW(AY2)))),"",INDEX($A$4:$A$60,SMALL(IF($AY$4:$AY$60&lt;&gt;0,ROW($AY$5:$AY$60)-4),ROW(AY2))))</f>
        <v/>
      </c>
      <c r="AZ68" s="1321" t="str">
        <f t="array" ref="AZ68">IF(ISERROR(INDEX($AY$4:$AY$60,SMALL(IF($AY$4:$AY$60&lt;&gt;0,ROW($AY$4:$AY$60)-3),ROW(AZ2)))),"",INDEX($AY$4:$AY$60,SMALL(IF($AY$4:$AY$60&lt;&gt;0,ROW($AY$4:$AY$60)-3),ROW(AZ2))))</f>
        <v/>
      </c>
      <c r="BA68" s="1321" t="str">
        <f t="array" ref="BA68">IF( ISERROR(INDEX($A$4:$A$60,SMALL(IF($BA$4:$BA$60&lt;&gt;0,ROW($BA$4:$BA$60)-4),ROW(BA2)))),"",INDEX($A$4:$A$60,SMALL(IF($BA$4:$BA$60&lt;&gt;0,ROW($BA$5:$BA$60)-4),ROW(BA2))))</f>
        <v/>
      </c>
      <c r="BB68" s="1321" t="str">
        <f t="array" ref="BB68">IF(ISERROR(INDEX($BA$4:$BA$60,SMALL(IF($BA$4:$BA$60&lt;&gt;0,ROW($BA$4:$BA$60)-3),ROW(BB2)))),"",INDEX($BA$4:$BA$60,SMALL(IF($BA$4:$BA$60&lt;&gt;0,ROW($BA$4:$BA$60)-3),ROW(BB2))))</f>
        <v/>
      </c>
      <c r="BC68" s="1321" t="str">
        <f t="array" ref="BC68">IF( ISERROR(INDEX($A$4:$A$60,SMALL(IF($BC$4:$BC$60&lt;&gt;0,ROW($BC$4:$BC$60)-4),ROW(BC2)))),"",INDEX($A$4:$A$60,SMALL(IF($BC$4:$BC$60&lt;&gt;0,ROW($BC$5:$BC$60)-4),ROW(BC2))))</f>
        <v/>
      </c>
      <c r="BD68" s="1321" t="str">
        <f t="array" ref="BD68">IF(ISERROR(INDEX($BC$4:$BC$60,SMALL(IF($BC$4:$BC$60&lt;&gt;0,ROW($BC$4:$BC$60)-3),ROW(BD2)))),"",INDEX($BC$4:$BC$60,SMALL(IF($BC$4:$BC$60&lt;&gt;0,ROW($BC$4:$BC$60)-3),ROW(BD2))))</f>
        <v/>
      </c>
      <c r="BE68" s="1321" t="str">
        <f t="array" ref="BE68">IF( ISERROR(INDEX($A$4:$A$60,SMALL(IF($BE$4:$BE$60&lt;&gt;0,ROW($BE$4:$BE$60)-4),ROW(BE2)))),"",INDEX($A$4:$A$60,SMALL(IF($BE$4:$BE$60&lt;&gt;0,ROW($BE$5:$BE$60)-4),ROW(BE2))))</f>
        <v/>
      </c>
      <c r="BF68" s="1321" t="str">
        <f t="array" ref="BF68">IF(ISERROR(INDEX($BE$4:$BE$60,SMALL(IF($BE$4:$BE$60&lt;&gt;0,ROW($BE$4:$BE$60)-3),ROW(BF2)))),"",INDEX($BE$4:$BE$60,SMALL(IF($BE$4:$BE$60&lt;&gt;0,ROW($BE$4:$BE$60)-3),ROW(BF2))))</f>
        <v/>
      </c>
      <c r="BG68" s="1321" t="str">
        <f t="array" ref="BG68">IF( ISERROR(INDEX($A$4:$A$60,SMALL(IF($BG$4:$BG$60&lt;&gt;0,ROW($BG$4:$BG$60)-4),ROW(BG2)))),"",INDEX($A$4:$A$60,SMALL(IF($BG$4:$BG$60&lt;&gt;0,ROW($BG$5:$BG$60)-4),ROW(BG2))))</f>
        <v/>
      </c>
      <c r="BH68" s="1321" t="str">
        <f t="array" ref="BH68">IF(ISERROR(INDEX($BG$4:$BG$60,SMALL(IF($BG$4:$BG$60&lt;&gt;0,ROW($BG$4:$BG$60)-3),ROW(BH2)))),"",INDEX($BG$4:$BG$60,SMALL(IF($BG$4:$BG$60&lt;&gt;0,ROW($BG$4:$BG$60)-3),ROW(BH2))))</f>
        <v/>
      </c>
      <c r="BI68" s="1321" t="str">
        <f t="array" ref="BI68">IF( ISERROR(INDEX($A$4:$A$60,SMALL(IF($BI$4:$BI$60&lt;&gt;0,ROW($BI$4:$BI$60)-4),ROW(BI2)))),"",INDEX($A$4:$A$60,SMALL(IF($BI$4:$BI$60&lt;&gt;0,ROW($BI$5:$BI$60)-4),ROW(BI2))))</f>
        <v/>
      </c>
      <c r="BJ68" s="1321" t="str">
        <f t="array" ref="BJ68">IF(ISERROR(INDEX($BI$4:$BI$60,SMALL(IF($BI$4:$BI$60&lt;&gt;0,ROW($BI$4:$BI$60)-3),ROW(BJ2)))),"",INDEX($BI$4:$BI$60,SMALL(IF($BI$4:$BI$60&lt;&gt;0,ROW($BI$4:$BI$60)-3),ROW(BJ2))))</f>
        <v/>
      </c>
      <c r="BK68" s="1321" t="str">
        <f t="array" ref="BK68">IF( ISERROR(INDEX($A$4:$A$60,SMALL(IF($BK$4:$BK$60&lt;&gt;0,ROW($BK$4:$BK$60)-4),ROW(BK2)))),"",INDEX($A$4:$A$60,SMALL(IF($BK$4:$BK$60&lt;&gt;0,ROW($BK$5:$BK$60)-4),ROW(BK2))))</f>
        <v/>
      </c>
      <c r="BL68" s="1321" t="str">
        <f t="array" ref="BL68">IF(ISERROR(INDEX($BK$4:$BK$60,SMALL(IF($BK$4:$BK$60&lt;&gt;0,ROW($BK$4:$BK$60)-3),ROW(BL2)))),"",INDEX($BK$4:$BK$60,SMALL(IF($BK$4:$BK$60&lt;&gt;0,ROW($BK$4:$BK$60)-3),ROW(BL2))))</f>
        <v/>
      </c>
      <c r="BM68" s="1321" t="str">
        <f t="array" ref="BM68">IF( ISERROR(INDEX($A$4:$A$60,SMALL(IF($BM$4:$BM$60&lt;&gt;0,ROW($BM$4:$BM$60)-4),ROW(BM2)))),"",INDEX($A$4:$A$60,SMALL(IF($BM$4:$BM$60&lt;&gt;0,ROW($BM$5:$BM$60)-4),ROW(BM2))))</f>
        <v/>
      </c>
      <c r="BN68" s="1321" t="str">
        <f t="array" ref="BN68">IF(ISERROR(INDEX($BM$4:$BM$60,SMALL(IF($BM$4:$BM$60&lt;&gt;0,ROW($BM$4:$BM$60)-3),ROW(BN2)))),"",INDEX($BM$4:$BM$60,SMALL(IF($BM$4:$BM$60&lt;&gt;0,ROW($BM$4:$BM$60)-3),ROW(BN2))))</f>
        <v/>
      </c>
      <c r="BO68" s="1321" t="str">
        <f t="array" ref="BO68">IF( ISERROR(INDEX($A$4:$A$60,SMALL(IF($BO$4:$BO$60&lt;&gt;0,ROW($BO$4:$BO$60)-4),ROW(BO2)))),"",INDEX($A$4:$A$60,SMALL(IF($BO$4:$BO$60&lt;&gt;0,ROW($BO$5:$BO$60)-4),ROW(BO2))))</f>
        <v/>
      </c>
      <c r="BP68" s="1321" t="str">
        <f t="array" ref="BP68">IF(ISERROR(INDEX($BO$4:$BO$60,SMALL(IF($BO$4:$BO$60&lt;&gt;0,ROW($BO$4:$BO$60)-3),ROW(BP2)))),"",INDEX($BO$4:$BO$60,SMALL(IF($BO$4:$BO$60&lt;&gt;0,ROW($BO$4:$BO$60)-3),ROW(BP2))))</f>
        <v/>
      </c>
      <c r="BQ68" s="1321" t="str">
        <f t="array" ref="BQ68">IF( ISERROR(INDEX($A$4:$A$60,SMALL(IF($BQ$4:$BQ$60&lt;&gt;0,ROW($BQ$4:$BQ$60)-4),ROW(BQ2)))),"",INDEX($A$4:$A$60,SMALL(IF($BQ$4:$BQ$60&lt;&gt;0,ROW($BQ$5:$BQ$60)-4),ROW(BQ2))))</f>
        <v/>
      </c>
      <c r="BR68" s="1321" t="str">
        <f t="array" ref="BR68">IF(ISERROR(INDEX($BQ$4:$BQ$60,SMALL(IF($BQ$4:$BQ$60&lt;&gt;0,ROW($BQ$4:$BQ$60)-3),ROW(BR2)))),"",INDEX($BQ$4:$BQ$60,SMALL(IF($BQ$4:$BQ$60&lt;&gt;0,ROW($BQ$4:$BQ$60)-3),ROW(BR2))))</f>
        <v/>
      </c>
      <c r="BS68" s="1321" t="str">
        <f t="array" ref="BS68">IF( ISERROR(INDEX($A$4:$A$60,SMALL(IF($BS$4:$BS$60&lt;&gt;0,ROW($BS$4:$BS$60)-4),ROW(BS2)))),"",INDEX($A$4:$A$60,SMALL(IF($BS$4:$BS$60&lt;&gt;0,ROW($BS$5:$BS$60)-4),ROW(BS2))))</f>
        <v/>
      </c>
      <c r="BT68" s="1321" t="str">
        <f t="array" ref="BT68">IF(ISERROR(INDEX($BS$4:$BS$60,SMALL(IF($BS$4:$BS$60&lt;&gt;0,ROW($BS$4:$BS$60)-3),ROW(BT2)))),"",INDEX($BS$4:$BS$60,SMALL(IF($BS$4:$BS$60&lt;&gt;0,ROW($BS$4:$BS$60)-3),ROW(BT2))))</f>
        <v/>
      </c>
      <c r="BU68" s="1321" t="str">
        <f t="array" ref="BU68">IF( ISERROR(INDEX($A$4:$A$60,SMALL(IF($BU$4:$BU$60&lt;&gt;0,ROW($BU$4:$BU$60)-4),ROW(BU2)))),"",INDEX($A$4:$A$60,SMALL(IF($BU$4:$BU$60&lt;&gt;0,ROW($BU$5:$BU$60)-4),ROW(BU2))))</f>
        <v/>
      </c>
      <c r="BV68" s="1321" t="str">
        <f t="array" ref="BV68">IF(ISERROR(INDEX($BQ$4:$BQ$60,SMALL(IF($BU$4:$BU$60&lt;&gt;0,ROW($BU$4:$BU$60)-3),ROW(BV2)))),"",INDEX($BU$4:$BU$60,SMALL(IF($BU$4:$BU$60&lt;&gt;0,ROW($BU$4:$BU$60)-3),ROW(BV2))))</f>
        <v/>
      </c>
      <c r="BW68" s="1321" t="str">
        <f t="array" ref="BW68">IF( ISERROR(INDEX($A$4:$A$60,SMALL(IF($BW$4:$BW$60&lt;&gt;0,ROW($BW$4:$BW$60)-4),ROW(BW2)))),"",INDEX($A$4:$A$60,SMALL(IF($BW$4:$BW$60&lt;&gt;0,ROW($BW$5:$BW$60)-4),ROW(BW2))))</f>
        <v/>
      </c>
      <c r="BX68" s="1321" t="str">
        <f t="array" ref="BX68">IF(ISERROR(INDEX($BW$4:$BW$60,SMALL(IF($BW$4:$BW$60&lt;&gt;0,ROW($BW$4:$BW$60)-3),ROW(BX2)))),"",INDEX($BW$4:$BW$60,SMALL(IF($BW$4:$BW$60&lt;&gt;0,ROW($BW$4:$BW$60)-3),ROW(BX2))))</f>
        <v/>
      </c>
      <c r="BY68" s="1321" t="str">
        <f t="array" ref="BY68">IF( ISERROR(INDEX($A$4:$A$60,SMALL(IF($BY$4:$BY$60&lt;&gt;0,ROW($BY$4:$BY$60)-4),ROW(BY2)))),"",INDEX($A$4:$A$60,SMALL(IF($BY$4:$BY$60&lt;&gt;0,ROW($BY$5:$BY$60)-4),ROW(BY2))))</f>
        <v/>
      </c>
      <c r="BZ68" s="1321" t="str">
        <f t="array" ref="BZ68">IF(ISERROR(INDEX($BY$4:$BY$60,SMALL(IF($BY$4:$BY$60&lt;&gt;0,ROW($BY$4:$BY$60)-3),ROW(BZ2)))),"",INDEX($BY$4:$BY$60,SMALL(IF($BY$4:$BY$60&lt;&gt;0,ROW($BY$4:$BY$60)-3),ROW(BZ2))))</f>
        <v/>
      </c>
      <c r="CA68" s="1321" t="str">
        <f t="array" ref="CA68">IF( ISERROR(INDEX($A$4:$A$60,SMALL(IF($CA$4:$CA$60&lt;&gt;0,ROW($CA$4:$CA$60)-4),ROW(CA2)))),"",INDEX($A$4:$A$60,SMALL(IF($CA$4:$CA$60&lt;&gt;0,ROW($CA$5:$CA$60)-4),ROW(CA2))))</f>
        <v/>
      </c>
      <c r="CB68" s="1321" t="str">
        <f t="array" ref="CB68">IF(ISERROR(INDEX($CA$4:$CA$60,SMALL(IF($CA$4:$CA$60&lt;&gt;0,ROW($CA$4:$CA$60)-3),ROW(CB2)))),"",INDEX($CA$4:$CA$60,SMALL(IF($CA$4:$CA$60&lt;&gt;0,ROW($CA$4:$CA$60)-3),ROW(CB2))))</f>
        <v/>
      </c>
      <c r="CC68" s="1321" t="str">
        <f t="array" ref="CC68">IF( ISERROR(INDEX($A$4:$A$60,SMALL(IF($CC$4:$CC$60&lt;&gt;0,ROW($CC$4:$CC$60)-4),ROW(CC2)))),"",INDEX($A$4:$A$60,SMALL(IF($CC$4:$CC$60&lt;&gt;0,ROW($CC$5:$CC$60)-4),ROW(CC2))))</f>
        <v/>
      </c>
      <c r="CD68" s="1321" t="str">
        <f t="array" ref="CD68">IF(ISERROR(INDEX($CC$4:$CC$60,SMALL(IF($CC$4:$CC$60&lt;&gt;0,ROW($CC$4:$CC$60)-3),ROW(CD2)))),"",INDEX($CC$4:$CC$60,SMALL(IF($CC$4:$CC$60&lt;&gt;0,ROW($CC$4:$CC$60)-3),ROW(CD2))))</f>
        <v/>
      </c>
      <c r="CE68" s="1321" t="str">
        <f t="array" ref="CE68">IF( ISERROR(INDEX($A$4:$A$60,SMALL(IF($CE$4:$CE$60&lt;&gt;0,ROW($CE$4:$CE$60)-4),ROW(CE2)))),"",INDEX($A$4:$A$60,SMALL(IF($CE$4:$CE$60&lt;&gt;0,ROW($CE$5:$CE$60)-4),ROW(CE2))))</f>
        <v/>
      </c>
      <c r="CF68" s="1321" t="str">
        <f t="array" ref="CF68">IF(ISERROR(INDEX($CE$4:$CE$60,SMALL(IF($CE$4:$CE$60&lt;&gt;0,ROW($CE$4:$CE$60)-3),ROW(CF2)))),"",INDEX($CE$4:$CE$60,SMALL(IF($CE$4:$CE$60&lt;&gt;0,ROW($CE$4:$CE$60)-3),ROW(CF2))))</f>
        <v/>
      </c>
      <c r="CG68" s="1321" t="str">
        <f t="array" ref="CG68">IF( ISERROR(INDEX($A$4:$A$60,SMALL(IF($CG$4:$CG$60&lt;&gt;0,ROW($CG$4:$CG$60)-4),ROW(CG2)))),"",INDEX($A$4:$A$60,SMALL(IF($CG$4:$CG$60&lt;&gt;0,ROW($CG$5:$CG$60)-4),ROW(CG2))))</f>
        <v/>
      </c>
      <c r="CH68" s="1321" t="str">
        <f t="array" ref="CH68">IF(ISERROR(INDEX($CG$4:$CG$60,SMALL(IF($CG$4:$CG$60&lt;&gt;0,ROW($CG$4:$CG$60)-3),ROW(CH2)))),"",INDEX($CG$4:$CG$60,SMALL(IF($CG$4:$CG$60&lt;&gt;0,ROW($CG$4:$CG$60)-3),ROW(CH2))))</f>
        <v/>
      </c>
      <c r="CI68" s="1321" t="str">
        <f t="array" ref="CI68">IF( ISERROR(INDEX($A$4:$A$60,SMALL(IF($CA$4:$CA$60&lt;&gt;0,ROW($CA$4:$CA$60)-4),ROW(CI2)))),"",INDEX($A$4:$A$60,SMALL(IF($CA$4:$CA$60&lt;&gt;0,ROW($CA$5:$CA$60)-4),ROW(CI2))))</f>
        <v/>
      </c>
      <c r="CJ68" s="1321" t="str">
        <f t="array" ref="CJ68">IF(ISERROR(INDEX($CA$4:$CA$60,SMALL(IF($CA$4:$CA$60&lt;&gt;0,ROW($CA$4:$CA$60)-3),ROW(CJ2)))),"",INDEX($CA$4:$CA$60,SMALL(IF($CA$4:$CA$60&lt;&gt;0,ROW($CA$4:$CA$60)-3),ROW(CJ2))))</f>
        <v/>
      </c>
      <c r="CK68" s="1321" t="str">
        <f t="array" ref="CK68">IF( ISERROR(INDEX($A$4:$A$60,SMALL(IF($CK$4:$CK$60&lt;&gt;0,ROW($CK$4:$CK$60)-4),ROW(CK2)))),"",INDEX($A$4:$A$60,SMALL(IF($CK$4:$CK$60&lt;&gt;0,ROW($CK$5:$CK$60)-4),ROW(CK2))))</f>
        <v/>
      </c>
      <c r="CL68" s="1321" t="str">
        <f t="array" ref="CL68">IF(ISERROR(INDEX($CK$4:$CK$60,SMALL(IF($CK$4:$CK$60&lt;&gt;0,ROW($CK$4:$CK$60)-3),ROW(CL2)))),"",INDEX($CK$4:$CK$60,SMALL(IF($CK$4:$CK$60&lt;&gt;0,ROW($CK$4:$CK$60)-3),ROW(CL2))))</f>
        <v/>
      </c>
      <c r="CM68" s="1321" t="str">
        <f t="array" ref="CM68">IF( ISERROR(INDEX($A$4:$A$60,SMALL(IF($CM$4:$CM$60&lt;&gt;0,ROW($CM$4:$CM$60)-4),ROW(CM2)))),"",INDEX($A$4:$A$60,SMALL(IF($CM$4:$CM$60&lt;&gt;0,ROW($CM$5:$CM$60)-4),ROW(CM2))))</f>
        <v/>
      </c>
      <c r="CN68" s="1321" t="str">
        <f t="array" ref="CN68">IF(ISERROR(INDEX($CM$4:$CM$60,SMALL(IF($CM$4:$CM$60&lt;&gt;0,ROW($CM$4:$CM$60)-3),ROW(CN2)))),"",INDEX($CM$4:$CM$60,SMALL(IF($CM$4:$CM$60&lt;&gt;0,ROW($CM$4:$CM$60)-3),ROW(CN2))))</f>
        <v/>
      </c>
      <c r="CO68" s="1321" t="str">
        <f t="array" ref="CO68">IF( ISERROR(INDEX($A$4:$A$60,SMALL(IF($CO$4:$CO$60&lt;&gt;0,ROW($CO$4:$CO$60)-4),ROW(CO2)))),"",INDEX($A$4:$A$60,SMALL(IF($CO$4:$CO$60&lt;&gt;0,ROW($CO$5:$CO$60)-4),ROW(CO2))))</f>
        <v/>
      </c>
      <c r="CP68" s="1321" t="str">
        <f t="array" ref="CP68">IF(ISERROR(INDEX($CO$4:$CO$60,SMALL(IF($CO$4:$CO$60&lt;&gt;0,ROW($CO$4:$CO$60)-3),ROW(CP2)))),"",INDEX($CO$4:$CO$60,SMALL(IF($CO$4:$CO$60&lt;&gt;0,ROW($CO$4:$CO$60)-3),ROW(CP2))))</f>
        <v/>
      </c>
      <c r="CQ68" s="1321" t="str">
        <f t="array" ref="CQ68">IF( ISERROR(INDEX($A$4:$A$60,SMALL(IF($CQ$4:$CQ$60&lt;&gt;0,ROW($CQ$4:$CQ$60)-4),ROW(CQ2)))),"",INDEX($A$4:$A$60,SMALL(IF($CQ$4:$CQ$60&lt;&gt;0,ROW($CQ$5:$CQ$60)-4),ROW(CQ2))))</f>
        <v/>
      </c>
      <c r="CR68" s="1321" t="str">
        <f t="array" ref="CR68">IF(ISERROR(INDEX($CQ$4:$CQ$60,SMALL(IF($CQ$4:$CQ$60&lt;&gt;0,ROW($CQ$4:$CQ$60)-3),ROW(CR2)))),"",INDEX($CQ$4:$CQ$60,SMALL(IF($CQ$4:$CQ$60&lt;&gt;0,ROW($CQ$4:$CQ$60)-3),ROW(CR2))))</f>
        <v/>
      </c>
      <c r="CS68" s="1321" t="str">
        <f t="array" ref="CS68">IF( ISERROR(INDEX($A$4:$A$60,SMALL(IF($CS$4:$CS$60&lt;&gt;0,ROW($CS$4:$CS$60)-4),ROW(CS2)))),"",INDEX($A$4:$A$60,SMALL(IF($CS$4:$CS$60&lt;&gt;0,ROW($CS$5:$CS$60)-4),ROW(CS2))))</f>
        <v/>
      </c>
      <c r="CT68" s="1321" t="str">
        <f t="array" ref="CT68">IF(ISERROR(INDEX($CS$4:$CS$60,SMALL(IF($CS$4:$CS$60&lt;&gt;0,ROW($CS$4:$CS$60)-3),ROW(CT2)))),"",INDEX($CS$4:$CS$60,SMALL(IF($CS$4:$CS$60&lt;&gt;0,ROW($CS$4:$CS$60)-3),ROW(CT2))))</f>
        <v/>
      </c>
      <c r="CU68" s="1321" t="str">
        <f t="array" ref="CU68">IF( ISERROR(INDEX($A$4:$A$60,SMALL(IF($CU$4:$CU$60&lt;&gt;0,ROW($CU$4:$CU$60)-4),ROW(CU2)))),"",INDEX($A$4:$A$60,SMALL(IF($CU$4:$CU$60&lt;&gt;0,ROW($CU$5:$CU$60)-4),ROW(CU2))))</f>
        <v/>
      </c>
      <c r="CV68" s="1321" t="str">
        <f t="array" ref="CV68">IF(ISERROR(INDEX($CU$4:$CU$60,SMALL(IF($CU$4:$CU$60&lt;&gt;0,ROW($CU$4:$CU$60)-3),ROW(CV2)))),"",INDEX($CU$4:$CU$60,SMALL(IF($CU$4:$CU$60&lt;&gt;0,ROW($CU$4:$CU$60)-3),ROW(CV2))))</f>
        <v/>
      </c>
      <c r="CW68" s="1321" t="str">
        <f t="array" ref="CW68">IF( ISERROR(INDEX($A$4:$A$60,SMALL(IF($CW$4:$CW$60&lt;&gt;0,ROW($CW$4:$CW$60)-4),ROW(CW2)))),"",INDEX($A$4:$A$60,SMALL(IF($CW$4:$CW$60&lt;&gt;0,ROW($CW$5:$CW$60)-4),ROW(CW2))))</f>
        <v/>
      </c>
      <c r="CX68" s="1321" t="str">
        <f t="array" ref="CX68">IF(ISERROR(INDEX($CW$4:$CW$60,SMALL(IF($CW$4:$CW$60&lt;&gt;0,ROW($CW$4:$CW$60)-3),ROW(CX2)))),"",INDEX($CW$4:$CW$60,SMALL(IF($CW$4:$CW$60&lt;&gt;0,ROW($CW$4:$CW$60)-3),ROW(CX2))))</f>
        <v/>
      </c>
      <c r="CY68" s="1321" t="str">
        <f t="array" ref="CY68">IF( ISERROR(INDEX($A$4:$A$60,SMALL(IF($CY$4:$CY$60&lt;&gt;0,ROW($CY$4:$CY$60)-4),ROW(CY2)))),"",INDEX($A$4:$A$60,SMALL(IF($CY$4:$CY$60&lt;&gt;0,ROW($CY$5:$CY$60)-4),ROW(CY2))))</f>
        <v/>
      </c>
      <c r="CZ68" s="1321" t="str">
        <f t="array" ref="CZ68">IF(ISERROR(INDEX($CY$4:$CY$60,SMALL(IF($CY$4:$CY$60&lt;&gt;0,ROW($CY$4:$CY$60)-3),ROW(CZ2)))),"",INDEX($CY$4:$CY$60,SMALL(IF($CY$4:$CY$60&lt;&gt;0,ROW($CY$4:$CY$60)-3),ROW(CZ2))))</f>
        <v/>
      </c>
      <c r="DA68" s="1321"/>
      <c r="DB68" s="1321"/>
      <c r="DC68" s="1321"/>
      <c r="DD68" s="1321"/>
      <c r="DE68" s="1321"/>
      <c r="DF68" s="1321"/>
      <c r="DG68" s="1321"/>
      <c r="DH68" s="1321"/>
      <c r="DI68" s="1321"/>
      <c r="DJ68" s="1321"/>
      <c r="DK68" s="1321"/>
      <c r="DL68" s="1321"/>
      <c r="DM68" s="1321"/>
      <c r="DN68" s="1321"/>
      <c r="DO68" s="1321"/>
      <c r="DP68" s="1321"/>
      <c r="DQ68" s="1321"/>
      <c r="DR68" s="1321"/>
      <c r="DS68" s="1321"/>
      <c r="DT68" s="1321"/>
      <c r="DU68" s="1321"/>
      <c r="DV68" s="1321"/>
      <c r="DW68" s="1321"/>
      <c r="DX68" s="1321"/>
      <c r="DY68" s="1321"/>
      <c r="DZ68" s="1321"/>
      <c r="EA68" s="1321"/>
      <c r="EB68" s="1321"/>
      <c r="EC68" s="1321"/>
      <c r="ED68" s="1321"/>
      <c r="EE68" s="1321"/>
      <c r="EF68" s="1321"/>
      <c r="EG68" s="1321"/>
      <c r="EH68" s="1321"/>
      <c r="EI68" s="1321"/>
      <c r="EJ68" s="1321"/>
      <c r="EK68" s="1321"/>
      <c r="EL68" s="1321"/>
      <c r="EM68" s="1321"/>
      <c r="EN68" s="1321"/>
      <c r="EO68" s="1321"/>
      <c r="EP68" s="1321"/>
      <c r="EQ68" s="1321"/>
      <c r="ER68" s="1321"/>
      <c r="ES68" s="1321"/>
      <c r="ET68" s="1321"/>
      <c r="EU68" s="1321"/>
      <c r="EV68" s="1321"/>
      <c r="EW68" s="1321"/>
      <c r="EX68" s="1321"/>
      <c r="EY68" s="1321"/>
      <c r="EZ68" s="1321"/>
      <c r="FA68" s="1321"/>
      <c r="FB68" s="1321"/>
      <c r="FC68" s="1321"/>
      <c r="FD68" s="1321"/>
      <c r="FE68" s="1321"/>
      <c r="FF68" s="1321"/>
      <c r="FG68" s="1321"/>
      <c r="FH68" s="1321"/>
      <c r="FI68" s="1321"/>
      <c r="FJ68" s="1321"/>
      <c r="FK68" s="1321"/>
      <c r="FL68" s="1321"/>
      <c r="FM68" s="1321"/>
      <c r="FN68" s="1321"/>
      <c r="FO68" s="1321"/>
      <c r="FP68" s="1321"/>
      <c r="FQ68" s="1321"/>
      <c r="FR68" s="1321"/>
      <c r="FS68" s="1321"/>
      <c r="FT68" s="1321"/>
      <c r="FU68" s="1321"/>
      <c r="FV68" s="1321"/>
      <c r="FW68" s="1321"/>
      <c r="FX68" s="1321"/>
      <c r="FY68" s="1321"/>
      <c r="FZ68" s="1321"/>
      <c r="GA68" s="1321"/>
      <c r="GB68" s="1321"/>
      <c r="GC68" s="1321"/>
      <c r="GD68" s="1321"/>
      <c r="GE68" s="1321"/>
      <c r="GF68" s="1321"/>
      <c r="GG68" s="1321"/>
      <c r="GH68" s="1321"/>
      <c r="GI68" s="1321"/>
      <c r="GJ68" s="1321"/>
      <c r="GK68" s="1321"/>
      <c r="GL68" s="1321"/>
      <c r="GM68" s="1321"/>
      <c r="GN68" s="1321"/>
      <c r="GO68" s="1321"/>
      <c r="GP68" s="1321"/>
      <c r="GQ68" s="1321"/>
      <c r="GR68" s="1321"/>
      <c r="GS68" s="1321"/>
      <c r="GT68" s="1321"/>
      <c r="GU68" s="1321"/>
      <c r="GV68" s="1321"/>
      <c r="GW68" s="1321"/>
      <c r="GX68" s="1321"/>
      <c r="GY68" s="1321"/>
      <c r="GZ68" s="1321"/>
    </row>
    <row r="69" spans="3:208" hidden="1">
      <c r="C69" s="1321" t="str">
        <f t="array" ref="C69">IF( ISERROR(INDEX($A$4:$A$60,SMALL(IF($C$4:$C$60&lt;&gt;0,ROW($C$4:$C$60)-4),ROW(A3)))),"",INDEX($A$4:$A$60,SMALL(IF($C$4:$C$60&lt;&gt;0,ROW($C$5:$C$60)-4),ROW(A3))))</f>
        <v/>
      </c>
      <c r="D69" s="1321" t="str">
        <f t="array" ref="D69">IF(ISERROR(INDEX($C$4:$C$60,SMALL(IF($C$4:$C$60&lt;&gt;0,ROW($C$4:$C$60)-3),ROW(D3)))),"",INDEX($C$4:$C$60,SMALL(IF($C$4:$C$60&lt;&gt;0,ROW($C$4:$C$60)-3),ROW(D3))))</f>
        <v/>
      </c>
      <c r="E69" s="1321" t="str">
        <f t="array" ref="E69">IF( ISERROR(INDEX($A$4:$A$60,SMALL(IF($E$4:$E$60&lt;&gt;0,ROW($E$4:$E$60)-4),ROW(E3)))),"",INDEX($A$4:$A$60,SMALL(IF($E$4:$E$60&lt;&gt;0,ROW($E$5:$E$60)-4),ROW(E3))))</f>
        <v/>
      </c>
      <c r="F69" s="1321" t="str">
        <f t="array" ref="F69">IF(ISERROR(INDEX($E$4:$E$60,SMALL(IF($E$4:$E$60&lt;&gt;0,ROW($E$4:$E$60)-3),ROW(F3)))),"",INDEX($E$4:$E$60,SMALL(IF($E$4:$E$60&lt;&gt;0,ROW($E$4:$E$60)-3),ROW(F3))))</f>
        <v/>
      </c>
      <c r="G69" s="1321" t="str">
        <f t="array" ref="G69">IF( ISERROR(INDEX($A$4:$A$60,SMALL(IF($G$4:$G$60&lt;&gt;0,ROW($G$4:$G$60)-4),ROW(G3)))),"",INDEX($A$4:$A$60,SMALL(IF($G$4:$G$60&lt;&gt;0,ROW($G$5:$G$60)-4),ROW(G3))))</f>
        <v/>
      </c>
      <c r="H69" s="1321" t="str">
        <f t="array" ref="H69">IF(ISERROR(INDEX($E$4:$E$60,SMALL(IF($G$4:$G$60&lt;&gt;0,ROW($G$4:$G$60)-3),ROW(H3)))),"",INDEX($G$4:$G$60,SMALL(IF($G$4:$G$60&lt;&gt;0,ROW($G$4:$G$60)-3),ROW(H3))))</f>
        <v/>
      </c>
      <c r="I69" s="1321" t="str">
        <f t="array" ref="I69">IF( ISERROR(INDEX($A$4:$A$60,SMALL(IF($I$4:$I$60&lt;&gt;0,ROW($I$4:$I$60)-4),ROW(I3)))),"",INDEX($A$4:$A$60,SMALL(IF($I$4:$I$60&lt;&gt;0,ROW($I$5:$I$60)-4),ROW(I3))))</f>
        <v/>
      </c>
      <c r="J69" s="1321" t="str">
        <f t="array" ref="J69">IF(ISERROR(INDEX($I$4:$I$60,SMALL(IF($I$4:$I$60&lt;&gt;0,ROW($I$4:$I$60)-3),ROW(J3)))),"",INDEX($I$4:$I$60,SMALL(IF($I$4:$I$60&lt;&gt;0,ROW($I$4:$I$60)-3),ROW(J3))))</f>
        <v/>
      </c>
      <c r="K69" s="1321" t="str">
        <f t="array" ref="K69">IF( ISERROR(INDEX($A$4:$A$60,SMALL(IF($K$4:$K$60&lt;&gt;0,ROW($K$4:$K$60)-4),ROW(K3)))),"",INDEX($A$4:$A$60,SMALL(IF($K$4:$K$60&lt;&gt;0,ROW($K$5:$K$60)-4),ROW(K3))))</f>
        <v/>
      </c>
      <c r="L69" s="1321" t="str">
        <f t="array" ref="L69">IF(ISERROR(INDEX($K$4:$K$60,SMALL(IF($K$4:$K$60&lt;&gt;0,ROW($K$4:$K$60)-3),ROW(L3)))),"",INDEX($K$4:$K$60,SMALL(IF($K$4:$K$60&lt;&gt;0,ROW($K$4:$K$60)-3),ROW(L3))))</f>
        <v/>
      </c>
      <c r="M69" s="1321" t="str">
        <f t="array" ref="M69">IF( ISERROR(INDEX($A$4:$A$60,SMALL(IF($M$4:$M$60&lt;&gt;0,ROW($M$4:$M$60)-4),ROW(M3)))),"",INDEX($A$4:$A$60,SMALL(IF($M$4:$M$60&lt;&gt;0,ROW($M$5:$M$60)-4),ROW(M3))))</f>
        <v/>
      </c>
      <c r="N69" s="1321" t="str">
        <f t="array" ref="N69">IF(ISERROR(INDEX($M$4:$M$60,SMALL(IF($M$4:$M$60&lt;&gt;0,ROW($M$4:$M$60)-3),ROW(N3)))),"",INDEX($M$4:$M$60,SMALL(IF($M$4:$M$60&lt;&gt;0,ROW($M$4:$M$60)-3),ROW(N3))))</f>
        <v/>
      </c>
      <c r="O69" s="1321" t="str">
        <f t="array" ref="O69">IF( ISERROR(INDEX($A$4:$A$60,SMALL(IF($O$4:$O$60&lt;&gt;0,ROW($O$4:$O$60)-4),ROW(O3)))),"",INDEX($A$4:$A$60,SMALL(IF($O$4:$O$60&lt;&gt;0,ROW($O$5:$O$60)-4),ROW(O3))))</f>
        <v/>
      </c>
      <c r="P69" s="1321" t="str">
        <f t="array" ref="P69">IF(ISERROR(INDEX($O$4:$O$60,SMALL(IF($O$4:$O$60&lt;&gt;0,ROW($O$4:$O$60)-3),ROW(P3)))),"",INDEX($O$4:$O$60,SMALL(IF($O$4:$O$60&lt;&gt;0,ROW($O$4:$O$60)-3),ROW(P3))))</f>
        <v/>
      </c>
      <c r="Q69" s="1321" t="str">
        <f t="array" ref="Q69">IF( ISERROR(INDEX($A$4:$A$60,SMALL(IF($Q$4:$Q$60&lt;&gt;0,ROW($Q$4:$Q$60)-4),ROW(Q3)))),"",INDEX($A$4:$A$60,SMALL(IF($Q$4:$Q$60&lt;&gt;0,ROW($Q$5:$Q$60)-4),ROW(Q3))))</f>
        <v/>
      </c>
      <c r="R69" s="1321" t="str">
        <f t="array" ref="R69">IF(ISERROR(INDEX($Q$4:$Q$60,SMALL(IF($Q$4:$Q$60&lt;&gt;0,ROW($Q$4:$Q$60)-3),ROW(R3)))),"",INDEX($Q$4:$Q$60,SMALL(IF($Q$4:$Q$60&lt;&gt;0,ROW($Q$4:$Q$60)-3),ROW(R3))))</f>
        <v/>
      </c>
      <c r="S69" s="1321" t="str">
        <f t="array" ref="S69">IF( ISERROR(INDEX($A$4:$A$60,SMALL(IF($S$4:$S$60&lt;&gt;0,ROW($S$4:$S$60)-4),ROW(S3)))),"",INDEX($A$4:$A$60,SMALL(IF($S$4:$S$60&lt;&gt;0,ROW($S$5:$S$60)-4),ROW(S3))))</f>
        <v/>
      </c>
      <c r="T69" s="1321" t="str">
        <f t="array" ref="T69">IF(ISERROR(INDEX($S$4:$S$60,SMALL(IF($S$4:$S$60&lt;&gt;0,ROW($S$4:$S$60)-3),ROW(T3)))),"",INDEX($S$4:$S$60,SMALL(IF($S$4:$S$60&lt;&gt;0,ROW($S$4:$S$60)-3),ROW(T3))))</f>
        <v/>
      </c>
      <c r="U69" s="1321" t="str">
        <f t="array" ref="U69">IF( ISERROR(INDEX($A$4:$A$60,SMALL(IF($U$4:$U$60&lt;&gt;0,ROW($U$4:$U$60)-4),ROW(U3)))),"",INDEX($A$4:$A$60,SMALL(IF($U$4:$U$60&lt;&gt;0,ROW($U$5:$U$60)-4),ROW(U3))))</f>
        <v/>
      </c>
      <c r="V69" s="1321" t="str">
        <f t="array" ref="V69">IF(ISERROR(INDEX($U$4:$U$60,SMALL(IF($U$4:$U$60&lt;&gt;0,ROW($U$4:$U$60)-3),ROW(V3)))),"",INDEX($U$4:$U$60,SMALL(IF($U$4:$U$60&lt;&gt;0,ROW($U$4:$U$60)-3),ROW(V3))))</f>
        <v/>
      </c>
      <c r="W69" s="1321" t="str">
        <f t="array" ref="W69">IF( ISERROR(INDEX($A$4:$A$60,SMALL(IF($W$4:$W$60&lt;&gt;0,ROW($W$4:$W$60)-4),ROW(W3)))),"",INDEX($A$4:$A$60,SMALL(IF($W$4:$W$60&lt;&gt;0,ROW($W$5:$W$60)-4),ROW(W3))))</f>
        <v/>
      </c>
      <c r="X69" s="1321" t="str">
        <f t="array" ref="X69">IF(ISERROR(INDEX($W$4:$W$60,SMALL(IF($W$4:$W$60&lt;&gt;0,ROW($W$4:$W$60)-3),ROW(X3)))),"",INDEX($W$4:$W$60,SMALL(IF($W$4:$W$60&lt;&gt;0,ROW($W$4:$W$60)-3),ROW(X3))))</f>
        <v/>
      </c>
      <c r="Y69" s="1321" t="str">
        <f t="array" ref="Y69">IF( ISERROR(INDEX($A$4:$A$60,SMALL(IF($Y$4:$Y$60&lt;&gt;0,ROW($Y$4:$Y$60)-4),ROW(Y3)))),"",INDEX($A$4:$A$60,SMALL(IF($Y$4:$Y$60&lt;&gt;0,ROW($Y$5:$Y$60)-4),ROW(Y3))))</f>
        <v/>
      </c>
      <c r="Z69" s="1321" t="str">
        <f t="array" ref="Z69">IF(ISERROR(INDEX($Y$4:$Y$60,SMALL(IF($Y$4:$Y$60&lt;&gt;0,ROW($Y$4:$Y$60)-3),ROW(Z3)))),"",INDEX($Y$4:$Y$60,SMALL(IF($Y$4:$Y$60&lt;&gt;0,ROW($Y$4:$Y$60)-3),ROW(Z3))))</f>
        <v/>
      </c>
      <c r="AA69" s="1321" t="str">
        <f t="array" ref="AA69">IF( ISERROR(INDEX($A$4:$A$60,SMALL(IF($AA$4:$AA$60&lt;&gt;0,ROW($AA$4:$AA$60)-4),ROW(AA3)))),"",INDEX($A$4:$A$60,SMALL(IF($AA$4:$AA$60&lt;&gt;0,ROW($AA$5:$AA$60)-4),ROW(AA3))))</f>
        <v/>
      </c>
      <c r="AB69" s="1321" t="str">
        <f t="array" ref="AB69">IF(ISERROR(INDEX($AA$4:$AA$60,SMALL(IF($AA$4:$AA$60&lt;&gt;0,ROW($AA$4:$AA$60)-3),ROW(AB3)))),"",INDEX($AA$4:$AA$60,SMALL(IF($AA$4:$AA$60&lt;&gt;0,ROW($AA$4:$AA$60)-3),ROW(AB3))))</f>
        <v/>
      </c>
      <c r="AC69" s="1321" t="str">
        <f t="array" ref="AC69">IF( ISERROR(INDEX($A$4:$A$60,SMALL(IF($AC$4:$AC$60&lt;&gt;0,ROW($AC$4:$AC$60)-4),ROW(AC3)))),"",INDEX($A$4:$A$60,SMALL(IF($AC$4:$AC$60&lt;&gt;0,ROW($AC$5:$AC$60)-4),ROW(AC3))))</f>
        <v/>
      </c>
      <c r="AD69" s="1321" t="str">
        <f t="array" ref="AD69">IF(ISERROR(INDEX($AC$4:$AC$60,SMALL(IF($AC$4:$AC$60&lt;&gt;0,ROW($AC$4:$AC$60)-3),ROW(AD3)))),"",INDEX($AC$4:$AC$60,SMALL(IF($AC$4:$AC$60&lt;&gt;0,ROW($AC$4:$AC$60)-3),ROW(AD3))))</f>
        <v/>
      </c>
      <c r="AE69" s="1321" t="str">
        <f t="array" ref="AE69">IF( ISERROR(INDEX($A$4:$A$60,SMALL(IF($AE$4:$AE$60&lt;&gt;0,ROW($AE$4:$AE$60)-4),ROW(AE3)))),"",INDEX($A$4:$A$60,SMALL(IF($AE$4:$AE$60&lt;&gt;0,ROW($AE$5:$AE$60)-4),ROW(AE3))))</f>
        <v/>
      </c>
      <c r="AF69" s="1321" t="str">
        <f t="array" ref="AF69">IF(ISERROR(INDEX($AE$4:$AE$60,SMALL(IF($AE$4:$AE$60&lt;&gt;0,ROW($AE$4:$AE$60)-3),ROW(AF3)))),"",INDEX($AE$4:$AE$60,SMALL(IF($AE$4:$AE$60&lt;&gt;0,ROW($AE$4:$AE$60)-3),ROW(AF3))))</f>
        <v/>
      </c>
      <c r="AG69" s="1321" t="str">
        <f t="array" ref="AG69">IF( ISERROR(INDEX($A$4:$A$60,SMALL(IF($AG$4:$AG$60&lt;&gt;0,ROW($AG$4:$AG$60)-4),ROW(AG3)))),"",INDEX($A$4:$A$60,SMALL(IF($AG$4:$AG$60&lt;&gt;0,ROW($AG$5:$AG$60)-4),ROW(AG3))))</f>
        <v/>
      </c>
      <c r="AH69" s="1321" t="str">
        <f t="array" ref="AH69">IF(ISERROR(INDEX($AG$4:$AG$60,SMALL(IF($AG$4:$AG$60&lt;&gt;0,ROW($AG$4:$AG$60)-3),ROW(AH3)))),"",INDEX($AG$4:$AG$60,SMALL(IF($AG$4:$AG$60&lt;&gt;0,ROW($AG$4:$AG$60)-3),ROW(AH3))))</f>
        <v/>
      </c>
      <c r="AI69" s="1321" t="str">
        <f t="array" ref="AI69">IF( ISERROR(INDEX($A$4:$A$60,SMALL(IF($AI$4:$AI$60&lt;&gt;0,ROW($AI$4:$AI$60)-4),ROW(AI3)))),"",INDEX($A$4:$A$60,SMALL(IF($AI$4:$AI$60&lt;&gt;0,ROW($AI$5:$AI$60)-4),ROW(AI3))))</f>
        <v/>
      </c>
      <c r="AJ69" s="1321" t="str">
        <f t="array" ref="AJ69">IF(ISERROR(INDEX($E$4:$E$60,SMALL(IF($AI$4:$AI$60&lt;&gt;0,ROW($AI$4:$AI$60)-3),ROW(AJ3)))),"",INDEX($AI$4:$AI$60,SMALL(IF($AI$4:$AI$60&lt;&gt;0,ROW($AI$4:$AI$60)-3),ROW(AJ3))))</f>
        <v/>
      </c>
      <c r="AK69" s="1321" t="str">
        <f t="array" ref="AK69">IF( ISERROR(INDEX($A$4:$A$60,SMALL(IF($AK$4:$AK$60&lt;&gt;0,ROW($AK$4:$AK$60)-4),ROW(AK3)))),"",INDEX($A$4:$A$60,SMALL(IF($AK$4:$AK$60&lt;&gt;0,ROW($AK$5:$AK$60)-4),ROW(AK3))))</f>
        <v/>
      </c>
      <c r="AL69" s="1321" t="str">
        <f t="array" ref="AL69">IF(ISERROR(INDEX($AK$4:$AK$60,SMALL(IF($AK$4:$AK$60&lt;&gt;0,ROW($AK$4:$AK$60)-3),ROW(AL3)))),"",INDEX($AK$4:$AK$60,SMALL(IF($AK$4:$AK$60&lt;&gt;0,ROW($AK$4:$AK$60)-3),ROW(AL3))))</f>
        <v/>
      </c>
      <c r="AM69" s="1321" t="str">
        <f t="array" ref="AM69">IF( ISERROR(INDEX($A$4:$A$60,SMALL(IF($AM$4:$AM$60&lt;&gt;0,ROW($AM$4:$AM$60)-4),ROW(AM3)))),"",INDEX($A$4:$A$60,SMALL(IF($AM$4:$AM$60&lt;&gt;0,ROW($AM$5:$AM$60)-4),ROW(AM3))))</f>
        <v/>
      </c>
      <c r="AN69" s="1321" t="str">
        <f t="array" ref="AN69">IF(ISERROR(INDEX($AM$4:$AM$60,SMALL(IF($AM$4:$AM$60&lt;&gt;0,ROW($AM$4:$AM$60)-3),ROW(AN3)))),"",INDEX($AM$4:$AM$60,SMALL(IF($AM$4:$AM$60&lt;&gt;0,ROW($AM$4:$AM$60)-3),ROW(AN3))))</f>
        <v/>
      </c>
      <c r="AO69" s="1321" t="str">
        <f t="array" ref="AO69">IF( ISERROR(INDEX($A$4:$A$60,SMALL(IF($AO$4:$AO$60&lt;&gt;0,ROW($AO$4:$AO$60)-4),ROW(AO3)))),"",INDEX($A$4:$A$60,SMALL(IF($AO$4:$AO$60&lt;&gt;0,ROW($AO$5:$AO$60)-4),ROW(AO3))))</f>
        <v/>
      </c>
      <c r="AP69" s="1321" t="str">
        <f t="array" ref="AP69">IF(ISERROR(INDEX($AO$4:$AO$60,SMALL(IF($AO$4:$AO$60&lt;&gt;0,ROW($AO$4:$AO$60)-3),ROW(AP3)))),"",INDEX($AO$4:$AO$60,SMALL(IF($AO$4:$AO$60&lt;&gt;0,ROW($AO$4:$AO$60)-3),ROW(AP3))))</f>
        <v/>
      </c>
      <c r="AQ69" s="1321" t="str">
        <f t="array" ref="AQ69">IF( ISERROR(INDEX($A$4:$A$60,SMALL(IF($AQ$4:$AQ$60&lt;&gt;0,ROW($AQ$4:$AQ$60)-4),ROW(AQ3)))),"",INDEX($A$4:$A$60,SMALL(IF($AQ$4:$AQ$60&lt;&gt;0,ROW($AQ$5:$AQ$60)-4),ROW(AQ3))))</f>
        <v/>
      </c>
      <c r="AR69" s="1321" t="str">
        <f t="array" ref="AR69">IF(ISERROR(INDEX($AQ$4:$AQ$60,SMALL(IF($AQ$4:$AQ$60&lt;&gt;0,ROW($AQ$4:$AQ$60)-3),ROW(AR3)))),"",INDEX($AQ$4:$AQ$60,SMALL(IF($AQ$4:$AQ$60&lt;&gt;0,ROW($AQ$4:$AQ$60)-3),ROW(AR3))))</f>
        <v/>
      </c>
      <c r="AS69" s="1321" t="str">
        <f t="array" ref="AS69">IF( ISERROR(INDEX($A$4:$A$60,SMALL(IF($AS$4:$AS$60&lt;&gt;0,ROW($AS$4:$AS$60)-4),ROW(AS3)))),"",INDEX($A$4:$A$60,SMALL(IF($AS$4:$AS$60&lt;&gt;0,ROW($AS$5:$AS$60)-4),ROW(AS3))))</f>
        <v/>
      </c>
      <c r="AT69" s="1321" t="str">
        <f t="array" ref="AT69">IF(ISERROR(INDEX($AS$4:$AS$60,SMALL(IF($AS$4:$AS$60&lt;&gt;0,ROW($AS$4:$AS$60)-3),ROW(AT3)))),"",INDEX($AS$4:$AS$60,SMALL(IF($AS$4:$AS$60&lt;&gt;0,ROW($AS$4:$AS$60)-3),ROW(AT3))))</f>
        <v/>
      </c>
      <c r="AU69" s="1321" t="str">
        <f t="array" ref="AU69">IF( ISERROR(INDEX($A$4:$A$60,SMALL(IF($AU$4:$AU$60&lt;&gt;0,ROW($AU$4:$AU$60)-4),ROW(AU3)))),"",INDEX($A$4:$A$60,SMALL(IF($AU$4:$AU$60&lt;&gt;0,ROW($AU$5:$AU$60)-4),ROW(AU3))))</f>
        <v/>
      </c>
      <c r="AV69" s="1321" t="str">
        <f t="array" ref="AV69">IF(ISERROR(INDEX($AU$4:$AU$60,SMALL(IF($AU$4:$AU$60&lt;&gt;0,ROW($AU$4:$AU$60)-3),ROW(AV3)))),"",INDEX($AU$4:$AU$60,SMALL(IF($AU$4:$AU$60&lt;&gt;0,ROW($AU$4:$AU$60)-3),ROW(AV3))))</f>
        <v/>
      </c>
      <c r="AW69" s="1321" t="str">
        <f t="array" ref="AW69">IF( ISERROR(INDEX($A$4:$A$60,SMALL(IF($AW$4:$AW$60&lt;&gt;0,ROW($AW$4:$AW$60)-4),ROW(AW3)))),"",INDEX($A$4:$A$60,SMALL(IF($AW$4:$AW$60&lt;&gt;0,ROW($AW$5:$AW$60)-4),ROW(AW3))))</f>
        <v/>
      </c>
      <c r="AX69" s="1321" t="str">
        <f t="array" ref="AX69">IF(ISERROR(INDEX($AW$4:$AW$60,SMALL(IF($AW$4:$AW$60&lt;&gt;0,ROW($AW$4:$AW$60)-3),ROW(AX3)))),"",INDEX($AW$4:$AW$60,SMALL(IF($AW$4:$AW$60&lt;&gt;0,ROW($AW$4:$AW$60)-3),ROW(AX3))))</f>
        <v/>
      </c>
      <c r="AY69" s="1321" t="str">
        <f t="array" ref="AY69">IF( ISERROR(INDEX($A$4:$A$60,SMALL(IF($AY$4:$AY$60&lt;&gt;0,ROW($AY$4:$AY$60)-4),ROW(AY3)))),"",INDEX($A$4:$A$60,SMALL(IF($AY$4:$AY$60&lt;&gt;0,ROW($AY$5:$AY$60)-4),ROW(AY3))))</f>
        <v/>
      </c>
      <c r="AZ69" s="1321" t="str">
        <f t="array" ref="AZ69">IF(ISERROR(INDEX($AY$4:$AY$60,SMALL(IF($AY$4:$AY$60&lt;&gt;0,ROW($AY$4:$AY$60)-3),ROW(AZ3)))),"",INDEX($AY$4:$AY$60,SMALL(IF($AY$4:$AY$60&lt;&gt;0,ROW($AY$4:$AY$60)-3),ROW(AZ3))))</f>
        <v/>
      </c>
      <c r="BA69" s="1321" t="str">
        <f t="array" ref="BA69">IF( ISERROR(INDEX($A$4:$A$60,SMALL(IF($BA$4:$BA$60&lt;&gt;0,ROW($BA$4:$BA$60)-4),ROW(BA3)))),"",INDEX($A$4:$A$60,SMALL(IF($BA$4:$BA$60&lt;&gt;0,ROW($BA$5:$BA$60)-4),ROW(BA3))))</f>
        <v/>
      </c>
      <c r="BB69" s="1321" t="str">
        <f t="array" ref="BB69">IF(ISERROR(INDEX($BA$4:$BA$60,SMALL(IF($BA$4:$BA$60&lt;&gt;0,ROW($BA$4:$BA$60)-3),ROW(BB3)))),"",INDEX($BA$4:$BA$60,SMALL(IF($BA$4:$BA$60&lt;&gt;0,ROW($BA$4:$BA$60)-3),ROW(BB3))))</f>
        <v/>
      </c>
      <c r="BC69" s="1321" t="str">
        <f t="array" ref="BC69">IF( ISERROR(INDEX($A$4:$A$60,SMALL(IF($BC$4:$BC$60&lt;&gt;0,ROW($BC$4:$BC$60)-4),ROW(BC3)))),"",INDEX($A$4:$A$60,SMALL(IF($BC$4:$BC$60&lt;&gt;0,ROW($BC$5:$BC$60)-4),ROW(BC3))))</f>
        <v/>
      </c>
      <c r="BD69" s="1321" t="str">
        <f t="array" ref="BD69">IF(ISERROR(INDEX($BC$4:$BC$60,SMALL(IF($BC$4:$BC$60&lt;&gt;0,ROW($BC$4:$BC$60)-3),ROW(BD3)))),"",INDEX($BC$4:$BC$60,SMALL(IF($BC$4:$BC$60&lt;&gt;0,ROW($BC$4:$BC$60)-3),ROW(BD3))))</f>
        <v/>
      </c>
      <c r="BE69" s="1321" t="str">
        <f t="array" ref="BE69">IF( ISERROR(INDEX($A$4:$A$60,SMALL(IF($BE$4:$BE$60&lt;&gt;0,ROW($BE$4:$BE$60)-4),ROW(BE3)))),"",INDEX($A$4:$A$60,SMALL(IF($BE$4:$BE$60&lt;&gt;0,ROW($BE$5:$BE$60)-4),ROW(BE3))))</f>
        <v/>
      </c>
      <c r="BF69" s="1321" t="str">
        <f t="array" ref="BF69">IF(ISERROR(INDEX($BE$4:$BE$60,SMALL(IF($BE$4:$BE$60&lt;&gt;0,ROW($BE$4:$BE$60)-3),ROW(BF3)))),"",INDEX($BE$4:$BE$60,SMALL(IF($BE$4:$BE$60&lt;&gt;0,ROW($BE$4:$BE$60)-3),ROW(BF3))))</f>
        <v/>
      </c>
      <c r="BG69" s="1321" t="str">
        <f t="array" ref="BG69">IF( ISERROR(INDEX($A$4:$A$60,SMALL(IF($BG$4:$BG$60&lt;&gt;0,ROW($BG$4:$BG$60)-4),ROW(BG3)))),"",INDEX($A$4:$A$60,SMALL(IF($BG$4:$BG$60&lt;&gt;0,ROW($BG$5:$BG$60)-4),ROW(BG3))))</f>
        <v/>
      </c>
      <c r="BH69" s="1321" t="str">
        <f t="array" ref="BH69">IF(ISERROR(INDEX($BG$4:$BG$60,SMALL(IF($BG$4:$BG$60&lt;&gt;0,ROW($BG$4:$BG$60)-3),ROW(BH3)))),"",INDEX($BG$4:$BG$60,SMALL(IF($BG$4:$BG$60&lt;&gt;0,ROW($BG$4:$BG$60)-3),ROW(BH3))))</f>
        <v/>
      </c>
      <c r="BI69" s="1321" t="str">
        <f t="array" ref="BI69">IF( ISERROR(INDEX($A$4:$A$60,SMALL(IF($BI$4:$BI$60&lt;&gt;0,ROW($BI$4:$BI$60)-4),ROW(BI3)))),"",INDEX($A$4:$A$60,SMALL(IF($BI$4:$BI$60&lt;&gt;0,ROW($BI$5:$BI$60)-4),ROW(BI3))))</f>
        <v/>
      </c>
      <c r="BJ69" s="1321" t="str">
        <f t="array" ref="BJ69">IF(ISERROR(INDEX($BI$4:$BI$60,SMALL(IF($BI$4:$BI$60&lt;&gt;0,ROW($BI$4:$BI$60)-3),ROW(BJ3)))),"",INDEX($BI$4:$BI$60,SMALL(IF($BI$4:$BI$60&lt;&gt;0,ROW($BI$4:$BI$60)-3),ROW(BJ3))))</f>
        <v/>
      </c>
      <c r="BK69" s="1321" t="str">
        <f t="array" ref="BK69">IF( ISERROR(INDEX($A$4:$A$60,SMALL(IF($BK$4:$BK$60&lt;&gt;0,ROW($BK$4:$BK$60)-4),ROW(BK3)))),"",INDEX($A$4:$A$60,SMALL(IF($BK$4:$BK$60&lt;&gt;0,ROW($BK$5:$BK$60)-4),ROW(BK3))))</f>
        <v/>
      </c>
      <c r="BL69" s="1321" t="str">
        <f t="array" ref="BL69">IF(ISERROR(INDEX($BK$4:$BK$60,SMALL(IF($BK$4:$BK$60&lt;&gt;0,ROW($BK$4:$BK$60)-3),ROW(BL3)))),"",INDEX($BK$4:$BK$60,SMALL(IF($BK$4:$BK$60&lt;&gt;0,ROW($BK$4:$BK$60)-3),ROW(BL3))))</f>
        <v/>
      </c>
      <c r="BM69" s="1321" t="str">
        <f t="array" ref="BM69">IF( ISERROR(INDEX($A$4:$A$60,SMALL(IF($BM$4:$BM$60&lt;&gt;0,ROW($BM$4:$BM$60)-4),ROW(BM3)))),"",INDEX($A$4:$A$60,SMALL(IF($BM$4:$BM$60&lt;&gt;0,ROW($BM$5:$BM$60)-4),ROW(BM3))))</f>
        <v/>
      </c>
      <c r="BN69" s="1321" t="str">
        <f t="array" ref="BN69">IF(ISERROR(INDEX($BM$4:$BM$60,SMALL(IF($BM$4:$BM$60&lt;&gt;0,ROW($BM$4:$BM$60)-3),ROW(BN3)))),"",INDEX($BM$4:$BM$60,SMALL(IF($BM$4:$BM$60&lt;&gt;0,ROW($BM$4:$BM$60)-3),ROW(BN3))))</f>
        <v/>
      </c>
      <c r="BO69" s="1321" t="str">
        <f t="array" ref="BO69">IF( ISERROR(INDEX($A$4:$A$60,SMALL(IF($BO$4:$BO$60&lt;&gt;0,ROW($BO$4:$BO$60)-4),ROW(BO3)))),"",INDEX($A$4:$A$60,SMALL(IF($BO$4:$BO$60&lt;&gt;0,ROW($BO$5:$BO$60)-4),ROW(BO3))))</f>
        <v/>
      </c>
      <c r="BP69" s="1321" t="str">
        <f t="array" ref="BP69">IF(ISERROR(INDEX($BO$4:$BO$60,SMALL(IF($BO$4:$BO$60&lt;&gt;0,ROW($BO$4:$BO$60)-3),ROW(BP3)))),"",INDEX($BO$4:$BO$60,SMALL(IF($BO$4:$BO$60&lt;&gt;0,ROW($BO$4:$BO$60)-3),ROW(BP3))))</f>
        <v/>
      </c>
      <c r="BQ69" s="1321" t="str">
        <f t="array" ref="BQ69">IF( ISERROR(INDEX($A$4:$A$60,SMALL(IF($BQ$4:$BQ$60&lt;&gt;0,ROW($BQ$4:$BQ$60)-4),ROW(BQ3)))),"",INDEX($A$4:$A$60,SMALL(IF($BQ$4:$BQ$60&lt;&gt;0,ROW($BQ$5:$BQ$60)-4),ROW(BQ3))))</f>
        <v/>
      </c>
      <c r="BR69" s="1321" t="str">
        <f t="array" ref="BR69">IF(ISERROR(INDEX($BQ$4:$BQ$60,SMALL(IF($BQ$4:$BQ$60&lt;&gt;0,ROW($BQ$4:$BQ$60)-3),ROW(BR3)))),"",INDEX($BQ$4:$BQ$60,SMALL(IF($BQ$4:$BQ$60&lt;&gt;0,ROW($BQ$4:$BQ$60)-3),ROW(BR3))))</f>
        <v/>
      </c>
      <c r="BS69" s="1321" t="str">
        <f t="array" ref="BS69">IF( ISERROR(INDEX($A$4:$A$60,SMALL(IF($BS$4:$BS$60&lt;&gt;0,ROW($BS$4:$BS$60)-4),ROW(BS3)))),"",INDEX($A$4:$A$60,SMALL(IF($BS$4:$BS$60&lt;&gt;0,ROW($BS$5:$BS$60)-4),ROW(BS3))))</f>
        <v/>
      </c>
      <c r="BT69" s="1321" t="str">
        <f t="array" ref="BT69">IF(ISERROR(INDEX($BS$4:$BS$60,SMALL(IF($BS$4:$BS$60&lt;&gt;0,ROW($BS$4:$BS$60)-3),ROW(BT3)))),"",INDEX($BS$4:$BS$60,SMALL(IF($BS$4:$BS$60&lt;&gt;0,ROW($BS$4:$BS$60)-3),ROW(BT3))))</f>
        <v/>
      </c>
      <c r="BU69" s="1321" t="str">
        <f t="array" ref="BU69">IF( ISERROR(INDEX($A$4:$A$60,SMALL(IF($BU$4:$BU$60&lt;&gt;0,ROW($BU$4:$BU$60)-4),ROW(BU3)))),"",INDEX($A$4:$A$60,SMALL(IF($BU$4:$BU$60&lt;&gt;0,ROW($BU$5:$BU$60)-4),ROW(BU3))))</f>
        <v/>
      </c>
      <c r="BV69" s="1321" t="str">
        <f t="array" ref="BV69">IF(ISERROR(INDEX($BQ$4:$BQ$60,SMALL(IF($BU$4:$BU$60&lt;&gt;0,ROW($BU$4:$BU$60)-3),ROW(BV3)))),"",INDEX($BU$4:$BU$60,SMALL(IF($BU$4:$BU$60&lt;&gt;0,ROW($BU$4:$BU$60)-3),ROW(BV3))))</f>
        <v/>
      </c>
      <c r="BW69" s="1321" t="str">
        <f t="array" ref="BW69">IF( ISERROR(INDEX($A$4:$A$60,SMALL(IF($BW$4:$BW$60&lt;&gt;0,ROW($BW$4:$BW$60)-4),ROW(BW3)))),"",INDEX($A$4:$A$60,SMALL(IF($BW$4:$BW$60&lt;&gt;0,ROW($BW$5:$BW$60)-4),ROW(BW3))))</f>
        <v/>
      </c>
      <c r="BX69" s="1321" t="str">
        <f t="array" ref="BX69">IF(ISERROR(INDEX($BW$4:$BW$60,SMALL(IF($BW$4:$BW$60&lt;&gt;0,ROW($BW$4:$BW$60)-3),ROW(BX3)))),"",INDEX($BW$4:$BW$60,SMALL(IF($BW$4:$BW$60&lt;&gt;0,ROW($BW$4:$BW$60)-3),ROW(BX3))))</f>
        <v/>
      </c>
      <c r="BY69" s="1321" t="str">
        <f t="array" ref="BY69">IF( ISERROR(INDEX($A$4:$A$60,SMALL(IF($BY$4:$BY$60&lt;&gt;0,ROW($BY$4:$BY$60)-4),ROW(BY3)))),"",INDEX($A$4:$A$60,SMALL(IF($BY$4:$BY$60&lt;&gt;0,ROW($BY$5:$BY$60)-4),ROW(BY3))))</f>
        <v/>
      </c>
      <c r="BZ69" s="1321" t="str">
        <f t="array" ref="BZ69">IF(ISERROR(INDEX($BY$4:$BY$60,SMALL(IF($BY$4:$BY$60&lt;&gt;0,ROW($BY$4:$BY$60)-3),ROW(BZ3)))),"",INDEX($BY$4:$BY$60,SMALL(IF($BY$4:$BY$60&lt;&gt;0,ROW($BY$4:$BY$60)-3),ROW(BZ3))))</f>
        <v/>
      </c>
      <c r="CA69" s="1321" t="str">
        <f t="array" ref="CA69">IF( ISERROR(INDEX($A$4:$A$60,SMALL(IF($CA$4:$CA$60&lt;&gt;0,ROW($CA$4:$CA$60)-4),ROW(CA3)))),"",INDEX($A$4:$A$60,SMALL(IF($CA$4:$CA$60&lt;&gt;0,ROW($CA$5:$CA$60)-4),ROW(CA3))))</f>
        <v/>
      </c>
      <c r="CB69" s="1321" t="str">
        <f t="array" ref="CB69">IF(ISERROR(INDEX($CA$4:$CA$60,SMALL(IF($CA$4:$CA$60&lt;&gt;0,ROW($CA$4:$CA$60)-3),ROW(CB3)))),"",INDEX($CA$4:$CA$60,SMALL(IF($CA$4:$CA$60&lt;&gt;0,ROW($CA$4:$CA$60)-3),ROW(CB3))))</f>
        <v/>
      </c>
      <c r="CC69" s="1321" t="str">
        <f t="array" ref="CC69">IF( ISERROR(INDEX($A$4:$A$60,SMALL(IF($CC$4:$CC$60&lt;&gt;0,ROW($CC$4:$CC$60)-4),ROW(CC3)))),"",INDEX($A$4:$A$60,SMALL(IF($CC$4:$CC$60&lt;&gt;0,ROW($CC$5:$CC$60)-4),ROW(CC3))))</f>
        <v/>
      </c>
      <c r="CD69" s="1321" t="str">
        <f t="array" ref="CD69">IF(ISERROR(INDEX($CC$4:$CC$60,SMALL(IF($CC$4:$CC$60&lt;&gt;0,ROW($CC$4:$CC$60)-3),ROW(CD3)))),"",INDEX($CC$4:$CC$60,SMALL(IF($CC$4:$CC$60&lt;&gt;0,ROW($CC$4:$CC$60)-3),ROW(CD3))))</f>
        <v/>
      </c>
      <c r="CE69" s="1321" t="str">
        <f t="array" ref="CE69">IF( ISERROR(INDEX($A$4:$A$60,SMALL(IF($CE$4:$CE$60&lt;&gt;0,ROW($CE$4:$CE$60)-4),ROW(CE3)))),"",INDEX($A$4:$A$60,SMALL(IF($CE$4:$CE$60&lt;&gt;0,ROW($CE$5:$CE$60)-4),ROW(CE3))))</f>
        <v/>
      </c>
      <c r="CF69" s="1321" t="str">
        <f t="array" ref="CF69">IF(ISERROR(INDEX($CE$4:$CE$60,SMALL(IF($CE$4:$CE$60&lt;&gt;0,ROW($CE$4:$CE$60)-3),ROW(CF3)))),"",INDEX($CE$4:$CE$60,SMALL(IF($CE$4:$CE$60&lt;&gt;0,ROW($CE$4:$CE$60)-3),ROW(CF3))))</f>
        <v/>
      </c>
      <c r="CG69" s="1321" t="str">
        <f t="array" ref="CG69">IF( ISERROR(INDEX($A$4:$A$60,SMALL(IF($CG$4:$CG$60&lt;&gt;0,ROW($CG$4:$CG$60)-4),ROW(CG3)))),"",INDEX($A$4:$A$60,SMALL(IF($CG$4:$CG$60&lt;&gt;0,ROW($CG$5:$CG$60)-4),ROW(CG3))))</f>
        <v/>
      </c>
      <c r="CH69" s="1321" t="str">
        <f t="array" ref="CH69">IF(ISERROR(INDEX($CG$4:$CG$60,SMALL(IF($CG$4:$CG$60&lt;&gt;0,ROW($CG$4:$CG$60)-3),ROW(CH3)))),"",INDEX($CG$4:$CG$60,SMALL(IF($CG$4:$CG$60&lt;&gt;0,ROW($CG$4:$CG$60)-3),ROW(CH3))))</f>
        <v/>
      </c>
      <c r="CI69" s="1321" t="str">
        <f t="array" ref="CI69">IF( ISERROR(INDEX($A$4:$A$60,SMALL(IF($CA$4:$CA$60&lt;&gt;0,ROW($CA$4:$CA$60)-4),ROW(CI3)))),"",INDEX($A$4:$A$60,SMALL(IF($CA$4:$CA$60&lt;&gt;0,ROW($CA$5:$CA$60)-4),ROW(CI3))))</f>
        <v/>
      </c>
      <c r="CJ69" s="1321" t="str">
        <f t="array" ref="CJ69">IF(ISERROR(INDEX($CA$4:$CA$60,SMALL(IF($CA$4:$CA$60&lt;&gt;0,ROW($CA$4:$CA$60)-3),ROW(CJ3)))),"",INDEX($CA$4:$CA$60,SMALL(IF($CA$4:$CA$60&lt;&gt;0,ROW($CA$4:$CA$60)-3),ROW(CJ3))))</f>
        <v/>
      </c>
      <c r="CK69" s="1321" t="str">
        <f t="array" ref="CK69">IF( ISERROR(INDEX($A$4:$A$60,SMALL(IF($CK$4:$CK$60&lt;&gt;0,ROW($CK$4:$CK$60)-4),ROW(CK3)))),"",INDEX($A$4:$A$60,SMALL(IF($CK$4:$CK$60&lt;&gt;0,ROW($CK$5:$CK$60)-4),ROW(CK3))))</f>
        <v/>
      </c>
      <c r="CL69" s="1321" t="str">
        <f t="array" ref="CL69">IF(ISERROR(INDEX($CK$4:$CK$60,SMALL(IF($CK$4:$CK$60&lt;&gt;0,ROW($CK$4:$CK$60)-3),ROW(CL3)))),"",INDEX($CK$4:$CK$60,SMALL(IF($CK$4:$CK$60&lt;&gt;0,ROW($CK$4:$CK$60)-3),ROW(CL3))))</f>
        <v/>
      </c>
      <c r="CM69" s="1321" t="str">
        <f t="array" ref="CM69">IF( ISERROR(INDEX($A$4:$A$60,SMALL(IF($CM$4:$CM$60&lt;&gt;0,ROW($CM$4:$CM$60)-4),ROW(CM3)))),"",INDEX($A$4:$A$60,SMALL(IF($CM$4:$CM$60&lt;&gt;0,ROW($CM$5:$CM$60)-4),ROW(CM3))))</f>
        <v/>
      </c>
      <c r="CN69" s="1321" t="str">
        <f t="array" ref="CN69">IF(ISERROR(INDEX($CM$4:$CM$60,SMALL(IF($CM$4:$CM$60&lt;&gt;0,ROW($CM$4:$CM$60)-3),ROW(CN3)))),"",INDEX($CM$4:$CM$60,SMALL(IF($CM$4:$CM$60&lt;&gt;0,ROW($CM$4:$CM$60)-3),ROW(CN3))))</f>
        <v/>
      </c>
      <c r="CO69" s="1321" t="str">
        <f t="array" ref="CO69">IF( ISERROR(INDEX($A$4:$A$60,SMALL(IF($CO$4:$CO$60&lt;&gt;0,ROW($CO$4:$CO$60)-4),ROW(CO3)))),"",INDEX($A$4:$A$60,SMALL(IF($CO$4:$CO$60&lt;&gt;0,ROW($CO$5:$CO$60)-4),ROW(CO3))))</f>
        <v/>
      </c>
      <c r="CP69" s="1321" t="str">
        <f t="array" ref="CP69">IF(ISERROR(INDEX($CO$4:$CO$60,SMALL(IF($CO$4:$CO$60&lt;&gt;0,ROW($CO$4:$CO$60)-3),ROW(CP3)))),"",INDEX($CO$4:$CO$60,SMALL(IF($CO$4:$CO$60&lt;&gt;0,ROW($CO$4:$CO$60)-3),ROW(CP3))))</f>
        <v/>
      </c>
      <c r="CQ69" s="1321" t="str">
        <f t="array" ref="CQ69">IF( ISERROR(INDEX($A$4:$A$60,SMALL(IF($CQ$4:$CQ$60&lt;&gt;0,ROW($CQ$4:$CQ$60)-4),ROW(CQ3)))),"",INDEX($A$4:$A$60,SMALL(IF($CQ$4:$CQ$60&lt;&gt;0,ROW($CQ$5:$CQ$60)-4),ROW(CQ3))))</f>
        <v/>
      </c>
      <c r="CR69" s="1321" t="str">
        <f t="array" ref="CR69">IF(ISERROR(INDEX($CQ$4:$CQ$60,SMALL(IF($CQ$4:$CQ$60&lt;&gt;0,ROW($CQ$4:$CQ$60)-3),ROW(CR3)))),"",INDEX($CQ$4:$CQ$60,SMALL(IF($CQ$4:$CQ$60&lt;&gt;0,ROW($CQ$4:$CQ$60)-3),ROW(CR3))))</f>
        <v/>
      </c>
      <c r="CS69" s="1321" t="str">
        <f t="array" ref="CS69">IF( ISERROR(INDEX($A$4:$A$60,SMALL(IF($CS$4:$CS$60&lt;&gt;0,ROW($CS$4:$CS$60)-4),ROW(CS3)))),"",INDEX($A$4:$A$60,SMALL(IF($CS$4:$CS$60&lt;&gt;0,ROW($CS$5:$CS$60)-4),ROW(CS3))))</f>
        <v/>
      </c>
      <c r="CT69" s="1321" t="str">
        <f t="array" ref="CT69">IF(ISERROR(INDEX($CS$4:$CS$60,SMALL(IF($CS$4:$CS$60&lt;&gt;0,ROW($CS$4:$CS$60)-3),ROW(CT3)))),"",INDEX($CS$4:$CS$60,SMALL(IF($CS$4:$CS$60&lt;&gt;0,ROW($CS$4:$CS$60)-3),ROW(CT3))))</f>
        <v/>
      </c>
      <c r="CU69" s="1321" t="str">
        <f t="array" ref="CU69">IF( ISERROR(INDEX($A$4:$A$60,SMALL(IF($CU$4:$CU$60&lt;&gt;0,ROW($CU$4:$CU$60)-4),ROW(CU3)))),"",INDEX($A$4:$A$60,SMALL(IF($CU$4:$CU$60&lt;&gt;0,ROW($CU$5:$CU$60)-4),ROW(CU3))))</f>
        <v/>
      </c>
      <c r="CV69" s="1321" t="str">
        <f t="array" ref="CV69">IF(ISERROR(INDEX($CU$4:$CU$60,SMALL(IF($CU$4:$CU$60&lt;&gt;0,ROW($CU$4:$CU$60)-3),ROW(CV3)))),"",INDEX($CU$4:$CU$60,SMALL(IF($CU$4:$CU$60&lt;&gt;0,ROW($CU$4:$CU$60)-3),ROW(CV3))))</f>
        <v/>
      </c>
      <c r="CW69" s="1321" t="str">
        <f t="array" ref="CW69">IF( ISERROR(INDEX($A$4:$A$60,SMALL(IF($CW$4:$CW$60&lt;&gt;0,ROW($CW$4:$CW$60)-4),ROW(CW3)))),"",INDEX($A$4:$A$60,SMALL(IF($CW$4:$CW$60&lt;&gt;0,ROW($CW$5:$CW$60)-4),ROW(CW3))))</f>
        <v/>
      </c>
      <c r="CX69" s="1321" t="str">
        <f t="array" ref="CX69">IF(ISERROR(INDEX($CW$4:$CW$60,SMALL(IF($CW$4:$CW$60&lt;&gt;0,ROW($CW$4:$CW$60)-3),ROW(CX3)))),"",INDEX($CW$4:$CW$60,SMALL(IF($CW$4:$CW$60&lt;&gt;0,ROW($CW$4:$CW$60)-3),ROW(CX3))))</f>
        <v/>
      </c>
      <c r="CY69" s="1321" t="str">
        <f t="array" ref="CY69">IF( ISERROR(INDEX($A$4:$A$60,SMALL(IF($CY$4:$CY$60&lt;&gt;0,ROW($CY$4:$CY$60)-4),ROW(CY3)))),"",INDEX($A$4:$A$60,SMALL(IF($CY$4:$CY$60&lt;&gt;0,ROW($CY$5:$CY$60)-4),ROW(CY3))))</f>
        <v/>
      </c>
      <c r="CZ69" s="1321" t="str">
        <f t="array" ref="CZ69">IF(ISERROR(INDEX($CY$4:$CY$60,SMALL(IF($CY$4:$CY$60&lt;&gt;0,ROW($CY$4:$CY$60)-3),ROW(CZ3)))),"",INDEX($CY$4:$CY$60,SMALL(IF($CY$4:$CY$60&lt;&gt;0,ROW($CY$4:$CY$60)-3),ROW(CZ3))))</f>
        <v/>
      </c>
      <c r="DA69" s="1321"/>
      <c r="DB69" s="1321"/>
      <c r="DC69" s="1321"/>
      <c r="DD69" s="1321"/>
      <c r="DE69" s="1321"/>
      <c r="DF69" s="1321"/>
      <c r="DG69" s="1321"/>
      <c r="DH69" s="1321"/>
      <c r="DI69" s="1321"/>
      <c r="DJ69" s="1321"/>
      <c r="DK69" s="1321"/>
      <c r="DL69" s="1321"/>
      <c r="DM69" s="1321"/>
      <c r="DN69" s="1321"/>
      <c r="DO69" s="1321"/>
      <c r="DP69" s="1321"/>
      <c r="DQ69" s="1321"/>
      <c r="DR69" s="1321"/>
      <c r="DS69" s="1321"/>
      <c r="DT69" s="1321"/>
      <c r="DU69" s="1321"/>
      <c r="DV69" s="1321"/>
      <c r="DW69" s="1321"/>
      <c r="DX69" s="1321"/>
      <c r="DY69" s="1321"/>
      <c r="DZ69" s="1321"/>
      <c r="EA69" s="1321"/>
      <c r="EB69" s="1321"/>
      <c r="EC69" s="1321"/>
      <c r="ED69" s="1321"/>
      <c r="EE69" s="1321"/>
      <c r="EF69" s="1321"/>
      <c r="EG69" s="1321"/>
      <c r="EH69" s="1321"/>
      <c r="EI69" s="1321"/>
      <c r="EJ69" s="1321"/>
      <c r="EK69" s="1321"/>
      <c r="EL69" s="1321"/>
      <c r="EM69" s="1321"/>
      <c r="EN69" s="1321"/>
      <c r="EO69" s="1321"/>
      <c r="EP69" s="1321"/>
      <c r="EQ69" s="1321"/>
      <c r="ER69" s="1321"/>
      <c r="ES69" s="1321"/>
      <c r="ET69" s="1321"/>
      <c r="EU69" s="1321"/>
      <c r="EV69" s="1321"/>
      <c r="EW69" s="1321"/>
      <c r="EX69" s="1321"/>
      <c r="EY69" s="1321"/>
      <c r="EZ69" s="1321"/>
      <c r="FA69" s="1321"/>
      <c r="FB69" s="1321"/>
      <c r="FC69" s="1321"/>
      <c r="FD69" s="1321"/>
      <c r="FE69" s="1321"/>
      <c r="FF69" s="1321"/>
      <c r="FG69" s="1321"/>
      <c r="FH69" s="1321"/>
      <c r="FI69" s="1321"/>
      <c r="FJ69" s="1321"/>
      <c r="FK69" s="1321"/>
      <c r="FL69" s="1321"/>
      <c r="FM69" s="1321"/>
      <c r="FN69" s="1321"/>
      <c r="FO69" s="1321"/>
      <c r="FP69" s="1321"/>
      <c r="FQ69" s="1321"/>
      <c r="FR69" s="1321"/>
      <c r="FS69" s="1321"/>
      <c r="FT69" s="1321"/>
      <c r="FU69" s="1321"/>
      <c r="FV69" s="1321"/>
      <c r="FW69" s="1321"/>
      <c r="FX69" s="1321"/>
      <c r="FY69" s="1321"/>
      <c r="FZ69" s="1321"/>
      <c r="GA69" s="1321"/>
      <c r="GB69" s="1321"/>
      <c r="GC69" s="1321"/>
      <c r="GD69" s="1321"/>
      <c r="GE69" s="1321"/>
      <c r="GF69" s="1321"/>
      <c r="GG69" s="1321"/>
      <c r="GH69" s="1321"/>
      <c r="GI69" s="1321"/>
      <c r="GJ69" s="1321"/>
      <c r="GK69" s="1321"/>
      <c r="GL69" s="1321"/>
      <c r="GM69" s="1321"/>
      <c r="GN69" s="1321"/>
      <c r="GO69" s="1321"/>
      <c r="GP69" s="1321"/>
      <c r="GQ69" s="1321"/>
      <c r="GR69" s="1321"/>
      <c r="GS69" s="1321"/>
      <c r="GT69" s="1321"/>
      <c r="GU69" s="1321"/>
      <c r="GV69" s="1321"/>
      <c r="GW69" s="1321"/>
      <c r="GX69" s="1321"/>
      <c r="GY69" s="1321"/>
      <c r="GZ69" s="1321"/>
    </row>
    <row r="70" spans="3:208" hidden="1">
      <c r="C70" s="1321" t="str">
        <f t="array" ref="C70">IF( ISERROR(INDEX($A$4:$A$60,SMALL(IF($C$4:$C$60&lt;&gt;0,ROW($C$4:$C$60)-4),ROW(A4)))),"",INDEX($A$4:$A$60,SMALL(IF($C$4:$C$60&lt;&gt;0,ROW($C$5:$C$60)-4),ROW(A4))))</f>
        <v/>
      </c>
      <c r="D70" s="1321" t="str">
        <f t="array" ref="D70">IF(ISERROR(INDEX($C$4:$C$60,SMALL(IF($C$4:$C$60&lt;&gt;0,ROW($C$4:$C$60)-3),ROW(D4)))),"",INDEX($C$4:$C$60,SMALL(IF($C$4:$C$60&lt;&gt;0,ROW($C$4:$C$60)-3),ROW(D4))))</f>
        <v/>
      </c>
      <c r="E70" s="1321" t="str">
        <f t="array" ref="E70">IF( ISERROR(INDEX($A$4:$A$60,SMALL(IF($E$4:$E$60&lt;&gt;0,ROW($E$4:$E$60)-4),ROW(E4)))),"",INDEX($A$4:$A$60,SMALL(IF($E$4:$E$60&lt;&gt;0,ROW($E$5:$E$60)-4),ROW(E4))))</f>
        <v/>
      </c>
      <c r="F70" s="1321" t="str">
        <f t="array" ref="F70">IF(ISERROR(INDEX($E$4:$E$60,SMALL(IF($E$4:$E$60&lt;&gt;0,ROW($E$4:$E$60)-3),ROW(F4)))),"",INDEX($E$4:$E$60,SMALL(IF($E$4:$E$60&lt;&gt;0,ROW($E$4:$E$60)-3),ROW(F4))))</f>
        <v/>
      </c>
      <c r="G70" s="1321" t="str">
        <f t="array" ref="G70">IF( ISERROR(INDEX($A$4:$A$60,SMALL(IF($G$4:$G$60&lt;&gt;0,ROW($G$4:$G$60)-4),ROW(G4)))),"",INDEX($A$4:$A$60,SMALL(IF($G$4:$G$60&lt;&gt;0,ROW($G$5:$G$60)-4),ROW(G4))))</f>
        <v/>
      </c>
      <c r="H70" s="1321" t="str">
        <f t="array" ref="H70">IF(ISERROR(INDEX($E$4:$E$60,SMALL(IF($G$4:$G$60&lt;&gt;0,ROW($G$4:$G$60)-3),ROW(H4)))),"",INDEX($G$4:$G$60,SMALL(IF($G$4:$G$60&lt;&gt;0,ROW($G$4:$G$60)-3),ROW(H4))))</f>
        <v/>
      </c>
      <c r="I70" s="1321" t="str">
        <f t="array" ref="I70">IF( ISERROR(INDEX($A$4:$A$60,SMALL(IF($I$4:$I$60&lt;&gt;0,ROW($I$4:$I$60)-4),ROW(I4)))),"",INDEX($A$4:$A$60,SMALL(IF($I$4:$I$60&lt;&gt;0,ROW($I$5:$I$60)-4),ROW(I4))))</f>
        <v/>
      </c>
      <c r="J70" s="1321" t="str">
        <f t="array" ref="J70">IF(ISERROR(INDEX($I$4:$I$60,SMALL(IF($I$4:$I$60&lt;&gt;0,ROW($I$4:$I$60)-3),ROW(J4)))),"",INDEX($I$4:$I$60,SMALL(IF($I$4:$I$60&lt;&gt;0,ROW($I$4:$I$60)-3),ROW(J4))))</f>
        <v/>
      </c>
      <c r="K70" s="1321" t="str">
        <f t="array" ref="K70">IF( ISERROR(INDEX($A$4:$A$60,SMALL(IF($K$4:$K$60&lt;&gt;0,ROW($K$4:$K$60)-4),ROW(K4)))),"",INDEX($A$4:$A$60,SMALL(IF($K$4:$K$60&lt;&gt;0,ROW($K$5:$K$60)-4),ROW(K4))))</f>
        <v/>
      </c>
      <c r="L70" s="1321" t="str">
        <f t="array" ref="L70">IF(ISERROR(INDEX($K$4:$K$60,SMALL(IF($K$4:$K$60&lt;&gt;0,ROW($K$4:$K$60)-3),ROW(L4)))),"",INDEX($K$4:$K$60,SMALL(IF($K$4:$K$60&lt;&gt;0,ROW($K$4:$K$60)-3),ROW(L4))))</f>
        <v/>
      </c>
      <c r="M70" s="1321" t="str">
        <f t="array" ref="M70">IF( ISERROR(INDEX($A$4:$A$60,SMALL(IF($M$4:$M$60&lt;&gt;0,ROW($M$4:$M$60)-4),ROW(M4)))),"",INDEX($A$4:$A$60,SMALL(IF($M$4:$M$60&lt;&gt;0,ROW($M$5:$M$60)-4),ROW(M4))))</f>
        <v/>
      </c>
      <c r="N70" s="1321" t="str">
        <f t="array" ref="N70">IF(ISERROR(INDEX($M$4:$M$60,SMALL(IF($M$4:$M$60&lt;&gt;0,ROW($M$4:$M$60)-3),ROW(N4)))),"",INDEX($M$4:$M$60,SMALL(IF($M$4:$M$60&lt;&gt;0,ROW($M$4:$M$60)-3),ROW(N4))))</f>
        <v/>
      </c>
      <c r="O70" s="1321" t="str">
        <f t="array" ref="O70">IF( ISERROR(INDEX($A$4:$A$60,SMALL(IF($O$4:$O$60&lt;&gt;0,ROW($O$4:$O$60)-4),ROW(O4)))),"",INDEX($A$4:$A$60,SMALL(IF($O$4:$O$60&lt;&gt;0,ROW($O$5:$O$60)-4),ROW(O4))))</f>
        <v/>
      </c>
      <c r="P70" s="1321" t="str">
        <f t="array" ref="P70">IF(ISERROR(INDEX($O$4:$O$60,SMALL(IF($O$4:$O$60&lt;&gt;0,ROW($O$4:$O$60)-3),ROW(P4)))),"",INDEX($O$4:$O$60,SMALL(IF($O$4:$O$60&lt;&gt;0,ROW($O$4:$O$60)-3),ROW(P4))))</f>
        <v/>
      </c>
      <c r="Q70" s="1321" t="str">
        <f t="array" ref="Q70">IF( ISERROR(INDEX($A$4:$A$60,SMALL(IF($Q$4:$Q$60&lt;&gt;0,ROW($Q$4:$Q$60)-4),ROW(Q4)))),"",INDEX($A$4:$A$60,SMALL(IF($Q$4:$Q$60&lt;&gt;0,ROW($Q$5:$Q$60)-4),ROW(Q4))))</f>
        <v/>
      </c>
      <c r="R70" s="1321" t="str">
        <f t="array" ref="R70">IF(ISERROR(INDEX($Q$4:$Q$60,SMALL(IF($Q$4:$Q$60&lt;&gt;0,ROW($Q$4:$Q$60)-3),ROW(R4)))),"",INDEX($Q$4:$Q$60,SMALL(IF($Q$4:$Q$60&lt;&gt;0,ROW($Q$4:$Q$60)-3),ROW(R4))))</f>
        <v/>
      </c>
      <c r="S70" s="1321" t="str">
        <f t="array" ref="S70">IF( ISERROR(INDEX($A$4:$A$60,SMALL(IF($S$4:$S$60&lt;&gt;0,ROW($S$4:$S$60)-4),ROW(S4)))),"",INDEX($A$4:$A$60,SMALL(IF($S$4:$S$60&lt;&gt;0,ROW($S$5:$S$60)-4),ROW(S4))))</f>
        <v/>
      </c>
      <c r="T70" s="1321" t="str">
        <f t="array" ref="T70">IF(ISERROR(INDEX($S$4:$S$60,SMALL(IF($S$4:$S$60&lt;&gt;0,ROW($S$4:$S$60)-3),ROW(T4)))),"",INDEX($S$4:$S$60,SMALL(IF($S$4:$S$60&lt;&gt;0,ROW($S$4:$S$60)-3),ROW(T4))))</f>
        <v/>
      </c>
      <c r="U70" s="1321" t="str">
        <f t="array" ref="U70">IF( ISERROR(INDEX($A$4:$A$60,SMALL(IF($U$4:$U$60&lt;&gt;0,ROW($U$4:$U$60)-4),ROW(U4)))),"",INDEX($A$4:$A$60,SMALL(IF($U$4:$U$60&lt;&gt;0,ROW($U$5:$U$60)-4),ROW(U4))))</f>
        <v/>
      </c>
      <c r="V70" s="1321" t="str">
        <f t="array" ref="V70">IF(ISERROR(INDEX($U$4:$U$60,SMALL(IF($U$4:$U$60&lt;&gt;0,ROW($U$4:$U$60)-3),ROW(V4)))),"",INDEX($U$4:$U$60,SMALL(IF($U$4:$U$60&lt;&gt;0,ROW($U$4:$U$60)-3),ROW(V4))))</f>
        <v/>
      </c>
      <c r="W70" s="1321" t="str">
        <f t="array" ref="W70">IF( ISERROR(INDEX($A$4:$A$60,SMALL(IF($W$4:$W$60&lt;&gt;0,ROW($W$4:$W$60)-4),ROW(W4)))),"",INDEX($A$4:$A$60,SMALL(IF($W$4:$W$60&lt;&gt;0,ROW($W$5:$W$60)-4),ROW(W4))))</f>
        <v/>
      </c>
      <c r="X70" s="1321" t="str">
        <f t="array" ref="X70">IF(ISERROR(INDEX($W$4:$W$60,SMALL(IF($W$4:$W$60&lt;&gt;0,ROW($W$4:$W$60)-3),ROW(X4)))),"",INDEX($W$4:$W$60,SMALL(IF($W$4:$W$60&lt;&gt;0,ROW($W$4:$W$60)-3),ROW(X4))))</f>
        <v/>
      </c>
      <c r="Y70" s="1321" t="str">
        <f t="array" ref="Y70">IF( ISERROR(INDEX($A$4:$A$60,SMALL(IF($Y$4:$Y$60&lt;&gt;0,ROW($Y$4:$Y$60)-4),ROW(Y4)))),"",INDEX($A$4:$A$60,SMALL(IF($Y$4:$Y$60&lt;&gt;0,ROW($Y$5:$Y$60)-4),ROW(Y4))))</f>
        <v/>
      </c>
      <c r="Z70" s="1321" t="str">
        <f t="array" ref="Z70">IF(ISERROR(INDEX($Y$4:$Y$60,SMALL(IF($Y$4:$Y$60&lt;&gt;0,ROW($Y$4:$Y$60)-3),ROW(Z4)))),"",INDEX($Y$4:$Y$60,SMALL(IF($Y$4:$Y$60&lt;&gt;0,ROW($Y$4:$Y$60)-3),ROW(Z4))))</f>
        <v/>
      </c>
      <c r="AA70" s="1321" t="str">
        <f t="array" ref="AA70">IF( ISERROR(INDEX($A$4:$A$60,SMALL(IF($AA$4:$AA$60&lt;&gt;0,ROW($AA$4:$AA$60)-4),ROW(AA4)))),"",INDEX($A$4:$A$60,SMALL(IF($AA$4:$AA$60&lt;&gt;0,ROW($AA$5:$AA$60)-4),ROW(AA4))))</f>
        <v/>
      </c>
      <c r="AB70" s="1321" t="str">
        <f t="array" ref="AB70">IF(ISERROR(INDEX($AA$4:$AA$60,SMALL(IF($AA$4:$AA$60&lt;&gt;0,ROW($AA$4:$AA$60)-3),ROW(AB4)))),"",INDEX($AA$4:$AA$60,SMALL(IF($AA$4:$AA$60&lt;&gt;0,ROW($AA$4:$AA$60)-3),ROW(AB4))))</f>
        <v/>
      </c>
      <c r="AC70" s="1321" t="str">
        <f t="array" ref="AC70">IF( ISERROR(INDEX($A$4:$A$60,SMALL(IF($AC$4:$AC$60&lt;&gt;0,ROW($AC$4:$AC$60)-4),ROW(AC4)))),"",INDEX($A$4:$A$60,SMALL(IF($AC$4:$AC$60&lt;&gt;0,ROW($AC$5:$AC$60)-4),ROW(AC4))))</f>
        <v/>
      </c>
      <c r="AD70" s="1321" t="str">
        <f t="array" ref="AD70">IF(ISERROR(INDEX($AC$4:$AC$60,SMALL(IF($AC$4:$AC$60&lt;&gt;0,ROW($AC$4:$AC$60)-3),ROW(AD4)))),"",INDEX($AC$4:$AC$60,SMALL(IF($AC$4:$AC$60&lt;&gt;0,ROW($AC$4:$AC$60)-3),ROW(AD4))))</f>
        <v/>
      </c>
      <c r="AE70" s="1321" t="str">
        <f t="array" ref="AE70">IF( ISERROR(INDEX($A$4:$A$60,SMALL(IF($AE$4:$AE$60&lt;&gt;0,ROW($AE$4:$AE$60)-4),ROW(AE4)))),"",INDEX($A$4:$A$60,SMALL(IF($AE$4:$AE$60&lt;&gt;0,ROW($AE$5:$AE$60)-4),ROW(AE4))))</f>
        <v/>
      </c>
      <c r="AF70" s="1321" t="str">
        <f t="array" ref="AF70">IF(ISERROR(INDEX($AE$4:$AE$60,SMALL(IF($AE$4:$AE$60&lt;&gt;0,ROW($AE$4:$AE$60)-3),ROW(AF4)))),"",INDEX($AE$4:$AE$60,SMALL(IF($AE$4:$AE$60&lt;&gt;0,ROW($AE$4:$AE$60)-3),ROW(AF4))))</f>
        <v/>
      </c>
      <c r="AG70" s="1321" t="str">
        <f t="array" ref="AG70">IF( ISERROR(INDEX($A$4:$A$60,SMALL(IF($AG$4:$AG$60&lt;&gt;0,ROW($AG$4:$AG$60)-4),ROW(AG4)))),"",INDEX($A$4:$A$60,SMALL(IF($AG$4:$AG$60&lt;&gt;0,ROW($AG$5:$AG$60)-4),ROW(AG4))))</f>
        <v/>
      </c>
      <c r="AH70" s="1321" t="str">
        <f t="array" ref="AH70">IF(ISERROR(INDEX($AG$4:$AG$60,SMALL(IF($AG$4:$AG$60&lt;&gt;0,ROW($AG$4:$AG$60)-3),ROW(AH4)))),"",INDEX($AG$4:$AG$60,SMALL(IF($AG$4:$AG$60&lt;&gt;0,ROW($AG$4:$AG$60)-3),ROW(AH4))))</f>
        <v/>
      </c>
      <c r="AI70" s="1321" t="str">
        <f t="array" ref="AI70">IF( ISERROR(INDEX($A$4:$A$60,SMALL(IF($AI$4:$AI$60&lt;&gt;0,ROW($AI$4:$AI$60)-4),ROW(AI4)))),"",INDEX($A$4:$A$60,SMALL(IF($AI$4:$AI$60&lt;&gt;0,ROW($AI$5:$AI$60)-4),ROW(AI4))))</f>
        <v/>
      </c>
      <c r="AJ70" s="1321" t="str">
        <f t="array" ref="AJ70">IF(ISERROR(INDEX($E$4:$E$60,SMALL(IF($AI$4:$AI$60&lt;&gt;0,ROW($AI$4:$AI$60)-3),ROW(AJ4)))),"",INDEX($AI$4:$AI$60,SMALL(IF($AI$4:$AI$60&lt;&gt;0,ROW($AI$4:$AI$60)-3),ROW(AJ4))))</f>
        <v/>
      </c>
      <c r="AK70" s="1321" t="str">
        <f t="array" ref="AK70">IF( ISERROR(INDEX($A$4:$A$60,SMALL(IF($AK$4:$AK$60&lt;&gt;0,ROW($AK$4:$AK$60)-4),ROW(AK4)))),"",INDEX($A$4:$A$60,SMALL(IF($AK$4:$AK$60&lt;&gt;0,ROW($AK$5:$AK$60)-4),ROW(AK4))))</f>
        <v/>
      </c>
      <c r="AL70" s="1321" t="str">
        <f t="array" ref="AL70">IF(ISERROR(INDEX($AK$4:$AK$60,SMALL(IF($AK$4:$AK$60&lt;&gt;0,ROW($AK$4:$AK$60)-3),ROW(AL4)))),"",INDEX($AK$4:$AK$60,SMALL(IF($AK$4:$AK$60&lt;&gt;0,ROW($AK$4:$AK$60)-3),ROW(AL4))))</f>
        <v/>
      </c>
      <c r="AM70" s="1321" t="str">
        <f t="array" ref="AM70">IF( ISERROR(INDEX($A$4:$A$60,SMALL(IF($AM$4:$AM$60&lt;&gt;0,ROW($AM$4:$AM$60)-4),ROW(AM4)))),"",INDEX($A$4:$A$60,SMALL(IF($AM$4:$AM$60&lt;&gt;0,ROW($AM$5:$AM$60)-4),ROW(AM4))))</f>
        <v/>
      </c>
      <c r="AN70" s="1321" t="str">
        <f t="array" ref="AN70">IF(ISERROR(INDEX($AM$4:$AM$60,SMALL(IF($AM$4:$AM$60&lt;&gt;0,ROW($AM$4:$AM$60)-3),ROW(AN4)))),"",INDEX($AM$4:$AM$60,SMALL(IF($AM$4:$AM$60&lt;&gt;0,ROW($AM$4:$AM$60)-3),ROW(AN4))))</f>
        <v/>
      </c>
      <c r="AO70" s="1321" t="str">
        <f t="array" ref="AO70">IF( ISERROR(INDEX($A$4:$A$60,SMALL(IF($AO$4:$AO$60&lt;&gt;0,ROW($AO$4:$AO$60)-4),ROW(AO4)))),"",INDEX($A$4:$A$60,SMALL(IF($AO$4:$AO$60&lt;&gt;0,ROW($AO$5:$AO$60)-4),ROW(AO4))))</f>
        <v/>
      </c>
      <c r="AP70" s="1321" t="str">
        <f t="array" ref="AP70">IF(ISERROR(INDEX($AO$4:$AO$60,SMALL(IF($AO$4:$AO$60&lt;&gt;0,ROW($AO$4:$AO$60)-3),ROW(AP4)))),"",INDEX($AO$4:$AO$60,SMALL(IF($AO$4:$AO$60&lt;&gt;0,ROW($AO$4:$AO$60)-3),ROW(AP4))))</f>
        <v/>
      </c>
      <c r="AQ70" s="1321" t="str">
        <f t="array" ref="AQ70">IF( ISERROR(INDEX($A$4:$A$60,SMALL(IF($AQ$4:$AQ$60&lt;&gt;0,ROW($AQ$4:$AQ$60)-4),ROW(AQ4)))),"",INDEX($A$4:$A$60,SMALL(IF($AQ$4:$AQ$60&lt;&gt;0,ROW($AQ$5:$AQ$60)-4),ROW(AQ4))))</f>
        <v/>
      </c>
      <c r="AR70" s="1321" t="str">
        <f t="array" ref="AR70">IF(ISERROR(INDEX($AQ$4:$AQ$60,SMALL(IF($AQ$4:$AQ$60&lt;&gt;0,ROW($AQ$4:$AQ$60)-3),ROW(AR4)))),"",INDEX($AQ$4:$AQ$60,SMALL(IF($AQ$4:$AQ$60&lt;&gt;0,ROW($AQ$4:$AQ$60)-3),ROW(AR4))))</f>
        <v/>
      </c>
      <c r="AS70" s="1321" t="str">
        <f t="array" ref="AS70">IF( ISERROR(INDEX($A$4:$A$60,SMALL(IF($AS$4:$AS$60&lt;&gt;0,ROW($AS$4:$AS$60)-4),ROW(AS4)))),"",INDEX($A$4:$A$60,SMALL(IF($AS$4:$AS$60&lt;&gt;0,ROW($AS$5:$AS$60)-4),ROW(AS4))))</f>
        <v/>
      </c>
      <c r="AT70" s="1321" t="str">
        <f t="array" ref="AT70">IF(ISERROR(INDEX($AS$4:$AS$60,SMALL(IF($AS$4:$AS$60&lt;&gt;0,ROW($AS$4:$AS$60)-3),ROW(AT4)))),"",INDEX($AS$4:$AS$60,SMALL(IF($AS$4:$AS$60&lt;&gt;0,ROW($AS$4:$AS$60)-3),ROW(AT4))))</f>
        <v/>
      </c>
      <c r="AU70" s="1321" t="str">
        <f t="array" ref="AU70">IF( ISERROR(INDEX($A$4:$A$60,SMALL(IF($AU$4:$AU$60&lt;&gt;0,ROW($AU$4:$AU$60)-4),ROW(AU4)))),"",INDEX($A$4:$A$60,SMALL(IF($AU$4:$AU$60&lt;&gt;0,ROW($AU$5:$AU$60)-4),ROW(AU4))))</f>
        <v/>
      </c>
      <c r="AV70" s="1321" t="str">
        <f t="array" ref="AV70">IF(ISERROR(INDEX($AU$4:$AU$60,SMALL(IF($AU$4:$AU$60&lt;&gt;0,ROW($AU$4:$AU$60)-3),ROW(AV4)))),"",INDEX($AU$4:$AU$60,SMALL(IF($AU$4:$AU$60&lt;&gt;0,ROW($AU$4:$AU$60)-3),ROW(AV4))))</f>
        <v/>
      </c>
      <c r="AW70" s="1321" t="str">
        <f t="array" ref="AW70">IF( ISERROR(INDEX($A$4:$A$60,SMALL(IF($AW$4:$AW$60&lt;&gt;0,ROW($AW$4:$AW$60)-4),ROW(AW4)))),"",INDEX($A$4:$A$60,SMALL(IF($AW$4:$AW$60&lt;&gt;0,ROW($AW$5:$AW$60)-4),ROW(AW4))))</f>
        <v/>
      </c>
      <c r="AX70" s="1321" t="str">
        <f t="array" ref="AX70">IF(ISERROR(INDEX($AW$4:$AW$60,SMALL(IF($AW$4:$AW$60&lt;&gt;0,ROW($AW$4:$AW$60)-3),ROW(AX4)))),"",INDEX($AW$4:$AW$60,SMALL(IF($AW$4:$AW$60&lt;&gt;0,ROW($AW$4:$AW$60)-3),ROW(AX4))))</f>
        <v/>
      </c>
      <c r="AY70" s="1321" t="str">
        <f t="array" ref="AY70">IF( ISERROR(INDEX($A$4:$A$60,SMALL(IF($AY$4:$AY$60&lt;&gt;0,ROW($AY$4:$AY$60)-4),ROW(AY4)))),"",INDEX($A$4:$A$60,SMALL(IF($AY$4:$AY$60&lt;&gt;0,ROW($AY$5:$AY$60)-4),ROW(AY4))))</f>
        <v/>
      </c>
      <c r="AZ70" s="1321" t="str">
        <f t="array" ref="AZ70">IF(ISERROR(INDEX($AY$4:$AY$60,SMALL(IF($AY$4:$AY$60&lt;&gt;0,ROW($AY$4:$AY$60)-3),ROW(AZ4)))),"",INDEX($AY$4:$AY$60,SMALL(IF($AY$4:$AY$60&lt;&gt;0,ROW($AY$4:$AY$60)-3),ROW(AZ4))))</f>
        <v/>
      </c>
      <c r="BA70" s="1321" t="str">
        <f t="array" ref="BA70">IF( ISERROR(INDEX($A$4:$A$60,SMALL(IF($BA$4:$BA$60&lt;&gt;0,ROW($BA$4:$BA$60)-4),ROW(BA4)))),"",INDEX($A$4:$A$60,SMALL(IF($BA$4:$BA$60&lt;&gt;0,ROW($BA$5:$BA$60)-4),ROW(BA4))))</f>
        <v/>
      </c>
      <c r="BB70" s="1321" t="str">
        <f t="array" ref="BB70">IF(ISERROR(INDEX($BA$4:$BA$60,SMALL(IF($BA$4:$BA$60&lt;&gt;0,ROW($BA$4:$BA$60)-3),ROW(BB4)))),"",INDEX($BA$4:$BA$60,SMALL(IF($BA$4:$BA$60&lt;&gt;0,ROW($BA$4:$BA$60)-3),ROW(BB4))))</f>
        <v/>
      </c>
      <c r="BC70" s="1321" t="str">
        <f t="array" ref="BC70">IF( ISERROR(INDEX($A$4:$A$60,SMALL(IF($BC$4:$BC$60&lt;&gt;0,ROW($BC$4:$BC$60)-4),ROW(BC4)))),"",INDEX($A$4:$A$60,SMALL(IF($BC$4:$BC$60&lt;&gt;0,ROW($BC$5:$BC$60)-4),ROW(BC4))))</f>
        <v/>
      </c>
      <c r="BD70" s="1321" t="str">
        <f t="array" ref="BD70">IF(ISERROR(INDEX($BC$4:$BC$60,SMALL(IF($BC$4:$BC$60&lt;&gt;0,ROW($BC$4:$BC$60)-3),ROW(BD4)))),"",INDEX($BC$4:$BC$60,SMALL(IF($BC$4:$BC$60&lt;&gt;0,ROW($BC$4:$BC$60)-3),ROW(BD4))))</f>
        <v/>
      </c>
      <c r="BE70" s="1321" t="str">
        <f t="array" ref="BE70">IF( ISERROR(INDEX($A$4:$A$60,SMALL(IF($BE$4:$BE$60&lt;&gt;0,ROW($BE$4:$BE$60)-4),ROW(BE4)))),"",INDEX($A$4:$A$60,SMALL(IF($BE$4:$BE$60&lt;&gt;0,ROW($BE$5:$BE$60)-4),ROW(BE4))))</f>
        <v/>
      </c>
      <c r="BF70" s="1321" t="str">
        <f t="array" ref="BF70">IF(ISERROR(INDEX($BE$4:$BE$60,SMALL(IF($BE$4:$BE$60&lt;&gt;0,ROW($BE$4:$BE$60)-3),ROW(BF4)))),"",INDEX($BE$4:$BE$60,SMALL(IF($BE$4:$BE$60&lt;&gt;0,ROW($BE$4:$BE$60)-3),ROW(BF4))))</f>
        <v/>
      </c>
      <c r="BG70" s="1321" t="str">
        <f t="array" ref="BG70">IF( ISERROR(INDEX($A$4:$A$60,SMALL(IF($BG$4:$BG$60&lt;&gt;0,ROW($BG$4:$BG$60)-4),ROW(BG4)))),"",INDEX($A$4:$A$60,SMALL(IF($BG$4:$BG$60&lt;&gt;0,ROW($BG$5:$BG$60)-4),ROW(BG4))))</f>
        <v/>
      </c>
      <c r="BH70" s="1321" t="str">
        <f t="array" ref="BH70">IF(ISERROR(INDEX($BG$4:$BG$60,SMALL(IF($BG$4:$BG$60&lt;&gt;0,ROW($BG$4:$BG$60)-3),ROW(BH4)))),"",INDEX($BG$4:$BG$60,SMALL(IF($BG$4:$BG$60&lt;&gt;0,ROW($BG$4:$BG$60)-3),ROW(BH4))))</f>
        <v/>
      </c>
      <c r="BI70" s="1321" t="str">
        <f t="array" ref="BI70">IF( ISERROR(INDEX($A$4:$A$60,SMALL(IF($BI$4:$BI$60&lt;&gt;0,ROW($BI$4:$BI$60)-4),ROW(BI4)))),"",INDEX($A$4:$A$60,SMALL(IF($BI$4:$BI$60&lt;&gt;0,ROW($BI$5:$BI$60)-4),ROW(BI4))))</f>
        <v/>
      </c>
      <c r="BJ70" s="1321" t="str">
        <f t="array" ref="BJ70">IF(ISERROR(INDEX($BI$4:$BI$60,SMALL(IF($BI$4:$BI$60&lt;&gt;0,ROW($BI$4:$BI$60)-3),ROW(BJ4)))),"",INDEX($BI$4:$BI$60,SMALL(IF($BI$4:$BI$60&lt;&gt;0,ROW($BI$4:$BI$60)-3),ROW(BJ4))))</f>
        <v/>
      </c>
      <c r="BK70" s="1321" t="str">
        <f t="array" ref="BK70">IF( ISERROR(INDEX($A$4:$A$60,SMALL(IF($BK$4:$BK$60&lt;&gt;0,ROW($BK$4:$BK$60)-4),ROW(BK4)))),"",INDEX($A$4:$A$60,SMALL(IF($BK$4:$BK$60&lt;&gt;0,ROW($BK$5:$BK$60)-4),ROW(BK4))))</f>
        <v/>
      </c>
      <c r="BL70" s="1321" t="str">
        <f t="array" ref="BL70">IF(ISERROR(INDEX($BK$4:$BK$60,SMALL(IF($BK$4:$BK$60&lt;&gt;0,ROW($BK$4:$BK$60)-3),ROW(BL4)))),"",INDEX($BK$4:$BK$60,SMALL(IF($BK$4:$BK$60&lt;&gt;0,ROW($BK$4:$BK$60)-3),ROW(BL4))))</f>
        <v/>
      </c>
      <c r="BM70" s="1321" t="str">
        <f t="array" ref="BM70">IF( ISERROR(INDEX($A$4:$A$60,SMALL(IF($BM$4:$BM$60&lt;&gt;0,ROW($BM$4:$BM$60)-4),ROW(BM4)))),"",INDEX($A$4:$A$60,SMALL(IF($BM$4:$BM$60&lt;&gt;0,ROW($BM$5:$BM$60)-4),ROW(BM4))))</f>
        <v/>
      </c>
      <c r="BN70" s="1321" t="str">
        <f t="array" ref="BN70">IF(ISERROR(INDEX($BM$4:$BM$60,SMALL(IF($BM$4:$BM$60&lt;&gt;0,ROW($BM$4:$BM$60)-3),ROW(BN4)))),"",INDEX($BM$4:$BM$60,SMALL(IF($BM$4:$BM$60&lt;&gt;0,ROW($BM$4:$BM$60)-3),ROW(BN4))))</f>
        <v/>
      </c>
      <c r="BO70" s="1321" t="str">
        <f t="array" ref="BO70">IF( ISERROR(INDEX($A$4:$A$60,SMALL(IF($BO$4:$BO$60&lt;&gt;0,ROW($BO$4:$BO$60)-4),ROW(BO4)))),"",INDEX($A$4:$A$60,SMALL(IF($BO$4:$BO$60&lt;&gt;0,ROW($BO$5:$BO$60)-4),ROW(BO4))))</f>
        <v/>
      </c>
      <c r="BP70" s="1321" t="str">
        <f t="array" ref="BP70">IF(ISERROR(INDEX($BO$4:$BO$60,SMALL(IF($BO$4:$BO$60&lt;&gt;0,ROW($BO$4:$BO$60)-3),ROW(BP4)))),"",INDEX($BO$4:$BO$60,SMALL(IF($BO$4:$BO$60&lt;&gt;0,ROW($BO$4:$BO$60)-3),ROW(BP4))))</f>
        <v/>
      </c>
      <c r="BQ70" s="1321" t="str">
        <f t="array" ref="BQ70">IF( ISERROR(INDEX($A$4:$A$60,SMALL(IF($BQ$4:$BQ$60&lt;&gt;0,ROW($BQ$4:$BQ$60)-4),ROW(BQ4)))),"",INDEX($A$4:$A$60,SMALL(IF($BQ$4:$BQ$60&lt;&gt;0,ROW($BQ$5:$BQ$60)-4),ROW(BQ4))))</f>
        <v/>
      </c>
      <c r="BR70" s="1321" t="str">
        <f t="array" ref="BR70">IF(ISERROR(INDEX($BQ$4:$BQ$60,SMALL(IF($BQ$4:$BQ$60&lt;&gt;0,ROW($BQ$4:$BQ$60)-3),ROW(BR4)))),"",INDEX($BQ$4:$BQ$60,SMALL(IF($BQ$4:$BQ$60&lt;&gt;0,ROW($BQ$4:$BQ$60)-3),ROW(BR4))))</f>
        <v/>
      </c>
      <c r="BS70" s="1321" t="str">
        <f t="array" ref="BS70">IF( ISERROR(INDEX($A$4:$A$60,SMALL(IF($BS$4:$BS$60&lt;&gt;0,ROW($BS$4:$BS$60)-4),ROW(BS4)))),"",INDEX($A$4:$A$60,SMALL(IF($BS$4:$BS$60&lt;&gt;0,ROW($BS$5:$BS$60)-4),ROW(BS4))))</f>
        <v/>
      </c>
      <c r="BT70" s="1321" t="str">
        <f t="array" ref="BT70">IF(ISERROR(INDEX($BS$4:$BS$60,SMALL(IF($BS$4:$BS$60&lt;&gt;0,ROW($BS$4:$BS$60)-3),ROW(BT4)))),"",INDEX($BS$4:$BS$60,SMALL(IF($BS$4:$BS$60&lt;&gt;0,ROW($BS$4:$BS$60)-3),ROW(BT4))))</f>
        <v/>
      </c>
      <c r="BU70" s="1321" t="str">
        <f t="array" ref="BU70">IF( ISERROR(INDEX($A$4:$A$60,SMALL(IF($BU$4:$BU$60&lt;&gt;0,ROW($BU$4:$BU$60)-4),ROW(BU4)))),"",INDEX($A$4:$A$60,SMALL(IF($BU$4:$BU$60&lt;&gt;0,ROW($BU$5:$BU$60)-4),ROW(BU4))))</f>
        <v/>
      </c>
      <c r="BV70" s="1321" t="str">
        <f t="array" ref="BV70">IF(ISERROR(INDEX($BQ$4:$BQ$60,SMALL(IF($BU$4:$BU$60&lt;&gt;0,ROW($BU$4:$BU$60)-3),ROW(BV4)))),"",INDEX($BU$4:$BU$60,SMALL(IF($BU$4:$BU$60&lt;&gt;0,ROW($BU$4:$BU$60)-3),ROW(BV4))))</f>
        <v/>
      </c>
      <c r="BW70" s="1321" t="str">
        <f t="array" ref="BW70">IF( ISERROR(INDEX($A$4:$A$60,SMALL(IF($BW$4:$BW$60&lt;&gt;0,ROW($BW$4:$BW$60)-4),ROW(BW4)))),"",INDEX($A$4:$A$60,SMALL(IF($BW$4:$BW$60&lt;&gt;0,ROW($BW$5:$BW$60)-4),ROW(BW4))))</f>
        <v/>
      </c>
      <c r="BX70" s="1321" t="str">
        <f t="array" ref="BX70">IF(ISERROR(INDEX($BW$4:$BW$60,SMALL(IF($BW$4:$BW$60&lt;&gt;0,ROW($BW$4:$BW$60)-3),ROW(BX4)))),"",INDEX($BW$4:$BW$60,SMALL(IF($BW$4:$BW$60&lt;&gt;0,ROW($BW$4:$BW$60)-3),ROW(BX4))))</f>
        <v/>
      </c>
      <c r="BY70" s="1321" t="str">
        <f t="array" ref="BY70">IF( ISERROR(INDEX($A$4:$A$60,SMALL(IF($BY$4:$BY$60&lt;&gt;0,ROW($BY$4:$BY$60)-4),ROW(BY4)))),"",INDEX($A$4:$A$60,SMALL(IF($BY$4:$BY$60&lt;&gt;0,ROW($BY$5:$BY$60)-4),ROW(BY4))))</f>
        <v/>
      </c>
      <c r="BZ70" s="1321" t="str">
        <f t="array" ref="BZ70">IF(ISERROR(INDEX($BY$4:$BY$60,SMALL(IF($BY$4:$BY$60&lt;&gt;0,ROW($BY$4:$BY$60)-3),ROW(BZ4)))),"",INDEX($BY$4:$BY$60,SMALL(IF($BY$4:$BY$60&lt;&gt;0,ROW($BY$4:$BY$60)-3),ROW(BZ4))))</f>
        <v/>
      </c>
      <c r="CA70" s="1321" t="str">
        <f t="array" ref="CA70">IF( ISERROR(INDEX($A$4:$A$60,SMALL(IF($CA$4:$CA$60&lt;&gt;0,ROW($CA$4:$CA$60)-4),ROW(CA4)))),"",INDEX($A$4:$A$60,SMALL(IF($CA$4:$CA$60&lt;&gt;0,ROW($CA$5:$CA$60)-4),ROW(CA4))))</f>
        <v/>
      </c>
      <c r="CB70" s="1321" t="str">
        <f t="array" ref="CB70">IF(ISERROR(INDEX($CA$4:$CA$60,SMALL(IF($CA$4:$CA$60&lt;&gt;0,ROW($CA$4:$CA$60)-3),ROW(CB4)))),"",INDEX($CA$4:$CA$60,SMALL(IF($CA$4:$CA$60&lt;&gt;0,ROW($CA$4:$CA$60)-3),ROW(CB4))))</f>
        <v/>
      </c>
      <c r="CC70" s="1321" t="str">
        <f t="array" ref="CC70">IF( ISERROR(INDEX($A$4:$A$60,SMALL(IF($CC$4:$CC$60&lt;&gt;0,ROW($CC$4:$CC$60)-4),ROW(CC4)))),"",INDEX($A$4:$A$60,SMALL(IF($CC$4:$CC$60&lt;&gt;0,ROW($CC$5:$CC$60)-4),ROW(CC4))))</f>
        <v/>
      </c>
      <c r="CD70" s="1321" t="str">
        <f t="array" ref="CD70">IF(ISERROR(INDEX($CC$4:$CC$60,SMALL(IF($CC$4:$CC$60&lt;&gt;0,ROW($CC$4:$CC$60)-3),ROW(CD4)))),"",INDEX($CC$4:$CC$60,SMALL(IF($CC$4:$CC$60&lt;&gt;0,ROW($CC$4:$CC$60)-3),ROW(CD4))))</f>
        <v/>
      </c>
      <c r="CE70" s="1321" t="str">
        <f t="array" ref="CE70">IF( ISERROR(INDEX($A$4:$A$60,SMALL(IF($CE$4:$CE$60&lt;&gt;0,ROW($CE$4:$CE$60)-4),ROW(CE4)))),"",INDEX($A$4:$A$60,SMALL(IF($CE$4:$CE$60&lt;&gt;0,ROW($CE$5:$CE$60)-4),ROW(CE4))))</f>
        <v/>
      </c>
      <c r="CF70" s="1321" t="str">
        <f t="array" ref="CF70">IF(ISERROR(INDEX($CE$4:$CE$60,SMALL(IF($CE$4:$CE$60&lt;&gt;0,ROW($CE$4:$CE$60)-3),ROW(CF4)))),"",INDEX($CE$4:$CE$60,SMALL(IF($CE$4:$CE$60&lt;&gt;0,ROW($CE$4:$CE$60)-3),ROW(CF4))))</f>
        <v/>
      </c>
      <c r="CG70" s="1321" t="str">
        <f t="array" ref="CG70">IF( ISERROR(INDEX($A$4:$A$60,SMALL(IF($CG$4:$CG$60&lt;&gt;0,ROW($CG$4:$CG$60)-4),ROW(CG4)))),"",INDEX($A$4:$A$60,SMALL(IF($CG$4:$CG$60&lt;&gt;0,ROW($CG$5:$CG$60)-4),ROW(CG4))))</f>
        <v/>
      </c>
      <c r="CH70" s="1321" t="str">
        <f t="array" ref="CH70">IF(ISERROR(INDEX($CG$4:$CG$60,SMALL(IF($CG$4:$CG$60&lt;&gt;0,ROW($CG$4:$CG$60)-3),ROW(CH4)))),"",INDEX($CG$4:$CG$60,SMALL(IF($CG$4:$CG$60&lt;&gt;0,ROW($CG$4:$CG$60)-3),ROW(CH4))))</f>
        <v/>
      </c>
      <c r="CI70" s="1321" t="str">
        <f t="array" ref="CI70">IF( ISERROR(INDEX($A$4:$A$60,SMALL(IF($CA$4:$CA$60&lt;&gt;0,ROW($CA$4:$CA$60)-4),ROW(CI4)))),"",INDEX($A$4:$A$60,SMALL(IF($CA$4:$CA$60&lt;&gt;0,ROW($CA$5:$CA$60)-4),ROW(CI4))))</f>
        <v/>
      </c>
      <c r="CJ70" s="1321" t="str">
        <f t="array" ref="CJ70">IF(ISERROR(INDEX($CA$4:$CA$60,SMALL(IF($CA$4:$CA$60&lt;&gt;0,ROW($CA$4:$CA$60)-3),ROW(CJ4)))),"",INDEX($CA$4:$CA$60,SMALL(IF($CA$4:$CA$60&lt;&gt;0,ROW($CA$4:$CA$60)-3),ROW(CJ4))))</f>
        <v/>
      </c>
      <c r="CK70" s="1321" t="str">
        <f t="array" ref="CK70">IF( ISERROR(INDEX($A$4:$A$60,SMALL(IF($CK$4:$CK$60&lt;&gt;0,ROW($CK$4:$CK$60)-4),ROW(CK4)))),"",INDEX($A$4:$A$60,SMALL(IF($CK$4:$CK$60&lt;&gt;0,ROW($CK$5:$CK$60)-4),ROW(CK4))))</f>
        <v/>
      </c>
      <c r="CL70" s="1321" t="str">
        <f t="array" ref="CL70">IF(ISERROR(INDEX($CK$4:$CK$60,SMALL(IF($CK$4:$CK$60&lt;&gt;0,ROW($CK$4:$CK$60)-3),ROW(CL4)))),"",INDEX($CK$4:$CK$60,SMALL(IF($CK$4:$CK$60&lt;&gt;0,ROW($CK$4:$CK$60)-3),ROW(CL4))))</f>
        <v/>
      </c>
      <c r="CM70" s="1321" t="str">
        <f t="array" ref="CM70">IF( ISERROR(INDEX($A$4:$A$60,SMALL(IF($CM$4:$CM$60&lt;&gt;0,ROW($CM$4:$CM$60)-4),ROW(CM4)))),"",INDEX($A$4:$A$60,SMALL(IF($CM$4:$CM$60&lt;&gt;0,ROW($CM$5:$CM$60)-4),ROW(CM4))))</f>
        <v/>
      </c>
      <c r="CN70" s="1321" t="str">
        <f t="array" ref="CN70">IF(ISERROR(INDEX($CM$4:$CM$60,SMALL(IF($CM$4:$CM$60&lt;&gt;0,ROW($CM$4:$CM$60)-3),ROW(CN4)))),"",INDEX($CM$4:$CM$60,SMALL(IF($CM$4:$CM$60&lt;&gt;0,ROW($CM$4:$CM$60)-3),ROW(CN4))))</f>
        <v/>
      </c>
      <c r="CO70" s="1321" t="str">
        <f t="array" ref="CO70">IF( ISERROR(INDEX($A$4:$A$60,SMALL(IF($CO$4:$CO$60&lt;&gt;0,ROW($CO$4:$CO$60)-4),ROW(CO4)))),"",INDEX($A$4:$A$60,SMALL(IF($CO$4:$CO$60&lt;&gt;0,ROW($CO$5:$CO$60)-4),ROW(CO4))))</f>
        <v/>
      </c>
      <c r="CP70" s="1321" t="str">
        <f t="array" ref="CP70">IF(ISERROR(INDEX($CO$4:$CO$60,SMALL(IF($CO$4:$CO$60&lt;&gt;0,ROW($CO$4:$CO$60)-3),ROW(CP4)))),"",INDEX($CO$4:$CO$60,SMALL(IF($CO$4:$CO$60&lt;&gt;0,ROW($CO$4:$CO$60)-3),ROW(CP4))))</f>
        <v/>
      </c>
      <c r="CQ70" s="1321" t="str">
        <f t="array" ref="CQ70">IF( ISERROR(INDEX($A$4:$A$60,SMALL(IF($CQ$4:$CQ$60&lt;&gt;0,ROW($CQ$4:$CQ$60)-4),ROW(CQ4)))),"",INDEX($A$4:$A$60,SMALL(IF($CQ$4:$CQ$60&lt;&gt;0,ROW($CQ$5:$CQ$60)-4),ROW(CQ4))))</f>
        <v/>
      </c>
      <c r="CR70" s="1321" t="str">
        <f t="array" ref="CR70">IF(ISERROR(INDEX($CQ$4:$CQ$60,SMALL(IF($CQ$4:$CQ$60&lt;&gt;0,ROW($CQ$4:$CQ$60)-3),ROW(CR4)))),"",INDEX($CQ$4:$CQ$60,SMALL(IF($CQ$4:$CQ$60&lt;&gt;0,ROW($CQ$4:$CQ$60)-3),ROW(CR4))))</f>
        <v/>
      </c>
      <c r="CS70" s="1321" t="str">
        <f t="array" ref="CS70">IF( ISERROR(INDEX($A$4:$A$60,SMALL(IF($CS$4:$CS$60&lt;&gt;0,ROW($CS$4:$CS$60)-4),ROW(CS4)))),"",INDEX($A$4:$A$60,SMALL(IF($CS$4:$CS$60&lt;&gt;0,ROW($CS$5:$CS$60)-4),ROW(CS4))))</f>
        <v/>
      </c>
      <c r="CT70" s="1321" t="str">
        <f t="array" ref="CT70">IF(ISERROR(INDEX($CS$4:$CS$60,SMALL(IF($CS$4:$CS$60&lt;&gt;0,ROW($CS$4:$CS$60)-3),ROW(CT4)))),"",INDEX($CS$4:$CS$60,SMALL(IF($CS$4:$CS$60&lt;&gt;0,ROW($CS$4:$CS$60)-3),ROW(CT4))))</f>
        <v/>
      </c>
      <c r="CU70" s="1321" t="str">
        <f t="array" ref="CU70">IF( ISERROR(INDEX($A$4:$A$60,SMALL(IF($CU$4:$CU$60&lt;&gt;0,ROW($CU$4:$CU$60)-4),ROW(CU4)))),"",INDEX($A$4:$A$60,SMALL(IF($CU$4:$CU$60&lt;&gt;0,ROW($CU$5:$CU$60)-4),ROW(CU4))))</f>
        <v/>
      </c>
      <c r="CV70" s="1321" t="str">
        <f t="array" ref="CV70">IF(ISERROR(INDEX($CU$4:$CU$60,SMALL(IF($CU$4:$CU$60&lt;&gt;0,ROW($CU$4:$CU$60)-3),ROW(CV4)))),"",INDEX($CU$4:$CU$60,SMALL(IF($CU$4:$CU$60&lt;&gt;0,ROW($CU$4:$CU$60)-3),ROW(CV4))))</f>
        <v/>
      </c>
      <c r="CW70" s="1321" t="str">
        <f t="array" ref="CW70">IF( ISERROR(INDEX($A$4:$A$60,SMALL(IF($CW$4:$CW$60&lt;&gt;0,ROW($CW$4:$CW$60)-4),ROW(CW4)))),"",INDEX($A$4:$A$60,SMALL(IF($CW$4:$CW$60&lt;&gt;0,ROW($CW$5:$CW$60)-4),ROW(CW4))))</f>
        <v/>
      </c>
      <c r="CX70" s="1321" t="str">
        <f t="array" ref="CX70">IF(ISERROR(INDEX($CW$4:$CW$60,SMALL(IF($CW$4:$CW$60&lt;&gt;0,ROW($CW$4:$CW$60)-3),ROW(CX4)))),"",INDEX($CW$4:$CW$60,SMALL(IF($CW$4:$CW$60&lt;&gt;0,ROW($CW$4:$CW$60)-3),ROW(CX4))))</f>
        <v/>
      </c>
      <c r="CY70" s="1321" t="str">
        <f t="array" ref="CY70">IF( ISERROR(INDEX($A$4:$A$60,SMALL(IF($CY$4:$CY$60&lt;&gt;0,ROW($CY$4:$CY$60)-4),ROW(CY4)))),"",INDEX($A$4:$A$60,SMALL(IF($CY$4:$CY$60&lt;&gt;0,ROW($CY$5:$CY$60)-4),ROW(CY4))))</f>
        <v/>
      </c>
      <c r="CZ70" s="1321" t="str">
        <f t="array" ref="CZ70">IF(ISERROR(INDEX($CY$4:$CY$60,SMALL(IF($CY$4:$CY$60&lt;&gt;0,ROW($CY$4:$CY$60)-3),ROW(CZ4)))),"",INDEX($CY$4:$CY$60,SMALL(IF($CY$4:$CY$60&lt;&gt;0,ROW($CY$4:$CY$60)-3),ROW(CZ4))))</f>
        <v/>
      </c>
      <c r="DA70" s="1321"/>
      <c r="DB70" s="1321"/>
      <c r="DC70" s="1321"/>
      <c r="DD70" s="1321"/>
      <c r="DE70" s="1321"/>
      <c r="DF70" s="1321"/>
      <c r="DG70" s="1321"/>
      <c r="DH70" s="1321"/>
      <c r="DI70" s="1321"/>
      <c r="DJ70" s="1321"/>
      <c r="DK70" s="1321"/>
      <c r="DL70" s="1321"/>
      <c r="DM70" s="1321"/>
      <c r="DN70" s="1321"/>
      <c r="DO70" s="1321"/>
      <c r="DP70" s="1321"/>
      <c r="DQ70" s="1321"/>
      <c r="DR70" s="1321"/>
      <c r="DS70" s="1321"/>
      <c r="DT70" s="1321"/>
      <c r="DU70" s="1321"/>
      <c r="DV70" s="1321"/>
      <c r="DW70" s="1321"/>
      <c r="DX70" s="1321"/>
      <c r="DY70" s="1321"/>
      <c r="DZ70" s="1321"/>
      <c r="EA70" s="1321"/>
      <c r="EB70" s="1321"/>
      <c r="EC70" s="1321"/>
      <c r="ED70" s="1321"/>
      <c r="EE70" s="1321"/>
      <c r="EF70" s="1321"/>
      <c r="EG70" s="1321"/>
      <c r="EH70" s="1321"/>
      <c r="EI70" s="1321"/>
      <c r="EJ70" s="1321"/>
      <c r="EK70" s="1321"/>
      <c r="EL70" s="1321"/>
      <c r="EM70" s="1321"/>
      <c r="EN70" s="1321"/>
      <c r="EO70" s="1321"/>
      <c r="EP70" s="1321"/>
      <c r="EQ70" s="1321"/>
      <c r="ER70" s="1321"/>
      <c r="ES70" s="1321"/>
      <c r="ET70" s="1321"/>
      <c r="EU70" s="1321"/>
      <c r="EV70" s="1321"/>
      <c r="EW70" s="1321"/>
      <c r="EX70" s="1321"/>
      <c r="EY70" s="1321"/>
      <c r="EZ70" s="1321"/>
      <c r="FA70" s="1321"/>
      <c r="FB70" s="1321"/>
      <c r="FC70" s="1321"/>
      <c r="FD70" s="1321"/>
      <c r="FE70" s="1321"/>
      <c r="FF70" s="1321"/>
      <c r="FG70" s="1321"/>
      <c r="FH70" s="1321"/>
      <c r="FI70" s="1321"/>
      <c r="FJ70" s="1321"/>
      <c r="FK70" s="1321"/>
      <c r="FL70" s="1321"/>
      <c r="FM70" s="1321"/>
      <c r="FN70" s="1321"/>
      <c r="FO70" s="1321"/>
      <c r="FP70" s="1321"/>
      <c r="FQ70" s="1321"/>
      <c r="FR70" s="1321"/>
      <c r="FS70" s="1321"/>
      <c r="FT70" s="1321"/>
      <c r="FU70" s="1321"/>
      <c r="FV70" s="1321"/>
      <c r="FW70" s="1321"/>
      <c r="FX70" s="1321"/>
      <c r="FY70" s="1321"/>
      <c r="FZ70" s="1321"/>
      <c r="GA70" s="1321"/>
      <c r="GB70" s="1321"/>
      <c r="GC70" s="1321"/>
      <c r="GD70" s="1321"/>
      <c r="GE70" s="1321"/>
      <c r="GF70" s="1321"/>
      <c r="GG70" s="1321"/>
      <c r="GH70" s="1321"/>
      <c r="GI70" s="1321"/>
      <c r="GJ70" s="1321"/>
      <c r="GK70" s="1321"/>
      <c r="GL70" s="1321"/>
      <c r="GM70" s="1321"/>
      <c r="GN70" s="1321"/>
      <c r="GO70" s="1321"/>
      <c r="GP70" s="1321"/>
      <c r="GQ70" s="1321"/>
      <c r="GR70" s="1321"/>
      <c r="GS70" s="1321"/>
      <c r="GT70" s="1321"/>
      <c r="GU70" s="1321"/>
      <c r="GV70" s="1321"/>
      <c r="GW70" s="1321"/>
      <c r="GX70" s="1321"/>
      <c r="GY70" s="1321"/>
      <c r="GZ70" s="1321"/>
    </row>
    <row r="71" spans="3:208" hidden="1">
      <c r="C71" s="1321" t="str">
        <f t="array" ref="C71">IF( ISERROR(INDEX($A$4:$A$60,SMALL(IF($C$4:$C$60&lt;&gt;0,ROW($C$4:$C$60)-4),ROW(A5)))),"",INDEX($A$4:$A$60,SMALL(IF($C$4:$C$60&lt;&gt;0,ROW($C$5:$C$60)-4),ROW(A5))))</f>
        <v/>
      </c>
      <c r="D71" s="1321" t="str">
        <f t="array" ref="D71">IF(ISERROR(INDEX($C$4:$C$60,SMALL(IF($C$4:$C$60&lt;&gt;0,ROW($C$4:$C$60)-3),ROW(D5)))),"",INDEX($C$4:$C$60,SMALL(IF($C$4:$C$60&lt;&gt;0,ROW($C$4:$C$60)-3),ROW(D5))))</f>
        <v/>
      </c>
      <c r="E71" s="1321" t="str">
        <f t="array" ref="E71">IF( ISERROR(INDEX($A$4:$A$60,SMALL(IF($E$4:$E$60&lt;&gt;0,ROW($E$4:$E$60)-4),ROW(E5)))),"",INDEX($A$4:$A$60,SMALL(IF($E$4:$E$60&lt;&gt;0,ROW($E$5:$E$60)-4),ROW(E5))))</f>
        <v/>
      </c>
      <c r="F71" s="1321" t="str">
        <f t="array" ref="F71">IF(ISERROR(INDEX($E$4:$E$60,SMALL(IF($E$4:$E$60&lt;&gt;0,ROW($E$4:$E$60)-3),ROW(F5)))),"",INDEX($E$4:$E$60,SMALL(IF($E$4:$E$60&lt;&gt;0,ROW($E$4:$E$60)-3),ROW(F5))))</f>
        <v/>
      </c>
      <c r="G71" s="1321" t="str">
        <f t="array" ref="G71">IF( ISERROR(INDEX($A$4:$A$60,SMALL(IF($G$4:$G$60&lt;&gt;0,ROW($G$4:$G$60)-4),ROW(G5)))),"",INDEX($A$4:$A$60,SMALL(IF($G$4:$G$60&lt;&gt;0,ROW($G$5:$G$60)-4),ROW(G5))))</f>
        <v/>
      </c>
      <c r="H71" s="1321" t="str">
        <f t="array" ref="H71">IF(ISERROR(INDEX($E$4:$E$60,SMALL(IF($G$4:$G$60&lt;&gt;0,ROW($G$4:$G$60)-3),ROW(H5)))),"",INDEX($G$4:$G$60,SMALL(IF($G$4:$G$60&lt;&gt;0,ROW($G$4:$G$60)-3),ROW(H5))))</f>
        <v/>
      </c>
      <c r="I71" s="1321" t="str">
        <f t="array" ref="I71">IF( ISERROR(INDEX($A$4:$A$60,SMALL(IF($I$4:$I$60&lt;&gt;0,ROW($I$4:$I$60)-4),ROW(I5)))),"",INDEX($A$4:$A$60,SMALL(IF($I$4:$I$60&lt;&gt;0,ROW($I$5:$I$60)-4),ROW(I5))))</f>
        <v/>
      </c>
      <c r="J71" s="1321" t="str">
        <f t="array" ref="J71">IF(ISERROR(INDEX($I$4:$I$60,SMALL(IF($I$4:$I$60&lt;&gt;0,ROW($I$4:$I$60)-3),ROW(J5)))),"",INDEX($I$4:$I$60,SMALL(IF($I$4:$I$60&lt;&gt;0,ROW($I$4:$I$60)-3),ROW(J5))))</f>
        <v/>
      </c>
      <c r="K71" s="1321" t="str">
        <f t="array" ref="K71">IF( ISERROR(INDEX($A$4:$A$60,SMALL(IF($K$4:$K$60&lt;&gt;0,ROW($K$4:$K$60)-4),ROW(K5)))),"",INDEX($A$4:$A$60,SMALL(IF($K$4:$K$60&lt;&gt;0,ROW($K$5:$K$60)-4),ROW(K5))))</f>
        <v/>
      </c>
      <c r="L71" s="1321" t="str">
        <f t="array" ref="L71">IF(ISERROR(INDEX($K$4:$K$60,SMALL(IF($K$4:$K$60&lt;&gt;0,ROW($K$4:$K$60)-3),ROW(L5)))),"",INDEX($K$4:$K$60,SMALL(IF($K$4:$K$60&lt;&gt;0,ROW($K$4:$K$60)-3),ROW(L5))))</f>
        <v/>
      </c>
      <c r="M71" s="1321" t="str">
        <f t="array" ref="M71">IF( ISERROR(INDEX($A$4:$A$60,SMALL(IF($M$4:$M$60&lt;&gt;0,ROW($M$4:$M$60)-4),ROW(M5)))),"",INDEX($A$4:$A$60,SMALL(IF($M$4:$M$60&lt;&gt;0,ROW($M$5:$M$60)-4),ROW(M5))))</f>
        <v/>
      </c>
      <c r="N71" s="1321" t="str">
        <f t="array" ref="N71">IF(ISERROR(INDEX($M$4:$M$60,SMALL(IF($M$4:$M$60&lt;&gt;0,ROW($M$4:$M$60)-3),ROW(N5)))),"",INDEX($M$4:$M$60,SMALL(IF($M$4:$M$60&lt;&gt;0,ROW($M$4:$M$60)-3),ROW(N5))))</f>
        <v/>
      </c>
      <c r="O71" s="1321" t="str">
        <f t="array" ref="O71">IF( ISERROR(INDEX($A$4:$A$60,SMALL(IF($O$4:$O$60&lt;&gt;0,ROW($O$4:$O$60)-4),ROW(O5)))),"",INDEX($A$4:$A$60,SMALL(IF($O$4:$O$60&lt;&gt;0,ROW($O$5:$O$60)-4),ROW(O5))))</f>
        <v/>
      </c>
      <c r="P71" s="1321" t="str">
        <f t="array" ref="P71">IF(ISERROR(INDEX($O$4:$O$60,SMALL(IF($O$4:$O$60&lt;&gt;0,ROW($O$4:$O$60)-3),ROW(P5)))),"",INDEX($O$4:$O$60,SMALL(IF($O$4:$O$60&lt;&gt;0,ROW($O$4:$O$60)-3),ROW(P5))))</f>
        <v/>
      </c>
      <c r="Q71" s="1321" t="str">
        <f t="array" ref="Q71">IF( ISERROR(INDEX($A$4:$A$60,SMALL(IF($Q$4:$Q$60&lt;&gt;0,ROW($Q$4:$Q$60)-4),ROW(Q5)))),"",INDEX($A$4:$A$60,SMALL(IF($Q$4:$Q$60&lt;&gt;0,ROW($Q$5:$Q$60)-4),ROW(Q5))))</f>
        <v/>
      </c>
      <c r="R71" s="1321" t="str">
        <f t="array" ref="R71">IF(ISERROR(INDEX($Q$4:$Q$60,SMALL(IF($Q$4:$Q$60&lt;&gt;0,ROW($Q$4:$Q$60)-3),ROW(R5)))),"",INDEX($Q$4:$Q$60,SMALL(IF($Q$4:$Q$60&lt;&gt;0,ROW($Q$4:$Q$60)-3),ROW(R5))))</f>
        <v/>
      </c>
      <c r="S71" s="1321" t="str">
        <f t="array" ref="S71">IF( ISERROR(INDEX($A$4:$A$60,SMALL(IF($S$4:$S$60&lt;&gt;0,ROW($S$4:$S$60)-4),ROW(S5)))),"",INDEX($A$4:$A$60,SMALL(IF($S$4:$S$60&lt;&gt;0,ROW($S$5:$S$60)-4),ROW(S5))))</f>
        <v/>
      </c>
      <c r="T71" s="1321" t="str">
        <f t="array" ref="T71">IF(ISERROR(INDEX($S$4:$S$60,SMALL(IF($S$4:$S$60&lt;&gt;0,ROW($S$4:$S$60)-3),ROW(T5)))),"",INDEX($S$4:$S$60,SMALL(IF($S$4:$S$60&lt;&gt;0,ROW($S$4:$S$60)-3),ROW(T5))))</f>
        <v/>
      </c>
      <c r="U71" s="1321" t="str">
        <f t="array" ref="U71">IF( ISERROR(INDEX($A$4:$A$60,SMALL(IF($U$4:$U$60&lt;&gt;0,ROW($U$4:$U$60)-4),ROW(U5)))),"",INDEX($A$4:$A$60,SMALL(IF($U$4:$U$60&lt;&gt;0,ROW($U$5:$U$60)-4),ROW(U5))))</f>
        <v/>
      </c>
      <c r="V71" s="1321" t="str">
        <f t="array" ref="V71">IF(ISERROR(INDEX($U$4:$U$60,SMALL(IF($U$4:$U$60&lt;&gt;0,ROW($U$4:$U$60)-3),ROW(V5)))),"",INDEX($U$4:$U$60,SMALL(IF($U$4:$U$60&lt;&gt;0,ROW($U$4:$U$60)-3),ROW(V5))))</f>
        <v/>
      </c>
      <c r="W71" s="1321" t="str">
        <f t="array" ref="W71">IF( ISERROR(INDEX($A$4:$A$60,SMALL(IF($W$4:$W$60&lt;&gt;0,ROW($W$4:$W$60)-4),ROW(W5)))),"",INDEX($A$4:$A$60,SMALL(IF($W$4:$W$60&lt;&gt;0,ROW($W$5:$W$60)-4),ROW(W5))))</f>
        <v/>
      </c>
      <c r="X71" s="1321" t="str">
        <f t="array" ref="X71">IF(ISERROR(INDEX($W$4:$W$60,SMALL(IF($W$4:$W$60&lt;&gt;0,ROW($W$4:$W$60)-3),ROW(X5)))),"",INDEX($W$4:$W$60,SMALL(IF($W$4:$W$60&lt;&gt;0,ROW($W$4:$W$60)-3),ROW(X5))))</f>
        <v/>
      </c>
      <c r="Y71" s="1321" t="str">
        <f t="array" ref="Y71">IF( ISERROR(INDEX($A$4:$A$60,SMALL(IF($Y$4:$Y$60&lt;&gt;0,ROW($Y$4:$Y$60)-4),ROW(Y5)))),"",INDEX($A$4:$A$60,SMALL(IF($Y$4:$Y$60&lt;&gt;0,ROW($Y$5:$Y$60)-4),ROW(Y5))))</f>
        <v/>
      </c>
      <c r="Z71" s="1321" t="str">
        <f t="array" ref="Z71">IF(ISERROR(INDEX($Y$4:$Y$60,SMALL(IF($Y$4:$Y$60&lt;&gt;0,ROW($Y$4:$Y$60)-3),ROW(Z5)))),"",INDEX($Y$4:$Y$60,SMALL(IF($Y$4:$Y$60&lt;&gt;0,ROW($Y$4:$Y$60)-3),ROW(Z5))))</f>
        <v/>
      </c>
      <c r="AA71" s="1321" t="str">
        <f t="array" ref="AA71">IF( ISERROR(INDEX($A$4:$A$60,SMALL(IF($AA$4:$AA$60&lt;&gt;0,ROW($AA$4:$AA$60)-4),ROW(AA5)))),"",INDEX($A$4:$A$60,SMALL(IF($AA$4:$AA$60&lt;&gt;0,ROW($AA$5:$AA$60)-4),ROW(AA5))))</f>
        <v/>
      </c>
      <c r="AB71" s="1321" t="str">
        <f t="array" ref="AB71">IF(ISERROR(INDEX($AA$4:$AA$60,SMALL(IF($AA$4:$AA$60&lt;&gt;0,ROW($AA$4:$AA$60)-3),ROW(AB5)))),"",INDEX($AA$4:$AA$60,SMALL(IF($AA$4:$AA$60&lt;&gt;0,ROW($AA$4:$AA$60)-3),ROW(AB5))))</f>
        <v/>
      </c>
      <c r="AC71" s="1321" t="str">
        <f t="array" ref="AC71">IF( ISERROR(INDEX($A$4:$A$60,SMALL(IF($AC$4:$AC$60&lt;&gt;0,ROW($AC$4:$AC$60)-4),ROW(AC5)))),"",INDEX($A$4:$A$60,SMALL(IF($AC$4:$AC$60&lt;&gt;0,ROW($AC$5:$AC$60)-4),ROW(AC5))))</f>
        <v/>
      </c>
      <c r="AD71" s="1321" t="str">
        <f t="array" ref="AD71">IF(ISERROR(INDEX($AC$4:$AC$60,SMALL(IF($AC$4:$AC$60&lt;&gt;0,ROW($AC$4:$AC$60)-3),ROW(AD5)))),"",INDEX($AC$4:$AC$60,SMALL(IF($AC$4:$AC$60&lt;&gt;0,ROW($AC$4:$AC$60)-3),ROW(AD5))))</f>
        <v/>
      </c>
      <c r="AE71" s="1321" t="str">
        <f t="array" ref="AE71">IF( ISERROR(INDEX($A$4:$A$60,SMALL(IF($AE$4:$AE$60&lt;&gt;0,ROW($AE$4:$AE$60)-4),ROW(AE5)))),"",INDEX($A$4:$A$60,SMALL(IF($AE$4:$AE$60&lt;&gt;0,ROW($AE$5:$AE$60)-4),ROW(AE5))))</f>
        <v/>
      </c>
      <c r="AF71" s="1321" t="str">
        <f t="array" ref="AF71">IF(ISERROR(INDEX($AE$4:$AE$60,SMALL(IF($AE$4:$AE$60&lt;&gt;0,ROW($AE$4:$AE$60)-3),ROW(AF5)))),"",INDEX($AE$4:$AE$60,SMALL(IF($AE$4:$AE$60&lt;&gt;0,ROW($AE$4:$AE$60)-3),ROW(AF5))))</f>
        <v/>
      </c>
      <c r="AG71" s="1321" t="str">
        <f t="array" ref="AG71">IF( ISERROR(INDEX($A$4:$A$60,SMALL(IF($AG$4:$AG$60&lt;&gt;0,ROW($AG$4:$AG$60)-4),ROW(AG5)))),"",INDEX($A$4:$A$60,SMALL(IF($AG$4:$AG$60&lt;&gt;0,ROW($AG$5:$AG$60)-4),ROW(AG5))))</f>
        <v/>
      </c>
      <c r="AH71" s="1321" t="str">
        <f t="array" ref="AH71">IF(ISERROR(INDEX($AG$4:$AG$60,SMALL(IF($AG$4:$AG$60&lt;&gt;0,ROW($AG$4:$AG$60)-3),ROW(AH5)))),"",INDEX($AG$4:$AG$60,SMALL(IF($AG$4:$AG$60&lt;&gt;0,ROW($AG$4:$AG$60)-3),ROW(AH5))))</f>
        <v/>
      </c>
      <c r="AI71" s="1321" t="str">
        <f t="array" ref="AI71">IF( ISERROR(INDEX($A$4:$A$60,SMALL(IF($AI$4:$AI$60&lt;&gt;0,ROW($AI$4:$AI$60)-4),ROW(AI5)))),"",INDEX($A$4:$A$60,SMALL(IF($AI$4:$AI$60&lt;&gt;0,ROW($AI$5:$AI$60)-4),ROW(AI5))))</f>
        <v/>
      </c>
      <c r="AJ71" s="1321" t="str">
        <f t="array" ref="AJ71">IF(ISERROR(INDEX($E$4:$E$60,SMALL(IF($AI$4:$AI$60&lt;&gt;0,ROW($AI$4:$AI$60)-3),ROW(AJ5)))),"",INDEX($AI$4:$AI$60,SMALL(IF($AI$4:$AI$60&lt;&gt;0,ROW($AI$4:$AI$60)-3),ROW(AJ5))))</f>
        <v/>
      </c>
      <c r="AK71" s="1321" t="str">
        <f t="array" ref="AK71">IF( ISERROR(INDEX($A$4:$A$60,SMALL(IF($AK$4:$AK$60&lt;&gt;0,ROW($AK$4:$AK$60)-4),ROW(AK5)))),"",INDEX($A$4:$A$60,SMALL(IF($AK$4:$AK$60&lt;&gt;0,ROW($AK$5:$AK$60)-4),ROW(AK5))))</f>
        <v/>
      </c>
      <c r="AL71" s="1321" t="str">
        <f t="array" ref="AL71">IF(ISERROR(INDEX($AK$4:$AK$60,SMALL(IF($AK$4:$AK$60&lt;&gt;0,ROW($AK$4:$AK$60)-3),ROW(AL5)))),"",INDEX($AK$4:$AK$60,SMALL(IF($AK$4:$AK$60&lt;&gt;0,ROW($AK$4:$AK$60)-3),ROW(AL5))))</f>
        <v/>
      </c>
      <c r="AM71" s="1321" t="str">
        <f t="array" ref="AM71">IF( ISERROR(INDEX($A$4:$A$60,SMALL(IF($AM$4:$AM$60&lt;&gt;0,ROW($AM$4:$AM$60)-4),ROW(AM5)))),"",INDEX($A$4:$A$60,SMALL(IF($AM$4:$AM$60&lt;&gt;0,ROW($AM$5:$AM$60)-4),ROW(AM5))))</f>
        <v/>
      </c>
      <c r="AN71" s="1321" t="str">
        <f t="array" ref="AN71">IF(ISERROR(INDEX($AM$4:$AM$60,SMALL(IF($AM$4:$AM$60&lt;&gt;0,ROW($AM$4:$AM$60)-3),ROW(AN5)))),"",INDEX($AM$4:$AM$60,SMALL(IF($AM$4:$AM$60&lt;&gt;0,ROW($AM$4:$AM$60)-3),ROW(AN5))))</f>
        <v/>
      </c>
      <c r="AO71" s="1321" t="str">
        <f t="array" ref="AO71">IF( ISERROR(INDEX($A$4:$A$60,SMALL(IF($AO$4:$AO$60&lt;&gt;0,ROW($AO$4:$AO$60)-4),ROW(AO5)))),"",INDEX($A$4:$A$60,SMALL(IF($AO$4:$AO$60&lt;&gt;0,ROW($AO$5:$AO$60)-4),ROW(AO5))))</f>
        <v/>
      </c>
      <c r="AP71" s="1321" t="str">
        <f t="array" ref="AP71">IF(ISERROR(INDEX($AO$4:$AO$60,SMALL(IF($AO$4:$AO$60&lt;&gt;0,ROW($AO$4:$AO$60)-3),ROW(AP5)))),"",INDEX($AO$4:$AO$60,SMALL(IF($AO$4:$AO$60&lt;&gt;0,ROW($AO$4:$AO$60)-3),ROW(AP5))))</f>
        <v/>
      </c>
      <c r="AQ71" s="1321" t="str">
        <f t="array" ref="AQ71">IF( ISERROR(INDEX($A$4:$A$60,SMALL(IF($AQ$4:$AQ$60&lt;&gt;0,ROW($AQ$4:$AQ$60)-4),ROW(AQ5)))),"",INDEX($A$4:$A$60,SMALL(IF($AQ$4:$AQ$60&lt;&gt;0,ROW($AQ$5:$AQ$60)-4),ROW(AQ5))))</f>
        <v/>
      </c>
      <c r="AR71" s="1321" t="str">
        <f t="array" ref="AR71">IF(ISERROR(INDEX($AQ$4:$AQ$60,SMALL(IF($AQ$4:$AQ$60&lt;&gt;0,ROW($AQ$4:$AQ$60)-3),ROW(AR5)))),"",INDEX($AQ$4:$AQ$60,SMALL(IF($AQ$4:$AQ$60&lt;&gt;0,ROW($AQ$4:$AQ$60)-3),ROW(AR5))))</f>
        <v/>
      </c>
      <c r="AS71" s="1321" t="str">
        <f t="array" ref="AS71">IF( ISERROR(INDEX($A$4:$A$60,SMALL(IF($AS$4:$AS$60&lt;&gt;0,ROW($AS$4:$AS$60)-4),ROW(AS5)))),"",INDEX($A$4:$A$60,SMALL(IF($AS$4:$AS$60&lt;&gt;0,ROW($AS$5:$AS$60)-4),ROW(AS5))))</f>
        <v/>
      </c>
      <c r="AT71" s="1321" t="str">
        <f t="array" ref="AT71">IF(ISERROR(INDEX($AS$4:$AS$60,SMALL(IF($AS$4:$AS$60&lt;&gt;0,ROW($AS$4:$AS$60)-3),ROW(AT5)))),"",INDEX($AS$4:$AS$60,SMALL(IF($AS$4:$AS$60&lt;&gt;0,ROW($AS$4:$AS$60)-3),ROW(AT5))))</f>
        <v/>
      </c>
      <c r="AU71" s="1321" t="str">
        <f t="array" ref="AU71">IF( ISERROR(INDEX($A$4:$A$60,SMALL(IF($AU$4:$AU$60&lt;&gt;0,ROW($AU$4:$AU$60)-4),ROW(AU5)))),"",INDEX($A$4:$A$60,SMALL(IF($AU$4:$AU$60&lt;&gt;0,ROW($AU$5:$AU$60)-4),ROW(AU5))))</f>
        <v/>
      </c>
      <c r="AV71" s="1321" t="str">
        <f t="array" ref="AV71">IF(ISERROR(INDEX($AU$4:$AU$60,SMALL(IF($AU$4:$AU$60&lt;&gt;0,ROW($AU$4:$AU$60)-3),ROW(AV5)))),"",INDEX($AU$4:$AU$60,SMALL(IF($AU$4:$AU$60&lt;&gt;0,ROW($AU$4:$AU$60)-3),ROW(AV5))))</f>
        <v/>
      </c>
      <c r="AW71" s="1321" t="str">
        <f t="array" ref="AW71">IF( ISERROR(INDEX($A$4:$A$60,SMALL(IF($AW$4:$AW$60&lt;&gt;0,ROW($AW$4:$AW$60)-4),ROW(AW5)))),"",INDEX($A$4:$A$60,SMALL(IF($AW$4:$AW$60&lt;&gt;0,ROW($AW$5:$AW$60)-4),ROW(AW5))))</f>
        <v/>
      </c>
      <c r="AX71" s="1321" t="str">
        <f t="array" ref="AX71">IF(ISERROR(INDEX($AW$4:$AW$60,SMALL(IF($AW$4:$AW$60&lt;&gt;0,ROW($AW$4:$AW$60)-3),ROW(AX5)))),"",INDEX($AW$4:$AW$60,SMALL(IF($AW$4:$AW$60&lt;&gt;0,ROW($AW$4:$AW$60)-3),ROW(AX5))))</f>
        <v/>
      </c>
      <c r="AY71" s="1321" t="str">
        <f t="array" ref="AY71">IF( ISERROR(INDEX($A$4:$A$60,SMALL(IF($AY$4:$AY$60&lt;&gt;0,ROW($AY$4:$AY$60)-4),ROW(AY5)))),"",INDEX($A$4:$A$60,SMALL(IF($AY$4:$AY$60&lt;&gt;0,ROW($AY$5:$AY$60)-4),ROW(AY5))))</f>
        <v/>
      </c>
      <c r="AZ71" s="1321" t="str">
        <f t="array" ref="AZ71">IF(ISERROR(INDEX($AY$4:$AY$60,SMALL(IF($AY$4:$AY$60&lt;&gt;0,ROW($AY$4:$AY$60)-3),ROW(AZ5)))),"",INDEX($AY$4:$AY$60,SMALL(IF($AY$4:$AY$60&lt;&gt;0,ROW($AY$4:$AY$60)-3),ROW(AZ5))))</f>
        <v/>
      </c>
      <c r="BA71" s="1321" t="str">
        <f t="array" ref="BA71">IF( ISERROR(INDEX($A$4:$A$60,SMALL(IF($BA$4:$BA$60&lt;&gt;0,ROW($BA$4:$BA$60)-4),ROW(BA5)))),"",INDEX($A$4:$A$60,SMALL(IF($BA$4:$BA$60&lt;&gt;0,ROW($BA$5:$BA$60)-4),ROW(BA5))))</f>
        <v/>
      </c>
      <c r="BB71" s="1321" t="str">
        <f t="array" ref="BB71">IF(ISERROR(INDEX($BA$4:$BA$60,SMALL(IF($BA$4:$BA$60&lt;&gt;0,ROW($BA$4:$BA$60)-3),ROW(BB5)))),"",INDEX($BA$4:$BA$60,SMALL(IF($BA$4:$BA$60&lt;&gt;0,ROW($BA$4:$BA$60)-3),ROW(BB5))))</f>
        <v/>
      </c>
      <c r="BC71" s="1321" t="str">
        <f t="array" ref="BC71">IF( ISERROR(INDEX($A$4:$A$60,SMALL(IF($BC$4:$BC$60&lt;&gt;0,ROW($BC$4:$BC$60)-4),ROW(BC5)))),"",INDEX($A$4:$A$60,SMALL(IF($BC$4:$BC$60&lt;&gt;0,ROW($BC$5:$BC$60)-4),ROW(BC5))))</f>
        <v/>
      </c>
      <c r="BD71" s="1321" t="str">
        <f t="array" ref="BD71">IF(ISERROR(INDEX($BC$4:$BC$60,SMALL(IF($BC$4:$BC$60&lt;&gt;0,ROW($BC$4:$BC$60)-3),ROW(BD5)))),"",INDEX($BC$4:$BC$60,SMALL(IF($BC$4:$BC$60&lt;&gt;0,ROW($BC$4:$BC$60)-3),ROW(BD5))))</f>
        <v/>
      </c>
      <c r="BE71" s="1321" t="str">
        <f t="array" ref="BE71">IF( ISERROR(INDEX($A$4:$A$60,SMALL(IF($BE$4:$BE$60&lt;&gt;0,ROW($BE$4:$BE$60)-4),ROW(BE5)))),"",INDEX($A$4:$A$60,SMALL(IF($BE$4:$BE$60&lt;&gt;0,ROW($BE$5:$BE$60)-4),ROW(BE5))))</f>
        <v/>
      </c>
      <c r="BF71" s="1321" t="str">
        <f t="array" ref="BF71">IF(ISERROR(INDEX($BE$4:$BE$60,SMALL(IF($BE$4:$BE$60&lt;&gt;0,ROW($BE$4:$BE$60)-3),ROW(BF5)))),"",INDEX($BE$4:$BE$60,SMALL(IF($BE$4:$BE$60&lt;&gt;0,ROW($BE$4:$BE$60)-3),ROW(BF5))))</f>
        <v/>
      </c>
      <c r="BG71" s="1321" t="str">
        <f t="array" ref="BG71">IF( ISERROR(INDEX($A$4:$A$60,SMALL(IF($BG$4:$BG$60&lt;&gt;0,ROW($BG$4:$BG$60)-4),ROW(BG5)))),"",INDEX($A$4:$A$60,SMALL(IF($BG$4:$BG$60&lt;&gt;0,ROW($BG$5:$BG$60)-4),ROW(BG5))))</f>
        <v/>
      </c>
      <c r="BH71" s="1321" t="str">
        <f t="array" ref="BH71">IF(ISERROR(INDEX($BG$4:$BG$60,SMALL(IF($BG$4:$BG$60&lt;&gt;0,ROW($BG$4:$BG$60)-3),ROW(BH5)))),"",INDEX($BG$4:$BG$60,SMALL(IF($BG$4:$BG$60&lt;&gt;0,ROW($BG$4:$BG$60)-3),ROW(BH5))))</f>
        <v/>
      </c>
      <c r="BI71" s="1321" t="str">
        <f t="array" ref="BI71">IF( ISERROR(INDEX($A$4:$A$60,SMALL(IF($BI$4:$BI$60&lt;&gt;0,ROW($BI$4:$BI$60)-4),ROW(BI5)))),"",INDEX($A$4:$A$60,SMALL(IF($BI$4:$BI$60&lt;&gt;0,ROW($BI$5:$BI$60)-4),ROW(BI5))))</f>
        <v/>
      </c>
      <c r="BJ71" s="1321" t="str">
        <f t="array" ref="BJ71">IF(ISERROR(INDEX($BI$4:$BI$60,SMALL(IF($BI$4:$BI$60&lt;&gt;0,ROW($BI$4:$BI$60)-3),ROW(BJ5)))),"",INDEX($BI$4:$BI$60,SMALL(IF($BI$4:$BI$60&lt;&gt;0,ROW($BI$4:$BI$60)-3),ROW(BJ5))))</f>
        <v/>
      </c>
      <c r="BK71" s="1321" t="str">
        <f t="array" ref="BK71">IF( ISERROR(INDEX($A$4:$A$60,SMALL(IF($BK$4:$BK$60&lt;&gt;0,ROW($BK$4:$BK$60)-4),ROW(BK5)))),"",INDEX($A$4:$A$60,SMALL(IF($BK$4:$BK$60&lt;&gt;0,ROW($BK$5:$BK$60)-4),ROW(BK5))))</f>
        <v/>
      </c>
      <c r="BL71" s="1321" t="str">
        <f t="array" ref="BL71">IF(ISERROR(INDEX($BK$4:$BK$60,SMALL(IF($BK$4:$BK$60&lt;&gt;0,ROW($BK$4:$BK$60)-3),ROW(BL5)))),"",INDEX($BK$4:$BK$60,SMALL(IF($BK$4:$BK$60&lt;&gt;0,ROW($BK$4:$BK$60)-3),ROW(BL5))))</f>
        <v/>
      </c>
      <c r="BM71" s="1321" t="str">
        <f t="array" ref="BM71">IF( ISERROR(INDEX($A$4:$A$60,SMALL(IF($BM$4:$BM$60&lt;&gt;0,ROW($BM$4:$BM$60)-4),ROW(BM5)))),"",INDEX($A$4:$A$60,SMALL(IF($BM$4:$BM$60&lt;&gt;0,ROW($BM$5:$BM$60)-4),ROW(BM5))))</f>
        <v/>
      </c>
      <c r="BN71" s="1321" t="str">
        <f t="array" ref="BN71">IF(ISERROR(INDEX($BM$4:$BM$60,SMALL(IF($BM$4:$BM$60&lt;&gt;0,ROW($BM$4:$BM$60)-3),ROW(BN5)))),"",INDEX($BM$4:$BM$60,SMALL(IF($BM$4:$BM$60&lt;&gt;0,ROW($BM$4:$BM$60)-3),ROW(BN5))))</f>
        <v/>
      </c>
      <c r="BO71" s="1321" t="str">
        <f t="array" ref="BO71">IF( ISERROR(INDEX($A$4:$A$60,SMALL(IF($BO$4:$BO$60&lt;&gt;0,ROW($BO$4:$BO$60)-4),ROW(BO5)))),"",INDEX($A$4:$A$60,SMALL(IF($BO$4:$BO$60&lt;&gt;0,ROW($BO$5:$BO$60)-4),ROW(BO5))))</f>
        <v/>
      </c>
      <c r="BP71" s="1321" t="str">
        <f t="array" ref="BP71">IF(ISERROR(INDEX($BO$4:$BO$60,SMALL(IF($BO$4:$BO$60&lt;&gt;0,ROW($BO$4:$BO$60)-3),ROW(BP5)))),"",INDEX($BO$4:$BO$60,SMALL(IF($BO$4:$BO$60&lt;&gt;0,ROW($BO$4:$BO$60)-3),ROW(BP5))))</f>
        <v/>
      </c>
      <c r="BQ71" s="1321" t="str">
        <f t="array" ref="BQ71">IF( ISERROR(INDEX($A$4:$A$60,SMALL(IF($BQ$4:$BQ$60&lt;&gt;0,ROW($BQ$4:$BQ$60)-4),ROW(BQ5)))),"",INDEX($A$4:$A$60,SMALL(IF($BQ$4:$BQ$60&lt;&gt;0,ROW($BQ$5:$BQ$60)-4),ROW(BQ5))))</f>
        <v/>
      </c>
      <c r="BR71" s="1321" t="str">
        <f t="array" ref="BR71">IF(ISERROR(INDEX($BQ$4:$BQ$60,SMALL(IF($BQ$4:$BQ$60&lt;&gt;0,ROW($BQ$4:$BQ$60)-3),ROW(BR5)))),"",INDEX($BQ$4:$BQ$60,SMALL(IF($BQ$4:$BQ$60&lt;&gt;0,ROW($BQ$4:$BQ$60)-3),ROW(BR5))))</f>
        <v/>
      </c>
      <c r="BS71" s="1321" t="str">
        <f t="array" ref="BS71">IF( ISERROR(INDEX($A$4:$A$60,SMALL(IF($BS$4:$BS$60&lt;&gt;0,ROW($BS$4:$BS$60)-4),ROW(BS5)))),"",INDEX($A$4:$A$60,SMALL(IF($BS$4:$BS$60&lt;&gt;0,ROW($BS$5:$BS$60)-4),ROW(BS5))))</f>
        <v/>
      </c>
      <c r="BT71" s="1321" t="str">
        <f t="array" ref="BT71">IF(ISERROR(INDEX($BS$4:$BS$60,SMALL(IF($BS$4:$BS$60&lt;&gt;0,ROW($BS$4:$BS$60)-3),ROW(BT5)))),"",INDEX($BS$4:$BS$60,SMALL(IF($BS$4:$BS$60&lt;&gt;0,ROW($BS$4:$BS$60)-3),ROW(BT5))))</f>
        <v/>
      </c>
      <c r="BU71" s="1321" t="str">
        <f t="array" ref="BU71">IF( ISERROR(INDEX($A$4:$A$60,SMALL(IF($BU$4:$BU$60&lt;&gt;0,ROW($BU$4:$BU$60)-4),ROW(BU5)))),"",INDEX($A$4:$A$60,SMALL(IF($BU$4:$BU$60&lt;&gt;0,ROW($BU$5:$BU$60)-4),ROW(BU5))))</f>
        <v/>
      </c>
      <c r="BV71" s="1321" t="str">
        <f t="array" ref="BV71">IF(ISERROR(INDEX($BQ$4:$BQ$60,SMALL(IF($BU$4:$BU$60&lt;&gt;0,ROW($BU$4:$BU$60)-3),ROW(BV5)))),"",INDEX($BU$4:$BU$60,SMALL(IF($BU$4:$BU$60&lt;&gt;0,ROW($BU$4:$BU$60)-3),ROW(BV5))))</f>
        <v/>
      </c>
      <c r="BW71" s="1321" t="str">
        <f t="array" ref="BW71">IF( ISERROR(INDEX($A$4:$A$60,SMALL(IF($BW$4:$BW$60&lt;&gt;0,ROW($BW$4:$BW$60)-4),ROW(BW5)))),"",INDEX($A$4:$A$60,SMALL(IF($BW$4:$BW$60&lt;&gt;0,ROW($BW$5:$BW$60)-4),ROW(BW5))))</f>
        <v/>
      </c>
      <c r="BX71" s="1321" t="str">
        <f t="array" ref="BX71">IF(ISERROR(INDEX($BW$4:$BW$60,SMALL(IF($BW$4:$BW$60&lt;&gt;0,ROW($BW$4:$BW$60)-3),ROW(BX5)))),"",INDEX($BW$4:$BW$60,SMALL(IF($BW$4:$BW$60&lt;&gt;0,ROW($BW$4:$BW$60)-3),ROW(BX5))))</f>
        <v/>
      </c>
      <c r="BY71" s="1321" t="str">
        <f t="array" ref="BY71">IF( ISERROR(INDEX($A$4:$A$60,SMALL(IF($BY$4:$BY$60&lt;&gt;0,ROW($BY$4:$BY$60)-4),ROW(BY5)))),"",INDEX($A$4:$A$60,SMALL(IF($BY$4:$BY$60&lt;&gt;0,ROW($BY$5:$BY$60)-4),ROW(BY5))))</f>
        <v/>
      </c>
      <c r="BZ71" s="1321" t="str">
        <f t="array" ref="BZ71">IF(ISERROR(INDEX($BY$4:$BY$60,SMALL(IF($BY$4:$BY$60&lt;&gt;0,ROW($BY$4:$BY$60)-3),ROW(BZ5)))),"",INDEX($BY$4:$BY$60,SMALL(IF($BY$4:$BY$60&lt;&gt;0,ROW($BY$4:$BY$60)-3),ROW(BZ5))))</f>
        <v/>
      </c>
      <c r="CA71" s="1321" t="str">
        <f t="array" ref="CA71">IF( ISERROR(INDEX($A$4:$A$60,SMALL(IF($CA$4:$CA$60&lt;&gt;0,ROW($CA$4:$CA$60)-4),ROW(CA5)))),"",INDEX($A$4:$A$60,SMALL(IF($CA$4:$CA$60&lt;&gt;0,ROW($CA$5:$CA$60)-4),ROW(CA5))))</f>
        <v/>
      </c>
      <c r="CB71" s="1321" t="str">
        <f t="array" ref="CB71">IF(ISERROR(INDEX($CA$4:$CA$60,SMALL(IF($CA$4:$CA$60&lt;&gt;0,ROW($CA$4:$CA$60)-3),ROW(CB5)))),"",INDEX($CA$4:$CA$60,SMALL(IF($CA$4:$CA$60&lt;&gt;0,ROW($CA$4:$CA$60)-3),ROW(CB5))))</f>
        <v/>
      </c>
      <c r="CC71" s="1321" t="str">
        <f t="array" ref="CC71">IF( ISERROR(INDEX($A$4:$A$60,SMALL(IF($CC$4:$CC$60&lt;&gt;0,ROW($CC$4:$CC$60)-4),ROW(CC5)))),"",INDEX($A$4:$A$60,SMALL(IF($CC$4:$CC$60&lt;&gt;0,ROW($CC$5:$CC$60)-4),ROW(CC5))))</f>
        <v/>
      </c>
      <c r="CD71" s="1321" t="str">
        <f t="array" ref="CD71">IF(ISERROR(INDEX($CC$4:$CC$60,SMALL(IF($CC$4:$CC$60&lt;&gt;0,ROW($CC$4:$CC$60)-3),ROW(CD5)))),"",INDEX($CC$4:$CC$60,SMALL(IF($CC$4:$CC$60&lt;&gt;0,ROW($CC$4:$CC$60)-3),ROW(CD5))))</f>
        <v/>
      </c>
      <c r="CE71" s="1321" t="str">
        <f t="array" ref="CE71">IF( ISERROR(INDEX($A$4:$A$60,SMALL(IF($CE$4:$CE$60&lt;&gt;0,ROW($CE$4:$CE$60)-4),ROW(CE5)))),"",INDEX($A$4:$A$60,SMALL(IF($CE$4:$CE$60&lt;&gt;0,ROW($CE$5:$CE$60)-4),ROW(CE5))))</f>
        <v/>
      </c>
      <c r="CF71" s="1321" t="str">
        <f t="array" ref="CF71">IF(ISERROR(INDEX($CE$4:$CE$60,SMALL(IF($CE$4:$CE$60&lt;&gt;0,ROW($CE$4:$CE$60)-3),ROW(CF5)))),"",INDEX($CE$4:$CE$60,SMALL(IF($CE$4:$CE$60&lt;&gt;0,ROW($CE$4:$CE$60)-3),ROW(CF5))))</f>
        <v/>
      </c>
      <c r="CG71" s="1321" t="str">
        <f t="array" ref="CG71">IF( ISERROR(INDEX($A$4:$A$60,SMALL(IF($CG$4:$CG$60&lt;&gt;0,ROW($CG$4:$CG$60)-4),ROW(CG5)))),"",INDEX($A$4:$A$60,SMALL(IF($CG$4:$CG$60&lt;&gt;0,ROW($CG$5:$CG$60)-4),ROW(CG5))))</f>
        <v/>
      </c>
      <c r="CH71" s="1321" t="str">
        <f t="array" ref="CH71">IF(ISERROR(INDEX($CG$4:$CG$60,SMALL(IF($CG$4:$CG$60&lt;&gt;0,ROW($CG$4:$CG$60)-3),ROW(CH5)))),"",INDEX($CG$4:$CG$60,SMALL(IF($CG$4:$CG$60&lt;&gt;0,ROW($CG$4:$CG$60)-3),ROW(CH5))))</f>
        <v/>
      </c>
      <c r="CI71" s="1321" t="str">
        <f t="array" ref="CI71">IF( ISERROR(INDEX($A$4:$A$60,SMALL(IF($CA$4:$CA$60&lt;&gt;0,ROW($CA$4:$CA$60)-4),ROW(CI5)))),"",INDEX($A$4:$A$60,SMALL(IF($CA$4:$CA$60&lt;&gt;0,ROW($CA$5:$CA$60)-4),ROW(CI5))))</f>
        <v/>
      </c>
      <c r="CJ71" s="1321" t="str">
        <f t="array" ref="CJ71">IF(ISERROR(INDEX($CA$4:$CA$60,SMALL(IF($CA$4:$CA$60&lt;&gt;0,ROW($CA$4:$CA$60)-3),ROW(CJ5)))),"",INDEX($CA$4:$CA$60,SMALL(IF($CA$4:$CA$60&lt;&gt;0,ROW($CA$4:$CA$60)-3),ROW(CJ5))))</f>
        <v/>
      </c>
      <c r="CK71" s="1321" t="str">
        <f t="array" ref="CK71">IF( ISERROR(INDEX($A$4:$A$60,SMALL(IF($CK$4:$CK$60&lt;&gt;0,ROW($CK$4:$CK$60)-4),ROW(CK5)))),"",INDEX($A$4:$A$60,SMALL(IF($CK$4:$CK$60&lt;&gt;0,ROW($CK$5:$CK$60)-4),ROW(CK5))))</f>
        <v/>
      </c>
      <c r="CL71" s="1321" t="str">
        <f t="array" ref="CL71">IF(ISERROR(INDEX($CK$4:$CK$60,SMALL(IF($CK$4:$CK$60&lt;&gt;0,ROW($CK$4:$CK$60)-3),ROW(CL5)))),"",INDEX($CK$4:$CK$60,SMALL(IF($CK$4:$CK$60&lt;&gt;0,ROW($CK$4:$CK$60)-3),ROW(CL5))))</f>
        <v/>
      </c>
      <c r="CM71" s="1321" t="str">
        <f t="array" ref="CM71">IF( ISERROR(INDEX($A$4:$A$60,SMALL(IF($CM$4:$CM$60&lt;&gt;0,ROW($CM$4:$CM$60)-4),ROW(CM5)))),"",INDEX($A$4:$A$60,SMALL(IF($CM$4:$CM$60&lt;&gt;0,ROW($CM$5:$CM$60)-4),ROW(CM5))))</f>
        <v/>
      </c>
      <c r="CN71" s="1321" t="str">
        <f t="array" ref="CN71">IF(ISERROR(INDEX($CM$4:$CM$60,SMALL(IF($CM$4:$CM$60&lt;&gt;0,ROW($CM$4:$CM$60)-3),ROW(CN5)))),"",INDEX($CM$4:$CM$60,SMALL(IF($CM$4:$CM$60&lt;&gt;0,ROW($CM$4:$CM$60)-3),ROW(CN5))))</f>
        <v/>
      </c>
      <c r="CO71" s="1321" t="str">
        <f t="array" ref="CO71">IF( ISERROR(INDEX($A$4:$A$60,SMALL(IF($CO$4:$CO$60&lt;&gt;0,ROW($CO$4:$CO$60)-4),ROW(CO5)))),"",INDEX($A$4:$A$60,SMALL(IF($CO$4:$CO$60&lt;&gt;0,ROW($CO$5:$CO$60)-4),ROW(CO5))))</f>
        <v/>
      </c>
      <c r="CP71" s="1321" t="str">
        <f t="array" ref="CP71">IF(ISERROR(INDEX($CO$4:$CO$60,SMALL(IF($CO$4:$CO$60&lt;&gt;0,ROW($CO$4:$CO$60)-3),ROW(CP5)))),"",INDEX($CO$4:$CO$60,SMALL(IF($CO$4:$CO$60&lt;&gt;0,ROW($CO$4:$CO$60)-3),ROW(CP5))))</f>
        <v/>
      </c>
      <c r="CQ71" s="1321" t="str">
        <f t="array" ref="CQ71">IF( ISERROR(INDEX($A$4:$A$60,SMALL(IF($CQ$4:$CQ$60&lt;&gt;0,ROW($CQ$4:$CQ$60)-4),ROW(CQ5)))),"",INDEX($A$4:$A$60,SMALL(IF($CQ$4:$CQ$60&lt;&gt;0,ROW($CQ$5:$CQ$60)-4),ROW(CQ5))))</f>
        <v/>
      </c>
      <c r="CR71" s="1321" t="str">
        <f t="array" ref="CR71">IF(ISERROR(INDEX($CQ$4:$CQ$60,SMALL(IF($CQ$4:$CQ$60&lt;&gt;0,ROW($CQ$4:$CQ$60)-3),ROW(CR5)))),"",INDEX($CQ$4:$CQ$60,SMALL(IF($CQ$4:$CQ$60&lt;&gt;0,ROW($CQ$4:$CQ$60)-3),ROW(CR5))))</f>
        <v/>
      </c>
      <c r="CS71" s="1321" t="str">
        <f t="array" ref="CS71">IF( ISERROR(INDEX($A$4:$A$60,SMALL(IF($CS$4:$CS$60&lt;&gt;0,ROW($CS$4:$CS$60)-4),ROW(CS5)))),"",INDEX($A$4:$A$60,SMALL(IF($CS$4:$CS$60&lt;&gt;0,ROW($CS$5:$CS$60)-4),ROW(CS5))))</f>
        <v/>
      </c>
      <c r="CT71" s="1321" t="str">
        <f t="array" ref="CT71">IF(ISERROR(INDEX($CS$4:$CS$60,SMALL(IF($CS$4:$CS$60&lt;&gt;0,ROW($CS$4:$CS$60)-3),ROW(CT5)))),"",INDEX($CS$4:$CS$60,SMALL(IF($CS$4:$CS$60&lt;&gt;0,ROW($CS$4:$CS$60)-3),ROW(CT5))))</f>
        <v/>
      </c>
      <c r="CU71" s="1321" t="str">
        <f t="array" ref="CU71">IF( ISERROR(INDEX($A$4:$A$60,SMALL(IF($CU$4:$CU$60&lt;&gt;0,ROW($CU$4:$CU$60)-4),ROW(CU5)))),"",INDEX($A$4:$A$60,SMALL(IF($CU$4:$CU$60&lt;&gt;0,ROW($CU$5:$CU$60)-4),ROW(CU5))))</f>
        <v/>
      </c>
      <c r="CV71" s="1321" t="str">
        <f t="array" ref="CV71">IF(ISERROR(INDEX($CU$4:$CU$60,SMALL(IF($CU$4:$CU$60&lt;&gt;0,ROW($CU$4:$CU$60)-3),ROW(CV5)))),"",INDEX($CU$4:$CU$60,SMALL(IF($CU$4:$CU$60&lt;&gt;0,ROW($CU$4:$CU$60)-3),ROW(CV5))))</f>
        <v/>
      </c>
      <c r="CW71" s="1321" t="str">
        <f t="array" ref="CW71">IF( ISERROR(INDEX($A$4:$A$60,SMALL(IF($CW$4:$CW$60&lt;&gt;0,ROW($CW$4:$CW$60)-4),ROW(CW5)))),"",INDEX($A$4:$A$60,SMALL(IF($CW$4:$CW$60&lt;&gt;0,ROW($CW$5:$CW$60)-4),ROW(CW5))))</f>
        <v/>
      </c>
      <c r="CX71" s="1321" t="str">
        <f t="array" ref="CX71">IF(ISERROR(INDEX($CW$4:$CW$60,SMALL(IF($CW$4:$CW$60&lt;&gt;0,ROW($CW$4:$CW$60)-3),ROW(CX5)))),"",INDEX($CW$4:$CW$60,SMALL(IF($CW$4:$CW$60&lt;&gt;0,ROW($CW$4:$CW$60)-3),ROW(CX5))))</f>
        <v/>
      </c>
      <c r="CY71" s="1321" t="str">
        <f t="array" ref="CY71">IF( ISERROR(INDEX($A$4:$A$60,SMALL(IF($CY$4:$CY$60&lt;&gt;0,ROW($CY$4:$CY$60)-4),ROW(CY5)))),"",INDEX($A$4:$A$60,SMALL(IF($CY$4:$CY$60&lt;&gt;0,ROW($CY$5:$CY$60)-4),ROW(CY5))))</f>
        <v/>
      </c>
      <c r="CZ71" s="1321" t="str">
        <f t="array" ref="CZ71">IF(ISERROR(INDEX($CY$4:$CY$60,SMALL(IF($CY$4:$CY$60&lt;&gt;0,ROW($CY$4:$CY$60)-3),ROW(CZ5)))),"",INDEX($CY$4:$CY$60,SMALL(IF($CY$4:$CY$60&lt;&gt;0,ROW($CY$4:$CY$60)-3),ROW(CZ5))))</f>
        <v/>
      </c>
      <c r="DA71" s="1321"/>
      <c r="DB71" s="1321"/>
      <c r="DC71" s="1321"/>
      <c r="DD71" s="1321"/>
      <c r="DE71" s="1321"/>
      <c r="DF71" s="1321"/>
      <c r="DG71" s="1321"/>
      <c r="DH71" s="1321"/>
      <c r="DI71" s="1321"/>
      <c r="DJ71" s="1321"/>
      <c r="DK71" s="1321"/>
      <c r="DL71" s="1321"/>
      <c r="DM71" s="1321"/>
      <c r="DN71" s="1321"/>
      <c r="DO71" s="1321"/>
      <c r="DP71" s="1321"/>
      <c r="DQ71" s="1321"/>
      <c r="DR71" s="1321"/>
      <c r="DS71" s="1321"/>
      <c r="DT71" s="1321"/>
      <c r="DU71" s="1321"/>
      <c r="DV71" s="1321"/>
      <c r="DW71" s="1321"/>
      <c r="DX71" s="1321"/>
      <c r="DY71" s="1321"/>
      <c r="DZ71" s="1321"/>
      <c r="EA71" s="1321"/>
      <c r="EB71" s="1321"/>
      <c r="EC71" s="1321"/>
      <c r="ED71" s="1321"/>
      <c r="EE71" s="1321"/>
      <c r="EF71" s="1321"/>
      <c r="EG71" s="1321"/>
      <c r="EH71" s="1321"/>
      <c r="EI71" s="1321"/>
      <c r="EJ71" s="1321"/>
      <c r="EK71" s="1321"/>
      <c r="EL71" s="1321"/>
      <c r="EM71" s="1321"/>
      <c r="EN71" s="1321"/>
      <c r="EO71" s="1321"/>
      <c r="EP71" s="1321"/>
      <c r="EQ71" s="1321"/>
      <c r="ER71" s="1321"/>
      <c r="ES71" s="1321"/>
      <c r="ET71" s="1321"/>
      <c r="EU71" s="1321"/>
      <c r="EV71" s="1321"/>
      <c r="EW71" s="1321"/>
      <c r="EX71" s="1321"/>
      <c r="EY71" s="1321"/>
      <c r="EZ71" s="1321"/>
      <c r="FA71" s="1321"/>
      <c r="FB71" s="1321"/>
      <c r="FC71" s="1321"/>
      <c r="FD71" s="1321"/>
      <c r="FE71" s="1321"/>
      <c r="FF71" s="1321"/>
      <c r="FG71" s="1321"/>
      <c r="FH71" s="1321"/>
      <c r="FI71" s="1321"/>
      <c r="FJ71" s="1321"/>
      <c r="FK71" s="1321"/>
      <c r="FL71" s="1321"/>
      <c r="FM71" s="1321"/>
      <c r="FN71" s="1321"/>
      <c r="FO71" s="1321"/>
      <c r="FP71" s="1321"/>
      <c r="FQ71" s="1321"/>
      <c r="FR71" s="1321"/>
      <c r="FS71" s="1321"/>
      <c r="FT71" s="1321"/>
      <c r="FU71" s="1321"/>
      <c r="FV71" s="1321"/>
      <c r="FW71" s="1321"/>
      <c r="FX71" s="1321"/>
      <c r="FY71" s="1321"/>
      <c r="FZ71" s="1321"/>
      <c r="GA71" s="1321"/>
      <c r="GB71" s="1321"/>
      <c r="GC71" s="1321"/>
      <c r="GD71" s="1321"/>
      <c r="GE71" s="1321"/>
      <c r="GF71" s="1321"/>
      <c r="GG71" s="1321"/>
      <c r="GH71" s="1321"/>
      <c r="GI71" s="1321"/>
      <c r="GJ71" s="1321"/>
      <c r="GK71" s="1321"/>
      <c r="GL71" s="1321"/>
      <c r="GM71" s="1321"/>
      <c r="GN71" s="1321"/>
      <c r="GO71" s="1321"/>
      <c r="GP71" s="1321"/>
      <c r="GQ71" s="1321"/>
      <c r="GR71" s="1321"/>
      <c r="GS71" s="1321"/>
      <c r="GT71" s="1321"/>
      <c r="GU71" s="1321"/>
      <c r="GV71" s="1321"/>
      <c r="GW71" s="1321"/>
      <c r="GX71" s="1321"/>
      <c r="GY71" s="1321"/>
      <c r="GZ71" s="1321"/>
    </row>
    <row r="72" spans="3:208" hidden="1">
      <c r="C72" s="1321" t="str">
        <f t="array" ref="C72">IF( ISERROR(INDEX($A$4:$A$60,SMALL(IF($C$4:$C$60&lt;&gt;0,ROW($C$4:$C$60)-4),ROW(A6)))),"",INDEX($A$4:$A$60,SMALL(IF($C$4:$C$60&lt;&gt;0,ROW($C$5:$C$60)-4),ROW(A6))))</f>
        <v/>
      </c>
      <c r="D72" s="1321" t="str">
        <f t="array" ref="D72">IF(ISERROR(INDEX($C$4:$C$60,SMALL(IF($C$4:$C$60&lt;&gt;0,ROW($C$4:$C$60)-3),ROW(D6)))),"",INDEX($C$4:$C$60,SMALL(IF($C$4:$C$60&lt;&gt;0,ROW($C$4:$C$60)-3),ROW(D6))))</f>
        <v/>
      </c>
      <c r="E72" s="1321" t="str">
        <f t="array" ref="E72">IF( ISERROR(INDEX($A$4:$A$60,SMALL(IF($E$4:$E$60&lt;&gt;0,ROW($E$4:$E$60)-4),ROW(E6)))),"",INDEX($A$4:$A$60,SMALL(IF($E$4:$E$60&lt;&gt;0,ROW($E$5:$E$60)-4),ROW(E6))))</f>
        <v/>
      </c>
      <c r="F72" s="1321" t="str">
        <f t="array" ref="F72">IF(ISERROR(INDEX($E$4:$E$60,SMALL(IF($E$4:$E$60&lt;&gt;0,ROW($E$4:$E$60)-3),ROW(F6)))),"",INDEX($E$4:$E$60,SMALL(IF($E$4:$E$60&lt;&gt;0,ROW($E$4:$E$60)-3),ROW(F6))))</f>
        <v/>
      </c>
      <c r="G72" s="1321" t="str">
        <f t="array" ref="G72">IF( ISERROR(INDEX($A$4:$A$60,SMALL(IF($G$4:$G$60&lt;&gt;0,ROW($G$4:$G$60)-4),ROW(G6)))),"",INDEX($A$4:$A$60,SMALL(IF($G$4:$G$60&lt;&gt;0,ROW($G$5:$G$60)-4),ROW(G6))))</f>
        <v/>
      </c>
      <c r="H72" s="1321" t="str">
        <f t="array" ref="H72">IF(ISERROR(INDEX($E$4:$E$60,SMALL(IF($G$4:$G$60&lt;&gt;0,ROW($G$4:$G$60)-3),ROW(H6)))),"",INDEX($G$4:$G$60,SMALL(IF($G$4:$G$60&lt;&gt;0,ROW($G$4:$G$60)-3),ROW(H6))))</f>
        <v/>
      </c>
      <c r="I72" s="1321" t="str">
        <f t="array" ref="I72">IF( ISERROR(INDEX($A$4:$A$60,SMALL(IF($I$4:$I$60&lt;&gt;0,ROW($I$4:$I$60)-4),ROW(I6)))),"",INDEX($A$4:$A$60,SMALL(IF($I$4:$I$60&lt;&gt;0,ROW($I$5:$I$60)-4),ROW(I6))))</f>
        <v/>
      </c>
      <c r="J72" s="1321" t="str">
        <f t="array" ref="J72">IF(ISERROR(INDEX($I$4:$I$60,SMALL(IF($I$4:$I$60&lt;&gt;0,ROW($I$4:$I$60)-3),ROW(J6)))),"",INDEX($I$4:$I$60,SMALL(IF($I$4:$I$60&lt;&gt;0,ROW($I$4:$I$60)-3),ROW(J6))))</f>
        <v/>
      </c>
      <c r="K72" s="1321" t="str">
        <f t="array" ref="K72">IF( ISERROR(INDEX($A$4:$A$60,SMALL(IF($K$4:$K$60&lt;&gt;0,ROW($K$4:$K$60)-4),ROW(K6)))),"",INDEX($A$4:$A$60,SMALL(IF($K$4:$K$60&lt;&gt;0,ROW($K$5:$K$60)-4),ROW(K6))))</f>
        <v/>
      </c>
      <c r="L72" s="1321" t="str">
        <f t="array" ref="L72">IF(ISERROR(INDEX($K$4:$K$60,SMALL(IF($K$4:$K$60&lt;&gt;0,ROW($K$4:$K$60)-3),ROW(L6)))),"",INDEX($K$4:$K$60,SMALL(IF($K$4:$K$60&lt;&gt;0,ROW($K$4:$K$60)-3),ROW(L6))))</f>
        <v/>
      </c>
      <c r="M72" s="1321" t="str">
        <f t="array" ref="M72">IF( ISERROR(INDEX($A$4:$A$60,SMALL(IF($M$4:$M$60&lt;&gt;0,ROW($M$4:$M$60)-4),ROW(M6)))),"",INDEX($A$4:$A$60,SMALL(IF($M$4:$M$60&lt;&gt;0,ROW($M$5:$M$60)-4),ROW(M6))))</f>
        <v/>
      </c>
      <c r="N72" s="1321" t="str">
        <f t="array" ref="N72">IF(ISERROR(INDEX($M$4:$M$60,SMALL(IF($M$4:$M$60&lt;&gt;0,ROW($M$4:$M$60)-3),ROW(N6)))),"",INDEX($M$4:$M$60,SMALL(IF($M$4:$M$60&lt;&gt;0,ROW($M$4:$M$60)-3),ROW(N6))))</f>
        <v/>
      </c>
      <c r="O72" s="1321" t="str">
        <f t="array" ref="O72">IF( ISERROR(INDEX($A$4:$A$60,SMALL(IF($O$4:$O$60&lt;&gt;0,ROW($O$4:$O$60)-4),ROW(O6)))),"",INDEX($A$4:$A$60,SMALL(IF($O$4:$O$60&lt;&gt;0,ROW($O$5:$O$60)-4),ROW(O6))))</f>
        <v/>
      </c>
      <c r="P72" s="1321" t="str">
        <f t="array" ref="P72">IF(ISERROR(INDEX($O$4:$O$60,SMALL(IF($O$4:$O$60&lt;&gt;0,ROW($O$4:$O$60)-3),ROW(P6)))),"",INDEX($O$4:$O$60,SMALL(IF($O$4:$O$60&lt;&gt;0,ROW($O$4:$O$60)-3),ROW(P6))))</f>
        <v/>
      </c>
      <c r="Q72" s="1321" t="str">
        <f t="array" ref="Q72">IF( ISERROR(INDEX($A$4:$A$60,SMALL(IF($Q$4:$Q$60&lt;&gt;0,ROW($Q$4:$Q$60)-4),ROW(Q6)))),"",INDEX($A$4:$A$60,SMALL(IF($Q$4:$Q$60&lt;&gt;0,ROW($Q$5:$Q$60)-4),ROW(Q6))))</f>
        <v/>
      </c>
      <c r="R72" s="1321" t="str">
        <f t="array" ref="R72">IF(ISERROR(INDEX($Q$4:$Q$60,SMALL(IF($Q$4:$Q$60&lt;&gt;0,ROW($Q$4:$Q$60)-3),ROW(R6)))),"",INDEX($Q$4:$Q$60,SMALL(IF($Q$4:$Q$60&lt;&gt;0,ROW($Q$4:$Q$60)-3),ROW(R6))))</f>
        <v/>
      </c>
      <c r="S72" s="1321" t="str">
        <f t="array" ref="S72">IF( ISERROR(INDEX($A$4:$A$60,SMALL(IF($S$4:$S$60&lt;&gt;0,ROW($S$4:$S$60)-4),ROW(S6)))),"",INDEX($A$4:$A$60,SMALL(IF($S$4:$S$60&lt;&gt;0,ROW($S$5:$S$60)-4),ROW(S6))))</f>
        <v/>
      </c>
      <c r="T72" s="1321" t="str">
        <f t="array" ref="T72">IF(ISERROR(INDEX($S$4:$S$60,SMALL(IF($S$4:$S$60&lt;&gt;0,ROW($S$4:$S$60)-3),ROW(T6)))),"",INDEX($S$4:$S$60,SMALL(IF($S$4:$S$60&lt;&gt;0,ROW($S$4:$S$60)-3),ROW(T6))))</f>
        <v/>
      </c>
      <c r="U72" s="1321" t="str">
        <f t="array" ref="U72">IF( ISERROR(INDEX($A$4:$A$60,SMALL(IF($U$4:$U$60&lt;&gt;0,ROW($U$4:$U$60)-4),ROW(U6)))),"",INDEX($A$4:$A$60,SMALL(IF($U$4:$U$60&lt;&gt;0,ROW($U$5:$U$60)-4),ROW(U6))))</f>
        <v/>
      </c>
      <c r="V72" s="1321" t="str">
        <f t="array" ref="V72">IF(ISERROR(INDEX($U$4:$U$60,SMALL(IF($U$4:$U$60&lt;&gt;0,ROW($U$4:$U$60)-3),ROW(V6)))),"",INDEX($U$4:$U$60,SMALL(IF($U$4:$U$60&lt;&gt;0,ROW($U$4:$U$60)-3),ROW(V6))))</f>
        <v/>
      </c>
      <c r="W72" s="1321" t="str">
        <f t="array" ref="W72">IF( ISERROR(INDEX($A$4:$A$60,SMALL(IF($W$4:$W$60&lt;&gt;0,ROW($W$4:$W$60)-4),ROW(W6)))),"",INDEX($A$4:$A$60,SMALL(IF($W$4:$W$60&lt;&gt;0,ROW($W$5:$W$60)-4),ROW(W6))))</f>
        <v/>
      </c>
      <c r="X72" s="1321" t="str">
        <f t="array" ref="X72">IF(ISERROR(INDEX($W$4:$W$60,SMALL(IF($W$4:$W$60&lt;&gt;0,ROW($W$4:$W$60)-3),ROW(X6)))),"",INDEX($W$4:$W$60,SMALL(IF($W$4:$W$60&lt;&gt;0,ROW($W$4:$W$60)-3),ROW(X6))))</f>
        <v/>
      </c>
      <c r="Y72" s="1321" t="str">
        <f t="array" ref="Y72">IF( ISERROR(INDEX($A$4:$A$60,SMALL(IF($Y$4:$Y$60&lt;&gt;0,ROW($Y$4:$Y$60)-4),ROW(Y6)))),"",INDEX($A$4:$A$60,SMALL(IF($Y$4:$Y$60&lt;&gt;0,ROW($Y$5:$Y$60)-4),ROW(Y6))))</f>
        <v/>
      </c>
      <c r="Z72" s="1321" t="str">
        <f t="array" ref="Z72">IF(ISERROR(INDEX($Y$4:$Y$60,SMALL(IF($Y$4:$Y$60&lt;&gt;0,ROW($Y$4:$Y$60)-3),ROW(Z6)))),"",INDEX($Y$4:$Y$60,SMALL(IF($Y$4:$Y$60&lt;&gt;0,ROW($Y$4:$Y$60)-3),ROW(Z6))))</f>
        <v/>
      </c>
      <c r="AA72" s="1321" t="str">
        <f t="array" ref="AA72">IF( ISERROR(INDEX($A$4:$A$60,SMALL(IF($AA$4:$AA$60&lt;&gt;0,ROW($AA$4:$AA$60)-4),ROW(AA6)))),"",INDEX($A$4:$A$60,SMALL(IF($AA$4:$AA$60&lt;&gt;0,ROW($AA$5:$AA$60)-4),ROW(AA6))))</f>
        <v/>
      </c>
      <c r="AB72" s="1321" t="str">
        <f t="array" ref="AB72">IF(ISERROR(INDEX($AA$4:$AA$60,SMALL(IF($AA$4:$AA$60&lt;&gt;0,ROW($AA$4:$AA$60)-3),ROW(AB6)))),"",INDEX($AA$4:$AA$60,SMALL(IF($AA$4:$AA$60&lt;&gt;0,ROW($AA$4:$AA$60)-3),ROW(AB6))))</f>
        <v/>
      </c>
      <c r="AC72" s="1321" t="str">
        <f t="array" ref="AC72">IF( ISERROR(INDEX($A$4:$A$60,SMALL(IF($AC$4:$AC$60&lt;&gt;0,ROW($AC$4:$AC$60)-4),ROW(AC6)))),"",INDEX($A$4:$A$60,SMALL(IF($AC$4:$AC$60&lt;&gt;0,ROW($AC$5:$AC$60)-4),ROW(AC6))))</f>
        <v/>
      </c>
      <c r="AD72" s="1321" t="str">
        <f t="array" ref="AD72">IF(ISERROR(INDEX($AC$4:$AC$60,SMALL(IF($AC$4:$AC$60&lt;&gt;0,ROW($AC$4:$AC$60)-3),ROW(AD6)))),"",INDEX($AC$4:$AC$60,SMALL(IF($AC$4:$AC$60&lt;&gt;0,ROW($AC$4:$AC$60)-3),ROW(AD6))))</f>
        <v/>
      </c>
      <c r="AE72" s="1321" t="str">
        <f t="array" ref="AE72">IF( ISERROR(INDEX($A$4:$A$60,SMALL(IF($AE$4:$AE$60&lt;&gt;0,ROW($AE$4:$AE$60)-4),ROW(AE6)))),"",INDEX($A$4:$A$60,SMALL(IF($AE$4:$AE$60&lt;&gt;0,ROW($AE$5:$AE$60)-4),ROW(AE6))))</f>
        <v/>
      </c>
      <c r="AF72" s="1321" t="str">
        <f t="array" ref="AF72">IF(ISERROR(INDEX($AE$4:$AE$60,SMALL(IF($AE$4:$AE$60&lt;&gt;0,ROW($AE$4:$AE$60)-3),ROW(AF6)))),"",INDEX($AE$4:$AE$60,SMALL(IF($AE$4:$AE$60&lt;&gt;0,ROW($AE$4:$AE$60)-3),ROW(AF6))))</f>
        <v/>
      </c>
      <c r="AG72" s="1321" t="str">
        <f t="array" ref="AG72">IF( ISERROR(INDEX($A$4:$A$60,SMALL(IF($AG$4:$AG$60&lt;&gt;0,ROW($AG$4:$AG$60)-4),ROW(AG6)))),"",INDEX($A$4:$A$60,SMALL(IF($AG$4:$AG$60&lt;&gt;0,ROW($AG$5:$AG$60)-4),ROW(AG6))))</f>
        <v/>
      </c>
      <c r="AH72" s="1321" t="str">
        <f t="array" ref="AH72">IF(ISERROR(INDEX($AG$4:$AG$60,SMALL(IF($AG$4:$AG$60&lt;&gt;0,ROW($AG$4:$AG$60)-3),ROW(AH6)))),"",INDEX($AG$4:$AG$60,SMALL(IF($AG$4:$AG$60&lt;&gt;0,ROW($AG$4:$AG$60)-3),ROW(AH6))))</f>
        <v/>
      </c>
      <c r="AI72" s="1321" t="str">
        <f t="array" ref="AI72">IF( ISERROR(INDEX($A$4:$A$60,SMALL(IF($AI$4:$AI$60&lt;&gt;0,ROW($AI$4:$AI$60)-4),ROW(AI6)))),"",INDEX($A$4:$A$60,SMALL(IF($AI$4:$AI$60&lt;&gt;0,ROW($AI$5:$AI$60)-4),ROW(AI6))))</f>
        <v/>
      </c>
      <c r="AJ72" s="1321" t="str">
        <f t="array" ref="AJ72">IF(ISERROR(INDEX($E$4:$E$60,SMALL(IF($AI$4:$AI$60&lt;&gt;0,ROW($AI$4:$AI$60)-3),ROW(AJ6)))),"",INDEX($AI$4:$AI$60,SMALL(IF($AI$4:$AI$60&lt;&gt;0,ROW($AI$4:$AI$60)-3),ROW(AJ6))))</f>
        <v/>
      </c>
      <c r="AK72" s="1321" t="str">
        <f t="array" ref="AK72">IF( ISERROR(INDEX($A$4:$A$60,SMALL(IF($AK$4:$AK$60&lt;&gt;0,ROW($AK$4:$AK$60)-4),ROW(AK6)))),"",INDEX($A$4:$A$60,SMALL(IF($AK$4:$AK$60&lt;&gt;0,ROW($AK$5:$AK$60)-4),ROW(AK6))))</f>
        <v/>
      </c>
      <c r="AL72" s="1321" t="str">
        <f t="array" ref="AL72">IF(ISERROR(INDEX($AK$4:$AK$60,SMALL(IF($AK$4:$AK$60&lt;&gt;0,ROW($AK$4:$AK$60)-3),ROW(AL6)))),"",INDEX($AK$4:$AK$60,SMALL(IF($AK$4:$AK$60&lt;&gt;0,ROW($AK$4:$AK$60)-3),ROW(AL6))))</f>
        <v/>
      </c>
      <c r="AM72" s="1321" t="str">
        <f t="array" ref="AM72">IF( ISERROR(INDEX($A$4:$A$60,SMALL(IF($AM$4:$AM$60&lt;&gt;0,ROW($AM$4:$AM$60)-4),ROW(AM6)))),"",INDEX($A$4:$A$60,SMALL(IF($AM$4:$AM$60&lt;&gt;0,ROW($AM$5:$AM$60)-4),ROW(AM6))))</f>
        <v/>
      </c>
      <c r="AN72" s="1321" t="str">
        <f t="array" ref="AN72">IF(ISERROR(INDEX($AM$4:$AM$60,SMALL(IF($AM$4:$AM$60&lt;&gt;0,ROW($AM$4:$AM$60)-3),ROW(AN6)))),"",INDEX($AM$4:$AM$60,SMALL(IF($AM$4:$AM$60&lt;&gt;0,ROW($AM$4:$AM$60)-3),ROW(AN6))))</f>
        <v/>
      </c>
      <c r="AO72" s="1321" t="str">
        <f t="array" ref="AO72">IF( ISERROR(INDEX($A$4:$A$60,SMALL(IF($AO$4:$AO$60&lt;&gt;0,ROW($AO$4:$AO$60)-4),ROW(AO6)))),"",INDEX($A$4:$A$60,SMALL(IF($AO$4:$AO$60&lt;&gt;0,ROW($AO$5:$AO$60)-4),ROW(AO6))))</f>
        <v/>
      </c>
      <c r="AP72" s="1321" t="str">
        <f t="array" ref="AP72">IF(ISERROR(INDEX($AO$4:$AO$60,SMALL(IF($AO$4:$AO$60&lt;&gt;0,ROW($AO$4:$AO$60)-3),ROW(AP6)))),"",INDEX($AO$4:$AO$60,SMALL(IF($AO$4:$AO$60&lt;&gt;0,ROW($AO$4:$AO$60)-3),ROW(AP6))))</f>
        <v/>
      </c>
      <c r="AQ72" s="1321" t="str">
        <f t="array" ref="AQ72">IF( ISERROR(INDEX($A$4:$A$60,SMALL(IF($AQ$4:$AQ$60&lt;&gt;0,ROW($AQ$4:$AQ$60)-4),ROW(AQ6)))),"",INDEX($A$4:$A$60,SMALL(IF($AQ$4:$AQ$60&lt;&gt;0,ROW($AQ$5:$AQ$60)-4),ROW(AQ6))))</f>
        <v/>
      </c>
      <c r="AR72" s="1321" t="str">
        <f t="array" ref="AR72">IF(ISERROR(INDEX($AQ$4:$AQ$60,SMALL(IF($AQ$4:$AQ$60&lt;&gt;0,ROW($AQ$4:$AQ$60)-3),ROW(AR6)))),"",INDEX($AQ$4:$AQ$60,SMALL(IF($AQ$4:$AQ$60&lt;&gt;0,ROW($AQ$4:$AQ$60)-3),ROW(AR6))))</f>
        <v/>
      </c>
      <c r="AS72" s="1321" t="str">
        <f t="array" ref="AS72">IF( ISERROR(INDEX($A$4:$A$60,SMALL(IF($AS$4:$AS$60&lt;&gt;0,ROW($AS$4:$AS$60)-4),ROW(AS6)))),"",INDEX($A$4:$A$60,SMALL(IF($AS$4:$AS$60&lt;&gt;0,ROW($AS$5:$AS$60)-4),ROW(AS6))))</f>
        <v/>
      </c>
      <c r="AT72" s="1321" t="str">
        <f t="array" ref="AT72">IF(ISERROR(INDEX($AS$4:$AS$60,SMALL(IF($AS$4:$AS$60&lt;&gt;0,ROW($AS$4:$AS$60)-3),ROW(AT6)))),"",INDEX($AS$4:$AS$60,SMALL(IF($AS$4:$AS$60&lt;&gt;0,ROW($AS$4:$AS$60)-3),ROW(AT6))))</f>
        <v/>
      </c>
      <c r="AU72" s="1321" t="str">
        <f t="array" ref="AU72">IF( ISERROR(INDEX($A$4:$A$60,SMALL(IF($AU$4:$AU$60&lt;&gt;0,ROW($AU$4:$AU$60)-4),ROW(AU6)))),"",INDEX($A$4:$A$60,SMALL(IF($AU$4:$AU$60&lt;&gt;0,ROW($AU$5:$AU$60)-4),ROW(AU6))))</f>
        <v/>
      </c>
      <c r="AV72" s="1321" t="str">
        <f t="array" ref="AV72">IF(ISERROR(INDEX($AU$4:$AU$60,SMALL(IF($AU$4:$AU$60&lt;&gt;0,ROW($AU$4:$AU$60)-3),ROW(AV6)))),"",INDEX($AU$4:$AU$60,SMALL(IF($AU$4:$AU$60&lt;&gt;0,ROW($AU$4:$AU$60)-3),ROW(AV6))))</f>
        <v/>
      </c>
      <c r="AW72" s="1321" t="str">
        <f t="array" ref="AW72">IF( ISERROR(INDEX($A$4:$A$60,SMALL(IF($AW$4:$AW$60&lt;&gt;0,ROW($AW$4:$AW$60)-4),ROW(AW6)))),"",INDEX($A$4:$A$60,SMALL(IF($AW$4:$AW$60&lt;&gt;0,ROW($AW$5:$AW$60)-4),ROW(AW6))))</f>
        <v/>
      </c>
      <c r="AX72" s="1321" t="str">
        <f t="array" ref="AX72">IF(ISERROR(INDEX($AW$4:$AW$60,SMALL(IF($AW$4:$AW$60&lt;&gt;0,ROW($AW$4:$AW$60)-3),ROW(AX6)))),"",INDEX($AW$4:$AW$60,SMALL(IF($AW$4:$AW$60&lt;&gt;0,ROW($AW$4:$AW$60)-3),ROW(AX6))))</f>
        <v/>
      </c>
      <c r="AY72" s="1321" t="str">
        <f t="array" ref="AY72">IF( ISERROR(INDEX($A$4:$A$60,SMALL(IF($AY$4:$AY$60&lt;&gt;0,ROW($AY$4:$AY$60)-4),ROW(AY6)))),"",INDEX($A$4:$A$60,SMALL(IF($AY$4:$AY$60&lt;&gt;0,ROW($AY$5:$AY$60)-4),ROW(AY6))))</f>
        <v/>
      </c>
      <c r="AZ72" s="1321" t="str">
        <f t="array" ref="AZ72">IF(ISERROR(INDEX($AY$4:$AY$60,SMALL(IF($AY$4:$AY$60&lt;&gt;0,ROW($AY$4:$AY$60)-3),ROW(AZ6)))),"",INDEX($AY$4:$AY$60,SMALL(IF($AY$4:$AY$60&lt;&gt;0,ROW($AY$4:$AY$60)-3),ROW(AZ6))))</f>
        <v/>
      </c>
      <c r="BA72" s="1321" t="str">
        <f t="array" ref="BA72">IF( ISERROR(INDEX($A$4:$A$60,SMALL(IF($BA$4:$BA$60&lt;&gt;0,ROW($BA$4:$BA$60)-4),ROW(BA6)))),"",INDEX($A$4:$A$60,SMALL(IF($BA$4:$BA$60&lt;&gt;0,ROW($BA$5:$BA$60)-4),ROW(BA6))))</f>
        <v/>
      </c>
      <c r="BB72" s="1321" t="str">
        <f t="array" ref="BB72">IF(ISERROR(INDEX($BA$4:$BA$60,SMALL(IF($BA$4:$BA$60&lt;&gt;0,ROW($BA$4:$BA$60)-3),ROW(BB6)))),"",INDEX($BA$4:$BA$60,SMALL(IF($BA$4:$BA$60&lt;&gt;0,ROW($BA$4:$BA$60)-3),ROW(BB6))))</f>
        <v/>
      </c>
      <c r="BC72" s="1321" t="str">
        <f t="array" ref="BC72">IF( ISERROR(INDEX($A$4:$A$60,SMALL(IF($BC$4:$BC$60&lt;&gt;0,ROW($BC$4:$BC$60)-4),ROW(BC6)))),"",INDEX($A$4:$A$60,SMALL(IF($BC$4:$BC$60&lt;&gt;0,ROW($BC$5:$BC$60)-4),ROW(BC6))))</f>
        <v/>
      </c>
      <c r="BD72" s="1321" t="str">
        <f t="array" ref="BD72">IF(ISERROR(INDEX($BC$4:$BC$60,SMALL(IF($BC$4:$BC$60&lt;&gt;0,ROW($BC$4:$BC$60)-3),ROW(BD6)))),"",INDEX($BC$4:$BC$60,SMALL(IF($BC$4:$BC$60&lt;&gt;0,ROW($BC$4:$BC$60)-3),ROW(BD6))))</f>
        <v/>
      </c>
      <c r="BE72" s="1321" t="str">
        <f t="array" ref="BE72">IF( ISERROR(INDEX($A$4:$A$60,SMALL(IF($BE$4:$BE$60&lt;&gt;0,ROW($BE$4:$BE$60)-4),ROW(BE6)))),"",INDEX($A$4:$A$60,SMALL(IF($BE$4:$BE$60&lt;&gt;0,ROW($BE$5:$BE$60)-4),ROW(BE6))))</f>
        <v/>
      </c>
      <c r="BF72" s="1321" t="str">
        <f t="array" ref="BF72">IF(ISERROR(INDEX($BE$4:$BE$60,SMALL(IF($BE$4:$BE$60&lt;&gt;0,ROW($BE$4:$BE$60)-3),ROW(BF6)))),"",INDEX($BE$4:$BE$60,SMALL(IF($BE$4:$BE$60&lt;&gt;0,ROW($BE$4:$BE$60)-3),ROW(BF6))))</f>
        <v/>
      </c>
      <c r="BG72" s="1321" t="str">
        <f t="array" ref="BG72">IF( ISERROR(INDEX($A$4:$A$60,SMALL(IF($BG$4:$BG$60&lt;&gt;0,ROW($BG$4:$BG$60)-4),ROW(BG6)))),"",INDEX($A$4:$A$60,SMALL(IF($BG$4:$BG$60&lt;&gt;0,ROW($BG$5:$BG$60)-4),ROW(BG6))))</f>
        <v/>
      </c>
      <c r="BH72" s="1321" t="str">
        <f t="array" ref="BH72">IF(ISERROR(INDEX($BG$4:$BG$60,SMALL(IF($BG$4:$BG$60&lt;&gt;0,ROW($BG$4:$BG$60)-3),ROW(BH6)))),"",INDEX($BG$4:$BG$60,SMALL(IF($BG$4:$BG$60&lt;&gt;0,ROW($BG$4:$BG$60)-3),ROW(BH6))))</f>
        <v/>
      </c>
      <c r="BI72" s="1321" t="str">
        <f t="array" ref="BI72">IF( ISERROR(INDEX($A$4:$A$60,SMALL(IF($BI$4:$BI$60&lt;&gt;0,ROW($BI$4:$BI$60)-4),ROW(BI6)))),"",INDEX($A$4:$A$60,SMALL(IF($BI$4:$BI$60&lt;&gt;0,ROW($BI$5:$BI$60)-4),ROW(BI6))))</f>
        <v/>
      </c>
      <c r="BJ72" s="1321" t="str">
        <f t="array" ref="BJ72">IF(ISERROR(INDEX($BI$4:$BI$60,SMALL(IF($BI$4:$BI$60&lt;&gt;0,ROW($BI$4:$BI$60)-3),ROW(BJ6)))),"",INDEX($BI$4:$BI$60,SMALL(IF($BI$4:$BI$60&lt;&gt;0,ROW($BI$4:$BI$60)-3),ROW(BJ6))))</f>
        <v/>
      </c>
      <c r="BK72" s="1321" t="str">
        <f t="array" ref="BK72">IF( ISERROR(INDEX($A$4:$A$60,SMALL(IF($BK$4:$BK$60&lt;&gt;0,ROW($BK$4:$BK$60)-4),ROW(BK6)))),"",INDEX($A$4:$A$60,SMALL(IF($BK$4:$BK$60&lt;&gt;0,ROW($BK$5:$BK$60)-4),ROW(BK6))))</f>
        <v/>
      </c>
      <c r="BL72" s="1321" t="str">
        <f t="array" ref="BL72">IF(ISERROR(INDEX($BK$4:$BK$60,SMALL(IF($BK$4:$BK$60&lt;&gt;0,ROW($BK$4:$BK$60)-3),ROW(BL6)))),"",INDEX($BK$4:$BK$60,SMALL(IF($BK$4:$BK$60&lt;&gt;0,ROW($BK$4:$BK$60)-3),ROW(BL6))))</f>
        <v/>
      </c>
      <c r="BM72" s="1321" t="str">
        <f t="array" ref="BM72">IF( ISERROR(INDEX($A$4:$A$60,SMALL(IF($BM$4:$BM$60&lt;&gt;0,ROW($BM$4:$BM$60)-4),ROW(BM6)))),"",INDEX($A$4:$A$60,SMALL(IF($BM$4:$BM$60&lt;&gt;0,ROW($BM$5:$BM$60)-4),ROW(BM6))))</f>
        <v/>
      </c>
      <c r="BN72" s="1321" t="str">
        <f t="array" ref="BN72">IF(ISERROR(INDEX($BM$4:$BM$60,SMALL(IF($BM$4:$BM$60&lt;&gt;0,ROW($BM$4:$BM$60)-3),ROW(BN6)))),"",INDEX($BM$4:$BM$60,SMALL(IF($BM$4:$BM$60&lt;&gt;0,ROW($BM$4:$BM$60)-3),ROW(BN6))))</f>
        <v/>
      </c>
      <c r="BO72" s="1321" t="str">
        <f t="array" ref="BO72">IF( ISERROR(INDEX($A$4:$A$60,SMALL(IF($BO$4:$BO$60&lt;&gt;0,ROW($BO$4:$BO$60)-4),ROW(BO6)))),"",INDEX($A$4:$A$60,SMALL(IF($BO$4:$BO$60&lt;&gt;0,ROW($BO$5:$BO$60)-4),ROW(BO6))))</f>
        <v/>
      </c>
      <c r="BP72" s="1321" t="str">
        <f t="array" ref="BP72">IF(ISERROR(INDEX($BO$4:$BO$60,SMALL(IF($BO$4:$BO$60&lt;&gt;0,ROW($BO$4:$BO$60)-3),ROW(BP6)))),"",INDEX($BO$4:$BO$60,SMALL(IF($BO$4:$BO$60&lt;&gt;0,ROW($BO$4:$BO$60)-3),ROW(BP6))))</f>
        <v/>
      </c>
      <c r="BQ72" s="1321" t="str">
        <f t="array" ref="BQ72">IF( ISERROR(INDEX($A$4:$A$60,SMALL(IF($BQ$4:$BQ$60&lt;&gt;0,ROW($BQ$4:$BQ$60)-4),ROW(BQ6)))),"",INDEX($A$4:$A$60,SMALL(IF($BQ$4:$BQ$60&lt;&gt;0,ROW($BQ$5:$BQ$60)-4),ROW(BQ6))))</f>
        <v/>
      </c>
      <c r="BR72" s="1321" t="str">
        <f t="array" ref="BR72">IF(ISERROR(INDEX($BQ$4:$BQ$60,SMALL(IF($BQ$4:$BQ$60&lt;&gt;0,ROW($BQ$4:$BQ$60)-3),ROW(BR6)))),"",INDEX($BQ$4:$BQ$60,SMALL(IF($BQ$4:$BQ$60&lt;&gt;0,ROW($BQ$4:$BQ$60)-3),ROW(BR6))))</f>
        <v/>
      </c>
      <c r="BS72" s="1321" t="str">
        <f t="array" ref="BS72">IF( ISERROR(INDEX($A$4:$A$60,SMALL(IF($BS$4:$BS$60&lt;&gt;0,ROW($BS$4:$BS$60)-4),ROW(BS6)))),"",INDEX($A$4:$A$60,SMALL(IF($BS$4:$BS$60&lt;&gt;0,ROW($BS$5:$BS$60)-4),ROW(BS6))))</f>
        <v/>
      </c>
      <c r="BT72" s="1321" t="str">
        <f t="array" ref="BT72">IF(ISERROR(INDEX($BS$4:$BS$60,SMALL(IF($BS$4:$BS$60&lt;&gt;0,ROW($BS$4:$BS$60)-3),ROW(BT6)))),"",INDEX($BS$4:$BS$60,SMALL(IF($BS$4:$BS$60&lt;&gt;0,ROW($BS$4:$BS$60)-3),ROW(BT6))))</f>
        <v/>
      </c>
      <c r="BU72" s="1321" t="str">
        <f t="array" ref="BU72">IF( ISERROR(INDEX($A$4:$A$60,SMALL(IF($BU$4:$BU$60&lt;&gt;0,ROW($BU$4:$BU$60)-4),ROW(BU6)))),"",INDEX($A$4:$A$60,SMALL(IF($BU$4:$BU$60&lt;&gt;0,ROW($BU$5:$BU$60)-4),ROW(BU6))))</f>
        <v/>
      </c>
      <c r="BV72" s="1321" t="str">
        <f t="array" ref="BV72">IF(ISERROR(INDEX($BQ$4:$BQ$60,SMALL(IF($BU$4:$BU$60&lt;&gt;0,ROW($BU$4:$BU$60)-3),ROW(BV6)))),"",INDEX($BU$4:$BU$60,SMALL(IF($BU$4:$BU$60&lt;&gt;0,ROW($BU$4:$BU$60)-3),ROW(BV6))))</f>
        <v/>
      </c>
      <c r="BW72" s="1321" t="str">
        <f t="array" ref="BW72">IF( ISERROR(INDEX($A$4:$A$60,SMALL(IF($BW$4:$BW$60&lt;&gt;0,ROW($BW$4:$BW$60)-4),ROW(BW6)))),"",INDEX($A$4:$A$60,SMALL(IF($BW$4:$BW$60&lt;&gt;0,ROW($BW$5:$BW$60)-4),ROW(BW6))))</f>
        <v/>
      </c>
      <c r="BX72" s="1321" t="str">
        <f t="array" ref="BX72">IF(ISERROR(INDEX($BW$4:$BW$60,SMALL(IF($BW$4:$BW$60&lt;&gt;0,ROW($BW$4:$BW$60)-3),ROW(BX6)))),"",INDEX($BW$4:$BW$60,SMALL(IF($BW$4:$BW$60&lt;&gt;0,ROW($BW$4:$BW$60)-3),ROW(BX6))))</f>
        <v/>
      </c>
      <c r="BY72" s="1321" t="str">
        <f t="array" ref="BY72">IF( ISERROR(INDEX($A$4:$A$60,SMALL(IF($BY$4:$BY$60&lt;&gt;0,ROW($BY$4:$BY$60)-4),ROW(BY6)))),"",INDEX($A$4:$A$60,SMALL(IF($BY$4:$BY$60&lt;&gt;0,ROW($BY$5:$BY$60)-4),ROW(BY6))))</f>
        <v/>
      </c>
      <c r="BZ72" s="1321" t="str">
        <f t="array" ref="BZ72">IF(ISERROR(INDEX($BY$4:$BY$60,SMALL(IF($BY$4:$BY$60&lt;&gt;0,ROW($BY$4:$BY$60)-3),ROW(BZ6)))),"",INDEX($BY$4:$BY$60,SMALL(IF($BY$4:$BY$60&lt;&gt;0,ROW($BY$4:$BY$60)-3),ROW(BZ6))))</f>
        <v/>
      </c>
      <c r="CA72" s="1321" t="str">
        <f t="array" ref="CA72">IF( ISERROR(INDEX($A$4:$A$60,SMALL(IF($CA$4:$CA$60&lt;&gt;0,ROW($CA$4:$CA$60)-4),ROW(CA6)))),"",INDEX($A$4:$A$60,SMALL(IF($CA$4:$CA$60&lt;&gt;0,ROW($CA$5:$CA$60)-4),ROW(CA6))))</f>
        <v/>
      </c>
      <c r="CB72" s="1321" t="str">
        <f t="array" ref="CB72">IF(ISERROR(INDEX($CA$4:$CA$60,SMALL(IF($CA$4:$CA$60&lt;&gt;0,ROW($CA$4:$CA$60)-3),ROW(CB6)))),"",INDEX($CA$4:$CA$60,SMALL(IF($CA$4:$CA$60&lt;&gt;0,ROW($CA$4:$CA$60)-3),ROW(CB6))))</f>
        <v/>
      </c>
      <c r="CC72" s="1321" t="str">
        <f t="array" ref="CC72">IF( ISERROR(INDEX($A$4:$A$60,SMALL(IF($CC$4:$CC$60&lt;&gt;0,ROW($CC$4:$CC$60)-4),ROW(CC6)))),"",INDEX($A$4:$A$60,SMALL(IF($CC$4:$CC$60&lt;&gt;0,ROW($CC$5:$CC$60)-4),ROW(CC6))))</f>
        <v/>
      </c>
      <c r="CD72" s="1321" t="str">
        <f t="array" ref="CD72">IF(ISERROR(INDEX($CC$4:$CC$60,SMALL(IF($CC$4:$CC$60&lt;&gt;0,ROW($CC$4:$CC$60)-3),ROW(CD6)))),"",INDEX($CC$4:$CC$60,SMALL(IF($CC$4:$CC$60&lt;&gt;0,ROW($CC$4:$CC$60)-3),ROW(CD6))))</f>
        <v/>
      </c>
      <c r="CE72" s="1321" t="str">
        <f t="array" ref="CE72">IF( ISERROR(INDEX($A$4:$A$60,SMALL(IF($CE$4:$CE$60&lt;&gt;0,ROW($CE$4:$CE$60)-4),ROW(CE6)))),"",INDEX($A$4:$A$60,SMALL(IF($CE$4:$CE$60&lt;&gt;0,ROW($CE$5:$CE$60)-4),ROW(CE6))))</f>
        <v/>
      </c>
      <c r="CF72" s="1321" t="str">
        <f t="array" ref="CF72">IF(ISERROR(INDEX($CE$4:$CE$60,SMALL(IF($CE$4:$CE$60&lt;&gt;0,ROW($CE$4:$CE$60)-3),ROW(CF6)))),"",INDEX($CE$4:$CE$60,SMALL(IF($CE$4:$CE$60&lt;&gt;0,ROW($CE$4:$CE$60)-3),ROW(CF6))))</f>
        <v/>
      </c>
      <c r="CG72" s="1321" t="str">
        <f t="array" ref="CG72">IF( ISERROR(INDEX($A$4:$A$60,SMALL(IF($CG$4:$CG$60&lt;&gt;0,ROW($CG$4:$CG$60)-4),ROW(CG6)))),"",INDEX($A$4:$A$60,SMALL(IF($CG$4:$CG$60&lt;&gt;0,ROW($CG$5:$CG$60)-4),ROW(CG6))))</f>
        <v/>
      </c>
      <c r="CH72" s="1321" t="str">
        <f t="array" ref="CH72">IF(ISERROR(INDEX($CG$4:$CG$60,SMALL(IF($CG$4:$CG$60&lt;&gt;0,ROW($CG$4:$CG$60)-3),ROW(CH6)))),"",INDEX($CG$4:$CG$60,SMALL(IF($CG$4:$CG$60&lt;&gt;0,ROW($CG$4:$CG$60)-3),ROW(CH6))))</f>
        <v/>
      </c>
      <c r="CI72" s="1321" t="str">
        <f t="array" ref="CI72">IF( ISERROR(INDEX($A$4:$A$60,SMALL(IF($CA$4:$CA$60&lt;&gt;0,ROW($CA$4:$CA$60)-4),ROW(CI6)))),"",INDEX($A$4:$A$60,SMALL(IF($CA$4:$CA$60&lt;&gt;0,ROW($CA$5:$CA$60)-4),ROW(CI6))))</f>
        <v/>
      </c>
      <c r="CJ72" s="1321" t="str">
        <f t="array" ref="CJ72">IF(ISERROR(INDEX($CA$4:$CA$60,SMALL(IF($CA$4:$CA$60&lt;&gt;0,ROW($CA$4:$CA$60)-3),ROW(CJ6)))),"",INDEX($CA$4:$CA$60,SMALL(IF($CA$4:$CA$60&lt;&gt;0,ROW($CA$4:$CA$60)-3),ROW(CJ6))))</f>
        <v/>
      </c>
      <c r="CK72" s="1321" t="str">
        <f t="array" ref="CK72">IF( ISERROR(INDEX($A$4:$A$60,SMALL(IF($CK$4:$CK$60&lt;&gt;0,ROW($CK$4:$CK$60)-4),ROW(CK6)))),"",INDEX($A$4:$A$60,SMALL(IF($CK$4:$CK$60&lt;&gt;0,ROW($CK$5:$CK$60)-4),ROW(CK6))))</f>
        <v/>
      </c>
      <c r="CL72" s="1321" t="str">
        <f t="array" ref="CL72">IF(ISERROR(INDEX($CK$4:$CK$60,SMALL(IF($CK$4:$CK$60&lt;&gt;0,ROW($CK$4:$CK$60)-3),ROW(CL6)))),"",INDEX($CK$4:$CK$60,SMALL(IF($CK$4:$CK$60&lt;&gt;0,ROW($CK$4:$CK$60)-3),ROW(CL6))))</f>
        <v/>
      </c>
      <c r="CM72" s="1321" t="str">
        <f t="array" ref="CM72">IF( ISERROR(INDEX($A$4:$A$60,SMALL(IF($CM$4:$CM$60&lt;&gt;0,ROW($CM$4:$CM$60)-4),ROW(CM6)))),"",INDEX($A$4:$A$60,SMALL(IF($CM$4:$CM$60&lt;&gt;0,ROW($CM$5:$CM$60)-4),ROW(CM6))))</f>
        <v/>
      </c>
      <c r="CN72" s="1321" t="str">
        <f t="array" ref="CN72">IF(ISERROR(INDEX($CM$4:$CM$60,SMALL(IF($CM$4:$CM$60&lt;&gt;0,ROW($CM$4:$CM$60)-3),ROW(CN6)))),"",INDEX($CM$4:$CM$60,SMALL(IF($CM$4:$CM$60&lt;&gt;0,ROW($CM$4:$CM$60)-3),ROW(CN6))))</f>
        <v/>
      </c>
      <c r="CO72" s="1321" t="str">
        <f t="array" ref="CO72">IF( ISERROR(INDEX($A$4:$A$60,SMALL(IF($CO$4:$CO$60&lt;&gt;0,ROW($CO$4:$CO$60)-4),ROW(CO6)))),"",INDEX($A$4:$A$60,SMALL(IF($CO$4:$CO$60&lt;&gt;0,ROW($CO$5:$CO$60)-4),ROW(CO6))))</f>
        <v/>
      </c>
      <c r="CP72" s="1321" t="str">
        <f t="array" ref="CP72">IF(ISERROR(INDEX($CO$4:$CO$60,SMALL(IF($CO$4:$CO$60&lt;&gt;0,ROW($CO$4:$CO$60)-3),ROW(CP6)))),"",INDEX($CO$4:$CO$60,SMALL(IF($CO$4:$CO$60&lt;&gt;0,ROW($CO$4:$CO$60)-3),ROW(CP6))))</f>
        <v/>
      </c>
      <c r="CQ72" s="1321" t="str">
        <f t="array" ref="CQ72">IF( ISERROR(INDEX($A$4:$A$60,SMALL(IF($CQ$4:$CQ$60&lt;&gt;0,ROW($CQ$4:$CQ$60)-4),ROW(CQ6)))),"",INDEX($A$4:$A$60,SMALL(IF($CQ$4:$CQ$60&lt;&gt;0,ROW($CQ$5:$CQ$60)-4),ROW(CQ6))))</f>
        <v/>
      </c>
      <c r="CR72" s="1321" t="str">
        <f t="array" ref="CR72">IF(ISERROR(INDEX($CQ$4:$CQ$60,SMALL(IF($CQ$4:$CQ$60&lt;&gt;0,ROW($CQ$4:$CQ$60)-3),ROW(CR6)))),"",INDEX($CQ$4:$CQ$60,SMALL(IF($CQ$4:$CQ$60&lt;&gt;0,ROW($CQ$4:$CQ$60)-3),ROW(CR6))))</f>
        <v/>
      </c>
      <c r="CS72" s="1321" t="str">
        <f t="array" ref="CS72">IF( ISERROR(INDEX($A$4:$A$60,SMALL(IF($CS$4:$CS$60&lt;&gt;0,ROW($CS$4:$CS$60)-4),ROW(CS6)))),"",INDEX($A$4:$A$60,SMALL(IF($CS$4:$CS$60&lt;&gt;0,ROW($CS$5:$CS$60)-4),ROW(CS6))))</f>
        <v/>
      </c>
      <c r="CT72" s="1321" t="str">
        <f t="array" ref="CT72">IF(ISERROR(INDEX($CS$4:$CS$60,SMALL(IF($CS$4:$CS$60&lt;&gt;0,ROW($CS$4:$CS$60)-3),ROW(CT6)))),"",INDEX($CS$4:$CS$60,SMALL(IF($CS$4:$CS$60&lt;&gt;0,ROW($CS$4:$CS$60)-3),ROW(CT6))))</f>
        <v/>
      </c>
      <c r="CU72" s="1321" t="str">
        <f t="array" ref="CU72">IF( ISERROR(INDEX($A$4:$A$60,SMALL(IF($CU$4:$CU$60&lt;&gt;0,ROW($CU$4:$CU$60)-4),ROW(CU6)))),"",INDEX($A$4:$A$60,SMALL(IF($CU$4:$CU$60&lt;&gt;0,ROW($CU$5:$CU$60)-4),ROW(CU6))))</f>
        <v/>
      </c>
      <c r="CV72" s="1321" t="str">
        <f t="array" ref="CV72">IF(ISERROR(INDEX($CU$4:$CU$60,SMALL(IF($CU$4:$CU$60&lt;&gt;0,ROW($CU$4:$CU$60)-3),ROW(CV6)))),"",INDEX($CU$4:$CU$60,SMALL(IF($CU$4:$CU$60&lt;&gt;0,ROW($CU$4:$CU$60)-3),ROW(CV6))))</f>
        <v/>
      </c>
      <c r="CW72" s="1321" t="str">
        <f t="array" ref="CW72">IF( ISERROR(INDEX($A$4:$A$60,SMALL(IF($CW$4:$CW$60&lt;&gt;0,ROW($CW$4:$CW$60)-4),ROW(CW6)))),"",INDEX($A$4:$A$60,SMALL(IF($CW$4:$CW$60&lt;&gt;0,ROW($CW$5:$CW$60)-4),ROW(CW6))))</f>
        <v/>
      </c>
      <c r="CX72" s="1321" t="str">
        <f t="array" ref="CX72">IF(ISERROR(INDEX($CW$4:$CW$60,SMALL(IF($CW$4:$CW$60&lt;&gt;0,ROW($CW$4:$CW$60)-3),ROW(CX6)))),"",INDEX($CW$4:$CW$60,SMALL(IF($CW$4:$CW$60&lt;&gt;0,ROW($CW$4:$CW$60)-3),ROW(CX6))))</f>
        <v/>
      </c>
      <c r="CY72" s="1321" t="str">
        <f t="array" ref="CY72">IF( ISERROR(INDEX($A$4:$A$60,SMALL(IF($CY$4:$CY$60&lt;&gt;0,ROW($CY$4:$CY$60)-4),ROW(CY6)))),"",INDEX($A$4:$A$60,SMALL(IF($CY$4:$CY$60&lt;&gt;0,ROW($CY$5:$CY$60)-4),ROW(CY6))))</f>
        <v/>
      </c>
      <c r="CZ72" s="1321" t="str">
        <f t="array" ref="CZ72">IF(ISERROR(INDEX($CY$4:$CY$60,SMALL(IF($CY$4:$CY$60&lt;&gt;0,ROW($CY$4:$CY$60)-3),ROW(CZ6)))),"",INDEX($CY$4:$CY$60,SMALL(IF($CY$4:$CY$60&lt;&gt;0,ROW($CY$4:$CY$60)-3),ROW(CZ6))))</f>
        <v/>
      </c>
      <c r="DA72" s="1321"/>
      <c r="DB72" s="1321"/>
      <c r="DC72" s="1321"/>
      <c r="DD72" s="1321"/>
      <c r="DE72" s="1321"/>
      <c r="DF72" s="1321"/>
      <c r="DG72" s="1321"/>
      <c r="DH72" s="1321"/>
      <c r="DI72" s="1321"/>
      <c r="DJ72" s="1321"/>
      <c r="DK72" s="1321"/>
      <c r="DL72" s="1321"/>
      <c r="DM72" s="1321"/>
      <c r="DN72" s="1321"/>
      <c r="DO72" s="1321"/>
      <c r="DP72" s="1321"/>
      <c r="DQ72" s="1321"/>
      <c r="DR72" s="1321"/>
      <c r="DS72" s="1321"/>
      <c r="DT72" s="1321"/>
      <c r="DU72" s="1321"/>
      <c r="DV72" s="1321"/>
      <c r="DW72" s="1321"/>
      <c r="DX72" s="1321"/>
      <c r="DY72" s="1321"/>
      <c r="DZ72" s="1321"/>
      <c r="EA72" s="1321"/>
      <c r="EB72" s="1321"/>
      <c r="EC72" s="1321"/>
      <c r="ED72" s="1321"/>
      <c r="EE72" s="1321"/>
      <c r="EF72" s="1321"/>
      <c r="EG72" s="1321"/>
      <c r="EH72" s="1321"/>
      <c r="EI72" s="1321"/>
      <c r="EJ72" s="1321"/>
      <c r="EK72" s="1321"/>
      <c r="EL72" s="1321"/>
      <c r="EM72" s="1321"/>
      <c r="EN72" s="1321"/>
      <c r="EO72" s="1321"/>
      <c r="EP72" s="1321"/>
      <c r="EQ72" s="1321"/>
      <c r="ER72" s="1321"/>
      <c r="ES72" s="1321"/>
      <c r="ET72" s="1321"/>
      <c r="EU72" s="1321"/>
      <c r="EV72" s="1321"/>
      <c r="EW72" s="1321"/>
      <c r="EX72" s="1321"/>
      <c r="EY72" s="1321"/>
      <c r="EZ72" s="1321"/>
      <c r="FA72" s="1321"/>
      <c r="FB72" s="1321"/>
      <c r="FC72" s="1321"/>
      <c r="FD72" s="1321"/>
      <c r="FE72" s="1321"/>
      <c r="FF72" s="1321"/>
      <c r="FG72" s="1321"/>
      <c r="FH72" s="1321"/>
      <c r="FI72" s="1321"/>
      <c r="FJ72" s="1321"/>
      <c r="FK72" s="1321"/>
      <c r="FL72" s="1321"/>
      <c r="FM72" s="1321"/>
      <c r="FN72" s="1321"/>
      <c r="FO72" s="1321"/>
      <c r="FP72" s="1321"/>
      <c r="FQ72" s="1321"/>
      <c r="FR72" s="1321"/>
      <c r="FS72" s="1321"/>
      <c r="FT72" s="1321"/>
      <c r="FU72" s="1321"/>
      <c r="FV72" s="1321"/>
      <c r="FW72" s="1321"/>
      <c r="FX72" s="1321"/>
      <c r="FY72" s="1321"/>
      <c r="FZ72" s="1321"/>
      <c r="GA72" s="1321"/>
      <c r="GB72" s="1321"/>
      <c r="GC72" s="1321"/>
      <c r="GD72" s="1321"/>
      <c r="GE72" s="1321"/>
      <c r="GF72" s="1321"/>
      <c r="GG72" s="1321"/>
      <c r="GH72" s="1321"/>
      <c r="GI72" s="1321"/>
      <c r="GJ72" s="1321"/>
      <c r="GK72" s="1321"/>
      <c r="GL72" s="1321"/>
      <c r="GM72" s="1321"/>
      <c r="GN72" s="1321"/>
      <c r="GO72" s="1321"/>
      <c r="GP72" s="1321"/>
      <c r="GQ72" s="1321"/>
      <c r="GR72" s="1321"/>
      <c r="GS72" s="1321"/>
      <c r="GT72" s="1321"/>
      <c r="GU72" s="1321"/>
      <c r="GV72" s="1321"/>
      <c r="GW72" s="1321"/>
      <c r="GX72" s="1321"/>
      <c r="GY72" s="1321"/>
      <c r="GZ72" s="1321"/>
    </row>
    <row r="73" spans="3:208" hidden="1">
      <c r="C73" s="1321" t="str">
        <f t="array" ref="C73">IF( ISERROR(INDEX($A$4:$A$60,SMALL(IF($C$4:$C$60&lt;&gt;0,ROW($C$4:$C$60)-4),ROW(A7)))),"",INDEX($A$4:$A$60,SMALL(IF($C$4:$C$60&lt;&gt;0,ROW($C$5:$C$60)-4),ROW(A7))))</f>
        <v/>
      </c>
      <c r="D73" s="1321" t="str">
        <f t="array" ref="D73">IF(ISERROR(INDEX($C$4:$C$60,SMALL(IF($C$4:$C$60&lt;&gt;0,ROW($C$4:$C$60)-3),ROW(D7)))),"",INDEX($C$4:$C$60,SMALL(IF($C$4:$C$60&lt;&gt;0,ROW($C$4:$C$60)-3),ROW(D7))))</f>
        <v/>
      </c>
      <c r="E73" s="1321" t="str">
        <f t="array" ref="E73">IF( ISERROR(INDEX($A$4:$A$60,SMALL(IF($E$4:$E$60&lt;&gt;0,ROW($E$4:$E$60)-4),ROW(E7)))),"",INDEX($A$4:$A$60,SMALL(IF($E$4:$E$60&lt;&gt;0,ROW($E$5:$E$60)-4),ROW(E7))))</f>
        <v/>
      </c>
      <c r="F73" s="1321" t="str">
        <f t="array" ref="F73">IF(ISERROR(INDEX($E$4:$E$60,SMALL(IF($E$4:$E$60&lt;&gt;0,ROW($E$4:$E$60)-3),ROW(F7)))),"",INDEX($E$4:$E$60,SMALL(IF($E$4:$E$60&lt;&gt;0,ROW($E$4:$E$60)-3),ROW(F7))))</f>
        <v/>
      </c>
      <c r="G73" s="1321" t="str">
        <f t="array" ref="G73">IF( ISERROR(INDEX($A$4:$A$60,SMALL(IF($G$4:$G$60&lt;&gt;0,ROW($G$4:$G$60)-4),ROW(G7)))),"",INDEX($A$4:$A$60,SMALL(IF($G$4:$G$60&lt;&gt;0,ROW($G$5:$G$60)-4),ROW(G7))))</f>
        <v/>
      </c>
      <c r="H73" s="1321" t="str">
        <f t="array" ref="H73">IF(ISERROR(INDEX($E$4:$E$60,SMALL(IF($G$4:$G$60&lt;&gt;0,ROW($G$4:$G$60)-3),ROW(H7)))),"",INDEX($G$4:$G$60,SMALL(IF($G$4:$G$60&lt;&gt;0,ROW($G$4:$G$60)-3),ROW(H7))))</f>
        <v/>
      </c>
      <c r="I73" s="1321" t="str">
        <f t="array" ref="I73">IF( ISERROR(INDEX($A$4:$A$60,SMALL(IF($I$4:$I$60&lt;&gt;0,ROW($I$4:$I$60)-4),ROW(I7)))),"",INDEX($A$4:$A$60,SMALL(IF($I$4:$I$60&lt;&gt;0,ROW($I$5:$I$60)-4),ROW(I7))))</f>
        <v/>
      </c>
      <c r="J73" s="1321" t="str">
        <f t="array" ref="J73">IF(ISERROR(INDEX($I$4:$I$60,SMALL(IF($I$4:$I$60&lt;&gt;0,ROW($I$4:$I$60)-3),ROW(J7)))),"",INDEX($I$4:$I$60,SMALL(IF($I$4:$I$60&lt;&gt;0,ROW($I$4:$I$60)-3),ROW(J7))))</f>
        <v/>
      </c>
      <c r="K73" s="1321" t="str">
        <f t="array" ref="K73">IF( ISERROR(INDEX($A$4:$A$60,SMALL(IF($K$4:$K$60&lt;&gt;0,ROW($K$4:$K$60)-4),ROW(K7)))),"",INDEX($A$4:$A$60,SMALL(IF($K$4:$K$60&lt;&gt;0,ROW($K$5:$K$60)-4),ROW(K7))))</f>
        <v/>
      </c>
      <c r="L73" s="1321" t="str">
        <f t="array" ref="L73">IF(ISERROR(INDEX($K$4:$K$60,SMALL(IF($K$4:$K$60&lt;&gt;0,ROW($K$4:$K$60)-3),ROW(L7)))),"",INDEX($K$4:$K$60,SMALL(IF($K$4:$K$60&lt;&gt;0,ROW($K$4:$K$60)-3),ROW(L7))))</f>
        <v/>
      </c>
      <c r="M73" s="1321" t="str">
        <f t="array" ref="M73">IF( ISERROR(INDEX($A$4:$A$60,SMALL(IF($M$4:$M$60&lt;&gt;0,ROW($M$4:$M$60)-4),ROW(M7)))),"",INDEX($A$4:$A$60,SMALL(IF($M$4:$M$60&lt;&gt;0,ROW($M$5:$M$60)-4),ROW(M7))))</f>
        <v/>
      </c>
      <c r="N73" s="1321" t="str">
        <f t="array" ref="N73">IF(ISERROR(INDEX($M$4:$M$60,SMALL(IF($M$4:$M$60&lt;&gt;0,ROW($M$4:$M$60)-3),ROW(N7)))),"",INDEX($M$4:$M$60,SMALL(IF($M$4:$M$60&lt;&gt;0,ROW($M$4:$M$60)-3),ROW(N7))))</f>
        <v/>
      </c>
      <c r="O73" s="1321" t="str">
        <f t="array" ref="O73">IF( ISERROR(INDEX($A$4:$A$60,SMALL(IF($O$4:$O$60&lt;&gt;0,ROW($O$4:$O$60)-4),ROW(O7)))),"",INDEX($A$4:$A$60,SMALL(IF($O$4:$O$60&lt;&gt;0,ROW($O$5:$O$60)-4),ROW(O7))))</f>
        <v/>
      </c>
      <c r="P73" s="1321" t="str">
        <f t="array" ref="P73">IF(ISERROR(INDEX($O$4:$O$60,SMALL(IF($O$4:$O$60&lt;&gt;0,ROW($O$4:$O$60)-3),ROW(P7)))),"",INDEX($O$4:$O$60,SMALL(IF($O$4:$O$60&lt;&gt;0,ROW($O$4:$O$60)-3),ROW(P7))))</f>
        <v/>
      </c>
      <c r="Q73" s="1321" t="str">
        <f t="array" ref="Q73">IF( ISERROR(INDEX($A$4:$A$60,SMALL(IF($Q$4:$Q$60&lt;&gt;0,ROW($Q$4:$Q$60)-4),ROW(Q7)))),"",INDEX($A$4:$A$60,SMALL(IF($Q$4:$Q$60&lt;&gt;0,ROW($Q$5:$Q$60)-4),ROW(Q7))))</f>
        <v/>
      </c>
      <c r="R73" s="1321" t="str">
        <f t="array" ref="R73">IF(ISERROR(INDEX($Q$4:$Q$60,SMALL(IF($Q$4:$Q$60&lt;&gt;0,ROW($Q$4:$Q$60)-3),ROW(R7)))),"",INDEX($Q$4:$Q$60,SMALL(IF($Q$4:$Q$60&lt;&gt;0,ROW($Q$4:$Q$60)-3),ROW(R7))))</f>
        <v/>
      </c>
      <c r="S73" s="1321" t="str">
        <f t="array" ref="S73">IF( ISERROR(INDEX($A$4:$A$60,SMALL(IF($S$4:$S$60&lt;&gt;0,ROW($S$4:$S$60)-4),ROW(S7)))),"",INDEX($A$4:$A$60,SMALL(IF($S$4:$S$60&lt;&gt;0,ROW($S$5:$S$60)-4),ROW(S7))))</f>
        <v/>
      </c>
      <c r="T73" s="1321" t="str">
        <f t="array" ref="T73">IF(ISERROR(INDEX($S$4:$S$60,SMALL(IF($S$4:$S$60&lt;&gt;0,ROW($S$4:$S$60)-3),ROW(T7)))),"",INDEX($S$4:$S$60,SMALL(IF($S$4:$S$60&lt;&gt;0,ROW($S$4:$S$60)-3),ROW(T7))))</f>
        <v/>
      </c>
      <c r="U73" s="1321" t="str">
        <f t="array" ref="U73">IF( ISERROR(INDEX($A$4:$A$60,SMALL(IF($U$4:$U$60&lt;&gt;0,ROW($U$4:$U$60)-4),ROW(U7)))),"",INDEX($A$4:$A$60,SMALL(IF($U$4:$U$60&lt;&gt;0,ROW($U$5:$U$60)-4),ROW(U7))))</f>
        <v/>
      </c>
      <c r="V73" s="1321" t="str">
        <f t="array" ref="V73">IF(ISERROR(INDEX($U$4:$U$60,SMALL(IF($U$4:$U$60&lt;&gt;0,ROW($U$4:$U$60)-3),ROW(V7)))),"",INDEX($U$4:$U$60,SMALL(IF($U$4:$U$60&lt;&gt;0,ROW($U$4:$U$60)-3),ROW(V7))))</f>
        <v/>
      </c>
      <c r="W73" s="1321" t="str">
        <f t="array" ref="W73">IF( ISERROR(INDEX($A$4:$A$60,SMALL(IF($W$4:$W$60&lt;&gt;0,ROW($W$4:$W$60)-4),ROW(W7)))),"",INDEX($A$4:$A$60,SMALL(IF($W$4:$W$60&lt;&gt;0,ROW($W$5:$W$60)-4),ROW(W7))))</f>
        <v/>
      </c>
      <c r="X73" s="1321" t="str">
        <f t="array" ref="X73">IF(ISERROR(INDEX($W$4:$W$60,SMALL(IF($W$4:$W$60&lt;&gt;0,ROW($W$4:$W$60)-3),ROW(X7)))),"",INDEX($W$4:$W$60,SMALL(IF($W$4:$W$60&lt;&gt;0,ROW($W$4:$W$60)-3),ROW(X7))))</f>
        <v/>
      </c>
      <c r="Y73" s="1321" t="str">
        <f t="array" ref="Y73">IF( ISERROR(INDEX($A$4:$A$60,SMALL(IF($Y$4:$Y$60&lt;&gt;0,ROW($Y$4:$Y$60)-4),ROW(Y7)))),"",INDEX($A$4:$A$60,SMALL(IF($Y$4:$Y$60&lt;&gt;0,ROW($Y$5:$Y$60)-4),ROW(Y7))))</f>
        <v/>
      </c>
      <c r="Z73" s="1321" t="str">
        <f t="array" ref="Z73">IF(ISERROR(INDEX($Y$4:$Y$60,SMALL(IF($Y$4:$Y$60&lt;&gt;0,ROW($Y$4:$Y$60)-3),ROW(Z7)))),"",INDEX($Y$4:$Y$60,SMALL(IF($Y$4:$Y$60&lt;&gt;0,ROW($Y$4:$Y$60)-3),ROW(Z7))))</f>
        <v/>
      </c>
      <c r="AA73" s="1321" t="str">
        <f t="array" ref="AA73">IF( ISERROR(INDEX($A$4:$A$60,SMALL(IF($AA$4:$AA$60&lt;&gt;0,ROW($AA$4:$AA$60)-4),ROW(AA7)))),"",INDEX($A$4:$A$60,SMALL(IF($AA$4:$AA$60&lt;&gt;0,ROW($AA$5:$AA$60)-4),ROW(AA7))))</f>
        <v/>
      </c>
      <c r="AB73" s="1321" t="str">
        <f t="array" ref="AB73">IF(ISERROR(INDEX($AA$4:$AA$60,SMALL(IF($AA$4:$AA$60&lt;&gt;0,ROW($AA$4:$AA$60)-3),ROW(AB7)))),"",INDEX($AA$4:$AA$60,SMALL(IF($AA$4:$AA$60&lt;&gt;0,ROW($AA$4:$AA$60)-3),ROW(AB7))))</f>
        <v/>
      </c>
      <c r="AC73" s="1321" t="str">
        <f t="array" ref="AC73">IF( ISERROR(INDEX($A$4:$A$60,SMALL(IF($AC$4:$AC$60&lt;&gt;0,ROW($AC$4:$AC$60)-4),ROW(AC7)))),"",INDEX($A$4:$A$60,SMALL(IF($AC$4:$AC$60&lt;&gt;0,ROW($AC$5:$AC$60)-4),ROW(AC7))))</f>
        <v/>
      </c>
      <c r="AD73" s="1321" t="str">
        <f t="array" ref="AD73">IF(ISERROR(INDEX($AC$4:$AC$60,SMALL(IF($AC$4:$AC$60&lt;&gt;0,ROW($AC$4:$AC$60)-3),ROW(AD7)))),"",INDEX($AC$4:$AC$60,SMALL(IF($AC$4:$AC$60&lt;&gt;0,ROW($AC$4:$AC$60)-3),ROW(AD7))))</f>
        <v/>
      </c>
      <c r="AE73" s="1321" t="str">
        <f t="array" ref="AE73">IF( ISERROR(INDEX($A$4:$A$60,SMALL(IF($AE$4:$AE$60&lt;&gt;0,ROW($AE$4:$AE$60)-4),ROW(AE7)))),"",INDEX($A$4:$A$60,SMALL(IF($AE$4:$AE$60&lt;&gt;0,ROW($AE$5:$AE$60)-4),ROW(AE7))))</f>
        <v/>
      </c>
      <c r="AF73" s="1321" t="str">
        <f t="array" ref="AF73">IF(ISERROR(INDEX($AE$4:$AE$60,SMALL(IF($AE$4:$AE$60&lt;&gt;0,ROW($AE$4:$AE$60)-3),ROW(AF7)))),"",INDEX($AE$4:$AE$60,SMALL(IF($AE$4:$AE$60&lt;&gt;0,ROW($AE$4:$AE$60)-3),ROW(AF7))))</f>
        <v/>
      </c>
      <c r="AG73" s="1321" t="str">
        <f t="array" ref="AG73">IF( ISERROR(INDEX($A$4:$A$60,SMALL(IF($AG$4:$AG$60&lt;&gt;0,ROW($AG$4:$AG$60)-4),ROW(AG7)))),"",INDEX($A$4:$A$60,SMALL(IF($AG$4:$AG$60&lt;&gt;0,ROW($AG$5:$AG$60)-4),ROW(AG7))))</f>
        <v/>
      </c>
      <c r="AH73" s="1321" t="str">
        <f t="array" ref="AH73">IF(ISERROR(INDEX($AG$4:$AG$60,SMALL(IF($AG$4:$AG$60&lt;&gt;0,ROW($AG$4:$AG$60)-3),ROW(AH7)))),"",INDEX($AG$4:$AG$60,SMALL(IF($AG$4:$AG$60&lt;&gt;0,ROW($AG$4:$AG$60)-3),ROW(AH7))))</f>
        <v/>
      </c>
      <c r="AI73" s="1321" t="str">
        <f t="array" ref="AI73">IF( ISERROR(INDEX($A$4:$A$60,SMALL(IF($AI$4:$AI$60&lt;&gt;0,ROW($AI$4:$AI$60)-4),ROW(AI7)))),"",INDEX($A$4:$A$60,SMALL(IF($AI$4:$AI$60&lt;&gt;0,ROW($AI$5:$AI$60)-4),ROW(AI7))))</f>
        <v/>
      </c>
      <c r="AJ73" s="1321" t="str">
        <f t="array" ref="AJ73">IF(ISERROR(INDEX($E$4:$E$60,SMALL(IF($AI$4:$AI$60&lt;&gt;0,ROW($AI$4:$AI$60)-3),ROW(AJ7)))),"",INDEX($AI$4:$AI$60,SMALL(IF($AI$4:$AI$60&lt;&gt;0,ROW($AI$4:$AI$60)-3),ROW(AJ7))))</f>
        <v/>
      </c>
      <c r="AK73" s="1321" t="str">
        <f t="array" ref="AK73">IF( ISERROR(INDEX($A$4:$A$60,SMALL(IF($AK$4:$AK$60&lt;&gt;0,ROW($AK$4:$AK$60)-4),ROW(AK7)))),"",INDEX($A$4:$A$60,SMALL(IF($AK$4:$AK$60&lt;&gt;0,ROW($AK$5:$AK$60)-4),ROW(AK7))))</f>
        <v/>
      </c>
      <c r="AL73" s="1321" t="str">
        <f t="array" ref="AL73">IF(ISERROR(INDEX($AK$4:$AK$60,SMALL(IF($AK$4:$AK$60&lt;&gt;0,ROW($AK$4:$AK$60)-3),ROW(AL7)))),"",INDEX($AK$4:$AK$60,SMALL(IF($AK$4:$AK$60&lt;&gt;0,ROW($AK$4:$AK$60)-3),ROW(AL7))))</f>
        <v/>
      </c>
      <c r="AM73" s="1321" t="str">
        <f t="array" ref="AM73">IF( ISERROR(INDEX($A$4:$A$60,SMALL(IF($AM$4:$AM$60&lt;&gt;0,ROW($AM$4:$AM$60)-4),ROW(AM7)))),"",INDEX($A$4:$A$60,SMALL(IF($AM$4:$AM$60&lt;&gt;0,ROW($AM$5:$AM$60)-4),ROW(AM7))))</f>
        <v/>
      </c>
      <c r="AN73" s="1321" t="str">
        <f t="array" ref="AN73">IF(ISERROR(INDEX($AM$4:$AM$60,SMALL(IF($AM$4:$AM$60&lt;&gt;0,ROW($AM$4:$AM$60)-3),ROW(AN7)))),"",INDEX($AM$4:$AM$60,SMALL(IF($AM$4:$AM$60&lt;&gt;0,ROW($AM$4:$AM$60)-3),ROW(AN7))))</f>
        <v/>
      </c>
      <c r="AO73" s="1321" t="str">
        <f t="array" ref="AO73">IF( ISERROR(INDEX($A$4:$A$60,SMALL(IF($AO$4:$AO$60&lt;&gt;0,ROW($AO$4:$AO$60)-4),ROW(AO7)))),"",INDEX($A$4:$A$60,SMALL(IF($AO$4:$AO$60&lt;&gt;0,ROW($AO$5:$AO$60)-4),ROW(AO7))))</f>
        <v/>
      </c>
      <c r="AP73" s="1321" t="str">
        <f t="array" ref="AP73">IF(ISERROR(INDEX($AO$4:$AO$60,SMALL(IF($AO$4:$AO$60&lt;&gt;0,ROW($AO$4:$AO$60)-3),ROW(AP7)))),"",INDEX($AO$4:$AO$60,SMALL(IF($AO$4:$AO$60&lt;&gt;0,ROW($AO$4:$AO$60)-3),ROW(AP7))))</f>
        <v/>
      </c>
      <c r="AQ73" s="1321" t="str">
        <f t="array" ref="AQ73">IF( ISERROR(INDEX($A$4:$A$60,SMALL(IF($AQ$4:$AQ$60&lt;&gt;0,ROW($AQ$4:$AQ$60)-4),ROW(AQ7)))),"",INDEX($A$4:$A$60,SMALL(IF($AQ$4:$AQ$60&lt;&gt;0,ROW($AQ$5:$AQ$60)-4),ROW(AQ7))))</f>
        <v/>
      </c>
      <c r="AR73" s="1321" t="str">
        <f t="array" ref="AR73">IF(ISERROR(INDEX($AQ$4:$AQ$60,SMALL(IF($AQ$4:$AQ$60&lt;&gt;0,ROW($AQ$4:$AQ$60)-3),ROW(AR7)))),"",INDEX($AQ$4:$AQ$60,SMALL(IF($AQ$4:$AQ$60&lt;&gt;0,ROW($AQ$4:$AQ$60)-3),ROW(AR7))))</f>
        <v/>
      </c>
      <c r="AS73" s="1321" t="str">
        <f t="array" ref="AS73">IF( ISERROR(INDEX($A$4:$A$60,SMALL(IF($AS$4:$AS$60&lt;&gt;0,ROW($AS$4:$AS$60)-4),ROW(AS7)))),"",INDEX($A$4:$A$60,SMALL(IF($AS$4:$AS$60&lt;&gt;0,ROW($AS$5:$AS$60)-4),ROW(AS7))))</f>
        <v/>
      </c>
      <c r="AT73" s="1321" t="str">
        <f t="array" ref="AT73">IF(ISERROR(INDEX($AS$4:$AS$60,SMALL(IF($AS$4:$AS$60&lt;&gt;0,ROW($AS$4:$AS$60)-3),ROW(AT7)))),"",INDEX($AS$4:$AS$60,SMALL(IF($AS$4:$AS$60&lt;&gt;0,ROW($AS$4:$AS$60)-3),ROW(AT7))))</f>
        <v/>
      </c>
      <c r="AU73" s="1321" t="str">
        <f t="array" ref="AU73">IF( ISERROR(INDEX($A$4:$A$60,SMALL(IF($AU$4:$AU$60&lt;&gt;0,ROW($AU$4:$AU$60)-4),ROW(AU7)))),"",INDEX($A$4:$A$60,SMALL(IF($AU$4:$AU$60&lt;&gt;0,ROW($AU$5:$AU$60)-4),ROW(AU7))))</f>
        <v/>
      </c>
      <c r="AV73" s="1321" t="str">
        <f t="array" ref="AV73">IF(ISERROR(INDEX($AU$4:$AU$60,SMALL(IF($AU$4:$AU$60&lt;&gt;0,ROW($AU$4:$AU$60)-3),ROW(AV7)))),"",INDEX($AU$4:$AU$60,SMALL(IF($AU$4:$AU$60&lt;&gt;0,ROW($AU$4:$AU$60)-3),ROW(AV7))))</f>
        <v/>
      </c>
      <c r="AW73" s="1321" t="str">
        <f t="array" ref="AW73">IF( ISERROR(INDEX($A$4:$A$60,SMALL(IF($AW$4:$AW$60&lt;&gt;0,ROW($AW$4:$AW$60)-4),ROW(AW7)))),"",INDEX($A$4:$A$60,SMALL(IF($AW$4:$AW$60&lt;&gt;0,ROW($AW$5:$AW$60)-4),ROW(AW7))))</f>
        <v/>
      </c>
      <c r="AX73" s="1321" t="str">
        <f t="array" ref="AX73">IF(ISERROR(INDEX($AW$4:$AW$60,SMALL(IF($AW$4:$AW$60&lt;&gt;0,ROW($AW$4:$AW$60)-3),ROW(AX7)))),"",INDEX($AW$4:$AW$60,SMALL(IF($AW$4:$AW$60&lt;&gt;0,ROW($AW$4:$AW$60)-3),ROW(AX7))))</f>
        <v/>
      </c>
      <c r="AY73" s="1321" t="str">
        <f t="array" ref="AY73">IF( ISERROR(INDEX($A$4:$A$60,SMALL(IF($AY$4:$AY$60&lt;&gt;0,ROW($AY$4:$AY$60)-4),ROW(AY7)))),"",INDEX($A$4:$A$60,SMALL(IF($AY$4:$AY$60&lt;&gt;0,ROW($AY$5:$AY$60)-4),ROW(AY7))))</f>
        <v/>
      </c>
      <c r="AZ73" s="1321" t="str">
        <f t="array" ref="AZ73">IF(ISERROR(INDEX($AY$4:$AY$60,SMALL(IF($AY$4:$AY$60&lt;&gt;0,ROW($AY$4:$AY$60)-3),ROW(AZ7)))),"",INDEX($AY$4:$AY$60,SMALL(IF($AY$4:$AY$60&lt;&gt;0,ROW($AY$4:$AY$60)-3),ROW(AZ7))))</f>
        <v/>
      </c>
      <c r="BA73" s="1321" t="str">
        <f t="array" ref="BA73">IF( ISERROR(INDEX($A$4:$A$60,SMALL(IF($BA$4:$BA$60&lt;&gt;0,ROW($BA$4:$BA$60)-4),ROW(BA7)))),"",INDEX($A$4:$A$60,SMALL(IF($BA$4:$BA$60&lt;&gt;0,ROW($BA$5:$BA$60)-4),ROW(BA7))))</f>
        <v/>
      </c>
      <c r="BB73" s="1321" t="str">
        <f t="array" ref="BB73">IF(ISERROR(INDEX($BA$4:$BA$60,SMALL(IF($BA$4:$BA$60&lt;&gt;0,ROW($BA$4:$BA$60)-3),ROW(BB7)))),"",INDEX($BA$4:$BA$60,SMALL(IF($BA$4:$BA$60&lt;&gt;0,ROW($BA$4:$BA$60)-3),ROW(BB7))))</f>
        <v/>
      </c>
      <c r="BC73" s="1321" t="str">
        <f t="array" ref="BC73">IF( ISERROR(INDEX($A$4:$A$60,SMALL(IF($BC$4:$BC$60&lt;&gt;0,ROW($BC$4:$BC$60)-4),ROW(BC7)))),"",INDEX($A$4:$A$60,SMALL(IF($BC$4:$BC$60&lt;&gt;0,ROW($BC$5:$BC$60)-4),ROW(BC7))))</f>
        <v/>
      </c>
      <c r="BD73" s="1321" t="str">
        <f t="array" ref="BD73">IF(ISERROR(INDEX($BC$4:$BC$60,SMALL(IF($BC$4:$BC$60&lt;&gt;0,ROW($BC$4:$BC$60)-3),ROW(BD7)))),"",INDEX($BC$4:$BC$60,SMALL(IF($BC$4:$BC$60&lt;&gt;0,ROW($BC$4:$BC$60)-3),ROW(BD7))))</f>
        <v/>
      </c>
      <c r="BE73" s="1321" t="str">
        <f t="array" ref="BE73">IF( ISERROR(INDEX($A$4:$A$60,SMALL(IF($BE$4:$BE$60&lt;&gt;0,ROW($BE$4:$BE$60)-4),ROW(BE7)))),"",INDEX($A$4:$A$60,SMALL(IF($BE$4:$BE$60&lt;&gt;0,ROW($BE$5:$BE$60)-4),ROW(BE7))))</f>
        <v/>
      </c>
      <c r="BF73" s="1321" t="str">
        <f t="array" ref="BF73">IF(ISERROR(INDEX($BE$4:$BE$60,SMALL(IF($BE$4:$BE$60&lt;&gt;0,ROW($BE$4:$BE$60)-3),ROW(BF7)))),"",INDEX($BE$4:$BE$60,SMALL(IF($BE$4:$BE$60&lt;&gt;0,ROW($BE$4:$BE$60)-3),ROW(BF7))))</f>
        <v/>
      </c>
      <c r="BG73" s="1321" t="str">
        <f t="array" ref="BG73">IF( ISERROR(INDEX($A$4:$A$60,SMALL(IF($BG$4:$BG$60&lt;&gt;0,ROW($BG$4:$BG$60)-4),ROW(BG7)))),"",INDEX($A$4:$A$60,SMALL(IF($BG$4:$BG$60&lt;&gt;0,ROW($BG$5:$BG$60)-4),ROW(BG7))))</f>
        <v/>
      </c>
      <c r="BH73" s="1321" t="str">
        <f t="array" ref="BH73">IF(ISERROR(INDEX($BG$4:$BG$60,SMALL(IF($BG$4:$BG$60&lt;&gt;0,ROW($BG$4:$BG$60)-3),ROW(BH7)))),"",INDEX($BG$4:$BG$60,SMALL(IF($BG$4:$BG$60&lt;&gt;0,ROW($BG$4:$BG$60)-3),ROW(BH7))))</f>
        <v/>
      </c>
      <c r="BI73" s="1321" t="str">
        <f t="array" ref="BI73">IF( ISERROR(INDEX($A$4:$A$60,SMALL(IF($BI$4:$BI$60&lt;&gt;0,ROW($BI$4:$BI$60)-4),ROW(BI7)))),"",INDEX($A$4:$A$60,SMALL(IF($BI$4:$BI$60&lt;&gt;0,ROW($BI$5:$BI$60)-4),ROW(BI7))))</f>
        <v/>
      </c>
      <c r="BJ73" s="1321" t="str">
        <f t="array" ref="BJ73">IF(ISERROR(INDEX($BI$4:$BI$60,SMALL(IF($BI$4:$BI$60&lt;&gt;0,ROW($BI$4:$BI$60)-3),ROW(BJ7)))),"",INDEX($BI$4:$BI$60,SMALL(IF($BI$4:$BI$60&lt;&gt;0,ROW($BI$4:$BI$60)-3),ROW(BJ7))))</f>
        <v/>
      </c>
      <c r="BK73" s="1321" t="str">
        <f t="array" ref="BK73">IF( ISERROR(INDEX($A$4:$A$60,SMALL(IF($BK$4:$BK$60&lt;&gt;0,ROW($BK$4:$BK$60)-4),ROW(BK7)))),"",INDEX($A$4:$A$60,SMALL(IF($BK$4:$BK$60&lt;&gt;0,ROW($BK$5:$BK$60)-4),ROW(BK7))))</f>
        <v/>
      </c>
      <c r="BL73" s="1321" t="str">
        <f t="array" ref="BL73">IF(ISERROR(INDEX($BK$4:$BK$60,SMALL(IF($BK$4:$BK$60&lt;&gt;0,ROW($BK$4:$BK$60)-3),ROW(BL7)))),"",INDEX($BK$4:$BK$60,SMALL(IF($BK$4:$BK$60&lt;&gt;0,ROW($BK$4:$BK$60)-3),ROW(BL7))))</f>
        <v/>
      </c>
      <c r="BM73" s="1321" t="str">
        <f t="array" ref="BM73">IF( ISERROR(INDEX($A$4:$A$60,SMALL(IF($BM$4:$BM$60&lt;&gt;0,ROW($BM$4:$BM$60)-4),ROW(BM7)))),"",INDEX($A$4:$A$60,SMALL(IF($BM$4:$BM$60&lt;&gt;0,ROW($BM$5:$BM$60)-4),ROW(BM7))))</f>
        <v/>
      </c>
      <c r="BN73" s="1321" t="str">
        <f t="array" ref="BN73">IF(ISERROR(INDEX($BM$4:$BM$60,SMALL(IF($BM$4:$BM$60&lt;&gt;0,ROW($BM$4:$BM$60)-3),ROW(BN7)))),"",INDEX($BM$4:$BM$60,SMALL(IF($BM$4:$BM$60&lt;&gt;0,ROW($BM$4:$BM$60)-3),ROW(BN7))))</f>
        <v/>
      </c>
      <c r="BO73" s="1321" t="str">
        <f t="array" ref="BO73">IF( ISERROR(INDEX($A$4:$A$60,SMALL(IF($BO$4:$BO$60&lt;&gt;0,ROW($BO$4:$BO$60)-4),ROW(BO7)))),"",INDEX($A$4:$A$60,SMALL(IF($BO$4:$BO$60&lt;&gt;0,ROW($BO$5:$BO$60)-4),ROW(BO7))))</f>
        <v/>
      </c>
      <c r="BP73" s="1321" t="str">
        <f t="array" ref="BP73">IF(ISERROR(INDEX($BO$4:$BO$60,SMALL(IF($BO$4:$BO$60&lt;&gt;0,ROW($BO$4:$BO$60)-3),ROW(BP7)))),"",INDEX($BO$4:$BO$60,SMALL(IF($BO$4:$BO$60&lt;&gt;0,ROW($BO$4:$BO$60)-3),ROW(BP7))))</f>
        <v/>
      </c>
      <c r="BQ73" s="1321" t="str">
        <f t="array" ref="BQ73">IF( ISERROR(INDEX($A$4:$A$60,SMALL(IF($BQ$4:$BQ$60&lt;&gt;0,ROW($BQ$4:$BQ$60)-4),ROW(BQ7)))),"",INDEX($A$4:$A$60,SMALL(IF($BQ$4:$BQ$60&lt;&gt;0,ROW($BQ$5:$BQ$60)-4),ROW(BQ7))))</f>
        <v/>
      </c>
      <c r="BR73" s="1321" t="str">
        <f t="array" ref="BR73">IF(ISERROR(INDEX($BQ$4:$BQ$60,SMALL(IF($BQ$4:$BQ$60&lt;&gt;0,ROW($BQ$4:$BQ$60)-3),ROW(BR7)))),"",INDEX($BQ$4:$BQ$60,SMALL(IF($BQ$4:$BQ$60&lt;&gt;0,ROW($BQ$4:$BQ$60)-3),ROW(BR7))))</f>
        <v/>
      </c>
      <c r="BS73" s="1321" t="str">
        <f t="array" ref="BS73">IF( ISERROR(INDEX($A$4:$A$60,SMALL(IF($BS$4:$BS$60&lt;&gt;0,ROW($BS$4:$BS$60)-4),ROW(BS7)))),"",INDEX($A$4:$A$60,SMALL(IF($BS$4:$BS$60&lt;&gt;0,ROW($BS$5:$BS$60)-4),ROW(BS7))))</f>
        <v/>
      </c>
      <c r="BT73" s="1321" t="str">
        <f t="array" ref="BT73">IF(ISERROR(INDEX($BS$4:$BS$60,SMALL(IF($BS$4:$BS$60&lt;&gt;0,ROW($BS$4:$BS$60)-3),ROW(BT7)))),"",INDEX($BS$4:$BS$60,SMALL(IF($BS$4:$BS$60&lt;&gt;0,ROW($BS$4:$BS$60)-3),ROW(BT7))))</f>
        <v/>
      </c>
      <c r="BU73" s="1321" t="str">
        <f t="array" ref="BU73">IF( ISERROR(INDEX($A$4:$A$60,SMALL(IF($BU$4:$BU$60&lt;&gt;0,ROW($BU$4:$BU$60)-4),ROW(BU7)))),"",INDEX($A$4:$A$60,SMALL(IF($BU$4:$BU$60&lt;&gt;0,ROW($BU$5:$BU$60)-4),ROW(BU7))))</f>
        <v/>
      </c>
      <c r="BV73" s="1321" t="str">
        <f t="array" ref="BV73">IF(ISERROR(INDEX($BQ$4:$BQ$60,SMALL(IF($BU$4:$BU$60&lt;&gt;0,ROW($BU$4:$BU$60)-3),ROW(BV7)))),"",INDEX($BU$4:$BU$60,SMALL(IF($BU$4:$BU$60&lt;&gt;0,ROW($BU$4:$BU$60)-3),ROW(BV7))))</f>
        <v/>
      </c>
      <c r="BW73" s="1321" t="str">
        <f t="array" ref="BW73">IF( ISERROR(INDEX($A$4:$A$60,SMALL(IF($BW$4:$BW$60&lt;&gt;0,ROW($BW$4:$BW$60)-4),ROW(BW7)))),"",INDEX($A$4:$A$60,SMALL(IF($BW$4:$BW$60&lt;&gt;0,ROW($BW$5:$BW$60)-4),ROW(BW7))))</f>
        <v/>
      </c>
      <c r="BX73" s="1321" t="str">
        <f t="array" ref="BX73">IF(ISERROR(INDEX($BW$4:$BW$60,SMALL(IF($BW$4:$BW$60&lt;&gt;0,ROW($BW$4:$BW$60)-3),ROW(BX7)))),"",INDEX($BW$4:$BW$60,SMALL(IF($BW$4:$BW$60&lt;&gt;0,ROW($BW$4:$BW$60)-3),ROW(BX7))))</f>
        <v/>
      </c>
      <c r="BY73" s="1321" t="str">
        <f t="array" ref="BY73">IF( ISERROR(INDEX($A$4:$A$60,SMALL(IF($BY$4:$BY$60&lt;&gt;0,ROW($BY$4:$BY$60)-4),ROW(BY7)))),"",INDEX($A$4:$A$60,SMALL(IF($BY$4:$BY$60&lt;&gt;0,ROW($BY$5:$BY$60)-4),ROW(BY7))))</f>
        <v/>
      </c>
      <c r="BZ73" s="1321" t="str">
        <f t="array" ref="BZ73">IF(ISERROR(INDEX($BY$4:$BY$60,SMALL(IF($BY$4:$BY$60&lt;&gt;0,ROW($BY$4:$BY$60)-3),ROW(BZ7)))),"",INDEX($BY$4:$BY$60,SMALL(IF($BY$4:$BY$60&lt;&gt;0,ROW($BY$4:$BY$60)-3),ROW(BZ7))))</f>
        <v/>
      </c>
      <c r="CA73" s="1321" t="str">
        <f t="array" ref="CA73">IF( ISERROR(INDEX($A$4:$A$60,SMALL(IF($CA$4:$CA$60&lt;&gt;0,ROW($CA$4:$CA$60)-4),ROW(CA7)))),"",INDEX($A$4:$A$60,SMALL(IF($CA$4:$CA$60&lt;&gt;0,ROW($CA$5:$CA$60)-4),ROW(CA7))))</f>
        <v/>
      </c>
      <c r="CB73" s="1321" t="str">
        <f t="array" ref="CB73">IF(ISERROR(INDEX($CA$4:$CA$60,SMALL(IF($CA$4:$CA$60&lt;&gt;0,ROW($CA$4:$CA$60)-3),ROW(CB7)))),"",INDEX($CA$4:$CA$60,SMALL(IF($CA$4:$CA$60&lt;&gt;0,ROW($CA$4:$CA$60)-3),ROW(CB7))))</f>
        <v/>
      </c>
      <c r="CC73" s="1321" t="str">
        <f t="array" ref="CC73">IF( ISERROR(INDEX($A$4:$A$60,SMALL(IF($CC$4:$CC$60&lt;&gt;0,ROW($CC$4:$CC$60)-4),ROW(CC7)))),"",INDEX($A$4:$A$60,SMALL(IF($CC$4:$CC$60&lt;&gt;0,ROW($CC$5:$CC$60)-4),ROW(CC7))))</f>
        <v/>
      </c>
      <c r="CD73" s="1321" t="str">
        <f t="array" ref="CD73">IF(ISERROR(INDEX($CC$4:$CC$60,SMALL(IF($CC$4:$CC$60&lt;&gt;0,ROW($CC$4:$CC$60)-3),ROW(CD7)))),"",INDEX($CC$4:$CC$60,SMALL(IF($CC$4:$CC$60&lt;&gt;0,ROW($CC$4:$CC$60)-3),ROW(CD7))))</f>
        <v/>
      </c>
      <c r="CE73" s="1321" t="str">
        <f t="array" ref="CE73">IF( ISERROR(INDEX($A$4:$A$60,SMALL(IF($CE$4:$CE$60&lt;&gt;0,ROW($CE$4:$CE$60)-4),ROW(CE7)))),"",INDEX($A$4:$A$60,SMALL(IF($CE$4:$CE$60&lt;&gt;0,ROW($CE$5:$CE$60)-4),ROW(CE7))))</f>
        <v/>
      </c>
      <c r="CF73" s="1321" t="str">
        <f t="array" ref="CF73">IF(ISERROR(INDEX($CE$4:$CE$60,SMALL(IF($CE$4:$CE$60&lt;&gt;0,ROW($CE$4:$CE$60)-3),ROW(CF7)))),"",INDEX($CE$4:$CE$60,SMALL(IF($CE$4:$CE$60&lt;&gt;0,ROW($CE$4:$CE$60)-3),ROW(CF7))))</f>
        <v/>
      </c>
      <c r="CG73" s="1321" t="str">
        <f t="array" ref="CG73">IF( ISERROR(INDEX($A$4:$A$60,SMALL(IF($CG$4:$CG$60&lt;&gt;0,ROW($CG$4:$CG$60)-4),ROW(CG7)))),"",INDEX($A$4:$A$60,SMALL(IF($CG$4:$CG$60&lt;&gt;0,ROW($CG$5:$CG$60)-4),ROW(CG7))))</f>
        <v/>
      </c>
      <c r="CH73" s="1321" t="str">
        <f t="array" ref="CH73">IF(ISERROR(INDEX($CG$4:$CG$60,SMALL(IF($CG$4:$CG$60&lt;&gt;0,ROW($CG$4:$CG$60)-3),ROW(CH7)))),"",INDEX($CG$4:$CG$60,SMALL(IF($CG$4:$CG$60&lt;&gt;0,ROW($CG$4:$CG$60)-3),ROW(CH7))))</f>
        <v/>
      </c>
      <c r="CI73" s="1321" t="str">
        <f t="array" ref="CI73">IF( ISERROR(INDEX($A$4:$A$60,SMALL(IF($CA$4:$CA$60&lt;&gt;0,ROW($CA$4:$CA$60)-4),ROW(CI7)))),"",INDEX($A$4:$A$60,SMALL(IF($CA$4:$CA$60&lt;&gt;0,ROW($CA$5:$CA$60)-4),ROW(CI7))))</f>
        <v/>
      </c>
      <c r="CJ73" s="1321" t="str">
        <f t="array" ref="CJ73">IF(ISERROR(INDEX($CA$4:$CA$60,SMALL(IF($CA$4:$CA$60&lt;&gt;0,ROW($CA$4:$CA$60)-3),ROW(CJ7)))),"",INDEX($CA$4:$CA$60,SMALL(IF($CA$4:$CA$60&lt;&gt;0,ROW($CA$4:$CA$60)-3),ROW(CJ7))))</f>
        <v/>
      </c>
      <c r="CK73" s="1321" t="str">
        <f t="array" ref="CK73">IF( ISERROR(INDEX($A$4:$A$60,SMALL(IF($CK$4:$CK$60&lt;&gt;0,ROW($CK$4:$CK$60)-4),ROW(CK7)))),"",INDEX($A$4:$A$60,SMALL(IF($CK$4:$CK$60&lt;&gt;0,ROW($CK$5:$CK$60)-4),ROW(CK7))))</f>
        <v/>
      </c>
      <c r="CL73" s="1321" t="str">
        <f t="array" ref="CL73">IF(ISERROR(INDEX($CK$4:$CK$60,SMALL(IF($CK$4:$CK$60&lt;&gt;0,ROW($CK$4:$CK$60)-3),ROW(CL7)))),"",INDEX($CK$4:$CK$60,SMALL(IF($CK$4:$CK$60&lt;&gt;0,ROW($CK$4:$CK$60)-3),ROW(CL7))))</f>
        <v/>
      </c>
      <c r="CM73" s="1321" t="str">
        <f t="array" ref="CM73">IF( ISERROR(INDEX($A$4:$A$60,SMALL(IF($CM$4:$CM$60&lt;&gt;0,ROW($CM$4:$CM$60)-4),ROW(CM7)))),"",INDEX($A$4:$A$60,SMALL(IF($CM$4:$CM$60&lt;&gt;0,ROW($CM$5:$CM$60)-4),ROW(CM7))))</f>
        <v/>
      </c>
      <c r="CN73" s="1321" t="str">
        <f t="array" ref="CN73">IF(ISERROR(INDEX($CM$4:$CM$60,SMALL(IF($CM$4:$CM$60&lt;&gt;0,ROW($CM$4:$CM$60)-3),ROW(CN7)))),"",INDEX($CM$4:$CM$60,SMALL(IF($CM$4:$CM$60&lt;&gt;0,ROW($CM$4:$CM$60)-3),ROW(CN7))))</f>
        <v/>
      </c>
      <c r="CO73" s="1321" t="str">
        <f t="array" ref="CO73">IF( ISERROR(INDEX($A$4:$A$60,SMALL(IF($CO$4:$CO$60&lt;&gt;0,ROW($CO$4:$CO$60)-4),ROW(CO7)))),"",INDEX($A$4:$A$60,SMALL(IF($CO$4:$CO$60&lt;&gt;0,ROW($CO$5:$CO$60)-4),ROW(CO7))))</f>
        <v/>
      </c>
      <c r="CP73" s="1321" t="str">
        <f t="array" ref="CP73">IF(ISERROR(INDEX($CO$4:$CO$60,SMALL(IF($CO$4:$CO$60&lt;&gt;0,ROW($CO$4:$CO$60)-3),ROW(CP7)))),"",INDEX($CO$4:$CO$60,SMALL(IF($CO$4:$CO$60&lt;&gt;0,ROW($CO$4:$CO$60)-3),ROW(CP7))))</f>
        <v/>
      </c>
      <c r="CQ73" s="1321" t="str">
        <f t="array" ref="CQ73">IF( ISERROR(INDEX($A$4:$A$60,SMALL(IF($CQ$4:$CQ$60&lt;&gt;0,ROW($CQ$4:$CQ$60)-4),ROW(CQ7)))),"",INDEX($A$4:$A$60,SMALL(IF($CQ$4:$CQ$60&lt;&gt;0,ROW($CQ$5:$CQ$60)-4),ROW(CQ7))))</f>
        <v/>
      </c>
      <c r="CR73" s="1321" t="str">
        <f t="array" ref="CR73">IF(ISERROR(INDEX($CQ$4:$CQ$60,SMALL(IF($CQ$4:$CQ$60&lt;&gt;0,ROW($CQ$4:$CQ$60)-3),ROW(CR7)))),"",INDEX($CQ$4:$CQ$60,SMALL(IF($CQ$4:$CQ$60&lt;&gt;0,ROW($CQ$4:$CQ$60)-3),ROW(CR7))))</f>
        <v/>
      </c>
      <c r="CS73" s="1321" t="str">
        <f t="array" ref="CS73">IF( ISERROR(INDEX($A$4:$A$60,SMALL(IF($CS$4:$CS$60&lt;&gt;0,ROW($CS$4:$CS$60)-4),ROW(CS7)))),"",INDEX($A$4:$A$60,SMALL(IF($CS$4:$CS$60&lt;&gt;0,ROW($CS$5:$CS$60)-4),ROW(CS7))))</f>
        <v/>
      </c>
      <c r="CT73" s="1321" t="str">
        <f t="array" ref="CT73">IF(ISERROR(INDEX($CS$4:$CS$60,SMALL(IF($CS$4:$CS$60&lt;&gt;0,ROW($CS$4:$CS$60)-3),ROW(CT7)))),"",INDEX($CS$4:$CS$60,SMALL(IF($CS$4:$CS$60&lt;&gt;0,ROW($CS$4:$CS$60)-3),ROW(CT7))))</f>
        <v/>
      </c>
      <c r="CU73" s="1321" t="str">
        <f t="array" ref="CU73">IF( ISERROR(INDEX($A$4:$A$60,SMALL(IF($CU$4:$CU$60&lt;&gt;0,ROW($CU$4:$CU$60)-4),ROW(CU7)))),"",INDEX($A$4:$A$60,SMALL(IF($CU$4:$CU$60&lt;&gt;0,ROW($CU$5:$CU$60)-4),ROW(CU7))))</f>
        <v/>
      </c>
      <c r="CV73" s="1321" t="str">
        <f t="array" ref="CV73">IF(ISERROR(INDEX($CU$4:$CU$60,SMALL(IF($CU$4:$CU$60&lt;&gt;0,ROW($CU$4:$CU$60)-3),ROW(CV7)))),"",INDEX($CU$4:$CU$60,SMALL(IF($CU$4:$CU$60&lt;&gt;0,ROW($CU$4:$CU$60)-3),ROW(CV7))))</f>
        <v/>
      </c>
      <c r="CW73" s="1321" t="str">
        <f t="array" ref="CW73">IF( ISERROR(INDEX($A$4:$A$60,SMALL(IF($CW$4:$CW$60&lt;&gt;0,ROW($CW$4:$CW$60)-4),ROW(CW7)))),"",INDEX($A$4:$A$60,SMALL(IF($CW$4:$CW$60&lt;&gt;0,ROW($CW$5:$CW$60)-4),ROW(CW7))))</f>
        <v/>
      </c>
      <c r="CX73" s="1321" t="str">
        <f t="array" ref="CX73">IF(ISERROR(INDEX($CW$4:$CW$60,SMALL(IF($CW$4:$CW$60&lt;&gt;0,ROW($CW$4:$CW$60)-3),ROW(CX7)))),"",INDEX($CW$4:$CW$60,SMALL(IF($CW$4:$CW$60&lt;&gt;0,ROW($CW$4:$CW$60)-3),ROW(CX7))))</f>
        <v/>
      </c>
      <c r="CY73" s="1321" t="str">
        <f t="array" ref="CY73">IF( ISERROR(INDEX($A$4:$A$60,SMALL(IF($CY$4:$CY$60&lt;&gt;0,ROW($CY$4:$CY$60)-4),ROW(CY7)))),"",INDEX($A$4:$A$60,SMALL(IF($CY$4:$CY$60&lt;&gt;0,ROW($CY$5:$CY$60)-4),ROW(CY7))))</f>
        <v/>
      </c>
      <c r="CZ73" s="1321" t="str">
        <f t="array" ref="CZ73">IF(ISERROR(INDEX($CY$4:$CY$60,SMALL(IF($CY$4:$CY$60&lt;&gt;0,ROW($CY$4:$CY$60)-3),ROW(CZ7)))),"",INDEX($CY$4:$CY$60,SMALL(IF($CY$4:$CY$60&lt;&gt;0,ROW($CY$4:$CY$60)-3),ROW(CZ7))))</f>
        <v/>
      </c>
      <c r="DA73" s="1321"/>
      <c r="DB73" s="1321"/>
      <c r="DC73" s="1321"/>
      <c r="DD73" s="1321"/>
      <c r="DE73" s="1321"/>
      <c r="DF73" s="1321"/>
      <c r="DG73" s="1321"/>
      <c r="DH73" s="1321"/>
      <c r="DI73" s="1321"/>
      <c r="DJ73" s="1321"/>
      <c r="DK73" s="1321"/>
      <c r="DL73" s="1321"/>
      <c r="DM73" s="1321"/>
      <c r="DN73" s="1321"/>
      <c r="DO73" s="1321"/>
      <c r="DP73" s="1321"/>
      <c r="DQ73" s="1321"/>
      <c r="DR73" s="1321"/>
      <c r="DS73" s="1321"/>
      <c r="DT73" s="1321"/>
      <c r="DU73" s="1321"/>
      <c r="DV73" s="1321"/>
      <c r="DW73" s="1321"/>
      <c r="DX73" s="1321"/>
      <c r="DY73" s="1321"/>
      <c r="DZ73" s="1321"/>
      <c r="EA73" s="1321"/>
      <c r="EB73" s="1321"/>
      <c r="EC73" s="1321"/>
      <c r="ED73" s="1321"/>
      <c r="EE73" s="1321"/>
      <c r="EF73" s="1321"/>
      <c r="EG73" s="1321"/>
      <c r="EH73" s="1321"/>
      <c r="EI73" s="1321"/>
      <c r="EJ73" s="1321"/>
      <c r="EK73" s="1321"/>
      <c r="EL73" s="1321"/>
      <c r="EM73" s="1321"/>
      <c r="EN73" s="1321"/>
      <c r="EO73" s="1321"/>
      <c r="EP73" s="1321"/>
      <c r="EQ73" s="1321"/>
      <c r="ER73" s="1321"/>
      <c r="ES73" s="1321"/>
      <c r="ET73" s="1321"/>
      <c r="EU73" s="1321"/>
      <c r="EV73" s="1321"/>
      <c r="EW73" s="1321"/>
      <c r="EX73" s="1321"/>
      <c r="EY73" s="1321"/>
      <c r="EZ73" s="1321"/>
      <c r="FA73" s="1321"/>
      <c r="FB73" s="1321"/>
      <c r="FC73" s="1321"/>
      <c r="FD73" s="1321"/>
      <c r="FE73" s="1321"/>
      <c r="FF73" s="1321"/>
      <c r="FG73" s="1321"/>
      <c r="FH73" s="1321"/>
      <c r="FI73" s="1321"/>
      <c r="FJ73" s="1321"/>
      <c r="FK73" s="1321"/>
      <c r="FL73" s="1321"/>
      <c r="FM73" s="1321"/>
      <c r="FN73" s="1321"/>
      <c r="FO73" s="1321"/>
      <c r="FP73" s="1321"/>
      <c r="FQ73" s="1321"/>
      <c r="FR73" s="1321"/>
      <c r="FS73" s="1321"/>
      <c r="FT73" s="1321"/>
      <c r="FU73" s="1321"/>
      <c r="FV73" s="1321"/>
      <c r="FW73" s="1321"/>
      <c r="FX73" s="1321"/>
      <c r="FY73" s="1321"/>
      <c r="FZ73" s="1321"/>
      <c r="GA73" s="1321"/>
      <c r="GB73" s="1321"/>
      <c r="GC73" s="1321"/>
      <c r="GD73" s="1321"/>
      <c r="GE73" s="1321"/>
      <c r="GF73" s="1321"/>
      <c r="GG73" s="1321"/>
      <c r="GH73" s="1321"/>
      <c r="GI73" s="1321"/>
      <c r="GJ73" s="1321"/>
      <c r="GK73" s="1321"/>
      <c r="GL73" s="1321"/>
      <c r="GM73" s="1321"/>
      <c r="GN73" s="1321"/>
      <c r="GO73" s="1321"/>
      <c r="GP73" s="1321"/>
      <c r="GQ73" s="1321"/>
      <c r="GR73" s="1321"/>
      <c r="GS73" s="1321"/>
      <c r="GT73" s="1321"/>
      <c r="GU73" s="1321"/>
      <c r="GV73" s="1321"/>
      <c r="GW73" s="1321"/>
      <c r="GX73" s="1321"/>
      <c r="GY73" s="1321"/>
      <c r="GZ73" s="1321"/>
    </row>
    <row r="74" spans="3:208" hidden="1">
      <c r="C74" s="1321" t="str">
        <f t="array" ref="C74">IF( ISERROR(INDEX($A$4:$A$60,SMALL(IF($C$4:$C$60&lt;&gt;0,ROW($C$4:$C$60)-4),ROW(A8)))),"",INDEX($A$4:$A$60,SMALL(IF($C$4:$C$60&lt;&gt;0,ROW($C$5:$C$60)-4),ROW(A8))))</f>
        <v/>
      </c>
      <c r="D74" s="1321" t="str">
        <f t="array" ref="D74">IF(ISERROR(INDEX($C$4:$C$60,SMALL(IF($C$4:$C$60&lt;&gt;0,ROW($C$4:$C$60)-3),ROW(D8)))),"",INDEX($C$4:$C$60,SMALL(IF($C$4:$C$60&lt;&gt;0,ROW($C$4:$C$60)-3),ROW(D8))))</f>
        <v/>
      </c>
      <c r="E74" s="1321" t="str">
        <f t="array" ref="E74">IF( ISERROR(INDEX($A$4:$A$60,SMALL(IF($E$4:$E$60&lt;&gt;0,ROW($E$4:$E$60)-4),ROW(E8)))),"",INDEX($A$4:$A$60,SMALL(IF($E$4:$E$60&lt;&gt;0,ROW($E$5:$E$60)-4),ROW(E8))))</f>
        <v/>
      </c>
      <c r="F74" s="1321" t="str">
        <f t="array" ref="F74">IF(ISERROR(INDEX($E$4:$E$60,SMALL(IF($E$4:$E$60&lt;&gt;0,ROW($E$4:$E$60)-3),ROW(F8)))),"",INDEX($E$4:$E$60,SMALL(IF($E$4:$E$60&lt;&gt;0,ROW($E$4:$E$60)-3),ROW(F8))))</f>
        <v/>
      </c>
      <c r="G74" s="1321" t="str">
        <f t="array" ref="G74">IF( ISERROR(INDEX($A$4:$A$60,SMALL(IF($G$4:$G$60&lt;&gt;0,ROW($G$4:$G$60)-4),ROW(G8)))),"",INDEX($A$4:$A$60,SMALL(IF($G$4:$G$60&lt;&gt;0,ROW($G$5:$G$60)-4),ROW(G8))))</f>
        <v/>
      </c>
      <c r="H74" s="1321" t="str">
        <f t="array" ref="H74">IF(ISERROR(INDEX($E$4:$E$60,SMALL(IF($G$4:$G$60&lt;&gt;0,ROW($G$4:$G$60)-3),ROW(H8)))),"",INDEX($G$4:$G$60,SMALL(IF($G$4:$G$60&lt;&gt;0,ROW($G$4:$G$60)-3),ROW(H8))))</f>
        <v/>
      </c>
      <c r="I74" s="1321" t="str">
        <f t="array" ref="I74">IF( ISERROR(INDEX($A$4:$A$60,SMALL(IF($I$4:$I$60&lt;&gt;0,ROW($I$4:$I$60)-4),ROW(I8)))),"",INDEX($A$4:$A$60,SMALL(IF($I$4:$I$60&lt;&gt;0,ROW($I$5:$I$60)-4),ROW(I8))))</f>
        <v/>
      </c>
      <c r="J74" s="1321" t="str">
        <f t="array" ref="J74">IF(ISERROR(INDEX($I$4:$I$60,SMALL(IF($I$4:$I$60&lt;&gt;0,ROW($I$4:$I$60)-3),ROW(J8)))),"",INDEX($I$4:$I$60,SMALL(IF($I$4:$I$60&lt;&gt;0,ROW($I$4:$I$60)-3),ROW(J8))))</f>
        <v/>
      </c>
      <c r="K74" s="1321" t="str">
        <f t="array" ref="K74">IF( ISERROR(INDEX($A$4:$A$60,SMALL(IF($K$4:$K$60&lt;&gt;0,ROW($K$4:$K$60)-4),ROW(K8)))),"",INDEX($A$4:$A$60,SMALL(IF($K$4:$K$60&lt;&gt;0,ROW($K$5:$K$60)-4),ROW(K8))))</f>
        <v/>
      </c>
      <c r="L74" s="1321" t="str">
        <f t="array" ref="L74">IF(ISERROR(INDEX($K$4:$K$60,SMALL(IF($K$4:$K$60&lt;&gt;0,ROW($K$4:$K$60)-3),ROW(L8)))),"",INDEX($K$4:$K$60,SMALL(IF($K$4:$K$60&lt;&gt;0,ROW($K$4:$K$60)-3),ROW(L8))))</f>
        <v/>
      </c>
      <c r="M74" s="1321" t="str">
        <f t="array" ref="M74">IF( ISERROR(INDEX($A$4:$A$60,SMALL(IF($M$4:$M$60&lt;&gt;0,ROW($M$4:$M$60)-4),ROW(M8)))),"",INDEX($A$4:$A$60,SMALL(IF($M$4:$M$60&lt;&gt;0,ROW($M$5:$M$60)-4),ROW(M8))))</f>
        <v/>
      </c>
      <c r="N74" s="1321" t="str">
        <f t="array" ref="N74">IF(ISERROR(INDEX($M$4:$M$60,SMALL(IF($M$4:$M$60&lt;&gt;0,ROW($M$4:$M$60)-3),ROW(N8)))),"",INDEX($M$4:$M$60,SMALL(IF($M$4:$M$60&lt;&gt;0,ROW($M$4:$M$60)-3),ROW(N8))))</f>
        <v/>
      </c>
      <c r="O74" s="1321" t="str">
        <f t="array" ref="O74">IF( ISERROR(INDEX($A$4:$A$60,SMALL(IF($O$4:$O$60&lt;&gt;0,ROW($O$4:$O$60)-4),ROW(O8)))),"",INDEX($A$4:$A$60,SMALL(IF($O$4:$O$60&lt;&gt;0,ROW($O$5:$O$60)-4),ROW(O8))))</f>
        <v/>
      </c>
      <c r="P74" s="1321" t="str">
        <f t="array" ref="P74">IF(ISERROR(INDEX($O$4:$O$60,SMALL(IF($O$4:$O$60&lt;&gt;0,ROW($O$4:$O$60)-3),ROW(P8)))),"",INDEX($O$4:$O$60,SMALL(IF($O$4:$O$60&lt;&gt;0,ROW($O$4:$O$60)-3),ROW(P8))))</f>
        <v/>
      </c>
      <c r="Q74" s="1321" t="str">
        <f t="array" ref="Q74">IF( ISERROR(INDEX($A$4:$A$60,SMALL(IF($Q$4:$Q$60&lt;&gt;0,ROW($Q$4:$Q$60)-4),ROW(Q8)))),"",INDEX($A$4:$A$60,SMALL(IF($Q$4:$Q$60&lt;&gt;0,ROW($Q$5:$Q$60)-4),ROW(Q8))))</f>
        <v/>
      </c>
      <c r="R74" s="1321" t="str">
        <f t="array" ref="R74">IF(ISERROR(INDEX($Q$4:$Q$60,SMALL(IF($Q$4:$Q$60&lt;&gt;0,ROW($Q$4:$Q$60)-3),ROW(R8)))),"",INDEX($Q$4:$Q$60,SMALL(IF($Q$4:$Q$60&lt;&gt;0,ROW($Q$4:$Q$60)-3),ROW(R8))))</f>
        <v/>
      </c>
      <c r="S74" s="1321" t="str">
        <f t="array" ref="S74">IF( ISERROR(INDEX($A$4:$A$60,SMALL(IF($S$4:$S$60&lt;&gt;0,ROW($S$4:$S$60)-4),ROW(S8)))),"",INDEX($A$4:$A$60,SMALL(IF($S$4:$S$60&lt;&gt;0,ROW($S$5:$S$60)-4),ROW(S8))))</f>
        <v/>
      </c>
      <c r="T74" s="1321" t="str">
        <f t="array" ref="T74">IF(ISERROR(INDEX($S$4:$S$60,SMALL(IF($S$4:$S$60&lt;&gt;0,ROW($S$4:$S$60)-3),ROW(T8)))),"",INDEX($S$4:$S$60,SMALL(IF($S$4:$S$60&lt;&gt;0,ROW($S$4:$S$60)-3),ROW(T8))))</f>
        <v/>
      </c>
      <c r="U74" s="1321" t="str">
        <f t="array" ref="U74">IF( ISERROR(INDEX($A$4:$A$60,SMALL(IF($U$4:$U$60&lt;&gt;0,ROW($U$4:$U$60)-4),ROW(U8)))),"",INDEX($A$4:$A$60,SMALL(IF($U$4:$U$60&lt;&gt;0,ROW($U$5:$U$60)-4),ROW(U8))))</f>
        <v/>
      </c>
      <c r="V74" s="1321" t="str">
        <f t="array" ref="V74">IF(ISERROR(INDEX($U$4:$U$60,SMALL(IF($U$4:$U$60&lt;&gt;0,ROW($U$4:$U$60)-3),ROW(V8)))),"",INDEX($U$4:$U$60,SMALL(IF($U$4:$U$60&lt;&gt;0,ROW($U$4:$U$60)-3),ROW(V8))))</f>
        <v/>
      </c>
      <c r="W74" s="1321" t="str">
        <f t="array" ref="W74">IF( ISERROR(INDEX($A$4:$A$60,SMALL(IF($W$4:$W$60&lt;&gt;0,ROW($W$4:$W$60)-4),ROW(W8)))),"",INDEX($A$4:$A$60,SMALL(IF($W$4:$W$60&lt;&gt;0,ROW($W$5:$W$60)-4),ROW(W8))))</f>
        <v/>
      </c>
      <c r="X74" s="1321" t="str">
        <f t="array" ref="X74">IF(ISERROR(INDEX($W$4:$W$60,SMALL(IF($W$4:$W$60&lt;&gt;0,ROW($W$4:$W$60)-3),ROW(X8)))),"",INDEX($W$4:$W$60,SMALL(IF($W$4:$W$60&lt;&gt;0,ROW($W$4:$W$60)-3),ROW(X8))))</f>
        <v/>
      </c>
      <c r="Y74" s="1321" t="str">
        <f t="array" ref="Y74">IF( ISERROR(INDEX($A$4:$A$60,SMALL(IF($Y$4:$Y$60&lt;&gt;0,ROW($Y$4:$Y$60)-4),ROW(Y8)))),"",INDEX($A$4:$A$60,SMALL(IF($Y$4:$Y$60&lt;&gt;0,ROW($Y$5:$Y$60)-4),ROW(Y8))))</f>
        <v/>
      </c>
      <c r="Z74" s="1321" t="str">
        <f t="array" ref="Z74">IF(ISERROR(INDEX($Y$4:$Y$60,SMALL(IF($Y$4:$Y$60&lt;&gt;0,ROW($Y$4:$Y$60)-3),ROW(Z8)))),"",INDEX($Y$4:$Y$60,SMALL(IF($Y$4:$Y$60&lt;&gt;0,ROW($Y$4:$Y$60)-3),ROW(Z8))))</f>
        <v/>
      </c>
      <c r="AA74" s="1321" t="str">
        <f t="array" ref="AA74">IF( ISERROR(INDEX($A$4:$A$60,SMALL(IF($AA$4:$AA$60&lt;&gt;0,ROW($AA$4:$AA$60)-4),ROW(AA8)))),"",INDEX($A$4:$A$60,SMALL(IF($AA$4:$AA$60&lt;&gt;0,ROW($AA$5:$AA$60)-4),ROW(AA8))))</f>
        <v/>
      </c>
      <c r="AB74" s="1321" t="str">
        <f t="array" ref="AB74">IF(ISERROR(INDEX($AA$4:$AA$60,SMALL(IF($AA$4:$AA$60&lt;&gt;0,ROW($AA$4:$AA$60)-3),ROW(AB8)))),"",INDEX($AA$4:$AA$60,SMALL(IF($AA$4:$AA$60&lt;&gt;0,ROW($AA$4:$AA$60)-3),ROW(AB8))))</f>
        <v/>
      </c>
      <c r="AC74" s="1321" t="str">
        <f t="array" ref="AC74">IF( ISERROR(INDEX($A$4:$A$60,SMALL(IF($AC$4:$AC$60&lt;&gt;0,ROW($AC$4:$AC$60)-4),ROW(AC8)))),"",INDEX($A$4:$A$60,SMALL(IF($AC$4:$AC$60&lt;&gt;0,ROW($AC$5:$AC$60)-4),ROW(AC8))))</f>
        <v/>
      </c>
      <c r="AD74" s="1321" t="str">
        <f t="array" ref="AD74">IF(ISERROR(INDEX($AC$4:$AC$60,SMALL(IF($AC$4:$AC$60&lt;&gt;0,ROW($AC$4:$AC$60)-3),ROW(AD8)))),"",INDEX($AC$4:$AC$60,SMALL(IF($AC$4:$AC$60&lt;&gt;0,ROW($AC$4:$AC$60)-3),ROW(AD8))))</f>
        <v/>
      </c>
      <c r="AE74" s="1321" t="str">
        <f t="array" ref="AE74">IF( ISERROR(INDEX($A$4:$A$60,SMALL(IF($AE$4:$AE$60&lt;&gt;0,ROW($AE$4:$AE$60)-4),ROW(AE8)))),"",INDEX($A$4:$A$60,SMALL(IF($AE$4:$AE$60&lt;&gt;0,ROW($AE$5:$AE$60)-4),ROW(AE8))))</f>
        <v/>
      </c>
      <c r="AF74" s="1321" t="str">
        <f t="array" ref="AF74">IF(ISERROR(INDEX($AE$4:$AE$60,SMALL(IF($AE$4:$AE$60&lt;&gt;0,ROW($AE$4:$AE$60)-3),ROW(AF8)))),"",INDEX($AE$4:$AE$60,SMALL(IF($AE$4:$AE$60&lt;&gt;0,ROW($AE$4:$AE$60)-3),ROW(AF8))))</f>
        <v/>
      </c>
      <c r="AG74" s="1321" t="str">
        <f t="array" ref="AG74">IF( ISERROR(INDEX($A$4:$A$60,SMALL(IF($AG$4:$AG$60&lt;&gt;0,ROW($AG$4:$AG$60)-4),ROW(AG8)))),"",INDEX($A$4:$A$60,SMALL(IF($AG$4:$AG$60&lt;&gt;0,ROW($AG$5:$AG$60)-4),ROW(AG8))))</f>
        <v/>
      </c>
      <c r="AH74" s="1321" t="str">
        <f t="array" ref="AH74">IF(ISERROR(INDEX($AG$4:$AG$60,SMALL(IF($AG$4:$AG$60&lt;&gt;0,ROW($AG$4:$AG$60)-3),ROW(AH8)))),"",INDEX($AG$4:$AG$60,SMALL(IF($AG$4:$AG$60&lt;&gt;0,ROW($AG$4:$AG$60)-3),ROW(AH8))))</f>
        <v/>
      </c>
      <c r="AI74" s="1321" t="str">
        <f t="array" ref="AI74">IF( ISERROR(INDEX($A$4:$A$60,SMALL(IF($AI$4:$AI$60&lt;&gt;0,ROW($AI$4:$AI$60)-4),ROW(AI8)))),"",INDEX($A$4:$A$60,SMALL(IF($AI$4:$AI$60&lt;&gt;0,ROW($AI$5:$AI$60)-4),ROW(AI8))))</f>
        <v/>
      </c>
      <c r="AJ74" s="1321" t="str">
        <f t="array" ref="AJ74">IF(ISERROR(INDEX($E$4:$E$60,SMALL(IF($AI$4:$AI$60&lt;&gt;0,ROW($AI$4:$AI$60)-3),ROW(AJ8)))),"",INDEX($AI$4:$AI$60,SMALL(IF($AI$4:$AI$60&lt;&gt;0,ROW($AI$4:$AI$60)-3),ROW(AJ8))))</f>
        <v/>
      </c>
      <c r="AK74" s="1321" t="str">
        <f t="array" ref="AK74">IF( ISERROR(INDEX($A$4:$A$60,SMALL(IF($AK$4:$AK$60&lt;&gt;0,ROW($AK$4:$AK$60)-4),ROW(AK8)))),"",INDEX($A$4:$A$60,SMALL(IF($AK$4:$AK$60&lt;&gt;0,ROW($AK$5:$AK$60)-4),ROW(AK8))))</f>
        <v/>
      </c>
      <c r="AL74" s="1321" t="str">
        <f t="array" ref="AL74">IF(ISERROR(INDEX($AK$4:$AK$60,SMALL(IF($AK$4:$AK$60&lt;&gt;0,ROW($AK$4:$AK$60)-3),ROW(AL8)))),"",INDEX($AK$4:$AK$60,SMALL(IF($AK$4:$AK$60&lt;&gt;0,ROW($AK$4:$AK$60)-3),ROW(AL8))))</f>
        <v/>
      </c>
      <c r="AM74" s="1321" t="str">
        <f t="array" ref="AM74">IF( ISERROR(INDEX($A$4:$A$60,SMALL(IF($AM$4:$AM$60&lt;&gt;0,ROW($AM$4:$AM$60)-4),ROW(AM8)))),"",INDEX($A$4:$A$60,SMALL(IF($AM$4:$AM$60&lt;&gt;0,ROW($AM$5:$AM$60)-4),ROW(AM8))))</f>
        <v/>
      </c>
      <c r="AN74" s="1321" t="str">
        <f t="array" ref="AN74">IF(ISERROR(INDEX($AM$4:$AM$60,SMALL(IF($AM$4:$AM$60&lt;&gt;0,ROW($AM$4:$AM$60)-3),ROW(AN8)))),"",INDEX($AM$4:$AM$60,SMALL(IF($AM$4:$AM$60&lt;&gt;0,ROW($AM$4:$AM$60)-3),ROW(AN8))))</f>
        <v/>
      </c>
      <c r="AO74" s="1321" t="str">
        <f t="array" ref="AO74">IF( ISERROR(INDEX($A$4:$A$60,SMALL(IF($AO$4:$AO$60&lt;&gt;0,ROW($AO$4:$AO$60)-4),ROW(AO8)))),"",INDEX($A$4:$A$60,SMALL(IF($AO$4:$AO$60&lt;&gt;0,ROW($AO$5:$AO$60)-4),ROW(AO8))))</f>
        <v/>
      </c>
      <c r="AP74" s="1321" t="str">
        <f t="array" ref="AP74">IF(ISERROR(INDEX($AO$4:$AO$60,SMALL(IF($AO$4:$AO$60&lt;&gt;0,ROW($AO$4:$AO$60)-3),ROW(AP8)))),"",INDEX($AO$4:$AO$60,SMALL(IF($AO$4:$AO$60&lt;&gt;0,ROW($AO$4:$AO$60)-3),ROW(AP8))))</f>
        <v/>
      </c>
      <c r="AQ74" s="1321" t="str">
        <f t="array" ref="AQ74">IF( ISERROR(INDEX($A$4:$A$60,SMALL(IF($AQ$4:$AQ$60&lt;&gt;0,ROW($AQ$4:$AQ$60)-4),ROW(AQ8)))),"",INDEX($A$4:$A$60,SMALL(IF($AQ$4:$AQ$60&lt;&gt;0,ROW($AQ$5:$AQ$60)-4),ROW(AQ8))))</f>
        <v/>
      </c>
      <c r="AR74" s="1321" t="str">
        <f t="array" ref="AR74">IF(ISERROR(INDEX($AQ$4:$AQ$60,SMALL(IF($AQ$4:$AQ$60&lt;&gt;0,ROW($AQ$4:$AQ$60)-3),ROW(AR8)))),"",INDEX($AQ$4:$AQ$60,SMALL(IF($AQ$4:$AQ$60&lt;&gt;0,ROW($AQ$4:$AQ$60)-3),ROW(AR8))))</f>
        <v/>
      </c>
      <c r="AS74" s="1321" t="str">
        <f t="array" ref="AS74">IF( ISERROR(INDEX($A$4:$A$60,SMALL(IF($AS$4:$AS$60&lt;&gt;0,ROW($AS$4:$AS$60)-4),ROW(AS8)))),"",INDEX($A$4:$A$60,SMALL(IF($AS$4:$AS$60&lt;&gt;0,ROW($AS$5:$AS$60)-4),ROW(AS8))))</f>
        <v/>
      </c>
      <c r="AT74" s="1321" t="str">
        <f t="array" ref="AT74">IF(ISERROR(INDEX($AS$4:$AS$60,SMALL(IF($AS$4:$AS$60&lt;&gt;0,ROW($AS$4:$AS$60)-3),ROW(AT8)))),"",INDEX($AS$4:$AS$60,SMALL(IF($AS$4:$AS$60&lt;&gt;0,ROW($AS$4:$AS$60)-3),ROW(AT8))))</f>
        <v/>
      </c>
      <c r="AU74" s="1321" t="str">
        <f t="array" ref="AU74">IF( ISERROR(INDEX($A$4:$A$60,SMALL(IF($AU$4:$AU$60&lt;&gt;0,ROW($AU$4:$AU$60)-4),ROW(AU8)))),"",INDEX($A$4:$A$60,SMALL(IF($AU$4:$AU$60&lt;&gt;0,ROW($AU$5:$AU$60)-4),ROW(AU8))))</f>
        <v/>
      </c>
      <c r="AV74" s="1321" t="str">
        <f t="array" ref="AV74">IF(ISERROR(INDEX($AU$4:$AU$60,SMALL(IF($AU$4:$AU$60&lt;&gt;0,ROW($AU$4:$AU$60)-3),ROW(AV8)))),"",INDEX($AU$4:$AU$60,SMALL(IF($AU$4:$AU$60&lt;&gt;0,ROW($AU$4:$AU$60)-3),ROW(AV8))))</f>
        <v/>
      </c>
      <c r="AW74" s="1321" t="str">
        <f t="array" ref="AW74">IF( ISERROR(INDEX($A$4:$A$60,SMALL(IF($AW$4:$AW$60&lt;&gt;0,ROW($AW$4:$AW$60)-4),ROW(AW8)))),"",INDEX($A$4:$A$60,SMALL(IF($AW$4:$AW$60&lt;&gt;0,ROW($AW$5:$AW$60)-4),ROW(AW8))))</f>
        <v/>
      </c>
      <c r="AX74" s="1321" t="str">
        <f t="array" ref="AX74">IF(ISERROR(INDEX($AW$4:$AW$60,SMALL(IF($AW$4:$AW$60&lt;&gt;0,ROW($AW$4:$AW$60)-3),ROW(AX8)))),"",INDEX($AW$4:$AW$60,SMALL(IF($AW$4:$AW$60&lt;&gt;0,ROW($AW$4:$AW$60)-3),ROW(AX8))))</f>
        <v/>
      </c>
      <c r="AY74" s="1321" t="str">
        <f t="array" ref="AY74">IF( ISERROR(INDEX($A$4:$A$60,SMALL(IF($AY$4:$AY$60&lt;&gt;0,ROW($AY$4:$AY$60)-4),ROW(AY8)))),"",INDEX($A$4:$A$60,SMALL(IF($AY$4:$AY$60&lt;&gt;0,ROW($AY$5:$AY$60)-4),ROW(AY8))))</f>
        <v/>
      </c>
      <c r="AZ74" s="1321" t="str">
        <f t="array" ref="AZ74">IF(ISERROR(INDEX($AY$4:$AY$60,SMALL(IF($AY$4:$AY$60&lt;&gt;0,ROW($AY$4:$AY$60)-3),ROW(AZ8)))),"",INDEX($AY$4:$AY$60,SMALL(IF($AY$4:$AY$60&lt;&gt;0,ROW($AY$4:$AY$60)-3),ROW(AZ8))))</f>
        <v/>
      </c>
      <c r="BA74" s="1321" t="str">
        <f t="array" ref="BA74">IF( ISERROR(INDEX($A$4:$A$60,SMALL(IF($BA$4:$BA$60&lt;&gt;0,ROW($BA$4:$BA$60)-4),ROW(BA8)))),"",INDEX($A$4:$A$60,SMALL(IF($BA$4:$BA$60&lt;&gt;0,ROW($BA$5:$BA$60)-4),ROW(BA8))))</f>
        <v/>
      </c>
      <c r="BB74" s="1321" t="str">
        <f t="array" ref="BB74">IF(ISERROR(INDEX($BA$4:$BA$60,SMALL(IF($BA$4:$BA$60&lt;&gt;0,ROW($BA$4:$BA$60)-3),ROW(BB8)))),"",INDEX($BA$4:$BA$60,SMALL(IF($BA$4:$BA$60&lt;&gt;0,ROW($BA$4:$BA$60)-3),ROW(BB8))))</f>
        <v/>
      </c>
      <c r="BC74" s="1321" t="str">
        <f t="array" ref="BC74">IF( ISERROR(INDEX($A$4:$A$60,SMALL(IF($BC$4:$BC$60&lt;&gt;0,ROW($BC$4:$BC$60)-4),ROW(BC8)))),"",INDEX($A$4:$A$60,SMALL(IF($BC$4:$BC$60&lt;&gt;0,ROW($BC$5:$BC$60)-4),ROW(BC8))))</f>
        <v/>
      </c>
      <c r="BD74" s="1321" t="str">
        <f t="array" ref="BD74">IF(ISERROR(INDEX($BC$4:$BC$60,SMALL(IF($BC$4:$BC$60&lt;&gt;0,ROW($BC$4:$BC$60)-3),ROW(BD8)))),"",INDEX($BC$4:$BC$60,SMALL(IF($BC$4:$BC$60&lt;&gt;0,ROW($BC$4:$BC$60)-3),ROW(BD8))))</f>
        <v/>
      </c>
      <c r="BE74" s="1321" t="str">
        <f t="array" ref="BE74">IF( ISERROR(INDEX($A$4:$A$60,SMALL(IF($BE$4:$BE$60&lt;&gt;0,ROW($BE$4:$BE$60)-4),ROW(BE8)))),"",INDEX($A$4:$A$60,SMALL(IF($BE$4:$BE$60&lt;&gt;0,ROW($BE$5:$BE$60)-4),ROW(BE8))))</f>
        <v/>
      </c>
      <c r="BF74" s="1321" t="str">
        <f t="array" ref="BF74">IF(ISERROR(INDEX($BE$4:$BE$60,SMALL(IF($BE$4:$BE$60&lt;&gt;0,ROW($BE$4:$BE$60)-3),ROW(BF8)))),"",INDEX($BE$4:$BE$60,SMALL(IF($BE$4:$BE$60&lt;&gt;0,ROW($BE$4:$BE$60)-3),ROW(BF8))))</f>
        <v/>
      </c>
      <c r="BG74" s="1321" t="str">
        <f t="array" ref="BG74">IF( ISERROR(INDEX($A$4:$A$60,SMALL(IF($BG$4:$BG$60&lt;&gt;0,ROW($BG$4:$BG$60)-4),ROW(BG8)))),"",INDEX($A$4:$A$60,SMALL(IF($BG$4:$BG$60&lt;&gt;0,ROW($BG$5:$BG$60)-4),ROW(BG8))))</f>
        <v/>
      </c>
      <c r="BH74" s="1321" t="str">
        <f t="array" ref="BH74">IF(ISERROR(INDEX($BG$4:$BG$60,SMALL(IF($BG$4:$BG$60&lt;&gt;0,ROW($BG$4:$BG$60)-3),ROW(BH8)))),"",INDEX($BG$4:$BG$60,SMALL(IF($BG$4:$BG$60&lt;&gt;0,ROW($BG$4:$BG$60)-3),ROW(BH8))))</f>
        <v/>
      </c>
      <c r="BI74" s="1321" t="str">
        <f t="array" ref="BI74">IF( ISERROR(INDEX($A$4:$A$60,SMALL(IF($BI$4:$BI$60&lt;&gt;0,ROW($BI$4:$BI$60)-4),ROW(BI8)))),"",INDEX($A$4:$A$60,SMALL(IF($BI$4:$BI$60&lt;&gt;0,ROW($BI$5:$BI$60)-4),ROW(BI8))))</f>
        <v/>
      </c>
      <c r="BJ74" s="1321" t="str">
        <f t="array" ref="BJ74">IF(ISERROR(INDEX($BI$4:$BI$60,SMALL(IF($BI$4:$BI$60&lt;&gt;0,ROW($BI$4:$BI$60)-3),ROW(BJ8)))),"",INDEX($BI$4:$BI$60,SMALL(IF($BI$4:$BI$60&lt;&gt;0,ROW($BI$4:$BI$60)-3),ROW(BJ8))))</f>
        <v/>
      </c>
      <c r="BK74" s="1321" t="str">
        <f t="array" ref="BK74">IF( ISERROR(INDEX($A$4:$A$60,SMALL(IF($BK$4:$BK$60&lt;&gt;0,ROW($BK$4:$BK$60)-4),ROW(BK8)))),"",INDEX($A$4:$A$60,SMALL(IF($BK$4:$BK$60&lt;&gt;0,ROW($BK$5:$BK$60)-4),ROW(BK8))))</f>
        <v/>
      </c>
      <c r="BL74" s="1321" t="str">
        <f t="array" ref="BL74">IF(ISERROR(INDEX($BK$4:$BK$60,SMALL(IF($BK$4:$BK$60&lt;&gt;0,ROW($BK$4:$BK$60)-3),ROW(BL8)))),"",INDEX($BK$4:$BK$60,SMALL(IF($BK$4:$BK$60&lt;&gt;0,ROW($BK$4:$BK$60)-3),ROW(BL8))))</f>
        <v/>
      </c>
      <c r="BM74" s="1321" t="str">
        <f t="array" ref="BM74">IF( ISERROR(INDEX($A$4:$A$60,SMALL(IF($BM$4:$BM$60&lt;&gt;0,ROW($BM$4:$BM$60)-4),ROW(BM8)))),"",INDEX($A$4:$A$60,SMALL(IF($BM$4:$BM$60&lt;&gt;0,ROW($BM$5:$BM$60)-4),ROW(BM8))))</f>
        <v/>
      </c>
      <c r="BN74" s="1321" t="str">
        <f t="array" ref="BN74">IF(ISERROR(INDEX($BM$4:$BM$60,SMALL(IF($BM$4:$BM$60&lt;&gt;0,ROW($BM$4:$BM$60)-3),ROW(BN8)))),"",INDEX($BM$4:$BM$60,SMALL(IF($BM$4:$BM$60&lt;&gt;0,ROW($BM$4:$BM$60)-3),ROW(BN8))))</f>
        <v/>
      </c>
      <c r="BO74" s="1321" t="str">
        <f t="array" ref="BO74">IF( ISERROR(INDEX($A$4:$A$60,SMALL(IF($BO$4:$BO$60&lt;&gt;0,ROW($BO$4:$BO$60)-4),ROW(BO8)))),"",INDEX($A$4:$A$60,SMALL(IF($BO$4:$BO$60&lt;&gt;0,ROW($BO$5:$BO$60)-4),ROW(BO8))))</f>
        <v/>
      </c>
      <c r="BP74" s="1321" t="str">
        <f t="array" ref="BP74">IF(ISERROR(INDEX($BO$4:$BO$60,SMALL(IF($BO$4:$BO$60&lt;&gt;0,ROW($BO$4:$BO$60)-3),ROW(BP8)))),"",INDEX($BO$4:$BO$60,SMALL(IF($BO$4:$BO$60&lt;&gt;0,ROW($BO$4:$BO$60)-3),ROW(BP8))))</f>
        <v/>
      </c>
      <c r="BQ74" s="1321" t="str">
        <f t="array" ref="BQ74">IF( ISERROR(INDEX($A$4:$A$60,SMALL(IF($BQ$4:$BQ$60&lt;&gt;0,ROW($BQ$4:$BQ$60)-4),ROW(BQ8)))),"",INDEX($A$4:$A$60,SMALL(IF($BQ$4:$BQ$60&lt;&gt;0,ROW($BQ$5:$BQ$60)-4),ROW(BQ8))))</f>
        <v/>
      </c>
      <c r="BR74" s="1321" t="str">
        <f t="array" ref="BR74">IF(ISERROR(INDEX($BQ$4:$BQ$60,SMALL(IF($BQ$4:$BQ$60&lt;&gt;0,ROW($BQ$4:$BQ$60)-3),ROW(BR8)))),"",INDEX($BQ$4:$BQ$60,SMALL(IF($BQ$4:$BQ$60&lt;&gt;0,ROW($BQ$4:$BQ$60)-3),ROW(BR8))))</f>
        <v/>
      </c>
      <c r="BS74" s="1321" t="str">
        <f t="array" ref="BS74">IF( ISERROR(INDEX($A$4:$A$60,SMALL(IF($BS$4:$BS$60&lt;&gt;0,ROW($BS$4:$BS$60)-4),ROW(BS8)))),"",INDEX($A$4:$A$60,SMALL(IF($BS$4:$BS$60&lt;&gt;0,ROW($BS$5:$BS$60)-4),ROW(BS8))))</f>
        <v/>
      </c>
      <c r="BT74" s="1321" t="str">
        <f t="array" ref="BT74">IF(ISERROR(INDEX($BS$4:$BS$60,SMALL(IF($BS$4:$BS$60&lt;&gt;0,ROW($BS$4:$BS$60)-3),ROW(BT8)))),"",INDEX($BS$4:$BS$60,SMALL(IF($BS$4:$BS$60&lt;&gt;0,ROW($BS$4:$BS$60)-3),ROW(BT8))))</f>
        <v/>
      </c>
      <c r="BU74" s="1321" t="str">
        <f t="array" ref="BU74">IF( ISERROR(INDEX($A$4:$A$60,SMALL(IF($BU$4:$BU$60&lt;&gt;0,ROW($BU$4:$BU$60)-4),ROW(BU8)))),"",INDEX($A$4:$A$60,SMALL(IF($BU$4:$BU$60&lt;&gt;0,ROW($BU$5:$BU$60)-4),ROW(BU8))))</f>
        <v/>
      </c>
      <c r="BV74" s="1321" t="str">
        <f t="array" ref="BV74">IF(ISERROR(INDEX($BQ$4:$BQ$60,SMALL(IF($BU$4:$BU$60&lt;&gt;0,ROW($BU$4:$BU$60)-3),ROW(BV8)))),"",INDEX($BU$4:$BU$60,SMALL(IF($BU$4:$BU$60&lt;&gt;0,ROW($BU$4:$BU$60)-3),ROW(BV8))))</f>
        <v/>
      </c>
      <c r="BW74" s="1321" t="str">
        <f t="array" ref="BW74">IF( ISERROR(INDEX($A$4:$A$60,SMALL(IF($BW$4:$BW$60&lt;&gt;0,ROW($BW$4:$BW$60)-4),ROW(BW8)))),"",INDEX($A$4:$A$60,SMALL(IF($BW$4:$BW$60&lt;&gt;0,ROW($BW$5:$BW$60)-4),ROW(BW8))))</f>
        <v/>
      </c>
      <c r="BX74" s="1321" t="str">
        <f t="array" ref="BX74">IF(ISERROR(INDEX($BW$4:$BW$60,SMALL(IF($BW$4:$BW$60&lt;&gt;0,ROW($BW$4:$BW$60)-3),ROW(BX8)))),"",INDEX($BW$4:$BW$60,SMALL(IF($BW$4:$BW$60&lt;&gt;0,ROW($BW$4:$BW$60)-3),ROW(BX8))))</f>
        <v/>
      </c>
      <c r="BY74" s="1321" t="str">
        <f t="array" ref="BY74">IF( ISERROR(INDEX($A$4:$A$60,SMALL(IF($BY$4:$BY$60&lt;&gt;0,ROW($BY$4:$BY$60)-4),ROW(BY8)))),"",INDEX($A$4:$A$60,SMALL(IF($BY$4:$BY$60&lt;&gt;0,ROW($BY$5:$BY$60)-4),ROW(BY8))))</f>
        <v/>
      </c>
      <c r="BZ74" s="1321" t="str">
        <f t="array" ref="BZ74">IF(ISERROR(INDEX($BY$4:$BY$60,SMALL(IF($BY$4:$BY$60&lt;&gt;0,ROW($BY$4:$BY$60)-3),ROW(BZ8)))),"",INDEX($BY$4:$BY$60,SMALL(IF($BY$4:$BY$60&lt;&gt;0,ROW($BY$4:$BY$60)-3),ROW(BZ8))))</f>
        <v/>
      </c>
      <c r="CA74" s="1321" t="str">
        <f t="array" ref="CA74">IF( ISERROR(INDEX($A$4:$A$60,SMALL(IF($CA$4:$CA$60&lt;&gt;0,ROW($CA$4:$CA$60)-4),ROW(CA8)))),"",INDEX($A$4:$A$60,SMALL(IF($CA$4:$CA$60&lt;&gt;0,ROW($CA$5:$CA$60)-4),ROW(CA8))))</f>
        <v/>
      </c>
      <c r="CB74" s="1321" t="str">
        <f t="array" ref="CB74">IF(ISERROR(INDEX($CA$4:$CA$60,SMALL(IF($CA$4:$CA$60&lt;&gt;0,ROW($CA$4:$CA$60)-3),ROW(CB8)))),"",INDEX($CA$4:$CA$60,SMALL(IF($CA$4:$CA$60&lt;&gt;0,ROW($CA$4:$CA$60)-3),ROW(CB8))))</f>
        <v/>
      </c>
      <c r="CC74" s="1321" t="str">
        <f t="array" ref="CC74">IF( ISERROR(INDEX($A$4:$A$60,SMALL(IF($CC$4:$CC$60&lt;&gt;0,ROW($CC$4:$CC$60)-4),ROW(CC8)))),"",INDEX($A$4:$A$60,SMALL(IF($CC$4:$CC$60&lt;&gt;0,ROW($CC$5:$CC$60)-4),ROW(CC8))))</f>
        <v/>
      </c>
      <c r="CD74" s="1321" t="str">
        <f t="array" ref="CD74">IF(ISERROR(INDEX($CC$4:$CC$60,SMALL(IF($CC$4:$CC$60&lt;&gt;0,ROW($CC$4:$CC$60)-3),ROW(CD8)))),"",INDEX($CC$4:$CC$60,SMALL(IF($CC$4:$CC$60&lt;&gt;0,ROW($CC$4:$CC$60)-3),ROW(CD8))))</f>
        <v/>
      </c>
      <c r="CE74" s="1321" t="str">
        <f t="array" ref="CE74">IF( ISERROR(INDEX($A$4:$A$60,SMALL(IF($CE$4:$CE$60&lt;&gt;0,ROW($CE$4:$CE$60)-4),ROW(CE8)))),"",INDEX($A$4:$A$60,SMALL(IF($CE$4:$CE$60&lt;&gt;0,ROW($CE$5:$CE$60)-4),ROW(CE8))))</f>
        <v/>
      </c>
      <c r="CF74" s="1321" t="str">
        <f t="array" ref="CF74">IF(ISERROR(INDEX($CE$4:$CE$60,SMALL(IF($CE$4:$CE$60&lt;&gt;0,ROW($CE$4:$CE$60)-3),ROW(CF8)))),"",INDEX($CE$4:$CE$60,SMALL(IF($CE$4:$CE$60&lt;&gt;0,ROW($CE$4:$CE$60)-3),ROW(CF8))))</f>
        <v/>
      </c>
      <c r="CG74" s="1321" t="str">
        <f t="array" ref="CG74">IF( ISERROR(INDEX($A$4:$A$60,SMALL(IF($CG$4:$CG$60&lt;&gt;0,ROW($CG$4:$CG$60)-4),ROW(CG8)))),"",INDEX($A$4:$A$60,SMALL(IF($CG$4:$CG$60&lt;&gt;0,ROW($CG$5:$CG$60)-4),ROW(CG8))))</f>
        <v/>
      </c>
      <c r="CH74" s="1321" t="str">
        <f t="array" ref="CH74">IF(ISERROR(INDEX($CG$4:$CG$60,SMALL(IF($CG$4:$CG$60&lt;&gt;0,ROW($CG$4:$CG$60)-3),ROW(CH8)))),"",INDEX($CG$4:$CG$60,SMALL(IF($CG$4:$CG$60&lt;&gt;0,ROW($CG$4:$CG$60)-3),ROW(CH8))))</f>
        <v/>
      </c>
      <c r="CI74" s="1321" t="str">
        <f t="array" ref="CI74">IF( ISERROR(INDEX($A$4:$A$60,SMALL(IF($CA$4:$CA$60&lt;&gt;0,ROW($CA$4:$CA$60)-4),ROW(CI8)))),"",INDEX($A$4:$A$60,SMALL(IF($CA$4:$CA$60&lt;&gt;0,ROW($CA$5:$CA$60)-4),ROW(CI8))))</f>
        <v/>
      </c>
      <c r="CJ74" s="1321" t="str">
        <f t="array" ref="CJ74">IF(ISERROR(INDEX($CA$4:$CA$60,SMALL(IF($CA$4:$CA$60&lt;&gt;0,ROW($CA$4:$CA$60)-3),ROW(CJ8)))),"",INDEX($CA$4:$CA$60,SMALL(IF($CA$4:$CA$60&lt;&gt;0,ROW($CA$4:$CA$60)-3),ROW(CJ8))))</f>
        <v/>
      </c>
      <c r="CK74" s="1321" t="str">
        <f t="array" ref="CK74">IF( ISERROR(INDEX($A$4:$A$60,SMALL(IF($CK$4:$CK$60&lt;&gt;0,ROW($CK$4:$CK$60)-4),ROW(CK8)))),"",INDEX($A$4:$A$60,SMALL(IF($CK$4:$CK$60&lt;&gt;0,ROW($CK$5:$CK$60)-4),ROW(CK8))))</f>
        <v/>
      </c>
      <c r="CL74" s="1321" t="str">
        <f t="array" ref="CL74">IF(ISERROR(INDEX($CK$4:$CK$60,SMALL(IF($CK$4:$CK$60&lt;&gt;0,ROW($CK$4:$CK$60)-3),ROW(CL8)))),"",INDEX($CK$4:$CK$60,SMALL(IF($CK$4:$CK$60&lt;&gt;0,ROW($CK$4:$CK$60)-3),ROW(CL8))))</f>
        <v/>
      </c>
      <c r="CM74" s="1321" t="str">
        <f t="array" ref="CM74">IF( ISERROR(INDEX($A$4:$A$60,SMALL(IF($CM$4:$CM$60&lt;&gt;0,ROW($CM$4:$CM$60)-4),ROW(CM8)))),"",INDEX($A$4:$A$60,SMALL(IF($CM$4:$CM$60&lt;&gt;0,ROW($CM$5:$CM$60)-4),ROW(CM8))))</f>
        <v/>
      </c>
      <c r="CN74" s="1321" t="str">
        <f t="array" ref="CN74">IF(ISERROR(INDEX($CM$4:$CM$60,SMALL(IF($CM$4:$CM$60&lt;&gt;0,ROW($CM$4:$CM$60)-3),ROW(CN8)))),"",INDEX($CM$4:$CM$60,SMALL(IF($CM$4:$CM$60&lt;&gt;0,ROW($CM$4:$CM$60)-3),ROW(CN8))))</f>
        <v/>
      </c>
      <c r="CO74" s="1321" t="str">
        <f t="array" ref="CO74">IF( ISERROR(INDEX($A$4:$A$60,SMALL(IF($CO$4:$CO$60&lt;&gt;0,ROW($CO$4:$CO$60)-4),ROW(CO8)))),"",INDEX($A$4:$A$60,SMALL(IF($CO$4:$CO$60&lt;&gt;0,ROW($CO$5:$CO$60)-4),ROW(CO8))))</f>
        <v/>
      </c>
      <c r="CP74" s="1321" t="str">
        <f t="array" ref="CP74">IF(ISERROR(INDEX($CO$4:$CO$60,SMALL(IF($CO$4:$CO$60&lt;&gt;0,ROW($CO$4:$CO$60)-3),ROW(CP8)))),"",INDEX($CO$4:$CO$60,SMALL(IF($CO$4:$CO$60&lt;&gt;0,ROW($CO$4:$CO$60)-3),ROW(CP8))))</f>
        <v/>
      </c>
      <c r="CQ74" s="1321" t="str">
        <f t="array" ref="CQ74">IF( ISERROR(INDEX($A$4:$A$60,SMALL(IF($CQ$4:$CQ$60&lt;&gt;0,ROW($CQ$4:$CQ$60)-4),ROW(CQ8)))),"",INDEX($A$4:$A$60,SMALL(IF($CQ$4:$CQ$60&lt;&gt;0,ROW($CQ$5:$CQ$60)-4),ROW(CQ8))))</f>
        <v/>
      </c>
      <c r="CR74" s="1321" t="str">
        <f t="array" ref="CR74">IF(ISERROR(INDEX($CQ$4:$CQ$60,SMALL(IF($CQ$4:$CQ$60&lt;&gt;0,ROW($CQ$4:$CQ$60)-3),ROW(CR8)))),"",INDEX($CQ$4:$CQ$60,SMALL(IF($CQ$4:$CQ$60&lt;&gt;0,ROW($CQ$4:$CQ$60)-3),ROW(CR8))))</f>
        <v/>
      </c>
      <c r="CS74" s="1321" t="str">
        <f t="array" ref="CS74">IF( ISERROR(INDEX($A$4:$A$60,SMALL(IF($CS$4:$CS$60&lt;&gt;0,ROW($CS$4:$CS$60)-4),ROW(CS8)))),"",INDEX($A$4:$A$60,SMALL(IF($CS$4:$CS$60&lt;&gt;0,ROW($CS$5:$CS$60)-4),ROW(CS8))))</f>
        <v/>
      </c>
      <c r="CT74" s="1321" t="str">
        <f t="array" ref="CT74">IF(ISERROR(INDEX($CS$4:$CS$60,SMALL(IF($CS$4:$CS$60&lt;&gt;0,ROW($CS$4:$CS$60)-3),ROW(CT8)))),"",INDEX($CS$4:$CS$60,SMALL(IF($CS$4:$CS$60&lt;&gt;0,ROW($CS$4:$CS$60)-3),ROW(CT8))))</f>
        <v/>
      </c>
      <c r="CU74" s="1321" t="str">
        <f t="array" ref="CU74">IF( ISERROR(INDEX($A$4:$A$60,SMALL(IF($CU$4:$CU$60&lt;&gt;0,ROW($CU$4:$CU$60)-4),ROW(CU8)))),"",INDEX($A$4:$A$60,SMALL(IF($CU$4:$CU$60&lt;&gt;0,ROW($CU$5:$CU$60)-4),ROW(CU8))))</f>
        <v/>
      </c>
      <c r="CV74" s="1321" t="str">
        <f t="array" ref="CV74">IF(ISERROR(INDEX($CU$4:$CU$60,SMALL(IF($CU$4:$CU$60&lt;&gt;0,ROW($CU$4:$CU$60)-3),ROW(CV8)))),"",INDEX($CU$4:$CU$60,SMALL(IF($CU$4:$CU$60&lt;&gt;0,ROW($CU$4:$CU$60)-3),ROW(CV8))))</f>
        <v/>
      </c>
      <c r="CW74" s="1321" t="str">
        <f t="array" ref="CW74">IF( ISERROR(INDEX($A$4:$A$60,SMALL(IF($CW$4:$CW$60&lt;&gt;0,ROW($CW$4:$CW$60)-4),ROW(CW8)))),"",INDEX($A$4:$A$60,SMALL(IF($CW$4:$CW$60&lt;&gt;0,ROW($CW$5:$CW$60)-4),ROW(CW8))))</f>
        <v/>
      </c>
      <c r="CX74" s="1321" t="str">
        <f t="array" ref="CX74">IF(ISERROR(INDEX($CW$4:$CW$60,SMALL(IF($CW$4:$CW$60&lt;&gt;0,ROW($CW$4:$CW$60)-3),ROW(CX8)))),"",INDEX($CW$4:$CW$60,SMALL(IF($CW$4:$CW$60&lt;&gt;0,ROW($CW$4:$CW$60)-3),ROW(CX8))))</f>
        <v/>
      </c>
      <c r="CY74" s="1321" t="str">
        <f t="array" ref="CY74">IF( ISERROR(INDEX($A$4:$A$60,SMALL(IF($CY$4:$CY$60&lt;&gt;0,ROW($CY$4:$CY$60)-4),ROW(CY8)))),"",INDEX($A$4:$A$60,SMALL(IF($CY$4:$CY$60&lt;&gt;0,ROW($CY$5:$CY$60)-4),ROW(CY8))))</f>
        <v/>
      </c>
      <c r="CZ74" s="1321" t="str">
        <f t="array" ref="CZ74">IF(ISERROR(INDEX($CY$4:$CY$60,SMALL(IF($CY$4:$CY$60&lt;&gt;0,ROW($CY$4:$CY$60)-3),ROW(CZ8)))),"",INDEX($CY$4:$CY$60,SMALL(IF($CY$4:$CY$60&lt;&gt;0,ROW($CY$4:$CY$60)-3),ROW(CZ8))))</f>
        <v/>
      </c>
      <c r="DA74" s="1321"/>
      <c r="DB74" s="1321"/>
      <c r="DC74" s="1321"/>
      <c r="DD74" s="1321"/>
      <c r="DE74" s="1321"/>
      <c r="DF74" s="1321"/>
      <c r="DG74" s="1321"/>
      <c r="DH74" s="1321"/>
      <c r="DI74" s="1321"/>
      <c r="DJ74" s="1321"/>
      <c r="DK74" s="1321"/>
      <c r="DL74" s="1321"/>
      <c r="DM74" s="1321"/>
      <c r="DN74" s="1321"/>
      <c r="DO74" s="1321"/>
      <c r="DP74" s="1321"/>
      <c r="DQ74" s="1321"/>
      <c r="DR74" s="1321"/>
      <c r="DS74" s="1321"/>
      <c r="DT74" s="1321"/>
      <c r="DU74" s="1321"/>
      <c r="DV74" s="1321"/>
      <c r="DW74" s="1321"/>
      <c r="DX74" s="1321"/>
      <c r="DY74" s="1321"/>
      <c r="DZ74" s="1321"/>
      <c r="EA74" s="1321"/>
      <c r="EB74" s="1321"/>
      <c r="EC74" s="1321"/>
      <c r="ED74" s="1321"/>
      <c r="EE74" s="1321"/>
      <c r="EF74" s="1321"/>
      <c r="EG74" s="1321"/>
      <c r="EH74" s="1321"/>
      <c r="EI74" s="1321"/>
      <c r="EJ74" s="1321"/>
      <c r="EK74" s="1321"/>
      <c r="EL74" s="1321"/>
      <c r="EM74" s="1321"/>
      <c r="EN74" s="1321"/>
      <c r="EO74" s="1321"/>
      <c r="EP74" s="1321"/>
      <c r="EQ74" s="1321"/>
      <c r="ER74" s="1321"/>
      <c r="ES74" s="1321"/>
      <c r="ET74" s="1321"/>
      <c r="EU74" s="1321"/>
      <c r="EV74" s="1321"/>
      <c r="EW74" s="1321"/>
      <c r="EX74" s="1321"/>
      <c r="EY74" s="1321"/>
      <c r="EZ74" s="1321"/>
      <c r="FA74" s="1321"/>
      <c r="FB74" s="1321"/>
      <c r="FC74" s="1321"/>
      <c r="FD74" s="1321"/>
      <c r="FE74" s="1321"/>
      <c r="FF74" s="1321"/>
      <c r="FG74" s="1321"/>
      <c r="FH74" s="1321"/>
      <c r="FI74" s="1321"/>
      <c r="FJ74" s="1321"/>
      <c r="FK74" s="1321"/>
      <c r="FL74" s="1321"/>
      <c r="FM74" s="1321"/>
      <c r="FN74" s="1321"/>
      <c r="FO74" s="1321"/>
      <c r="FP74" s="1321"/>
      <c r="FQ74" s="1321"/>
      <c r="FR74" s="1321"/>
      <c r="FS74" s="1321"/>
      <c r="FT74" s="1321"/>
      <c r="FU74" s="1321"/>
      <c r="FV74" s="1321"/>
      <c r="FW74" s="1321"/>
      <c r="FX74" s="1321"/>
      <c r="FY74" s="1321"/>
      <c r="FZ74" s="1321"/>
      <c r="GA74" s="1321"/>
      <c r="GB74" s="1321"/>
      <c r="GC74" s="1321"/>
      <c r="GD74" s="1321"/>
      <c r="GE74" s="1321"/>
      <c r="GF74" s="1321"/>
      <c r="GG74" s="1321"/>
      <c r="GH74" s="1321"/>
      <c r="GI74" s="1321"/>
      <c r="GJ74" s="1321"/>
      <c r="GK74" s="1321"/>
      <c r="GL74" s="1321"/>
      <c r="GM74" s="1321"/>
      <c r="GN74" s="1321"/>
      <c r="GO74" s="1321"/>
      <c r="GP74" s="1321"/>
      <c r="GQ74" s="1321"/>
      <c r="GR74" s="1321"/>
      <c r="GS74" s="1321"/>
      <c r="GT74" s="1321"/>
      <c r="GU74" s="1321"/>
      <c r="GV74" s="1321"/>
      <c r="GW74" s="1321"/>
      <c r="GX74" s="1321"/>
      <c r="GY74" s="1321"/>
      <c r="GZ74" s="1321"/>
    </row>
    <row r="75" spans="3:208" hidden="1">
      <c r="C75" s="1321" t="str">
        <f t="array" ref="C75">IF( ISERROR(INDEX($A$4:$A$60,SMALL(IF($C$4:$C$60&lt;&gt;0,ROW($C$4:$C$60)-4),ROW(A9)))),"",INDEX($A$4:$A$60,SMALL(IF($C$4:$C$60&lt;&gt;0,ROW($C$5:$C$60)-4),ROW(A9))))</f>
        <v/>
      </c>
      <c r="D75" s="1321" t="str">
        <f t="array" ref="D75">IF(ISERROR(INDEX($C$4:$C$60,SMALL(IF($C$4:$C$60&lt;&gt;0,ROW($C$4:$C$60)-3),ROW(D9)))),"",INDEX($C$4:$C$60,SMALL(IF($C$4:$C$60&lt;&gt;0,ROW($C$4:$C$60)-3),ROW(D9))))</f>
        <v/>
      </c>
      <c r="E75" s="1321" t="str">
        <f t="array" ref="E75">IF( ISERROR(INDEX($A$4:$A$60,SMALL(IF($E$4:$E$60&lt;&gt;0,ROW($E$4:$E$60)-4),ROW(E9)))),"",INDEX($A$4:$A$60,SMALL(IF($E$4:$E$60&lt;&gt;0,ROW($E$5:$E$60)-4),ROW(E9))))</f>
        <v/>
      </c>
      <c r="F75" s="1321" t="str">
        <f t="array" ref="F75">IF(ISERROR(INDEX($E$4:$E$60,SMALL(IF($E$4:$E$60&lt;&gt;0,ROW($E$4:$E$60)-3),ROW(F9)))),"",INDEX($E$4:$E$60,SMALL(IF($E$4:$E$60&lt;&gt;0,ROW($E$4:$E$60)-3),ROW(F9))))</f>
        <v/>
      </c>
      <c r="G75" s="1321" t="str">
        <f t="array" ref="G75">IF( ISERROR(INDEX($A$4:$A$60,SMALL(IF($G$4:$G$60&lt;&gt;0,ROW($G$4:$G$60)-4),ROW(G9)))),"",INDEX($A$4:$A$60,SMALL(IF($G$4:$G$60&lt;&gt;0,ROW($G$5:$G$60)-4),ROW(G9))))</f>
        <v/>
      </c>
      <c r="H75" s="1321" t="str">
        <f t="array" ref="H75">IF(ISERROR(INDEX($E$4:$E$60,SMALL(IF($G$4:$G$60&lt;&gt;0,ROW($G$4:$G$60)-3),ROW(H9)))),"",INDEX($G$4:$G$60,SMALL(IF($G$4:$G$60&lt;&gt;0,ROW($G$4:$G$60)-3),ROW(H9))))</f>
        <v/>
      </c>
      <c r="I75" s="1321" t="str">
        <f t="array" ref="I75">IF( ISERROR(INDEX($A$4:$A$60,SMALL(IF($I$4:$I$60&lt;&gt;0,ROW($I$4:$I$60)-4),ROW(I9)))),"",INDEX($A$4:$A$60,SMALL(IF($I$4:$I$60&lt;&gt;0,ROW($I$5:$I$60)-4),ROW(I9))))</f>
        <v/>
      </c>
      <c r="J75" s="1321" t="str">
        <f t="array" ref="J75">IF(ISERROR(INDEX($I$4:$I$60,SMALL(IF($I$4:$I$60&lt;&gt;0,ROW($I$4:$I$60)-3),ROW(J9)))),"",INDEX($I$4:$I$60,SMALL(IF($I$4:$I$60&lt;&gt;0,ROW($I$4:$I$60)-3),ROW(J9))))</f>
        <v/>
      </c>
      <c r="K75" s="1321" t="str">
        <f t="array" ref="K75">IF( ISERROR(INDEX($A$4:$A$60,SMALL(IF($K$4:$K$60&lt;&gt;0,ROW($K$4:$K$60)-4),ROW(K9)))),"",INDEX($A$4:$A$60,SMALL(IF($K$4:$K$60&lt;&gt;0,ROW($K$5:$K$60)-4),ROW(K9))))</f>
        <v/>
      </c>
      <c r="L75" s="1321" t="str">
        <f t="array" ref="L75">IF(ISERROR(INDEX($K$4:$K$60,SMALL(IF($K$4:$K$60&lt;&gt;0,ROW($K$4:$K$60)-3),ROW(L9)))),"",INDEX($K$4:$K$60,SMALL(IF($K$4:$K$60&lt;&gt;0,ROW($K$4:$K$60)-3),ROW(L9))))</f>
        <v/>
      </c>
      <c r="M75" s="1321" t="str">
        <f t="array" ref="M75">IF( ISERROR(INDEX($A$4:$A$60,SMALL(IF($M$4:$M$60&lt;&gt;0,ROW($M$4:$M$60)-4),ROW(M9)))),"",INDEX($A$4:$A$60,SMALL(IF($M$4:$M$60&lt;&gt;0,ROW($M$5:$M$60)-4),ROW(M9))))</f>
        <v/>
      </c>
      <c r="N75" s="1321" t="str">
        <f t="array" ref="N75">IF(ISERROR(INDEX($M$4:$M$60,SMALL(IF($M$4:$M$60&lt;&gt;0,ROW($M$4:$M$60)-3),ROW(N9)))),"",INDEX($M$4:$M$60,SMALL(IF($M$4:$M$60&lt;&gt;0,ROW($M$4:$M$60)-3),ROW(N9))))</f>
        <v/>
      </c>
      <c r="O75" s="1321" t="str">
        <f t="array" ref="O75">IF( ISERROR(INDEX($A$4:$A$60,SMALL(IF($O$4:$O$60&lt;&gt;0,ROW($O$4:$O$60)-4),ROW(O9)))),"",INDEX($A$4:$A$60,SMALL(IF($O$4:$O$60&lt;&gt;0,ROW($O$5:$O$60)-4),ROW(O9))))</f>
        <v/>
      </c>
      <c r="P75" s="1321" t="str">
        <f t="array" ref="P75">IF(ISERROR(INDEX($O$4:$O$60,SMALL(IF($O$4:$O$60&lt;&gt;0,ROW($O$4:$O$60)-3),ROW(P9)))),"",INDEX($O$4:$O$60,SMALL(IF($O$4:$O$60&lt;&gt;0,ROW($O$4:$O$60)-3),ROW(P9))))</f>
        <v/>
      </c>
      <c r="Q75" s="1321" t="str">
        <f t="array" ref="Q75">IF( ISERROR(INDEX($A$4:$A$60,SMALL(IF($Q$4:$Q$60&lt;&gt;0,ROW($Q$4:$Q$60)-4),ROW(Q9)))),"",INDEX($A$4:$A$60,SMALL(IF($Q$4:$Q$60&lt;&gt;0,ROW($Q$5:$Q$60)-4),ROW(Q9))))</f>
        <v/>
      </c>
      <c r="R75" s="1321" t="str">
        <f t="array" ref="R75">IF(ISERROR(INDEX($Q$4:$Q$60,SMALL(IF($Q$4:$Q$60&lt;&gt;0,ROW($Q$4:$Q$60)-3),ROW(R9)))),"",INDEX($Q$4:$Q$60,SMALL(IF($Q$4:$Q$60&lt;&gt;0,ROW($Q$4:$Q$60)-3),ROW(R9))))</f>
        <v/>
      </c>
      <c r="S75" s="1321" t="str">
        <f t="array" ref="S75">IF( ISERROR(INDEX($A$4:$A$60,SMALL(IF($S$4:$S$60&lt;&gt;0,ROW($S$4:$S$60)-4),ROW(S9)))),"",INDEX($A$4:$A$60,SMALL(IF($S$4:$S$60&lt;&gt;0,ROW($S$5:$S$60)-4),ROW(S9))))</f>
        <v/>
      </c>
      <c r="T75" s="1321" t="str">
        <f t="array" ref="T75">IF(ISERROR(INDEX($S$4:$S$60,SMALL(IF($S$4:$S$60&lt;&gt;0,ROW($S$4:$S$60)-3),ROW(T9)))),"",INDEX($S$4:$S$60,SMALL(IF($S$4:$S$60&lt;&gt;0,ROW($S$4:$S$60)-3),ROW(T9))))</f>
        <v/>
      </c>
      <c r="U75" s="1321" t="str">
        <f t="array" ref="U75">IF( ISERROR(INDEX($A$4:$A$60,SMALL(IF($U$4:$U$60&lt;&gt;0,ROW($U$4:$U$60)-4),ROW(U9)))),"",INDEX($A$4:$A$60,SMALL(IF($U$4:$U$60&lt;&gt;0,ROW($U$5:$U$60)-4),ROW(U9))))</f>
        <v/>
      </c>
      <c r="V75" s="1321" t="str">
        <f t="array" ref="V75">IF(ISERROR(INDEX($U$4:$U$60,SMALL(IF($U$4:$U$60&lt;&gt;0,ROW($U$4:$U$60)-3),ROW(V9)))),"",INDEX($U$4:$U$60,SMALL(IF($U$4:$U$60&lt;&gt;0,ROW($U$4:$U$60)-3),ROW(V9))))</f>
        <v/>
      </c>
      <c r="W75" s="1321" t="str">
        <f t="array" ref="W75">IF( ISERROR(INDEX($A$4:$A$60,SMALL(IF($W$4:$W$60&lt;&gt;0,ROW($W$4:$W$60)-4),ROW(W9)))),"",INDEX($A$4:$A$60,SMALL(IF($W$4:$W$60&lt;&gt;0,ROW($W$5:$W$60)-4),ROW(W9))))</f>
        <v/>
      </c>
      <c r="X75" s="1321" t="str">
        <f t="array" ref="X75">IF(ISERROR(INDEX($W$4:$W$60,SMALL(IF($W$4:$W$60&lt;&gt;0,ROW($W$4:$W$60)-3),ROW(X9)))),"",INDEX($W$4:$W$60,SMALL(IF($W$4:$W$60&lt;&gt;0,ROW($W$4:$W$60)-3),ROW(X9))))</f>
        <v/>
      </c>
      <c r="Y75" s="1321" t="str">
        <f t="array" ref="Y75">IF( ISERROR(INDEX($A$4:$A$60,SMALL(IF($Y$4:$Y$60&lt;&gt;0,ROW($Y$4:$Y$60)-4),ROW(Y9)))),"",INDEX($A$4:$A$60,SMALL(IF($Y$4:$Y$60&lt;&gt;0,ROW($Y$5:$Y$60)-4),ROW(Y9))))</f>
        <v/>
      </c>
      <c r="Z75" s="1321" t="str">
        <f t="array" ref="Z75">IF(ISERROR(INDEX($Y$4:$Y$60,SMALL(IF($Y$4:$Y$60&lt;&gt;0,ROW($Y$4:$Y$60)-3),ROW(Z9)))),"",INDEX($Y$4:$Y$60,SMALL(IF($Y$4:$Y$60&lt;&gt;0,ROW($Y$4:$Y$60)-3),ROW(Z9))))</f>
        <v/>
      </c>
      <c r="AA75" s="1321" t="str">
        <f t="array" ref="AA75">IF( ISERROR(INDEX($A$4:$A$60,SMALL(IF($AA$4:$AA$60&lt;&gt;0,ROW($AA$4:$AA$60)-4),ROW(AA9)))),"",INDEX($A$4:$A$60,SMALL(IF($AA$4:$AA$60&lt;&gt;0,ROW($AA$5:$AA$60)-4),ROW(AA9))))</f>
        <v/>
      </c>
      <c r="AB75" s="1321" t="str">
        <f t="array" ref="AB75">IF(ISERROR(INDEX($AA$4:$AA$60,SMALL(IF($AA$4:$AA$60&lt;&gt;0,ROW($AA$4:$AA$60)-3),ROW(AB9)))),"",INDEX($AA$4:$AA$60,SMALL(IF($AA$4:$AA$60&lt;&gt;0,ROW($AA$4:$AA$60)-3),ROW(AB9))))</f>
        <v/>
      </c>
      <c r="AC75" s="1321" t="str">
        <f t="array" ref="AC75">IF( ISERROR(INDEX($A$4:$A$60,SMALL(IF($AC$4:$AC$60&lt;&gt;0,ROW($AC$4:$AC$60)-4),ROW(AC9)))),"",INDEX($A$4:$A$60,SMALL(IF($AC$4:$AC$60&lt;&gt;0,ROW($AC$5:$AC$60)-4),ROW(AC9))))</f>
        <v/>
      </c>
      <c r="AD75" s="1321" t="str">
        <f t="array" ref="AD75">IF(ISERROR(INDEX($AC$4:$AC$60,SMALL(IF($AC$4:$AC$60&lt;&gt;0,ROW($AC$4:$AC$60)-3),ROW(AD9)))),"",INDEX($AC$4:$AC$60,SMALL(IF($AC$4:$AC$60&lt;&gt;0,ROW($AC$4:$AC$60)-3),ROW(AD9))))</f>
        <v/>
      </c>
      <c r="AE75" s="1321" t="str">
        <f t="array" ref="AE75">IF( ISERROR(INDEX($A$4:$A$60,SMALL(IF($AE$4:$AE$60&lt;&gt;0,ROW($AE$4:$AE$60)-4),ROW(AE9)))),"",INDEX($A$4:$A$60,SMALL(IF($AE$4:$AE$60&lt;&gt;0,ROW($AE$5:$AE$60)-4),ROW(AE9))))</f>
        <v/>
      </c>
      <c r="AF75" s="1321" t="str">
        <f t="array" ref="AF75">IF(ISERROR(INDEX($AE$4:$AE$60,SMALL(IF($AE$4:$AE$60&lt;&gt;0,ROW($AE$4:$AE$60)-3),ROW(AF9)))),"",INDEX($AE$4:$AE$60,SMALL(IF($AE$4:$AE$60&lt;&gt;0,ROW($AE$4:$AE$60)-3),ROW(AF9))))</f>
        <v/>
      </c>
      <c r="AG75" s="1321" t="str">
        <f t="array" ref="AG75">IF( ISERROR(INDEX($A$4:$A$60,SMALL(IF($AG$4:$AG$60&lt;&gt;0,ROW($AG$4:$AG$60)-4),ROW(AG9)))),"",INDEX($A$4:$A$60,SMALL(IF($AG$4:$AG$60&lt;&gt;0,ROW($AG$5:$AG$60)-4),ROW(AG9))))</f>
        <v/>
      </c>
      <c r="AH75" s="1321" t="str">
        <f t="array" ref="AH75">IF(ISERROR(INDEX($AG$4:$AG$60,SMALL(IF($AG$4:$AG$60&lt;&gt;0,ROW($AG$4:$AG$60)-3),ROW(AH9)))),"",INDEX($AG$4:$AG$60,SMALL(IF($AG$4:$AG$60&lt;&gt;0,ROW($AG$4:$AG$60)-3),ROW(AH9))))</f>
        <v/>
      </c>
      <c r="AI75" s="1321" t="str">
        <f t="array" ref="AI75">IF( ISERROR(INDEX($A$4:$A$60,SMALL(IF($AI$4:$AI$60&lt;&gt;0,ROW($AI$4:$AI$60)-4),ROW(AI9)))),"",INDEX($A$4:$A$60,SMALL(IF($AI$4:$AI$60&lt;&gt;0,ROW($AI$5:$AI$60)-4),ROW(AI9))))</f>
        <v/>
      </c>
      <c r="AJ75" s="1321" t="str">
        <f t="array" ref="AJ75">IF(ISERROR(INDEX($E$4:$E$60,SMALL(IF($AI$4:$AI$60&lt;&gt;0,ROW($AI$4:$AI$60)-3),ROW(AJ9)))),"",INDEX($AI$4:$AI$60,SMALL(IF($AI$4:$AI$60&lt;&gt;0,ROW($AI$4:$AI$60)-3),ROW(AJ9))))</f>
        <v/>
      </c>
      <c r="AK75" s="1321" t="str">
        <f t="array" ref="AK75">IF( ISERROR(INDEX($A$4:$A$60,SMALL(IF($AK$4:$AK$60&lt;&gt;0,ROW($AK$4:$AK$60)-4),ROW(AK9)))),"",INDEX($A$4:$A$60,SMALL(IF($AK$4:$AK$60&lt;&gt;0,ROW($AK$5:$AK$60)-4),ROW(AK9))))</f>
        <v/>
      </c>
      <c r="AL75" s="1321" t="str">
        <f t="array" ref="AL75">IF(ISERROR(INDEX($AK$4:$AK$60,SMALL(IF($AK$4:$AK$60&lt;&gt;0,ROW($AK$4:$AK$60)-3),ROW(AL9)))),"",INDEX($AK$4:$AK$60,SMALL(IF($AK$4:$AK$60&lt;&gt;0,ROW($AK$4:$AK$60)-3),ROW(AL9))))</f>
        <v/>
      </c>
      <c r="AM75" s="1321" t="str">
        <f t="array" ref="AM75">IF( ISERROR(INDEX($A$4:$A$60,SMALL(IF($AM$4:$AM$60&lt;&gt;0,ROW($AM$4:$AM$60)-4),ROW(AM9)))),"",INDEX($A$4:$A$60,SMALL(IF($AM$4:$AM$60&lt;&gt;0,ROW($AM$5:$AM$60)-4),ROW(AM9))))</f>
        <v/>
      </c>
      <c r="AN75" s="1321" t="str">
        <f t="array" ref="AN75">IF(ISERROR(INDEX($AM$4:$AM$60,SMALL(IF($AM$4:$AM$60&lt;&gt;0,ROW($AM$4:$AM$60)-3),ROW(AN9)))),"",INDEX($AM$4:$AM$60,SMALL(IF($AM$4:$AM$60&lt;&gt;0,ROW($AM$4:$AM$60)-3),ROW(AN9))))</f>
        <v/>
      </c>
      <c r="AO75" s="1321" t="str">
        <f t="array" ref="AO75">IF( ISERROR(INDEX($A$4:$A$60,SMALL(IF($AO$4:$AO$60&lt;&gt;0,ROW($AO$4:$AO$60)-4),ROW(AO9)))),"",INDEX($A$4:$A$60,SMALL(IF($AO$4:$AO$60&lt;&gt;0,ROW($AO$5:$AO$60)-4),ROW(AO9))))</f>
        <v/>
      </c>
      <c r="AP75" s="1321" t="str">
        <f t="array" ref="AP75">IF(ISERROR(INDEX($AO$4:$AO$60,SMALL(IF($AO$4:$AO$60&lt;&gt;0,ROW($AO$4:$AO$60)-3),ROW(AP9)))),"",INDEX($AO$4:$AO$60,SMALL(IF($AO$4:$AO$60&lt;&gt;0,ROW($AO$4:$AO$60)-3),ROW(AP9))))</f>
        <v/>
      </c>
      <c r="AQ75" s="1321" t="str">
        <f t="array" ref="AQ75">IF( ISERROR(INDEX($A$4:$A$60,SMALL(IF($AQ$4:$AQ$60&lt;&gt;0,ROW($AQ$4:$AQ$60)-4),ROW(AQ9)))),"",INDEX($A$4:$A$60,SMALL(IF($AQ$4:$AQ$60&lt;&gt;0,ROW($AQ$5:$AQ$60)-4),ROW(AQ9))))</f>
        <v/>
      </c>
      <c r="AR75" s="1321" t="str">
        <f t="array" ref="AR75">IF(ISERROR(INDEX($AQ$4:$AQ$60,SMALL(IF($AQ$4:$AQ$60&lt;&gt;0,ROW($AQ$4:$AQ$60)-3),ROW(AR9)))),"",INDEX($AQ$4:$AQ$60,SMALL(IF($AQ$4:$AQ$60&lt;&gt;0,ROW($AQ$4:$AQ$60)-3),ROW(AR9))))</f>
        <v/>
      </c>
      <c r="AS75" s="1321" t="str">
        <f t="array" ref="AS75">IF( ISERROR(INDEX($A$4:$A$60,SMALL(IF($AS$4:$AS$60&lt;&gt;0,ROW($AS$4:$AS$60)-4),ROW(AS9)))),"",INDEX($A$4:$A$60,SMALL(IF($AS$4:$AS$60&lt;&gt;0,ROW($AS$5:$AS$60)-4),ROW(AS9))))</f>
        <v/>
      </c>
      <c r="AT75" s="1321" t="str">
        <f t="array" ref="AT75">IF(ISERROR(INDEX($AS$4:$AS$60,SMALL(IF($AS$4:$AS$60&lt;&gt;0,ROW($AS$4:$AS$60)-3),ROW(AT9)))),"",INDEX($AS$4:$AS$60,SMALL(IF($AS$4:$AS$60&lt;&gt;0,ROW($AS$4:$AS$60)-3),ROW(AT9))))</f>
        <v/>
      </c>
      <c r="AU75" s="1321" t="str">
        <f t="array" ref="AU75">IF( ISERROR(INDEX($A$4:$A$60,SMALL(IF($AU$4:$AU$60&lt;&gt;0,ROW($AU$4:$AU$60)-4),ROW(AU9)))),"",INDEX($A$4:$A$60,SMALL(IF($AU$4:$AU$60&lt;&gt;0,ROW($AU$5:$AU$60)-4),ROW(AU9))))</f>
        <v/>
      </c>
      <c r="AV75" s="1321" t="str">
        <f t="array" ref="AV75">IF(ISERROR(INDEX($AU$4:$AU$60,SMALL(IF($AU$4:$AU$60&lt;&gt;0,ROW($AU$4:$AU$60)-3),ROW(AV9)))),"",INDEX($AU$4:$AU$60,SMALL(IF($AU$4:$AU$60&lt;&gt;0,ROW($AU$4:$AU$60)-3),ROW(AV9))))</f>
        <v/>
      </c>
      <c r="AW75" s="1321" t="str">
        <f t="array" ref="AW75">IF( ISERROR(INDEX($A$4:$A$60,SMALL(IF($AW$4:$AW$60&lt;&gt;0,ROW($AW$4:$AW$60)-4),ROW(AW9)))),"",INDEX($A$4:$A$60,SMALL(IF($AW$4:$AW$60&lt;&gt;0,ROW($AW$5:$AW$60)-4),ROW(AW9))))</f>
        <v/>
      </c>
      <c r="AX75" s="1321" t="str">
        <f t="array" ref="AX75">IF(ISERROR(INDEX($AW$4:$AW$60,SMALL(IF($AW$4:$AW$60&lt;&gt;0,ROW($AW$4:$AW$60)-3),ROW(AX9)))),"",INDEX($AW$4:$AW$60,SMALL(IF($AW$4:$AW$60&lt;&gt;0,ROW($AW$4:$AW$60)-3),ROW(AX9))))</f>
        <v/>
      </c>
      <c r="AY75" s="1321" t="str">
        <f t="array" ref="AY75">IF( ISERROR(INDEX($A$4:$A$60,SMALL(IF($AY$4:$AY$60&lt;&gt;0,ROW($AY$4:$AY$60)-4),ROW(AY9)))),"",INDEX($A$4:$A$60,SMALL(IF($AY$4:$AY$60&lt;&gt;0,ROW($AY$5:$AY$60)-4),ROW(AY9))))</f>
        <v/>
      </c>
      <c r="AZ75" s="1321" t="str">
        <f t="array" ref="AZ75">IF(ISERROR(INDEX($AY$4:$AY$60,SMALL(IF($AY$4:$AY$60&lt;&gt;0,ROW($AY$4:$AY$60)-3),ROW(AZ9)))),"",INDEX($AY$4:$AY$60,SMALL(IF($AY$4:$AY$60&lt;&gt;0,ROW($AY$4:$AY$60)-3),ROW(AZ9))))</f>
        <v/>
      </c>
      <c r="BA75" s="1321" t="str">
        <f t="array" ref="BA75">IF( ISERROR(INDEX($A$4:$A$60,SMALL(IF($BA$4:$BA$60&lt;&gt;0,ROW($BA$4:$BA$60)-4),ROW(BA9)))),"",INDEX($A$4:$A$60,SMALL(IF($BA$4:$BA$60&lt;&gt;0,ROW($BA$5:$BA$60)-4),ROW(BA9))))</f>
        <v/>
      </c>
      <c r="BB75" s="1321" t="str">
        <f t="array" ref="BB75">IF(ISERROR(INDEX($BA$4:$BA$60,SMALL(IF($BA$4:$BA$60&lt;&gt;0,ROW($BA$4:$BA$60)-3),ROW(BB9)))),"",INDEX($BA$4:$BA$60,SMALL(IF($BA$4:$BA$60&lt;&gt;0,ROW($BA$4:$BA$60)-3),ROW(BB9))))</f>
        <v/>
      </c>
      <c r="BC75" s="1321" t="str">
        <f t="array" ref="BC75">IF( ISERROR(INDEX($A$4:$A$60,SMALL(IF($BC$4:$BC$60&lt;&gt;0,ROW($BC$4:$BC$60)-4),ROW(BC9)))),"",INDEX($A$4:$A$60,SMALL(IF($BC$4:$BC$60&lt;&gt;0,ROW($BC$5:$BC$60)-4),ROW(BC9))))</f>
        <v/>
      </c>
      <c r="BD75" s="1321" t="str">
        <f t="array" ref="BD75">IF(ISERROR(INDEX($BC$4:$BC$60,SMALL(IF($BC$4:$BC$60&lt;&gt;0,ROW($BC$4:$BC$60)-3),ROW(BD9)))),"",INDEX($BC$4:$BC$60,SMALL(IF($BC$4:$BC$60&lt;&gt;0,ROW($BC$4:$BC$60)-3),ROW(BD9))))</f>
        <v/>
      </c>
      <c r="BE75" s="1321" t="str">
        <f t="array" ref="BE75">IF( ISERROR(INDEX($A$4:$A$60,SMALL(IF($BE$4:$BE$60&lt;&gt;0,ROW($BE$4:$BE$60)-4),ROW(BE9)))),"",INDEX($A$4:$A$60,SMALL(IF($BE$4:$BE$60&lt;&gt;0,ROW($BE$5:$BE$60)-4),ROW(BE9))))</f>
        <v/>
      </c>
      <c r="BF75" s="1321" t="str">
        <f t="array" ref="BF75">IF(ISERROR(INDEX($BE$4:$BE$60,SMALL(IF($BE$4:$BE$60&lt;&gt;0,ROW($BE$4:$BE$60)-3),ROW(BF9)))),"",INDEX($BE$4:$BE$60,SMALL(IF($BE$4:$BE$60&lt;&gt;0,ROW($BE$4:$BE$60)-3),ROW(BF9))))</f>
        <v/>
      </c>
      <c r="BG75" s="1321" t="str">
        <f t="array" ref="BG75">IF( ISERROR(INDEX($A$4:$A$60,SMALL(IF($BG$4:$BG$60&lt;&gt;0,ROW($BG$4:$BG$60)-4),ROW(BG9)))),"",INDEX($A$4:$A$60,SMALL(IF($BG$4:$BG$60&lt;&gt;0,ROW($BG$5:$BG$60)-4),ROW(BG9))))</f>
        <v/>
      </c>
      <c r="BH75" s="1321" t="str">
        <f t="array" ref="BH75">IF(ISERROR(INDEX($BG$4:$BG$60,SMALL(IF($BG$4:$BG$60&lt;&gt;0,ROW($BG$4:$BG$60)-3),ROW(BH9)))),"",INDEX($BG$4:$BG$60,SMALL(IF($BG$4:$BG$60&lt;&gt;0,ROW($BG$4:$BG$60)-3),ROW(BH9))))</f>
        <v/>
      </c>
      <c r="BI75" s="1321" t="str">
        <f t="array" ref="BI75">IF( ISERROR(INDEX($A$4:$A$60,SMALL(IF($BI$4:$BI$60&lt;&gt;0,ROW($BI$4:$BI$60)-4),ROW(BI9)))),"",INDEX($A$4:$A$60,SMALL(IF($BI$4:$BI$60&lt;&gt;0,ROW($BI$5:$BI$60)-4),ROW(BI9))))</f>
        <v/>
      </c>
      <c r="BJ75" s="1321" t="str">
        <f t="array" ref="BJ75">IF(ISERROR(INDEX($BI$4:$BI$60,SMALL(IF($BI$4:$BI$60&lt;&gt;0,ROW($BI$4:$BI$60)-3),ROW(BJ9)))),"",INDEX($BI$4:$BI$60,SMALL(IF($BI$4:$BI$60&lt;&gt;0,ROW($BI$4:$BI$60)-3),ROW(BJ9))))</f>
        <v/>
      </c>
      <c r="BK75" s="1321" t="str">
        <f t="array" ref="BK75">IF( ISERROR(INDEX($A$4:$A$60,SMALL(IF($BK$4:$BK$60&lt;&gt;0,ROW($BK$4:$BK$60)-4),ROW(BK9)))),"",INDEX($A$4:$A$60,SMALL(IF($BK$4:$BK$60&lt;&gt;0,ROW($BK$5:$BK$60)-4),ROW(BK9))))</f>
        <v/>
      </c>
      <c r="BL75" s="1321" t="str">
        <f t="array" ref="BL75">IF(ISERROR(INDEX($BK$4:$BK$60,SMALL(IF($BK$4:$BK$60&lt;&gt;0,ROW($BK$4:$BK$60)-3),ROW(BL9)))),"",INDEX($BK$4:$BK$60,SMALL(IF($BK$4:$BK$60&lt;&gt;0,ROW($BK$4:$BK$60)-3),ROW(BL9))))</f>
        <v/>
      </c>
      <c r="BM75" s="1321" t="str">
        <f t="array" ref="BM75">IF( ISERROR(INDEX($A$4:$A$60,SMALL(IF($BM$4:$BM$60&lt;&gt;0,ROW($BM$4:$BM$60)-4),ROW(BM9)))),"",INDEX($A$4:$A$60,SMALL(IF($BM$4:$BM$60&lt;&gt;0,ROW($BM$5:$BM$60)-4),ROW(BM9))))</f>
        <v/>
      </c>
      <c r="BN75" s="1321" t="str">
        <f t="array" ref="BN75">IF(ISERROR(INDEX($BM$4:$BM$60,SMALL(IF($BM$4:$BM$60&lt;&gt;0,ROW($BM$4:$BM$60)-3),ROW(BN9)))),"",INDEX($BM$4:$BM$60,SMALL(IF($BM$4:$BM$60&lt;&gt;0,ROW($BM$4:$BM$60)-3),ROW(BN9))))</f>
        <v/>
      </c>
      <c r="BO75" s="1321" t="str">
        <f t="array" ref="BO75">IF( ISERROR(INDEX($A$4:$A$60,SMALL(IF($BO$4:$BO$60&lt;&gt;0,ROW($BO$4:$BO$60)-4),ROW(BO9)))),"",INDEX($A$4:$A$60,SMALL(IF($BO$4:$BO$60&lt;&gt;0,ROW($BO$5:$BO$60)-4),ROW(BO9))))</f>
        <v/>
      </c>
      <c r="BP75" s="1321" t="str">
        <f t="array" ref="BP75">IF(ISERROR(INDEX($BO$4:$BO$60,SMALL(IF($BO$4:$BO$60&lt;&gt;0,ROW($BO$4:$BO$60)-3),ROW(BP9)))),"",INDEX($BO$4:$BO$60,SMALL(IF($BO$4:$BO$60&lt;&gt;0,ROW($BO$4:$BO$60)-3),ROW(BP9))))</f>
        <v/>
      </c>
      <c r="BQ75" s="1321" t="str">
        <f t="array" ref="BQ75">IF( ISERROR(INDEX($A$4:$A$60,SMALL(IF($BQ$4:$BQ$60&lt;&gt;0,ROW($BQ$4:$BQ$60)-4),ROW(BQ9)))),"",INDEX($A$4:$A$60,SMALL(IF($BQ$4:$BQ$60&lt;&gt;0,ROW($BQ$5:$BQ$60)-4),ROW(BQ9))))</f>
        <v/>
      </c>
      <c r="BR75" s="1321" t="str">
        <f t="array" ref="BR75">IF(ISERROR(INDEX($BQ$4:$BQ$60,SMALL(IF($BQ$4:$BQ$60&lt;&gt;0,ROW($BQ$4:$BQ$60)-3),ROW(BR9)))),"",INDEX($BQ$4:$BQ$60,SMALL(IF($BQ$4:$BQ$60&lt;&gt;0,ROW($BQ$4:$BQ$60)-3),ROW(BR9))))</f>
        <v/>
      </c>
      <c r="BS75" s="1321" t="str">
        <f t="array" ref="BS75">IF( ISERROR(INDEX($A$4:$A$60,SMALL(IF($BS$4:$BS$60&lt;&gt;0,ROW($BS$4:$BS$60)-4),ROW(BS9)))),"",INDEX($A$4:$A$60,SMALL(IF($BS$4:$BS$60&lt;&gt;0,ROW($BS$5:$BS$60)-4),ROW(BS9))))</f>
        <v/>
      </c>
      <c r="BT75" s="1321" t="str">
        <f t="array" ref="BT75">IF(ISERROR(INDEX($BS$4:$BS$60,SMALL(IF($BS$4:$BS$60&lt;&gt;0,ROW($BS$4:$BS$60)-3),ROW(BT9)))),"",INDEX($BS$4:$BS$60,SMALL(IF($BS$4:$BS$60&lt;&gt;0,ROW($BS$4:$BS$60)-3),ROW(BT9))))</f>
        <v/>
      </c>
      <c r="BU75" s="1321" t="str">
        <f t="array" ref="BU75">IF( ISERROR(INDEX($A$4:$A$60,SMALL(IF($BU$4:$BU$60&lt;&gt;0,ROW($BU$4:$BU$60)-4),ROW(BU9)))),"",INDEX($A$4:$A$60,SMALL(IF($BU$4:$BU$60&lt;&gt;0,ROW($BU$5:$BU$60)-4),ROW(BU9))))</f>
        <v/>
      </c>
      <c r="BV75" s="1321" t="str">
        <f t="array" ref="BV75">IF(ISERROR(INDEX($BQ$4:$BQ$60,SMALL(IF($BU$4:$BU$60&lt;&gt;0,ROW($BU$4:$BU$60)-3),ROW(BV9)))),"",INDEX($BU$4:$BU$60,SMALL(IF($BU$4:$BU$60&lt;&gt;0,ROW($BU$4:$BU$60)-3),ROW(BV9))))</f>
        <v/>
      </c>
      <c r="BW75" s="1321" t="str">
        <f t="array" ref="BW75">IF( ISERROR(INDEX($A$4:$A$60,SMALL(IF($BW$4:$BW$60&lt;&gt;0,ROW($BW$4:$BW$60)-4),ROW(BW9)))),"",INDEX($A$4:$A$60,SMALL(IF($BW$4:$BW$60&lt;&gt;0,ROW($BW$5:$BW$60)-4),ROW(BW9))))</f>
        <v/>
      </c>
      <c r="BX75" s="1321" t="str">
        <f t="array" ref="BX75">IF(ISERROR(INDEX($BW$4:$BW$60,SMALL(IF($BW$4:$BW$60&lt;&gt;0,ROW($BW$4:$BW$60)-3),ROW(BX9)))),"",INDEX($BW$4:$BW$60,SMALL(IF($BW$4:$BW$60&lt;&gt;0,ROW($BW$4:$BW$60)-3),ROW(BX9))))</f>
        <v/>
      </c>
      <c r="BY75" s="1321" t="str">
        <f t="array" ref="BY75">IF( ISERROR(INDEX($A$4:$A$60,SMALL(IF($BY$4:$BY$60&lt;&gt;0,ROW($BY$4:$BY$60)-4),ROW(BY9)))),"",INDEX($A$4:$A$60,SMALL(IF($BY$4:$BY$60&lt;&gt;0,ROW($BY$5:$BY$60)-4),ROW(BY9))))</f>
        <v/>
      </c>
      <c r="BZ75" s="1321" t="str">
        <f t="array" ref="BZ75">IF(ISERROR(INDEX($BY$4:$BY$60,SMALL(IF($BY$4:$BY$60&lt;&gt;0,ROW($BY$4:$BY$60)-3),ROW(BZ9)))),"",INDEX($BY$4:$BY$60,SMALL(IF($BY$4:$BY$60&lt;&gt;0,ROW($BY$4:$BY$60)-3),ROW(BZ9))))</f>
        <v/>
      </c>
      <c r="CA75" s="1321" t="str">
        <f t="array" ref="CA75">IF( ISERROR(INDEX($A$4:$A$60,SMALL(IF($CA$4:$CA$60&lt;&gt;0,ROW($CA$4:$CA$60)-4),ROW(CA9)))),"",INDEX($A$4:$A$60,SMALL(IF($CA$4:$CA$60&lt;&gt;0,ROW($CA$5:$CA$60)-4),ROW(CA9))))</f>
        <v/>
      </c>
      <c r="CB75" s="1321" t="str">
        <f t="array" ref="CB75">IF(ISERROR(INDEX($CA$4:$CA$60,SMALL(IF($CA$4:$CA$60&lt;&gt;0,ROW($CA$4:$CA$60)-3),ROW(CB9)))),"",INDEX($CA$4:$CA$60,SMALL(IF($CA$4:$CA$60&lt;&gt;0,ROW($CA$4:$CA$60)-3),ROW(CB9))))</f>
        <v/>
      </c>
      <c r="CC75" s="1321" t="str">
        <f t="array" ref="CC75">IF( ISERROR(INDEX($A$4:$A$60,SMALL(IF($CC$4:$CC$60&lt;&gt;0,ROW($CC$4:$CC$60)-4),ROW(CC9)))),"",INDEX($A$4:$A$60,SMALL(IF($CC$4:$CC$60&lt;&gt;0,ROW($CC$5:$CC$60)-4),ROW(CC9))))</f>
        <v/>
      </c>
      <c r="CD75" s="1321" t="str">
        <f t="array" ref="CD75">IF(ISERROR(INDEX($CC$4:$CC$60,SMALL(IF($CC$4:$CC$60&lt;&gt;0,ROW($CC$4:$CC$60)-3),ROW(CD9)))),"",INDEX($CC$4:$CC$60,SMALL(IF($CC$4:$CC$60&lt;&gt;0,ROW($CC$4:$CC$60)-3),ROW(CD9))))</f>
        <v/>
      </c>
      <c r="CE75" s="1321" t="str">
        <f t="array" ref="CE75">IF( ISERROR(INDEX($A$4:$A$60,SMALL(IF($CE$4:$CE$60&lt;&gt;0,ROW($CE$4:$CE$60)-4),ROW(CE9)))),"",INDEX($A$4:$A$60,SMALL(IF($CE$4:$CE$60&lt;&gt;0,ROW($CE$5:$CE$60)-4),ROW(CE9))))</f>
        <v/>
      </c>
      <c r="CF75" s="1321" t="str">
        <f t="array" ref="CF75">IF(ISERROR(INDEX($CE$4:$CE$60,SMALL(IF($CE$4:$CE$60&lt;&gt;0,ROW($CE$4:$CE$60)-3),ROW(CF9)))),"",INDEX($CE$4:$CE$60,SMALL(IF($CE$4:$CE$60&lt;&gt;0,ROW($CE$4:$CE$60)-3),ROW(CF9))))</f>
        <v/>
      </c>
      <c r="CG75" s="1321" t="str">
        <f t="array" ref="CG75">IF( ISERROR(INDEX($A$4:$A$60,SMALL(IF($CG$4:$CG$60&lt;&gt;0,ROW($CG$4:$CG$60)-4),ROW(CG9)))),"",INDEX($A$4:$A$60,SMALL(IF($CG$4:$CG$60&lt;&gt;0,ROW($CG$5:$CG$60)-4),ROW(CG9))))</f>
        <v/>
      </c>
      <c r="CH75" s="1321" t="str">
        <f t="array" ref="CH75">IF(ISERROR(INDEX($CG$4:$CG$60,SMALL(IF($CG$4:$CG$60&lt;&gt;0,ROW($CG$4:$CG$60)-3),ROW(CH9)))),"",INDEX($CG$4:$CG$60,SMALL(IF($CG$4:$CG$60&lt;&gt;0,ROW($CG$4:$CG$60)-3),ROW(CH9))))</f>
        <v/>
      </c>
      <c r="CI75" s="1321" t="str">
        <f t="array" ref="CI75">IF( ISERROR(INDEX($A$4:$A$60,SMALL(IF($CA$4:$CA$60&lt;&gt;0,ROW($CA$4:$CA$60)-4),ROW(CI9)))),"",INDEX($A$4:$A$60,SMALL(IF($CA$4:$CA$60&lt;&gt;0,ROW($CA$5:$CA$60)-4),ROW(CI9))))</f>
        <v/>
      </c>
      <c r="CJ75" s="1321" t="str">
        <f t="array" ref="CJ75">IF(ISERROR(INDEX($CA$4:$CA$60,SMALL(IF($CA$4:$CA$60&lt;&gt;0,ROW($CA$4:$CA$60)-3),ROW(CJ9)))),"",INDEX($CA$4:$CA$60,SMALL(IF($CA$4:$CA$60&lt;&gt;0,ROW($CA$4:$CA$60)-3),ROW(CJ9))))</f>
        <v/>
      </c>
      <c r="CK75" s="1321" t="str">
        <f t="array" ref="CK75">IF( ISERROR(INDEX($A$4:$A$60,SMALL(IF($CK$4:$CK$60&lt;&gt;0,ROW($CK$4:$CK$60)-4),ROW(CK9)))),"",INDEX($A$4:$A$60,SMALL(IF($CK$4:$CK$60&lt;&gt;0,ROW($CK$5:$CK$60)-4),ROW(CK9))))</f>
        <v/>
      </c>
      <c r="CL75" s="1321" t="str">
        <f t="array" ref="CL75">IF(ISERROR(INDEX($CK$4:$CK$60,SMALL(IF($CK$4:$CK$60&lt;&gt;0,ROW($CK$4:$CK$60)-3),ROW(CL9)))),"",INDEX($CK$4:$CK$60,SMALL(IF($CK$4:$CK$60&lt;&gt;0,ROW($CK$4:$CK$60)-3),ROW(CL9))))</f>
        <v/>
      </c>
      <c r="CM75" s="1321" t="str">
        <f t="array" ref="CM75">IF( ISERROR(INDEX($A$4:$A$60,SMALL(IF($CM$4:$CM$60&lt;&gt;0,ROW($CM$4:$CM$60)-4),ROW(CM9)))),"",INDEX($A$4:$A$60,SMALL(IF($CM$4:$CM$60&lt;&gt;0,ROW($CM$5:$CM$60)-4),ROW(CM9))))</f>
        <v/>
      </c>
      <c r="CN75" s="1321" t="str">
        <f t="array" ref="CN75">IF(ISERROR(INDEX($CM$4:$CM$60,SMALL(IF($CM$4:$CM$60&lt;&gt;0,ROW($CM$4:$CM$60)-3),ROW(CN9)))),"",INDEX($CM$4:$CM$60,SMALL(IF($CM$4:$CM$60&lt;&gt;0,ROW($CM$4:$CM$60)-3),ROW(CN9))))</f>
        <v/>
      </c>
      <c r="CO75" s="1321" t="str">
        <f t="array" ref="CO75">IF( ISERROR(INDEX($A$4:$A$60,SMALL(IF($CO$4:$CO$60&lt;&gt;0,ROW($CO$4:$CO$60)-4),ROW(CO9)))),"",INDEX($A$4:$A$60,SMALL(IF($CO$4:$CO$60&lt;&gt;0,ROW($CO$5:$CO$60)-4),ROW(CO9))))</f>
        <v/>
      </c>
      <c r="CP75" s="1321" t="str">
        <f t="array" ref="CP75">IF(ISERROR(INDEX($CO$4:$CO$60,SMALL(IF($CO$4:$CO$60&lt;&gt;0,ROW($CO$4:$CO$60)-3),ROW(CP9)))),"",INDEX($CO$4:$CO$60,SMALL(IF($CO$4:$CO$60&lt;&gt;0,ROW($CO$4:$CO$60)-3),ROW(CP9))))</f>
        <v/>
      </c>
      <c r="CQ75" s="1321" t="str">
        <f t="array" ref="CQ75">IF( ISERROR(INDEX($A$4:$A$60,SMALL(IF($CQ$4:$CQ$60&lt;&gt;0,ROW($CQ$4:$CQ$60)-4),ROW(CQ9)))),"",INDEX($A$4:$A$60,SMALL(IF($CQ$4:$CQ$60&lt;&gt;0,ROW($CQ$5:$CQ$60)-4),ROW(CQ9))))</f>
        <v/>
      </c>
      <c r="CR75" s="1321" t="str">
        <f t="array" ref="CR75">IF(ISERROR(INDEX($CQ$4:$CQ$60,SMALL(IF($CQ$4:$CQ$60&lt;&gt;0,ROW($CQ$4:$CQ$60)-3),ROW(CR9)))),"",INDEX($CQ$4:$CQ$60,SMALL(IF($CQ$4:$CQ$60&lt;&gt;0,ROW($CQ$4:$CQ$60)-3),ROW(CR9))))</f>
        <v/>
      </c>
      <c r="CS75" s="1321" t="str">
        <f t="array" ref="CS75">IF( ISERROR(INDEX($A$4:$A$60,SMALL(IF($CS$4:$CS$60&lt;&gt;0,ROW($CS$4:$CS$60)-4),ROW(CS9)))),"",INDEX($A$4:$A$60,SMALL(IF($CS$4:$CS$60&lt;&gt;0,ROW($CS$5:$CS$60)-4),ROW(CS9))))</f>
        <v/>
      </c>
      <c r="CT75" s="1321" t="str">
        <f t="array" ref="CT75">IF(ISERROR(INDEX($CS$4:$CS$60,SMALL(IF($CS$4:$CS$60&lt;&gt;0,ROW($CS$4:$CS$60)-3),ROW(CT9)))),"",INDEX($CS$4:$CS$60,SMALL(IF($CS$4:$CS$60&lt;&gt;0,ROW($CS$4:$CS$60)-3),ROW(CT9))))</f>
        <v/>
      </c>
      <c r="CU75" s="1321" t="str">
        <f t="array" ref="CU75">IF( ISERROR(INDEX($A$4:$A$60,SMALL(IF($CU$4:$CU$60&lt;&gt;0,ROW($CU$4:$CU$60)-4),ROW(CU9)))),"",INDEX($A$4:$A$60,SMALL(IF($CU$4:$CU$60&lt;&gt;0,ROW($CU$5:$CU$60)-4),ROW(CU9))))</f>
        <v/>
      </c>
      <c r="CV75" s="1321" t="str">
        <f t="array" ref="CV75">IF(ISERROR(INDEX($CU$4:$CU$60,SMALL(IF($CU$4:$CU$60&lt;&gt;0,ROW($CU$4:$CU$60)-3),ROW(CV9)))),"",INDEX($CU$4:$CU$60,SMALL(IF($CU$4:$CU$60&lt;&gt;0,ROW($CU$4:$CU$60)-3),ROW(CV9))))</f>
        <v/>
      </c>
      <c r="CW75" s="1321" t="str">
        <f t="array" ref="CW75">IF( ISERROR(INDEX($A$4:$A$60,SMALL(IF($CW$4:$CW$60&lt;&gt;0,ROW($CW$4:$CW$60)-4),ROW(CW9)))),"",INDEX($A$4:$A$60,SMALL(IF($CW$4:$CW$60&lt;&gt;0,ROW($CW$5:$CW$60)-4),ROW(CW9))))</f>
        <v/>
      </c>
      <c r="CX75" s="1321" t="str">
        <f t="array" ref="CX75">IF(ISERROR(INDEX($CW$4:$CW$60,SMALL(IF($CW$4:$CW$60&lt;&gt;0,ROW($CW$4:$CW$60)-3),ROW(CX9)))),"",INDEX($CW$4:$CW$60,SMALL(IF($CW$4:$CW$60&lt;&gt;0,ROW($CW$4:$CW$60)-3),ROW(CX9))))</f>
        <v/>
      </c>
      <c r="CY75" s="1321" t="str">
        <f t="array" ref="CY75">IF( ISERROR(INDEX($A$4:$A$60,SMALL(IF($CY$4:$CY$60&lt;&gt;0,ROW($CY$4:$CY$60)-4),ROW(CY9)))),"",INDEX($A$4:$A$60,SMALL(IF($CY$4:$CY$60&lt;&gt;0,ROW($CY$5:$CY$60)-4),ROW(CY9))))</f>
        <v/>
      </c>
      <c r="CZ75" s="1321" t="str">
        <f t="array" ref="CZ75">IF(ISERROR(INDEX($CY$4:$CY$60,SMALL(IF($CY$4:$CY$60&lt;&gt;0,ROW($CY$4:$CY$60)-3),ROW(CZ9)))),"",INDEX($CY$4:$CY$60,SMALL(IF($CY$4:$CY$60&lt;&gt;0,ROW($CY$4:$CY$60)-3),ROW(CZ9))))</f>
        <v/>
      </c>
      <c r="DA75" s="1321"/>
      <c r="DB75" s="1321"/>
      <c r="DC75" s="1321"/>
      <c r="DD75" s="1321"/>
      <c r="DE75" s="1321"/>
      <c r="DF75" s="1321"/>
      <c r="DG75" s="1321"/>
      <c r="DH75" s="1321"/>
      <c r="DI75" s="1321"/>
      <c r="DJ75" s="1321"/>
      <c r="DK75" s="1321"/>
      <c r="DL75" s="1321"/>
      <c r="DM75" s="1321"/>
      <c r="DN75" s="1321"/>
      <c r="DO75" s="1321"/>
      <c r="DP75" s="1321"/>
      <c r="DQ75" s="1321"/>
      <c r="DR75" s="1321"/>
      <c r="DS75" s="1321"/>
      <c r="DT75" s="1321"/>
      <c r="DU75" s="1321"/>
      <c r="DV75" s="1321"/>
      <c r="DW75" s="1321"/>
      <c r="DX75" s="1321"/>
      <c r="DY75" s="1321"/>
      <c r="DZ75" s="1321"/>
      <c r="EA75" s="1321"/>
      <c r="EB75" s="1321"/>
      <c r="EC75" s="1321"/>
      <c r="ED75" s="1321"/>
      <c r="EE75" s="1321"/>
      <c r="EF75" s="1321"/>
      <c r="EG75" s="1321"/>
      <c r="EH75" s="1321"/>
      <c r="EI75" s="1321"/>
      <c r="EJ75" s="1321"/>
      <c r="EK75" s="1321"/>
      <c r="EL75" s="1321"/>
      <c r="EM75" s="1321"/>
      <c r="EN75" s="1321"/>
      <c r="EO75" s="1321"/>
      <c r="EP75" s="1321"/>
      <c r="EQ75" s="1321"/>
      <c r="ER75" s="1321"/>
      <c r="ES75" s="1321"/>
      <c r="ET75" s="1321"/>
      <c r="EU75" s="1321"/>
      <c r="EV75" s="1321"/>
      <c r="EW75" s="1321"/>
      <c r="EX75" s="1321"/>
      <c r="EY75" s="1321"/>
      <c r="EZ75" s="1321"/>
      <c r="FA75" s="1321"/>
      <c r="FB75" s="1321"/>
      <c r="FC75" s="1321"/>
      <c r="FD75" s="1321"/>
      <c r="FE75" s="1321"/>
      <c r="FF75" s="1321"/>
      <c r="FG75" s="1321"/>
      <c r="FH75" s="1321"/>
      <c r="FI75" s="1321"/>
      <c r="FJ75" s="1321"/>
      <c r="FK75" s="1321"/>
      <c r="FL75" s="1321"/>
      <c r="FM75" s="1321"/>
      <c r="FN75" s="1321"/>
      <c r="FO75" s="1321"/>
      <c r="FP75" s="1321"/>
      <c r="FQ75" s="1321"/>
      <c r="FR75" s="1321"/>
      <c r="FS75" s="1321"/>
      <c r="FT75" s="1321"/>
      <c r="FU75" s="1321"/>
      <c r="FV75" s="1321"/>
      <c r="FW75" s="1321"/>
      <c r="FX75" s="1321"/>
      <c r="FY75" s="1321"/>
      <c r="FZ75" s="1321"/>
      <c r="GA75" s="1321"/>
      <c r="GB75" s="1321"/>
      <c r="GC75" s="1321"/>
      <c r="GD75" s="1321"/>
      <c r="GE75" s="1321"/>
      <c r="GF75" s="1321"/>
      <c r="GG75" s="1321"/>
      <c r="GH75" s="1321"/>
      <c r="GI75" s="1321"/>
      <c r="GJ75" s="1321"/>
      <c r="GK75" s="1321"/>
      <c r="GL75" s="1321"/>
      <c r="GM75" s="1321"/>
      <c r="GN75" s="1321"/>
      <c r="GO75" s="1321"/>
      <c r="GP75" s="1321"/>
      <c r="GQ75" s="1321"/>
      <c r="GR75" s="1321"/>
      <c r="GS75" s="1321"/>
      <c r="GT75" s="1321"/>
      <c r="GU75" s="1321"/>
      <c r="GV75" s="1321"/>
      <c r="GW75" s="1321"/>
      <c r="GX75" s="1321"/>
      <c r="GY75" s="1321"/>
      <c r="GZ75" s="1321"/>
    </row>
    <row r="76" spans="3:208" hidden="1">
      <c r="C76" s="1321" t="str">
        <f t="array" ref="C76">IF( ISERROR(INDEX($A$4:$A$60,SMALL(IF($C$4:$C$60&lt;&gt;0,ROW($C$4:$C$60)-4),ROW(A10)))),"",INDEX($A$4:$A$60,SMALL(IF($C$4:$C$60&lt;&gt;0,ROW($C$5:$C$60)-4),ROW(A10))))</f>
        <v/>
      </c>
      <c r="D76" s="1321" t="str">
        <f t="array" ref="D76">IF(ISERROR(INDEX($C$4:$C$60,SMALL(IF($C$4:$C$60&lt;&gt;0,ROW($C$4:$C$60)-3),ROW(D10)))),"",INDEX($C$4:$C$60,SMALL(IF($C$4:$C$60&lt;&gt;0,ROW($C$4:$C$60)-3),ROW(D10))))</f>
        <v/>
      </c>
      <c r="E76" s="1321" t="str">
        <f t="array" ref="E76">IF( ISERROR(INDEX($A$4:$A$60,SMALL(IF($E$4:$E$60&lt;&gt;0,ROW($E$4:$E$60)-4),ROW(E10)))),"",INDEX($A$4:$A$60,SMALL(IF($E$4:$E$60&lt;&gt;0,ROW($E$5:$E$60)-4),ROW(E10))))</f>
        <v/>
      </c>
      <c r="F76" s="1321" t="str">
        <f t="array" ref="F76">IF(ISERROR(INDEX($E$4:$E$60,SMALL(IF($E$4:$E$60&lt;&gt;0,ROW($E$4:$E$60)-3),ROW(F10)))),"",INDEX($E$4:$E$60,SMALL(IF($E$4:$E$60&lt;&gt;0,ROW($E$4:$E$60)-3),ROW(F10))))</f>
        <v/>
      </c>
      <c r="G76" s="1321" t="str">
        <f t="array" ref="G76">IF( ISERROR(INDEX($A$4:$A$60,SMALL(IF($G$4:$G$60&lt;&gt;0,ROW($G$4:$G$60)-4),ROW(G10)))),"",INDEX($A$4:$A$60,SMALL(IF($G$4:$G$60&lt;&gt;0,ROW($G$5:$G$60)-4),ROW(G10))))</f>
        <v/>
      </c>
      <c r="H76" s="1321" t="str">
        <f t="array" ref="H76">IF(ISERROR(INDEX($E$4:$E$60,SMALL(IF($G$4:$G$60&lt;&gt;0,ROW($G$4:$G$60)-3),ROW(H10)))),"",INDEX($G$4:$G$60,SMALL(IF($G$4:$G$60&lt;&gt;0,ROW($G$4:$G$60)-3),ROW(H10))))</f>
        <v/>
      </c>
      <c r="I76" s="1321" t="str">
        <f t="array" ref="I76">IF( ISERROR(INDEX($A$4:$A$60,SMALL(IF($I$4:$I$60&lt;&gt;0,ROW($I$4:$I$60)-4),ROW(I10)))),"",INDEX($A$4:$A$60,SMALL(IF($I$4:$I$60&lt;&gt;0,ROW($I$5:$I$60)-4),ROW(I10))))</f>
        <v/>
      </c>
      <c r="J76" s="1321" t="str">
        <f t="array" ref="J76">IF(ISERROR(INDEX($I$4:$I$60,SMALL(IF($I$4:$I$60&lt;&gt;0,ROW($I$4:$I$60)-3),ROW(J10)))),"",INDEX($I$4:$I$60,SMALL(IF($I$4:$I$60&lt;&gt;0,ROW($I$4:$I$60)-3),ROW(J10))))</f>
        <v/>
      </c>
      <c r="K76" s="1321" t="str">
        <f t="array" ref="K76">IF( ISERROR(INDEX($A$4:$A$60,SMALL(IF($K$4:$K$60&lt;&gt;0,ROW($K$4:$K$60)-4),ROW(K10)))),"",INDEX($A$4:$A$60,SMALL(IF($K$4:$K$60&lt;&gt;0,ROW($K$5:$K$60)-4),ROW(K10))))</f>
        <v/>
      </c>
      <c r="L76" s="1321" t="str">
        <f t="array" ref="L76">IF(ISERROR(INDEX($K$4:$K$60,SMALL(IF($K$4:$K$60&lt;&gt;0,ROW($K$4:$K$60)-3),ROW(L10)))),"",INDEX($K$4:$K$60,SMALL(IF($K$4:$K$60&lt;&gt;0,ROW($K$4:$K$60)-3),ROW(L10))))</f>
        <v/>
      </c>
      <c r="M76" s="1321" t="str">
        <f t="array" ref="M76">IF( ISERROR(INDEX($A$4:$A$60,SMALL(IF($M$4:$M$60&lt;&gt;0,ROW($M$4:$M$60)-4),ROW(M10)))),"",INDEX($A$4:$A$60,SMALL(IF($M$4:$M$60&lt;&gt;0,ROW($M$5:$M$60)-4),ROW(M10))))</f>
        <v/>
      </c>
      <c r="N76" s="1321" t="str">
        <f t="array" ref="N76">IF(ISERROR(INDEX($M$4:$M$60,SMALL(IF($M$4:$M$60&lt;&gt;0,ROW($M$4:$M$60)-3),ROW(N10)))),"",INDEX($M$4:$M$60,SMALL(IF($M$4:$M$60&lt;&gt;0,ROW($M$4:$M$60)-3),ROW(N10))))</f>
        <v/>
      </c>
      <c r="O76" s="1321" t="str">
        <f t="array" ref="O76">IF( ISERROR(INDEX($A$4:$A$60,SMALL(IF($O$4:$O$60&lt;&gt;0,ROW($O$4:$O$60)-4),ROW(O10)))),"",INDEX($A$4:$A$60,SMALL(IF($O$4:$O$60&lt;&gt;0,ROW($O$5:$O$60)-4),ROW(O10))))</f>
        <v/>
      </c>
      <c r="P76" s="1321" t="str">
        <f t="array" ref="P76">IF(ISERROR(INDEX($O$4:$O$60,SMALL(IF($O$4:$O$60&lt;&gt;0,ROW($O$4:$O$60)-3),ROW(P10)))),"",INDEX($O$4:$O$60,SMALL(IF($O$4:$O$60&lt;&gt;0,ROW($O$4:$O$60)-3),ROW(P10))))</f>
        <v/>
      </c>
      <c r="Q76" s="1321" t="str">
        <f t="array" ref="Q76">IF( ISERROR(INDEX($A$4:$A$60,SMALL(IF($Q$4:$Q$60&lt;&gt;0,ROW($Q$4:$Q$60)-4),ROW(Q10)))),"",INDEX($A$4:$A$60,SMALL(IF($Q$4:$Q$60&lt;&gt;0,ROW($Q$5:$Q$60)-4),ROW(Q10))))</f>
        <v/>
      </c>
      <c r="R76" s="1321" t="str">
        <f t="array" ref="R76">IF(ISERROR(INDEX($Q$4:$Q$60,SMALL(IF($Q$4:$Q$60&lt;&gt;0,ROW($Q$4:$Q$60)-3),ROW(R10)))),"",INDEX($Q$4:$Q$60,SMALL(IF($Q$4:$Q$60&lt;&gt;0,ROW($Q$4:$Q$60)-3),ROW(R10))))</f>
        <v/>
      </c>
      <c r="S76" s="1321" t="str">
        <f t="array" ref="S76">IF( ISERROR(INDEX($A$4:$A$60,SMALL(IF($S$4:$S$60&lt;&gt;0,ROW($S$4:$S$60)-4),ROW(S10)))),"",INDEX($A$4:$A$60,SMALL(IF($S$4:$S$60&lt;&gt;0,ROW($S$5:$S$60)-4),ROW(S10))))</f>
        <v/>
      </c>
      <c r="T76" s="1321" t="str">
        <f t="array" ref="T76">IF(ISERROR(INDEX($S$4:$S$60,SMALL(IF($S$4:$S$60&lt;&gt;0,ROW($S$4:$S$60)-3),ROW(T10)))),"",INDEX($S$4:$S$60,SMALL(IF($S$4:$S$60&lt;&gt;0,ROW($S$4:$S$60)-3),ROW(T10))))</f>
        <v/>
      </c>
      <c r="U76" s="1321" t="str">
        <f t="array" ref="U76">IF( ISERROR(INDEX($A$4:$A$60,SMALL(IF($U$4:$U$60&lt;&gt;0,ROW($U$4:$U$60)-4),ROW(U10)))),"",INDEX($A$4:$A$60,SMALL(IF($U$4:$U$60&lt;&gt;0,ROW($U$5:$U$60)-4),ROW(U10))))</f>
        <v/>
      </c>
      <c r="V76" s="1321" t="str">
        <f t="array" ref="V76">IF(ISERROR(INDEX($U$4:$U$60,SMALL(IF($U$4:$U$60&lt;&gt;0,ROW($U$4:$U$60)-3),ROW(V10)))),"",INDEX($U$4:$U$60,SMALL(IF($U$4:$U$60&lt;&gt;0,ROW($U$4:$U$60)-3),ROW(V10))))</f>
        <v/>
      </c>
      <c r="W76" s="1321" t="str">
        <f t="array" ref="W76">IF( ISERROR(INDEX($A$4:$A$60,SMALL(IF($W$4:$W$60&lt;&gt;0,ROW($W$4:$W$60)-4),ROW(W10)))),"",INDEX($A$4:$A$60,SMALL(IF($W$4:$W$60&lt;&gt;0,ROW($W$5:$W$60)-4),ROW(W10))))</f>
        <v/>
      </c>
      <c r="X76" s="1321" t="str">
        <f t="array" ref="X76">IF(ISERROR(INDEX($W$4:$W$60,SMALL(IF($W$4:$W$60&lt;&gt;0,ROW($W$4:$W$60)-3),ROW(X10)))),"",INDEX($W$4:$W$60,SMALL(IF($W$4:$W$60&lt;&gt;0,ROW($W$4:$W$60)-3),ROW(X10))))</f>
        <v/>
      </c>
      <c r="Y76" s="1321" t="str">
        <f t="array" ref="Y76">IF( ISERROR(INDEX($A$4:$A$60,SMALL(IF($Y$4:$Y$60&lt;&gt;0,ROW($Y$4:$Y$60)-4),ROW(Y10)))),"",INDEX($A$4:$A$60,SMALL(IF($Y$4:$Y$60&lt;&gt;0,ROW($Y$5:$Y$60)-4),ROW(Y10))))</f>
        <v/>
      </c>
      <c r="Z76" s="1321" t="str">
        <f t="array" ref="Z76">IF(ISERROR(INDEX($Y$4:$Y$60,SMALL(IF($Y$4:$Y$60&lt;&gt;0,ROW($Y$4:$Y$60)-3),ROW(Z10)))),"",INDEX($Y$4:$Y$60,SMALL(IF($Y$4:$Y$60&lt;&gt;0,ROW($Y$4:$Y$60)-3),ROW(Z10))))</f>
        <v/>
      </c>
      <c r="AA76" s="1321" t="str">
        <f t="array" ref="AA76">IF( ISERROR(INDEX($A$4:$A$60,SMALL(IF($AA$4:$AA$60&lt;&gt;0,ROW($AA$4:$AA$60)-4),ROW(AA10)))),"",INDEX($A$4:$A$60,SMALL(IF($AA$4:$AA$60&lt;&gt;0,ROW($AA$5:$AA$60)-4),ROW(AA10))))</f>
        <v/>
      </c>
      <c r="AB76" s="1321" t="str">
        <f t="array" ref="AB76">IF(ISERROR(INDEX($AA$4:$AA$60,SMALL(IF($AA$4:$AA$60&lt;&gt;0,ROW($AA$4:$AA$60)-3),ROW(AB10)))),"",INDEX($AA$4:$AA$60,SMALL(IF($AA$4:$AA$60&lt;&gt;0,ROW($AA$4:$AA$60)-3),ROW(AB10))))</f>
        <v/>
      </c>
      <c r="AC76" s="1321" t="str">
        <f t="array" ref="AC76">IF( ISERROR(INDEX($A$4:$A$60,SMALL(IF($AC$4:$AC$60&lt;&gt;0,ROW($AC$4:$AC$60)-4),ROW(AC10)))),"",INDEX($A$4:$A$60,SMALL(IF($AC$4:$AC$60&lt;&gt;0,ROW($AC$5:$AC$60)-4),ROW(AC10))))</f>
        <v/>
      </c>
      <c r="AD76" s="1321" t="str">
        <f t="array" ref="AD76">IF(ISERROR(INDEX($AC$4:$AC$60,SMALL(IF($AC$4:$AC$60&lt;&gt;0,ROW($AC$4:$AC$60)-3),ROW(AD10)))),"",INDEX($AC$4:$AC$60,SMALL(IF($AC$4:$AC$60&lt;&gt;0,ROW($AC$4:$AC$60)-3),ROW(AD10))))</f>
        <v/>
      </c>
      <c r="AE76" s="1321" t="str">
        <f t="array" ref="AE76">IF( ISERROR(INDEX($A$4:$A$60,SMALL(IF($AE$4:$AE$60&lt;&gt;0,ROW($AE$4:$AE$60)-4),ROW(AE10)))),"",INDEX($A$4:$A$60,SMALL(IF($AE$4:$AE$60&lt;&gt;0,ROW($AE$5:$AE$60)-4),ROW(AE10))))</f>
        <v/>
      </c>
      <c r="AF76" s="1321" t="str">
        <f t="array" ref="AF76">IF(ISERROR(INDEX($AE$4:$AE$60,SMALL(IF($AE$4:$AE$60&lt;&gt;0,ROW($AE$4:$AE$60)-3),ROW(AF10)))),"",INDEX($AE$4:$AE$60,SMALL(IF($AE$4:$AE$60&lt;&gt;0,ROW($AE$4:$AE$60)-3),ROW(AF10))))</f>
        <v/>
      </c>
      <c r="AG76" s="1321" t="str">
        <f t="array" ref="AG76">IF( ISERROR(INDEX($A$4:$A$60,SMALL(IF($AG$4:$AG$60&lt;&gt;0,ROW($AG$4:$AG$60)-4),ROW(AG10)))),"",INDEX($A$4:$A$60,SMALL(IF($AG$4:$AG$60&lt;&gt;0,ROW($AG$5:$AG$60)-4),ROW(AG10))))</f>
        <v/>
      </c>
      <c r="AH76" s="1321" t="str">
        <f t="array" ref="AH76">IF(ISERROR(INDEX($AG$4:$AG$60,SMALL(IF($AG$4:$AG$60&lt;&gt;0,ROW($AG$4:$AG$60)-3),ROW(AH10)))),"",INDEX($AG$4:$AG$60,SMALL(IF($AG$4:$AG$60&lt;&gt;0,ROW($AG$4:$AG$60)-3),ROW(AH10))))</f>
        <v/>
      </c>
      <c r="AI76" s="1321" t="str">
        <f t="array" ref="AI76">IF( ISERROR(INDEX($A$4:$A$60,SMALL(IF($AI$4:$AI$60&lt;&gt;0,ROW($AI$4:$AI$60)-4),ROW(AI10)))),"",INDEX($A$4:$A$60,SMALL(IF($AI$4:$AI$60&lt;&gt;0,ROW($AI$5:$AI$60)-4),ROW(AI10))))</f>
        <v/>
      </c>
      <c r="AJ76" s="1321" t="str">
        <f t="array" ref="AJ76">IF(ISERROR(INDEX($E$4:$E$60,SMALL(IF($AI$4:$AI$60&lt;&gt;0,ROW($AI$4:$AI$60)-3),ROW(AJ10)))),"",INDEX($AI$4:$AI$60,SMALL(IF($AI$4:$AI$60&lt;&gt;0,ROW($AI$4:$AI$60)-3),ROW(AJ10))))</f>
        <v/>
      </c>
      <c r="AK76" s="1321" t="str">
        <f t="array" ref="AK76">IF( ISERROR(INDEX($A$4:$A$60,SMALL(IF($AK$4:$AK$60&lt;&gt;0,ROW($AK$4:$AK$60)-4),ROW(AK10)))),"",INDEX($A$4:$A$60,SMALL(IF($AK$4:$AK$60&lt;&gt;0,ROW($AK$5:$AK$60)-4),ROW(AK10))))</f>
        <v/>
      </c>
      <c r="AL76" s="1321" t="str">
        <f t="array" ref="AL76">IF(ISERROR(INDEX($AK$4:$AK$60,SMALL(IF($AK$4:$AK$60&lt;&gt;0,ROW($AK$4:$AK$60)-3),ROW(AL10)))),"",INDEX($AK$4:$AK$60,SMALL(IF($AK$4:$AK$60&lt;&gt;0,ROW($AK$4:$AK$60)-3),ROW(AL10))))</f>
        <v/>
      </c>
      <c r="AM76" s="1321" t="str">
        <f t="array" ref="AM76">IF( ISERROR(INDEX($A$4:$A$60,SMALL(IF($AM$4:$AM$60&lt;&gt;0,ROW($AM$4:$AM$60)-4),ROW(AM10)))),"",INDEX($A$4:$A$60,SMALL(IF($AM$4:$AM$60&lt;&gt;0,ROW($AM$5:$AM$60)-4),ROW(AM10))))</f>
        <v/>
      </c>
      <c r="AN76" s="1321" t="str">
        <f t="array" ref="AN76">IF(ISERROR(INDEX($AM$4:$AM$60,SMALL(IF($AM$4:$AM$60&lt;&gt;0,ROW($AM$4:$AM$60)-3),ROW(AN10)))),"",INDEX($AM$4:$AM$60,SMALL(IF($AM$4:$AM$60&lt;&gt;0,ROW($AM$4:$AM$60)-3),ROW(AN10))))</f>
        <v/>
      </c>
      <c r="AO76" s="1321" t="str">
        <f t="array" ref="AO76">IF( ISERROR(INDEX($A$4:$A$60,SMALL(IF($AO$4:$AO$60&lt;&gt;0,ROW($AO$4:$AO$60)-4),ROW(AO10)))),"",INDEX($A$4:$A$60,SMALL(IF($AO$4:$AO$60&lt;&gt;0,ROW($AO$5:$AO$60)-4),ROW(AO10))))</f>
        <v/>
      </c>
      <c r="AP76" s="1321" t="str">
        <f t="array" ref="AP76">IF(ISERROR(INDEX($AO$4:$AO$60,SMALL(IF($AO$4:$AO$60&lt;&gt;0,ROW($AO$4:$AO$60)-3),ROW(AP10)))),"",INDEX($AO$4:$AO$60,SMALL(IF($AO$4:$AO$60&lt;&gt;0,ROW($AO$4:$AO$60)-3),ROW(AP10))))</f>
        <v/>
      </c>
      <c r="AQ76" s="1321" t="str">
        <f t="array" ref="AQ76">IF( ISERROR(INDEX($A$4:$A$60,SMALL(IF($AQ$4:$AQ$60&lt;&gt;0,ROW($AQ$4:$AQ$60)-4),ROW(AQ10)))),"",INDEX($A$4:$A$60,SMALL(IF($AQ$4:$AQ$60&lt;&gt;0,ROW($AQ$5:$AQ$60)-4),ROW(AQ10))))</f>
        <v/>
      </c>
      <c r="AR76" s="1321" t="str">
        <f t="array" ref="AR76">IF(ISERROR(INDEX($AQ$4:$AQ$60,SMALL(IF($AQ$4:$AQ$60&lt;&gt;0,ROW($AQ$4:$AQ$60)-3),ROW(AR10)))),"",INDEX($AQ$4:$AQ$60,SMALL(IF($AQ$4:$AQ$60&lt;&gt;0,ROW($AQ$4:$AQ$60)-3),ROW(AR10))))</f>
        <v/>
      </c>
      <c r="AS76" s="1321" t="str">
        <f t="array" ref="AS76">IF( ISERROR(INDEX($A$4:$A$60,SMALL(IF($AS$4:$AS$60&lt;&gt;0,ROW($AS$4:$AS$60)-4),ROW(AS10)))),"",INDEX($A$4:$A$60,SMALL(IF($AS$4:$AS$60&lt;&gt;0,ROW($AS$5:$AS$60)-4),ROW(AS10))))</f>
        <v/>
      </c>
      <c r="AT76" s="1321" t="str">
        <f t="array" ref="AT76">IF(ISERROR(INDEX($AS$4:$AS$60,SMALL(IF($AS$4:$AS$60&lt;&gt;0,ROW($AS$4:$AS$60)-3),ROW(AT10)))),"",INDEX($AS$4:$AS$60,SMALL(IF($AS$4:$AS$60&lt;&gt;0,ROW($AS$4:$AS$60)-3),ROW(AT10))))</f>
        <v/>
      </c>
      <c r="AU76" s="1321" t="str">
        <f t="array" ref="AU76">IF( ISERROR(INDEX($A$4:$A$60,SMALL(IF($AU$4:$AU$60&lt;&gt;0,ROW($AU$4:$AU$60)-4),ROW(AU10)))),"",INDEX($A$4:$A$60,SMALL(IF($AU$4:$AU$60&lt;&gt;0,ROW($AU$5:$AU$60)-4),ROW(AU10))))</f>
        <v/>
      </c>
      <c r="AV76" s="1321" t="str">
        <f t="array" ref="AV76">IF(ISERROR(INDEX($AU$4:$AU$60,SMALL(IF($AU$4:$AU$60&lt;&gt;0,ROW($AU$4:$AU$60)-3),ROW(AV10)))),"",INDEX($AU$4:$AU$60,SMALL(IF($AU$4:$AU$60&lt;&gt;0,ROW($AU$4:$AU$60)-3),ROW(AV10))))</f>
        <v/>
      </c>
      <c r="AW76" s="1321" t="str">
        <f t="array" ref="AW76">IF( ISERROR(INDEX($A$4:$A$60,SMALL(IF($AW$4:$AW$60&lt;&gt;0,ROW($AW$4:$AW$60)-4),ROW(AW10)))),"",INDEX($A$4:$A$60,SMALL(IF($AW$4:$AW$60&lt;&gt;0,ROW($AW$5:$AW$60)-4),ROW(AW10))))</f>
        <v/>
      </c>
      <c r="AX76" s="1321" t="str">
        <f t="array" ref="AX76">IF(ISERROR(INDEX($AW$4:$AW$60,SMALL(IF($AW$4:$AW$60&lt;&gt;0,ROW($AW$4:$AW$60)-3),ROW(AX10)))),"",INDEX($AW$4:$AW$60,SMALL(IF($AW$4:$AW$60&lt;&gt;0,ROW($AW$4:$AW$60)-3),ROW(AX10))))</f>
        <v/>
      </c>
      <c r="AY76" s="1321" t="str">
        <f t="array" ref="AY76">IF( ISERROR(INDEX($A$4:$A$60,SMALL(IF($AY$4:$AY$60&lt;&gt;0,ROW($AY$4:$AY$60)-4),ROW(AY10)))),"",INDEX($A$4:$A$60,SMALL(IF($AY$4:$AY$60&lt;&gt;0,ROW($AY$5:$AY$60)-4),ROW(AY10))))</f>
        <v/>
      </c>
      <c r="AZ76" s="1321" t="str">
        <f t="array" ref="AZ76">IF(ISERROR(INDEX($AY$4:$AY$60,SMALL(IF($AY$4:$AY$60&lt;&gt;0,ROW($AY$4:$AY$60)-3),ROW(AZ10)))),"",INDEX($AY$4:$AY$60,SMALL(IF($AY$4:$AY$60&lt;&gt;0,ROW($AY$4:$AY$60)-3),ROW(AZ10))))</f>
        <v/>
      </c>
      <c r="BA76" s="1321" t="str">
        <f t="array" ref="BA76">IF( ISERROR(INDEX($A$4:$A$60,SMALL(IF($BA$4:$BA$60&lt;&gt;0,ROW($BA$4:$BA$60)-4),ROW(BA10)))),"",INDEX($A$4:$A$60,SMALL(IF($BA$4:$BA$60&lt;&gt;0,ROW($BA$5:$BA$60)-4),ROW(BA10))))</f>
        <v/>
      </c>
      <c r="BB76" s="1321" t="str">
        <f t="array" ref="BB76">IF(ISERROR(INDEX($BA$4:$BA$60,SMALL(IF($BA$4:$BA$60&lt;&gt;0,ROW($BA$4:$BA$60)-3),ROW(BB10)))),"",INDEX($BA$4:$BA$60,SMALL(IF($BA$4:$BA$60&lt;&gt;0,ROW($BA$4:$BA$60)-3),ROW(BB10))))</f>
        <v/>
      </c>
      <c r="BC76" s="1321" t="str">
        <f t="array" ref="BC76">IF( ISERROR(INDEX($A$4:$A$60,SMALL(IF($BC$4:$BC$60&lt;&gt;0,ROW($BC$4:$BC$60)-4),ROW(BC10)))),"",INDEX($A$4:$A$60,SMALL(IF($BC$4:$BC$60&lt;&gt;0,ROW($BC$5:$BC$60)-4),ROW(BC10))))</f>
        <v/>
      </c>
      <c r="BD76" s="1321" t="str">
        <f t="array" ref="BD76">IF(ISERROR(INDEX($BC$4:$BC$60,SMALL(IF($BC$4:$BC$60&lt;&gt;0,ROW($BC$4:$BC$60)-3),ROW(BD10)))),"",INDEX($BC$4:$BC$60,SMALL(IF($BC$4:$BC$60&lt;&gt;0,ROW($BC$4:$BC$60)-3),ROW(BD10))))</f>
        <v/>
      </c>
      <c r="BE76" s="1321" t="str">
        <f t="array" ref="BE76">IF( ISERROR(INDEX($A$4:$A$60,SMALL(IF($BE$4:$BE$60&lt;&gt;0,ROW($BE$4:$BE$60)-4),ROW(BE10)))),"",INDEX($A$4:$A$60,SMALL(IF($BE$4:$BE$60&lt;&gt;0,ROW($BE$5:$BE$60)-4),ROW(BE10))))</f>
        <v/>
      </c>
      <c r="BF76" s="1321" t="str">
        <f t="array" ref="BF76">IF(ISERROR(INDEX($BE$4:$BE$60,SMALL(IF($BE$4:$BE$60&lt;&gt;0,ROW($BE$4:$BE$60)-3),ROW(BF10)))),"",INDEX($BE$4:$BE$60,SMALL(IF($BE$4:$BE$60&lt;&gt;0,ROW($BE$4:$BE$60)-3),ROW(BF10))))</f>
        <v/>
      </c>
      <c r="BG76" s="1321" t="str">
        <f t="array" ref="BG76">IF( ISERROR(INDEX($A$4:$A$60,SMALL(IF($BG$4:$BG$60&lt;&gt;0,ROW($BG$4:$BG$60)-4),ROW(BG10)))),"",INDEX($A$4:$A$60,SMALL(IF($BG$4:$BG$60&lt;&gt;0,ROW($BG$5:$BG$60)-4),ROW(BG10))))</f>
        <v/>
      </c>
      <c r="BH76" s="1321" t="str">
        <f t="array" ref="BH76">IF(ISERROR(INDEX($BG$4:$BG$60,SMALL(IF($BG$4:$BG$60&lt;&gt;0,ROW($BG$4:$BG$60)-3),ROW(BH10)))),"",INDEX($BG$4:$BG$60,SMALL(IF($BG$4:$BG$60&lt;&gt;0,ROW($BG$4:$BG$60)-3),ROW(BH10))))</f>
        <v/>
      </c>
      <c r="BI76" s="1321" t="str">
        <f t="array" ref="BI76">IF( ISERROR(INDEX($A$4:$A$60,SMALL(IF($BI$4:$BI$60&lt;&gt;0,ROW($BI$4:$BI$60)-4),ROW(BI10)))),"",INDEX($A$4:$A$60,SMALL(IF($BI$4:$BI$60&lt;&gt;0,ROW($BI$5:$BI$60)-4),ROW(BI10))))</f>
        <v/>
      </c>
      <c r="BJ76" s="1321" t="str">
        <f t="array" ref="BJ76">IF(ISERROR(INDEX($BI$4:$BI$60,SMALL(IF($BI$4:$BI$60&lt;&gt;0,ROW($BI$4:$BI$60)-3),ROW(BJ10)))),"",INDEX($BI$4:$BI$60,SMALL(IF($BI$4:$BI$60&lt;&gt;0,ROW($BI$4:$BI$60)-3),ROW(BJ10))))</f>
        <v/>
      </c>
      <c r="BK76" s="1321" t="str">
        <f t="array" ref="BK76">IF( ISERROR(INDEX($A$4:$A$60,SMALL(IF($BK$4:$BK$60&lt;&gt;0,ROW($BK$4:$BK$60)-4),ROW(BK10)))),"",INDEX($A$4:$A$60,SMALL(IF($BK$4:$BK$60&lt;&gt;0,ROW($BK$5:$BK$60)-4),ROW(BK10))))</f>
        <v/>
      </c>
      <c r="BL76" s="1321" t="str">
        <f t="array" ref="BL76">IF(ISERROR(INDEX($BK$4:$BK$60,SMALL(IF($BK$4:$BK$60&lt;&gt;0,ROW($BK$4:$BK$60)-3),ROW(BL10)))),"",INDEX($BK$4:$BK$60,SMALL(IF($BK$4:$BK$60&lt;&gt;0,ROW($BK$4:$BK$60)-3),ROW(BL10))))</f>
        <v/>
      </c>
      <c r="BM76" s="1321" t="str">
        <f t="array" ref="BM76">IF( ISERROR(INDEX($A$4:$A$60,SMALL(IF($BM$4:$BM$60&lt;&gt;0,ROW($BM$4:$BM$60)-4),ROW(BM10)))),"",INDEX($A$4:$A$60,SMALL(IF($BM$4:$BM$60&lt;&gt;0,ROW($BM$5:$BM$60)-4),ROW(BM10))))</f>
        <v/>
      </c>
      <c r="BN76" s="1321" t="str">
        <f t="array" ref="BN76">IF(ISERROR(INDEX($BM$4:$BM$60,SMALL(IF($BM$4:$BM$60&lt;&gt;0,ROW($BM$4:$BM$60)-3),ROW(BN10)))),"",INDEX($BM$4:$BM$60,SMALL(IF($BM$4:$BM$60&lt;&gt;0,ROW($BM$4:$BM$60)-3),ROW(BN10))))</f>
        <v/>
      </c>
      <c r="BO76" s="1321" t="str">
        <f t="array" ref="BO76">IF( ISERROR(INDEX($A$4:$A$60,SMALL(IF($BO$4:$BO$60&lt;&gt;0,ROW($BO$4:$BO$60)-4),ROW(BO10)))),"",INDEX($A$4:$A$60,SMALL(IF($BO$4:$BO$60&lt;&gt;0,ROW($BO$5:$BO$60)-4),ROW(BO10))))</f>
        <v/>
      </c>
      <c r="BP76" s="1321" t="str">
        <f t="array" ref="BP76">IF(ISERROR(INDEX($BO$4:$BO$60,SMALL(IF($BO$4:$BO$60&lt;&gt;0,ROW($BO$4:$BO$60)-3),ROW(BP10)))),"",INDEX($BO$4:$BO$60,SMALL(IF($BO$4:$BO$60&lt;&gt;0,ROW($BO$4:$BO$60)-3),ROW(BP10))))</f>
        <v/>
      </c>
      <c r="BQ76" s="1321" t="str">
        <f t="array" ref="BQ76">IF( ISERROR(INDEX($A$4:$A$60,SMALL(IF($BQ$4:$BQ$60&lt;&gt;0,ROW($BQ$4:$BQ$60)-4),ROW(BQ10)))),"",INDEX($A$4:$A$60,SMALL(IF($BQ$4:$BQ$60&lt;&gt;0,ROW($BQ$5:$BQ$60)-4),ROW(BQ10))))</f>
        <v/>
      </c>
      <c r="BR76" s="1321" t="str">
        <f t="array" ref="BR76">IF(ISERROR(INDEX($BQ$4:$BQ$60,SMALL(IF($BQ$4:$BQ$60&lt;&gt;0,ROW($BQ$4:$BQ$60)-3),ROW(BR10)))),"",INDEX($BQ$4:$BQ$60,SMALL(IF($BQ$4:$BQ$60&lt;&gt;0,ROW($BQ$4:$BQ$60)-3),ROW(BR10))))</f>
        <v/>
      </c>
      <c r="BS76" s="1321" t="str">
        <f t="array" ref="BS76">IF( ISERROR(INDEX($A$4:$A$60,SMALL(IF($BS$4:$BS$60&lt;&gt;0,ROW($BS$4:$BS$60)-4),ROW(BS10)))),"",INDEX($A$4:$A$60,SMALL(IF($BS$4:$BS$60&lt;&gt;0,ROW($BS$5:$BS$60)-4),ROW(BS10))))</f>
        <v/>
      </c>
      <c r="BT76" s="1321" t="str">
        <f t="array" ref="BT76">IF(ISERROR(INDEX($BS$4:$BS$60,SMALL(IF($BS$4:$BS$60&lt;&gt;0,ROW($BS$4:$BS$60)-3),ROW(BT10)))),"",INDEX($BS$4:$BS$60,SMALL(IF($BS$4:$BS$60&lt;&gt;0,ROW($BS$4:$BS$60)-3),ROW(BT10))))</f>
        <v/>
      </c>
      <c r="BU76" s="1321" t="str">
        <f t="array" ref="BU76">IF( ISERROR(INDEX($A$4:$A$60,SMALL(IF($BU$4:$BU$60&lt;&gt;0,ROW($BU$4:$BU$60)-4),ROW(BU10)))),"",INDEX($A$4:$A$60,SMALL(IF($BU$4:$BU$60&lt;&gt;0,ROW($BU$5:$BU$60)-4),ROW(BU10))))</f>
        <v/>
      </c>
      <c r="BV76" s="1321" t="str">
        <f t="array" ref="BV76">IF(ISERROR(INDEX($BQ$4:$BQ$60,SMALL(IF($BU$4:$BU$60&lt;&gt;0,ROW($BU$4:$BU$60)-3),ROW(BV10)))),"",INDEX($BU$4:$BU$60,SMALL(IF($BU$4:$BU$60&lt;&gt;0,ROW($BU$4:$BU$60)-3),ROW(BV10))))</f>
        <v/>
      </c>
      <c r="BW76" s="1321" t="str">
        <f t="array" ref="BW76">IF( ISERROR(INDEX($A$4:$A$60,SMALL(IF($BW$4:$BW$60&lt;&gt;0,ROW($BW$4:$BW$60)-4),ROW(BW10)))),"",INDEX($A$4:$A$60,SMALL(IF($BW$4:$BW$60&lt;&gt;0,ROW($BW$5:$BW$60)-4),ROW(BW10))))</f>
        <v/>
      </c>
      <c r="BX76" s="1321" t="str">
        <f t="array" ref="BX76">IF(ISERROR(INDEX($BW$4:$BW$60,SMALL(IF($BW$4:$BW$60&lt;&gt;0,ROW($BW$4:$BW$60)-3),ROW(BX10)))),"",INDEX($BW$4:$BW$60,SMALL(IF($BW$4:$BW$60&lt;&gt;0,ROW($BW$4:$BW$60)-3),ROW(BX10))))</f>
        <v/>
      </c>
      <c r="BY76" s="1321" t="str">
        <f t="array" ref="BY76">IF( ISERROR(INDEX($A$4:$A$60,SMALL(IF($BY$4:$BY$60&lt;&gt;0,ROW($BY$4:$BY$60)-4),ROW(BY10)))),"",INDEX($A$4:$A$60,SMALL(IF($BY$4:$BY$60&lt;&gt;0,ROW($BY$5:$BY$60)-4),ROW(BY10))))</f>
        <v/>
      </c>
      <c r="BZ76" s="1321" t="str">
        <f t="array" ref="BZ76">IF(ISERROR(INDEX($BY$4:$BY$60,SMALL(IF($BY$4:$BY$60&lt;&gt;0,ROW($BY$4:$BY$60)-3),ROW(BZ10)))),"",INDEX($BY$4:$BY$60,SMALL(IF($BY$4:$BY$60&lt;&gt;0,ROW($BY$4:$BY$60)-3),ROW(BZ10))))</f>
        <v/>
      </c>
      <c r="CA76" s="1321" t="str">
        <f t="array" ref="CA76">IF( ISERROR(INDEX($A$4:$A$60,SMALL(IF($CA$4:$CA$60&lt;&gt;0,ROW($CA$4:$CA$60)-4),ROW(CA10)))),"",INDEX($A$4:$A$60,SMALL(IF($CA$4:$CA$60&lt;&gt;0,ROW($CA$5:$CA$60)-4),ROW(CA10))))</f>
        <v/>
      </c>
      <c r="CB76" s="1321" t="str">
        <f t="array" ref="CB76">IF(ISERROR(INDEX($CA$4:$CA$60,SMALL(IF($CA$4:$CA$60&lt;&gt;0,ROW($CA$4:$CA$60)-3),ROW(CB10)))),"",INDEX($CA$4:$CA$60,SMALL(IF($CA$4:$CA$60&lt;&gt;0,ROW($CA$4:$CA$60)-3),ROW(CB10))))</f>
        <v/>
      </c>
      <c r="CC76" s="1321" t="str">
        <f t="array" ref="CC76">IF( ISERROR(INDEX($A$4:$A$60,SMALL(IF($CC$4:$CC$60&lt;&gt;0,ROW($CC$4:$CC$60)-4),ROW(CC10)))),"",INDEX($A$4:$A$60,SMALL(IF($CC$4:$CC$60&lt;&gt;0,ROW($CC$5:$CC$60)-4),ROW(CC10))))</f>
        <v/>
      </c>
      <c r="CD76" s="1321" t="str">
        <f t="array" ref="CD76">IF(ISERROR(INDEX($CC$4:$CC$60,SMALL(IF($CC$4:$CC$60&lt;&gt;0,ROW($CC$4:$CC$60)-3),ROW(CD10)))),"",INDEX($CC$4:$CC$60,SMALL(IF($CC$4:$CC$60&lt;&gt;0,ROW($CC$4:$CC$60)-3),ROW(CD10))))</f>
        <v/>
      </c>
      <c r="CE76" s="1321" t="str">
        <f t="array" ref="CE76">IF( ISERROR(INDEX($A$4:$A$60,SMALL(IF($CE$4:$CE$60&lt;&gt;0,ROW($CE$4:$CE$60)-4),ROW(CE10)))),"",INDEX($A$4:$A$60,SMALL(IF($CE$4:$CE$60&lt;&gt;0,ROW($CE$5:$CE$60)-4),ROW(CE10))))</f>
        <v/>
      </c>
      <c r="CF76" s="1321" t="str">
        <f t="array" ref="CF76">IF(ISERROR(INDEX($CE$4:$CE$60,SMALL(IF($CE$4:$CE$60&lt;&gt;0,ROW($CE$4:$CE$60)-3),ROW(CF10)))),"",INDEX($CE$4:$CE$60,SMALL(IF($CE$4:$CE$60&lt;&gt;0,ROW($CE$4:$CE$60)-3),ROW(CF10))))</f>
        <v/>
      </c>
      <c r="CG76" s="1321" t="str">
        <f t="array" ref="CG76">IF( ISERROR(INDEX($A$4:$A$60,SMALL(IF($CG$4:$CG$60&lt;&gt;0,ROW($CG$4:$CG$60)-4),ROW(CG10)))),"",INDEX($A$4:$A$60,SMALL(IF($CG$4:$CG$60&lt;&gt;0,ROW($CG$5:$CG$60)-4),ROW(CG10))))</f>
        <v/>
      </c>
      <c r="CH76" s="1321" t="str">
        <f t="array" ref="CH76">IF(ISERROR(INDEX($CG$4:$CG$60,SMALL(IF($CG$4:$CG$60&lt;&gt;0,ROW($CG$4:$CG$60)-3),ROW(CH10)))),"",INDEX($CG$4:$CG$60,SMALL(IF($CG$4:$CG$60&lt;&gt;0,ROW($CG$4:$CG$60)-3),ROW(CH10))))</f>
        <v/>
      </c>
      <c r="CI76" s="1321" t="str">
        <f t="array" ref="CI76">IF( ISERROR(INDEX($A$4:$A$60,SMALL(IF($CA$4:$CA$60&lt;&gt;0,ROW($CA$4:$CA$60)-4),ROW(CI10)))),"",INDEX($A$4:$A$60,SMALL(IF($CA$4:$CA$60&lt;&gt;0,ROW($CA$5:$CA$60)-4),ROW(CI10))))</f>
        <v/>
      </c>
      <c r="CJ76" s="1321" t="str">
        <f t="array" ref="CJ76">IF(ISERROR(INDEX($CA$4:$CA$60,SMALL(IF($CA$4:$CA$60&lt;&gt;0,ROW($CA$4:$CA$60)-3),ROW(CJ10)))),"",INDEX($CA$4:$CA$60,SMALL(IF($CA$4:$CA$60&lt;&gt;0,ROW($CA$4:$CA$60)-3),ROW(CJ10))))</f>
        <v/>
      </c>
      <c r="CK76" s="1321" t="str">
        <f t="array" ref="CK76">IF( ISERROR(INDEX($A$4:$A$60,SMALL(IF($CK$4:$CK$60&lt;&gt;0,ROW($CK$4:$CK$60)-4),ROW(CK10)))),"",INDEX($A$4:$A$60,SMALL(IF($CK$4:$CK$60&lt;&gt;0,ROW($CK$5:$CK$60)-4),ROW(CK10))))</f>
        <v/>
      </c>
      <c r="CL76" s="1321" t="str">
        <f t="array" ref="CL76">IF(ISERROR(INDEX($CK$4:$CK$60,SMALL(IF($CK$4:$CK$60&lt;&gt;0,ROW($CK$4:$CK$60)-3),ROW(CL10)))),"",INDEX($CK$4:$CK$60,SMALL(IF($CK$4:$CK$60&lt;&gt;0,ROW($CK$4:$CK$60)-3),ROW(CL10))))</f>
        <v/>
      </c>
      <c r="CM76" s="1321" t="str">
        <f t="array" ref="CM76">IF( ISERROR(INDEX($A$4:$A$60,SMALL(IF($CM$4:$CM$60&lt;&gt;0,ROW($CM$4:$CM$60)-4),ROW(CM10)))),"",INDEX($A$4:$A$60,SMALL(IF($CM$4:$CM$60&lt;&gt;0,ROW($CM$5:$CM$60)-4),ROW(CM10))))</f>
        <v/>
      </c>
      <c r="CN76" s="1321" t="str">
        <f t="array" ref="CN76">IF(ISERROR(INDEX($CM$4:$CM$60,SMALL(IF($CM$4:$CM$60&lt;&gt;0,ROW($CM$4:$CM$60)-3),ROW(CN10)))),"",INDEX($CM$4:$CM$60,SMALL(IF($CM$4:$CM$60&lt;&gt;0,ROW($CM$4:$CM$60)-3),ROW(CN10))))</f>
        <v/>
      </c>
      <c r="CO76" s="1321" t="str">
        <f t="array" ref="CO76">IF( ISERROR(INDEX($A$4:$A$60,SMALL(IF($CO$4:$CO$60&lt;&gt;0,ROW($CO$4:$CO$60)-4),ROW(CO10)))),"",INDEX($A$4:$A$60,SMALL(IF($CO$4:$CO$60&lt;&gt;0,ROW($CO$5:$CO$60)-4),ROW(CO10))))</f>
        <v/>
      </c>
      <c r="CP76" s="1321" t="str">
        <f t="array" ref="CP76">IF(ISERROR(INDEX($CO$4:$CO$60,SMALL(IF($CO$4:$CO$60&lt;&gt;0,ROW($CO$4:$CO$60)-3),ROW(CP10)))),"",INDEX($CO$4:$CO$60,SMALL(IF($CO$4:$CO$60&lt;&gt;0,ROW($CO$4:$CO$60)-3),ROW(CP10))))</f>
        <v/>
      </c>
      <c r="CQ76" s="1321" t="str">
        <f t="array" ref="CQ76">IF( ISERROR(INDEX($A$4:$A$60,SMALL(IF($CQ$4:$CQ$60&lt;&gt;0,ROW($CQ$4:$CQ$60)-4),ROW(CQ10)))),"",INDEX($A$4:$A$60,SMALL(IF($CQ$4:$CQ$60&lt;&gt;0,ROW($CQ$5:$CQ$60)-4),ROW(CQ10))))</f>
        <v/>
      </c>
      <c r="CR76" s="1321" t="str">
        <f t="array" ref="CR76">IF(ISERROR(INDEX($CQ$4:$CQ$60,SMALL(IF($CQ$4:$CQ$60&lt;&gt;0,ROW($CQ$4:$CQ$60)-3),ROW(CR10)))),"",INDEX($CQ$4:$CQ$60,SMALL(IF($CQ$4:$CQ$60&lt;&gt;0,ROW($CQ$4:$CQ$60)-3),ROW(CR10))))</f>
        <v/>
      </c>
      <c r="CS76" s="1321" t="str">
        <f t="array" ref="CS76">IF( ISERROR(INDEX($A$4:$A$60,SMALL(IF($CS$4:$CS$60&lt;&gt;0,ROW($CS$4:$CS$60)-4),ROW(CS10)))),"",INDEX($A$4:$A$60,SMALL(IF($CS$4:$CS$60&lt;&gt;0,ROW($CS$5:$CS$60)-4),ROW(CS10))))</f>
        <v/>
      </c>
      <c r="CT76" s="1321" t="str">
        <f t="array" ref="CT76">IF(ISERROR(INDEX($CS$4:$CS$60,SMALL(IF($CS$4:$CS$60&lt;&gt;0,ROW($CS$4:$CS$60)-3),ROW(CT10)))),"",INDEX($CS$4:$CS$60,SMALL(IF($CS$4:$CS$60&lt;&gt;0,ROW($CS$4:$CS$60)-3),ROW(CT10))))</f>
        <v/>
      </c>
      <c r="CU76" s="1321" t="str">
        <f t="array" ref="CU76">IF( ISERROR(INDEX($A$4:$A$60,SMALL(IF($CU$4:$CU$60&lt;&gt;0,ROW($CU$4:$CU$60)-4),ROW(CU10)))),"",INDEX($A$4:$A$60,SMALL(IF($CU$4:$CU$60&lt;&gt;0,ROW($CU$5:$CU$60)-4),ROW(CU10))))</f>
        <v/>
      </c>
      <c r="CV76" s="1321" t="str">
        <f t="array" ref="CV76">IF(ISERROR(INDEX($CU$4:$CU$60,SMALL(IF($CU$4:$CU$60&lt;&gt;0,ROW($CU$4:$CU$60)-3),ROW(CV10)))),"",INDEX($CU$4:$CU$60,SMALL(IF($CU$4:$CU$60&lt;&gt;0,ROW($CU$4:$CU$60)-3),ROW(CV10))))</f>
        <v/>
      </c>
      <c r="CW76" s="1321" t="str">
        <f t="array" ref="CW76">IF( ISERROR(INDEX($A$4:$A$60,SMALL(IF($CW$4:$CW$60&lt;&gt;0,ROW($CW$4:$CW$60)-4),ROW(CW10)))),"",INDEX($A$4:$A$60,SMALL(IF($CW$4:$CW$60&lt;&gt;0,ROW($CW$5:$CW$60)-4),ROW(CW10))))</f>
        <v/>
      </c>
      <c r="CX76" s="1321" t="str">
        <f t="array" ref="CX76">IF(ISERROR(INDEX($CW$4:$CW$60,SMALL(IF($CW$4:$CW$60&lt;&gt;0,ROW($CW$4:$CW$60)-3),ROW(CX10)))),"",INDEX($CW$4:$CW$60,SMALL(IF($CW$4:$CW$60&lt;&gt;0,ROW($CW$4:$CW$60)-3),ROW(CX10))))</f>
        <v/>
      </c>
      <c r="CY76" s="1321" t="str">
        <f t="array" ref="CY76">IF( ISERROR(INDEX($A$4:$A$60,SMALL(IF($CY$4:$CY$60&lt;&gt;0,ROW($CY$4:$CY$60)-4),ROW(CY10)))),"",INDEX($A$4:$A$60,SMALL(IF($CY$4:$CY$60&lt;&gt;0,ROW($CY$5:$CY$60)-4),ROW(CY10))))</f>
        <v/>
      </c>
      <c r="CZ76" s="1321" t="str">
        <f t="array" ref="CZ76">IF(ISERROR(INDEX($CY$4:$CY$60,SMALL(IF($CY$4:$CY$60&lt;&gt;0,ROW($CY$4:$CY$60)-3),ROW(CZ10)))),"",INDEX($CY$4:$CY$60,SMALL(IF($CY$4:$CY$60&lt;&gt;0,ROW($CY$4:$CY$60)-3),ROW(CZ10))))</f>
        <v/>
      </c>
      <c r="DA76" s="1321"/>
      <c r="DB76" s="1321"/>
      <c r="DC76" s="1321"/>
      <c r="DD76" s="1321"/>
      <c r="DE76" s="1321"/>
      <c r="DF76" s="1321"/>
      <c r="DG76" s="1321"/>
      <c r="DH76" s="1321"/>
      <c r="DI76" s="1321"/>
      <c r="DJ76" s="1321"/>
      <c r="DK76" s="1321"/>
      <c r="DL76" s="1321"/>
      <c r="DM76" s="1321"/>
      <c r="DN76" s="1321"/>
      <c r="DO76" s="1321"/>
      <c r="DP76" s="1321"/>
      <c r="DQ76" s="1321"/>
      <c r="DR76" s="1321"/>
      <c r="DS76" s="1321"/>
      <c r="DT76" s="1321"/>
      <c r="DU76" s="1321"/>
      <c r="DV76" s="1321"/>
      <c r="DW76" s="1321"/>
      <c r="DX76" s="1321"/>
      <c r="DY76" s="1321"/>
      <c r="DZ76" s="1321"/>
      <c r="EA76" s="1321"/>
      <c r="EB76" s="1321"/>
      <c r="EC76" s="1321"/>
      <c r="ED76" s="1321"/>
      <c r="EE76" s="1321"/>
      <c r="EF76" s="1321"/>
      <c r="EG76" s="1321"/>
      <c r="EH76" s="1321"/>
      <c r="EI76" s="1321"/>
      <c r="EJ76" s="1321"/>
      <c r="EK76" s="1321"/>
      <c r="EL76" s="1321"/>
      <c r="EM76" s="1321"/>
      <c r="EN76" s="1321"/>
      <c r="EO76" s="1321"/>
      <c r="EP76" s="1321"/>
      <c r="EQ76" s="1321"/>
      <c r="ER76" s="1321"/>
      <c r="ES76" s="1321"/>
      <c r="ET76" s="1321"/>
      <c r="EU76" s="1321"/>
      <c r="EV76" s="1321"/>
      <c r="EW76" s="1321"/>
      <c r="EX76" s="1321"/>
      <c r="EY76" s="1321"/>
      <c r="EZ76" s="1321"/>
      <c r="FA76" s="1321"/>
      <c r="FB76" s="1321"/>
      <c r="FC76" s="1321"/>
      <c r="FD76" s="1321"/>
      <c r="FE76" s="1321"/>
      <c r="FF76" s="1321"/>
      <c r="FG76" s="1321"/>
      <c r="FH76" s="1321"/>
      <c r="FI76" s="1321"/>
      <c r="FJ76" s="1321"/>
      <c r="FK76" s="1321"/>
      <c r="FL76" s="1321"/>
      <c r="FM76" s="1321"/>
      <c r="FN76" s="1321"/>
      <c r="FO76" s="1321"/>
      <c r="FP76" s="1321"/>
      <c r="FQ76" s="1321"/>
      <c r="FR76" s="1321"/>
      <c r="FS76" s="1321"/>
      <c r="FT76" s="1321"/>
      <c r="FU76" s="1321"/>
      <c r="FV76" s="1321"/>
      <c r="FW76" s="1321"/>
      <c r="FX76" s="1321"/>
      <c r="FY76" s="1321"/>
      <c r="FZ76" s="1321"/>
      <c r="GA76" s="1321"/>
      <c r="GB76" s="1321"/>
      <c r="GC76" s="1321"/>
      <c r="GD76" s="1321"/>
      <c r="GE76" s="1321"/>
      <c r="GF76" s="1321"/>
      <c r="GG76" s="1321"/>
      <c r="GH76" s="1321"/>
      <c r="GI76" s="1321"/>
      <c r="GJ76" s="1321"/>
      <c r="GK76" s="1321"/>
      <c r="GL76" s="1321"/>
      <c r="GM76" s="1321"/>
      <c r="GN76" s="1321"/>
      <c r="GO76" s="1321"/>
      <c r="GP76" s="1321"/>
      <c r="GQ76" s="1321"/>
      <c r="GR76" s="1321"/>
      <c r="GS76" s="1321"/>
      <c r="GT76" s="1321"/>
      <c r="GU76" s="1321"/>
      <c r="GV76" s="1321"/>
      <c r="GW76" s="1321"/>
      <c r="GX76" s="1321"/>
      <c r="GY76" s="1321"/>
      <c r="GZ76" s="1321"/>
    </row>
    <row r="77" spans="3:208" hidden="1">
      <c r="C77" s="1321" t="str">
        <f t="array" ref="C77">IF( ISERROR(INDEX($A$4:$A$60,SMALL(IF($C$4:$C$60&lt;&gt;0,ROW($C$4:$C$60)-4),ROW(A11)))),"",INDEX($A$4:$A$60,SMALL(IF($C$4:$C$60&lt;&gt;0,ROW($C$5:$C$60)-4),ROW(A11))))</f>
        <v/>
      </c>
      <c r="D77" s="1321" t="str">
        <f t="array" ref="D77">IF(ISERROR(INDEX($C$4:$C$60,SMALL(IF($C$4:$C$60&lt;&gt;0,ROW($C$4:$C$60)-3),ROW(D11)))),"",INDEX($C$4:$C$60,SMALL(IF($C$4:$C$60&lt;&gt;0,ROW($C$4:$C$60)-3),ROW(D11))))</f>
        <v/>
      </c>
      <c r="E77" s="1321" t="str">
        <f t="array" ref="E77">IF( ISERROR(INDEX($A$4:$A$60,SMALL(IF($E$4:$E$60&lt;&gt;0,ROW($E$4:$E$60)-4),ROW(E11)))),"",INDEX($A$4:$A$60,SMALL(IF($E$4:$E$60&lt;&gt;0,ROW($E$5:$E$60)-4),ROW(E11))))</f>
        <v/>
      </c>
      <c r="F77" s="1321" t="str">
        <f t="array" ref="F77">IF(ISERROR(INDEX($E$4:$E$60,SMALL(IF($E$4:$E$60&lt;&gt;0,ROW($E$4:$E$60)-3),ROW(F11)))),"",INDEX($E$4:$E$60,SMALL(IF($E$4:$E$60&lt;&gt;0,ROW($E$4:$E$60)-3),ROW(F11))))</f>
        <v/>
      </c>
      <c r="G77" s="1321" t="str">
        <f t="array" ref="G77">IF( ISERROR(INDEX($A$4:$A$60,SMALL(IF($G$4:$G$60&lt;&gt;0,ROW($G$4:$G$60)-4),ROW(G11)))),"",INDEX($A$4:$A$60,SMALL(IF($G$4:$G$60&lt;&gt;0,ROW($G$5:$G$60)-4),ROW(G11))))</f>
        <v/>
      </c>
      <c r="H77" s="1321" t="str">
        <f t="array" ref="H77">IF(ISERROR(INDEX($E$4:$E$60,SMALL(IF($G$4:$G$60&lt;&gt;0,ROW($G$4:$G$60)-3),ROW(H11)))),"",INDEX($G$4:$G$60,SMALL(IF($G$4:$G$60&lt;&gt;0,ROW($G$4:$G$60)-3),ROW(H11))))</f>
        <v/>
      </c>
      <c r="I77" s="1321" t="str">
        <f t="array" ref="I77">IF( ISERROR(INDEX($A$4:$A$60,SMALL(IF($I$4:$I$60&lt;&gt;0,ROW($I$4:$I$60)-4),ROW(I11)))),"",INDEX($A$4:$A$60,SMALL(IF($I$4:$I$60&lt;&gt;0,ROW($I$5:$I$60)-4),ROW(I11))))</f>
        <v/>
      </c>
      <c r="J77" s="1321" t="str">
        <f t="array" ref="J77">IF(ISERROR(INDEX($I$4:$I$60,SMALL(IF($I$4:$I$60&lt;&gt;0,ROW($I$4:$I$60)-3),ROW(J11)))),"",INDEX($I$4:$I$60,SMALL(IF($I$4:$I$60&lt;&gt;0,ROW($I$4:$I$60)-3),ROW(J11))))</f>
        <v/>
      </c>
      <c r="K77" s="1321" t="str">
        <f t="array" ref="K77">IF( ISERROR(INDEX($A$4:$A$60,SMALL(IF($K$4:$K$60&lt;&gt;0,ROW($K$4:$K$60)-4),ROW(K11)))),"",INDEX($A$4:$A$60,SMALL(IF($K$4:$K$60&lt;&gt;0,ROW($K$5:$K$60)-4),ROW(K11))))</f>
        <v/>
      </c>
      <c r="L77" s="1321" t="str">
        <f t="array" ref="L77">IF(ISERROR(INDEX($K$4:$K$60,SMALL(IF($K$4:$K$60&lt;&gt;0,ROW($K$4:$K$60)-3),ROW(L11)))),"",INDEX($K$4:$K$60,SMALL(IF($K$4:$K$60&lt;&gt;0,ROW($K$4:$K$60)-3),ROW(L11))))</f>
        <v/>
      </c>
      <c r="M77" s="1321" t="str">
        <f t="array" ref="M77">IF( ISERROR(INDEX($A$4:$A$60,SMALL(IF($M$4:$M$60&lt;&gt;0,ROW($M$4:$M$60)-4),ROW(M11)))),"",INDEX($A$4:$A$60,SMALL(IF($M$4:$M$60&lt;&gt;0,ROW($M$5:$M$60)-4),ROW(M11))))</f>
        <v/>
      </c>
      <c r="N77" s="1321" t="str">
        <f t="array" ref="N77">IF(ISERROR(INDEX($M$4:$M$60,SMALL(IF($M$4:$M$60&lt;&gt;0,ROW($M$4:$M$60)-3),ROW(N11)))),"",INDEX($M$4:$M$60,SMALL(IF($M$4:$M$60&lt;&gt;0,ROW($M$4:$M$60)-3),ROW(N11))))</f>
        <v/>
      </c>
      <c r="O77" s="1321" t="str">
        <f t="array" ref="O77">IF( ISERROR(INDEX($A$4:$A$60,SMALL(IF($O$4:$O$60&lt;&gt;0,ROW($O$4:$O$60)-4),ROW(O11)))),"",INDEX($A$4:$A$60,SMALL(IF($O$4:$O$60&lt;&gt;0,ROW($O$5:$O$60)-4),ROW(O11))))</f>
        <v/>
      </c>
      <c r="P77" s="1321" t="str">
        <f t="array" ref="P77">IF(ISERROR(INDEX($O$4:$O$60,SMALL(IF($O$4:$O$60&lt;&gt;0,ROW($O$4:$O$60)-3),ROW(P11)))),"",INDEX($O$4:$O$60,SMALL(IF($O$4:$O$60&lt;&gt;0,ROW($O$4:$O$60)-3),ROW(P11))))</f>
        <v/>
      </c>
      <c r="Q77" s="1321" t="str">
        <f t="array" ref="Q77">IF( ISERROR(INDEX($A$4:$A$60,SMALL(IF($Q$4:$Q$60&lt;&gt;0,ROW($Q$4:$Q$60)-4),ROW(Q11)))),"",INDEX($A$4:$A$60,SMALL(IF($Q$4:$Q$60&lt;&gt;0,ROW($Q$5:$Q$60)-4),ROW(Q11))))</f>
        <v/>
      </c>
      <c r="R77" s="1321" t="str">
        <f t="array" ref="R77">IF(ISERROR(INDEX($Q$4:$Q$60,SMALL(IF($Q$4:$Q$60&lt;&gt;0,ROW($Q$4:$Q$60)-3),ROW(R11)))),"",INDEX($Q$4:$Q$60,SMALL(IF($Q$4:$Q$60&lt;&gt;0,ROW($Q$4:$Q$60)-3),ROW(R11))))</f>
        <v/>
      </c>
      <c r="S77" s="1321" t="str">
        <f t="array" ref="S77">IF( ISERROR(INDEX($A$4:$A$60,SMALL(IF($S$4:$S$60&lt;&gt;0,ROW($S$4:$S$60)-4),ROW(S11)))),"",INDEX($A$4:$A$60,SMALL(IF($S$4:$S$60&lt;&gt;0,ROW($S$5:$S$60)-4),ROW(S11))))</f>
        <v/>
      </c>
      <c r="T77" s="1321" t="str">
        <f t="array" ref="T77">IF(ISERROR(INDEX($S$4:$S$60,SMALL(IF($S$4:$S$60&lt;&gt;0,ROW($S$4:$S$60)-3),ROW(T11)))),"",INDEX($S$4:$S$60,SMALL(IF($S$4:$S$60&lt;&gt;0,ROW($S$4:$S$60)-3),ROW(T11))))</f>
        <v/>
      </c>
      <c r="U77" s="1321" t="str">
        <f t="array" ref="U77">IF( ISERROR(INDEX($A$4:$A$60,SMALL(IF($U$4:$U$60&lt;&gt;0,ROW($U$4:$U$60)-4),ROW(U11)))),"",INDEX($A$4:$A$60,SMALL(IF($U$4:$U$60&lt;&gt;0,ROW($U$5:$U$60)-4),ROW(U11))))</f>
        <v/>
      </c>
      <c r="V77" s="1321" t="str">
        <f t="array" ref="V77">IF(ISERROR(INDEX($U$4:$U$60,SMALL(IF($U$4:$U$60&lt;&gt;0,ROW($U$4:$U$60)-3),ROW(V11)))),"",INDEX($U$4:$U$60,SMALL(IF($U$4:$U$60&lt;&gt;0,ROW($U$4:$U$60)-3),ROW(V11))))</f>
        <v/>
      </c>
      <c r="W77" s="1321" t="str">
        <f t="array" ref="W77">IF( ISERROR(INDEX($A$4:$A$60,SMALL(IF($W$4:$W$60&lt;&gt;0,ROW($W$4:$W$60)-4),ROW(W11)))),"",INDEX($A$4:$A$60,SMALL(IF($W$4:$W$60&lt;&gt;0,ROW($W$5:$W$60)-4),ROW(W11))))</f>
        <v/>
      </c>
      <c r="X77" s="1321" t="str">
        <f t="array" ref="X77">IF(ISERROR(INDEX($W$4:$W$60,SMALL(IF($W$4:$W$60&lt;&gt;0,ROW($W$4:$W$60)-3),ROW(X11)))),"",INDEX($W$4:$W$60,SMALL(IF($W$4:$W$60&lt;&gt;0,ROW($W$4:$W$60)-3),ROW(X11))))</f>
        <v/>
      </c>
      <c r="Y77" s="1321" t="str">
        <f t="array" ref="Y77">IF( ISERROR(INDEX($A$4:$A$60,SMALL(IF($Y$4:$Y$60&lt;&gt;0,ROW($Y$4:$Y$60)-4),ROW(Y11)))),"",INDEX($A$4:$A$60,SMALL(IF($Y$4:$Y$60&lt;&gt;0,ROW($Y$5:$Y$60)-4),ROW(Y11))))</f>
        <v/>
      </c>
      <c r="Z77" s="1321" t="str">
        <f t="array" ref="Z77">IF(ISERROR(INDEX($Y$4:$Y$60,SMALL(IF($Y$4:$Y$60&lt;&gt;0,ROW($Y$4:$Y$60)-3),ROW(Z11)))),"",INDEX($Y$4:$Y$60,SMALL(IF($Y$4:$Y$60&lt;&gt;0,ROW($Y$4:$Y$60)-3),ROW(Z11))))</f>
        <v/>
      </c>
      <c r="AA77" s="1321" t="str">
        <f t="array" ref="AA77">IF( ISERROR(INDEX($A$4:$A$60,SMALL(IF($AA$4:$AA$60&lt;&gt;0,ROW($AA$4:$AA$60)-4),ROW(AA11)))),"",INDEX($A$4:$A$60,SMALL(IF($AA$4:$AA$60&lt;&gt;0,ROW($AA$5:$AA$60)-4),ROW(AA11))))</f>
        <v/>
      </c>
      <c r="AB77" s="1321" t="str">
        <f t="array" ref="AB77">IF(ISERROR(INDEX($AA$4:$AA$60,SMALL(IF($AA$4:$AA$60&lt;&gt;0,ROW($AA$4:$AA$60)-3),ROW(AB11)))),"",INDEX($AA$4:$AA$60,SMALL(IF($AA$4:$AA$60&lt;&gt;0,ROW($AA$4:$AA$60)-3),ROW(AB11))))</f>
        <v/>
      </c>
      <c r="AC77" s="1321" t="str">
        <f t="array" ref="AC77">IF( ISERROR(INDEX($A$4:$A$60,SMALL(IF($AC$4:$AC$60&lt;&gt;0,ROW($AC$4:$AC$60)-4),ROW(AC11)))),"",INDEX($A$4:$A$60,SMALL(IF($AC$4:$AC$60&lt;&gt;0,ROW($AC$5:$AC$60)-4),ROW(AC11))))</f>
        <v/>
      </c>
      <c r="AD77" s="1321" t="str">
        <f t="array" ref="AD77">IF(ISERROR(INDEX($AC$4:$AC$60,SMALL(IF($AC$4:$AC$60&lt;&gt;0,ROW($AC$4:$AC$60)-3),ROW(AD11)))),"",INDEX($AC$4:$AC$60,SMALL(IF($AC$4:$AC$60&lt;&gt;0,ROW($AC$4:$AC$60)-3),ROW(AD11))))</f>
        <v/>
      </c>
      <c r="AE77" s="1321" t="str">
        <f t="array" ref="AE77">IF( ISERROR(INDEX($A$4:$A$60,SMALL(IF($AE$4:$AE$60&lt;&gt;0,ROW($AE$4:$AE$60)-4),ROW(AE11)))),"",INDEX($A$4:$A$60,SMALL(IF($AE$4:$AE$60&lt;&gt;0,ROW($AE$5:$AE$60)-4),ROW(AE11))))</f>
        <v/>
      </c>
      <c r="AF77" s="1321" t="str">
        <f t="array" ref="AF77">IF(ISERROR(INDEX($AE$4:$AE$60,SMALL(IF($AE$4:$AE$60&lt;&gt;0,ROW($AE$4:$AE$60)-3),ROW(AF11)))),"",INDEX($AE$4:$AE$60,SMALL(IF($AE$4:$AE$60&lt;&gt;0,ROW($AE$4:$AE$60)-3),ROW(AF11))))</f>
        <v/>
      </c>
      <c r="AG77" s="1321" t="str">
        <f t="array" ref="AG77">IF( ISERROR(INDEX($A$4:$A$60,SMALL(IF($AG$4:$AG$60&lt;&gt;0,ROW($AG$4:$AG$60)-4),ROW(AG11)))),"",INDEX($A$4:$A$60,SMALL(IF($AG$4:$AG$60&lt;&gt;0,ROW($AG$5:$AG$60)-4),ROW(AG11))))</f>
        <v/>
      </c>
      <c r="AH77" s="1321" t="str">
        <f t="array" ref="AH77">IF(ISERROR(INDEX($AG$4:$AG$60,SMALL(IF($AG$4:$AG$60&lt;&gt;0,ROW($AG$4:$AG$60)-3),ROW(AH11)))),"",INDEX($AG$4:$AG$60,SMALL(IF($AG$4:$AG$60&lt;&gt;0,ROW($AG$4:$AG$60)-3),ROW(AH11))))</f>
        <v/>
      </c>
      <c r="AI77" s="1321" t="str">
        <f t="array" ref="AI77">IF( ISERROR(INDEX($A$4:$A$60,SMALL(IF($AI$4:$AI$60&lt;&gt;0,ROW($AI$4:$AI$60)-4),ROW(AI11)))),"",INDEX($A$4:$A$60,SMALL(IF($AI$4:$AI$60&lt;&gt;0,ROW($AI$5:$AI$60)-4),ROW(AI11))))</f>
        <v/>
      </c>
      <c r="AJ77" s="1321" t="str">
        <f t="array" ref="AJ77">IF(ISERROR(INDEX($E$4:$E$60,SMALL(IF($AI$4:$AI$60&lt;&gt;0,ROW($AI$4:$AI$60)-3),ROW(AJ11)))),"",INDEX($AI$4:$AI$60,SMALL(IF($AI$4:$AI$60&lt;&gt;0,ROW($AI$4:$AI$60)-3),ROW(AJ11))))</f>
        <v/>
      </c>
      <c r="AK77" s="1321" t="str">
        <f t="array" ref="AK77">IF( ISERROR(INDEX($A$4:$A$60,SMALL(IF($AK$4:$AK$60&lt;&gt;0,ROW($AK$4:$AK$60)-4),ROW(AK11)))),"",INDEX($A$4:$A$60,SMALL(IF($AK$4:$AK$60&lt;&gt;0,ROW($AK$5:$AK$60)-4),ROW(AK11))))</f>
        <v/>
      </c>
      <c r="AL77" s="1321" t="str">
        <f t="array" ref="AL77">IF(ISERROR(INDEX($AK$4:$AK$60,SMALL(IF($AK$4:$AK$60&lt;&gt;0,ROW($AK$4:$AK$60)-3),ROW(AL11)))),"",INDEX($AK$4:$AK$60,SMALL(IF($AK$4:$AK$60&lt;&gt;0,ROW($AK$4:$AK$60)-3),ROW(AL11))))</f>
        <v/>
      </c>
      <c r="AM77" s="1321" t="str">
        <f t="array" ref="AM77">IF( ISERROR(INDEX($A$4:$A$60,SMALL(IF($AM$4:$AM$60&lt;&gt;0,ROW($AM$4:$AM$60)-4),ROW(AM11)))),"",INDEX($A$4:$A$60,SMALL(IF($AM$4:$AM$60&lt;&gt;0,ROW($AM$5:$AM$60)-4),ROW(AM11))))</f>
        <v/>
      </c>
      <c r="AN77" s="1321" t="str">
        <f t="array" ref="AN77">IF(ISERROR(INDEX($AM$4:$AM$60,SMALL(IF($AM$4:$AM$60&lt;&gt;0,ROW($AM$4:$AM$60)-3),ROW(AN11)))),"",INDEX($AM$4:$AM$60,SMALL(IF($AM$4:$AM$60&lt;&gt;0,ROW($AM$4:$AM$60)-3),ROW(AN11))))</f>
        <v/>
      </c>
      <c r="AO77" s="1321" t="str">
        <f t="array" ref="AO77">IF( ISERROR(INDEX($A$4:$A$60,SMALL(IF($AO$4:$AO$60&lt;&gt;0,ROW($AO$4:$AO$60)-4),ROW(AO11)))),"",INDEX($A$4:$A$60,SMALL(IF($AO$4:$AO$60&lt;&gt;0,ROW($AO$5:$AO$60)-4),ROW(AO11))))</f>
        <v/>
      </c>
      <c r="AP77" s="1321" t="str">
        <f t="array" ref="AP77">IF(ISERROR(INDEX($AO$4:$AO$60,SMALL(IF($AO$4:$AO$60&lt;&gt;0,ROW($AO$4:$AO$60)-3),ROW(AP11)))),"",INDEX($AO$4:$AO$60,SMALL(IF($AO$4:$AO$60&lt;&gt;0,ROW($AO$4:$AO$60)-3),ROW(AP11))))</f>
        <v/>
      </c>
      <c r="AQ77" s="1321" t="str">
        <f t="array" ref="AQ77">IF( ISERROR(INDEX($A$4:$A$60,SMALL(IF($AQ$4:$AQ$60&lt;&gt;0,ROW($AQ$4:$AQ$60)-4),ROW(AQ11)))),"",INDEX($A$4:$A$60,SMALL(IF($AQ$4:$AQ$60&lt;&gt;0,ROW($AQ$5:$AQ$60)-4),ROW(AQ11))))</f>
        <v/>
      </c>
      <c r="AR77" s="1321" t="str">
        <f t="array" ref="AR77">IF(ISERROR(INDEX($AQ$4:$AQ$60,SMALL(IF($AQ$4:$AQ$60&lt;&gt;0,ROW($AQ$4:$AQ$60)-3),ROW(AR11)))),"",INDEX($AQ$4:$AQ$60,SMALL(IF($AQ$4:$AQ$60&lt;&gt;0,ROW($AQ$4:$AQ$60)-3),ROW(AR11))))</f>
        <v/>
      </c>
      <c r="AS77" s="1321" t="str">
        <f t="array" ref="AS77">IF( ISERROR(INDEX($A$4:$A$60,SMALL(IF($AS$4:$AS$60&lt;&gt;0,ROW($AS$4:$AS$60)-4),ROW(AS11)))),"",INDEX($A$4:$A$60,SMALL(IF($AS$4:$AS$60&lt;&gt;0,ROW($AS$5:$AS$60)-4),ROW(AS11))))</f>
        <v/>
      </c>
      <c r="AT77" s="1321" t="str">
        <f t="array" ref="AT77">IF(ISERROR(INDEX($AS$4:$AS$60,SMALL(IF($AS$4:$AS$60&lt;&gt;0,ROW($AS$4:$AS$60)-3),ROW(AT11)))),"",INDEX($AS$4:$AS$60,SMALL(IF($AS$4:$AS$60&lt;&gt;0,ROW($AS$4:$AS$60)-3),ROW(AT11))))</f>
        <v/>
      </c>
      <c r="AU77" s="1321" t="str">
        <f t="array" ref="AU77">IF( ISERROR(INDEX($A$4:$A$60,SMALL(IF($AU$4:$AU$60&lt;&gt;0,ROW($AU$4:$AU$60)-4),ROW(AU11)))),"",INDEX($A$4:$A$60,SMALL(IF($AU$4:$AU$60&lt;&gt;0,ROW($AU$5:$AU$60)-4),ROW(AU11))))</f>
        <v/>
      </c>
      <c r="AV77" s="1321" t="str">
        <f t="array" ref="AV77">IF(ISERROR(INDEX($AU$4:$AU$60,SMALL(IF($AU$4:$AU$60&lt;&gt;0,ROW($AU$4:$AU$60)-3),ROW(AV11)))),"",INDEX($AU$4:$AU$60,SMALL(IF($AU$4:$AU$60&lt;&gt;0,ROW($AU$4:$AU$60)-3),ROW(AV11))))</f>
        <v/>
      </c>
      <c r="AW77" s="1321" t="str">
        <f t="array" ref="AW77">IF( ISERROR(INDEX($A$4:$A$60,SMALL(IF($AW$4:$AW$60&lt;&gt;0,ROW($AW$4:$AW$60)-4),ROW(AW11)))),"",INDEX($A$4:$A$60,SMALL(IF($AW$4:$AW$60&lt;&gt;0,ROW($AW$5:$AW$60)-4),ROW(AW11))))</f>
        <v/>
      </c>
      <c r="AX77" s="1321" t="str">
        <f t="array" ref="AX77">IF(ISERROR(INDEX($AW$4:$AW$60,SMALL(IF($AW$4:$AW$60&lt;&gt;0,ROW($AW$4:$AW$60)-3),ROW(AX11)))),"",INDEX($AW$4:$AW$60,SMALL(IF($AW$4:$AW$60&lt;&gt;0,ROW($AW$4:$AW$60)-3),ROW(AX11))))</f>
        <v/>
      </c>
      <c r="AY77" s="1321" t="str">
        <f t="array" ref="AY77">IF( ISERROR(INDEX($A$4:$A$60,SMALL(IF($AY$4:$AY$60&lt;&gt;0,ROW($AY$4:$AY$60)-4),ROW(AY11)))),"",INDEX($A$4:$A$60,SMALL(IF($AY$4:$AY$60&lt;&gt;0,ROW($AY$5:$AY$60)-4),ROW(AY11))))</f>
        <v/>
      </c>
      <c r="AZ77" s="1321" t="str">
        <f t="array" ref="AZ77">IF(ISERROR(INDEX($AY$4:$AY$60,SMALL(IF($AY$4:$AY$60&lt;&gt;0,ROW($AY$4:$AY$60)-3),ROW(AZ11)))),"",INDEX($AY$4:$AY$60,SMALL(IF($AY$4:$AY$60&lt;&gt;0,ROW($AY$4:$AY$60)-3),ROW(AZ11))))</f>
        <v/>
      </c>
      <c r="BA77" s="1321" t="str">
        <f t="array" ref="BA77">IF( ISERROR(INDEX($A$4:$A$60,SMALL(IF($BA$4:$BA$60&lt;&gt;0,ROW($BA$4:$BA$60)-4),ROW(BA11)))),"",INDEX($A$4:$A$60,SMALL(IF($BA$4:$BA$60&lt;&gt;0,ROW($BA$5:$BA$60)-4),ROW(BA11))))</f>
        <v/>
      </c>
      <c r="BB77" s="1321" t="str">
        <f t="array" ref="BB77">IF(ISERROR(INDEX($BA$4:$BA$60,SMALL(IF($BA$4:$BA$60&lt;&gt;0,ROW($BA$4:$BA$60)-3),ROW(BB11)))),"",INDEX($BA$4:$BA$60,SMALL(IF($BA$4:$BA$60&lt;&gt;0,ROW($BA$4:$BA$60)-3),ROW(BB11))))</f>
        <v/>
      </c>
      <c r="BC77" s="1321" t="str">
        <f t="array" ref="BC77">IF( ISERROR(INDEX($A$4:$A$60,SMALL(IF($BC$4:$BC$60&lt;&gt;0,ROW($BC$4:$BC$60)-4),ROW(BC11)))),"",INDEX($A$4:$A$60,SMALL(IF($BC$4:$BC$60&lt;&gt;0,ROW($BC$5:$BC$60)-4),ROW(BC11))))</f>
        <v/>
      </c>
      <c r="BD77" s="1321" t="str">
        <f t="array" ref="BD77">IF(ISERROR(INDEX($BC$4:$BC$60,SMALL(IF($BC$4:$BC$60&lt;&gt;0,ROW($BC$4:$BC$60)-3),ROW(BD11)))),"",INDEX($BC$4:$BC$60,SMALL(IF($BC$4:$BC$60&lt;&gt;0,ROW($BC$4:$BC$60)-3),ROW(BD11))))</f>
        <v/>
      </c>
      <c r="BE77" s="1321" t="str">
        <f t="array" ref="BE77">IF( ISERROR(INDEX($A$4:$A$60,SMALL(IF($BE$4:$BE$60&lt;&gt;0,ROW($BE$4:$BE$60)-4),ROW(BE11)))),"",INDEX($A$4:$A$60,SMALL(IF($BE$4:$BE$60&lt;&gt;0,ROW($BE$5:$BE$60)-4),ROW(BE11))))</f>
        <v/>
      </c>
      <c r="BF77" s="1321" t="str">
        <f t="array" ref="BF77">IF(ISERROR(INDEX($BE$4:$BE$60,SMALL(IF($BE$4:$BE$60&lt;&gt;0,ROW($BE$4:$BE$60)-3),ROW(BF11)))),"",INDEX($BE$4:$BE$60,SMALL(IF($BE$4:$BE$60&lt;&gt;0,ROW($BE$4:$BE$60)-3),ROW(BF11))))</f>
        <v/>
      </c>
      <c r="BG77" s="1321" t="str">
        <f t="array" ref="BG77">IF( ISERROR(INDEX($A$4:$A$60,SMALL(IF($BG$4:$BG$60&lt;&gt;0,ROW($BG$4:$BG$60)-4),ROW(BG11)))),"",INDEX($A$4:$A$60,SMALL(IF($BG$4:$BG$60&lt;&gt;0,ROW($BG$5:$BG$60)-4),ROW(BG11))))</f>
        <v/>
      </c>
      <c r="BH77" s="1321" t="str">
        <f t="array" ref="BH77">IF(ISERROR(INDEX($BG$4:$BG$60,SMALL(IF($BG$4:$BG$60&lt;&gt;0,ROW($BG$4:$BG$60)-3),ROW(BH11)))),"",INDEX($BG$4:$BG$60,SMALL(IF($BG$4:$BG$60&lt;&gt;0,ROW($BG$4:$BG$60)-3),ROW(BH11))))</f>
        <v/>
      </c>
      <c r="BI77" s="1321" t="str">
        <f t="array" ref="BI77">IF( ISERROR(INDEX($A$4:$A$60,SMALL(IF($BI$4:$BI$60&lt;&gt;0,ROW($BI$4:$BI$60)-4),ROW(BI11)))),"",INDEX($A$4:$A$60,SMALL(IF($BI$4:$BI$60&lt;&gt;0,ROW($BI$5:$BI$60)-4),ROW(BI11))))</f>
        <v/>
      </c>
      <c r="BJ77" s="1321" t="str">
        <f t="array" ref="BJ77">IF(ISERROR(INDEX($BI$4:$BI$60,SMALL(IF($BI$4:$BI$60&lt;&gt;0,ROW($BI$4:$BI$60)-3),ROW(BJ11)))),"",INDEX($BI$4:$BI$60,SMALL(IF($BI$4:$BI$60&lt;&gt;0,ROW($BI$4:$BI$60)-3),ROW(BJ11))))</f>
        <v/>
      </c>
      <c r="BK77" s="1321" t="str">
        <f t="array" ref="BK77">IF( ISERROR(INDEX($A$4:$A$60,SMALL(IF($BK$4:$BK$60&lt;&gt;0,ROW($BK$4:$BK$60)-4),ROW(BK11)))),"",INDEX($A$4:$A$60,SMALL(IF($BK$4:$BK$60&lt;&gt;0,ROW($BK$5:$BK$60)-4),ROW(BK11))))</f>
        <v/>
      </c>
      <c r="BL77" s="1321" t="str">
        <f t="array" ref="BL77">IF(ISERROR(INDEX($BK$4:$BK$60,SMALL(IF($BK$4:$BK$60&lt;&gt;0,ROW($BK$4:$BK$60)-3),ROW(BL11)))),"",INDEX($BK$4:$BK$60,SMALL(IF($BK$4:$BK$60&lt;&gt;0,ROW($BK$4:$BK$60)-3),ROW(BL11))))</f>
        <v/>
      </c>
      <c r="BM77" s="1321" t="str">
        <f t="array" ref="BM77">IF( ISERROR(INDEX($A$4:$A$60,SMALL(IF($BM$4:$BM$60&lt;&gt;0,ROW($BM$4:$BM$60)-4),ROW(BM11)))),"",INDEX($A$4:$A$60,SMALL(IF($BM$4:$BM$60&lt;&gt;0,ROW($BM$5:$BM$60)-4),ROW(BM11))))</f>
        <v/>
      </c>
      <c r="BN77" s="1321" t="str">
        <f t="array" ref="BN77">IF(ISERROR(INDEX($BM$4:$BM$60,SMALL(IF($BM$4:$BM$60&lt;&gt;0,ROW($BM$4:$BM$60)-3),ROW(BN11)))),"",INDEX($BM$4:$BM$60,SMALL(IF($BM$4:$BM$60&lt;&gt;0,ROW($BM$4:$BM$60)-3),ROW(BN11))))</f>
        <v/>
      </c>
      <c r="BO77" s="1321" t="str">
        <f t="array" ref="BO77">IF( ISERROR(INDEX($A$4:$A$60,SMALL(IF($BO$4:$BO$60&lt;&gt;0,ROW($BO$4:$BO$60)-4),ROW(BO11)))),"",INDEX($A$4:$A$60,SMALL(IF($BO$4:$BO$60&lt;&gt;0,ROW($BO$5:$BO$60)-4),ROW(BO11))))</f>
        <v/>
      </c>
      <c r="BP77" s="1321" t="str">
        <f t="array" ref="BP77">IF(ISERROR(INDEX($BO$4:$BO$60,SMALL(IF($BO$4:$BO$60&lt;&gt;0,ROW($BO$4:$BO$60)-3),ROW(BP11)))),"",INDEX($BO$4:$BO$60,SMALL(IF($BO$4:$BO$60&lt;&gt;0,ROW($BO$4:$BO$60)-3),ROW(BP11))))</f>
        <v/>
      </c>
      <c r="BQ77" s="1321" t="str">
        <f t="array" ref="BQ77">IF( ISERROR(INDEX($A$4:$A$60,SMALL(IF($BQ$4:$BQ$60&lt;&gt;0,ROW($BQ$4:$BQ$60)-4),ROW(BQ11)))),"",INDEX($A$4:$A$60,SMALL(IF($BQ$4:$BQ$60&lt;&gt;0,ROW($BQ$5:$BQ$60)-4),ROW(BQ11))))</f>
        <v/>
      </c>
      <c r="BR77" s="1321" t="str">
        <f t="array" ref="BR77">IF(ISERROR(INDEX($BQ$4:$BQ$60,SMALL(IF($BQ$4:$BQ$60&lt;&gt;0,ROW($BQ$4:$BQ$60)-3),ROW(BR11)))),"",INDEX($BQ$4:$BQ$60,SMALL(IF($BQ$4:$BQ$60&lt;&gt;0,ROW($BQ$4:$BQ$60)-3),ROW(BR11))))</f>
        <v/>
      </c>
      <c r="BS77" s="1321" t="str">
        <f t="array" ref="BS77">IF( ISERROR(INDEX($A$4:$A$60,SMALL(IF($BS$4:$BS$60&lt;&gt;0,ROW($BS$4:$BS$60)-4),ROW(BS11)))),"",INDEX($A$4:$A$60,SMALL(IF($BS$4:$BS$60&lt;&gt;0,ROW($BS$5:$BS$60)-4),ROW(BS11))))</f>
        <v/>
      </c>
      <c r="BT77" s="1321" t="str">
        <f t="array" ref="BT77">IF(ISERROR(INDEX($BS$4:$BS$60,SMALL(IF($BS$4:$BS$60&lt;&gt;0,ROW($BS$4:$BS$60)-3),ROW(BT11)))),"",INDEX($BS$4:$BS$60,SMALL(IF($BS$4:$BS$60&lt;&gt;0,ROW($BS$4:$BS$60)-3),ROW(BT11))))</f>
        <v/>
      </c>
      <c r="BU77" s="1321" t="str">
        <f t="array" ref="BU77">IF( ISERROR(INDEX($A$4:$A$60,SMALL(IF($BU$4:$BU$60&lt;&gt;0,ROW($BU$4:$BU$60)-4),ROW(BU11)))),"",INDEX($A$4:$A$60,SMALL(IF($BU$4:$BU$60&lt;&gt;0,ROW($BU$5:$BU$60)-4),ROW(BU11))))</f>
        <v/>
      </c>
      <c r="BV77" s="1321" t="str">
        <f t="array" ref="BV77">IF(ISERROR(INDEX($BQ$4:$BQ$60,SMALL(IF($BU$4:$BU$60&lt;&gt;0,ROW($BU$4:$BU$60)-3),ROW(BV11)))),"",INDEX($BU$4:$BU$60,SMALL(IF($BU$4:$BU$60&lt;&gt;0,ROW($BU$4:$BU$60)-3),ROW(BV11))))</f>
        <v/>
      </c>
      <c r="BW77" s="1321" t="str">
        <f t="array" ref="BW77">IF( ISERROR(INDEX($A$4:$A$60,SMALL(IF($BW$4:$BW$60&lt;&gt;0,ROW($BW$4:$BW$60)-4),ROW(BW11)))),"",INDEX($A$4:$A$60,SMALL(IF($BW$4:$BW$60&lt;&gt;0,ROW($BW$5:$BW$60)-4),ROW(BW11))))</f>
        <v/>
      </c>
      <c r="BX77" s="1321" t="str">
        <f t="array" ref="BX77">IF(ISERROR(INDEX($BW$4:$BW$60,SMALL(IF($BW$4:$BW$60&lt;&gt;0,ROW($BW$4:$BW$60)-3),ROW(BX11)))),"",INDEX($BW$4:$BW$60,SMALL(IF($BW$4:$BW$60&lt;&gt;0,ROW($BW$4:$BW$60)-3),ROW(BX11))))</f>
        <v/>
      </c>
      <c r="BY77" s="1321" t="str">
        <f t="array" ref="BY77">IF( ISERROR(INDEX($A$4:$A$60,SMALL(IF($BY$4:$BY$60&lt;&gt;0,ROW($BY$4:$BY$60)-4),ROW(BY11)))),"",INDEX($A$4:$A$60,SMALL(IF($BY$4:$BY$60&lt;&gt;0,ROW($BY$5:$BY$60)-4),ROW(BY11))))</f>
        <v/>
      </c>
      <c r="BZ77" s="1321" t="str">
        <f t="array" ref="BZ77">IF(ISERROR(INDEX($BY$4:$BY$60,SMALL(IF($BY$4:$BY$60&lt;&gt;0,ROW($BY$4:$BY$60)-3),ROW(BZ11)))),"",INDEX($BY$4:$BY$60,SMALL(IF($BY$4:$BY$60&lt;&gt;0,ROW($BY$4:$BY$60)-3),ROW(BZ11))))</f>
        <v/>
      </c>
      <c r="CA77" s="1321" t="str">
        <f t="array" ref="CA77">IF( ISERROR(INDEX($A$4:$A$60,SMALL(IF($CA$4:$CA$60&lt;&gt;0,ROW($CA$4:$CA$60)-4),ROW(CA11)))),"",INDEX($A$4:$A$60,SMALL(IF($CA$4:$CA$60&lt;&gt;0,ROW($CA$5:$CA$60)-4),ROW(CA11))))</f>
        <v/>
      </c>
      <c r="CB77" s="1321" t="str">
        <f t="array" ref="CB77">IF(ISERROR(INDEX($CA$4:$CA$60,SMALL(IF($CA$4:$CA$60&lt;&gt;0,ROW($CA$4:$CA$60)-3),ROW(CB11)))),"",INDEX($CA$4:$CA$60,SMALL(IF($CA$4:$CA$60&lt;&gt;0,ROW($CA$4:$CA$60)-3),ROW(CB11))))</f>
        <v/>
      </c>
      <c r="CC77" s="1321" t="str">
        <f t="array" ref="CC77">IF( ISERROR(INDEX($A$4:$A$60,SMALL(IF($CC$4:$CC$60&lt;&gt;0,ROW($CC$4:$CC$60)-4),ROW(CC11)))),"",INDEX($A$4:$A$60,SMALL(IF($CC$4:$CC$60&lt;&gt;0,ROW($CC$5:$CC$60)-4),ROW(CC11))))</f>
        <v/>
      </c>
      <c r="CD77" s="1321" t="str">
        <f t="array" ref="CD77">IF(ISERROR(INDEX($CC$4:$CC$60,SMALL(IF($CC$4:$CC$60&lt;&gt;0,ROW($CC$4:$CC$60)-3),ROW(CD11)))),"",INDEX($CC$4:$CC$60,SMALL(IF($CC$4:$CC$60&lt;&gt;0,ROW($CC$4:$CC$60)-3),ROW(CD11))))</f>
        <v/>
      </c>
      <c r="CE77" s="1321" t="str">
        <f t="array" ref="CE77">IF( ISERROR(INDEX($A$4:$A$60,SMALL(IF($CE$4:$CE$60&lt;&gt;0,ROW($CE$4:$CE$60)-4),ROW(CE11)))),"",INDEX($A$4:$A$60,SMALL(IF($CE$4:$CE$60&lt;&gt;0,ROW($CE$5:$CE$60)-4),ROW(CE11))))</f>
        <v/>
      </c>
      <c r="CF77" s="1321" t="str">
        <f t="array" ref="CF77">IF(ISERROR(INDEX($CE$4:$CE$60,SMALL(IF($CE$4:$CE$60&lt;&gt;0,ROW($CE$4:$CE$60)-3),ROW(CF11)))),"",INDEX($CE$4:$CE$60,SMALL(IF($CE$4:$CE$60&lt;&gt;0,ROW($CE$4:$CE$60)-3),ROW(CF11))))</f>
        <v/>
      </c>
      <c r="CG77" s="1321" t="str">
        <f t="array" ref="CG77">IF( ISERROR(INDEX($A$4:$A$60,SMALL(IF($CG$4:$CG$60&lt;&gt;0,ROW($CG$4:$CG$60)-4),ROW(CG11)))),"",INDEX($A$4:$A$60,SMALL(IF($CG$4:$CG$60&lt;&gt;0,ROW($CG$5:$CG$60)-4),ROW(CG11))))</f>
        <v/>
      </c>
      <c r="CH77" s="1321" t="str">
        <f t="array" ref="CH77">IF(ISERROR(INDEX($CG$4:$CG$60,SMALL(IF($CG$4:$CG$60&lt;&gt;0,ROW($CG$4:$CG$60)-3),ROW(CH11)))),"",INDEX($CG$4:$CG$60,SMALL(IF($CG$4:$CG$60&lt;&gt;0,ROW($CG$4:$CG$60)-3),ROW(CH11))))</f>
        <v/>
      </c>
      <c r="CI77" s="1321" t="str">
        <f t="array" ref="CI77">IF( ISERROR(INDEX($A$4:$A$60,SMALL(IF($CA$4:$CA$60&lt;&gt;0,ROW($CA$4:$CA$60)-4),ROW(CI11)))),"",INDEX($A$4:$A$60,SMALL(IF($CA$4:$CA$60&lt;&gt;0,ROW($CA$5:$CA$60)-4),ROW(CI11))))</f>
        <v/>
      </c>
      <c r="CJ77" s="1321" t="str">
        <f t="array" ref="CJ77">IF(ISERROR(INDEX($CA$4:$CA$60,SMALL(IF($CA$4:$CA$60&lt;&gt;0,ROW($CA$4:$CA$60)-3),ROW(CJ11)))),"",INDEX($CA$4:$CA$60,SMALL(IF($CA$4:$CA$60&lt;&gt;0,ROW($CA$4:$CA$60)-3),ROW(CJ11))))</f>
        <v/>
      </c>
      <c r="CK77" s="1321" t="str">
        <f t="array" ref="CK77">IF( ISERROR(INDEX($A$4:$A$60,SMALL(IF($CK$4:$CK$60&lt;&gt;0,ROW($CK$4:$CK$60)-4),ROW(CK11)))),"",INDEX($A$4:$A$60,SMALL(IF($CK$4:$CK$60&lt;&gt;0,ROW($CK$5:$CK$60)-4),ROW(CK11))))</f>
        <v/>
      </c>
      <c r="CL77" s="1321" t="str">
        <f t="array" ref="CL77">IF(ISERROR(INDEX($CK$4:$CK$60,SMALL(IF($CK$4:$CK$60&lt;&gt;0,ROW($CK$4:$CK$60)-3),ROW(CL11)))),"",INDEX($CK$4:$CK$60,SMALL(IF($CK$4:$CK$60&lt;&gt;0,ROW($CK$4:$CK$60)-3),ROW(CL11))))</f>
        <v/>
      </c>
      <c r="CM77" s="1321" t="str">
        <f t="array" ref="CM77">IF( ISERROR(INDEX($A$4:$A$60,SMALL(IF($CM$4:$CM$60&lt;&gt;0,ROW($CM$4:$CM$60)-4),ROW(CM11)))),"",INDEX($A$4:$A$60,SMALL(IF($CM$4:$CM$60&lt;&gt;0,ROW($CM$5:$CM$60)-4),ROW(CM11))))</f>
        <v/>
      </c>
      <c r="CN77" s="1321" t="str">
        <f t="array" ref="CN77">IF(ISERROR(INDEX($CM$4:$CM$60,SMALL(IF($CM$4:$CM$60&lt;&gt;0,ROW($CM$4:$CM$60)-3),ROW(CN11)))),"",INDEX($CM$4:$CM$60,SMALL(IF($CM$4:$CM$60&lt;&gt;0,ROW($CM$4:$CM$60)-3),ROW(CN11))))</f>
        <v/>
      </c>
      <c r="CO77" s="1321" t="str">
        <f t="array" ref="CO77">IF( ISERROR(INDEX($A$4:$A$60,SMALL(IF($CO$4:$CO$60&lt;&gt;0,ROW($CO$4:$CO$60)-4),ROW(CO11)))),"",INDEX($A$4:$A$60,SMALL(IF($CO$4:$CO$60&lt;&gt;0,ROW($CO$5:$CO$60)-4),ROW(CO11))))</f>
        <v/>
      </c>
      <c r="CP77" s="1321" t="str">
        <f t="array" ref="CP77">IF(ISERROR(INDEX($CO$4:$CO$60,SMALL(IF($CO$4:$CO$60&lt;&gt;0,ROW($CO$4:$CO$60)-3),ROW(CP11)))),"",INDEX($CO$4:$CO$60,SMALL(IF($CO$4:$CO$60&lt;&gt;0,ROW($CO$4:$CO$60)-3),ROW(CP11))))</f>
        <v/>
      </c>
      <c r="CQ77" s="1321" t="str">
        <f t="array" ref="CQ77">IF( ISERROR(INDEX($A$4:$A$60,SMALL(IF($CQ$4:$CQ$60&lt;&gt;0,ROW($CQ$4:$CQ$60)-4),ROW(CQ11)))),"",INDEX($A$4:$A$60,SMALL(IF($CQ$4:$CQ$60&lt;&gt;0,ROW($CQ$5:$CQ$60)-4),ROW(CQ11))))</f>
        <v/>
      </c>
      <c r="CR77" s="1321" t="str">
        <f t="array" ref="CR77">IF(ISERROR(INDEX($CQ$4:$CQ$60,SMALL(IF($CQ$4:$CQ$60&lt;&gt;0,ROW($CQ$4:$CQ$60)-3),ROW(CR11)))),"",INDEX($CQ$4:$CQ$60,SMALL(IF($CQ$4:$CQ$60&lt;&gt;0,ROW($CQ$4:$CQ$60)-3),ROW(CR11))))</f>
        <v/>
      </c>
      <c r="CS77" s="1321" t="str">
        <f t="array" ref="CS77">IF( ISERROR(INDEX($A$4:$A$60,SMALL(IF($CS$4:$CS$60&lt;&gt;0,ROW($CS$4:$CS$60)-4),ROW(CS11)))),"",INDEX($A$4:$A$60,SMALL(IF($CS$4:$CS$60&lt;&gt;0,ROW($CS$5:$CS$60)-4),ROW(CS11))))</f>
        <v/>
      </c>
      <c r="CT77" s="1321" t="str">
        <f t="array" ref="CT77">IF(ISERROR(INDEX($CS$4:$CS$60,SMALL(IF($CS$4:$CS$60&lt;&gt;0,ROW($CS$4:$CS$60)-3),ROW(CT11)))),"",INDEX($CS$4:$CS$60,SMALL(IF($CS$4:$CS$60&lt;&gt;0,ROW($CS$4:$CS$60)-3),ROW(CT11))))</f>
        <v/>
      </c>
      <c r="CU77" s="1321" t="str">
        <f t="array" ref="CU77">IF( ISERROR(INDEX($A$4:$A$60,SMALL(IF($CU$4:$CU$60&lt;&gt;0,ROW($CU$4:$CU$60)-4),ROW(CU11)))),"",INDEX($A$4:$A$60,SMALL(IF($CU$4:$CU$60&lt;&gt;0,ROW($CU$5:$CU$60)-4),ROW(CU11))))</f>
        <v/>
      </c>
      <c r="CV77" s="1321" t="str">
        <f t="array" ref="CV77">IF(ISERROR(INDEX($CU$4:$CU$60,SMALL(IF($CU$4:$CU$60&lt;&gt;0,ROW($CU$4:$CU$60)-3),ROW(CV11)))),"",INDEX($CU$4:$CU$60,SMALL(IF($CU$4:$CU$60&lt;&gt;0,ROW($CU$4:$CU$60)-3),ROW(CV11))))</f>
        <v/>
      </c>
      <c r="CW77" s="1321" t="str">
        <f t="array" ref="CW77">IF( ISERROR(INDEX($A$4:$A$60,SMALL(IF($CW$4:$CW$60&lt;&gt;0,ROW($CW$4:$CW$60)-4),ROW(CW11)))),"",INDEX($A$4:$A$60,SMALL(IF($CW$4:$CW$60&lt;&gt;0,ROW($CW$5:$CW$60)-4),ROW(CW11))))</f>
        <v/>
      </c>
      <c r="CX77" s="1321" t="str">
        <f t="array" ref="CX77">IF(ISERROR(INDEX($CW$4:$CW$60,SMALL(IF($CW$4:$CW$60&lt;&gt;0,ROW($CW$4:$CW$60)-3),ROW(CX11)))),"",INDEX($CW$4:$CW$60,SMALL(IF($CW$4:$CW$60&lt;&gt;0,ROW($CW$4:$CW$60)-3),ROW(CX11))))</f>
        <v/>
      </c>
      <c r="CY77" s="1321" t="str">
        <f t="array" ref="CY77">IF( ISERROR(INDEX($A$4:$A$60,SMALL(IF($CY$4:$CY$60&lt;&gt;0,ROW($CY$4:$CY$60)-4),ROW(CY11)))),"",INDEX($A$4:$A$60,SMALL(IF($CY$4:$CY$60&lt;&gt;0,ROW($CY$5:$CY$60)-4),ROW(CY11))))</f>
        <v/>
      </c>
      <c r="CZ77" s="1321" t="str">
        <f t="array" ref="CZ77">IF(ISERROR(INDEX($CY$4:$CY$60,SMALL(IF($CY$4:$CY$60&lt;&gt;0,ROW($CY$4:$CY$60)-3),ROW(CZ11)))),"",INDEX($CY$4:$CY$60,SMALL(IF($CY$4:$CY$60&lt;&gt;0,ROW($CY$4:$CY$60)-3),ROW(CZ11))))</f>
        <v/>
      </c>
      <c r="DA77" s="1321"/>
      <c r="DB77" s="1321"/>
      <c r="DC77" s="1321"/>
      <c r="DD77" s="1321"/>
      <c r="DE77" s="1321"/>
      <c r="DF77" s="1321"/>
      <c r="DG77" s="1321"/>
      <c r="DH77" s="1321"/>
      <c r="DI77" s="1321"/>
      <c r="DJ77" s="1321"/>
      <c r="DK77" s="1321"/>
      <c r="DL77" s="1321"/>
      <c r="DM77" s="1321"/>
      <c r="DN77" s="1321"/>
      <c r="DO77" s="1321"/>
      <c r="DP77" s="1321"/>
      <c r="DQ77" s="1321"/>
      <c r="DR77" s="1321"/>
      <c r="DS77" s="1321"/>
      <c r="DT77" s="1321"/>
      <c r="DU77" s="1321"/>
      <c r="DV77" s="1321"/>
      <c r="DW77" s="1321"/>
      <c r="DX77" s="1321"/>
      <c r="DY77" s="1321"/>
      <c r="DZ77" s="1321"/>
      <c r="EA77" s="1321"/>
      <c r="EB77" s="1321"/>
      <c r="EC77" s="1321"/>
      <c r="ED77" s="1321"/>
      <c r="EE77" s="1321"/>
      <c r="EF77" s="1321"/>
      <c r="EG77" s="1321"/>
      <c r="EH77" s="1321"/>
      <c r="EI77" s="1321"/>
      <c r="EJ77" s="1321"/>
      <c r="EK77" s="1321"/>
      <c r="EL77" s="1321"/>
      <c r="EM77" s="1321"/>
      <c r="EN77" s="1321"/>
      <c r="EO77" s="1321"/>
      <c r="EP77" s="1321"/>
      <c r="EQ77" s="1321"/>
      <c r="ER77" s="1321"/>
      <c r="ES77" s="1321"/>
      <c r="ET77" s="1321"/>
      <c r="EU77" s="1321"/>
      <c r="EV77" s="1321"/>
      <c r="EW77" s="1321"/>
      <c r="EX77" s="1321"/>
      <c r="EY77" s="1321"/>
      <c r="EZ77" s="1321"/>
      <c r="FA77" s="1321"/>
      <c r="FB77" s="1321"/>
      <c r="FC77" s="1321"/>
      <c r="FD77" s="1321"/>
      <c r="FE77" s="1321"/>
      <c r="FF77" s="1321"/>
      <c r="FG77" s="1321"/>
      <c r="FH77" s="1321"/>
      <c r="FI77" s="1321"/>
      <c r="FJ77" s="1321"/>
      <c r="FK77" s="1321"/>
      <c r="FL77" s="1321"/>
      <c r="FM77" s="1321"/>
      <c r="FN77" s="1321"/>
      <c r="FO77" s="1321"/>
      <c r="FP77" s="1321"/>
      <c r="FQ77" s="1321"/>
      <c r="FR77" s="1321"/>
      <c r="FS77" s="1321"/>
      <c r="FT77" s="1321"/>
      <c r="FU77" s="1321"/>
      <c r="FV77" s="1321"/>
      <c r="FW77" s="1321"/>
      <c r="FX77" s="1321"/>
      <c r="FY77" s="1321"/>
      <c r="FZ77" s="1321"/>
      <c r="GA77" s="1321"/>
      <c r="GB77" s="1321"/>
      <c r="GC77" s="1321"/>
      <c r="GD77" s="1321"/>
      <c r="GE77" s="1321"/>
      <c r="GF77" s="1321"/>
      <c r="GG77" s="1321"/>
      <c r="GH77" s="1321"/>
      <c r="GI77" s="1321"/>
      <c r="GJ77" s="1321"/>
      <c r="GK77" s="1321"/>
      <c r="GL77" s="1321"/>
      <c r="GM77" s="1321"/>
      <c r="GN77" s="1321"/>
      <c r="GO77" s="1321"/>
      <c r="GP77" s="1321"/>
      <c r="GQ77" s="1321"/>
      <c r="GR77" s="1321"/>
      <c r="GS77" s="1321"/>
      <c r="GT77" s="1321"/>
      <c r="GU77" s="1321"/>
      <c r="GV77" s="1321"/>
      <c r="GW77" s="1321"/>
      <c r="GX77" s="1321"/>
      <c r="GY77" s="1321"/>
      <c r="GZ77" s="1321"/>
    </row>
    <row r="78" spans="3:208" hidden="1">
      <c r="C78" s="1321" t="str">
        <f t="array" ref="C78">IF( ISERROR(INDEX($A$4:$A$60,SMALL(IF($C$4:$C$60&lt;&gt;0,ROW($C$4:$C$60)-4),ROW(A12)))),"",INDEX($A$4:$A$60,SMALL(IF($C$4:$C$60&lt;&gt;0,ROW($C$5:$C$60)-4),ROW(A12))))</f>
        <v/>
      </c>
      <c r="D78" s="1321" t="str">
        <f t="array" ref="D78">IF(ISERROR(INDEX($C$4:$C$60,SMALL(IF($C$4:$C$60&lt;&gt;0,ROW($C$4:$C$60)-3),ROW(D12)))),"",INDEX($C$4:$C$60,SMALL(IF($C$4:$C$60&lt;&gt;0,ROW($C$4:$C$60)-3),ROW(D12))))</f>
        <v/>
      </c>
      <c r="E78" s="1321" t="str">
        <f t="array" ref="E78">IF( ISERROR(INDEX($A$4:$A$60,SMALL(IF($E$4:$E$60&lt;&gt;0,ROW($E$4:$E$60)-4),ROW(E12)))),"",INDEX($A$4:$A$60,SMALL(IF($E$4:$E$60&lt;&gt;0,ROW($E$5:$E$60)-4),ROW(E12))))</f>
        <v/>
      </c>
      <c r="F78" s="1321" t="str">
        <f t="array" ref="F78">IF(ISERROR(INDEX($E$4:$E$60,SMALL(IF($E$4:$E$60&lt;&gt;0,ROW($E$4:$E$60)-3),ROW(F12)))),"",INDEX($E$4:$E$60,SMALL(IF($E$4:$E$60&lt;&gt;0,ROW($E$4:$E$60)-3),ROW(F12))))</f>
        <v/>
      </c>
      <c r="G78" s="1321" t="str">
        <f t="array" ref="G78">IF( ISERROR(INDEX($A$4:$A$60,SMALL(IF($G$4:$G$60&lt;&gt;0,ROW($G$4:$G$60)-4),ROW(G12)))),"",INDEX($A$4:$A$60,SMALL(IF($G$4:$G$60&lt;&gt;0,ROW($G$5:$G$60)-4),ROW(G12))))</f>
        <v/>
      </c>
      <c r="H78" s="1321" t="str">
        <f t="array" ref="H78">IF(ISERROR(INDEX($E$4:$E$60,SMALL(IF($G$4:$G$60&lt;&gt;0,ROW($G$4:$G$60)-3),ROW(H12)))),"",INDEX($G$4:$G$60,SMALL(IF($G$4:$G$60&lt;&gt;0,ROW($G$4:$G$60)-3),ROW(H12))))</f>
        <v/>
      </c>
      <c r="I78" s="1321" t="str">
        <f t="array" ref="I78">IF( ISERROR(INDEX($A$4:$A$60,SMALL(IF($I$4:$I$60&lt;&gt;0,ROW($I$4:$I$60)-4),ROW(I12)))),"",INDEX($A$4:$A$60,SMALL(IF($I$4:$I$60&lt;&gt;0,ROW($I$5:$I$60)-4),ROW(I12))))</f>
        <v/>
      </c>
      <c r="J78" s="1321" t="str">
        <f t="array" ref="J78">IF(ISERROR(INDEX($I$4:$I$60,SMALL(IF($I$4:$I$60&lt;&gt;0,ROW($I$4:$I$60)-3),ROW(J12)))),"",INDEX($I$4:$I$60,SMALL(IF($I$4:$I$60&lt;&gt;0,ROW($I$4:$I$60)-3),ROW(J12))))</f>
        <v/>
      </c>
      <c r="K78" s="1321" t="str">
        <f t="array" ref="K78">IF( ISERROR(INDEX($A$4:$A$60,SMALL(IF($K$4:$K$60&lt;&gt;0,ROW($K$4:$K$60)-4),ROW(K12)))),"",INDEX($A$4:$A$60,SMALL(IF($K$4:$K$60&lt;&gt;0,ROW($K$5:$K$60)-4),ROW(K12))))</f>
        <v/>
      </c>
      <c r="L78" s="1321" t="str">
        <f t="array" ref="L78">IF(ISERROR(INDEX($K$4:$K$60,SMALL(IF($K$4:$K$60&lt;&gt;0,ROW($K$4:$K$60)-3),ROW(L12)))),"",INDEX($K$4:$K$60,SMALL(IF($K$4:$K$60&lt;&gt;0,ROW($K$4:$K$60)-3),ROW(L12))))</f>
        <v/>
      </c>
      <c r="M78" s="1321" t="str">
        <f t="array" ref="M78">IF( ISERROR(INDEX($A$4:$A$60,SMALL(IF($M$4:$M$60&lt;&gt;0,ROW($M$4:$M$60)-4),ROW(M12)))),"",INDEX($A$4:$A$60,SMALL(IF($M$4:$M$60&lt;&gt;0,ROW($M$5:$M$60)-4),ROW(M12))))</f>
        <v/>
      </c>
      <c r="N78" s="1321" t="str">
        <f t="array" ref="N78">IF(ISERROR(INDEX($M$4:$M$60,SMALL(IF($M$4:$M$60&lt;&gt;0,ROW($M$4:$M$60)-3),ROW(N12)))),"",INDEX($M$4:$M$60,SMALL(IF($M$4:$M$60&lt;&gt;0,ROW($M$4:$M$60)-3),ROW(N12))))</f>
        <v/>
      </c>
      <c r="O78" s="1321" t="str">
        <f t="array" ref="O78">IF( ISERROR(INDEX($A$4:$A$60,SMALL(IF($O$4:$O$60&lt;&gt;0,ROW($O$4:$O$60)-4),ROW(O12)))),"",INDEX($A$4:$A$60,SMALL(IF($O$4:$O$60&lt;&gt;0,ROW($O$5:$O$60)-4),ROW(O12))))</f>
        <v/>
      </c>
      <c r="P78" s="1321" t="str">
        <f t="array" ref="P78">IF(ISERROR(INDEX($O$4:$O$60,SMALL(IF($O$4:$O$60&lt;&gt;0,ROW($O$4:$O$60)-3),ROW(P12)))),"",INDEX($O$4:$O$60,SMALL(IF($O$4:$O$60&lt;&gt;0,ROW($O$4:$O$60)-3),ROW(P12))))</f>
        <v/>
      </c>
      <c r="Q78" s="1321" t="str">
        <f t="array" ref="Q78">IF( ISERROR(INDEX($A$4:$A$60,SMALL(IF($Q$4:$Q$60&lt;&gt;0,ROW($Q$4:$Q$60)-4),ROW(Q12)))),"",INDEX($A$4:$A$60,SMALL(IF($Q$4:$Q$60&lt;&gt;0,ROW($Q$5:$Q$60)-4),ROW(Q12))))</f>
        <v/>
      </c>
      <c r="R78" s="1321" t="str">
        <f t="array" ref="R78">IF(ISERROR(INDEX($Q$4:$Q$60,SMALL(IF($Q$4:$Q$60&lt;&gt;0,ROW($Q$4:$Q$60)-3),ROW(R12)))),"",INDEX($Q$4:$Q$60,SMALL(IF($Q$4:$Q$60&lt;&gt;0,ROW($Q$4:$Q$60)-3),ROW(R12))))</f>
        <v/>
      </c>
      <c r="S78" s="1321" t="str">
        <f t="array" ref="S78">IF( ISERROR(INDEX($A$4:$A$60,SMALL(IF($S$4:$S$60&lt;&gt;0,ROW($S$4:$S$60)-4),ROW(S12)))),"",INDEX($A$4:$A$60,SMALL(IF($S$4:$S$60&lt;&gt;0,ROW($S$5:$S$60)-4),ROW(S12))))</f>
        <v/>
      </c>
      <c r="T78" s="1321" t="str">
        <f t="array" ref="T78">IF(ISERROR(INDEX($S$4:$S$60,SMALL(IF($S$4:$S$60&lt;&gt;0,ROW($S$4:$S$60)-3),ROW(T12)))),"",INDEX($S$4:$S$60,SMALL(IF($S$4:$S$60&lt;&gt;0,ROW($S$4:$S$60)-3),ROW(T12))))</f>
        <v/>
      </c>
      <c r="U78" s="1321" t="str">
        <f t="array" ref="U78">IF( ISERROR(INDEX($A$4:$A$60,SMALL(IF($U$4:$U$60&lt;&gt;0,ROW($U$4:$U$60)-4),ROW(U12)))),"",INDEX($A$4:$A$60,SMALL(IF($U$4:$U$60&lt;&gt;0,ROW($U$5:$U$60)-4),ROW(U12))))</f>
        <v/>
      </c>
      <c r="V78" s="1321" t="str">
        <f t="array" ref="V78">IF(ISERROR(INDEX($U$4:$U$60,SMALL(IF($U$4:$U$60&lt;&gt;0,ROW($U$4:$U$60)-3),ROW(V12)))),"",INDEX($U$4:$U$60,SMALL(IF($U$4:$U$60&lt;&gt;0,ROW($U$4:$U$60)-3),ROW(V12))))</f>
        <v/>
      </c>
      <c r="W78" s="1321" t="str">
        <f t="array" ref="W78">IF( ISERROR(INDEX($A$4:$A$60,SMALL(IF($W$4:$W$60&lt;&gt;0,ROW($W$4:$W$60)-4),ROW(W12)))),"",INDEX($A$4:$A$60,SMALL(IF($W$4:$W$60&lt;&gt;0,ROW($W$5:$W$60)-4),ROW(W12))))</f>
        <v/>
      </c>
      <c r="X78" s="1321" t="str">
        <f t="array" ref="X78">IF(ISERROR(INDEX($W$4:$W$60,SMALL(IF($W$4:$W$60&lt;&gt;0,ROW($W$4:$W$60)-3),ROW(X12)))),"",INDEX($W$4:$W$60,SMALL(IF($W$4:$W$60&lt;&gt;0,ROW($W$4:$W$60)-3),ROW(X12))))</f>
        <v/>
      </c>
      <c r="Y78" s="1321" t="str">
        <f t="array" ref="Y78">IF( ISERROR(INDEX($A$4:$A$60,SMALL(IF($Y$4:$Y$60&lt;&gt;0,ROW($Y$4:$Y$60)-4),ROW(Y12)))),"",INDEX($A$4:$A$60,SMALL(IF($Y$4:$Y$60&lt;&gt;0,ROW($Y$5:$Y$60)-4),ROW(Y12))))</f>
        <v/>
      </c>
      <c r="Z78" s="1321" t="str">
        <f t="array" ref="Z78">IF(ISERROR(INDEX($Y$4:$Y$60,SMALL(IF($Y$4:$Y$60&lt;&gt;0,ROW($Y$4:$Y$60)-3),ROW(Z12)))),"",INDEX($Y$4:$Y$60,SMALL(IF($Y$4:$Y$60&lt;&gt;0,ROW($Y$4:$Y$60)-3),ROW(Z12))))</f>
        <v/>
      </c>
      <c r="AA78" s="1321" t="str">
        <f t="array" ref="AA78">IF( ISERROR(INDEX($A$4:$A$60,SMALL(IF($AA$4:$AA$60&lt;&gt;0,ROW($AA$4:$AA$60)-4),ROW(AA12)))),"",INDEX($A$4:$A$60,SMALL(IF($AA$4:$AA$60&lt;&gt;0,ROW($AA$5:$AA$60)-4),ROW(AA12))))</f>
        <v/>
      </c>
      <c r="AB78" s="1321" t="str">
        <f t="array" ref="AB78">IF(ISERROR(INDEX($AA$4:$AA$60,SMALL(IF($AA$4:$AA$60&lt;&gt;0,ROW($AA$4:$AA$60)-3),ROW(AB12)))),"",INDEX($AA$4:$AA$60,SMALL(IF($AA$4:$AA$60&lt;&gt;0,ROW($AA$4:$AA$60)-3),ROW(AB12))))</f>
        <v/>
      </c>
      <c r="AC78" s="1321" t="str">
        <f t="array" ref="AC78">IF( ISERROR(INDEX($A$4:$A$60,SMALL(IF($AC$4:$AC$60&lt;&gt;0,ROW($AC$4:$AC$60)-4),ROW(AC12)))),"",INDEX($A$4:$A$60,SMALL(IF($AC$4:$AC$60&lt;&gt;0,ROW($AC$5:$AC$60)-4),ROW(AC12))))</f>
        <v/>
      </c>
      <c r="AD78" s="1321" t="str">
        <f t="array" ref="AD78">IF(ISERROR(INDEX($AC$4:$AC$60,SMALL(IF($AC$4:$AC$60&lt;&gt;0,ROW($AC$4:$AC$60)-3),ROW(AD12)))),"",INDEX($AC$4:$AC$60,SMALL(IF($AC$4:$AC$60&lt;&gt;0,ROW($AC$4:$AC$60)-3),ROW(AD12))))</f>
        <v/>
      </c>
      <c r="AE78" s="1321" t="str">
        <f t="array" ref="AE78">IF( ISERROR(INDEX($A$4:$A$60,SMALL(IF($AE$4:$AE$60&lt;&gt;0,ROW($AE$4:$AE$60)-4),ROW(AE12)))),"",INDEX($A$4:$A$60,SMALL(IF($AE$4:$AE$60&lt;&gt;0,ROW($AE$5:$AE$60)-4),ROW(AE12))))</f>
        <v/>
      </c>
      <c r="AF78" s="1321" t="str">
        <f t="array" ref="AF78">IF(ISERROR(INDEX($AE$4:$AE$60,SMALL(IF($AE$4:$AE$60&lt;&gt;0,ROW($AE$4:$AE$60)-3),ROW(AF12)))),"",INDEX($AE$4:$AE$60,SMALL(IF($AE$4:$AE$60&lt;&gt;0,ROW($AE$4:$AE$60)-3),ROW(AF12))))</f>
        <v/>
      </c>
      <c r="AG78" s="1321" t="str">
        <f t="array" ref="AG78">IF( ISERROR(INDEX($A$4:$A$60,SMALL(IF($AG$4:$AG$60&lt;&gt;0,ROW($AG$4:$AG$60)-4),ROW(AG12)))),"",INDEX($A$4:$A$60,SMALL(IF($AG$4:$AG$60&lt;&gt;0,ROW($AG$5:$AG$60)-4),ROW(AG12))))</f>
        <v/>
      </c>
      <c r="AH78" s="1321" t="str">
        <f t="array" ref="AH78">IF(ISERROR(INDEX($AG$4:$AG$60,SMALL(IF($AG$4:$AG$60&lt;&gt;0,ROW($AG$4:$AG$60)-3),ROW(AH12)))),"",INDEX($AG$4:$AG$60,SMALL(IF($AG$4:$AG$60&lt;&gt;0,ROW($AG$4:$AG$60)-3),ROW(AH12))))</f>
        <v/>
      </c>
      <c r="AI78" s="1321" t="str">
        <f t="array" ref="AI78">IF( ISERROR(INDEX($A$4:$A$60,SMALL(IF($AI$4:$AI$60&lt;&gt;0,ROW($AI$4:$AI$60)-4),ROW(AI12)))),"",INDEX($A$4:$A$60,SMALL(IF($AI$4:$AI$60&lt;&gt;0,ROW($AI$5:$AI$60)-4),ROW(AI12))))</f>
        <v/>
      </c>
      <c r="AJ78" s="1321" t="str">
        <f t="array" ref="AJ78">IF(ISERROR(INDEX($E$4:$E$60,SMALL(IF($AI$4:$AI$60&lt;&gt;0,ROW($AI$4:$AI$60)-3),ROW(AJ12)))),"",INDEX($AI$4:$AI$60,SMALL(IF($AI$4:$AI$60&lt;&gt;0,ROW($AI$4:$AI$60)-3),ROW(AJ12))))</f>
        <v/>
      </c>
      <c r="AK78" s="1321" t="str">
        <f t="array" ref="AK78">IF( ISERROR(INDEX($A$4:$A$60,SMALL(IF($AK$4:$AK$60&lt;&gt;0,ROW($AK$4:$AK$60)-4),ROW(AK12)))),"",INDEX($A$4:$A$60,SMALL(IF($AK$4:$AK$60&lt;&gt;0,ROW($AK$5:$AK$60)-4),ROW(AK12))))</f>
        <v/>
      </c>
      <c r="AL78" s="1321" t="str">
        <f t="array" ref="AL78">IF(ISERROR(INDEX($AK$4:$AK$60,SMALL(IF($AK$4:$AK$60&lt;&gt;0,ROW($AK$4:$AK$60)-3),ROW(AL12)))),"",INDEX($AK$4:$AK$60,SMALL(IF($AK$4:$AK$60&lt;&gt;0,ROW($AK$4:$AK$60)-3),ROW(AL12))))</f>
        <v/>
      </c>
      <c r="AM78" s="1321" t="str">
        <f t="array" ref="AM78">IF( ISERROR(INDEX($A$4:$A$60,SMALL(IF($AM$4:$AM$60&lt;&gt;0,ROW($AM$4:$AM$60)-4),ROW(AM12)))),"",INDEX($A$4:$A$60,SMALL(IF($AM$4:$AM$60&lt;&gt;0,ROW($AM$5:$AM$60)-4),ROW(AM12))))</f>
        <v/>
      </c>
      <c r="AN78" s="1321" t="str">
        <f t="array" ref="AN78">IF(ISERROR(INDEX($AM$4:$AM$60,SMALL(IF($AM$4:$AM$60&lt;&gt;0,ROW($AM$4:$AM$60)-3),ROW(AN12)))),"",INDEX($AM$4:$AM$60,SMALL(IF($AM$4:$AM$60&lt;&gt;0,ROW($AM$4:$AM$60)-3),ROW(AN12))))</f>
        <v/>
      </c>
      <c r="AO78" s="1321" t="str">
        <f t="array" ref="AO78">IF( ISERROR(INDEX($A$4:$A$60,SMALL(IF($AO$4:$AO$60&lt;&gt;0,ROW($AO$4:$AO$60)-4),ROW(AO12)))),"",INDEX($A$4:$A$60,SMALL(IF($AO$4:$AO$60&lt;&gt;0,ROW($AO$5:$AO$60)-4),ROW(AO12))))</f>
        <v/>
      </c>
      <c r="AP78" s="1321" t="str">
        <f t="array" ref="AP78">IF(ISERROR(INDEX($AO$4:$AO$60,SMALL(IF($AO$4:$AO$60&lt;&gt;0,ROW($AO$4:$AO$60)-3),ROW(AP12)))),"",INDEX($AO$4:$AO$60,SMALL(IF($AO$4:$AO$60&lt;&gt;0,ROW($AO$4:$AO$60)-3),ROW(AP12))))</f>
        <v/>
      </c>
      <c r="AQ78" s="1321" t="str">
        <f t="array" ref="AQ78">IF( ISERROR(INDEX($A$4:$A$60,SMALL(IF($AQ$4:$AQ$60&lt;&gt;0,ROW($AQ$4:$AQ$60)-4),ROW(AQ12)))),"",INDEX($A$4:$A$60,SMALL(IF($AQ$4:$AQ$60&lt;&gt;0,ROW($AQ$5:$AQ$60)-4),ROW(AQ12))))</f>
        <v/>
      </c>
      <c r="AR78" s="1321" t="str">
        <f t="array" ref="AR78">IF(ISERROR(INDEX($AQ$4:$AQ$60,SMALL(IF($AQ$4:$AQ$60&lt;&gt;0,ROW($AQ$4:$AQ$60)-3),ROW(AR12)))),"",INDEX($AQ$4:$AQ$60,SMALL(IF($AQ$4:$AQ$60&lt;&gt;0,ROW($AQ$4:$AQ$60)-3),ROW(AR12))))</f>
        <v/>
      </c>
      <c r="AS78" s="1321" t="str">
        <f t="array" ref="AS78">IF( ISERROR(INDEX($A$4:$A$60,SMALL(IF($AS$4:$AS$60&lt;&gt;0,ROW($AS$4:$AS$60)-4),ROW(AS12)))),"",INDEX($A$4:$A$60,SMALL(IF($AS$4:$AS$60&lt;&gt;0,ROW($AS$5:$AS$60)-4),ROW(AS12))))</f>
        <v/>
      </c>
      <c r="AT78" s="1321" t="str">
        <f t="array" ref="AT78">IF(ISERROR(INDEX($AS$4:$AS$60,SMALL(IF($AS$4:$AS$60&lt;&gt;0,ROW($AS$4:$AS$60)-3),ROW(AT12)))),"",INDEX($AS$4:$AS$60,SMALL(IF($AS$4:$AS$60&lt;&gt;0,ROW($AS$4:$AS$60)-3),ROW(AT12))))</f>
        <v/>
      </c>
      <c r="AU78" s="1321" t="str">
        <f t="array" ref="AU78">IF( ISERROR(INDEX($A$4:$A$60,SMALL(IF($AU$4:$AU$60&lt;&gt;0,ROW($AU$4:$AU$60)-4),ROW(AU12)))),"",INDEX($A$4:$A$60,SMALL(IF($AU$4:$AU$60&lt;&gt;0,ROW($AU$5:$AU$60)-4),ROW(AU12))))</f>
        <v/>
      </c>
      <c r="AV78" s="1321" t="str">
        <f t="array" ref="AV78">IF(ISERROR(INDEX($AU$4:$AU$60,SMALL(IF($AU$4:$AU$60&lt;&gt;0,ROW($AU$4:$AU$60)-3),ROW(AV12)))),"",INDEX($AU$4:$AU$60,SMALL(IF($AU$4:$AU$60&lt;&gt;0,ROW($AU$4:$AU$60)-3),ROW(AV12))))</f>
        <v/>
      </c>
      <c r="AW78" s="1321" t="str">
        <f t="array" ref="AW78">IF( ISERROR(INDEX($A$4:$A$60,SMALL(IF($AW$4:$AW$60&lt;&gt;0,ROW($AW$4:$AW$60)-4),ROW(AW12)))),"",INDEX($A$4:$A$60,SMALL(IF($AW$4:$AW$60&lt;&gt;0,ROW($AW$5:$AW$60)-4),ROW(AW12))))</f>
        <v/>
      </c>
      <c r="AX78" s="1321" t="str">
        <f t="array" ref="AX78">IF(ISERROR(INDEX($AW$4:$AW$60,SMALL(IF($AW$4:$AW$60&lt;&gt;0,ROW($AW$4:$AW$60)-3),ROW(AX12)))),"",INDEX($AW$4:$AW$60,SMALL(IF($AW$4:$AW$60&lt;&gt;0,ROW($AW$4:$AW$60)-3),ROW(AX12))))</f>
        <v/>
      </c>
      <c r="AY78" s="1321" t="str">
        <f t="array" ref="AY78">IF( ISERROR(INDEX($A$4:$A$60,SMALL(IF($AY$4:$AY$60&lt;&gt;0,ROW($AY$4:$AY$60)-4),ROW(AY12)))),"",INDEX($A$4:$A$60,SMALL(IF($AY$4:$AY$60&lt;&gt;0,ROW($AY$5:$AY$60)-4),ROW(AY12))))</f>
        <v/>
      </c>
      <c r="AZ78" s="1321" t="str">
        <f t="array" ref="AZ78">IF(ISERROR(INDEX($AY$4:$AY$60,SMALL(IF($AY$4:$AY$60&lt;&gt;0,ROW($AY$4:$AY$60)-3),ROW(AZ12)))),"",INDEX($AY$4:$AY$60,SMALL(IF($AY$4:$AY$60&lt;&gt;0,ROW($AY$4:$AY$60)-3),ROW(AZ12))))</f>
        <v/>
      </c>
      <c r="BA78" s="1321" t="str">
        <f t="array" ref="BA78">IF( ISERROR(INDEX($A$4:$A$60,SMALL(IF($BA$4:$BA$60&lt;&gt;0,ROW($BA$4:$BA$60)-4),ROW(BA12)))),"",INDEX($A$4:$A$60,SMALL(IF($BA$4:$BA$60&lt;&gt;0,ROW($BA$5:$BA$60)-4),ROW(BA12))))</f>
        <v/>
      </c>
      <c r="BB78" s="1321" t="str">
        <f t="array" ref="BB78">IF(ISERROR(INDEX($BA$4:$BA$60,SMALL(IF($BA$4:$BA$60&lt;&gt;0,ROW($BA$4:$BA$60)-3),ROW(BB12)))),"",INDEX($BA$4:$BA$60,SMALL(IF($BA$4:$BA$60&lt;&gt;0,ROW($BA$4:$BA$60)-3),ROW(BB12))))</f>
        <v/>
      </c>
      <c r="BC78" s="1321" t="str">
        <f t="array" ref="BC78">IF( ISERROR(INDEX($A$4:$A$60,SMALL(IF($BC$4:$BC$60&lt;&gt;0,ROW($BC$4:$BC$60)-4),ROW(BC12)))),"",INDEX($A$4:$A$60,SMALL(IF($BC$4:$BC$60&lt;&gt;0,ROW($BC$5:$BC$60)-4),ROW(BC12))))</f>
        <v/>
      </c>
      <c r="BD78" s="1321" t="str">
        <f t="array" ref="BD78">IF(ISERROR(INDEX($BC$4:$BC$60,SMALL(IF($BC$4:$BC$60&lt;&gt;0,ROW($BC$4:$BC$60)-3),ROW(BD12)))),"",INDEX($BC$4:$BC$60,SMALL(IF($BC$4:$BC$60&lt;&gt;0,ROW($BC$4:$BC$60)-3),ROW(BD12))))</f>
        <v/>
      </c>
      <c r="BE78" s="1321" t="str">
        <f t="array" ref="BE78">IF( ISERROR(INDEX($A$4:$A$60,SMALL(IF($BE$4:$BE$60&lt;&gt;0,ROW($BE$4:$BE$60)-4),ROW(BE12)))),"",INDEX($A$4:$A$60,SMALL(IF($BE$4:$BE$60&lt;&gt;0,ROW($BE$5:$BE$60)-4),ROW(BE12))))</f>
        <v/>
      </c>
      <c r="BF78" s="1321" t="str">
        <f t="array" ref="BF78">IF(ISERROR(INDEX($BE$4:$BE$60,SMALL(IF($BE$4:$BE$60&lt;&gt;0,ROW($BE$4:$BE$60)-3),ROW(BF12)))),"",INDEX($BE$4:$BE$60,SMALL(IF($BE$4:$BE$60&lt;&gt;0,ROW($BE$4:$BE$60)-3),ROW(BF12))))</f>
        <v/>
      </c>
      <c r="BG78" s="1321" t="str">
        <f t="array" ref="BG78">IF( ISERROR(INDEX($A$4:$A$60,SMALL(IF($BG$4:$BG$60&lt;&gt;0,ROW($BG$4:$BG$60)-4),ROW(BG12)))),"",INDEX($A$4:$A$60,SMALL(IF($BG$4:$BG$60&lt;&gt;0,ROW($BG$5:$BG$60)-4),ROW(BG12))))</f>
        <v/>
      </c>
      <c r="BH78" s="1321" t="str">
        <f t="array" ref="BH78">IF(ISERROR(INDEX($BG$4:$BG$60,SMALL(IF($BG$4:$BG$60&lt;&gt;0,ROW($BG$4:$BG$60)-3),ROW(BH12)))),"",INDEX($BG$4:$BG$60,SMALL(IF($BG$4:$BG$60&lt;&gt;0,ROW($BG$4:$BG$60)-3),ROW(BH12))))</f>
        <v/>
      </c>
      <c r="BI78" s="1321" t="str">
        <f t="array" ref="BI78">IF( ISERROR(INDEX($A$4:$A$60,SMALL(IF($BI$4:$BI$60&lt;&gt;0,ROW($BI$4:$BI$60)-4),ROW(BI12)))),"",INDEX($A$4:$A$60,SMALL(IF($BI$4:$BI$60&lt;&gt;0,ROW($BI$5:$BI$60)-4),ROW(BI12))))</f>
        <v/>
      </c>
      <c r="BJ78" s="1321" t="str">
        <f t="array" ref="BJ78">IF(ISERROR(INDEX($BI$4:$BI$60,SMALL(IF($BI$4:$BI$60&lt;&gt;0,ROW($BI$4:$BI$60)-3),ROW(BJ12)))),"",INDEX($BI$4:$BI$60,SMALL(IF($BI$4:$BI$60&lt;&gt;0,ROW($BI$4:$BI$60)-3),ROW(BJ12))))</f>
        <v/>
      </c>
      <c r="BK78" s="1321" t="str">
        <f t="array" ref="BK78">IF( ISERROR(INDEX($A$4:$A$60,SMALL(IF($BK$4:$BK$60&lt;&gt;0,ROW($BK$4:$BK$60)-4),ROW(BK12)))),"",INDEX($A$4:$A$60,SMALL(IF($BK$4:$BK$60&lt;&gt;0,ROW($BK$5:$BK$60)-4),ROW(BK12))))</f>
        <v/>
      </c>
      <c r="BL78" s="1321" t="str">
        <f t="array" ref="BL78">IF(ISERROR(INDEX($BK$4:$BK$60,SMALL(IF($BK$4:$BK$60&lt;&gt;0,ROW($BK$4:$BK$60)-3),ROW(BL12)))),"",INDEX($BK$4:$BK$60,SMALL(IF($BK$4:$BK$60&lt;&gt;0,ROW($BK$4:$BK$60)-3),ROW(BL12))))</f>
        <v/>
      </c>
      <c r="BM78" s="1321" t="str">
        <f t="array" ref="BM78">IF( ISERROR(INDEX($A$4:$A$60,SMALL(IF($BM$4:$BM$60&lt;&gt;0,ROW($BM$4:$BM$60)-4),ROW(BM12)))),"",INDEX($A$4:$A$60,SMALL(IF($BM$4:$BM$60&lt;&gt;0,ROW($BM$5:$BM$60)-4),ROW(BM12))))</f>
        <v/>
      </c>
      <c r="BN78" s="1321" t="str">
        <f t="array" ref="BN78">IF(ISERROR(INDEX($BM$4:$BM$60,SMALL(IF($BM$4:$BM$60&lt;&gt;0,ROW($BM$4:$BM$60)-3),ROW(BN12)))),"",INDEX($BM$4:$BM$60,SMALL(IF($BM$4:$BM$60&lt;&gt;0,ROW($BM$4:$BM$60)-3),ROW(BN12))))</f>
        <v/>
      </c>
      <c r="BO78" s="1321" t="str">
        <f t="array" ref="BO78">IF( ISERROR(INDEX($A$4:$A$60,SMALL(IF($BO$4:$BO$60&lt;&gt;0,ROW($BO$4:$BO$60)-4),ROW(BO12)))),"",INDEX($A$4:$A$60,SMALL(IF($BO$4:$BO$60&lt;&gt;0,ROW($BO$5:$BO$60)-4),ROW(BO12))))</f>
        <v/>
      </c>
      <c r="BP78" s="1321" t="str">
        <f t="array" ref="BP78">IF(ISERROR(INDEX($BO$4:$BO$60,SMALL(IF($BO$4:$BO$60&lt;&gt;0,ROW($BO$4:$BO$60)-3),ROW(BP12)))),"",INDEX($BO$4:$BO$60,SMALL(IF($BO$4:$BO$60&lt;&gt;0,ROW($BO$4:$BO$60)-3),ROW(BP12))))</f>
        <v/>
      </c>
      <c r="BQ78" s="1321" t="str">
        <f t="array" ref="BQ78">IF( ISERROR(INDEX($A$4:$A$60,SMALL(IF($BQ$4:$BQ$60&lt;&gt;0,ROW($BQ$4:$BQ$60)-4),ROW(BQ12)))),"",INDEX($A$4:$A$60,SMALL(IF($BQ$4:$BQ$60&lt;&gt;0,ROW($BQ$5:$BQ$60)-4),ROW(BQ12))))</f>
        <v/>
      </c>
      <c r="BR78" s="1321" t="str">
        <f t="array" ref="BR78">IF(ISERROR(INDEX($BQ$4:$BQ$60,SMALL(IF($BQ$4:$BQ$60&lt;&gt;0,ROW($BQ$4:$BQ$60)-3),ROW(BR12)))),"",INDEX($BQ$4:$BQ$60,SMALL(IF($BQ$4:$BQ$60&lt;&gt;0,ROW($BQ$4:$BQ$60)-3),ROW(BR12))))</f>
        <v/>
      </c>
      <c r="BS78" s="1321" t="str">
        <f t="array" ref="BS78">IF( ISERROR(INDEX($A$4:$A$60,SMALL(IF($BS$4:$BS$60&lt;&gt;0,ROW($BS$4:$BS$60)-4),ROW(BS12)))),"",INDEX($A$4:$A$60,SMALL(IF($BS$4:$BS$60&lt;&gt;0,ROW($BS$5:$BS$60)-4),ROW(BS12))))</f>
        <v/>
      </c>
      <c r="BT78" s="1321" t="str">
        <f t="array" ref="BT78">IF(ISERROR(INDEX($BS$4:$BS$60,SMALL(IF($BS$4:$BS$60&lt;&gt;0,ROW($BS$4:$BS$60)-3),ROW(BT12)))),"",INDEX($BS$4:$BS$60,SMALL(IF($BS$4:$BS$60&lt;&gt;0,ROW($BS$4:$BS$60)-3),ROW(BT12))))</f>
        <v/>
      </c>
      <c r="BU78" s="1321" t="str">
        <f t="array" ref="BU78">IF( ISERROR(INDEX($A$4:$A$60,SMALL(IF($BU$4:$BU$60&lt;&gt;0,ROW($BU$4:$BU$60)-4),ROW(BU12)))),"",INDEX($A$4:$A$60,SMALL(IF($BU$4:$BU$60&lt;&gt;0,ROW($BU$5:$BU$60)-4),ROW(BU12))))</f>
        <v/>
      </c>
      <c r="BV78" s="1321" t="str">
        <f t="array" ref="BV78">IF(ISERROR(INDEX($BQ$4:$BQ$60,SMALL(IF($BU$4:$BU$60&lt;&gt;0,ROW($BU$4:$BU$60)-3),ROW(BV12)))),"",INDEX($BU$4:$BU$60,SMALL(IF($BU$4:$BU$60&lt;&gt;0,ROW($BU$4:$BU$60)-3),ROW(BV12))))</f>
        <v/>
      </c>
      <c r="BW78" s="1321" t="str">
        <f t="array" ref="BW78">IF( ISERROR(INDEX($A$4:$A$60,SMALL(IF($BW$4:$BW$60&lt;&gt;0,ROW($BW$4:$BW$60)-4),ROW(BW12)))),"",INDEX($A$4:$A$60,SMALL(IF($BW$4:$BW$60&lt;&gt;0,ROW($BW$5:$BW$60)-4),ROW(BW12))))</f>
        <v/>
      </c>
      <c r="BX78" s="1321" t="str">
        <f t="array" ref="BX78">IF(ISERROR(INDEX($BW$4:$BW$60,SMALL(IF($BW$4:$BW$60&lt;&gt;0,ROW($BW$4:$BW$60)-3),ROW(BX12)))),"",INDEX($BW$4:$BW$60,SMALL(IF($BW$4:$BW$60&lt;&gt;0,ROW($BW$4:$BW$60)-3),ROW(BX12))))</f>
        <v/>
      </c>
      <c r="BY78" s="1321" t="str">
        <f t="array" ref="BY78">IF( ISERROR(INDEX($A$4:$A$60,SMALL(IF($BY$4:$BY$60&lt;&gt;0,ROW($BY$4:$BY$60)-4),ROW(BY12)))),"",INDEX($A$4:$A$60,SMALL(IF($BY$4:$BY$60&lt;&gt;0,ROW($BY$5:$BY$60)-4),ROW(BY12))))</f>
        <v/>
      </c>
      <c r="BZ78" s="1321" t="str">
        <f t="array" ref="BZ78">IF(ISERROR(INDEX($BY$4:$BY$60,SMALL(IF($BY$4:$BY$60&lt;&gt;0,ROW($BY$4:$BY$60)-3),ROW(BZ12)))),"",INDEX($BY$4:$BY$60,SMALL(IF($BY$4:$BY$60&lt;&gt;0,ROW($BY$4:$BY$60)-3),ROW(BZ12))))</f>
        <v/>
      </c>
      <c r="CA78" s="1321" t="str">
        <f t="array" ref="CA78">IF( ISERROR(INDEX($A$4:$A$60,SMALL(IF($CA$4:$CA$60&lt;&gt;0,ROW($CA$4:$CA$60)-4),ROW(CA12)))),"",INDEX($A$4:$A$60,SMALL(IF($CA$4:$CA$60&lt;&gt;0,ROW($CA$5:$CA$60)-4),ROW(CA12))))</f>
        <v/>
      </c>
      <c r="CB78" s="1321" t="str">
        <f t="array" ref="CB78">IF(ISERROR(INDEX($CA$4:$CA$60,SMALL(IF($CA$4:$CA$60&lt;&gt;0,ROW($CA$4:$CA$60)-3),ROW(CB12)))),"",INDEX($CA$4:$CA$60,SMALL(IF($CA$4:$CA$60&lt;&gt;0,ROW($CA$4:$CA$60)-3),ROW(CB12))))</f>
        <v/>
      </c>
      <c r="CC78" s="1321" t="str">
        <f t="array" ref="CC78">IF( ISERROR(INDEX($A$4:$A$60,SMALL(IF($CC$4:$CC$60&lt;&gt;0,ROW($CC$4:$CC$60)-4),ROW(CC12)))),"",INDEX($A$4:$A$60,SMALL(IF($CC$4:$CC$60&lt;&gt;0,ROW($CC$5:$CC$60)-4),ROW(CC12))))</f>
        <v/>
      </c>
      <c r="CD78" s="1321" t="str">
        <f t="array" ref="CD78">IF(ISERROR(INDEX($CC$4:$CC$60,SMALL(IF($CC$4:$CC$60&lt;&gt;0,ROW($CC$4:$CC$60)-3),ROW(CD12)))),"",INDEX($CC$4:$CC$60,SMALL(IF($CC$4:$CC$60&lt;&gt;0,ROW($CC$4:$CC$60)-3),ROW(CD12))))</f>
        <v/>
      </c>
      <c r="CE78" s="1321" t="str">
        <f t="array" ref="CE78">IF( ISERROR(INDEX($A$4:$A$60,SMALL(IF($CE$4:$CE$60&lt;&gt;0,ROW($CE$4:$CE$60)-4),ROW(CE12)))),"",INDEX($A$4:$A$60,SMALL(IF($CE$4:$CE$60&lt;&gt;0,ROW($CE$5:$CE$60)-4),ROW(CE12))))</f>
        <v/>
      </c>
      <c r="CF78" s="1321" t="str">
        <f t="array" ref="CF78">IF(ISERROR(INDEX($CE$4:$CE$60,SMALL(IF($CE$4:$CE$60&lt;&gt;0,ROW($CE$4:$CE$60)-3),ROW(CF12)))),"",INDEX($CE$4:$CE$60,SMALL(IF($CE$4:$CE$60&lt;&gt;0,ROW($CE$4:$CE$60)-3),ROW(CF12))))</f>
        <v/>
      </c>
      <c r="CG78" s="1321" t="str">
        <f t="array" ref="CG78">IF( ISERROR(INDEX($A$4:$A$60,SMALL(IF($CG$4:$CG$60&lt;&gt;0,ROW($CG$4:$CG$60)-4),ROW(CG12)))),"",INDEX($A$4:$A$60,SMALL(IF($CG$4:$CG$60&lt;&gt;0,ROW($CG$5:$CG$60)-4),ROW(CG12))))</f>
        <v/>
      </c>
      <c r="CH78" s="1321" t="str">
        <f t="array" ref="CH78">IF(ISERROR(INDEX($CG$4:$CG$60,SMALL(IF($CG$4:$CG$60&lt;&gt;0,ROW($CG$4:$CG$60)-3),ROW(CH12)))),"",INDEX($CG$4:$CG$60,SMALL(IF($CG$4:$CG$60&lt;&gt;0,ROW($CG$4:$CG$60)-3),ROW(CH12))))</f>
        <v/>
      </c>
      <c r="CI78" s="1321" t="str">
        <f t="array" ref="CI78">IF( ISERROR(INDEX($A$4:$A$60,SMALL(IF($CA$4:$CA$60&lt;&gt;0,ROW($CA$4:$CA$60)-4),ROW(CI12)))),"",INDEX($A$4:$A$60,SMALL(IF($CA$4:$CA$60&lt;&gt;0,ROW($CA$5:$CA$60)-4),ROW(CI12))))</f>
        <v/>
      </c>
      <c r="CJ78" s="1321" t="str">
        <f t="array" ref="CJ78">IF(ISERROR(INDEX($CA$4:$CA$60,SMALL(IF($CA$4:$CA$60&lt;&gt;0,ROW($CA$4:$CA$60)-3),ROW(CJ12)))),"",INDEX($CA$4:$CA$60,SMALL(IF($CA$4:$CA$60&lt;&gt;0,ROW($CA$4:$CA$60)-3),ROW(CJ12))))</f>
        <v/>
      </c>
      <c r="CK78" s="1321" t="str">
        <f t="array" ref="CK78">IF( ISERROR(INDEX($A$4:$A$60,SMALL(IF($CK$4:$CK$60&lt;&gt;0,ROW($CK$4:$CK$60)-4),ROW(CK12)))),"",INDEX($A$4:$A$60,SMALL(IF($CK$4:$CK$60&lt;&gt;0,ROW($CK$5:$CK$60)-4),ROW(CK12))))</f>
        <v/>
      </c>
      <c r="CL78" s="1321" t="str">
        <f t="array" ref="CL78">IF(ISERROR(INDEX($CK$4:$CK$60,SMALL(IF($CK$4:$CK$60&lt;&gt;0,ROW($CK$4:$CK$60)-3),ROW(CL12)))),"",INDEX($CK$4:$CK$60,SMALL(IF($CK$4:$CK$60&lt;&gt;0,ROW($CK$4:$CK$60)-3),ROW(CL12))))</f>
        <v/>
      </c>
      <c r="CM78" s="1321" t="str">
        <f t="array" ref="CM78">IF( ISERROR(INDEX($A$4:$A$60,SMALL(IF($CM$4:$CM$60&lt;&gt;0,ROW($CM$4:$CM$60)-4),ROW(CM12)))),"",INDEX($A$4:$A$60,SMALL(IF($CM$4:$CM$60&lt;&gt;0,ROW($CM$5:$CM$60)-4),ROW(CM12))))</f>
        <v/>
      </c>
      <c r="CN78" s="1321" t="str">
        <f t="array" ref="CN78">IF(ISERROR(INDEX($CM$4:$CM$60,SMALL(IF($CM$4:$CM$60&lt;&gt;0,ROW($CM$4:$CM$60)-3),ROW(CN12)))),"",INDEX($CM$4:$CM$60,SMALL(IF($CM$4:$CM$60&lt;&gt;0,ROW($CM$4:$CM$60)-3),ROW(CN12))))</f>
        <v/>
      </c>
      <c r="CO78" s="1321" t="str">
        <f t="array" ref="CO78">IF( ISERROR(INDEX($A$4:$A$60,SMALL(IF($CO$4:$CO$60&lt;&gt;0,ROW($CO$4:$CO$60)-4),ROW(CO12)))),"",INDEX($A$4:$A$60,SMALL(IF($CO$4:$CO$60&lt;&gt;0,ROW($CO$5:$CO$60)-4),ROW(CO12))))</f>
        <v/>
      </c>
      <c r="CP78" s="1321" t="str">
        <f t="array" ref="CP78">IF(ISERROR(INDEX($CO$4:$CO$60,SMALL(IF($CO$4:$CO$60&lt;&gt;0,ROW($CO$4:$CO$60)-3),ROW(CP12)))),"",INDEX($CO$4:$CO$60,SMALL(IF($CO$4:$CO$60&lt;&gt;0,ROW($CO$4:$CO$60)-3),ROW(CP12))))</f>
        <v/>
      </c>
      <c r="CQ78" s="1321" t="str">
        <f t="array" ref="CQ78">IF( ISERROR(INDEX($A$4:$A$60,SMALL(IF($CQ$4:$CQ$60&lt;&gt;0,ROW($CQ$4:$CQ$60)-4),ROW(CQ12)))),"",INDEX($A$4:$A$60,SMALL(IF($CQ$4:$CQ$60&lt;&gt;0,ROW($CQ$5:$CQ$60)-4),ROW(CQ12))))</f>
        <v/>
      </c>
      <c r="CR78" s="1321" t="str">
        <f t="array" ref="CR78">IF(ISERROR(INDEX($CQ$4:$CQ$60,SMALL(IF($CQ$4:$CQ$60&lt;&gt;0,ROW($CQ$4:$CQ$60)-3),ROW(CR12)))),"",INDEX($CQ$4:$CQ$60,SMALL(IF($CQ$4:$CQ$60&lt;&gt;0,ROW($CQ$4:$CQ$60)-3),ROW(CR12))))</f>
        <v/>
      </c>
      <c r="CS78" s="1321" t="str">
        <f t="array" ref="CS78">IF( ISERROR(INDEX($A$4:$A$60,SMALL(IF($CS$4:$CS$60&lt;&gt;0,ROW($CS$4:$CS$60)-4),ROW(CS12)))),"",INDEX($A$4:$A$60,SMALL(IF($CS$4:$CS$60&lt;&gt;0,ROW($CS$5:$CS$60)-4),ROW(CS12))))</f>
        <v/>
      </c>
      <c r="CT78" s="1321" t="str">
        <f t="array" ref="CT78">IF(ISERROR(INDEX($CS$4:$CS$60,SMALL(IF($CS$4:$CS$60&lt;&gt;0,ROW($CS$4:$CS$60)-3),ROW(CT12)))),"",INDEX($CS$4:$CS$60,SMALL(IF($CS$4:$CS$60&lt;&gt;0,ROW($CS$4:$CS$60)-3),ROW(CT12))))</f>
        <v/>
      </c>
      <c r="CU78" s="1321" t="str">
        <f t="array" ref="CU78">IF( ISERROR(INDEX($A$4:$A$60,SMALL(IF($CU$4:$CU$60&lt;&gt;0,ROW($CU$4:$CU$60)-4),ROW(CU12)))),"",INDEX($A$4:$A$60,SMALL(IF($CU$4:$CU$60&lt;&gt;0,ROW($CU$5:$CU$60)-4),ROW(CU12))))</f>
        <v/>
      </c>
      <c r="CV78" s="1321" t="str">
        <f t="array" ref="CV78">IF(ISERROR(INDEX($CU$4:$CU$60,SMALL(IF($CU$4:$CU$60&lt;&gt;0,ROW($CU$4:$CU$60)-3),ROW(CV12)))),"",INDEX($CU$4:$CU$60,SMALL(IF($CU$4:$CU$60&lt;&gt;0,ROW($CU$4:$CU$60)-3),ROW(CV12))))</f>
        <v/>
      </c>
      <c r="CW78" s="1321" t="str">
        <f t="array" ref="CW78">IF( ISERROR(INDEX($A$4:$A$60,SMALL(IF($CW$4:$CW$60&lt;&gt;0,ROW($CW$4:$CW$60)-4),ROW(CW12)))),"",INDEX($A$4:$A$60,SMALL(IF($CW$4:$CW$60&lt;&gt;0,ROW($CW$5:$CW$60)-4),ROW(CW12))))</f>
        <v/>
      </c>
      <c r="CX78" s="1321" t="str">
        <f t="array" ref="CX78">IF(ISERROR(INDEX($CW$4:$CW$60,SMALL(IF($CW$4:$CW$60&lt;&gt;0,ROW($CW$4:$CW$60)-3),ROW(CX12)))),"",INDEX($CW$4:$CW$60,SMALL(IF($CW$4:$CW$60&lt;&gt;0,ROW($CW$4:$CW$60)-3),ROW(CX12))))</f>
        <v/>
      </c>
      <c r="CY78" s="1321" t="str">
        <f t="array" ref="CY78">IF( ISERROR(INDEX($A$4:$A$60,SMALL(IF($CY$4:$CY$60&lt;&gt;0,ROW($CY$4:$CY$60)-4),ROW(CY12)))),"",INDEX($A$4:$A$60,SMALL(IF($CY$4:$CY$60&lt;&gt;0,ROW($CY$5:$CY$60)-4),ROW(CY12))))</f>
        <v/>
      </c>
      <c r="CZ78" s="1321" t="str">
        <f t="array" ref="CZ78">IF(ISERROR(INDEX($CY$4:$CY$60,SMALL(IF($CY$4:$CY$60&lt;&gt;0,ROW($CY$4:$CY$60)-3),ROW(CZ12)))),"",INDEX($CY$4:$CY$60,SMALL(IF($CY$4:$CY$60&lt;&gt;0,ROW($CY$4:$CY$60)-3),ROW(CZ12))))</f>
        <v/>
      </c>
      <c r="DA78" s="1321"/>
      <c r="DB78" s="1321"/>
      <c r="DC78" s="1321"/>
      <c r="DD78" s="1321"/>
      <c r="DE78" s="1321"/>
      <c r="DF78" s="1321"/>
      <c r="DG78" s="1321"/>
      <c r="DH78" s="1321"/>
      <c r="DI78" s="1321"/>
      <c r="DJ78" s="1321"/>
      <c r="DK78" s="1321"/>
      <c r="DL78" s="1321"/>
      <c r="DM78" s="1321"/>
      <c r="DN78" s="1321"/>
      <c r="DO78" s="1321"/>
      <c r="DP78" s="1321"/>
      <c r="DQ78" s="1321"/>
      <c r="DR78" s="1321"/>
      <c r="DS78" s="1321"/>
      <c r="DT78" s="1321"/>
      <c r="DU78" s="1321"/>
      <c r="DV78" s="1321"/>
      <c r="DW78" s="1321"/>
      <c r="DX78" s="1321"/>
      <c r="DY78" s="1321"/>
      <c r="DZ78" s="1321"/>
      <c r="EA78" s="1321"/>
      <c r="EB78" s="1321"/>
      <c r="EC78" s="1321"/>
      <c r="ED78" s="1321"/>
      <c r="EE78" s="1321"/>
      <c r="EF78" s="1321"/>
      <c r="EG78" s="1321"/>
      <c r="EH78" s="1321"/>
      <c r="EI78" s="1321"/>
      <c r="EJ78" s="1321"/>
      <c r="EK78" s="1321"/>
      <c r="EL78" s="1321"/>
      <c r="EM78" s="1321"/>
      <c r="EN78" s="1321"/>
      <c r="EO78" s="1321"/>
      <c r="EP78" s="1321"/>
      <c r="EQ78" s="1321"/>
      <c r="ER78" s="1321"/>
      <c r="ES78" s="1321"/>
      <c r="ET78" s="1321"/>
      <c r="EU78" s="1321"/>
      <c r="EV78" s="1321"/>
      <c r="EW78" s="1321"/>
      <c r="EX78" s="1321"/>
      <c r="EY78" s="1321"/>
      <c r="EZ78" s="1321"/>
      <c r="FA78" s="1321"/>
      <c r="FB78" s="1321"/>
      <c r="FC78" s="1321"/>
      <c r="FD78" s="1321"/>
      <c r="FE78" s="1321"/>
      <c r="FF78" s="1321"/>
      <c r="FG78" s="1321"/>
      <c r="FH78" s="1321"/>
      <c r="FI78" s="1321"/>
      <c r="FJ78" s="1321"/>
      <c r="FK78" s="1321"/>
      <c r="FL78" s="1321"/>
      <c r="FM78" s="1321"/>
      <c r="FN78" s="1321"/>
      <c r="FO78" s="1321"/>
      <c r="FP78" s="1321"/>
      <c r="FQ78" s="1321"/>
      <c r="FR78" s="1321"/>
      <c r="FS78" s="1321"/>
      <c r="FT78" s="1321"/>
      <c r="FU78" s="1321"/>
      <c r="FV78" s="1321"/>
      <c r="FW78" s="1321"/>
      <c r="FX78" s="1321"/>
      <c r="FY78" s="1321"/>
      <c r="FZ78" s="1321"/>
      <c r="GA78" s="1321"/>
      <c r="GB78" s="1321"/>
      <c r="GC78" s="1321"/>
      <c r="GD78" s="1321"/>
      <c r="GE78" s="1321"/>
      <c r="GF78" s="1321"/>
      <c r="GG78" s="1321"/>
      <c r="GH78" s="1321"/>
      <c r="GI78" s="1321"/>
      <c r="GJ78" s="1321"/>
      <c r="GK78" s="1321"/>
      <c r="GL78" s="1321"/>
      <c r="GM78" s="1321"/>
      <c r="GN78" s="1321"/>
      <c r="GO78" s="1321"/>
      <c r="GP78" s="1321"/>
      <c r="GQ78" s="1321"/>
      <c r="GR78" s="1321"/>
      <c r="GS78" s="1321"/>
      <c r="GT78" s="1321"/>
      <c r="GU78" s="1321"/>
      <c r="GV78" s="1321"/>
      <c r="GW78" s="1321"/>
      <c r="GX78" s="1321"/>
      <c r="GY78" s="1321"/>
      <c r="GZ78" s="1321"/>
    </row>
    <row r="79" spans="3:208" hidden="1">
      <c r="C79" s="1321" t="str">
        <f t="array" ref="C79">IF( ISERROR(INDEX($A$4:$A$60,SMALL(IF($C$4:$C$60&lt;&gt;0,ROW($C$4:$C$60)-4),ROW(A13)))),"",INDEX($A$4:$A$60,SMALL(IF($C$4:$C$60&lt;&gt;0,ROW($C$5:$C$60)-4),ROW(A13))))</f>
        <v/>
      </c>
      <c r="D79" s="1321" t="str">
        <f t="array" ref="D79">IF(ISERROR(INDEX($C$4:$C$60,SMALL(IF($C$4:$C$60&lt;&gt;0,ROW($C$4:$C$60)-3),ROW(D13)))),"",INDEX($C$4:$C$60,SMALL(IF($C$4:$C$60&lt;&gt;0,ROW($C$4:$C$60)-3),ROW(D13))))</f>
        <v/>
      </c>
      <c r="E79" s="1321" t="str">
        <f t="array" ref="E79">IF( ISERROR(INDEX($A$4:$A$60,SMALL(IF($E$4:$E$60&lt;&gt;0,ROW($E$4:$E$60)-4),ROW(E13)))),"",INDEX($A$4:$A$60,SMALL(IF($E$4:$E$60&lt;&gt;0,ROW($E$5:$E$60)-4),ROW(E13))))</f>
        <v/>
      </c>
      <c r="F79" s="1321" t="str">
        <f t="array" ref="F79">IF(ISERROR(INDEX($E$4:$E$60,SMALL(IF($E$4:$E$60&lt;&gt;0,ROW($E$4:$E$60)-3),ROW(F13)))),"",INDEX($E$4:$E$60,SMALL(IF($E$4:$E$60&lt;&gt;0,ROW($E$4:$E$60)-3),ROW(F13))))</f>
        <v/>
      </c>
      <c r="G79" s="1321" t="str">
        <f t="array" ref="G79">IF( ISERROR(INDEX($A$4:$A$60,SMALL(IF($G$4:$G$60&lt;&gt;0,ROW($G$4:$G$60)-4),ROW(G13)))),"",INDEX($A$4:$A$60,SMALL(IF($G$4:$G$60&lt;&gt;0,ROW($G$5:$G$60)-4),ROW(G13))))</f>
        <v/>
      </c>
      <c r="H79" s="1321" t="str">
        <f t="array" ref="H79">IF(ISERROR(INDEX($E$4:$E$60,SMALL(IF($G$4:$G$60&lt;&gt;0,ROW($G$4:$G$60)-3),ROW(H13)))),"",INDEX($G$4:$G$60,SMALL(IF($G$4:$G$60&lt;&gt;0,ROW($G$4:$G$60)-3),ROW(H13))))</f>
        <v/>
      </c>
      <c r="I79" s="1321" t="str">
        <f t="array" ref="I79">IF( ISERROR(INDEX($A$4:$A$60,SMALL(IF($I$4:$I$60&lt;&gt;0,ROW($I$4:$I$60)-4),ROW(I13)))),"",INDEX($A$4:$A$60,SMALL(IF($I$4:$I$60&lt;&gt;0,ROW($I$5:$I$60)-4),ROW(I13))))</f>
        <v/>
      </c>
      <c r="J79" s="1321" t="str">
        <f t="array" ref="J79">IF(ISERROR(INDEX($I$4:$I$60,SMALL(IF($I$4:$I$60&lt;&gt;0,ROW($I$4:$I$60)-3),ROW(J13)))),"",INDEX($I$4:$I$60,SMALL(IF($I$4:$I$60&lt;&gt;0,ROW($I$4:$I$60)-3),ROW(J13))))</f>
        <v/>
      </c>
      <c r="K79" s="1321" t="str">
        <f t="array" ref="K79">IF( ISERROR(INDEX($A$4:$A$60,SMALL(IF($K$4:$K$60&lt;&gt;0,ROW($K$4:$K$60)-4),ROW(K13)))),"",INDEX($A$4:$A$60,SMALL(IF($K$4:$K$60&lt;&gt;0,ROW($K$5:$K$60)-4),ROW(K13))))</f>
        <v/>
      </c>
      <c r="L79" s="1321" t="str">
        <f t="array" ref="L79">IF(ISERROR(INDEX($K$4:$K$60,SMALL(IF($K$4:$K$60&lt;&gt;0,ROW($K$4:$K$60)-3),ROW(L13)))),"",INDEX($K$4:$K$60,SMALL(IF($K$4:$K$60&lt;&gt;0,ROW($K$4:$K$60)-3),ROW(L13))))</f>
        <v/>
      </c>
      <c r="M79" s="1321" t="str">
        <f t="array" ref="M79">IF( ISERROR(INDEX($A$4:$A$60,SMALL(IF($M$4:$M$60&lt;&gt;0,ROW($M$4:$M$60)-4),ROW(M13)))),"",INDEX($A$4:$A$60,SMALL(IF($M$4:$M$60&lt;&gt;0,ROW($M$5:$M$60)-4),ROW(M13))))</f>
        <v/>
      </c>
      <c r="N79" s="1321" t="str">
        <f t="array" ref="N79">IF(ISERROR(INDEX($M$4:$M$60,SMALL(IF($M$4:$M$60&lt;&gt;0,ROW($M$4:$M$60)-3),ROW(N13)))),"",INDEX($M$4:$M$60,SMALL(IF($M$4:$M$60&lt;&gt;0,ROW($M$4:$M$60)-3),ROW(N13))))</f>
        <v/>
      </c>
      <c r="O79" s="1321" t="str">
        <f t="array" ref="O79">IF( ISERROR(INDEX($A$4:$A$60,SMALL(IF($O$4:$O$60&lt;&gt;0,ROW($O$4:$O$60)-4),ROW(O13)))),"",INDEX($A$4:$A$60,SMALL(IF($O$4:$O$60&lt;&gt;0,ROW($O$5:$O$60)-4),ROW(O13))))</f>
        <v/>
      </c>
      <c r="P79" s="1321" t="str">
        <f t="array" ref="P79">IF(ISERROR(INDEX($O$4:$O$60,SMALL(IF($O$4:$O$60&lt;&gt;0,ROW($O$4:$O$60)-3),ROW(P13)))),"",INDEX($O$4:$O$60,SMALL(IF($O$4:$O$60&lt;&gt;0,ROW($O$4:$O$60)-3),ROW(P13))))</f>
        <v/>
      </c>
      <c r="Q79" s="1321" t="str">
        <f t="array" ref="Q79">IF( ISERROR(INDEX($A$4:$A$60,SMALL(IF($Q$4:$Q$60&lt;&gt;0,ROW($Q$4:$Q$60)-4),ROW(Q13)))),"",INDEX($A$4:$A$60,SMALL(IF($Q$4:$Q$60&lt;&gt;0,ROW($Q$5:$Q$60)-4),ROW(Q13))))</f>
        <v/>
      </c>
      <c r="R79" s="1321" t="str">
        <f t="array" ref="R79">IF(ISERROR(INDEX($Q$4:$Q$60,SMALL(IF($Q$4:$Q$60&lt;&gt;0,ROW($Q$4:$Q$60)-3),ROW(R13)))),"",INDEX($Q$4:$Q$60,SMALL(IF($Q$4:$Q$60&lt;&gt;0,ROW($Q$4:$Q$60)-3),ROW(R13))))</f>
        <v/>
      </c>
      <c r="S79" s="1321" t="str">
        <f t="array" ref="S79">IF( ISERROR(INDEX($A$4:$A$60,SMALL(IF($S$4:$S$60&lt;&gt;0,ROW($S$4:$S$60)-4),ROW(S13)))),"",INDEX($A$4:$A$60,SMALL(IF($S$4:$S$60&lt;&gt;0,ROW($S$5:$S$60)-4),ROW(S13))))</f>
        <v/>
      </c>
      <c r="T79" s="1321" t="str">
        <f t="array" ref="T79">IF(ISERROR(INDEX($S$4:$S$60,SMALL(IF($S$4:$S$60&lt;&gt;0,ROW($S$4:$S$60)-3),ROW(T13)))),"",INDEX($S$4:$S$60,SMALL(IF($S$4:$S$60&lt;&gt;0,ROW($S$4:$S$60)-3),ROW(T13))))</f>
        <v/>
      </c>
      <c r="U79" s="1321" t="str">
        <f t="array" ref="U79">IF( ISERROR(INDEX($A$4:$A$60,SMALL(IF($U$4:$U$60&lt;&gt;0,ROW($U$4:$U$60)-4),ROW(U13)))),"",INDEX($A$4:$A$60,SMALL(IF($U$4:$U$60&lt;&gt;0,ROW($U$5:$U$60)-4),ROW(U13))))</f>
        <v/>
      </c>
      <c r="V79" s="1321" t="str">
        <f t="array" ref="V79">IF(ISERROR(INDEX($U$4:$U$60,SMALL(IF($U$4:$U$60&lt;&gt;0,ROW($U$4:$U$60)-3),ROW(V13)))),"",INDEX($U$4:$U$60,SMALL(IF($U$4:$U$60&lt;&gt;0,ROW($U$4:$U$60)-3),ROW(V13))))</f>
        <v/>
      </c>
      <c r="W79" s="1321" t="str">
        <f t="array" ref="W79">IF( ISERROR(INDEX($A$4:$A$60,SMALL(IF($W$4:$W$60&lt;&gt;0,ROW($W$4:$W$60)-4),ROW(W13)))),"",INDEX($A$4:$A$60,SMALL(IF($W$4:$W$60&lt;&gt;0,ROW($W$5:$W$60)-4),ROW(W13))))</f>
        <v/>
      </c>
      <c r="X79" s="1321" t="str">
        <f t="array" ref="X79">IF(ISERROR(INDEX($W$4:$W$60,SMALL(IF($W$4:$W$60&lt;&gt;0,ROW($W$4:$W$60)-3),ROW(X13)))),"",INDEX($W$4:$W$60,SMALL(IF($W$4:$W$60&lt;&gt;0,ROW($W$4:$W$60)-3),ROW(X13))))</f>
        <v/>
      </c>
      <c r="Y79" s="1321" t="str">
        <f t="array" ref="Y79">IF( ISERROR(INDEX($A$4:$A$60,SMALL(IF($Y$4:$Y$60&lt;&gt;0,ROW($Y$4:$Y$60)-4),ROW(Y13)))),"",INDEX($A$4:$A$60,SMALL(IF($Y$4:$Y$60&lt;&gt;0,ROW($Y$5:$Y$60)-4),ROW(Y13))))</f>
        <v/>
      </c>
      <c r="Z79" s="1321" t="str">
        <f t="array" ref="Z79">IF(ISERROR(INDEX($Y$4:$Y$60,SMALL(IF($Y$4:$Y$60&lt;&gt;0,ROW($Y$4:$Y$60)-3),ROW(Z13)))),"",INDEX($Y$4:$Y$60,SMALL(IF($Y$4:$Y$60&lt;&gt;0,ROW($Y$4:$Y$60)-3),ROW(Z13))))</f>
        <v/>
      </c>
      <c r="AA79" s="1321" t="str">
        <f t="array" ref="AA79">IF( ISERROR(INDEX($A$4:$A$60,SMALL(IF($AA$4:$AA$60&lt;&gt;0,ROW($AA$4:$AA$60)-4),ROW(AA13)))),"",INDEX($A$4:$A$60,SMALL(IF($AA$4:$AA$60&lt;&gt;0,ROW($AA$5:$AA$60)-4),ROW(AA13))))</f>
        <v/>
      </c>
      <c r="AB79" s="1321" t="str">
        <f t="array" ref="AB79">IF(ISERROR(INDEX($AA$4:$AA$60,SMALL(IF($AA$4:$AA$60&lt;&gt;0,ROW($AA$4:$AA$60)-3),ROW(AB13)))),"",INDEX($AA$4:$AA$60,SMALL(IF($AA$4:$AA$60&lt;&gt;0,ROW($AA$4:$AA$60)-3),ROW(AB13))))</f>
        <v/>
      </c>
      <c r="AC79" s="1321" t="str">
        <f t="array" ref="AC79">IF( ISERROR(INDEX($A$4:$A$60,SMALL(IF($AC$4:$AC$60&lt;&gt;0,ROW($AC$4:$AC$60)-4),ROW(AC13)))),"",INDEX($A$4:$A$60,SMALL(IF($AC$4:$AC$60&lt;&gt;0,ROW($AC$5:$AC$60)-4),ROW(AC13))))</f>
        <v/>
      </c>
      <c r="AD79" s="1321" t="str">
        <f t="array" ref="AD79">IF(ISERROR(INDEX($AC$4:$AC$60,SMALL(IF($AC$4:$AC$60&lt;&gt;0,ROW($AC$4:$AC$60)-3),ROW(AD13)))),"",INDEX($AC$4:$AC$60,SMALL(IF($AC$4:$AC$60&lt;&gt;0,ROW($AC$4:$AC$60)-3),ROW(AD13))))</f>
        <v/>
      </c>
      <c r="AE79" s="1321" t="str">
        <f t="array" ref="AE79">IF( ISERROR(INDEX($A$4:$A$60,SMALL(IF($AE$4:$AE$60&lt;&gt;0,ROW($AE$4:$AE$60)-4),ROW(AE13)))),"",INDEX($A$4:$A$60,SMALL(IF($AE$4:$AE$60&lt;&gt;0,ROW($AE$5:$AE$60)-4),ROW(AE13))))</f>
        <v/>
      </c>
      <c r="AF79" s="1321" t="str">
        <f t="array" ref="AF79">IF(ISERROR(INDEX($AE$4:$AE$60,SMALL(IF($AE$4:$AE$60&lt;&gt;0,ROW($AE$4:$AE$60)-3),ROW(AF13)))),"",INDEX($AE$4:$AE$60,SMALL(IF($AE$4:$AE$60&lt;&gt;0,ROW($AE$4:$AE$60)-3),ROW(AF13))))</f>
        <v/>
      </c>
      <c r="AG79" s="1321" t="str">
        <f t="array" ref="AG79">IF( ISERROR(INDEX($A$4:$A$60,SMALL(IF($AG$4:$AG$60&lt;&gt;0,ROW($AG$4:$AG$60)-4),ROW(AG13)))),"",INDEX($A$4:$A$60,SMALL(IF($AG$4:$AG$60&lt;&gt;0,ROW($AG$5:$AG$60)-4),ROW(AG13))))</f>
        <v/>
      </c>
      <c r="AH79" s="1321" t="str">
        <f t="array" ref="AH79">IF(ISERROR(INDEX($AG$4:$AG$60,SMALL(IF($AG$4:$AG$60&lt;&gt;0,ROW($AG$4:$AG$60)-3),ROW(AH13)))),"",INDEX($AG$4:$AG$60,SMALL(IF($AG$4:$AG$60&lt;&gt;0,ROW($AG$4:$AG$60)-3),ROW(AH13))))</f>
        <v/>
      </c>
      <c r="AI79" s="1321" t="str">
        <f t="array" ref="AI79">IF( ISERROR(INDEX($A$4:$A$60,SMALL(IF($AI$4:$AI$60&lt;&gt;0,ROW($AI$4:$AI$60)-4),ROW(AI13)))),"",INDEX($A$4:$A$60,SMALL(IF($AI$4:$AI$60&lt;&gt;0,ROW($AI$5:$AI$60)-4),ROW(AI13))))</f>
        <v/>
      </c>
      <c r="AJ79" s="1321" t="str">
        <f t="array" ref="AJ79">IF(ISERROR(INDEX($E$4:$E$60,SMALL(IF($AI$4:$AI$60&lt;&gt;0,ROW($AI$4:$AI$60)-3),ROW(AJ13)))),"",INDEX($AI$4:$AI$60,SMALL(IF($AI$4:$AI$60&lt;&gt;0,ROW($AI$4:$AI$60)-3),ROW(AJ13))))</f>
        <v/>
      </c>
      <c r="AK79" s="1321" t="str">
        <f t="array" ref="AK79">IF( ISERROR(INDEX($A$4:$A$60,SMALL(IF($AK$4:$AK$60&lt;&gt;0,ROW($AK$4:$AK$60)-4),ROW(AK13)))),"",INDEX($A$4:$A$60,SMALL(IF($AK$4:$AK$60&lt;&gt;0,ROW($AK$5:$AK$60)-4),ROW(AK13))))</f>
        <v/>
      </c>
      <c r="AL79" s="1321" t="str">
        <f t="array" ref="AL79">IF(ISERROR(INDEX($AK$4:$AK$60,SMALL(IF($AK$4:$AK$60&lt;&gt;0,ROW($AK$4:$AK$60)-3),ROW(AL13)))),"",INDEX($AK$4:$AK$60,SMALL(IF($AK$4:$AK$60&lt;&gt;0,ROW($AK$4:$AK$60)-3),ROW(AL13))))</f>
        <v/>
      </c>
      <c r="AM79" s="1321" t="str">
        <f t="array" ref="AM79">IF( ISERROR(INDEX($A$4:$A$60,SMALL(IF($AM$4:$AM$60&lt;&gt;0,ROW($AM$4:$AM$60)-4),ROW(AM13)))),"",INDEX($A$4:$A$60,SMALL(IF($AM$4:$AM$60&lt;&gt;0,ROW($AM$5:$AM$60)-4),ROW(AM13))))</f>
        <v/>
      </c>
      <c r="AN79" s="1321" t="str">
        <f t="array" ref="AN79">IF(ISERROR(INDEX($AM$4:$AM$60,SMALL(IF($AM$4:$AM$60&lt;&gt;0,ROW($AM$4:$AM$60)-3),ROW(AN13)))),"",INDEX($AM$4:$AM$60,SMALL(IF($AM$4:$AM$60&lt;&gt;0,ROW($AM$4:$AM$60)-3),ROW(AN13))))</f>
        <v/>
      </c>
      <c r="AO79" s="1321" t="str">
        <f t="array" ref="AO79">IF( ISERROR(INDEX($A$4:$A$60,SMALL(IF($AO$4:$AO$60&lt;&gt;0,ROW($AO$4:$AO$60)-4),ROW(AO13)))),"",INDEX($A$4:$A$60,SMALL(IF($AO$4:$AO$60&lt;&gt;0,ROW($AO$5:$AO$60)-4),ROW(AO13))))</f>
        <v/>
      </c>
      <c r="AP79" s="1321" t="str">
        <f t="array" ref="AP79">IF(ISERROR(INDEX($AO$4:$AO$60,SMALL(IF($AO$4:$AO$60&lt;&gt;0,ROW($AO$4:$AO$60)-3),ROW(AP13)))),"",INDEX($AO$4:$AO$60,SMALL(IF($AO$4:$AO$60&lt;&gt;0,ROW($AO$4:$AO$60)-3),ROW(AP13))))</f>
        <v/>
      </c>
      <c r="AQ79" s="1321" t="str">
        <f t="array" ref="AQ79">IF( ISERROR(INDEX($A$4:$A$60,SMALL(IF($AQ$4:$AQ$60&lt;&gt;0,ROW($AQ$4:$AQ$60)-4),ROW(AQ13)))),"",INDEX($A$4:$A$60,SMALL(IF($AQ$4:$AQ$60&lt;&gt;0,ROW($AQ$5:$AQ$60)-4),ROW(AQ13))))</f>
        <v/>
      </c>
      <c r="AR79" s="1321" t="str">
        <f t="array" ref="AR79">IF(ISERROR(INDEX($AQ$4:$AQ$60,SMALL(IF($AQ$4:$AQ$60&lt;&gt;0,ROW($AQ$4:$AQ$60)-3),ROW(AR13)))),"",INDEX($AQ$4:$AQ$60,SMALL(IF($AQ$4:$AQ$60&lt;&gt;0,ROW($AQ$4:$AQ$60)-3),ROW(AR13))))</f>
        <v/>
      </c>
      <c r="AS79" s="1321" t="str">
        <f t="array" ref="AS79">IF( ISERROR(INDEX($A$4:$A$60,SMALL(IF($AS$4:$AS$60&lt;&gt;0,ROW($AS$4:$AS$60)-4),ROW(AS13)))),"",INDEX($A$4:$A$60,SMALL(IF($AS$4:$AS$60&lt;&gt;0,ROW($AS$5:$AS$60)-4),ROW(AS13))))</f>
        <v/>
      </c>
      <c r="AT79" s="1321" t="str">
        <f t="array" ref="AT79">IF(ISERROR(INDEX($AS$4:$AS$60,SMALL(IF($AS$4:$AS$60&lt;&gt;0,ROW($AS$4:$AS$60)-3),ROW(AT13)))),"",INDEX($AS$4:$AS$60,SMALL(IF($AS$4:$AS$60&lt;&gt;0,ROW($AS$4:$AS$60)-3),ROW(AT13))))</f>
        <v/>
      </c>
      <c r="AU79" s="1321" t="str">
        <f t="array" ref="AU79">IF( ISERROR(INDEX($A$4:$A$60,SMALL(IF($AU$4:$AU$60&lt;&gt;0,ROW($AU$4:$AU$60)-4),ROW(AU13)))),"",INDEX($A$4:$A$60,SMALL(IF($AU$4:$AU$60&lt;&gt;0,ROW($AU$5:$AU$60)-4),ROW(AU13))))</f>
        <v/>
      </c>
      <c r="AV79" s="1321" t="str">
        <f t="array" ref="AV79">IF(ISERROR(INDEX($AU$4:$AU$60,SMALL(IF($AU$4:$AU$60&lt;&gt;0,ROW($AU$4:$AU$60)-3),ROW(AV13)))),"",INDEX($AU$4:$AU$60,SMALL(IF($AU$4:$AU$60&lt;&gt;0,ROW($AU$4:$AU$60)-3),ROW(AV13))))</f>
        <v/>
      </c>
      <c r="AW79" s="1321" t="str">
        <f t="array" ref="AW79">IF( ISERROR(INDEX($A$4:$A$60,SMALL(IF($AW$4:$AW$60&lt;&gt;0,ROW($AW$4:$AW$60)-4),ROW(AW13)))),"",INDEX($A$4:$A$60,SMALL(IF($AW$4:$AW$60&lt;&gt;0,ROW($AW$5:$AW$60)-4),ROW(AW13))))</f>
        <v/>
      </c>
      <c r="AX79" s="1321" t="str">
        <f t="array" ref="AX79">IF(ISERROR(INDEX($AW$4:$AW$60,SMALL(IF($AW$4:$AW$60&lt;&gt;0,ROW($AW$4:$AW$60)-3),ROW(AX13)))),"",INDEX($AW$4:$AW$60,SMALL(IF($AW$4:$AW$60&lt;&gt;0,ROW($AW$4:$AW$60)-3),ROW(AX13))))</f>
        <v/>
      </c>
      <c r="AY79" s="1321" t="str">
        <f t="array" ref="AY79">IF( ISERROR(INDEX($A$4:$A$60,SMALL(IF($AY$4:$AY$60&lt;&gt;0,ROW($AY$4:$AY$60)-4),ROW(AY13)))),"",INDEX($A$4:$A$60,SMALL(IF($AY$4:$AY$60&lt;&gt;0,ROW($AY$5:$AY$60)-4),ROW(AY13))))</f>
        <v/>
      </c>
      <c r="AZ79" s="1321" t="str">
        <f t="array" ref="AZ79">IF(ISERROR(INDEX($AY$4:$AY$60,SMALL(IF($AY$4:$AY$60&lt;&gt;0,ROW($AY$4:$AY$60)-3),ROW(AZ13)))),"",INDEX($AY$4:$AY$60,SMALL(IF($AY$4:$AY$60&lt;&gt;0,ROW($AY$4:$AY$60)-3),ROW(AZ13))))</f>
        <v/>
      </c>
      <c r="BA79" s="1321" t="str">
        <f t="array" ref="BA79">IF( ISERROR(INDEX($A$4:$A$60,SMALL(IF($BA$4:$BA$60&lt;&gt;0,ROW($BA$4:$BA$60)-4),ROW(BA13)))),"",INDEX($A$4:$A$60,SMALL(IF($BA$4:$BA$60&lt;&gt;0,ROW($BA$5:$BA$60)-4),ROW(BA13))))</f>
        <v/>
      </c>
      <c r="BB79" s="1321" t="str">
        <f t="array" ref="BB79">IF(ISERROR(INDEX($BA$4:$BA$60,SMALL(IF($BA$4:$BA$60&lt;&gt;0,ROW($BA$4:$BA$60)-3),ROW(BB13)))),"",INDEX($BA$4:$BA$60,SMALL(IF($BA$4:$BA$60&lt;&gt;0,ROW($BA$4:$BA$60)-3),ROW(BB13))))</f>
        <v/>
      </c>
      <c r="BC79" s="1321" t="str">
        <f t="array" ref="BC79">IF( ISERROR(INDEX($A$4:$A$60,SMALL(IF($BC$4:$BC$60&lt;&gt;0,ROW($BC$4:$BC$60)-4),ROW(BC13)))),"",INDEX($A$4:$A$60,SMALL(IF($BC$4:$BC$60&lt;&gt;0,ROW($BC$5:$BC$60)-4),ROW(BC13))))</f>
        <v/>
      </c>
      <c r="BD79" s="1321" t="str">
        <f t="array" ref="BD79">IF(ISERROR(INDEX($BC$4:$BC$60,SMALL(IF($BC$4:$BC$60&lt;&gt;0,ROW($BC$4:$BC$60)-3),ROW(BD13)))),"",INDEX($BC$4:$BC$60,SMALL(IF($BC$4:$BC$60&lt;&gt;0,ROW($BC$4:$BC$60)-3),ROW(BD13))))</f>
        <v/>
      </c>
      <c r="BE79" s="1321" t="str">
        <f t="array" ref="BE79">IF( ISERROR(INDEX($A$4:$A$60,SMALL(IF($BE$4:$BE$60&lt;&gt;0,ROW($BE$4:$BE$60)-4),ROW(BE13)))),"",INDEX($A$4:$A$60,SMALL(IF($BE$4:$BE$60&lt;&gt;0,ROW($BE$5:$BE$60)-4),ROW(BE13))))</f>
        <v/>
      </c>
      <c r="BF79" s="1321" t="str">
        <f t="array" ref="BF79">IF(ISERROR(INDEX($BE$4:$BE$60,SMALL(IF($BE$4:$BE$60&lt;&gt;0,ROW($BE$4:$BE$60)-3),ROW(BF13)))),"",INDEX($BE$4:$BE$60,SMALL(IF($BE$4:$BE$60&lt;&gt;0,ROW($BE$4:$BE$60)-3),ROW(BF13))))</f>
        <v/>
      </c>
      <c r="BG79" s="1321" t="str">
        <f t="array" ref="BG79">IF( ISERROR(INDEX($A$4:$A$60,SMALL(IF($BG$4:$BG$60&lt;&gt;0,ROW($BG$4:$BG$60)-4),ROW(BG13)))),"",INDEX($A$4:$A$60,SMALL(IF($BG$4:$BG$60&lt;&gt;0,ROW($BG$5:$BG$60)-4),ROW(BG13))))</f>
        <v/>
      </c>
      <c r="BH79" s="1321" t="str">
        <f t="array" ref="BH79">IF(ISERROR(INDEX($BG$4:$BG$60,SMALL(IF($BG$4:$BG$60&lt;&gt;0,ROW($BG$4:$BG$60)-3),ROW(BH13)))),"",INDEX($BG$4:$BG$60,SMALL(IF($BG$4:$BG$60&lt;&gt;0,ROW($BG$4:$BG$60)-3),ROW(BH13))))</f>
        <v/>
      </c>
      <c r="BI79" s="1321" t="str">
        <f t="array" ref="BI79">IF( ISERROR(INDEX($A$4:$A$60,SMALL(IF($BI$4:$BI$60&lt;&gt;0,ROW($BI$4:$BI$60)-4),ROW(BI13)))),"",INDEX($A$4:$A$60,SMALL(IF($BI$4:$BI$60&lt;&gt;0,ROW($BI$5:$BI$60)-4),ROW(BI13))))</f>
        <v/>
      </c>
      <c r="BJ79" s="1321" t="str">
        <f t="array" ref="BJ79">IF(ISERROR(INDEX($BI$4:$BI$60,SMALL(IF($BI$4:$BI$60&lt;&gt;0,ROW($BI$4:$BI$60)-3),ROW(BJ13)))),"",INDEX($BI$4:$BI$60,SMALL(IF($BI$4:$BI$60&lt;&gt;0,ROW($BI$4:$BI$60)-3),ROW(BJ13))))</f>
        <v/>
      </c>
      <c r="BK79" s="1321" t="str">
        <f t="array" ref="BK79">IF( ISERROR(INDEX($A$4:$A$60,SMALL(IF($BK$4:$BK$60&lt;&gt;0,ROW($BK$4:$BK$60)-4),ROW(BK13)))),"",INDEX($A$4:$A$60,SMALL(IF($BK$4:$BK$60&lt;&gt;0,ROW($BK$5:$BK$60)-4),ROW(BK13))))</f>
        <v/>
      </c>
      <c r="BL79" s="1321" t="str">
        <f t="array" ref="BL79">IF(ISERROR(INDEX($BK$4:$BK$60,SMALL(IF($BK$4:$BK$60&lt;&gt;0,ROW($BK$4:$BK$60)-3),ROW(BL13)))),"",INDEX($BK$4:$BK$60,SMALL(IF($BK$4:$BK$60&lt;&gt;0,ROW($BK$4:$BK$60)-3),ROW(BL13))))</f>
        <v/>
      </c>
      <c r="BM79" s="1321" t="str">
        <f t="array" ref="BM79">IF( ISERROR(INDEX($A$4:$A$60,SMALL(IF($BM$4:$BM$60&lt;&gt;0,ROW($BM$4:$BM$60)-4),ROW(BM13)))),"",INDEX($A$4:$A$60,SMALL(IF($BM$4:$BM$60&lt;&gt;0,ROW($BM$5:$BM$60)-4),ROW(BM13))))</f>
        <v/>
      </c>
      <c r="BN79" s="1321" t="str">
        <f t="array" ref="BN79">IF(ISERROR(INDEX($BM$4:$BM$60,SMALL(IF($BM$4:$BM$60&lt;&gt;0,ROW($BM$4:$BM$60)-3),ROW(BN13)))),"",INDEX($BM$4:$BM$60,SMALL(IF($BM$4:$BM$60&lt;&gt;0,ROW($BM$4:$BM$60)-3),ROW(BN13))))</f>
        <v/>
      </c>
      <c r="BO79" s="1321" t="str">
        <f t="array" ref="BO79">IF( ISERROR(INDEX($A$4:$A$60,SMALL(IF($BO$4:$BO$60&lt;&gt;0,ROW($BO$4:$BO$60)-4),ROW(BO13)))),"",INDEX($A$4:$A$60,SMALL(IF($BO$4:$BO$60&lt;&gt;0,ROW($BO$5:$BO$60)-4),ROW(BO13))))</f>
        <v/>
      </c>
      <c r="BP79" s="1321" t="str">
        <f t="array" ref="BP79">IF(ISERROR(INDEX($BO$4:$BO$60,SMALL(IF($BO$4:$BO$60&lt;&gt;0,ROW($BO$4:$BO$60)-3),ROW(BP13)))),"",INDEX($BO$4:$BO$60,SMALL(IF($BO$4:$BO$60&lt;&gt;0,ROW($BO$4:$BO$60)-3),ROW(BP13))))</f>
        <v/>
      </c>
      <c r="BQ79" s="1321" t="str">
        <f t="array" ref="BQ79">IF( ISERROR(INDEX($A$4:$A$60,SMALL(IF($BQ$4:$BQ$60&lt;&gt;0,ROW($BQ$4:$BQ$60)-4),ROW(BQ13)))),"",INDEX($A$4:$A$60,SMALL(IF($BQ$4:$BQ$60&lt;&gt;0,ROW($BQ$5:$BQ$60)-4),ROW(BQ13))))</f>
        <v/>
      </c>
      <c r="BR79" s="1321" t="str">
        <f t="array" ref="BR79">IF(ISERROR(INDEX($BQ$4:$BQ$60,SMALL(IF($BQ$4:$BQ$60&lt;&gt;0,ROW($BQ$4:$BQ$60)-3),ROW(BR13)))),"",INDEX($BQ$4:$BQ$60,SMALL(IF($BQ$4:$BQ$60&lt;&gt;0,ROW($BQ$4:$BQ$60)-3),ROW(BR13))))</f>
        <v/>
      </c>
      <c r="BS79" s="1321" t="str">
        <f t="array" ref="BS79">IF( ISERROR(INDEX($A$4:$A$60,SMALL(IF($BS$4:$BS$60&lt;&gt;0,ROW($BS$4:$BS$60)-4),ROW(BS13)))),"",INDEX($A$4:$A$60,SMALL(IF($BS$4:$BS$60&lt;&gt;0,ROW($BS$5:$BS$60)-4),ROW(BS13))))</f>
        <v/>
      </c>
      <c r="BT79" s="1321" t="str">
        <f t="array" ref="BT79">IF(ISERROR(INDEX($BS$4:$BS$60,SMALL(IF($BS$4:$BS$60&lt;&gt;0,ROW($BS$4:$BS$60)-3),ROW(BT13)))),"",INDEX($BS$4:$BS$60,SMALL(IF($BS$4:$BS$60&lt;&gt;0,ROW($BS$4:$BS$60)-3),ROW(BT13))))</f>
        <v/>
      </c>
      <c r="BU79" s="1321" t="str">
        <f t="array" ref="BU79">IF( ISERROR(INDEX($A$4:$A$60,SMALL(IF($BU$4:$BU$60&lt;&gt;0,ROW($BU$4:$BU$60)-4),ROW(BU13)))),"",INDEX($A$4:$A$60,SMALL(IF($BU$4:$BU$60&lt;&gt;0,ROW($BU$5:$BU$60)-4),ROW(BU13))))</f>
        <v/>
      </c>
      <c r="BV79" s="1321" t="str">
        <f t="array" ref="BV79">IF(ISERROR(INDEX($BQ$4:$BQ$60,SMALL(IF($BU$4:$BU$60&lt;&gt;0,ROW($BU$4:$BU$60)-3),ROW(BV13)))),"",INDEX($BU$4:$BU$60,SMALL(IF($BU$4:$BU$60&lt;&gt;0,ROW($BU$4:$BU$60)-3),ROW(BV13))))</f>
        <v/>
      </c>
      <c r="BW79" s="1321" t="str">
        <f t="array" ref="BW79">IF( ISERROR(INDEX($A$4:$A$60,SMALL(IF($BW$4:$BW$60&lt;&gt;0,ROW($BW$4:$BW$60)-4),ROW(BW13)))),"",INDEX($A$4:$A$60,SMALL(IF($BW$4:$BW$60&lt;&gt;0,ROW($BW$5:$BW$60)-4),ROW(BW13))))</f>
        <v/>
      </c>
      <c r="BX79" s="1321" t="str">
        <f t="array" ref="BX79">IF(ISERROR(INDEX($BW$4:$BW$60,SMALL(IF($BW$4:$BW$60&lt;&gt;0,ROW($BW$4:$BW$60)-3),ROW(BX13)))),"",INDEX($BW$4:$BW$60,SMALL(IF($BW$4:$BW$60&lt;&gt;0,ROW($BW$4:$BW$60)-3),ROW(BX13))))</f>
        <v/>
      </c>
      <c r="BY79" s="1321" t="str">
        <f t="array" ref="BY79">IF( ISERROR(INDEX($A$4:$A$60,SMALL(IF($BY$4:$BY$60&lt;&gt;0,ROW($BY$4:$BY$60)-4),ROW(BY13)))),"",INDEX($A$4:$A$60,SMALL(IF($BY$4:$BY$60&lt;&gt;0,ROW($BY$5:$BY$60)-4),ROW(BY13))))</f>
        <v/>
      </c>
      <c r="BZ79" s="1321" t="str">
        <f t="array" ref="BZ79">IF(ISERROR(INDEX($BY$4:$BY$60,SMALL(IF($BY$4:$BY$60&lt;&gt;0,ROW($BY$4:$BY$60)-3),ROW(BZ13)))),"",INDEX($BY$4:$BY$60,SMALL(IF($BY$4:$BY$60&lt;&gt;0,ROW($BY$4:$BY$60)-3),ROW(BZ13))))</f>
        <v/>
      </c>
      <c r="CA79" s="1321" t="str">
        <f t="array" ref="CA79">IF( ISERROR(INDEX($A$4:$A$60,SMALL(IF($CA$4:$CA$60&lt;&gt;0,ROW($CA$4:$CA$60)-4),ROW(CA13)))),"",INDEX($A$4:$A$60,SMALL(IF($CA$4:$CA$60&lt;&gt;0,ROW($CA$5:$CA$60)-4),ROW(CA13))))</f>
        <v/>
      </c>
      <c r="CB79" s="1321" t="str">
        <f t="array" ref="CB79">IF(ISERROR(INDEX($CA$4:$CA$60,SMALL(IF($CA$4:$CA$60&lt;&gt;0,ROW($CA$4:$CA$60)-3),ROW(CB13)))),"",INDEX($CA$4:$CA$60,SMALL(IF($CA$4:$CA$60&lt;&gt;0,ROW($CA$4:$CA$60)-3),ROW(CB13))))</f>
        <v/>
      </c>
      <c r="CC79" s="1321" t="str">
        <f t="array" ref="CC79">IF( ISERROR(INDEX($A$4:$A$60,SMALL(IF($CC$4:$CC$60&lt;&gt;0,ROW($CC$4:$CC$60)-4),ROW(CC13)))),"",INDEX($A$4:$A$60,SMALL(IF($CC$4:$CC$60&lt;&gt;0,ROW($CC$5:$CC$60)-4),ROW(CC13))))</f>
        <v/>
      </c>
      <c r="CD79" s="1321" t="str">
        <f t="array" ref="CD79">IF(ISERROR(INDEX($CC$4:$CC$60,SMALL(IF($CC$4:$CC$60&lt;&gt;0,ROW($CC$4:$CC$60)-3),ROW(CD13)))),"",INDEX($CC$4:$CC$60,SMALL(IF($CC$4:$CC$60&lt;&gt;0,ROW($CC$4:$CC$60)-3),ROW(CD13))))</f>
        <v/>
      </c>
      <c r="CE79" s="1321" t="str">
        <f t="array" ref="CE79">IF( ISERROR(INDEX($A$4:$A$60,SMALL(IF($CE$4:$CE$60&lt;&gt;0,ROW($CE$4:$CE$60)-4),ROW(CE13)))),"",INDEX($A$4:$A$60,SMALL(IF($CE$4:$CE$60&lt;&gt;0,ROW($CE$5:$CE$60)-4),ROW(CE13))))</f>
        <v/>
      </c>
      <c r="CF79" s="1321" t="str">
        <f t="array" ref="CF79">IF(ISERROR(INDEX($CE$4:$CE$60,SMALL(IF($CE$4:$CE$60&lt;&gt;0,ROW($CE$4:$CE$60)-3),ROW(CF13)))),"",INDEX($CE$4:$CE$60,SMALL(IF($CE$4:$CE$60&lt;&gt;0,ROW($CE$4:$CE$60)-3),ROW(CF13))))</f>
        <v/>
      </c>
      <c r="CG79" s="1321" t="str">
        <f t="array" ref="CG79">IF( ISERROR(INDEX($A$4:$A$60,SMALL(IF($CG$4:$CG$60&lt;&gt;0,ROW($CG$4:$CG$60)-4),ROW(CG13)))),"",INDEX($A$4:$A$60,SMALL(IF($CG$4:$CG$60&lt;&gt;0,ROW($CG$5:$CG$60)-4),ROW(CG13))))</f>
        <v/>
      </c>
      <c r="CH79" s="1321" t="str">
        <f t="array" ref="CH79">IF(ISERROR(INDEX($CG$4:$CG$60,SMALL(IF($CG$4:$CG$60&lt;&gt;0,ROW($CG$4:$CG$60)-3),ROW(CH13)))),"",INDEX($CG$4:$CG$60,SMALL(IF($CG$4:$CG$60&lt;&gt;0,ROW($CG$4:$CG$60)-3),ROW(CH13))))</f>
        <v/>
      </c>
      <c r="CI79" s="1321" t="str">
        <f t="array" ref="CI79">IF( ISERROR(INDEX($A$4:$A$60,SMALL(IF($CA$4:$CA$60&lt;&gt;0,ROW($CA$4:$CA$60)-4),ROW(CI13)))),"",INDEX($A$4:$A$60,SMALL(IF($CA$4:$CA$60&lt;&gt;0,ROW($CA$5:$CA$60)-4),ROW(CI13))))</f>
        <v/>
      </c>
      <c r="CJ79" s="1321" t="str">
        <f t="array" ref="CJ79">IF(ISERROR(INDEX($CA$4:$CA$60,SMALL(IF($CA$4:$CA$60&lt;&gt;0,ROW($CA$4:$CA$60)-3),ROW(CJ13)))),"",INDEX($CA$4:$CA$60,SMALL(IF($CA$4:$CA$60&lt;&gt;0,ROW($CA$4:$CA$60)-3),ROW(CJ13))))</f>
        <v/>
      </c>
      <c r="CK79" s="1321" t="str">
        <f t="array" ref="CK79">IF( ISERROR(INDEX($A$4:$A$60,SMALL(IF($CK$4:$CK$60&lt;&gt;0,ROW($CK$4:$CK$60)-4),ROW(CK13)))),"",INDEX($A$4:$A$60,SMALL(IF($CK$4:$CK$60&lt;&gt;0,ROW($CK$5:$CK$60)-4),ROW(CK13))))</f>
        <v/>
      </c>
      <c r="CL79" s="1321" t="str">
        <f t="array" ref="CL79">IF(ISERROR(INDEX($CK$4:$CK$60,SMALL(IF($CK$4:$CK$60&lt;&gt;0,ROW($CK$4:$CK$60)-3),ROW(CL13)))),"",INDEX($CK$4:$CK$60,SMALL(IF($CK$4:$CK$60&lt;&gt;0,ROW($CK$4:$CK$60)-3),ROW(CL13))))</f>
        <v/>
      </c>
      <c r="CM79" s="1321" t="str">
        <f t="array" ref="CM79">IF( ISERROR(INDEX($A$4:$A$60,SMALL(IF($CM$4:$CM$60&lt;&gt;0,ROW($CM$4:$CM$60)-4),ROW(CM13)))),"",INDEX($A$4:$A$60,SMALL(IF($CM$4:$CM$60&lt;&gt;0,ROW($CM$5:$CM$60)-4),ROW(CM13))))</f>
        <v/>
      </c>
      <c r="CN79" s="1321" t="str">
        <f t="array" ref="CN79">IF(ISERROR(INDEX($CM$4:$CM$60,SMALL(IF($CM$4:$CM$60&lt;&gt;0,ROW($CM$4:$CM$60)-3),ROW(CN13)))),"",INDEX($CM$4:$CM$60,SMALL(IF($CM$4:$CM$60&lt;&gt;0,ROW($CM$4:$CM$60)-3),ROW(CN13))))</f>
        <v/>
      </c>
      <c r="CO79" s="1321" t="str">
        <f t="array" ref="CO79">IF( ISERROR(INDEX($A$4:$A$60,SMALL(IF($CO$4:$CO$60&lt;&gt;0,ROW($CO$4:$CO$60)-4),ROW(CO13)))),"",INDEX($A$4:$A$60,SMALL(IF($CO$4:$CO$60&lt;&gt;0,ROW($CO$5:$CO$60)-4),ROW(CO13))))</f>
        <v/>
      </c>
      <c r="CP79" s="1321" t="str">
        <f t="array" ref="CP79">IF(ISERROR(INDEX($CO$4:$CO$60,SMALL(IF($CO$4:$CO$60&lt;&gt;0,ROW($CO$4:$CO$60)-3),ROW(CP13)))),"",INDEX($CO$4:$CO$60,SMALL(IF($CO$4:$CO$60&lt;&gt;0,ROW($CO$4:$CO$60)-3),ROW(CP13))))</f>
        <v/>
      </c>
      <c r="CQ79" s="1321" t="str">
        <f t="array" ref="CQ79">IF( ISERROR(INDEX($A$4:$A$60,SMALL(IF($CQ$4:$CQ$60&lt;&gt;0,ROW($CQ$4:$CQ$60)-4),ROW(CQ13)))),"",INDEX($A$4:$A$60,SMALL(IF($CQ$4:$CQ$60&lt;&gt;0,ROW($CQ$5:$CQ$60)-4),ROW(CQ13))))</f>
        <v/>
      </c>
      <c r="CR79" s="1321" t="str">
        <f t="array" ref="CR79">IF(ISERROR(INDEX($CQ$4:$CQ$60,SMALL(IF($CQ$4:$CQ$60&lt;&gt;0,ROW($CQ$4:$CQ$60)-3),ROW(CR13)))),"",INDEX($CQ$4:$CQ$60,SMALL(IF($CQ$4:$CQ$60&lt;&gt;0,ROW($CQ$4:$CQ$60)-3),ROW(CR13))))</f>
        <v/>
      </c>
      <c r="CS79" s="1321" t="str">
        <f t="array" ref="CS79">IF( ISERROR(INDEX($A$4:$A$60,SMALL(IF($CS$4:$CS$60&lt;&gt;0,ROW($CS$4:$CS$60)-4),ROW(CS13)))),"",INDEX($A$4:$A$60,SMALL(IF($CS$4:$CS$60&lt;&gt;0,ROW($CS$5:$CS$60)-4),ROW(CS13))))</f>
        <v/>
      </c>
      <c r="CT79" s="1321" t="str">
        <f t="array" ref="CT79">IF(ISERROR(INDEX($CS$4:$CS$60,SMALL(IF($CS$4:$CS$60&lt;&gt;0,ROW($CS$4:$CS$60)-3),ROW(CT13)))),"",INDEX($CS$4:$CS$60,SMALL(IF($CS$4:$CS$60&lt;&gt;0,ROW($CS$4:$CS$60)-3),ROW(CT13))))</f>
        <v/>
      </c>
      <c r="CU79" s="1321" t="str">
        <f t="array" ref="CU79">IF( ISERROR(INDEX($A$4:$A$60,SMALL(IF($CU$4:$CU$60&lt;&gt;0,ROW($CU$4:$CU$60)-4),ROW(CU13)))),"",INDEX($A$4:$A$60,SMALL(IF($CU$4:$CU$60&lt;&gt;0,ROW($CU$5:$CU$60)-4),ROW(CU13))))</f>
        <v/>
      </c>
      <c r="CV79" s="1321" t="str">
        <f t="array" ref="CV79">IF(ISERROR(INDEX($CU$4:$CU$60,SMALL(IF($CU$4:$CU$60&lt;&gt;0,ROW($CU$4:$CU$60)-3),ROW(CV13)))),"",INDEX($CU$4:$CU$60,SMALL(IF($CU$4:$CU$60&lt;&gt;0,ROW($CU$4:$CU$60)-3),ROW(CV13))))</f>
        <v/>
      </c>
      <c r="CW79" s="1321" t="str">
        <f t="array" ref="CW79">IF( ISERROR(INDEX($A$4:$A$60,SMALL(IF($CW$4:$CW$60&lt;&gt;0,ROW($CW$4:$CW$60)-4),ROW(CW13)))),"",INDEX($A$4:$A$60,SMALL(IF($CW$4:$CW$60&lt;&gt;0,ROW($CW$5:$CW$60)-4),ROW(CW13))))</f>
        <v/>
      </c>
      <c r="CX79" s="1321" t="str">
        <f t="array" ref="CX79">IF(ISERROR(INDEX($CW$4:$CW$60,SMALL(IF($CW$4:$CW$60&lt;&gt;0,ROW($CW$4:$CW$60)-3),ROW(CX13)))),"",INDEX($CW$4:$CW$60,SMALL(IF($CW$4:$CW$60&lt;&gt;0,ROW($CW$4:$CW$60)-3),ROW(CX13))))</f>
        <v/>
      </c>
      <c r="CY79" s="1321" t="str">
        <f t="array" ref="CY79">IF( ISERROR(INDEX($A$4:$A$60,SMALL(IF($CY$4:$CY$60&lt;&gt;0,ROW($CY$4:$CY$60)-4),ROW(CY13)))),"",INDEX($A$4:$A$60,SMALL(IF($CY$4:$CY$60&lt;&gt;0,ROW($CY$5:$CY$60)-4),ROW(CY13))))</f>
        <v/>
      </c>
      <c r="CZ79" s="1321" t="str">
        <f t="array" ref="CZ79">IF(ISERROR(INDEX($CY$4:$CY$60,SMALL(IF($CY$4:$CY$60&lt;&gt;0,ROW($CY$4:$CY$60)-3),ROW(CZ13)))),"",INDEX($CY$4:$CY$60,SMALL(IF($CY$4:$CY$60&lt;&gt;0,ROW($CY$4:$CY$60)-3),ROW(CZ13))))</f>
        <v/>
      </c>
      <c r="DA79" s="1321"/>
      <c r="DB79" s="1321"/>
      <c r="DC79" s="1321"/>
      <c r="DD79" s="1321"/>
      <c r="DE79" s="1321"/>
      <c r="DF79" s="1321"/>
      <c r="DG79" s="1321"/>
      <c r="DH79" s="1321"/>
      <c r="DI79" s="1321"/>
      <c r="DJ79" s="1321"/>
      <c r="DK79" s="1321"/>
      <c r="DL79" s="1321"/>
      <c r="DM79" s="1321"/>
      <c r="DN79" s="1321"/>
      <c r="DO79" s="1321"/>
      <c r="DP79" s="1321"/>
      <c r="DQ79" s="1321"/>
      <c r="DR79" s="1321"/>
      <c r="DS79" s="1321"/>
      <c r="DT79" s="1321"/>
      <c r="DU79" s="1321"/>
      <c r="DV79" s="1321"/>
      <c r="DW79" s="1321"/>
      <c r="DX79" s="1321"/>
      <c r="DY79" s="1321"/>
      <c r="DZ79" s="1321"/>
      <c r="EA79" s="1321"/>
      <c r="EB79" s="1321"/>
      <c r="EC79" s="1321"/>
      <c r="ED79" s="1321"/>
      <c r="EE79" s="1321"/>
      <c r="EF79" s="1321"/>
      <c r="EG79" s="1321"/>
      <c r="EH79" s="1321"/>
      <c r="EI79" s="1321"/>
      <c r="EJ79" s="1321"/>
      <c r="EK79" s="1321"/>
      <c r="EL79" s="1321"/>
      <c r="EM79" s="1321"/>
      <c r="EN79" s="1321"/>
      <c r="EO79" s="1321"/>
      <c r="EP79" s="1321"/>
      <c r="EQ79" s="1321"/>
      <c r="ER79" s="1321"/>
      <c r="ES79" s="1321"/>
      <c r="ET79" s="1321"/>
      <c r="EU79" s="1321"/>
      <c r="EV79" s="1321"/>
      <c r="EW79" s="1321"/>
      <c r="EX79" s="1321"/>
      <c r="EY79" s="1321"/>
      <c r="EZ79" s="1321"/>
      <c r="FA79" s="1321"/>
      <c r="FB79" s="1321"/>
      <c r="FC79" s="1321"/>
      <c r="FD79" s="1321"/>
      <c r="FE79" s="1321"/>
      <c r="FF79" s="1321"/>
      <c r="FG79" s="1321"/>
      <c r="FH79" s="1321"/>
      <c r="FI79" s="1321"/>
      <c r="FJ79" s="1321"/>
      <c r="FK79" s="1321"/>
      <c r="FL79" s="1321"/>
      <c r="FM79" s="1321"/>
      <c r="FN79" s="1321"/>
      <c r="FO79" s="1321"/>
      <c r="FP79" s="1321"/>
      <c r="FQ79" s="1321"/>
      <c r="FR79" s="1321"/>
      <c r="FS79" s="1321"/>
      <c r="FT79" s="1321"/>
      <c r="FU79" s="1321"/>
      <c r="FV79" s="1321"/>
      <c r="FW79" s="1321"/>
      <c r="FX79" s="1321"/>
      <c r="FY79" s="1321"/>
      <c r="FZ79" s="1321"/>
      <c r="GA79" s="1321"/>
      <c r="GB79" s="1321"/>
      <c r="GC79" s="1321"/>
      <c r="GD79" s="1321"/>
      <c r="GE79" s="1321"/>
      <c r="GF79" s="1321"/>
      <c r="GG79" s="1321"/>
      <c r="GH79" s="1321"/>
      <c r="GI79" s="1321"/>
      <c r="GJ79" s="1321"/>
      <c r="GK79" s="1321"/>
      <c r="GL79" s="1321"/>
      <c r="GM79" s="1321"/>
      <c r="GN79" s="1321"/>
      <c r="GO79" s="1321"/>
      <c r="GP79" s="1321"/>
      <c r="GQ79" s="1321"/>
      <c r="GR79" s="1321"/>
      <c r="GS79" s="1321"/>
      <c r="GT79" s="1321"/>
      <c r="GU79" s="1321"/>
      <c r="GV79" s="1321"/>
      <c r="GW79" s="1321"/>
      <c r="GX79" s="1321"/>
      <c r="GY79" s="1321"/>
      <c r="GZ79" s="1321"/>
    </row>
    <row r="80" spans="3:208" hidden="1">
      <c r="C80" s="1321" t="str">
        <f t="array" ref="C80">IF( ISERROR(INDEX($A$4:$A$60,SMALL(IF($C$4:$C$60&lt;&gt;0,ROW($C$4:$C$60)-4),ROW(A14)))),"",INDEX($A$4:$A$60,SMALL(IF($C$4:$C$60&lt;&gt;0,ROW($C$5:$C$60)-4),ROW(A14))))</f>
        <v/>
      </c>
      <c r="D80" s="1321" t="str">
        <f t="array" ref="D80">IF(ISERROR(INDEX($C$4:$C$60,SMALL(IF($C$4:$C$60&lt;&gt;0,ROW($C$4:$C$60)-3),ROW(D14)))),"",INDEX($C$4:$C$60,SMALL(IF($C$4:$C$60&lt;&gt;0,ROW($C$4:$C$60)-3),ROW(D14))))</f>
        <v/>
      </c>
      <c r="E80" s="1321" t="str">
        <f t="array" ref="E80">IF( ISERROR(INDEX($A$4:$A$60,SMALL(IF($E$4:$E$60&lt;&gt;0,ROW($E$4:$E$60)-4),ROW(E14)))),"",INDEX($A$4:$A$60,SMALL(IF($E$4:$E$60&lt;&gt;0,ROW($E$5:$E$60)-4),ROW(E14))))</f>
        <v/>
      </c>
      <c r="F80" s="1321" t="str">
        <f t="array" ref="F80">IF(ISERROR(INDEX($E$4:$E$60,SMALL(IF($E$4:$E$60&lt;&gt;0,ROW($E$4:$E$60)-3),ROW(F14)))),"",INDEX($E$4:$E$60,SMALL(IF($E$4:$E$60&lt;&gt;0,ROW($E$4:$E$60)-3),ROW(F14))))</f>
        <v/>
      </c>
      <c r="G80" s="1321" t="str">
        <f t="array" ref="G80">IF( ISERROR(INDEX($A$4:$A$60,SMALL(IF($G$4:$G$60&lt;&gt;0,ROW($G$4:$G$60)-4),ROW(G14)))),"",INDEX($A$4:$A$60,SMALL(IF($G$4:$G$60&lt;&gt;0,ROW($G$5:$G$60)-4),ROW(G14))))</f>
        <v/>
      </c>
      <c r="H80" s="1321" t="str">
        <f t="array" ref="H80">IF(ISERROR(INDEX($E$4:$E$60,SMALL(IF($G$4:$G$60&lt;&gt;0,ROW($G$4:$G$60)-3),ROW(H14)))),"",INDEX($G$4:$G$60,SMALL(IF($G$4:$G$60&lt;&gt;0,ROW($G$4:$G$60)-3),ROW(H14))))</f>
        <v/>
      </c>
      <c r="I80" s="1321" t="str">
        <f t="array" ref="I80">IF( ISERROR(INDEX($A$4:$A$60,SMALL(IF($I$4:$I$60&lt;&gt;0,ROW($I$4:$I$60)-4),ROW(I14)))),"",INDEX($A$4:$A$60,SMALL(IF($I$4:$I$60&lt;&gt;0,ROW($I$5:$I$60)-4),ROW(I14))))</f>
        <v/>
      </c>
      <c r="J80" s="1321" t="str">
        <f t="array" ref="J80">IF(ISERROR(INDEX($I$4:$I$60,SMALL(IF($I$4:$I$60&lt;&gt;0,ROW($I$4:$I$60)-3),ROW(J14)))),"",INDEX($I$4:$I$60,SMALL(IF($I$4:$I$60&lt;&gt;0,ROW($I$4:$I$60)-3),ROW(J14))))</f>
        <v/>
      </c>
      <c r="K80" s="1321" t="str">
        <f t="array" ref="K80">IF( ISERROR(INDEX($A$4:$A$60,SMALL(IF($K$4:$K$60&lt;&gt;0,ROW($K$4:$K$60)-4),ROW(K14)))),"",INDEX($A$4:$A$60,SMALL(IF($K$4:$K$60&lt;&gt;0,ROW($K$5:$K$60)-4),ROW(K14))))</f>
        <v/>
      </c>
      <c r="L80" s="1321" t="str">
        <f t="array" ref="L80">IF(ISERROR(INDEX($K$4:$K$60,SMALL(IF($K$4:$K$60&lt;&gt;0,ROW($K$4:$K$60)-3),ROW(L14)))),"",INDEX($K$4:$K$60,SMALL(IF($K$4:$K$60&lt;&gt;0,ROW($K$4:$K$60)-3),ROW(L14))))</f>
        <v/>
      </c>
      <c r="M80" s="1321" t="str">
        <f t="array" ref="M80">IF( ISERROR(INDEX($A$4:$A$60,SMALL(IF($M$4:$M$60&lt;&gt;0,ROW($M$4:$M$60)-4),ROW(M14)))),"",INDEX($A$4:$A$60,SMALL(IF($M$4:$M$60&lt;&gt;0,ROW($M$5:$M$60)-4),ROW(M14))))</f>
        <v/>
      </c>
      <c r="N80" s="1321" t="str">
        <f t="array" ref="N80">IF(ISERROR(INDEX($M$4:$M$60,SMALL(IF($M$4:$M$60&lt;&gt;0,ROW($M$4:$M$60)-3),ROW(N14)))),"",INDEX($M$4:$M$60,SMALL(IF($M$4:$M$60&lt;&gt;0,ROW($M$4:$M$60)-3),ROW(N14))))</f>
        <v/>
      </c>
      <c r="O80" s="1321" t="str">
        <f t="array" ref="O80">IF( ISERROR(INDEX($A$4:$A$60,SMALL(IF($O$4:$O$60&lt;&gt;0,ROW($O$4:$O$60)-4),ROW(O14)))),"",INDEX($A$4:$A$60,SMALL(IF($O$4:$O$60&lt;&gt;0,ROW($O$5:$O$60)-4),ROW(O14))))</f>
        <v/>
      </c>
      <c r="P80" s="1321" t="str">
        <f t="array" ref="P80">IF(ISERROR(INDEX($O$4:$O$60,SMALL(IF($O$4:$O$60&lt;&gt;0,ROW($O$4:$O$60)-3),ROW(P14)))),"",INDEX($O$4:$O$60,SMALL(IF($O$4:$O$60&lt;&gt;0,ROW($O$4:$O$60)-3),ROW(P14))))</f>
        <v/>
      </c>
      <c r="Q80" s="1321" t="str">
        <f t="array" ref="Q80">IF( ISERROR(INDEX($A$4:$A$60,SMALL(IF($Q$4:$Q$60&lt;&gt;0,ROW($Q$4:$Q$60)-4),ROW(Q14)))),"",INDEX($A$4:$A$60,SMALL(IF($Q$4:$Q$60&lt;&gt;0,ROW($Q$5:$Q$60)-4),ROW(Q14))))</f>
        <v/>
      </c>
      <c r="R80" s="1321" t="str">
        <f t="array" ref="R80">IF(ISERROR(INDEX($Q$4:$Q$60,SMALL(IF($Q$4:$Q$60&lt;&gt;0,ROW($Q$4:$Q$60)-3),ROW(R14)))),"",INDEX($Q$4:$Q$60,SMALL(IF($Q$4:$Q$60&lt;&gt;0,ROW($Q$4:$Q$60)-3),ROW(R14))))</f>
        <v/>
      </c>
      <c r="S80" s="1321" t="str">
        <f t="array" ref="S80">IF( ISERROR(INDEX($A$4:$A$60,SMALL(IF($S$4:$S$60&lt;&gt;0,ROW($S$4:$S$60)-4),ROW(S14)))),"",INDEX($A$4:$A$60,SMALL(IF($S$4:$S$60&lt;&gt;0,ROW($S$5:$S$60)-4),ROW(S14))))</f>
        <v/>
      </c>
      <c r="T80" s="1321" t="str">
        <f t="array" ref="T80">IF(ISERROR(INDEX($S$4:$S$60,SMALL(IF($S$4:$S$60&lt;&gt;0,ROW($S$4:$S$60)-3),ROW(T14)))),"",INDEX($S$4:$S$60,SMALL(IF($S$4:$S$60&lt;&gt;0,ROW($S$4:$S$60)-3),ROW(T14))))</f>
        <v/>
      </c>
      <c r="U80" s="1321" t="str">
        <f t="array" ref="U80">IF( ISERROR(INDEX($A$4:$A$60,SMALL(IF($U$4:$U$60&lt;&gt;0,ROW($U$4:$U$60)-4),ROW(U14)))),"",INDEX($A$4:$A$60,SMALL(IF($U$4:$U$60&lt;&gt;0,ROW($U$5:$U$60)-4),ROW(U14))))</f>
        <v/>
      </c>
      <c r="V80" s="1321" t="str">
        <f t="array" ref="V80">IF(ISERROR(INDEX($U$4:$U$60,SMALL(IF($U$4:$U$60&lt;&gt;0,ROW($U$4:$U$60)-3),ROW(V14)))),"",INDEX($U$4:$U$60,SMALL(IF($U$4:$U$60&lt;&gt;0,ROW($U$4:$U$60)-3),ROW(V14))))</f>
        <v/>
      </c>
      <c r="W80" s="1321" t="str">
        <f t="array" ref="W80">IF( ISERROR(INDEX($A$4:$A$60,SMALL(IF($W$4:$W$60&lt;&gt;0,ROW($W$4:$W$60)-4),ROW(W14)))),"",INDEX($A$4:$A$60,SMALL(IF($W$4:$W$60&lt;&gt;0,ROW($W$5:$W$60)-4),ROW(W14))))</f>
        <v/>
      </c>
      <c r="X80" s="1321" t="str">
        <f t="array" ref="X80">IF(ISERROR(INDEX($W$4:$W$60,SMALL(IF($W$4:$W$60&lt;&gt;0,ROW($W$4:$W$60)-3),ROW(X14)))),"",INDEX($W$4:$W$60,SMALL(IF($W$4:$W$60&lt;&gt;0,ROW($W$4:$W$60)-3),ROW(X14))))</f>
        <v/>
      </c>
      <c r="Y80" s="1321" t="str">
        <f t="array" ref="Y80">IF( ISERROR(INDEX($A$4:$A$60,SMALL(IF($Y$4:$Y$60&lt;&gt;0,ROW($Y$4:$Y$60)-4),ROW(Y14)))),"",INDEX($A$4:$A$60,SMALL(IF($Y$4:$Y$60&lt;&gt;0,ROW($Y$5:$Y$60)-4),ROW(Y14))))</f>
        <v/>
      </c>
      <c r="Z80" s="1321" t="str">
        <f t="array" ref="Z80">IF(ISERROR(INDEX($Y$4:$Y$60,SMALL(IF($Y$4:$Y$60&lt;&gt;0,ROW($Y$4:$Y$60)-3),ROW(Z14)))),"",INDEX($Y$4:$Y$60,SMALL(IF($Y$4:$Y$60&lt;&gt;0,ROW($Y$4:$Y$60)-3),ROW(Z14))))</f>
        <v/>
      </c>
      <c r="AA80" s="1321" t="str">
        <f t="array" ref="AA80">IF( ISERROR(INDEX($A$4:$A$60,SMALL(IF($AA$4:$AA$60&lt;&gt;0,ROW($AA$4:$AA$60)-4),ROW(AA14)))),"",INDEX($A$4:$A$60,SMALL(IF($AA$4:$AA$60&lt;&gt;0,ROW($AA$5:$AA$60)-4),ROW(AA14))))</f>
        <v/>
      </c>
      <c r="AB80" s="1321" t="str">
        <f t="array" ref="AB80">IF(ISERROR(INDEX($AA$4:$AA$60,SMALL(IF($AA$4:$AA$60&lt;&gt;0,ROW($AA$4:$AA$60)-3),ROW(AB14)))),"",INDEX($AA$4:$AA$60,SMALL(IF($AA$4:$AA$60&lt;&gt;0,ROW($AA$4:$AA$60)-3),ROW(AB14))))</f>
        <v/>
      </c>
      <c r="AC80" s="1321" t="str">
        <f t="array" ref="AC80">IF( ISERROR(INDEX($A$4:$A$60,SMALL(IF($AC$4:$AC$60&lt;&gt;0,ROW($AC$4:$AC$60)-4),ROW(AC14)))),"",INDEX($A$4:$A$60,SMALL(IF($AC$4:$AC$60&lt;&gt;0,ROW($AC$5:$AC$60)-4),ROW(AC14))))</f>
        <v/>
      </c>
      <c r="AD80" s="1321" t="str">
        <f t="array" ref="AD80">IF(ISERROR(INDEX($AC$4:$AC$60,SMALL(IF($AC$4:$AC$60&lt;&gt;0,ROW($AC$4:$AC$60)-3),ROW(AD14)))),"",INDEX($AC$4:$AC$60,SMALL(IF($AC$4:$AC$60&lt;&gt;0,ROW($AC$4:$AC$60)-3),ROW(AD14))))</f>
        <v/>
      </c>
      <c r="AE80" s="1321" t="str">
        <f t="array" ref="AE80">IF( ISERROR(INDEX($A$4:$A$60,SMALL(IF($AE$4:$AE$60&lt;&gt;0,ROW($AE$4:$AE$60)-4),ROW(AE14)))),"",INDEX($A$4:$A$60,SMALL(IF($AE$4:$AE$60&lt;&gt;0,ROW($AE$5:$AE$60)-4),ROW(AE14))))</f>
        <v/>
      </c>
      <c r="AF80" s="1321" t="str">
        <f t="array" ref="AF80">IF(ISERROR(INDEX($AE$4:$AE$60,SMALL(IF($AE$4:$AE$60&lt;&gt;0,ROW($AE$4:$AE$60)-3),ROW(AF14)))),"",INDEX($AE$4:$AE$60,SMALL(IF($AE$4:$AE$60&lt;&gt;0,ROW($AE$4:$AE$60)-3),ROW(AF14))))</f>
        <v/>
      </c>
      <c r="AG80" s="1321" t="str">
        <f t="array" ref="AG80">IF( ISERROR(INDEX($A$4:$A$60,SMALL(IF($AG$4:$AG$60&lt;&gt;0,ROW($AG$4:$AG$60)-4),ROW(AG14)))),"",INDEX($A$4:$A$60,SMALL(IF($AG$4:$AG$60&lt;&gt;0,ROW($AG$5:$AG$60)-4),ROW(AG14))))</f>
        <v/>
      </c>
      <c r="AH80" s="1321" t="str">
        <f t="array" ref="AH80">IF(ISERROR(INDEX($AG$4:$AG$60,SMALL(IF($AG$4:$AG$60&lt;&gt;0,ROW($AG$4:$AG$60)-3),ROW(AH14)))),"",INDEX($AG$4:$AG$60,SMALL(IF($AG$4:$AG$60&lt;&gt;0,ROW($AG$4:$AG$60)-3),ROW(AH14))))</f>
        <v/>
      </c>
      <c r="AI80" s="1321" t="str">
        <f t="array" ref="AI80">IF( ISERROR(INDEX($A$4:$A$60,SMALL(IF($AI$4:$AI$60&lt;&gt;0,ROW($AI$4:$AI$60)-4),ROW(AI14)))),"",INDEX($A$4:$A$60,SMALL(IF($AI$4:$AI$60&lt;&gt;0,ROW($AI$5:$AI$60)-4),ROW(AI14))))</f>
        <v/>
      </c>
      <c r="AJ80" s="1321" t="str">
        <f t="array" ref="AJ80">IF(ISERROR(INDEX($E$4:$E$60,SMALL(IF($AI$4:$AI$60&lt;&gt;0,ROW($AI$4:$AI$60)-3),ROW(AJ14)))),"",INDEX($AI$4:$AI$60,SMALL(IF($AI$4:$AI$60&lt;&gt;0,ROW($AI$4:$AI$60)-3),ROW(AJ14))))</f>
        <v/>
      </c>
      <c r="AK80" s="1321" t="str">
        <f t="array" ref="AK80">IF( ISERROR(INDEX($A$4:$A$60,SMALL(IF($AK$4:$AK$60&lt;&gt;0,ROW($AK$4:$AK$60)-4),ROW(AK14)))),"",INDEX($A$4:$A$60,SMALL(IF($AK$4:$AK$60&lt;&gt;0,ROW($AK$5:$AK$60)-4),ROW(AK14))))</f>
        <v/>
      </c>
      <c r="AL80" s="1321" t="str">
        <f t="array" ref="AL80">IF(ISERROR(INDEX($AK$4:$AK$60,SMALL(IF($AK$4:$AK$60&lt;&gt;0,ROW($AK$4:$AK$60)-3),ROW(AL14)))),"",INDEX($AK$4:$AK$60,SMALL(IF($AK$4:$AK$60&lt;&gt;0,ROW($AK$4:$AK$60)-3),ROW(AL14))))</f>
        <v/>
      </c>
      <c r="AM80" s="1321" t="str">
        <f t="array" ref="AM80">IF( ISERROR(INDEX($A$4:$A$60,SMALL(IF($AM$4:$AM$60&lt;&gt;0,ROW($AM$4:$AM$60)-4),ROW(AM14)))),"",INDEX($A$4:$A$60,SMALL(IF($AM$4:$AM$60&lt;&gt;0,ROW($AM$5:$AM$60)-4),ROW(AM14))))</f>
        <v/>
      </c>
      <c r="AN80" s="1321" t="str">
        <f t="array" ref="AN80">IF(ISERROR(INDEX($AM$4:$AM$60,SMALL(IF($AM$4:$AM$60&lt;&gt;0,ROW($AM$4:$AM$60)-3),ROW(AN14)))),"",INDEX($AM$4:$AM$60,SMALL(IF($AM$4:$AM$60&lt;&gt;0,ROW($AM$4:$AM$60)-3),ROW(AN14))))</f>
        <v/>
      </c>
      <c r="AO80" s="1321" t="str">
        <f t="array" ref="AO80">IF( ISERROR(INDEX($A$4:$A$60,SMALL(IF($AO$4:$AO$60&lt;&gt;0,ROW($AO$4:$AO$60)-4),ROW(AO14)))),"",INDEX($A$4:$A$60,SMALL(IF($AO$4:$AO$60&lt;&gt;0,ROW($AO$5:$AO$60)-4),ROW(AO14))))</f>
        <v/>
      </c>
      <c r="AP80" s="1321" t="str">
        <f t="array" ref="AP80">IF(ISERROR(INDEX($AO$4:$AO$60,SMALL(IF($AO$4:$AO$60&lt;&gt;0,ROW($AO$4:$AO$60)-3),ROW(AP14)))),"",INDEX($AO$4:$AO$60,SMALL(IF($AO$4:$AO$60&lt;&gt;0,ROW($AO$4:$AO$60)-3),ROW(AP14))))</f>
        <v/>
      </c>
      <c r="AQ80" s="1321" t="str">
        <f t="array" ref="AQ80">IF( ISERROR(INDEX($A$4:$A$60,SMALL(IF($AQ$4:$AQ$60&lt;&gt;0,ROW($AQ$4:$AQ$60)-4),ROW(AQ14)))),"",INDEX($A$4:$A$60,SMALL(IF($AQ$4:$AQ$60&lt;&gt;0,ROW($AQ$5:$AQ$60)-4),ROW(AQ14))))</f>
        <v/>
      </c>
      <c r="AR80" s="1321" t="str">
        <f t="array" ref="AR80">IF(ISERROR(INDEX($AQ$4:$AQ$60,SMALL(IF($AQ$4:$AQ$60&lt;&gt;0,ROW($AQ$4:$AQ$60)-3),ROW(AR14)))),"",INDEX($AQ$4:$AQ$60,SMALL(IF($AQ$4:$AQ$60&lt;&gt;0,ROW($AQ$4:$AQ$60)-3),ROW(AR14))))</f>
        <v/>
      </c>
      <c r="AS80" s="1321" t="str">
        <f t="array" ref="AS80">IF( ISERROR(INDEX($A$4:$A$60,SMALL(IF($AS$4:$AS$60&lt;&gt;0,ROW($AS$4:$AS$60)-4),ROW(AS14)))),"",INDEX($A$4:$A$60,SMALL(IF($AS$4:$AS$60&lt;&gt;0,ROW($AS$5:$AS$60)-4),ROW(AS14))))</f>
        <v/>
      </c>
      <c r="AT80" s="1321" t="str">
        <f t="array" ref="AT80">IF(ISERROR(INDEX($AS$4:$AS$60,SMALL(IF($AS$4:$AS$60&lt;&gt;0,ROW($AS$4:$AS$60)-3),ROW(AT14)))),"",INDEX($AS$4:$AS$60,SMALL(IF($AS$4:$AS$60&lt;&gt;0,ROW($AS$4:$AS$60)-3),ROW(AT14))))</f>
        <v/>
      </c>
      <c r="AU80" s="1321" t="str">
        <f t="array" ref="AU80">IF( ISERROR(INDEX($A$4:$A$60,SMALL(IF($AU$4:$AU$60&lt;&gt;0,ROW($AU$4:$AU$60)-4),ROW(AU14)))),"",INDEX($A$4:$A$60,SMALL(IF($AU$4:$AU$60&lt;&gt;0,ROW($AU$5:$AU$60)-4),ROW(AU14))))</f>
        <v/>
      </c>
      <c r="AV80" s="1321" t="str">
        <f t="array" ref="AV80">IF(ISERROR(INDEX($AU$4:$AU$60,SMALL(IF($AU$4:$AU$60&lt;&gt;0,ROW($AU$4:$AU$60)-3),ROW(AV14)))),"",INDEX($AU$4:$AU$60,SMALL(IF($AU$4:$AU$60&lt;&gt;0,ROW($AU$4:$AU$60)-3),ROW(AV14))))</f>
        <v/>
      </c>
      <c r="AW80" s="1321" t="str">
        <f t="array" ref="AW80">IF( ISERROR(INDEX($A$4:$A$60,SMALL(IF($AW$4:$AW$60&lt;&gt;0,ROW($AW$4:$AW$60)-4),ROW(AW14)))),"",INDEX($A$4:$A$60,SMALL(IF($AW$4:$AW$60&lt;&gt;0,ROW($AW$5:$AW$60)-4),ROW(AW14))))</f>
        <v/>
      </c>
      <c r="AX80" s="1321" t="str">
        <f t="array" ref="AX80">IF(ISERROR(INDEX($AW$4:$AW$60,SMALL(IF($AW$4:$AW$60&lt;&gt;0,ROW($AW$4:$AW$60)-3),ROW(AX14)))),"",INDEX($AW$4:$AW$60,SMALL(IF($AW$4:$AW$60&lt;&gt;0,ROW($AW$4:$AW$60)-3),ROW(AX14))))</f>
        <v/>
      </c>
      <c r="AY80" s="1321" t="str">
        <f t="array" ref="AY80">IF( ISERROR(INDEX($A$4:$A$60,SMALL(IF($AY$4:$AY$60&lt;&gt;0,ROW($AY$4:$AY$60)-4),ROW(AY14)))),"",INDEX($A$4:$A$60,SMALL(IF($AY$4:$AY$60&lt;&gt;0,ROW($AY$5:$AY$60)-4),ROW(AY14))))</f>
        <v/>
      </c>
      <c r="AZ80" s="1321" t="str">
        <f t="array" ref="AZ80">IF(ISERROR(INDEX($AY$4:$AY$60,SMALL(IF($AY$4:$AY$60&lt;&gt;0,ROW($AY$4:$AY$60)-3),ROW(AZ14)))),"",INDEX($AY$4:$AY$60,SMALL(IF($AY$4:$AY$60&lt;&gt;0,ROW($AY$4:$AY$60)-3),ROW(AZ14))))</f>
        <v/>
      </c>
      <c r="BA80" s="1321" t="str">
        <f t="array" ref="BA80">IF( ISERROR(INDEX($A$4:$A$60,SMALL(IF($BA$4:$BA$60&lt;&gt;0,ROW($BA$4:$BA$60)-4),ROW(BA14)))),"",INDEX($A$4:$A$60,SMALL(IF($BA$4:$BA$60&lt;&gt;0,ROW($BA$5:$BA$60)-4),ROW(BA14))))</f>
        <v/>
      </c>
      <c r="BB80" s="1321" t="str">
        <f t="array" ref="BB80">IF(ISERROR(INDEX($BA$4:$BA$60,SMALL(IF($BA$4:$BA$60&lt;&gt;0,ROW($BA$4:$BA$60)-3),ROW(BB14)))),"",INDEX($BA$4:$BA$60,SMALL(IF($BA$4:$BA$60&lt;&gt;0,ROW($BA$4:$BA$60)-3),ROW(BB14))))</f>
        <v/>
      </c>
      <c r="BC80" s="1321" t="str">
        <f t="array" ref="BC80">IF( ISERROR(INDEX($A$4:$A$60,SMALL(IF($BC$4:$BC$60&lt;&gt;0,ROW($BC$4:$BC$60)-4),ROW(BC14)))),"",INDEX($A$4:$A$60,SMALL(IF($BC$4:$BC$60&lt;&gt;0,ROW($BC$5:$BC$60)-4),ROW(BC14))))</f>
        <v/>
      </c>
      <c r="BD80" s="1321" t="str">
        <f t="array" ref="BD80">IF(ISERROR(INDEX($BC$4:$BC$60,SMALL(IF($BC$4:$BC$60&lt;&gt;0,ROW($BC$4:$BC$60)-3),ROW(BD14)))),"",INDEX($BC$4:$BC$60,SMALL(IF($BC$4:$BC$60&lt;&gt;0,ROW($BC$4:$BC$60)-3),ROW(BD14))))</f>
        <v/>
      </c>
      <c r="BE80" s="1321" t="str">
        <f t="array" ref="BE80">IF( ISERROR(INDEX($A$4:$A$60,SMALL(IF($BE$4:$BE$60&lt;&gt;0,ROW($BE$4:$BE$60)-4),ROW(BE14)))),"",INDEX($A$4:$A$60,SMALL(IF($BE$4:$BE$60&lt;&gt;0,ROW($BE$5:$BE$60)-4),ROW(BE14))))</f>
        <v/>
      </c>
      <c r="BF80" s="1321" t="str">
        <f t="array" ref="BF80">IF(ISERROR(INDEX($BE$4:$BE$60,SMALL(IF($BE$4:$BE$60&lt;&gt;0,ROW($BE$4:$BE$60)-3),ROW(BF14)))),"",INDEX($BE$4:$BE$60,SMALL(IF($BE$4:$BE$60&lt;&gt;0,ROW($BE$4:$BE$60)-3),ROW(BF14))))</f>
        <v/>
      </c>
      <c r="BG80" s="1321" t="str">
        <f t="array" ref="BG80">IF( ISERROR(INDEX($A$4:$A$60,SMALL(IF($BG$4:$BG$60&lt;&gt;0,ROW($BG$4:$BG$60)-4),ROW(BG14)))),"",INDEX($A$4:$A$60,SMALL(IF($BG$4:$BG$60&lt;&gt;0,ROW($BG$5:$BG$60)-4),ROW(BG14))))</f>
        <v/>
      </c>
      <c r="BH80" s="1321" t="str">
        <f t="array" ref="BH80">IF(ISERROR(INDEX($BG$4:$BG$60,SMALL(IF($BG$4:$BG$60&lt;&gt;0,ROW($BG$4:$BG$60)-3),ROW(BH14)))),"",INDEX($BG$4:$BG$60,SMALL(IF($BG$4:$BG$60&lt;&gt;0,ROW($BG$4:$BG$60)-3),ROW(BH14))))</f>
        <v/>
      </c>
      <c r="BI80" s="1321" t="str">
        <f t="array" ref="BI80">IF( ISERROR(INDEX($A$4:$A$60,SMALL(IF($BI$4:$BI$60&lt;&gt;0,ROW($BI$4:$BI$60)-4),ROW(BI14)))),"",INDEX($A$4:$A$60,SMALL(IF($BI$4:$BI$60&lt;&gt;0,ROW($BI$5:$BI$60)-4),ROW(BI14))))</f>
        <v/>
      </c>
      <c r="BJ80" s="1321" t="str">
        <f t="array" ref="BJ80">IF(ISERROR(INDEX($BI$4:$BI$60,SMALL(IF($BI$4:$BI$60&lt;&gt;0,ROW($BI$4:$BI$60)-3),ROW(BJ14)))),"",INDEX($BI$4:$BI$60,SMALL(IF($BI$4:$BI$60&lt;&gt;0,ROW($BI$4:$BI$60)-3),ROW(BJ14))))</f>
        <v/>
      </c>
      <c r="BK80" s="1321" t="str">
        <f t="array" ref="BK80">IF( ISERROR(INDEX($A$4:$A$60,SMALL(IF($BK$4:$BK$60&lt;&gt;0,ROW($BK$4:$BK$60)-4),ROW(BK14)))),"",INDEX($A$4:$A$60,SMALL(IF($BK$4:$BK$60&lt;&gt;0,ROW($BK$5:$BK$60)-4),ROW(BK14))))</f>
        <v/>
      </c>
      <c r="BL80" s="1321" t="str">
        <f t="array" ref="BL80">IF(ISERROR(INDEX($BK$4:$BK$60,SMALL(IF($BK$4:$BK$60&lt;&gt;0,ROW($BK$4:$BK$60)-3),ROW(BL14)))),"",INDEX($BK$4:$BK$60,SMALL(IF($BK$4:$BK$60&lt;&gt;0,ROW($BK$4:$BK$60)-3),ROW(BL14))))</f>
        <v/>
      </c>
      <c r="BM80" s="1321" t="str">
        <f t="array" ref="BM80">IF( ISERROR(INDEX($A$4:$A$60,SMALL(IF($BM$4:$BM$60&lt;&gt;0,ROW($BM$4:$BM$60)-4),ROW(BM14)))),"",INDEX($A$4:$A$60,SMALL(IF($BM$4:$BM$60&lt;&gt;0,ROW($BM$5:$BM$60)-4),ROW(BM14))))</f>
        <v/>
      </c>
      <c r="BN80" s="1321" t="str">
        <f t="array" ref="BN80">IF(ISERROR(INDEX($BM$4:$BM$60,SMALL(IF($BM$4:$BM$60&lt;&gt;0,ROW($BM$4:$BM$60)-3),ROW(BN14)))),"",INDEX($BM$4:$BM$60,SMALL(IF($BM$4:$BM$60&lt;&gt;0,ROW($BM$4:$BM$60)-3),ROW(BN14))))</f>
        <v/>
      </c>
      <c r="BO80" s="1321" t="str">
        <f t="array" ref="BO80">IF( ISERROR(INDEX($A$4:$A$60,SMALL(IF($BO$4:$BO$60&lt;&gt;0,ROW($BO$4:$BO$60)-4),ROW(BO14)))),"",INDEX($A$4:$A$60,SMALL(IF($BO$4:$BO$60&lt;&gt;0,ROW($BO$5:$BO$60)-4),ROW(BO14))))</f>
        <v/>
      </c>
      <c r="BP80" s="1321" t="str">
        <f t="array" ref="BP80">IF(ISERROR(INDEX($BO$4:$BO$60,SMALL(IF($BO$4:$BO$60&lt;&gt;0,ROW($BO$4:$BO$60)-3),ROW(BP14)))),"",INDEX($BO$4:$BO$60,SMALL(IF($BO$4:$BO$60&lt;&gt;0,ROW($BO$4:$BO$60)-3),ROW(BP14))))</f>
        <v/>
      </c>
      <c r="BQ80" s="1321" t="str">
        <f t="array" ref="BQ80">IF( ISERROR(INDEX($A$4:$A$60,SMALL(IF($BQ$4:$BQ$60&lt;&gt;0,ROW($BQ$4:$BQ$60)-4),ROW(BQ14)))),"",INDEX($A$4:$A$60,SMALL(IF($BQ$4:$BQ$60&lt;&gt;0,ROW($BQ$5:$BQ$60)-4),ROW(BQ14))))</f>
        <v/>
      </c>
      <c r="BR80" s="1321" t="str">
        <f t="array" ref="BR80">IF(ISERROR(INDEX($BQ$4:$BQ$60,SMALL(IF($BQ$4:$BQ$60&lt;&gt;0,ROW($BQ$4:$BQ$60)-3),ROW(BR14)))),"",INDEX($BQ$4:$BQ$60,SMALL(IF($BQ$4:$BQ$60&lt;&gt;0,ROW($BQ$4:$BQ$60)-3),ROW(BR14))))</f>
        <v/>
      </c>
      <c r="BS80" s="1321" t="str">
        <f t="array" ref="BS80">IF( ISERROR(INDEX($A$4:$A$60,SMALL(IF($BS$4:$BS$60&lt;&gt;0,ROW($BS$4:$BS$60)-4),ROW(BS14)))),"",INDEX($A$4:$A$60,SMALL(IF($BS$4:$BS$60&lt;&gt;0,ROW($BS$5:$BS$60)-4),ROW(BS14))))</f>
        <v/>
      </c>
      <c r="BT80" s="1321" t="str">
        <f t="array" ref="BT80">IF(ISERROR(INDEX($BS$4:$BS$60,SMALL(IF($BS$4:$BS$60&lt;&gt;0,ROW($BS$4:$BS$60)-3),ROW(BT14)))),"",INDEX($BS$4:$BS$60,SMALL(IF($BS$4:$BS$60&lt;&gt;0,ROW($BS$4:$BS$60)-3),ROW(BT14))))</f>
        <v/>
      </c>
      <c r="BU80" s="1321" t="str">
        <f t="array" ref="BU80">IF( ISERROR(INDEX($A$4:$A$60,SMALL(IF($BU$4:$BU$60&lt;&gt;0,ROW($BU$4:$BU$60)-4),ROW(BU14)))),"",INDEX($A$4:$A$60,SMALL(IF($BU$4:$BU$60&lt;&gt;0,ROW($BU$5:$BU$60)-4),ROW(BU14))))</f>
        <v/>
      </c>
      <c r="BV80" s="1321" t="str">
        <f t="array" ref="BV80">IF(ISERROR(INDEX($BQ$4:$BQ$60,SMALL(IF($BU$4:$BU$60&lt;&gt;0,ROW($BU$4:$BU$60)-3),ROW(BV14)))),"",INDEX($BU$4:$BU$60,SMALL(IF($BU$4:$BU$60&lt;&gt;0,ROW($BU$4:$BU$60)-3),ROW(BV14))))</f>
        <v/>
      </c>
      <c r="BW80" s="1321" t="str">
        <f t="array" ref="BW80">IF( ISERROR(INDEX($A$4:$A$60,SMALL(IF($BW$4:$BW$60&lt;&gt;0,ROW($BW$4:$BW$60)-4),ROW(BW14)))),"",INDEX($A$4:$A$60,SMALL(IF($BW$4:$BW$60&lt;&gt;0,ROW($BW$5:$BW$60)-4),ROW(BW14))))</f>
        <v/>
      </c>
      <c r="BX80" s="1321" t="str">
        <f t="array" ref="BX80">IF(ISERROR(INDEX($BW$4:$BW$60,SMALL(IF($BW$4:$BW$60&lt;&gt;0,ROW($BW$4:$BW$60)-3),ROW(BX14)))),"",INDEX($BW$4:$BW$60,SMALL(IF($BW$4:$BW$60&lt;&gt;0,ROW($BW$4:$BW$60)-3),ROW(BX14))))</f>
        <v/>
      </c>
      <c r="BY80" s="1321" t="str">
        <f t="array" ref="BY80">IF( ISERROR(INDEX($A$4:$A$60,SMALL(IF($BY$4:$BY$60&lt;&gt;0,ROW($BY$4:$BY$60)-4),ROW(BY14)))),"",INDEX($A$4:$A$60,SMALL(IF($BY$4:$BY$60&lt;&gt;0,ROW($BY$5:$BY$60)-4),ROW(BY14))))</f>
        <v/>
      </c>
      <c r="BZ80" s="1321" t="str">
        <f t="array" ref="BZ80">IF(ISERROR(INDEX($BY$4:$BY$60,SMALL(IF($BY$4:$BY$60&lt;&gt;0,ROW($BY$4:$BY$60)-3),ROW(BZ14)))),"",INDEX($BY$4:$BY$60,SMALL(IF($BY$4:$BY$60&lt;&gt;0,ROW($BY$4:$BY$60)-3),ROW(BZ14))))</f>
        <v/>
      </c>
      <c r="CA80" s="1321" t="str">
        <f t="array" ref="CA80">IF( ISERROR(INDEX($A$4:$A$60,SMALL(IF($CA$4:$CA$60&lt;&gt;0,ROW($CA$4:$CA$60)-4),ROW(CA14)))),"",INDEX($A$4:$A$60,SMALL(IF($CA$4:$CA$60&lt;&gt;0,ROW($CA$5:$CA$60)-4),ROW(CA14))))</f>
        <v/>
      </c>
      <c r="CB80" s="1321" t="str">
        <f t="array" ref="CB80">IF(ISERROR(INDEX($CA$4:$CA$60,SMALL(IF($CA$4:$CA$60&lt;&gt;0,ROW($CA$4:$CA$60)-3),ROW(CB14)))),"",INDEX($CA$4:$CA$60,SMALL(IF($CA$4:$CA$60&lt;&gt;0,ROW($CA$4:$CA$60)-3),ROW(CB14))))</f>
        <v/>
      </c>
      <c r="CC80" s="1321" t="str">
        <f t="array" ref="CC80">IF( ISERROR(INDEX($A$4:$A$60,SMALL(IF($CC$4:$CC$60&lt;&gt;0,ROW($CC$4:$CC$60)-4),ROW(CC14)))),"",INDEX($A$4:$A$60,SMALL(IF($CC$4:$CC$60&lt;&gt;0,ROW($CC$5:$CC$60)-4),ROW(CC14))))</f>
        <v/>
      </c>
      <c r="CD80" s="1321" t="str">
        <f t="array" ref="CD80">IF(ISERROR(INDEX($CC$4:$CC$60,SMALL(IF($CC$4:$CC$60&lt;&gt;0,ROW($CC$4:$CC$60)-3),ROW(CD14)))),"",INDEX($CC$4:$CC$60,SMALL(IF($CC$4:$CC$60&lt;&gt;0,ROW($CC$4:$CC$60)-3),ROW(CD14))))</f>
        <v/>
      </c>
      <c r="CE80" s="1321" t="str">
        <f t="array" ref="CE80">IF( ISERROR(INDEX($A$4:$A$60,SMALL(IF($CE$4:$CE$60&lt;&gt;0,ROW($CE$4:$CE$60)-4),ROW(CE14)))),"",INDEX($A$4:$A$60,SMALL(IF($CE$4:$CE$60&lt;&gt;0,ROW($CE$5:$CE$60)-4),ROW(CE14))))</f>
        <v/>
      </c>
      <c r="CF80" s="1321" t="str">
        <f t="array" ref="CF80">IF(ISERROR(INDEX($CE$4:$CE$60,SMALL(IF($CE$4:$CE$60&lt;&gt;0,ROW($CE$4:$CE$60)-3),ROW(CF14)))),"",INDEX($CE$4:$CE$60,SMALL(IF($CE$4:$CE$60&lt;&gt;0,ROW($CE$4:$CE$60)-3),ROW(CF14))))</f>
        <v/>
      </c>
      <c r="CG80" s="1321" t="str">
        <f t="array" ref="CG80">IF( ISERROR(INDEX($A$4:$A$60,SMALL(IF($CG$4:$CG$60&lt;&gt;0,ROW($CG$4:$CG$60)-4),ROW(CG14)))),"",INDEX($A$4:$A$60,SMALL(IF($CG$4:$CG$60&lt;&gt;0,ROW($CG$5:$CG$60)-4),ROW(CG14))))</f>
        <v/>
      </c>
      <c r="CH80" s="1321" t="str">
        <f t="array" ref="CH80">IF(ISERROR(INDEX($CG$4:$CG$60,SMALL(IF($CG$4:$CG$60&lt;&gt;0,ROW($CG$4:$CG$60)-3),ROW(CH14)))),"",INDEX($CG$4:$CG$60,SMALL(IF($CG$4:$CG$60&lt;&gt;0,ROW($CG$4:$CG$60)-3),ROW(CH14))))</f>
        <v/>
      </c>
      <c r="CI80" s="1321" t="str">
        <f t="array" ref="CI80">IF( ISERROR(INDEX($A$4:$A$60,SMALL(IF($CA$4:$CA$60&lt;&gt;0,ROW($CA$4:$CA$60)-4),ROW(CI14)))),"",INDEX($A$4:$A$60,SMALL(IF($CA$4:$CA$60&lt;&gt;0,ROW($CA$5:$CA$60)-4),ROW(CI14))))</f>
        <v/>
      </c>
      <c r="CJ80" s="1321" t="str">
        <f t="array" ref="CJ80">IF(ISERROR(INDEX($CA$4:$CA$60,SMALL(IF($CA$4:$CA$60&lt;&gt;0,ROW($CA$4:$CA$60)-3),ROW(CJ14)))),"",INDEX($CA$4:$CA$60,SMALL(IF($CA$4:$CA$60&lt;&gt;0,ROW($CA$4:$CA$60)-3),ROW(CJ14))))</f>
        <v/>
      </c>
      <c r="CK80" s="1321" t="str">
        <f t="array" ref="CK80">IF( ISERROR(INDEX($A$4:$A$60,SMALL(IF($CK$4:$CK$60&lt;&gt;0,ROW($CK$4:$CK$60)-4),ROW(CK14)))),"",INDEX($A$4:$A$60,SMALL(IF($CK$4:$CK$60&lt;&gt;0,ROW($CK$5:$CK$60)-4),ROW(CK14))))</f>
        <v/>
      </c>
      <c r="CL80" s="1321" t="str">
        <f t="array" ref="CL80">IF(ISERROR(INDEX($CK$4:$CK$60,SMALL(IF($CK$4:$CK$60&lt;&gt;0,ROW($CK$4:$CK$60)-3),ROW(CL14)))),"",INDEX($CK$4:$CK$60,SMALL(IF($CK$4:$CK$60&lt;&gt;0,ROW($CK$4:$CK$60)-3),ROW(CL14))))</f>
        <v/>
      </c>
      <c r="CM80" s="1321" t="str">
        <f t="array" ref="CM80">IF( ISERROR(INDEX($A$4:$A$60,SMALL(IF($CM$4:$CM$60&lt;&gt;0,ROW($CM$4:$CM$60)-4),ROW(CM14)))),"",INDEX($A$4:$A$60,SMALL(IF($CM$4:$CM$60&lt;&gt;0,ROW($CM$5:$CM$60)-4),ROW(CM14))))</f>
        <v/>
      </c>
      <c r="CN80" s="1321" t="str">
        <f t="array" ref="CN80">IF(ISERROR(INDEX($CM$4:$CM$60,SMALL(IF($CM$4:$CM$60&lt;&gt;0,ROW($CM$4:$CM$60)-3),ROW(CN14)))),"",INDEX($CM$4:$CM$60,SMALL(IF($CM$4:$CM$60&lt;&gt;0,ROW($CM$4:$CM$60)-3),ROW(CN14))))</f>
        <v/>
      </c>
      <c r="CO80" s="1321" t="str">
        <f t="array" ref="CO80">IF( ISERROR(INDEX($A$4:$A$60,SMALL(IF($CO$4:$CO$60&lt;&gt;0,ROW($CO$4:$CO$60)-4),ROW(CO14)))),"",INDEX($A$4:$A$60,SMALL(IF($CO$4:$CO$60&lt;&gt;0,ROW($CO$5:$CO$60)-4),ROW(CO14))))</f>
        <v/>
      </c>
      <c r="CP80" s="1321" t="str">
        <f t="array" ref="CP80">IF(ISERROR(INDEX($CO$4:$CO$60,SMALL(IF($CO$4:$CO$60&lt;&gt;0,ROW($CO$4:$CO$60)-3),ROW(CP14)))),"",INDEX($CO$4:$CO$60,SMALL(IF($CO$4:$CO$60&lt;&gt;0,ROW($CO$4:$CO$60)-3),ROW(CP14))))</f>
        <v/>
      </c>
      <c r="CQ80" s="1321" t="str">
        <f t="array" ref="CQ80">IF( ISERROR(INDEX($A$4:$A$60,SMALL(IF($CQ$4:$CQ$60&lt;&gt;0,ROW($CQ$4:$CQ$60)-4),ROW(CQ14)))),"",INDEX($A$4:$A$60,SMALL(IF($CQ$4:$CQ$60&lt;&gt;0,ROW($CQ$5:$CQ$60)-4),ROW(CQ14))))</f>
        <v/>
      </c>
      <c r="CR80" s="1321" t="str">
        <f t="array" ref="CR80">IF(ISERROR(INDEX($CQ$4:$CQ$60,SMALL(IF($CQ$4:$CQ$60&lt;&gt;0,ROW($CQ$4:$CQ$60)-3),ROW(CR14)))),"",INDEX($CQ$4:$CQ$60,SMALL(IF($CQ$4:$CQ$60&lt;&gt;0,ROW($CQ$4:$CQ$60)-3),ROW(CR14))))</f>
        <v/>
      </c>
      <c r="CS80" s="1321" t="str">
        <f t="array" ref="CS80">IF( ISERROR(INDEX($A$4:$A$60,SMALL(IF($CS$4:$CS$60&lt;&gt;0,ROW($CS$4:$CS$60)-4),ROW(CS14)))),"",INDEX($A$4:$A$60,SMALL(IF($CS$4:$CS$60&lt;&gt;0,ROW($CS$5:$CS$60)-4),ROW(CS14))))</f>
        <v/>
      </c>
      <c r="CT80" s="1321" t="str">
        <f t="array" ref="CT80">IF(ISERROR(INDEX($CS$4:$CS$60,SMALL(IF($CS$4:$CS$60&lt;&gt;0,ROW($CS$4:$CS$60)-3),ROW(CT14)))),"",INDEX($CS$4:$CS$60,SMALL(IF($CS$4:$CS$60&lt;&gt;0,ROW($CS$4:$CS$60)-3),ROW(CT14))))</f>
        <v/>
      </c>
      <c r="CU80" s="1321" t="str">
        <f t="array" ref="CU80">IF( ISERROR(INDEX($A$4:$A$60,SMALL(IF($CU$4:$CU$60&lt;&gt;0,ROW($CU$4:$CU$60)-4),ROW(CU14)))),"",INDEX($A$4:$A$60,SMALL(IF($CU$4:$CU$60&lt;&gt;0,ROW($CU$5:$CU$60)-4),ROW(CU14))))</f>
        <v/>
      </c>
      <c r="CV80" s="1321" t="str">
        <f t="array" ref="CV80">IF(ISERROR(INDEX($CU$4:$CU$60,SMALL(IF($CU$4:$CU$60&lt;&gt;0,ROW($CU$4:$CU$60)-3),ROW(CV14)))),"",INDEX($CU$4:$CU$60,SMALL(IF($CU$4:$CU$60&lt;&gt;0,ROW($CU$4:$CU$60)-3),ROW(CV14))))</f>
        <v/>
      </c>
      <c r="CW80" s="1321" t="str">
        <f t="array" ref="CW80">IF( ISERROR(INDEX($A$4:$A$60,SMALL(IF($CW$4:$CW$60&lt;&gt;0,ROW($CW$4:$CW$60)-4),ROW(CW14)))),"",INDEX($A$4:$A$60,SMALL(IF($CW$4:$CW$60&lt;&gt;0,ROW($CW$5:$CW$60)-4),ROW(CW14))))</f>
        <v/>
      </c>
      <c r="CX80" s="1321" t="str">
        <f t="array" ref="CX80">IF(ISERROR(INDEX($CW$4:$CW$60,SMALL(IF($CW$4:$CW$60&lt;&gt;0,ROW($CW$4:$CW$60)-3),ROW(CX14)))),"",INDEX($CW$4:$CW$60,SMALL(IF($CW$4:$CW$60&lt;&gt;0,ROW($CW$4:$CW$60)-3),ROW(CX14))))</f>
        <v/>
      </c>
      <c r="CY80" s="1321" t="str">
        <f t="array" ref="CY80">IF( ISERROR(INDEX($A$4:$A$60,SMALL(IF($CY$4:$CY$60&lt;&gt;0,ROW($CY$4:$CY$60)-4),ROW(CY14)))),"",INDEX($A$4:$A$60,SMALL(IF($CY$4:$CY$60&lt;&gt;0,ROW($CY$5:$CY$60)-4),ROW(CY14))))</f>
        <v/>
      </c>
      <c r="CZ80" s="1321" t="str">
        <f t="array" ref="CZ80">IF(ISERROR(INDEX($CY$4:$CY$60,SMALL(IF($CY$4:$CY$60&lt;&gt;0,ROW($CY$4:$CY$60)-3),ROW(CZ14)))),"",INDEX($CY$4:$CY$60,SMALL(IF($CY$4:$CY$60&lt;&gt;0,ROW($CY$4:$CY$60)-3),ROW(CZ14))))</f>
        <v/>
      </c>
      <c r="DA80" s="1321"/>
      <c r="DB80" s="1321"/>
      <c r="DC80" s="1321"/>
      <c r="DD80" s="1321"/>
      <c r="DE80" s="1321"/>
      <c r="DF80" s="1321"/>
      <c r="DG80" s="1321"/>
      <c r="DH80" s="1321"/>
      <c r="DI80" s="1321"/>
      <c r="DJ80" s="1321"/>
      <c r="DK80" s="1321"/>
      <c r="DL80" s="1321"/>
      <c r="DM80" s="1321"/>
      <c r="DN80" s="1321"/>
      <c r="DO80" s="1321"/>
      <c r="DP80" s="1321"/>
      <c r="DQ80" s="1321"/>
      <c r="DR80" s="1321"/>
      <c r="DS80" s="1321"/>
      <c r="DT80" s="1321"/>
      <c r="DU80" s="1321"/>
      <c r="DV80" s="1321"/>
      <c r="DW80" s="1321"/>
      <c r="DX80" s="1321"/>
      <c r="DY80" s="1321"/>
      <c r="DZ80" s="1321"/>
      <c r="EA80" s="1321"/>
      <c r="EB80" s="1321"/>
      <c r="EC80" s="1321"/>
      <c r="ED80" s="1321"/>
      <c r="EE80" s="1321"/>
      <c r="EF80" s="1321"/>
      <c r="EG80" s="1321"/>
      <c r="EH80" s="1321"/>
      <c r="EI80" s="1321"/>
      <c r="EJ80" s="1321"/>
      <c r="EK80" s="1321"/>
      <c r="EL80" s="1321"/>
      <c r="EM80" s="1321"/>
      <c r="EN80" s="1321"/>
      <c r="EO80" s="1321"/>
      <c r="EP80" s="1321"/>
      <c r="EQ80" s="1321"/>
      <c r="ER80" s="1321"/>
      <c r="ES80" s="1321"/>
      <c r="ET80" s="1321"/>
      <c r="EU80" s="1321"/>
      <c r="EV80" s="1321"/>
      <c r="EW80" s="1321"/>
      <c r="EX80" s="1321"/>
      <c r="EY80" s="1321"/>
      <c r="EZ80" s="1321"/>
      <c r="FA80" s="1321"/>
      <c r="FB80" s="1321"/>
      <c r="FC80" s="1321"/>
      <c r="FD80" s="1321"/>
      <c r="FE80" s="1321"/>
      <c r="FF80" s="1321"/>
      <c r="FG80" s="1321"/>
      <c r="FH80" s="1321"/>
      <c r="FI80" s="1321"/>
      <c r="FJ80" s="1321"/>
      <c r="FK80" s="1321"/>
      <c r="FL80" s="1321"/>
      <c r="FM80" s="1321"/>
      <c r="FN80" s="1321"/>
      <c r="FO80" s="1321"/>
      <c r="FP80" s="1321"/>
      <c r="FQ80" s="1321"/>
      <c r="FR80" s="1321"/>
      <c r="FS80" s="1321"/>
      <c r="FT80" s="1321"/>
      <c r="FU80" s="1321"/>
      <c r="FV80" s="1321"/>
      <c r="FW80" s="1321"/>
      <c r="FX80" s="1321"/>
      <c r="FY80" s="1321"/>
      <c r="FZ80" s="1321"/>
      <c r="GA80" s="1321"/>
      <c r="GB80" s="1321"/>
      <c r="GC80" s="1321"/>
      <c r="GD80" s="1321"/>
      <c r="GE80" s="1321"/>
      <c r="GF80" s="1321"/>
      <c r="GG80" s="1321"/>
      <c r="GH80" s="1321"/>
      <c r="GI80" s="1321"/>
      <c r="GJ80" s="1321"/>
      <c r="GK80" s="1321"/>
      <c r="GL80" s="1321"/>
      <c r="GM80" s="1321"/>
      <c r="GN80" s="1321"/>
      <c r="GO80" s="1321"/>
      <c r="GP80" s="1321"/>
      <c r="GQ80" s="1321"/>
      <c r="GR80" s="1321"/>
      <c r="GS80" s="1321"/>
      <c r="GT80" s="1321"/>
      <c r="GU80" s="1321"/>
      <c r="GV80" s="1321"/>
      <c r="GW80" s="1321"/>
      <c r="GX80" s="1321"/>
      <c r="GY80" s="1321"/>
      <c r="GZ80" s="1321"/>
    </row>
    <row r="81" spans="3:208" hidden="1">
      <c r="C81" s="1321" t="str">
        <f t="array" ref="C81">IF( ISERROR(INDEX($A$4:$A$60,SMALL(IF($C$4:$C$60&lt;&gt;0,ROW($C$4:$C$60)-4),ROW(A15)))),"",INDEX($A$4:$A$60,SMALL(IF($C$4:$C$60&lt;&gt;0,ROW($C$5:$C$60)-4),ROW(A15))))</f>
        <v/>
      </c>
      <c r="D81" s="1321" t="str">
        <f t="array" ref="D81">IF(ISERROR(INDEX($C$4:$C$60,SMALL(IF($C$4:$C$60&lt;&gt;0,ROW($C$4:$C$60)-3),ROW(D15)))),"",INDEX($C$4:$C$60,SMALL(IF($C$4:$C$60&lt;&gt;0,ROW($C$4:$C$60)-3),ROW(D15))))</f>
        <v/>
      </c>
      <c r="E81" s="1321" t="str">
        <f t="array" ref="E81">IF( ISERROR(INDEX($A$4:$A$60,SMALL(IF($E$4:$E$60&lt;&gt;0,ROW($E$4:$E$60)-4),ROW(E15)))),"",INDEX($A$4:$A$60,SMALL(IF($E$4:$E$60&lt;&gt;0,ROW($E$5:$E$60)-4),ROW(E15))))</f>
        <v/>
      </c>
      <c r="F81" s="1321" t="str">
        <f t="array" ref="F81">IF(ISERROR(INDEX($E$4:$E$60,SMALL(IF($E$4:$E$60&lt;&gt;0,ROW($E$4:$E$60)-3),ROW(F15)))),"",INDEX($E$4:$E$60,SMALL(IF($E$4:$E$60&lt;&gt;0,ROW($E$4:$E$60)-3),ROW(F15))))</f>
        <v/>
      </c>
      <c r="G81" s="1321" t="str">
        <f t="array" ref="G81">IF( ISERROR(INDEX($A$4:$A$60,SMALL(IF($G$4:$G$60&lt;&gt;0,ROW($G$4:$G$60)-4),ROW(G15)))),"",INDEX($A$4:$A$60,SMALL(IF($G$4:$G$60&lt;&gt;0,ROW($G$5:$G$60)-4),ROW(G15))))</f>
        <v/>
      </c>
      <c r="H81" s="1321" t="str">
        <f t="array" ref="H81">IF(ISERROR(INDEX($E$4:$E$60,SMALL(IF($G$4:$G$60&lt;&gt;0,ROW($G$4:$G$60)-3),ROW(H15)))),"",INDEX($G$4:$G$60,SMALL(IF($G$4:$G$60&lt;&gt;0,ROW($G$4:$G$60)-3),ROW(H15))))</f>
        <v/>
      </c>
      <c r="I81" s="1321" t="str">
        <f t="array" ref="I81">IF( ISERROR(INDEX($A$4:$A$60,SMALL(IF($I$4:$I$60&lt;&gt;0,ROW($I$4:$I$60)-4),ROW(I15)))),"",INDEX($A$4:$A$60,SMALL(IF($I$4:$I$60&lt;&gt;0,ROW($I$5:$I$60)-4),ROW(I15))))</f>
        <v/>
      </c>
      <c r="J81" s="1321" t="str">
        <f t="array" ref="J81">IF(ISERROR(INDEX($I$4:$I$60,SMALL(IF($I$4:$I$60&lt;&gt;0,ROW($I$4:$I$60)-3),ROW(J15)))),"",INDEX($I$4:$I$60,SMALL(IF($I$4:$I$60&lt;&gt;0,ROW($I$4:$I$60)-3),ROW(J15))))</f>
        <v/>
      </c>
      <c r="K81" s="1321" t="str">
        <f t="array" ref="K81">IF( ISERROR(INDEX($A$4:$A$60,SMALL(IF($K$4:$K$60&lt;&gt;0,ROW($K$4:$K$60)-4),ROW(K15)))),"",INDEX($A$4:$A$60,SMALL(IF($K$4:$K$60&lt;&gt;0,ROW($K$5:$K$60)-4),ROW(K15))))</f>
        <v/>
      </c>
      <c r="L81" s="1321" t="str">
        <f t="array" ref="L81">IF(ISERROR(INDEX($K$4:$K$60,SMALL(IF($K$4:$K$60&lt;&gt;0,ROW($K$4:$K$60)-3),ROW(L15)))),"",INDEX($K$4:$K$60,SMALL(IF($K$4:$K$60&lt;&gt;0,ROW($K$4:$K$60)-3),ROW(L15))))</f>
        <v/>
      </c>
      <c r="M81" s="1321" t="str">
        <f t="array" ref="M81">IF( ISERROR(INDEX($A$4:$A$60,SMALL(IF($M$4:$M$60&lt;&gt;0,ROW($M$4:$M$60)-4),ROW(M15)))),"",INDEX($A$4:$A$60,SMALL(IF($M$4:$M$60&lt;&gt;0,ROW($M$5:$M$60)-4),ROW(M15))))</f>
        <v/>
      </c>
      <c r="N81" s="1321" t="str">
        <f t="array" ref="N81">IF(ISERROR(INDEX($M$4:$M$60,SMALL(IF($M$4:$M$60&lt;&gt;0,ROW($M$4:$M$60)-3),ROW(N15)))),"",INDEX($M$4:$M$60,SMALL(IF($M$4:$M$60&lt;&gt;0,ROW($M$4:$M$60)-3),ROW(N15))))</f>
        <v/>
      </c>
      <c r="O81" s="1321" t="str">
        <f t="array" ref="O81">IF( ISERROR(INDEX($A$4:$A$60,SMALL(IF($O$4:$O$60&lt;&gt;0,ROW($O$4:$O$60)-4),ROW(O15)))),"",INDEX($A$4:$A$60,SMALL(IF($O$4:$O$60&lt;&gt;0,ROW($O$5:$O$60)-4),ROW(O15))))</f>
        <v/>
      </c>
      <c r="P81" s="1321" t="str">
        <f t="array" ref="P81">IF(ISERROR(INDEX($O$4:$O$60,SMALL(IF($O$4:$O$60&lt;&gt;0,ROW($O$4:$O$60)-3),ROW(P15)))),"",INDEX($O$4:$O$60,SMALL(IF($O$4:$O$60&lt;&gt;0,ROW($O$4:$O$60)-3),ROW(P15))))</f>
        <v/>
      </c>
      <c r="Q81" s="1321" t="str">
        <f t="array" ref="Q81">IF( ISERROR(INDEX($A$4:$A$60,SMALL(IF($Q$4:$Q$60&lt;&gt;0,ROW($Q$4:$Q$60)-4),ROW(Q15)))),"",INDEX($A$4:$A$60,SMALL(IF($Q$4:$Q$60&lt;&gt;0,ROW($Q$5:$Q$60)-4),ROW(Q15))))</f>
        <v/>
      </c>
      <c r="R81" s="1321" t="str">
        <f t="array" ref="R81">IF(ISERROR(INDEX($Q$4:$Q$60,SMALL(IF($Q$4:$Q$60&lt;&gt;0,ROW($Q$4:$Q$60)-3),ROW(R15)))),"",INDEX($Q$4:$Q$60,SMALL(IF($Q$4:$Q$60&lt;&gt;0,ROW($Q$4:$Q$60)-3),ROW(R15))))</f>
        <v/>
      </c>
      <c r="S81" s="1321" t="str">
        <f t="array" ref="S81">IF( ISERROR(INDEX($A$4:$A$60,SMALL(IF($S$4:$S$60&lt;&gt;0,ROW($S$4:$S$60)-4),ROW(S15)))),"",INDEX($A$4:$A$60,SMALL(IF($S$4:$S$60&lt;&gt;0,ROW($S$5:$S$60)-4),ROW(S15))))</f>
        <v/>
      </c>
      <c r="T81" s="1321" t="str">
        <f t="array" ref="T81">IF(ISERROR(INDEX($S$4:$S$60,SMALL(IF($S$4:$S$60&lt;&gt;0,ROW($S$4:$S$60)-3),ROW(T15)))),"",INDEX($S$4:$S$60,SMALL(IF($S$4:$S$60&lt;&gt;0,ROW($S$4:$S$60)-3),ROW(T15))))</f>
        <v/>
      </c>
      <c r="U81" s="1321" t="str">
        <f t="array" ref="U81">IF( ISERROR(INDEX($A$4:$A$60,SMALL(IF($U$4:$U$60&lt;&gt;0,ROW($U$4:$U$60)-4),ROW(U15)))),"",INDEX($A$4:$A$60,SMALL(IF($U$4:$U$60&lt;&gt;0,ROW($U$5:$U$60)-4),ROW(U15))))</f>
        <v/>
      </c>
      <c r="V81" s="1321" t="str">
        <f t="array" ref="V81">IF(ISERROR(INDEX($U$4:$U$60,SMALL(IF($U$4:$U$60&lt;&gt;0,ROW($U$4:$U$60)-3),ROW(V15)))),"",INDEX($U$4:$U$60,SMALL(IF($U$4:$U$60&lt;&gt;0,ROW($U$4:$U$60)-3),ROW(V15))))</f>
        <v/>
      </c>
      <c r="W81" s="1321" t="str">
        <f t="array" ref="W81">IF( ISERROR(INDEX($A$4:$A$60,SMALL(IF($W$4:$W$60&lt;&gt;0,ROW($W$4:$W$60)-4),ROW(W15)))),"",INDEX($A$4:$A$60,SMALL(IF($W$4:$W$60&lt;&gt;0,ROW($W$5:$W$60)-4),ROW(W15))))</f>
        <v/>
      </c>
      <c r="X81" s="1321" t="str">
        <f t="array" ref="X81">IF(ISERROR(INDEX($W$4:$W$60,SMALL(IF($W$4:$W$60&lt;&gt;0,ROW($W$4:$W$60)-3),ROW(X15)))),"",INDEX($W$4:$W$60,SMALL(IF($W$4:$W$60&lt;&gt;0,ROW($W$4:$W$60)-3),ROW(X15))))</f>
        <v/>
      </c>
      <c r="Y81" s="1321" t="str">
        <f t="array" ref="Y81">IF( ISERROR(INDEX($A$4:$A$60,SMALL(IF($Y$4:$Y$60&lt;&gt;0,ROW($Y$4:$Y$60)-4),ROW(Y15)))),"",INDEX($A$4:$A$60,SMALL(IF($Y$4:$Y$60&lt;&gt;0,ROW($Y$5:$Y$60)-4),ROW(Y15))))</f>
        <v/>
      </c>
      <c r="Z81" s="1321" t="str">
        <f t="array" ref="Z81">IF(ISERROR(INDEX($Y$4:$Y$60,SMALL(IF($Y$4:$Y$60&lt;&gt;0,ROW($Y$4:$Y$60)-3),ROW(Z15)))),"",INDEX($Y$4:$Y$60,SMALL(IF($Y$4:$Y$60&lt;&gt;0,ROW($Y$4:$Y$60)-3),ROW(Z15))))</f>
        <v/>
      </c>
      <c r="AA81" s="1321" t="str">
        <f t="array" ref="AA81">IF( ISERROR(INDEX($A$4:$A$60,SMALL(IF($AA$4:$AA$60&lt;&gt;0,ROW($AA$4:$AA$60)-4),ROW(AA15)))),"",INDEX($A$4:$A$60,SMALL(IF($AA$4:$AA$60&lt;&gt;0,ROW($AA$5:$AA$60)-4),ROW(AA15))))</f>
        <v/>
      </c>
      <c r="AB81" s="1321" t="str">
        <f t="array" ref="AB81">IF(ISERROR(INDEX($AA$4:$AA$60,SMALL(IF($AA$4:$AA$60&lt;&gt;0,ROW($AA$4:$AA$60)-3),ROW(AB15)))),"",INDEX($AA$4:$AA$60,SMALL(IF($AA$4:$AA$60&lt;&gt;0,ROW($AA$4:$AA$60)-3),ROW(AB15))))</f>
        <v/>
      </c>
      <c r="AC81" s="1321" t="str">
        <f t="array" ref="AC81">IF( ISERROR(INDEX($A$4:$A$60,SMALL(IF($AC$4:$AC$60&lt;&gt;0,ROW($AC$4:$AC$60)-4),ROW(AC15)))),"",INDEX($A$4:$A$60,SMALL(IF($AC$4:$AC$60&lt;&gt;0,ROW($AC$5:$AC$60)-4),ROW(AC15))))</f>
        <v/>
      </c>
      <c r="AD81" s="1321" t="str">
        <f t="array" ref="AD81">IF(ISERROR(INDEX($AC$4:$AC$60,SMALL(IF($AC$4:$AC$60&lt;&gt;0,ROW($AC$4:$AC$60)-3),ROW(AD15)))),"",INDEX($AC$4:$AC$60,SMALL(IF($AC$4:$AC$60&lt;&gt;0,ROW($AC$4:$AC$60)-3),ROW(AD15))))</f>
        <v/>
      </c>
      <c r="AE81" s="1321" t="str">
        <f t="array" ref="AE81">IF( ISERROR(INDEX($A$4:$A$60,SMALL(IF($AE$4:$AE$60&lt;&gt;0,ROW($AE$4:$AE$60)-4),ROW(AE15)))),"",INDEX($A$4:$A$60,SMALL(IF($AE$4:$AE$60&lt;&gt;0,ROW($AE$5:$AE$60)-4),ROW(AE15))))</f>
        <v/>
      </c>
      <c r="AF81" s="1321" t="str">
        <f t="array" ref="AF81">IF(ISERROR(INDEX($AE$4:$AE$60,SMALL(IF($AE$4:$AE$60&lt;&gt;0,ROW($AE$4:$AE$60)-3),ROW(AF15)))),"",INDEX($AE$4:$AE$60,SMALL(IF($AE$4:$AE$60&lt;&gt;0,ROW($AE$4:$AE$60)-3),ROW(AF15))))</f>
        <v/>
      </c>
      <c r="AG81" s="1321" t="str">
        <f t="array" ref="AG81">IF( ISERROR(INDEX($A$4:$A$60,SMALL(IF($AG$4:$AG$60&lt;&gt;0,ROW($AG$4:$AG$60)-4),ROW(AG15)))),"",INDEX($A$4:$A$60,SMALL(IF($AG$4:$AG$60&lt;&gt;0,ROW($AG$5:$AG$60)-4),ROW(AG15))))</f>
        <v/>
      </c>
      <c r="AH81" s="1321" t="str">
        <f t="array" ref="AH81">IF(ISERROR(INDEX($AG$4:$AG$60,SMALL(IF($AG$4:$AG$60&lt;&gt;0,ROW($AG$4:$AG$60)-3),ROW(AH15)))),"",INDEX($AG$4:$AG$60,SMALL(IF($AG$4:$AG$60&lt;&gt;0,ROW($AG$4:$AG$60)-3),ROW(AH15))))</f>
        <v/>
      </c>
      <c r="AI81" s="1321" t="str">
        <f t="array" ref="AI81">IF( ISERROR(INDEX($A$4:$A$60,SMALL(IF($AI$4:$AI$60&lt;&gt;0,ROW($AI$4:$AI$60)-4),ROW(AI15)))),"",INDEX($A$4:$A$60,SMALL(IF($AI$4:$AI$60&lt;&gt;0,ROW($AI$5:$AI$60)-4),ROW(AI15))))</f>
        <v/>
      </c>
      <c r="AJ81" s="1321" t="str">
        <f t="array" ref="AJ81">IF(ISERROR(INDEX($E$4:$E$60,SMALL(IF($AI$4:$AI$60&lt;&gt;0,ROW($AI$4:$AI$60)-3),ROW(AJ15)))),"",INDEX($AI$4:$AI$60,SMALL(IF($AI$4:$AI$60&lt;&gt;0,ROW($AI$4:$AI$60)-3),ROW(AJ15))))</f>
        <v/>
      </c>
      <c r="AK81" s="1321" t="str">
        <f t="array" ref="AK81">IF( ISERROR(INDEX($A$4:$A$60,SMALL(IF($AK$4:$AK$60&lt;&gt;0,ROW($AK$4:$AK$60)-4),ROW(AK15)))),"",INDEX($A$4:$A$60,SMALL(IF($AK$4:$AK$60&lt;&gt;0,ROW($AK$5:$AK$60)-4),ROW(AK15))))</f>
        <v/>
      </c>
      <c r="AL81" s="1321" t="str">
        <f t="array" ref="AL81">IF(ISERROR(INDEX($AK$4:$AK$60,SMALL(IF($AK$4:$AK$60&lt;&gt;0,ROW($AK$4:$AK$60)-3),ROW(AL15)))),"",INDEX($AK$4:$AK$60,SMALL(IF($AK$4:$AK$60&lt;&gt;0,ROW($AK$4:$AK$60)-3),ROW(AL15))))</f>
        <v/>
      </c>
      <c r="AM81" s="1321" t="str">
        <f t="array" ref="AM81">IF( ISERROR(INDEX($A$4:$A$60,SMALL(IF($AM$4:$AM$60&lt;&gt;0,ROW($AM$4:$AM$60)-4),ROW(AM15)))),"",INDEX($A$4:$A$60,SMALL(IF($AM$4:$AM$60&lt;&gt;0,ROW($AM$5:$AM$60)-4),ROW(AM15))))</f>
        <v/>
      </c>
      <c r="AN81" s="1321" t="str">
        <f t="array" ref="AN81">IF(ISERROR(INDEX($AM$4:$AM$60,SMALL(IF($AM$4:$AM$60&lt;&gt;0,ROW($AM$4:$AM$60)-3),ROW(AN15)))),"",INDEX($AM$4:$AM$60,SMALL(IF($AM$4:$AM$60&lt;&gt;0,ROW($AM$4:$AM$60)-3),ROW(AN15))))</f>
        <v/>
      </c>
      <c r="AO81" s="1321" t="str">
        <f t="array" ref="AO81">IF( ISERROR(INDEX($A$4:$A$60,SMALL(IF($AO$4:$AO$60&lt;&gt;0,ROW($AO$4:$AO$60)-4),ROW(AO15)))),"",INDEX($A$4:$A$60,SMALL(IF($AO$4:$AO$60&lt;&gt;0,ROW($AO$5:$AO$60)-4),ROW(AO15))))</f>
        <v/>
      </c>
      <c r="AP81" s="1321" t="str">
        <f t="array" ref="AP81">IF(ISERROR(INDEX($AO$4:$AO$60,SMALL(IF($AO$4:$AO$60&lt;&gt;0,ROW($AO$4:$AO$60)-3),ROW(AP15)))),"",INDEX($AO$4:$AO$60,SMALL(IF($AO$4:$AO$60&lt;&gt;0,ROW($AO$4:$AO$60)-3),ROW(AP15))))</f>
        <v/>
      </c>
      <c r="AQ81" s="1321" t="str">
        <f t="array" ref="AQ81">IF( ISERROR(INDEX($A$4:$A$60,SMALL(IF($AQ$4:$AQ$60&lt;&gt;0,ROW($AQ$4:$AQ$60)-4),ROW(AQ15)))),"",INDEX($A$4:$A$60,SMALL(IF($AQ$4:$AQ$60&lt;&gt;0,ROW($AQ$5:$AQ$60)-4),ROW(AQ15))))</f>
        <v/>
      </c>
      <c r="AR81" s="1321" t="str">
        <f t="array" ref="AR81">IF(ISERROR(INDEX($AQ$4:$AQ$60,SMALL(IF($AQ$4:$AQ$60&lt;&gt;0,ROW($AQ$4:$AQ$60)-3),ROW(AR15)))),"",INDEX($AQ$4:$AQ$60,SMALL(IF($AQ$4:$AQ$60&lt;&gt;0,ROW($AQ$4:$AQ$60)-3),ROW(AR15))))</f>
        <v/>
      </c>
      <c r="AS81" s="1321" t="str">
        <f t="array" ref="AS81">IF( ISERROR(INDEX($A$4:$A$60,SMALL(IF($AS$4:$AS$60&lt;&gt;0,ROW($AS$4:$AS$60)-4),ROW(AS15)))),"",INDEX($A$4:$A$60,SMALL(IF($AS$4:$AS$60&lt;&gt;0,ROW($AS$5:$AS$60)-4),ROW(AS15))))</f>
        <v/>
      </c>
      <c r="AT81" s="1321" t="str">
        <f t="array" ref="AT81">IF(ISERROR(INDEX($AS$4:$AS$60,SMALL(IF($AS$4:$AS$60&lt;&gt;0,ROW($AS$4:$AS$60)-3),ROW(AT15)))),"",INDEX($AS$4:$AS$60,SMALL(IF($AS$4:$AS$60&lt;&gt;0,ROW($AS$4:$AS$60)-3),ROW(AT15))))</f>
        <v/>
      </c>
      <c r="AU81" s="1321" t="str">
        <f t="array" ref="AU81">IF( ISERROR(INDEX($A$4:$A$60,SMALL(IF($AU$4:$AU$60&lt;&gt;0,ROW($AU$4:$AU$60)-4),ROW(AU15)))),"",INDEX($A$4:$A$60,SMALL(IF($AU$4:$AU$60&lt;&gt;0,ROW($AU$5:$AU$60)-4),ROW(AU15))))</f>
        <v/>
      </c>
      <c r="AV81" s="1321" t="str">
        <f t="array" ref="AV81">IF(ISERROR(INDEX($AU$4:$AU$60,SMALL(IF($AU$4:$AU$60&lt;&gt;0,ROW($AU$4:$AU$60)-3),ROW(AV15)))),"",INDEX($AU$4:$AU$60,SMALL(IF($AU$4:$AU$60&lt;&gt;0,ROW($AU$4:$AU$60)-3),ROW(AV15))))</f>
        <v/>
      </c>
      <c r="AW81" s="1321" t="str">
        <f t="array" ref="AW81">IF( ISERROR(INDEX($A$4:$A$60,SMALL(IF($AW$4:$AW$60&lt;&gt;0,ROW($AW$4:$AW$60)-4),ROW(AW15)))),"",INDEX($A$4:$A$60,SMALL(IF($AW$4:$AW$60&lt;&gt;0,ROW($AW$5:$AW$60)-4),ROW(AW15))))</f>
        <v/>
      </c>
      <c r="AX81" s="1321" t="str">
        <f t="array" ref="AX81">IF(ISERROR(INDEX($AW$4:$AW$60,SMALL(IF($AW$4:$AW$60&lt;&gt;0,ROW($AW$4:$AW$60)-3),ROW(AX15)))),"",INDEX($AW$4:$AW$60,SMALL(IF($AW$4:$AW$60&lt;&gt;0,ROW($AW$4:$AW$60)-3),ROW(AX15))))</f>
        <v/>
      </c>
      <c r="AY81" s="1321" t="str">
        <f t="array" ref="AY81">IF( ISERROR(INDEX($A$4:$A$60,SMALL(IF($AY$4:$AY$60&lt;&gt;0,ROW($AY$4:$AY$60)-4),ROW(AY15)))),"",INDEX($A$4:$A$60,SMALL(IF($AY$4:$AY$60&lt;&gt;0,ROW($AY$5:$AY$60)-4),ROW(AY15))))</f>
        <v/>
      </c>
      <c r="AZ81" s="1321" t="str">
        <f t="array" ref="AZ81">IF(ISERROR(INDEX($AY$4:$AY$60,SMALL(IF($AY$4:$AY$60&lt;&gt;0,ROW($AY$4:$AY$60)-3),ROW(AZ15)))),"",INDEX($AY$4:$AY$60,SMALL(IF($AY$4:$AY$60&lt;&gt;0,ROW($AY$4:$AY$60)-3),ROW(AZ15))))</f>
        <v/>
      </c>
      <c r="BA81" s="1321" t="str">
        <f t="array" ref="BA81">IF( ISERROR(INDEX($A$4:$A$60,SMALL(IF($BA$4:$BA$60&lt;&gt;0,ROW($BA$4:$BA$60)-4),ROW(BA15)))),"",INDEX($A$4:$A$60,SMALL(IF($BA$4:$BA$60&lt;&gt;0,ROW($BA$5:$BA$60)-4),ROW(BA15))))</f>
        <v/>
      </c>
      <c r="BB81" s="1321" t="str">
        <f t="array" ref="BB81">IF(ISERROR(INDEX($BA$4:$BA$60,SMALL(IF($BA$4:$BA$60&lt;&gt;0,ROW($BA$4:$BA$60)-3),ROW(BB15)))),"",INDEX($BA$4:$BA$60,SMALL(IF($BA$4:$BA$60&lt;&gt;0,ROW($BA$4:$BA$60)-3),ROW(BB15))))</f>
        <v/>
      </c>
      <c r="BC81" s="1321" t="str">
        <f t="array" ref="BC81">IF( ISERROR(INDEX($A$4:$A$60,SMALL(IF($BC$4:$BC$60&lt;&gt;0,ROW($BC$4:$BC$60)-4),ROW(BC15)))),"",INDEX($A$4:$A$60,SMALL(IF($BC$4:$BC$60&lt;&gt;0,ROW($BC$5:$BC$60)-4),ROW(BC15))))</f>
        <v/>
      </c>
      <c r="BD81" s="1321" t="str">
        <f t="array" ref="BD81">IF(ISERROR(INDEX($BC$4:$BC$60,SMALL(IF($BC$4:$BC$60&lt;&gt;0,ROW($BC$4:$BC$60)-3),ROW(BD15)))),"",INDEX($BC$4:$BC$60,SMALL(IF($BC$4:$BC$60&lt;&gt;0,ROW($BC$4:$BC$60)-3),ROW(BD15))))</f>
        <v/>
      </c>
      <c r="BE81" s="1321" t="str">
        <f t="array" ref="BE81">IF( ISERROR(INDEX($A$4:$A$60,SMALL(IF($BE$4:$BE$60&lt;&gt;0,ROW($BE$4:$BE$60)-4),ROW(BE15)))),"",INDEX($A$4:$A$60,SMALL(IF($BE$4:$BE$60&lt;&gt;0,ROW($BE$5:$BE$60)-4),ROW(BE15))))</f>
        <v/>
      </c>
      <c r="BF81" s="1321" t="str">
        <f t="array" ref="BF81">IF(ISERROR(INDEX($BE$4:$BE$60,SMALL(IF($BE$4:$BE$60&lt;&gt;0,ROW($BE$4:$BE$60)-3),ROW(BF15)))),"",INDEX($BE$4:$BE$60,SMALL(IF($BE$4:$BE$60&lt;&gt;0,ROW($BE$4:$BE$60)-3),ROW(BF15))))</f>
        <v/>
      </c>
      <c r="BG81" s="1321" t="str">
        <f t="array" ref="BG81">IF( ISERROR(INDEX($A$4:$A$60,SMALL(IF($BG$4:$BG$60&lt;&gt;0,ROW($BG$4:$BG$60)-4),ROW(BG15)))),"",INDEX($A$4:$A$60,SMALL(IF($BG$4:$BG$60&lt;&gt;0,ROW($BG$5:$BG$60)-4),ROW(BG15))))</f>
        <v/>
      </c>
      <c r="BH81" s="1321" t="str">
        <f t="array" ref="BH81">IF(ISERROR(INDEX($BG$4:$BG$60,SMALL(IF($BG$4:$BG$60&lt;&gt;0,ROW($BG$4:$BG$60)-3),ROW(BH15)))),"",INDEX($BG$4:$BG$60,SMALL(IF($BG$4:$BG$60&lt;&gt;0,ROW($BG$4:$BG$60)-3),ROW(BH15))))</f>
        <v/>
      </c>
      <c r="BI81" s="1321" t="str">
        <f t="array" ref="BI81">IF( ISERROR(INDEX($A$4:$A$60,SMALL(IF($BI$4:$BI$60&lt;&gt;0,ROW($BI$4:$BI$60)-4),ROW(BI15)))),"",INDEX($A$4:$A$60,SMALL(IF($BI$4:$BI$60&lt;&gt;0,ROW($BI$5:$BI$60)-4),ROW(BI15))))</f>
        <v/>
      </c>
      <c r="BJ81" s="1321" t="str">
        <f t="array" ref="BJ81">IF(ISERROR(INDEX($BI$4:$BI$60,SMALL(IF($BI$4:$BI$60&lt;&gt;0,ROW($BI$4:$BI$60)-3),ROW(BJ15)))),"",INDEX($BI$4:$BI$60,SMALL(IF($BI$4:$BI$60&lt;&gt;0,ROW($BI$4:$BI$60)-3),ROW(BJ15))))</f>
        <v/>
      </c>
      <c r="BK81" s="1321" t="str">
        <f t="array" ref="BK81">IF( ISERROR(INDEX($A$4:$A$60,SMALL(IF($BK$4:$BK$60&lt;&gt;0,ROW($BK$4:$BK$60)-4),ROW(BK15)))),"",INDEX($A$4:$A$60,SMALL(IF($BK$4:$BK$60&lt;&gt;0,ROW($BK$5:$BK$60)-4),ROW(BK15))))</f>
        <v/>
      </c>
      <c r="BL81" s="1321" t="str">
        <f t="array" ref="BL81">IF(ISERROR(INDEX($BK$4:$BK$60,SMALL(IF($BK$4:$BK$60&lt;&gt;0,ROW($BK$4:$BK$60)-3),ROW(BL15)))),"",INDEX($BK$4:$BK$60,SMALL(IF($BK$4:$BK$60&lt;&gt;0,ROW($BK$4:$BK$60)-3),ROW(BL15))))</f>
        <v/>
      </c>
      <c r="BM81" s="1321" t="str">
        <f t="array" ref="BM81">IF( ISERROR(INDEX($A$4:$A$60,SMALL(IF($BM$4:$BM$60&lt;&gt;0,ROW($BM$4:$BM$60)-4),ROW(BM15)))),"",INDEX($A$4:$A$60,SMALL(IF($BM$4:$BM$60&lt;&gt;0,ROW($BM$5:$BM$60)-4),ROW(BM15))))</f>
        <v/>
      </c>
      <c r="BN81" s="1321" t="str">
        <f t="array" ref="BN81">IF(ISERROR(INDEX($BM$4:$BM$60,SMALL(IF($BM$4:$BM$60&lt;&gt;0,ROW($BM$4:$BM$60)-3),ROW(BN15)))),"",INDEX($BM$4:$BM$60,SMALL(IF($BM$4:$BM$60&lt;&gt;0,ROW($BM$4:$BM$60)-3),ROW(BN15))))</f>
        <v/>
      </c>
      <c r="BO81" s="1321" t="str">
        <f t="array" ref="BO81">IF( ISERROR(INDEX($A$4:$A$60,SMALL(IF($BO$4:$BO$60&lt;&gt;0,ROW($BO$4:$BO$60)-4),ROW(BO15)))),"",INDEX($A$4:$A$60,SMALL(IF($BO$4:$BO$60&lt;&gt;0,ROW($BO$5:$BO$60)-4),ROW(BO15))))</f>
        <v/>
      </c>
      <c r="BP81" s="1321" t="str">
        <f t="array" ref="BP81">IF(ISERROR(INDEX($BO$4:$BO$60,SMALL(IF($BO$4:$BO$60&lt;&gt;0,ROW($BO$4:$BO$60)-3),ROW(BP15)))),"",INDEX($BO$4:$BO$60,SMALL(IF($BO$4:$BO$60&lt;&gt;0,ROW($BO$4:$BO$60)-3),ROW(BP15))))</f>
        <v/>
      </c>
      <c r="BQ81" s="1321" t="str">
        <f t="array" ref="BQ81">IF( ISERROR(INDEX($A$4:$A$60,SMALL(IF($BQ$4:$BQ$60&lt;&gt;0,ROW($BQ$4:$BQ$60)-4),ROW(BQ15)))),"",INDEX($A$4:$A$60,SMALL(IF($BQ$4:$BQ$60&lt;&gt;0,ROW($BQ$5:$BQ$60)-4),ROW(BQ15))))</f>
        <v/>
      </c>
      <c r="BR81" s="1321" t="str">
        <f t="array" ref="BR81">IF(ISERROR(INDEX($BQ$4:$BQ$60,SMALL(IF($BQ$4:$BQ$60&lt;&gt;0,ROW($BQ$4:$BQ$60)-3),ROW(BR15)))),"",INDEX($BQ$4:$BQ$60,SMALL(IF($BQ$4:$BQ$60&lt;&gt;0,ROW($BQ$4:$BQ$60)-3),ROW(BR15))))</f>
        <v/>
      </c>
      <c r="BS81" s="1321" t="str">
        <f t="array" ref="BS81">IF( ISERROR(INDEX($A$4:$A$60,SMALL(IF($BS$4:$BS$60&lt;&gt;0,ROW($BS$4:$BS$60)-4),ROW(BS15)))),"",INDEX($A$4:$A$60,SMALL(IF($BS$4:$BS$60&lt;&gt;0,ROW($BS$5:$BS$60)-4),ROW(BS15))))</f>
        <v/>
      </c>
      <c r="BT81" s="1321" t="str">
        <f t="array" ref="BT81">IF(ISERROR(INDEX($BS$4:$BS$60,SMALL(IF($BS$4:$BS$60&lt;&gt;0,ROW($BS$4:$BS$60)-3),ROW(BT15)))),"",INDEX($BS$4:$BS$60,SMALL(IF($BS$4:$BS$60&lt;&gt;0,ROW($BS$4:$BS$60)-3),ROW(BT15))))</f>
        <v/>
      </c>
      <c r="BU81" s="1321" t="str">
        <f t="array" ref="BU81">IF( ISERROR(INDEX($A$4:$A$60,SMALL(IF($BU$4:$BU$60&lt;&gt;0,ROW($BU$4:$BU$60)-4),ROW(BU15)))),"",INDEX($A$4:$A$60,SMALL(IF($BU$4:$BU$60&lt;&gt;0,ROW($BU$5:$BU$60)-4),ROW(BU15))))</f>
        <v/>
      </c>
      <c r="BV81" s="1321" t="str">
        <f t="array" ref="BV81">IF(ISERROR(INDEX($BQ$4:$BQ$60,SMALL(IF($BU$4:$BU$60&lt;&gt;0,ROW($BU$4:$BU$60)-3),ROW(BV15)))),"",INDEX($BU$4:$BU$60,SMALL(IF($BU$4:$BU$60&lt;&gt;0,ROW($BU$4:$BU$60)-3),ROW(BV15))))</f>
        <v/>
      </c>
      <c r="BW81" s="1321" t="str">
        <f t="array" ref="BW81">IF( ISERROR(INDEX($A$4:$A$60,SMALL(IF($BW$4:$BW$60&lt;&gt;0,ROW($BW$4:$BW$60)-4),ROW(BW15)))),"",INDEX($A$4:$A$60,SMALL(IF($BW$4:$BW$60&lt;&gt;0,ROW($BW$5:$BW$60)-4),ROW(BW15))))</f>
        <v/>
      </c>
      <c r="BX81" s="1321" t="str">
        <f t="array" ref="BX81">IF(ISERROR(INDEX($BW$4:$BW$60,SMALL(IF($BW$4:$BW$60&lt;&gt;0,ROW($BW$4:$BW$60)-3),ROW(BX15)))),"",INDEX($BW$4:$BW$60,SMALL(IF($BW$4:$BW$60&lt;&gt;0,ROW($BW$4:$BW$60)-3),ROW(BX15))))</f>
        <v/>
      </c>
      <c r="BY81" s="1321" t="str">
        <f t="array" ref="BY81">IF( ISERROR(INDEX($A$4:$A$60,SMALL(IF($BY$4:$BY$60&lt;&gt;0,ROW($BY$4:$BY$60)-4),ROW(BY15)))),"",INDEX($A$4:$A$60,SMALL(IF($BY$4:$BY$60&lt;&gt;0,ROW($BY$5:$BY$60)-4),ROW(BY15))))</f>
        <v/>
      </c>
      <c r="BZ81" s="1321" t="str">
        <f t="array" ref="BZ81">IF(ISERROR(INDEX($BY$4:$BY$60,SMALL(IF($BY$4:$BY$60&lt;&gt;0,ROW($BY$4:$BY$60)-3),ROW(BZ15)))),"",INDEX($BY$4:$BY$60,SMALL(IF($BY$4:$BY$60&lt;&gt;0,ROW($BY$4:$BY$60)-3),ROW(BZ15))))</f>
        <v/>
      </c>
      <c r="CA81" s="1321" t="str">
        <f t="array" ref="CA81">IF( ISERROR(INDEX($A$4:$A$60,SMALL(IF($CA$4:$CA$60&lt;&gt;0,ROW($CA$4:$CA$60)-4),ROW(CA15)))),"",INDEX($A$4:$A$60,SMALL(IF($CA$4:$CA$60&lt;&gt;0,ROW($CA$5:$CA$60)-4),ROW(CA15))))</f>
        <v/>
      </c>
      <c r="CB81" s="1321" t="str">
        <f t="array" ref="CB81">IF(ISERROR(INDEX($CA$4:$CA$60,SMALL(IF($CA$4:$CA$60&lt;&gt;0,ROW($CA$4:$CA$60)-3),ROW(CB15)))),"",INDEX($CA$4:$CA$60,SMALL(IF($CA$4:$CA$60&lt;&gt;0,ROW($CA$4:$CA$60)-3),ROW(CB15))))</f>
        <v/>
      </c>
      <c r="CC81" s="1321" t="str">
        <f t="array" ref="CC81">IF( ISERROR(INDEX($A$4:$A$60,SMALL(IF($CC$4:$CC$60&lt;&gt;0,ROW($CC$4:$CC$60)-4),ROW(CC15)))),"",INDEX($A$4:$A$60,SMALL(IF($CC$4:$CC$60&lt;&gt;0,ROW($CC$5:$CC$60)-4),ROW(CC15))))</f>
        <v/>
      </c>
      <c r="CD81" s="1321" t="str">
        <f t="array" ref="CD81">IF(ISERROR(INDEX($CC$4:$CC$60,SMALL(IF($CC$4:$CC$60&lt;&gt;0,ROW($CC$4:$CC$60)-3),ROW(CD15)))),"",INDEX($CC$4:$CC$60,SMALL(IF($CC$4:$CC$60&lt;&gt;0,ROW($CC$4:$CC$60)-3),ROW(CD15))))</f>
        <v/>
      </c>
      <c r="CE81" s="1321" t="str">
        <f t="array" ref="CE81">IF( ISERROR(INDEX($A$4:$A$60,SMALL(IF($CE$4:$CE$60&lt;&gt;0,ROW($CE$4:$CE$60)-4),ROW(CE15)))),"",INDEX($A$4:$A$60,SMALL(IF($CE$4:$CE$60&lt;&gt;0,ROW($CE$5:$CE$60)-4),ROW(CE15))))</f>
        <v/>
      </c>
      <c r="CF81" s="1321" t="str">
        <f t="array" ref="CF81">IF(ISERROR(INDEX($CE$4:$CE$60,SMALL(IF($CE$4:$CE$60&lt;&gt;0,ROW($CE$4:$CE$60)-3),ROW(CF15)))),"",INDEX($CE$4:$CE$60,SMALL(IF($CE$4:$CE$60&lt;&gt;0,ROW($CE$4:$CE$60)-3),ROW(CF15))))</f>
        <v/>
      </c>
      <c r="CG81" s="1321" t="str">
        <f t="array" ref="CG81">IF( ISERROR(INDEX($A$4:$A$60,SMALL(IF($CG$4:$CG$60&lt;&gt;0,ROW($CG$4:$CG$60)-4),ROW(CG15)))),"",INDEX($A$4:$A$60,SMALL(IF($CG$4:$CG$60&lt;&gt;0,ROW($CG$5:$CG$60)-4),ROW(CG15))))</f>
        <v/>
      </c>
      <c r="CH81" s="1321" t="str">
        <f t="array" ref="CH81">IF(ISERROR(INDEX($CG$4:$CG$60,SMALL(IF($CG$4:$CG$60&lt;&gt;0,ROW($CG$4:$CG$60)-3),ROW(CH15)))),"",INDEX($CG$4:$CG$60,SMALL(IF($CG$4:$CG$60&lt;&gt;0,ROW($CG$4:$CG$60)-3),ROW(CH15))))</f>
        <v/>
      </c>
      <c r="CI81" s="1321" t="str">
        <f t="array" ref="CI81">IF( ISERROR(INDEX($A$4:$A$60,SMALL(IF($CA$4:$CA$60&lt;&gt;0,ROW($CA$4:$CA$60)-4),ROW(CI15)))),"",INDEX($A$4:$A$60,SMALL(IF($CA$4:$CA$60&lt;&gt;0,ROW($CA$5:$CA$60)-4),ROW(CI15))))</f>
        <v/>
      </c>
      <c r="CJ81" s="1321" t="str">
        <f t="array" ref="CJ81">IF(ISERROR(INDEX($CA$4:$CA$60,SMALL(IF($CA$4:$CA$60&lt;&gt;0,ROW($CA$4:$CA$60)-3),ROW(CJ15)))),"",INDEX($CA$4:$CA$60,SMALL(IF($CA$4:$CA$60&lt;&gt;0,ROW($CA$4:$CA$60)-3),ROW(CJ15))))</f>
        <v/>
      </c>
      <c r="CK81" s="1321" t="str">
        <f t="array" ref="CK81">IF( ISERROR(INDEX($A$4:$A$60,SMALL(IF($CK$4:$CK$60&lt;&gt;0,ROW($CK$4:$CK$60)-4),ROW(CK15)))),"",INDEX($A$4:$A$60,SMALL(IF($CK$4:$CK$60&lt;&gt;0,ROW($CK$5:$CK$60)-4),ROW(CK15))))</f>
        <v/>
      </c>
      <c r="CL81" s="1321" t="str">
        <f t="array" ref="CL81">IF(ISERROR(INDEX($CK$4:$CK$60,SMALL(IF($CK$4:$CK$60&lt;&gt;0,ROW($CK$4:$CK$60)-3),ROW(CL15)))),"",INDEX($CK$4:$CK$60,SMALL(IF($CK$4:$CK$60&lt;&gt;0,ROW($CK$4:$CK$60)-3),ROW(CL15))))</f>
        <v/>
      </c>
      <c r="CM81" s="1321" t="str">
        <f t="array" ref="CM81">IF( ISERROR(INDEX($A$4:$A$60,SMALL(IF($CM$4:$CM$60&lt;&gt;0,ROW($CM$4:$CM$60)-4),ROW(CM15)))),"",INDEX($A$4:$A$60,SMALL(IF($CM$4:$CM$60&lt;&gt;0,ROW($CM$5:$CM$60)-4),ROW(CM15))))</f>
        <v/>
      </c>
      <c r="CN81" s="1321" t="str">
        <f t="array" ref="CN81">IF(ISERROR(INDEX($CM$4:$CM$60,SMALL(IF($CM$4:$CM$60&lt;&gt;0,ROW($CM$4:$CM$60)-3),ROW(CN15)))),"",INDEX($CM$4:$CM$60,SMALL(IF($CM$4:$CM$60&lt;&gt;0,ROW($CM$4:$CM$60)-3),ROW(CN15))))</f>
        <v/>
      </c>
      <c r="CO81" s="1321" t="str">
        <f t="array" ref="CO81">IF( ISERROR(INDEX($A$4:$A$60,SMALL(IF($CO$4:$CO$60&lt;&gt;0,ROW($CO$4:$CO$60)-4),ROW(CO15)))),"",INDEX($A$4:$A$60,SMALL(IF($CO$4:$CO$60&lt;&gt;0,ROW($CO$5:$CO$60)-4),ROW(CO15))))</f>
        <v/>
      </c>
      <c r="CP81" s="1321" t="str">
        <f t="array" ref="CP81">IF(ISERROR(INDEX($CO$4:$CO$60,SMALL(IF($CO$4:$CO$60&lt;&gt;0,ROW($CO$4:$CO$60)-3),ROW(CP15)))),"",INDEX($CO$4:$CO$60,SMALL(IF($CO$4:$CO$60&lt;&gt;0,ROW($CO$4:$CO$60)-3),ROW(CP15))))</f>
        <v/>
      </c>
      <c r="CQ81" s="1321" t="str">
        <f t="array" ref="CQ81">IF( ISERROR(INDEX($A$4:$A$60,SMALL(IF($CQ$4:$CQ$60&lt;&gt;0,ROW($CQ$4:$CQ$60)-4),ROW(CQ15)))),"",INDEX($A$4:$A$60,SMALL(IF($CQ$4:$CQ$60&lt;&gt;0,ROW($CQ$5:$CQ$60)-4),ROW(CQ15))))</f>
        <v/>
      </c>
      <c r="CR81" s="1321" t="str">
        <f t="array" ref="CR81">IF(ISERROR(INDEX($CQ$4:$CQ$60,SMALL(IF($CQ$4:$CQ$60&lt;&gt;0,ROW($CQ$4:$CQ$60)-3),ROW(CR15)))),"",INDEX($CQ$4:$CQ$60,SMALL(IF($CQ$4:$CQ$60&lt;&gt;0,ROW($CQ$4:$CQ$60)-3),ROW(CR15))))</f>
        <v/>
      </c>
      <c r="CS81" s="1321" t="str">
        <f t="array" ref="CS81">IF( ISERROR(INDEX($A$4:$A$60,SMALL(IF($CS$4:$CS$60&lt;&gt;0,ROW($CS$4:$CS$60)-4),ROW(CS15)))),"",INDEX($A$4:$A$60,SMALL(IF($CS$4:$CS$60&lt;&gt;0,ROW($CS$5:$CS$60)-4),ROW(CS15))))</f>
        <v/>
      </c>
      <c r="CT81" s="1321" t="str">
        <f t="array" ref="CT81">IF(ISERROR(INDEX($CS$4:$CS$60,SMALL(IF($CS$4:$CS$60&lt;&gt;0,ROW($CS$4:$CS$60)-3),ROW(CT15)))),"",INDEX($CS$4:$CS$60,SMALL(IF($CS$4:$CS$60&lt;&gt;0,ROW($CS$4:$CS$60)-3),ROW(CT15))))</f>
        <v/>
      </c>
      <c r="CU81" s="1321" t="str">
        <f t="array" ref="CU81">IF( ISERROR(INDEX($A$4:$A$60,SMALL(IF($CU$4:$CU$60&lt;&gt;0,ROW($CU$4:$CU$60)-4),ROW(CU15)))),"",INDEX($A$4:$A$60,SMALL(IF($CU$4:$CU$60&lt;&gt;0,ROW($CU$5:$CU$60)-4),ROW(CU15))))</f>
        <v/>
      </c>
      <c r="CV81" s="1321" t="str">
        <f t="array" ref="CV81">IF(ISERROR(INDEX($CU$4:$CU$60,SMALL(IF($CU$4:$CU$60&lt;&gt;0,ROW($CU$4:$CU$60)-3),ROW(CV15)))),"",INDEX($CU$4:$CU$60,SMALL(IF($CU$4:$CU$60&lt;&gt;0,ROW($CU$4:$CU$60)-3),ROW(CV15))))</f>
        <v/>
      </c>
      <c r="CW81" s="1321" t="str">
        <f t="array" ref="CW81">IF( ISERROR(INDEX($A$4:$A$60,SMALL(IF($CW$4:$CW$60&lt;&gt;0,ROW($CW$4:$CW$60)-4),ROW(CW15)))),"",INDEX($A$4:$A$60,SMALL(IF($CW$4:$CW$60&lt;&gt;0,ROW($CW$5:$CW$60)-4),ROW(CW15))))</f>
        <v/>
      </c>
      <c r="CX81" s="1321" t="str">
        <f t="array" ref="CX81">IF(ISERROR(INDEX($CW$4:$CW$60,SMALL(IF($CW$4:$CW$60&lt;&gt;0,ROW($CW$4:$CW$60)-3),ROW(CX15)))),"",INDEX($CW$4:$CW$60,SMALL(IF($CW$4:$CW$60&lt;&gt;0,ROW($CW$4:$CW$60)-3),ROW(CX15))))</f>
        <v/>
      </c>
      <c r="CY81" s="1321" t="str">
        <f t="array" ref="CY81">IF( ISERROR(INDEX($A$4:$A$60,SMALL(IF($CY$4:$CY$60&lt;&gt;0,ROW($CY$4:$CY$60)-4),ROW(CY15)))),"",INDEX($A$4:$A$60,SMALL(IF($CY$4:$CY$60&lt;&gt;0,ROW($CY$5:$CY$60)-4),ROW(CY15))))</f>
        <v/>
      </c>
      <c r="CZ81" s="1321" t="str">
        <f t="array" ref="CZ81">IF(ISERROR(INDEX($CY$4:$CY$60,SMALL(IF($CY$4:$CY$60&lt;&gt;0,ROW($CY$4:$CY$60)-3),ROW(CZ15)))),"",INDEX($CY$4:$CY$60,SMALL(IF($CY$4:$CY$60&lt;&gt;0,ROW($CY$4:$CY$60)-3),ROW(CZ15))))</f>
        <v/>
      </c>
      <c r="DA81" s="1321"/>
      <c r="DB81" s="1321"/>
      <c r="DC81" s="1321"/>
      <c r="DD81" s="1321"/>
      <c r="DE81" s="1321"/>
      <c r="DF81" s="1321"/>
      <c r="DG81" s="1321"/>
      <c r="DH81" s="1321"/>
      <c r="DI81" s="1321"/>
      <c r="DJ81" s="1321"/>
      <c r="DK81" s="1321"/>
      <c r="DL81" s="1321"/>
      <c r="DM81" s="1321"/>
      <c r="DN81" s="1321"/>
      <c r="DO81" s="1321"/>
      <c r="DP81" s="1321"/>
      <c r="DQ81" s="1321"/>
      <c r="DR81" s="1321"/>
      <c r="DS81" s="1321"/>
      <c r="DT81" s="1321"/>
      <c r="DU81" s="1321"/>
      <c r="DV81" s="1321"/>
      <c r="DW81" s="1321"/>
      <c r="DX81" s="1321"/>
      <c r="DY81" s="1321"/>
      <c r="DZ81" s="1321"/>
      <c r="EA81" s="1321"/>
      <c r="EB81" s="1321"/>
      <c r="EC81" s="1321"/>
      <c r="ED81" s="1321"/>
      <c r="EE81" s="1321"/>
      <c r="EF81" s="1321"/>
      <c r="EG81" s="1321"/>
      <c r="EH81" s="1321"/>
      <c r="EI81" s="1321"/>
      <c r="EJ81" s="1321"/>
      <c r="EK81" s="1321"/>
      <c r="EL81" s="1321"/>
      <c r="EM81" s="1321"/>
      <c r="EN81" s="1321"/>
      <c r="EO81" s="1321"/>
      <c r="EP81" s="1321"/>
      <c r="EQ81" s="1321"/>
      <c r="ER81" s="1321"/>
      <c r="ES81" s="1321"/>
      <c r="ET81" s="1321"/>
      <c r="EU81" s="1321"/>
      <c r="EV81" s="1321"/>
      <c r="EW81" s="1321"/>
      <c r="EX81" s="1321"/>
      <c r="EY81" s="1321"/>
      <c r="EZ81" s="1321"/>
      <c r="FA81" s="1321"/>
      <c r="FB81" s="1321"/>
      <c r="FC81" s="1321"/>
      <c r="FD81" s="1321"/>
      <c r="FE81" s="1321"/>
      <c r="FF81" s="1321"/>
      <c r="FG81" s="1321"/>
      <c r="FH81" s="1321"/>
      <c r="FI81" s="1321"/>
      <c r="FJ81" s="1321"/>
      <c r="FK81" s="1321"/>
      <c r="FL81" s="1321"/>
      <c r="FM81" s="1321"/>
      <c r="FN81" s="1321"/>
      <c r="FO81" s="1321"/>
      <c r="FP81" s="1321"/>
      <c r="FQ81" s="1321"/>
      <c r="FR81" s="1321"/>
      <c r="FS81" s="1321"/>
      <c r="FT81" s="1321"/>
      <c r="FU81" s="1321"/>
      <c r="FV81" s="1321"/>
      <c r="FW81" s="1321"/>
      <c r="FX81" s="1321"/>
      <c r="FY81" s="1321"/>
      <c r="FZ81" s="1321"/>
      <c r="GA81" s="1321"/>
      <c r="GB81" s="1321"/>
      <c r="GC81" s="1321"/>
      <c r="GD81" s="1321"/>
      <c r="GE81" s="1321"/>
      <c r="GF81" s="1321"/>
      <c r="GG81" s="1321"/>
      <c r="GH81" s="1321"/>
      <c r="GI81" s="1321"/>
      <c r="GJ81" s="1321"/>
      <c r="GK81" s="1321"/>
      <c r="GL81" s="1321"/>
      <c r="GM81" s="1321"/>
      <c r="GN81" s="1321"/>
      <c r="GO81" s="1321"/>
      <c r="GP81" s="1321"/>
      <c r="GQ81" s="1321"/>
      <c r="GR81" s="1321"/>
      <c r="GS81" s="1321"/>
      <c r="GT81" s="1321"/>
      <c r="GU81" s="1321"/>
      <c r="GV81" s="1321"/>
      <c r="GW81" s="1321"/>
      <c r="GX81" s="1321"/>
      <c r="GY81" s="1321"/>
      <c r="GZ81" s="1321"/>
    </row>
    <row r="82" spans="3:208" hidden="1">
      <c r="C82" s="1321" t="str">
        <f t="array" ref="C82">IF( ISERROR(INDEX($A$4:$A$60,SMALL(IF($C$4:$C$60&lt;&gt;0,ROW($C$4:$C$60)-4),ROW(A16)))),"",INDEX($A$4:$A$60,SMALL(IF($C$4:$C$60&lt;&gt;0,ROW($C$5:$C$60)-4),ROW(A16))))</f>
        <v/>
      </c>
      <c r="D82" s="1321" t="str">
        <f t="array" ref="D82">IF(ISERROR(INDEX($C$4:$C$60,SMALL(IF($C$4:$C$60&lt;&gt;0,ROW($C$4:$C$60)-3),ROW(D16)))),"",INDEX($C$4:$C$60,SMALL(IF($C$4:$C$60&lt;&gt;0,ROW($C$4:$C$60)-3),ROW(D16))))</f>
        <v/>
      </c>
      <c r="E82" s="1321" t="str">
        <f t="array" ref="E82">IF( ISERROR(INDEX($A$4:$A$60,SMALL(IF($E$4:$E$60&lt;&gt;0,ROW($E$4:$E$60)-4),ROW(E16)))),"",INDEX($A$4:$A$60,SMALL(IF($E$4:$E$60&lt;&gt;0,ROW($E$5:$E$60)-4),ROW(E16))))</f>
        <v/>
      </c>
      <c r="F82" s="1321" t="str">
        <f t="array" ref="F82">IF(ISERROR(INDEX($E$4:$E$60,SMALL(IF($E$4:$E$60&lt;&gt;0,ROW($E$4:$E$60)-3),ROW(F16)))),"",INDEX($E$4:$E$60,SMALL(IF($E$4:$E$60&lt;&gt;0,ROW($E$4:$E$60)-3),ROW(F16))))</f>
        <v/>
      </c>
      <c r="G82" s="1321" t="str">
        <f t="array" ref="G82">IF( ISERROR(INDEX($A$4:$A$60,SMALL(IF($G$4:$G$60&lt;&gt;0,ROW($G$4:$G$60)-4),ROW(G16)))),"",INDEX($A$4:$A$60,SMALL(IF($G$4:$G$60&lt;&gt;0,ROW($G$5:$G$60)-4),ROW(G16))))</f>
        <v/>
      </c>
      <c r="H82" s="1321" t="str">
        <f t="array" ref="H82">IF(ISERROR(INDEX($E$4:$E$60,SMALL(IF($G$4:$G$60&lt;&gt;0,ROW($G$4:$G$60)-3),ROW(H16)))),"",INDEX($G$4:$G$60,SMALL(IF($G$4:$G$60&lt;&gt;0,ROW($G$4:$G$60)-3),ROW(H16))))</f>
        <v/>
      </c>
      <c r="I82" s="1321" t="str">
        <f t="array" ref="I82">IF( ISERROR(INDEX($A$4:$A$60,SMALL(IF($I$4:$I$60&lt;&gt;0,ROW($I$4:$I$60)-4),ROW(I16)))),"",INDEX($A$4:$A$60,SMALL(IF($I$4:$I$60&lt;&gt;0,ROW($I$5:$I$60)-4),ROW(I16))))</f>
        <v/>
      </c>
      <c r="J82" s="1321" t="str">
        <f t="array" ref="J82">IF(ISERROR(INDEX($I$4:$I$60,SMALL(IF($I$4:$I$60&lt;&gt;0,ROW($I$4:$I$60)-3),ROW(J16)))),"",INDEX($I$4:$I$60,SMALL(IF($I$4:$I$60&lt;&gt;0,ROW($I$4:$I$60)-3),ROW(J16))))</f>
        <v/>
      </c>
      <c r="K82" s="1321" t="str">
        <f t="array" ref="K82">IF( ISERROR(INDEX($A$4:$A$60,SMALL(IF($K$4:$K$60&lt;&gt;0,ROW($K$4:$K$60)-4),ROW(K16)))),"",INDEX($A$4:$A$60,SMALL(IF($K$4:$K$60&lt;&gt;0,ROW($K$5:$K$60)-4),ROW(K16))))</f>
        <v/>
      </c>
      <c r="L82" s="1321" t="str">
        <f t="array" ref="L82">IF(ISERROR(INDEX($K$4:$K$60,SMALL(IF($K$4:$K$60&lt;&gt;0,ROW($K$4:$K$60)-3),ROW(L16)))),"",INDEX($K$4:$K$60,SMALL(IF($K$4:$K$60&lt;&gt;0,ROW($K$4:$K$60)-3),ROW(L16))))</f>
        <v/>
      </c>
      <c r="M82" s="1321" t="str">
        <f t="array" ref="M82">IF( ISERROR(INDEX($A$4:$A$60,SMALL(IF($M$4:$M$60&lt;&gt;0,ROW($M$4:$M$60)-4),ROW(M16)))),"",INDEX($A$4:$A$60,SMALL(IF($M$4:$M$60&lt;&gt;0,ROW($M$5:$M$60)-4),ROW(M16))))</f>
        <v/>
      </c>
      <c r="N82" s="1321" t="str">
        <f t="array" ref="N82">IF(ISERROR(INDEX($M$4:$M$60,SMALL(IF($M$4:$M$60&lt;&gt;0,ROW($M$4:$M$60)-3),ROW(N16)))),"",INDEX($M$4:$M$60,SMALL(IF($M$4:$M$60&lt;&gt;0,ROW($M$4:$M$60)-3),ROW(N16))))</f>
        <v/>
      </c>
      <c r="O82" s="1321" t="str">
        <f t="array" ref="O82">IF( ISERROR(INDEX($A$4:$A$60,SMALL(IF($O$4:$O$60&lt;&gt;0,ROW($O$4:$O$60)-4),ROW(O16)))),"",INDEX($A$4:$A$60,SMALL(IF($O$4:$O$60&lt;&gt;0,ROW($O$5:$O$60)-4),ROW(O16))))</f>
        <v/>
      </c>
      <c r="P82" s="1321" t="str">
        <f t="array" ref="P82">IF(ISERROR(INDEX($O$4:$O$60,SMALL(IF($O$4:$O$60&lt;&gt;0,ROW($O$4:$O$60)-3),ROW(P16)))),"",INDEX($O$4:$O$60,SMALL(IF($O$4:$O$60&lt;&gt;0,ROW($O$4:$O$60)-3),ROW(P16))))</f>
        <v/>
      </c>
      <c r="Q82" s="1321" t="str">
        <f t="array" ref="Q82">IF( ISERROR(INDEX($A$4:$A$60,SMALL(IF($Q$4:$Q$60&lt;&gt;0,ROW($Q$4:$Q$60)-4),ROW(Q16)))),"",INDEX($A$4:$A$60,SMALL(IF($Q$4:$Q$60&lt;&gt;0,ROW($Q$5:$Q$60)-4),ROW(Q16))))</f>
        <v/>
      </c>
      <c r="R82" s="1321" t="str">
        <f t="array" ref="R82">IF(ISERROR(INDEX($Q$4:$Q$60,SMALL(IF($Q$4:$Q$60&lt;&gt;0,ROW($Q$4:$Q$60)-3),ROW(R16)))),"",INDEX($Q$4:$Q$60,SMALL(IF($Q$4:$Q$60&lt;&gt;0,ROW($Q$4:$Q$60)-3),ROW(R16))))</f>
        <v/>
      </c>
      <c r="S82" s="1321" t="str">
        <f t="array" ref="S82">IF( ISERROR(INDEX($A$4:$A$60,SMALL(IF($S$4:$S$60&lt;&gt;0,ROW($S$4:$S$60)-4),ROW(S16)))),"",INDEX($A$4:$A$60,SMALL(IF($S$4:$S$60&lt;&gt;0,ROW($S$5:$S$60)-4),ROW(S16))))</f>
        <v/>
      </c>
      <c r="T82" s="1321" t="str">
        <f t="array" ref="T82">IF(ISERROR(INDEX($S$4:$S$60,SMALL(IF($S$4:$S$60&lt;&gt;0,ROW($S$4:$S$60)-3),ROW(T16)))),"",INDEX($S$4:$S$60,SMALL(IF($S$4:$S$60&lt;&gt;0,ROW($S$4:$S$60)-3),ROW(T16))))</f>
        <v/>
      </c>
      <c r="U82" s="1321" t="str">
        <f t="array" ref="U82">IF( ISERROR(INDEX($A$4:$A$60,SMALL(IF($U$4:$U$60&lt;&gt;0,ROW($U$4:$U$60)-4),ROW(U16)))),"",INDEX($A$4:$A$60,SMALL(IF($U$4:$U$60&lt;&gt;0,ROW($U$5:$U$60)-4),ROW(U16))))</f>
        <v/>
      </c>
      <c r="V82" s="1321" t="str">
        <f t="array" ref="V82">IF(ISERROR(INDEX($U$4:$U$60,SMALL(IF($U$4:$U$60&lt;&gt;0,ROW($U$4:$U$60)-3),ROW(V16)))),"",INDEX($U$4:$U$60,SMALL(IF($U$4:$U$60&lt;&gt;0,ROW($U$4:$U$60)-3),ROW(V16))))</f>
        <v/>
      </c>
      <c r="W82" s="1321" t="str">
        <f t="array" ref="W82">IF( ISERROR(INDEX($A$4:$A$60,SMALL(IF($W$4:$W$60&lt;&gt;0,ROW($W$4:$W$60)-4),ROW(W16)))),"",INDEX($A$4:$A$60,SMALL(IF($W$4:$W$60&lt;&gt;0,ROW($W$5:$W$60)-4),ROW(W16))))</f>
        <v/>
      </c>
      <c r="X82" s="1321" t="str">
        <f t="array" ref="X82">IF(ISERROR(INDEX($W$4:$W$60,SMALL(IF($W$4:$W$60&lt;&gt;0,ROW($W$4:$W$60)-3),ROW(X16)))),"",INDEX($W$4:$W$60,SMALL(IF($W$4:$W$60&lt;&gt;0,ROW($W$4:$W$60)-3),ROW(X16))))</f>
        <v/>
      </c>
      <c r="Y82" s="1321" t="str">
        <f t="array" ref="Y82">IF( ISERROR(INDEX($A$4:$A$60,SMALL(IF($Y$4:$Y$60&lt;&gt;0,ROW($Y$4:$Y$60)-4),ROW(Y16)))),"",INDEX($A$4:$A$60,SMALL(IF($Y$4:$Y$60&lt;&gt;0,ROW($Y$5:$Y$60)-4),ROW(Y16))))</f>
        <v/>
      </c>
      <c r="Z82" s="1321" t="str">
        <f t="array" ref="Z82">IF(ISERROR(INDEX($Y$4:$Y$60,SMALL(IF($Y$4:$Y$60&lt;&gt;0,ROW($Y$4:$Y$60)-3),ROW(Z16)))),"",INDEX($Y$4:$Y$60,SMALL(IF($Y$4:$Y$60&lt;&gt;0,ROW($Y$4:$Y$60)-3),ROW(Z16))))</f>
        <v/>
      </c>
      <c r="AA82" s="1321" t="str">
        <f t="array" ref="AA82">IF( ISERROR(INDEX($A$4:$A$60,SMALL(IF($AA$4:$AA$60&lt;&gt;0,ROW($AA$4:$AA$60)-4),ROW(AA16)))),"",INDEX($A$4:$A$60,SMALL(IF($AA$4:$AA$60&lt;&gt;0,ROW($AA$5:$AA$60)-4),ROW(AA16))))</f>
        <v/>
      </c>
      <c r="AB82" s="1321" t="str">
        <f t="array" ref="AB82">IF(ISERROR(INDEX($AA$4:$AA$60,SMALL(IF($AA$4:$AA$60&lt;&gt;0,ROW($AA$4:$AA$60)-3),ROW(AB16)))),"",INDEX($AA$4:$AA$60,SMALL(IF($AA$4:$AA$60&lt;&gt;0,ROW($AA$4:$AA$60)-3),ROW(AB16))))</f>
        <v/>
      </c>
      <c r="AC82" s="1321" t="str">
        <f t="array" ref="AC82">IF( ISERROR(INDEX($A$4:$A$60,SMALL(IF($AC$4:$AC$60&lt;&gt;0,ROW($AC$4:$AC$60)-4),ROW(AC16)))),"",INDEX($A$4:$A$60,SMALL(IF($AC$4:$AC$60&lt;&gt;0,ROW($AC$5:$AC$60)-4),ROW(AC16))))</f>
        <v/>
      </c>
      <c r="AD82" s="1321" t="str">
        <f t="array" ref="AD82">IF(ISERROR(INDEX($AC$4:$AC$60,SMALL(IF($AC$4:$AC$60&lt;&gt;0,ROW($AC$4:$AC$60)-3),ROW(AD16)))),"",INDEX($AC$4:$AC$60,SMALL(IF($AC$4:$AC$60&lt;&gt;0,ROW($AC$4:$AC$60)-3),ROW(AD16))))</f>
        <v/>
      </c>
      <c r="AE82" s="1321" t="str">
        <f t="array" ref="AE82">IF( ISERROR(INDEX($A$4:$A$60,SMALL(IF($AE$4:$AE$60&lt;&gt;0,ROW($AE$4:$AE$60)-4),ROW(AE16)))),"",INDEX($A$4:$A$60,SMALL(IF($AE$4:$AE$60&lt;&gt;0,ROW($AE$5:$AE$60)-4),ROW(AE16))))</f>
        <v/>
      </c>
      <c r="AF82" s="1321" t="str">
        <f t="array" ref="AF82">IF(ISERROR(INDEX($AE$4:$AE$60,SMALL(IF($AE$4:$AE$60&lt;&gt;0,ROW($AE$4:$AE$60)-3),ROW(AF16)))),"",INDEX($AE$4:$AE$60,SMALL(IF($AE$4:$AE$60&lt;&gt;0,ROW($AE$4:$AE$60)-3),ROW(AF16))))</f>
        <v/>
      </c>
      <c r="AG82" s="1321" t="str">
        <f t="array" ref="AG82">IF( ISERROR(INDEX($A$4:$A$60,SMALL(IF($AG$4:$AG$60&lt;&gt;0,ROW($AG$4:$AG$60)-4),ROW(AG16)))),"",INDEX($A$4:$A$60,SMALL(IF($AG$4:$AG$60&lt;&gt;0,ROW($AG$5:$AG$60)-4),ROW(AG16))))</f>
        <v/>
      </c>
      <c r="AH82" s="1321" t="str">
        <f t="array" ref="AH82">IF(ISERROR(INDEX($AG$4:$AG$60,SMALL(IF($AG$4:$AG$60&lt;&gt;0,ROW($AG$4:$AG$60)-3),ROW(AH16)))),"",INDEX($AG$4:$AG$60,SMALL(IF($AG$4:$AG$60&lt;&gt;0,ROW($AG$4:$AG$60)-3),ROW(AH16))))</f>
        <v/>
      </c>
      <c r="AI82" s="1321" t="str">
        <f t="array" ref="AI82">IF( ISERROR(INDEX($A$4:$A$60,SMALL(IF($AI$4:$AI$60&lt;&gt;0,ROW($AI$4:$AI$60)-4),ROW(AI16)))),"",INDEX($A$4:$A$60,SMALL(IF($AI$4:$AI$60&lt;&gt;0,ROW($AI$5:$AI$60)-4),ROW(AI16))))</f>
        <v/>
      </c>
      <c r="AJ82" s="1321" t="str">
        <f t="array" ref="AJ82">IF(ISERROR(INDEX($E$4:$E$60,SMALL(IF($AI$4:$AI$60&lt;&gt;0,ROW($AI$4:$AI$60)-3),ROW(AJ16)))),"",INDEX($AI$4:$AI$60,SMALL(IF($AI$4:$AI$60&lt;&gt;0,ROW($AI$4:$AI$60)-3),ROW(AJ16))))</f>
        <v/>
      </c>
      <c r="AK82" s="1321" t="str">
        <f t="array" ref="AK82">IF( ISERROR(INDEX($A$4:$A$60,SMALL(IF($AK$4:$AK$60&lt;&gt;0,ROW($AK$4:$AK$60)-4),ROW(AK16)))),"",INDEX($A$4:$A$60,SMALL(IF($AK$4:$AK$60&lt;&gt;0,ROW($AK$5:$AK$60)-4),ROW(AK16))))</f>
        <v/>
      </c>
      <c r="AL82" s="1321" t="str">
        <f t="array" ref="AL82">IF(ISERROR(INDEX($AK$4:$AK$60,SMALL(IF($AK$4:$AK$60&lt;&gt;0,ROW($AK$4:$AK$60)-3),ROW(AL16)))),"",INDEX($AK$4:$AK$60,SMALL(IF($AK$4:$AK$60&lt;&gt;0,ROW($AK$4:$AK$60)-3),ROW(AL16))))</f>
        <v/>
      </c>
      <c r="AM82" s="1321" t="str">
        <f t="array" ref="AM82">IF( ISERROR(INDEX($A$4:$A$60,SMALL(IF($AM$4:$AM$60&lt;&gt;0,ROW($AM$4:$AM$60)-4),ROW(AM16)))),"",INDEX($A$4:$A$60,SMALL(IF($AM$4:$AM$60&lt;&gt;0,ROW($AM$5:$AM$60)-4),ROW(AM16))))</f>
        <v/>
      </c>
      <c r="AN82" s="1321" t="str">
        <f t="array" ref="AN82">IF(ISERROR(INDEX($AM$4:$AM$60,SMALL(IF($AM$4:$AM$60&lt;&gt;0,ROW($AM$4:$AM$60)-3),ROW(AN16)))),"",INDEX($AM$4:$AM$60,SMALL(IF($AM$4:$AM$60&lt;&gt;0,ROW($AM$4:$AM$60)-3),ROW(AN16))))</f>
        <v/>
      </c>
      <c r="AO82" s="1321" t="str">
        <f t="array" ref="AO82">IF( ISERROR(INDEX($A$4:$A$60,SMALL(IF($AO$4:$AO$60&lt;&gt;0,ROW($AO$4:$AO$60)-4),ROW(AO16)))),"",INDEX($A$4:$A$60,SMALL(IF($AO$4:$AO$60&lt;&gt;0,ROW($AO$5:$AO$60)-4),ROW(AO16))))</f>
        <v/>
      </c>
      <c r="AP82" s="1321" t="str">
        <f t="array" ref="AP82">IF(ISERROR(INDEX($AO$4:$AO$60,SMALL(IF($AO$4:$AO$60&lt;&gt;0,ROW($AO$4:$AO$60)-3),ROW(AP16)))),"",INDEX($AO$4:$AO$60,SMALL(IF($AO$4:$AO$60&lt;&gt;0,ROW($AO$4:$AO$60)-3),ROW(AP16))))</f>
        <v/>
      </c>
      <c r="AQ82" s="1321" t="str">
        <f t="array" ref="AQ82">IF( ISERROR(INDEX($A$4:$A$60,SMALL(IF($AQ$4:$AQ$60&lt;&gt;0,ROW($AQ$4:$AQ$60)-4),ROW(AQ16)))),"",INDEX($A$4:$A$60,SMALL(IF($AQ$4:$AQ$60&lt;&gt;0,ROW($AQ$5:$AQ$60)-4),ROW(AQ16))))</f>
        <v/>
      </c>
      <c r="AR82" s="1321" t="str">
        <f t="array" ref="AR82">IF(ISERROR(INDEX($AQ$4:$AQ$60,SMALL(IF($AQ$4:$AQ$60&lt;&gt;0,ROW($AQ$4:$AQ$60)-3),ROW(AR16)))),"",INDEX($AQ$4:$AQ$60,SMALL(IF($AQ$4:$AQ$60&lt;&gt;0,ROW($AQ$4:$AQ$60)-3),ROW(AR16))))</f>
        <v/>
      </c>
      <c r="AS82" s="1321" t="str">
        <f t="array" ref="AS82">IF( ISERROR(INDEX($A$4:$A$60,SMALL(IF($AS$4:$AS$60&lt;&gt;0,ROW($AS$4:$AS$60)-4),ROW(AS16)))),"",INDEX($A$4:$A$60,SMALL(IF($AS$4:$AS$60&lt;&gt;0,ROW($AS$5:$AS$60)-4),ROW(AS16))))</f>
        <v/>
      </c>
      <c r="AT82" s="1321" t="str">
        <f t="array" ref="AT82">IF(ISERROR(INDEX($AS$4:$AS$60,SMALL(IF($AS$4:$AS$60&lt;&gt;0,ROW($AS$4:$AS$60)-3),ROW(AT16)))),"",INDEX($AS$4:$AS$60,SMALL(IF($AS$4:$AS$60&lt;&gt;0,ROW($AS$4:$AS$60)-3),ROW(AT16))))</f>
        <v/>
      </c>
      <c r="AU82" s="1321" t="str">
        <f t="array" ref="AU82">IF( ISERROR(INDEX($A$4:$A$60,SMALL(IF($AU$4:$AU$60&lt;&gt;0,ROW($AU$4:$AU$60)-4),ROW(AU16)))),"",INDEX($A$4:$A$60,SMALL(IF($AU$4:$AU$60&lt;&gt;0,ROW($AU$5:$AU$60)-4),ROW(AU16))))</f>
        <v/>
      </c>
      <c r="AV82" s="1321" t="str">
        <f t="array" ref="AV82">IF(ISERROR(INDEX($AU$4:$AU$60,SMALL(IF($AU$4:$AU$60&lt;&gt;0,ROW($AU$4:$AU$60)-3),ROW(AV16)))),"",INDEX($AU$4:$AU$60,SMALL(IF($AU$4:$AU$60&lt;&gt;0,ROW($AU$4:$AU$60)-3),ROW(AV16))))</f>
        <v/>
      </c>
      <c r="AW82" s="1321" t="str">
        <f t="array" ref="AW82">IF( ISERROR(INDEX($A$4:$A$60,SMALL(IF($AW$4:$AW$60&lt;&gt;0,ROW($AW$4:$AW$60)-4),ROW(AW16)))),"",INDEX($A$4:$A$60,SMALL(IF($AW$4:$AW$60&lt;&gt;0,ROW($AW$5:$AW$60)-4),ROW(AW16))))</f>
        <v/>
      </c>
      <c r="AX82" s="1321" t="str">
        <f t="array" ref="AX82">IF(ISERROR(INDEX($AW$4:$AW$60,SMALL(IF($AW$4:$AW$60&lt;&gt;0,ROW($AW$4:$AW$60)-3),ROW(AX16)))),"",INDEX($AW$4:$AW$60,SMALL(IF($AW$4:$AW$60&lt;&gt;0,ROW($AW$4:$AW$60)-3),ROW(AX16))))</f>
        <v/>
      </c>
      <c r="AY82" s="1321" t="str">
        <f t="array" ref="AY82">IF( ISERROR(INDEX($A$4:$A$60,SMALL(IF($AY$4:$AY$60&lt;&gt;0,ROW($AY$4:$AY$60)-4),ROW(AY16)))),"",INDEX($A$4:$A$60,SMALL(IF($AY$4:$AY$60&lt;&gt;0,ROW($AY$5:$AY$60)-4),ROW(AY16))))</f>
        <v/>
      </c>
      <c r="AZ82" s="1321" t="str">
        <f t="array" ref="AZ82">IF(ISERROR(INDEX($AY$4:$AY$60,SMALL(IF($AY$4:$AY$60&lt;&gt;0,ROW($AY$4:$AY$60)-3),ROW(AZ16)))),"",INDEX($AY$4:$AY$60,SMALL(IF($AY$4:$AY$60&lt;&gt;0,ROW($AY$4:$AY$60)-3),ROW(AZ16))))</f>
        <v/>
      </c>
      <c r="BA82" s="1321" t="str">
        <f t="array" ref="BA82">IF( ISERROR(INDEX($A$4:$A$60,SMALL(IF($BA$4:$BA$60&lt;&gt;0,ROW($BA$4:$BA$60)-4),ROW(BA16)))),"",INDEX($A$4:$A$60,SMALL(IF($BA$4:$BA$60&lt;&gt;0,ROW($BA$5:$BA$60)-4),ROW(BA16))))</f>
        <v/>
      </c>
      <c r="BB82" s="1321" t="str">
        <f t="array" ref="BB82">IF(ISERROR(INDEX($BA$4:$BA$60,SMALL(IF($BA$4:$BA$60&lt;&gt;0,ROW($BA$4:$BA$60)-3),ROW(BB16)))),"",INDEX($BA$4:$BA$60,SMALL(IF($BA$4:$BA$60&lt;&gt;0,ROW($BA$4:$BA$60)-3),ROW(BB16))))</f>
        <v/>
      </c>
      <c r="BC82" s="1321" t="str">
        <f t="array" ref="BC82">IF( ISERROR(INDEX($A$4:$A$60,SMALL(IF($BC$4:$BC$60&lt;&gt;0,ROW($BC$4:$BC$60)-4),ROW(BC16)))),"",INDEX($A$4:$A$60,SMALL(IF($BC$4:$BC$60&lt;&gt;0,ROW($BC$5:$BC$60)-4),ROW(BC16))))</f>
        <v/>
      </c>
      <c r="BD82" s="1321" t="str">
        <f t="array" ref="BD82">IF(ISERROR(INDEX($BC$4:$BC$60,SMALL(IF($BC$4:$BC$60&lt;&gt;0,ROW($BC$4:$BC$60)-3),ROW(BD16)))),"",INDEX($BC$4:$BC$60,SMALL(IF($BC$4:$BC$60&lt;&gt;0,ROW($BC$4:$BC$60)-3),ROW(BD16))))</f>
        <v/>
      </c>
      <c r="BE82" s="1321" t="str">
        <f t="array" ref="BE82">IF( ISERROR(INDEX($A$4:$A$60,SMALL(IF($BE$4:$BE$60&lt;&gt;0,ROW($BE$4:$BE$60)-4),ROW(BE16)))),"",INDEX($A$4:$A$60,SMALL(IF($BE$4:$BE$60&lt;&gt;0,ROW($BE$5:$BE$60)-4),ROW(BE16))))</f>
        <v/>
      </c>
      <c r="BF82" s="1321" t="str">
        <f t="array" ref="BF82">IF(ISERROR(INDEX($BE$4:$BE$60,SMALL(IF($BE$4:$BE$60&lt;&gt;0,ROW($BE$4:$BE$60)-3),ROW(BF16)))),"",INDEX($BE$4:$BE$60,SMALL(IF($BE$4:$BE$60&lt;&gt;0,ROW($BE$4:$BE$60)-3),ROW(BF16))))</f>
        <v/>
      </c>
      <c r="BG82" s="1321" t="str">
        <f t="array" ref="BG82">IF( ISERROR(INDEX($A$4:$A$60,SMALL(IF($BG$4:$BG$60&lt;&gt;0,ROW($BG$4:$BG$60)-4),ROW(BG16)))),"",INDEX($A$4:$A$60,SMALL(IF($BG$4:$BG$60&lt;&gt;0,ROW($BG$5:$BG$60)-4),ROW(BG16))))</f>
        <v/>
      </c>
      <c r="BH82" s="1321" t="str">
        <f t="array" ref="BH82">IF(ISERROR(INDEX($BG$4:$BG$60,SMALL(IF($BG$4:$BG$60&lt;&gt;0,ROW($BG$4:$BG$60)-3),ROW(BH16)))),"",INDEX($BG$4:$BG$60,SMALL(IF($BG$4:$BG$60&lt;&gt;0,ROW($BG$4:$BG$60)-3),ROW(BH16))))</f>
        <v/>
      </c>
      <c r="BI82" s="1321" t="str">
        <f t="array" ref="BI82">IF( ISERROR(INDEX($A$4:$A$60,SMALL(IF($BI$4:$BI$60&lt;&gt;0,ROW($BI$4:$BI$60)-4),ROW(BI16)))),"",INDEX($A$4:$A$60,SMALL(IF($BI$4:$BI$60&lt;&gt;0,ROW($BI$5:$BI$60)-4),ROW(BI16))))</f>
        <v/>
      </c>
      <c r="BJ82" s="1321" t="str">
        <f t="array" ref="BJ82">IF(ISERROR(INDEX($BI$4:$BI$60,SMALL(IF($BI$4:$BI$60&lt;&gt;0,ROW($BI$4:$BI$60)-3),ROW(BJ16)))),"",INDEX($BI$4:$BI$60,SMALL(IF($BI$4:$BI$60&lt;&gt;0,ROW($BI$4:$BI$60)-3),ROW(BJ16))))</f>
        <v/>
      </c>
      <c r="BK82" s="1321" t="str">
        <f t="array" ref="BK82">IF( ISERROR(INDEX($A$4:$A$60,SMALL(IF($BK$4:$BK$60&lt;&gt;0,ROW($BK$4:$BK$60)-4),ROW(BK16)))),"",INDEX($A$4:$A$60,SMALL(IF($BK$4:$BK$60&lt;&gt;0,ROW($BK$5:$BK$60)-4),ROW(BK16))))</f>
        <v/>
      </c>
      <c r="BL82" s="1321" t="str">
        <f t="array" ref="BL82">IF(ISERROR(INDEX($BK$4:$BK$60,SMALL(IF($BK$4:$BK$60&lt;&gt;0,ROW($BK$4:$BK$60)-3),ROW(BL16)))),"",INDEX($BK$4:$BK$60,SMALL(IF($BK$4:$BK$60&lt;&gt;0,ROW($BK$4:$BK$60)-3),ROW(BL16))))</f>
        <v/>
      </c>
      <c r="BM82" s="1321" t="str">
        <f t="array" ref="BM82">IF( ISERROR(INDEX($A$4:$A$60,SMALL(IF($BM$4:$BM$60&lt;&gt;0,ROW($BM$4:$BM$60)-4),ROW(BM16)))),"",INDEX($A$4:$A$60,SMALL(IF($BM$4:$BM$60&lt;&gt;0,ROW($BM$5:$BM$60)-4),ROW(BM16))))</f>
        <v/>
      </c>
      <c r="BN82" s="1321" t="str">
        <f t="array" ref="BN82">IF(ISERROR(INDEX($BM$4:$BM$60,SMALL(IF($BM$4:$BM$60&lt;&gt;0,ROW($BM$4:$BM$60)-3),ROW(BN16)))),"",INDEX($BM$4:$BM$60,SMALL(IF($BM$4:$BM$60&lt;&gt;0,ROW($BM$4:$BM$60)-3),ROW(BN16))))</f>
        <v/>
      </c>
      <c r="BO82" s="1321" t="str">
        <f t="array" ref="BO82">IF( ISERROR(INDEX($A$4:$A$60,SMALL(IF($BO$4:$BO$60&lt;&gt;0,ROW($BO$4:$BO$60)-4),ROW(BO16)))),"",INDEX($A$4:$A$60,SMALL(IF($BO$4:$BO$60&lt;&gt;0,ROW($BO$5:$BO$60)-4),ROW(BO16))))</f>
        <v/>
      </c>
      <c r="BP82" s="1321" t="str">
        <f t="array" ref="BP82">IF(ISERROR(INDEX($BO$4:$BO$60,SMALL(IF($BO$4:$BO$60&lt;&gt;0,ROW($BO$4:$BO$60)-3),ROW(BP16)))),"",INDEX($BO$4:$BO$60,SMALL(IF($BO$4:$BO$60&lt;&gt;0,ROW($BO$4:$BO$60)-3),ROW(BP16))))</f>
        <v/>
      </c>
      <c r="BQ82" s="1321" t="str">
        <f t="array" ref="BQ82">IF( ISERROR(INDEX($A$4:$A$60,SMALL(IF($BQ$4:$BQ$60&lt;&gt;0,ROW($BQ$4:$BQ$60)-4),ROW(BQ16)))),"",INDEX($A$4:$A$60,SMALL(IF($BQ$4:$BQ$60&lt;&gt;0,ROW($BQ$5:$BQ$60)-4),ROW(BQ16))))</f>
        <v/>
      </c>
      <c r="BR82" s="1321" t="str">
        <f t="array" ref="BR82">IF(ISERROR(INDEX($BQ$4:$BQ$60,SMALL(IF($BQ$4:$BQ$60&lt;&gt;0,ROW($BQ$4:$BQ$60)-3),ROW(BR16)))),"",INDEX($BQ$4:$BQ$60,SMALL(IF($BQ$4:$BQ$60&lt;&gt;0,ROW($BQ$4:$BQ$60)-3),ROW(BR16))))</f>
        <v/>
      </c>
      <c r="BS82" s="1321" t="str">
        <f t="array" ref="BS82">IF( ISERROR(INDEX($A$4:$A$60,SMALL(IF($BS$4:$BS$60&lt;&gt;0,ROW($BS$4:$BS$60)-4),ROW(BS16)))),"",INDEX($A$4:$A$60,SMALL(IF($BS$4:$BS$60&lt;&gt;0,ROW($BS$5:$BS$60)-4),ROW(BS16))))</f>
        <v/>
      </c>
      <c r="BT82" s="1321" t="str">
        <f t="array" ref="BT82">IF(ISERROR(INDEX($BS$4:$BS$60,SMALL(IF($BS$4:$BS$60&lt;&gt;0,ROW($BS$4:$BS$60)-3),ROW(BT16)))),"",INDEX($BS$4:$BS$60,SMALL(IF($BS$4:$BS$60&lt;&gt;0,ROW($BS$4:$BS$60)-3),ROW(BT16))))</f>
        <v/>
      </c>
      <c r="BU82" s="1321" t="str">
        <f t="array" ref="BU82">IF( ISERROR(INDEX($A$4:$A$60,SMALL(IF($BU$4:$BU$60&lt;&gt;0,ROW($BU$4:$BU$60)-4),ROW(BU16)))),"",INDEX($A$4:$A$60,SMALL(IF($BU$4:$BU$60&lt;&gt;0,ROW($BU$5:$BU$60)-4),ROW(BU16))))</f>
        <v/>
      </c>
      <c r="BV82" s="1321" t="str">
        <f t="array" ref="BV82">IF(ISERROR(INDEX($BQ$4:$BQ$60,SMALL(IF($BU$4:$BU$60&lt;&gt;0,ROW($BU$4:$BU$60)-3),ROW(BV16)))),"",INDEX($BU$4:$BU$60,SMALL(IF($BU$4:$BU$60&lt;&gt;0,ROW($BU$4:$BU$60)-3),ROW(BV16))))</f>
        <v/>
      </c>
      <c r="BW82" s="1321" t="str">
        <f t="array" ref="BW82">IF( ISERROR(INDEX($A$4:$A$60,SMALL(IF($BW$4:$BW$60&lt;&gt;0,ROW($BW$4:$BW$60)-4),ROW(BW16)))),"",INDEX($A$4:$A$60,SMALL(IF($BW$4:$BW$60&lt;&gt;0,ROW($BW$5:$BW$60)-4),ROW(BW16))))</f>
        <v/>
      </c>
      <c r="BX82" s="1321" t="str">
        <f t="array" ref="BX82">IF(ISERROR(INDEX($BW$4:$BW$60,SMALL(IF($BW$4:$BW$60&lt;&gt;0,ROW($BW$4:$BW$60)-3),ROW(BX16)))),"",INDEX($BW$4:$BW$60,SMALL(IF($BW$4:$BW$60&lt;&gt;0,ROW($BW$4:$BW$60)-3),ROW(BX16))))</f>
        <v/>
      </c>
      <c r="BY82" s="1321" t="str">
        <f t="array" ref="BY82">IF( ISERROR(INDEX($A$4:$A$60,SMALL(IF($BY$4:$BY$60&lt;&gt;0,ROW($BY$4:$BY$60)-4),ROW(BY16)))),"",INDEX($A$4:$A$60,SMALL(IF($BY$4:$BY$60&lt;&gt;0,ROW($BY$5:$BY$60)-4),ROW(BY16))))</f>
        <v/>
      </c>
      <c r="BZ82" s="1321" t="str">
        <f t="array" ref="BZ82">IF(ISERROR(INDEX($BY$4:$BY$60,SMALL(IF($BY$4:$BY$60&lt;&gt;0,ROW($BY$4:$BY$60)-3),ROW(BZ16)))),"",INDEX($BY$4:$BY$60,SMALL(IF($BY$4:$BY$60&lt;&gt;0,ROW($BY$4:$BY$60)-3),ROW(BZ16))))</f>
        <v/>
      </c>
      <c r="CA82" s="1321" t="str">
        <f t="array" ref="CA82">IF( ISERROR(INDEX($A$4:$A$60,SMALL(IF($CA$4:$CA$60&lt;&gt;0,ROW($CA$4:$CA$60)-4),ROW(CA16)))),"",INDEX($A$4:$A$60,SMALL(IF($CA$4:$CA$60&lt;&gt;0,ROW($CA$5:$CA$60)-4),ROW(CA16))))</f>
        <v/>
      </c>
      <c r="CB82" s="1321" t="str">
        <f t="array" ref="CB82">IF(ISERROR(INDEX($CA$4:$CA$60,SMALL(IF($CA$4:$CA$60&lt;&gt;0,ROW($CA$4:$CA$60)-3),ROW(CB16)))),"",INDEX($CA$4:$CA$60,SMALL(IF($CA$4:$CA$60&lt;&gt;0,ROW($CA$4:$CA$60)-3),ROW(CB16))))</f>
        <v/>
      </c>
      <c r="CC82" s="1321" t="str">
        <f t="array" ref="CC82">IF( ISERROR(INDEX($A$4:$A$60,SMALL(IF($CC$4:$CC$60&lt;&gt;0,ROW($CC$4:$CC$60)-4),ROW(CC16)))),"",INDEX($A$4:$A$60,SMALL(IF($CC$4:$CC$60&lt;&gt;0,ROW($CC$5:$CC$60)-4),ROW(CC16))))</f>
        <v/>
      </c>
      <c r="CD82" s="1321" t="str">
        <f t="array" ref="CD82">IF(ISERROR(INDEX($CC$4:$CC$60,SMALL(IF($CC$4:$CC$60&lt;&gt;0,ROW($CC$4:$CC$60)-3),ROW(CD16)))),"",INDEX($CC$4:$CC$60,SMALL(IF($CC$4:$CC$60&lt;&gt;0,ROW($CC$4:$CC$60)-3),ROW(CD16))))</f>
        <v/>
      </c>
      <c r="CE82" s="1321" t="str">
        <f t="array" ref="CE82">IF( ISERROR(INDEX($A$4:$A$60,SMALL(IF($CE$4:$CE$60&lt;&gt;0,ROW($CE$4:$CE$60)-4),ROW(CE16)))),"",INDEX($A$4:$A$60,SMALL(IF($CE$4:$CE$60&lt;&gt;0,ROW($CE$5:$CE$60)-4),ROW(CE16))))</f>
        <v/>
      </c>
      <c r="CF82" s="1321" t="str">
        <f t="array" ref="CF82">IF(ISERROR(INDEX($CE$4:$CE$60,SMALL(IF($CE$4:$CE$60&lt;&gt;0,ROW($CE$4:$CE$60)-3),ROW(CF16)))),"",INDEX($CE$4:$CE$60,SMALL(IF($CE$4:$CE$60&lt;&gt;0,ROW($CE$4:$CE$60)-3),ROW(CF16))))</f>
        <v/>
      </c>
      <c r="CG82" s="1321" t="str">
        <f t="array" ref="CG82">IF( ISERROR(INDEX($A$4:$A$60,SMALL(IF($CG$4:$CG$60&lt;&gt;0,ROW($CG$4:$CG$60)-4),ROW(CG16)))),"",INDEX($A$4:$A$60,SMALL(IF($CG$4:$CG$60&lt;&gt;0,ROW($CG$5:$CG$60)-4),ROW(CG16))))</f>
        <v/>
      </c>
      <c r="CH82" s="1321" t="str">
        <f t="array" ref="CH82">IF(ISERROR(INDEX($CG$4:$CG$60,SMALL(IF($CG$4:$CG$60&lt;&gt;0,ROW($CG$4:$CG$60)-3),ROW(CH16)))),"",INDEX($CG$4:$CG$60,SMALL(IF($CG$4:$CG$60&lt;&gt;0,ROW($CG$4:$CG$60)-3),ROW(CH16))))</f>
        <v/>
      </c>
      <c r="CI82" s="1321" t="str">
        <f t="array" ref="CI82">IF( ISERROR(INDEX($A$4:$A$60,SMALL(IF($CA$4:$CA$60&lt;&gt;0,ROW($CA$4:$CA$60)-4),ROW(CI16)))),"",INDEX($A$4:$A$60,SMALL(IF($CA$4:$CA$60&lt;&gt;0,ROW($CA$5:$CA$60)-4),ROW(CI16))))</f>
        <v/>
      </c>
      <c r="CJ82" s="1321" t="str">
        <f t="array" ref="CJ82">IF(ISERROR(INDEX($CA$4:$CA$60,SMALL(IF($CA$4:$CA$60&lt;&gt;0,ROW($CA$4:$CA$60)-3),ROW(CJ16)))),"",INDEX($CA$4:$CA$60,SMALL(IF($CA$4:$CA$60&lt;&gt;0,ROW($CA$4:$CA$60)-3),ROW(CJ16))))</f>
        <v/>
      </c>
      <c r="CK82" s="1321" t="str">
        <f t="array" ref="CK82">IF( ISERROR(INDEX($A$4:$A$60,SMALL(IF($CK$4:$CK$60&lt;&gt;0,ROW($CK$4:$CK$60)-4),ROW(CK16)))),"",INDEX($A$4:$A$60,SMALL(IF($CK$4:$CK$60&lt;&gt;0,ROW($CK$5:$CK$60)-4),ROW(CK16))))</f>
        <v/>
      </c>
      <c r="CL82" s="1321" t="str">
        <f t="array" ref="CL82">IF(ISERROR(INDEX($CK$4:$CK$60,SMALL(IF($CK$4:$CK$60&lt;&gt;0,ROW($CK$4:$CK$60)-3),ROW(CL16)))),"",INDEX($CK$4:$CK$60,SMALL(IF($CK$4:$CK$60&lt;&gt;0,ROW($CK$4:$CK$60)-3),ROW(CL16))))</f>
        <v/>
      </c>
      <c r="CM82" s="1321" t="str">
        <f t="array" ref="CM82">IF( ISERROR(INDEX($A$4:$A$60,SMALL(IF($CM$4:$CM$60&lt;&gt;0,ROW($CM$4:$CM$60)-4),ROW(CM16)))),"",INDEX($A$4:$A$60,SMALL(IF($CM$4:$CM$60&lt;&gt;0,ROW($CM$5:$CM$60)-4),ROW(CM16))))</f>
        <v/>
      </c>
      <c r="CN82" s="1321" t="str">
        <f t="array" ref="CN82">IF(ISERROR(INDEX($CM$4:$CM$60,SMALL(IF($CM$4:$CM$60&lt;&gt;0,ROW($CM$4:$CM$60)-3),ROW(CN16)))),"",INDEX($CM$4:$CM$60,SMALL(IF($CM$4:$CM$60&lt;&gt;0,ROW($CM$4:$CM$60)-3),ROW(CN16))))</f>
        <v/>
      </c>
      <c r="CO82" s="1321" t="str">
        <f t="array" ref="CO82">IF( ISERROR(INDEX($A$4:$A$60,SMALL(IF($CO$4:$CO$60&lt;&gt;0,ROW($CO$4:$CO$60)-4),ROW(CO16)))),"",INDEX($A$4:$A$60,SMALL(IF($CO$4:$CO$60&lt;&gt;0,ROW($CO$5:$CO$60)-4),ROW(CO16))))</f>
        <v/>
      </c>
      <c r="CP82" s="1321" t="str">
        <f t="array" ref="CP82">IF(ISERROR(INDEX($CO$4:$CO$60,SMALL(IF($CO$4:$CO$60&lt;&gt;0,ROW($CO$4:$CO$60)-3),ROW(CP16)))),"",INDEX($CO$4:$CO$60,SMALL(IF($CO$4:$CO$60&lt;&gt;0,ROW($CO$4:$CO$60)-3),ROW(CP16))))</f>
        <v/>
      </c>
      <c r="CQ82" s="1321" t="str">
        <f t="array" ref="CQ82">IF( ISERROR(INDEX($A$4:$A$60,SMALL(IF($CQ$4:$CQ$60&lt;&gt;0,ROW($CQ$4:$CQ$60)-4),ROW(CQ16)))),"",INDEX($A$4:$A$60,SMALL(IF($CQ$4:$CQ$60&lt;&gt;0,ROW($CQ$5:$CQ$60)-4),ROW(CQ16))))</f>
        <v/>
      </c>
      <c r="CR82" s="1321" t="str">
        <f t="array" ref="CR82">IF(ISERROR(INDEX($CQ$4:$CQ$60,SMALL(IF($CQ$4:$CQ$60&lt;&gt;0,ROW($CQ$4:$CQ$60)-3),ROW(CR16)))),"",INDEX($CQ$4:$CQ$60,SMALL(IF($CQ$4:$CQ$60&lt;&gt;0,ROW($CQ$4:$CQ$60)-3),ROW(CR16))))</f>
        <v/>
      </c>
      <c r="CS82" s="1321" t="str">
        <f t="array" ref="CS82">IF( ISERROR(INDEX($A$4:$A$60,SMALL(IF($CS$4:$CS$60&lt;&gt;0,ROW($CS$4:$CS$60)-4),ROW(CS16)))),"",INDEX($A$4:$A$60,SMALL(IF($CS$4:$CS$60&lt;&gt;0,ROW($CS$5:$CS$60)-4),ROW(CS16))))</f>
        <v/>
      </c>
      <c r="CT82" s="1321" t="str">
        <f t="array" ref="CT82">IF(ISERROR(INDEX($CS$4:$CS$60,SMALL(IF($CS$4:$CS$60&lt;&gt;0,ROW($CS$4:$CS$60)-3),ROW(CT16)))),"",INDEX($CS$4:$CS$60,SMALL(IF($CS$4:$CS$60&lt;&gt;0,ROW($CS$4:$CS$60)-3),ROW(CT16))))</f>
        <v/>
      </c>
      <c r="CU82" s="1321" t="str">
        <f t="array" ref="CU82">IF( ISERROR(INDEX($A$4:$A$60,SMALL(IF($CU$4:$CU$60&lt;&gt;0,ROW($CU$4:$CU$60)-4),ROW(CU16)))),"",INDEX($A$4:$A$60,SMALL(IF($CU$4:$CU$60&lt;&gt;0,ROW($CU$5:$CU$60)-4),ROW(CU16))))</f>
        <v/>
      </c>
      <c r="CV82" s="1321" t="str">
        <f t="array" ref="CV82">IF(ISERROR(INDEX($CU$4:$CU$60,SMALL(IF($CU$4:$CU$60&lt;&gt;0,ROW($CU$4:$CU$60)-3),ROW(CV16)))),"",INDEX($CU$4:$CU$60,SMALL(IF($CU$4:$CU$60&lt;&gt;0,ROW($CU$4:$CU$60)-3),ROW(CV16))))</f>
        <v/>
      </c>
      <c r="CW82" s="1321" t="str">
        <f t="array" ref="CW82">IF( ISERROR(INDEX($A$4:$A$60,SMALL(IF($CW$4:$CW$60&lt;&gt;0,ROW($CW$4:$CW$60)-4),ROW(CW16)))),"",INDEX($A$4:$A$60,SMALL(IF($CW$4:$CW$60&lt;&gt;0,ROW($CW$5:$CW$60)-4),ROW(CW16))))</f>
        <v/>
      </c>
      <c r="CX82" s="1321" t="str">
        <f t="array" ref="CX82">IF(ISERROR(INDEX($CW$4:$CW$60,SMALL(IF($CW$4:$CW$60&lt;&gt;0,ROW($CW$4:$CW$60)-3),ROW(CX16)))),"",INDEX($CW$4:$CW$60,SMALL(IF($CW$4:$CW$60&lt;&gt;0,ROW($CW$4:$CW$60)-3),ROW(CX16))))</f>
        <v/>
      </c>
      <c r="CY82" s="1321" t="str">
        <f t="array" ref="CY82">IF( ISERROR(INDEX($A$4:$A$60,SMALL(IF($CY$4:$CY$60&lt;&gt;0,ROW($CY$4:$CY$60)-4),ROW(CY16)))),"",INDEX($A$4:$A$60,SMALL(IF($CY$4:$CY$60&lt;&gt;0,ROW($CY$5:$CY$60)-4),ROW(CY16))))</f>
        <v/>
      </c>
      <c r="CZ82" s="1321" t="str">
        <f t="array" ref="CZ82">IF(ISERROR(INDEX($CY$4:$CY$60,SMALL(IF($CY$4:$CY$60&lt;&gt;0,ROW($CY$4:$CY$60)-3),ROW(CZ16)))),"",INDEX($CY$4:$CY$60,SMALL(IF($CY$4:$CY$60&lt;&gt;0,ROW($CY$4:$CY$60)-3),ROW(CZ16))))</f>
        <v/>
      </c>
      <c r="DA82" s="1321"/>
      <c r="DB82" s="1321"/>
      <c r="DC82" s="1321"/>
      <c r="DD82" s="1321"/>
      <c r="DE82" s="1321"/>
      <c r="DF82" s="1321"/>
      <c r="DG82" s="1321"/>
      <c r="DH82" s="1321"/>
      <c r="DI82" s="1321"/>
      <c r="DJ82" s="1321"/>
      <c r="DK82" s="1321"/>
      <c r="DL82" s="1321"/>
      <c r="DM82" s="1321"/>
      <c r="DN82" s="1321"/>
      <c r="DO82" s="1321"/>
      <c r="DP82" s="1321"/>
      <c r="DQ82" s="1321"/>
      <c r="DR82" s="1321"/>
      <c r="DS82" s="1321"/>
      <c r="DT82" s="1321"/>
      <c r="DU82" s="1321"/>
      <c r="DV82" s="1321"/>
      <c r="DW82" s="1321"/>
      <c r="DX82" s="1321"/>
      <c r="DY82" s="1321"/>
      <c r="DZ82" s="1321"/>
      <c r="EA82" s="1321"/>
      <c r="EB82" s="1321"/>
      <c r="EC82" s="1321"/>
      <c r="ED82" s="1321"/>
      <c r="EE82" s="1321"/>
      <c r="EF82" s="1321"/>
      <c r="EG82" s="1321"/>
      <c r="EH82" s="1321"/>
      <c r="EI82" s="1321"/>
      <c r="EJ82" s="1321"/>
      <c r="EK82" s="1321"/>
      <c r="EL82" s="1321"/>
      <c r="EM82" s="1321"/>
      <c r="EN82" s="1321"/>
      <c r="EO82" s="1321"/>
      <c r="EP82" s="1321"/>
      <c r="EQ82" s="1321"/>
      <c r="ER82" s="1321"/>
      <c r="ES82" s="1321"/>
      <c r="ET82" s="1321"/>
      <c r="EU82" s="1321"/>
      <c r="EV82" s="1321"/>
      <c r="EW82" s="1321"/>
      <c r="EX82" s="1321"/>
      <c r="EY82" s="1321"/>
      <c r="EZ82" s="1321"/>
      <c r="FA82" s="1321"/>
      <c r="FB82" s="1321"/>
      <c r="FC82" s="1321"/>
      <c r="FD82" s="1321"/>
      <c r="FE82" s="1321"/>
      <c r="FF82" s="1321"/>
      <c r="FG82" s="1321"/>
      <c r="FH82" s="1321"/>
      <c r="FI82" s="1321"/>
      <c r="FJ82" s="1321"/>
      <c r="FK82" s="1321"/>
      <c r="FL82" s="1321"/>
      <c r="FM82" s="1321"/>
      <c r="FN82" s="1321"/>
      <c r="FO82" s="1321"/>
      <c r="FP82" s="1321"/>
      <c r="FQ82" s="1321"/>
      <c r="FR82" s="1321"/>
      <c r="FS82" s="1321"/>
      <c r="FT82" s="1321"/>
      <c r="FU82" s="1321"/>
      <c r="FV82" s="1321"/>
      <c r="FW82" s="1321"/>
      <c r="FX82" s="1321"/>
      <c r="FY82" s="1321"/>
      <c r="FZ82" s="1321"/>
      <c r="GA82" s="1321"/>
      <c r="GB82" s="1321"/>
      <c r="GC82" s="1321"/>
      <c r="GD82" s="1321"/>
      <c r="GE82" s="1321"/>
      <c r="GF82" s="1321"/>
      <c r="GG82" s="1321"/>
      <c r="GH82" s="1321"/>
      <c r="GI82" s="1321"/>
      <c r="GJ82" s="1321"/>
      <c r="GK82" s="1321"/>
      <c r="GL82" s="1321"/>
      <c r="GM82" s="1321"/>
      <c r="GN82" s="1321"/>
      <c r="GO82" s="1321"/>
      <c r="GP82" s="1321"/>
      <c r="GQ82" s="1321"/>
      <c r="GR82" s="1321"/>
      <c r="GS82" s="1321"/>
      <c r="GT82" s="1321"/>
      <c r="GU82" s="1321"/>
      <c r="GV82" s="1321"/>
      <c r="GW82" s="1321"/>
      <c r="GX82" s="1321"/>
      <c r="GY82" s="1321"/>
      <c r="GZ82" s="1321"/>
    </row>
    <row r="83" spans="3:208" hidden="1">
      <c r="C83" s="1321" t="str">
        <f t="array" ref="C83">IF( ISERROR(INDEX($A$4:$A$60,SMALL(IF($C$4:$C$60&lt;&gt;0,ROW($C$4:$C$60)-4),ROW(A17)))),"",INDEX($A$4:$A$60,SMALL(IF($C$4:$C$60&lt;&gt;0,ROW($C$5:$C$60)-4),ROW(A17))))</f>
        <v/>
      </c>
      <c r="D83" s="1321" t="str">
        <f t="array" ref="D83">IF(ISERROR(INDEX($C$4:$C$60,SMALL(IF($C$4:$C$60&lt;&gt;0,ROW($C$4:$C$60)-3),ROW(D17)))),"",INDEX($C$4:$C$60,SMALL(IF($C$4:$C$60&lt;&gt;0,ROW($C$4:$C$60)-3),ROW(D17))))</f>
        <v/>
      </c>
      <c r="E83" s="1321" t="str">
        <f t="array" ref="E83">IF( ISERROR(INDEX($A$4:$A$60,SMALL(IF($E$4:$E$60&lt;&gt;0,ROW($E$4:$E$60)-4),ROW(E17)))),"",INDEX($A$4:$A$60,SMALL(IF($E$4:$E$60&lt;&gt;0,ROW($E$5:$E$60)-4),ROW(E17))))</f>
        <v/>
      </c>
      <c r="F83" s="1321" t="str">
        <f t="array" ref="F83">IF(ISERROR(INDEX($E$4:$E$60,SMALL(IF($E$4:$E$60&lt;&gt;0,ROW($E$4:$E$60)-3),ROW(F17)))),"",INDEX($E$4:$E$60,SMALL(IF($E$4:$E$60&lt;&gt;0,ROW($E$4:$E$60)-3),ROW(F17))))</f>
        <v/>
      </c>
      <c r="G83" s="1321" t="str">
        <f t="array" ref="G83">IF( ISERROR(INDEX($A$4:$A$60,SMALL(IF($G$4:$G$60&lt;&gt;0,ROW($G$4:$G$60)-4),ROW(G17)))),"",INDEX($A$4:$A$60,SMALL(IF($G$4:$G$60&lt;&gt;0,ROW($G$5:$G$60)-4),ROW(G17))))</f>
        <v/>
      </c>
      <c r="H83" s="1321" t="str">
        <f t="array" ref="H83">IF(ISERROR(INDEX($E$4:$E$60,SMALL(IF($G$4:$G$60&lt;&gt;0,ROW($G$4:$G$60)-3),ROW(H17)))),"",INDEX($G$4:$G$60,SMALL(IF($G$4:$G$60&lt;&gt;0,ROW($G$4:$G$60)-3),ROW(H17))))</f>
        <v/>
      </c>
      <c r="I83" s="1321" t="str">
        <f t="array" ref="I83">IF( ISERROR(INDEX($A$4:$A$60,SMALL(IF($I$4:$I$60&lt;&gt;0,ROW($I$4:$I$60)-4),ROW(I17)))),"",INDEX($A$4:$A$60,SMALL(IF($I$4:$I$60&lt;&gt;0,ROW($I$5:$I$60)-4),ROW(I17))))</f>
        <v/>
      </c>
      <c r="J83" s="1321" t="str">
        <f t="array" ref="J83">IF(ISERROR(INDEX($I$4:$I$60,SMALL(IF($I$4:$I$60&lt;&gt;0,ROW($I$4:$I$60)-3),ROW(J17)))),"",INDEX($I$4:$I$60,SMALL(IF($I$4:$I$60&lt;&gt;0,ROW($I$4:$I$60)-3),ROW(J17))))</f>
        <v/>
      </c>
      <c r="K83" s="1321" t="str">
        <f t="array" ref="K83">IF( ISERROR(INDEX($A$4:$A$60,SMALL(IF($K$4:$K$60&lt;&gt;0,ROW($K$4:$K$60)-4),ROW(K17)))),"",INDEX($A$4:$A$60,SMALL(IF($K$4:$K$60&lt;&gt;0,ROW($K$5:$K$60)-4),ROW(K17))))</f>
        <v/>
      </c>
      <c r="L83" s="1321" t="str">
        <f t="array" ref="L83">IF(ISERROR(INDEX($K$4:$K$60,SMALL(IF($K$4:$K$60&lt;&gt;0,ROW($K$4:$K$60)-3),ROW(L17)))),"",INDEX($K$4:$K$60,SMALL(IF($K$4:$K$60&lt;&gt;0,ROW($K$4:$K$60)-3),ROW(L17))))</f>
        <v/>
      </c>
      <c r="M83" s="1321" t="str">
        <f t="array" ref="M83">IF( ISERROR(INDEX($A$4:$A$60,SMALL(IF($M$4:$M$60&lt;&gt;0,ROW($M$4:$M$60)-4),ROW(M17)))),"",INDEX($A$4:$A$60,SMALL(IF($M$4:$M$60&lt;&gt;0,ROW($M$5:$M$60)-4),ROW(M17))))</f>
        <v/>
      </c>
      <c r="N83" s="1321" t="str">
        <f t="array" ref="N83">IF(ISERROR(INDEX($M$4:$M$60,SMALL(IF($M$4:$M$60&lt;&gt;0,ROW($M$4:$M$60)-3),ROW(N17)))),"",INDEX($M$4:$M$60,SMALL(IF($M$4:$M$60&lt;&gt;0,ROW($M$4:$M$60)-3),ROW(N17))))</f>
        <v/>
      </c>
      <c r="O83" s="1321" t="str">
        <f t="array" ref="O83">IF( ISERROR(INDEX($A$4:$A$60,SMALL(IF($O$4:$O$60&lt;&gt;0,ROW($O$4:$O$60)-4),ROW(O17)))),"",INDEX($A$4:$A$60,SMALL(IF($O$4:$O$60&lt;&gt;0,ROW($O$5:$O$60)-4),ROW(O17))))</f>
        <v/>
      </c>
      <c r="P83" s="1321" t="str">
        <f t="array" ref="P83">IF(ISERROR(INDEX($O$4:$O$60,SMALL(IF($O$4:$O$60&lt;&gt;0,ROW($O$4:$O$60)-3),ROW(P17)))),"",INDEX($O$4:$O$60,SMALL(IF($O$4:$O$60&lt;&gt;0,ROW($O$4:$O$60)-3),ROW(P17))))</f>
        <v/>
      </c>
      <c r="Q83" s="1321" t="str">
        <f t="array" ref="Q83">IF( ISERROR(INDEX($A$4:$A$60,SMALL(IF($Q$4:$Q$60&lt;&gt;0,ROW($Q$4:$Q$60)-4),ROW(Q17)))),"",INDEX($A$4:$A$60,SMALL(IF($Q$4:$Q$60&lt;&gt;0,ROW($Q$5:$Q$60)-4),ROW(Q17))))</f>
        <v/>
      </c>
      <c r="R83" s="1321" t="str">
        <f t="array" ref="R83">IF(ISERROR(INDEX($Q$4:$Q$60,SMALL(IF($Q$4:$Q$60&lt;&gt;0,ROW($Q$4:$Q$60)-3),ROW(R17)))),"",INDEX($Q$4:$Q$60,SMALL(IF($Q$4:$Q$60&lt;&gt;0,ROW($Q$4:$Q$60)-3),ROW(R17))))</f>
        <v/>
      </c>
      <c r="S83" s="1321" t="str">
        <f t="array" ref="S83">IF( ISERROR(INDEX($A$4:$A$60,SMALL(IF($S$4:$S$60&lt;&gt;0,ROW($S$4:$S$60)-4),ROW(S17)))),"",INDEX($A$4:$A$60,SMALL(IF($S$4:$S$60&lt;&gt;0,ROW($S$5:$S$60)-4),ROW(S17))))</f>
        <v/>
      </c>
      <c r="T83" s="1321" t="str">
        <f t="array" ref="T83">IF(ISERROR(INDEX($S$4:$S$60,SMALL(IF($S$4:$S$60&lt;&gt;0,ROW($S$4:$S$60)-3),ROW(T17)))),"",INDEX($S$4:$S$60,SMALL(IF($S$4:$S$60&lt;&gt;0,ROW($S$4:$S$60)-3),ROW(T17))))</f>
        <v/>
      </c>
      <c r="U83" s="1321" t="str">
        <f t="array" ref="U83">IF( ISERROR(INDEX($A$4:$A$60,SMALL(IF($U$4:$U$60&lt;&gt;0,ROW($U$4:$U$60)-4),ROW(U17)))),"",INDEX($A$4:$A$60,SMALL(IF($U$4:$U$60&lt;&gt;0,ROW($U$5:$U$60)-4),ROW(U17))))</f>
        <v/>
      </c>
      <c r="V83" s="1321" t="str">
        <f t="array" ref="V83">IF(ISERROR(INDEX($U$4:$U$60,SMALL(IF($U$4:$U$60&lt;&gt;0,ROW($U$4:$U$60)-3),ROW(V17)))),"",INDEX($U$4:$U$60,SMALL(IF($U$4:$U$60&lt;&gt;0,ROW($U$4:$U$60)-3),ROW(V17))))</f>
        <v/>
      </c>
      <c r="W83" s="1321" t="str">
        <f t="array" ref="W83">IF( ISERROR(INDEX($A$4:$A$60,SMALL(IF($W$4:$W$60&lt;&gt;0,ROW($W$4:$W$60)-4),ROW(W17)))),"",INDEX($A$4:$A$60,SMALL(IF($W$4:$W$60&lt;&gt;0,ROW($W$5:$W$60)-4),ROW(W17))))</f>
        <v/>
      </c>
      <c r="X83" s="1321" t="str">
        <f t="array" ref="X83">IF(ISERROR(INDEX($W$4:$W$60,SMALL(IF($W$4:$W$60&lt;&gt;0,ROW($W$4:$W$60)-3),ROW(X17)))),"",INDEX($W$4:$W$60,SMALL(IF($W$4:$W$60&lt;&gt;0,ROW($W$4:$W$60)-3),ROW(X17))))</f>
        <v/>
      </c>
      <c r="Y83" s="1321" t="str">
        <f t="array" ref="Y83">IF( ISERROR(INDEX($A$4:$A$60,SMALL(IF($Y$4:$Y$60&lt;&gt;0,ROW($Y$4:$Y$60)-4),ROW(Y17)))),"",INDEX($A$4:$A$60,SMALL(IF($Y$4:$Y$60&lt;&gt;0,ROW($Y$5:$Y$60)-4),ROW(Y17))))</f>
        <v/>
      </c>
      <c r="Z83" s="1321" t="str">
        <f t="array" ref="Z83">IF(ISERROR(INDEX($Y$4:$Y$60,SMALL(IF($Y$4:$Y$60&lt;&gt;0,ROW($Y$4:$Y$60)-3),ROW(Z17)))),"",INDEX($Y$4:$Y$60,SMALL(IF($Y$4:$Y$60&lt;&gt;0,ROW($Y$4:$Y$60)-3),ROW(Z17))))</f>
        <v/>
      </c>
      <c r="AA83" s="1321" t="str">
        <f t="array" ref="AA83">IF( ISERROR(INDEX($A$4:$A$60,SMALL(IF($AA$4:$AA$60&lt;&gt;0,ROW($AA$4:$AA$60)-4),ROW(AA17)))),"",INDEX($A$4:$A$60,SMALL(IF($AA$4:$AA$60&lt;&gt;0,ROW($AA$5:$AA$60)-4),ROW(AA17))))</f>
        <v/>
      </c>
      <c r="AB83" s="1321" t="str">
        <f t="array" ref="AB83">IF(ISERROR(INDEX($AA$4:$AA$60,SMALL(IF($AA$4:$AA$60&lt;&gt;0,ROW($AA$4:$AA$60)-3),ROW(AB17)))),"",INDEX($AA$4:$AA$60,SMALL(IF($AA$4:$AA$60&lt;&gt;0,ROW($AA$4:$AA$60)-3),ROW(AB17))))</f>
        <v/>
      </c>
      <c r="AC83" s="1321" t="str">
        <f t="array" ref="AC83">IF( ISERROR(INDEX($A$4:$A$60,SMALL(IF($AC$4:$AC$60&lt;&gt;0,ROW($AC$4:$AC$60)-4),ROW(AC17)))),"",INDEX($A$4:$A$60,SMALL(IF($AC$4:$AC$60&lt;&gt;0,ROW($AC$5:$AC$60)-4),ROW(AC17))))</f>
        <v/>
      </c>
      <c r="AD83" s="1321" t="str">
        <f t="array" ref="AD83">IF(ISERROR(INDEX($AC$4:$AC$60,SMALL(IF($AC$4:$AC$60&lt;&gt;0,ROW($AC$4:$AC$60)-3),ROW(AD17)))),"",INDEX($AC$4:$AC$60,SMALL(IF($AC$4:$AC$60&lt;&gt;0,ROW($AC$4:$AC$60)-3),ROW(AD17))))</f>
        <v/>
      </c>
      <c r="AE83" s="1321" t="str">
        <f t="array" ref="AE83">IF( ISERROR(INDEX($A$4:$A$60,SMALL(IF($AE$4:$AE$60&lt;&gt;0,ROW($AE$4:$AE$60)-4),ROW(AE17)))),"",INDEX($A$4:$A$60,SMALL(IF($AE$4:$AE$60&lt;&gt;0,ROW($AE$5:$AE$60)-4),ROW(AE17))))</f>
        <v/>
      </c>
      <c r="AF83" s="1321" t="str">
        <f t="array" ref="AF83">IF(ISERROR(INDEX($AE$4:$AE$60,SMALL(IF($AE$4:$AE$60&lt;&gt;0,ROW($AE$4:$AE$60)-3),ROW(AF17)))),"",INDEX($AE$4:$AE$60,SMALL(IF($AE$4:$AE$60&lt;&gt;0,ROW($AE$4:$AE$60)-3),ROW(AF17))))</f>
        <v/>
      </c>
      <c r="AG83" s="1321" t="str">
        <f t="array" ref="AG83">IF( ISERROR(INDEX($A$4:$A$60,SMALL(IF($AG$4:$AG$60&lt;&gt;0,ROW($AG$4:$AG$60)-4),ROW(AG17)))),"",INDEX($A$4:$A$60,SMALL(IF($AG$4:$AG$60&lt;&gt;0,ROW($AG$5:$AG$60)-4),ROW(AG17))))</f>
        <v/>
      </c>
      <c r="AH83" s="1321" t="str">
        <f t="array" ref="AH83">IF(ISERROR(INDEX($AG$4:$AG$60,SMALL(IF($AG$4:$AG$60&lt;&gt;0,ROW($AG$4:$AG$60)-3),ROW(AH17)))),"",INDEX($AG$4:$AG$60,SMALL(IF($AG$4:$AG$60&lt;&gt;0,ROW($AG$4:$AG$60)-3),ROW(AH17))))</f>
        <v/>
      </c>
      <c r="AI83" s="1321" t="str">
        <f t="array" ref="AI83">IF( ISERROR(INDEX($A$4:$A$60,SMALL(IF($AI$4:$AI$60&lt;&gt;0,ROW($AI$4:$AI$60)-4),ROW(AI17)))),"",INDEX($A$4:$A$60,SMALL(IF($AI$4:$AI$60&lt;&gt;0,ROW($AI$5:$AI$60)-4),ROW(AI17))))</f>
        <v/>
      </c>
      <c r="AJ83" s="1321" t="str">
        <f t="array" ref="AJ83">IF(ISERROR(INDEX($E$4:$E$60,SMALL(IF($AI$4:$AI$60&lt;&gt;0,ROW($AI$4:$AI$60)-3),ROW(AJ17)))),"",INDEX($AI$4:$AI$60,SMALL(IF($AI$4:$AI$60&lt;&gt;0,ROW($AI$4:$AI$60)-3),ROW(AJ17))))</f>
        <v/>
      </c>
      <c r="AK83" s="1321" t="str">
        <f t="array" ref="AK83">IF( ISERROR(INDEX($A$4:$A$60,SMALL(IF($AK$4:$AK$60&lt;&gt;0,ROW($AK$4:$AK$60)-4),ROW(AK17)))),"",INDEX($A$4:$A$60,SMALL(IF($AK$4:$AK$60&lt;&gt;0,ROW($AK$5:$AK$60)-4),ROW(AK17))))</f>
        <v/>
      </c>
      <c r="AL83" s="1321" t="str">
        <f t="array" ref="AL83">IF(ISERROR(INDEX($AK$4:$AK$60,SMALL(IF($AK$4:$AK$60&lt;&gt;0,ROW($AK$4:$AK$60)-3),ROW(AL17)))),"",INDEX($AK$4:$AK$60,SMALL(IF($AK$4:$AK$60&lt;&gt;0,ROW($AK$4:$AK$60)-3),ROW(AL17))))</f>
        <v/>
      </c>
      <c r="AM83" s="1321" t="str">
        <f t="array" ref="AM83">IF( ISERROR(INDEX($A$4:$A$60,SMALL(IF($AM$4:$AM$60&lt;&gt;0,ROW($AM$4:$AM$60)-4),ROW(AM17)))),"",INDEX($A$4:$A$60,SMALL(IF($AM$4:$AM$60&lt;&gt;0,ROW($AM$5:$AM$60)-4),ROW(AM17))))</f>
        <v/>
      </c>
      <c r="AN83" s="1321" t="str">
        <f t="array" ref="AN83">IF(ISERROR(INDEX($AM$4:$AM$60,SMALL(IF($AM$4:$AM$60&lt;&gt;0,ROW($AM$4:$AM$60)-3),ROW(AN17)))),"",INDEX($AM$4:$AM$60,SMALL(IF($AM$4:$AM$60&lt;&gt;0,ROW($AM$4:$AM$60)-3),ROW(AN17))))</f>
        <v/>
      </c>
      <c r="AO83" s="1321" t="str">
        <f t="array" ref="AO83">IF( ISERROR(INDEX($A$4:$A$60,SMALL(IF($AO$4:$AO$60&lt;&gt;0,ROW($AO$4:$AO$60)-4),ROW(AO17)))),"",INDEX($A$4:$A$60,SMALL(IF($AO$4:$AO$60&lt;&gt;0,ROW($AO$5:$AO$60)-4),ROW(AO17))))</f>
        <v/>
      </c>
      <c r="AP83" s="1321" t="str">
        <f t="array" ref="AP83">IF(ISERROR(INDEX($AO$4:$AO$60,SMALL(IF($AO$4:$AO$60&lt;&gt;0,ROW($AO$4:$AO$60)-3),ROW(AP17)))),"",INDEX($AO$4:$AO$60,SMALL(IF($AO$4:$AO$60&lt;&gt;0,ROW($AO$4:$AO$60)-3),ROW(AP17))))</f>
        <v/>
      </c>
      <c r="AQ83" s="1321" t="str">
        <f t="array" ref="AQ83">IF( ISERROR(INDEX($A$4:$A$60,SMALL(IF($AQ$4:$AQ$60&lt;&gt;0,ROW($AQ$4:$AQ$60)-4),ROW(AQ17)))),"",INDEX($A$4:$A$60,SMALL(IF($AQ$4:$AQ$60&lt;&gt;0,ROW($AQ$5:$AQ$60)-4),ROW(AQ17))))</f>
        <v/>
      </c>
      <c r="AR83" s="1321" t="str">
        <f t="array" ref="AR83">IF(ISERROR(INDEX($AQ$4:$AQ$60,SMALL(IF($AQ$4:$AQ$60&lt;&gt;0,ROW($AQ$4:$AQ$60)-3),ROW(AR17)))),"",INDEX($AQ$4:$AQ$60,SMALL(IF($AQ$4:$AQ$60&lt;&gt;0,ROW($AQ$4:$AQ$60)-3),ROW(AR17))))</f>
        <v/>
      </c>
      <c r="AS83" s="1321" t="str">
        <f t="array" ref="AS83">IF( ISERROR(INDEX($A$4:$A$60,SMALL(IF($AS$4:$AS$60&lt;&gt;0,ROW($AS$4:$AS$60)-4),ROW(AS17)))),"",INDEX($A$4:$A$60,SMALL(IF($AS$4:$AS$60&lt;&gt;0,ROW($AS$5:$AS$60)-4),ROW(AS17))))</f>
        <v/>
      </c>
      <c r="AT83" s="1321" t="str">
        <f t="array" ref="AT83">IF(ISERROR(INDEX($AS$4:$AS$60,SMALL(IF($AS$4:$AS$60&lt;&gt;0,ROW($AS$4:$AS$60)-3),ROW(AT17)))),"",INDEX($AS$4:$AS$60,SMALL(IF($AS$4:$AS$60&lt;&gt;0,ROW($AS$4:$AS$60)-3),ROW(AT17))))</f>
        <v/>
      </c>
      <c r="AU83" s="1321" t="str">
        <f t="array" ref="AU83">IF( ISERROR(INDEX($A$4:$A$60,SMALL(IF($AU$4:$AU$60&lt;&gt;0,ROW($AU$4:$AU$60)-4),ROW(AU17)))),"",INDEX($A$4:$A$60,SMALL(IF($AU$4:$AU$60&lt;&gt;0,ROW($AU$5:$AU$60)-4),ROW(AU17))))</f>
        <v/>
      </c>
      <c r="AV83" s="1321" t="str">
        <f t="array" ref="AV83">IF(ISERROR(INDEX($AU$4:$AU$60,SMALL(IF($AU$4:$AU$60&lt;&gt;0,ROW($AU$4:$AU$60)-3),ROW(AV17)))),"",INDEX($AU$4:$AU$60,SMALL(IF($AU$4:$AU$60&lt;&gt;0,ROW($AU$4:$AU$60)-3),ROW(AV17))))</f>
        <v/>
      </c>
      <c r="AW83" s="1321" t="str">
        <f t="array" ref="AW83">IF( ISERROR(INDEX($A$4:$A$60,SMALL(IF($AW$4:$AW$60&lt;&gt;0,ROW($AW$4:$AW$60)-4),ROW(AW17)))),"",INDEX($A$4:$A$60,SMALL(IF($AW$4:$AW$60&lt;&gt;0,ROW($AW$5:$AW$60)-4),ROW(AW17))))</f>
        <v/>
      </c>
      <c r="AX83" s="1321" t="str">
        <f t="array" ref="AX83">IF(ISERROR(INDEX($AW$4:$AW$60,SMALL(IF($AW$4:$AW$60&lt;&gt;0,ROW($AW$4:$AW$60)-3),ROW(AX17)))),"",INDEX($AW$4:$AW$60,SMALL(IF($AW$4:$AW$60&lt;&gt;0,ROW($AW$4:$AW$60)-3),ROW(AX17))))</f>
        <v/>
      </c>
      <c r="AY83" s="1321" t="str">
        <f t="array" ref="AY83">IF( ISERROR(INDEX($A$4:$A$60,SMALL(IF($AY$4:$AY$60&lt;&gt;0,ROW($AY$4:$AY$60)-4),ROW(AY17)))),"",INDEX($A$4:$A$60,SMALL(IF($AY$4:$AY$60&lt;&gt;0,ROW($AY$5:$AY$60)-4),ROW(AY17))))</f>
        <v/>
      </c>
      <c r="AZ83" s="1321" t="str">
        <f t="array" ref="AZ83">IF(ISERROR(INDEX($AY$4:$AY$60,SMALL(IF($AY$4:$AY$60&lt;&gt;0,ROW($AY$4:$AY$60)-3),ROW(AZ17)))),"",INDEX($AY$4:$AY$60,SMALL(IF($AY$4:$AY$60&lt;&gt;0,ROW($AY$4:$AY$60)-3),ROW(AZ17))))</f>
        <v/>
      </c>
      <c r="BA83" s="1321" t="str">
        <f t="array" ref="BA83">IF( ISERROR(INDEX($A$4:$A$60,SMALL(IF($BA$4:$BA$60&lt;&gt;0,ROW($BA$4:$BA$60)-4),ROW(BA17)))),"",INDEX($A$4:$A$60,SMALL(IF($BA$4:$BA$60&lt;&gt;0,ROW($BA$5:$BA$60)-4),ROW(BA17))))</f>
        <v/>
      </c>
      <c r="BB83" s="1321" t="str">
        <f t="array" ref="BB83">IF(ISERROR(INDEX($BA$4:$BA$60,SMALL(IF($BA$4:$BA$60&lt;&gt;0,ROW($BA$4:$BA$60)-3),ROW(BB17)))),"",INDEX($BA$4:$BA$60,SMALL(IF($BA$4:$BA$60&lt;&gt;0,ROW($BA$4:$BA$60)-3),ROW(BB17))))</f>
        <v/>
      </c>
      <c r="BC83" s="1321" t="str">
        <f t="array" ref="BC83">IF( ISERROR(INDEX($A$4:$A$60,SMALL(IF($BC$4:$BC$60&lt;&gt;0,ROW($BC$4:$BC$60)-4),ROW(BC17)))),"",INDEX($A$4:$A$60,SMALL(IF($BC$4:$BC$60&lt;&gt;0,ROW($BC$5:$BC$60)-4),ROW(BC17))))</f>
        <v/>
      </c>
      <c r="BD83" s="1321" t="str">
        <f t="array" ref="BD83">IF(ISERROR(INDEX($BC$4:$BC$60,SMALL(IF($BC$4:$BC$60&lt;&gt;0,ROW($BC$4:$BC$60)-3),ROW(BD17)))),"",INDEX($BC$4:$BC$60,SMALL(IF($BC$4:$BC$60&lt;&gt;0,ROW($BC$4:$BC$60)-3),ROW(BD17))))</f>
        <v/>
      </c>
      <c r="BE83" s="1321" t="str">
        <f t="array" ref="BE83">IF( ISERROR(INDEX($A$4:$A$60,SMALL(IF($BE$4:$BE$60&lt;&gt;0,ROW($BE$4:$BE$60)-4),ROW(BE17)))),"",INDEX($A$4:$A$60,SMALL(IF($BE$4:$BE$60&lt;&gt;0,ROW($BE$5:$BE$60)-4),ROW(BE17))))</f>
        <v/>
      </c>
      <c r="BF83" s="1321" t="str">
        <f t="array" ref="BF83">IF(ISERROR(INDEX($BE$4:$BE$60,SMALL(IF($BE$4:$BE$60&lt;&gt;0,ROW($BE$4:$BE$60)-3),ROW(BF17)))),"",INDEX($BE$4:$BE$60,SMALL(IF($BE$4:$BE$60&lt;&gt;0,ROW($BE$4:$BE$60)-3),ROW(BF17))))</f>
        <v/>
      </c>
      <c r="BG83" s="1321" t="str">
        <f t="array" ref="BG83">IF( ISERROR(INDEX($A$4:$A$60,SMALL(IF($BG$4:$BG$60&lt;&gt;0,ROW($BG$4:$BG$60)-4),ROW(BG17)))),"",INDEX($A$4:$A$60,SMALL(IF($BG$4:$BG$60&lt;&gt;0,ROW($BG$5:$BG$60)-4),ROW(BG17))))</f>
        <v/>
      </c>
      <c r="BH83" s="1321" t="str">
        <f t="array" ref="BH83">IF(ISERROR(INDEX($BG$4:$BG$60,SMALL(IF($BG$4:$BG$60&lt;&gt;0,ROW($BG$4:$BG$60)-3),ROW(BH17)))),"",INDEX($BG$4:$BG$60,SMALL(IF($BG$4:$BG$60&lt;&gt;0,ROW($BG$4:$BG$60)-3),ROW(BH17))))</f>
        <v/>
      </c>
      <c r="BI83" s="1321" t="str">
        <f t="array" ref="BI83">IF( ISERROR(INDEX($A$4:$A$60,SMALL(IF($BI$4:$BI$60&lt;&gt;0,ROW($BI$4:$BI$60)-4),ROW(BI17)))),"",INDEX($A$4:$A$60,SMALL(IF($BI$4:$BI$60&lt;&gt;0,ROW($BI$5:$BI$60)-4),ROW(BI17))))</f>
        <v/>
      </c>
      <c r="BJ83" s="1321" t="str">
        <f t="array" ref="BJ83">IF(ISERROR(INDEX($BI$4:$BI$60,SMALL(IF($BI$4:$BI$60&lt;&gt;0,ROW($BI$4:$BI$60)-3),ROW(BJ17)))),"",INDEX($BI$4:$BI$60,SMALL(IF($BI$4:$BI$60&lt;&gt;0,ROW($BI$4:$BI$60)-3),ROW(BJ17))))</f>
        <v/>
      </c>
      <c r="BK83" s="1321" t="str">
        <f t="array" ref="BK83">IF( ISERROR(INDEX($A$4:$A$60,SMALL(IF($BK$4:$BK$60&lt;&gt;0,ROW($BK$4:$BK$60)-4),ROW(BK17)))),"",INDEX($A$4:$A$60,SMALL(IF($BK$4:$BK$60&lt;&gt;0,ROW($BK$5:$BK$60)-4),ROW(BK17))))</f>
        <v/>
      </c>
      <c r="BL83" s="1321" t="str">
        <f t="array" ref="BL83">IF(ISERROR(INDEX($BK$4:$BK$60,SMALL(IF($BK$4:$BK$60&lt;&gt;0,ROW($BK$4:$BK$60)-3),ROW(BL17)))),"",INDEX($BK$4:$BK$60,SMALL(IF($BK$4:$BK$60&lt;&gt;0,ROW($BK$4:$BK$60)-3),ROW(BL17))))</f>
        <v/>
      </c>
      <c r="BM83" s="1321" t="str">
        <f t="array" ref="BM83">IF( ISERROR(INDEX($A$4:$A$60,SMALL(IF($BM$4:$BM$60&lt;&gt;0,ROW($BM$4:$BM$60)-4),ROW(BM17)))),"",INDEX($A$4:$A$60,SMALL(IF($BM$4:$BM$60&lt;&gt;0,ROW($BM$5:$BM$60)-4),ROW(BM17))))</f>
        <v/>
      </c>
      <c r="BN83" s="1321" t="str">
        <f t="array" ref="BN83">IF(ISERROR(INDEX($BM$4:$BM$60,SMALL(IF($BM$4:$BM$60&lt;&gt;0,ROW($BM$4:$BM$60)-3),ROW(BN17)))),"",INDEX($BM$4:$BM$60,SMALL(IF($BM$4:$BM$60&lt;&gt;0,ROW($BM$4:$BM$60)-3),ROW(BN17))))</f>
        <v/>
      </c>
      <c r="BO83" s="1321" t="str">
        <f t="array" ref="BO83">IF( ISERROR(INDEX($A$4:$A$60,SMALL(IF($BO$4:$BO$60&lt;&gt;0,ROW($BO$4:$BO$60)-4),ROW(BO17)))),"",INDEX($A$4:$A$60,SMALL(IF($BO$4:$BO$60&lt;&gt;0,ROW($BO$5:$BO$60)-4),ROW(BO17))))</f>
        <v/>
      </c>
      <c r="BP83" s="1321" t="str">
        <f t="array" ref="BP83">IF(ISERROR(INDEX($BO$4:$BO$60,SMALL(IF($BO$4:$BO$60&lt;&gt;0,ROW($BO$4:$BO$60)-3),ROW(BP17)))),"",INDEX($BO$4:$BO$60,SMALL(IF($BO$4:$BO$60&lt;&gt;0,ROW($BO$4:$BO$60)-3),ROW(BP17))))</f>
        <v/>
      </c>
      <c r="BQ83" s="1321" t="str">
        <f t="array" ref="BQ83">IF( ISERROR(INDEX($A$4:$A$60,SMALL(IF($BQ$4:$BQ$60&lt;&gt;0,ROW($BQ$4:$BQ$60)-4),ROW(BQ17)))),"",INDEX($A$4:$A$60,SMALL(IF($BQ$4:$BQ$60&lt;&gt;0,ROW($BQ$5:$BQ$60)-4),ROW(BQ17))))</f>
        <v/>
      </c>
      <c r="BR83" s="1321" t="str">
        <f t="array" ref="BR83">IF(ISERROR(INDEX($BQ$4:$BQ$60,SMALL(IF($BQ$4:$BQ$60&lt;&gt;0,ROW($BQ$4:$BQ$60)-3),ROW(BR17)))),"",INDEX($BQ$4:$BQ$60,SMALL(IF($BQ$4:$BQ$60&lt;&gt;0,ROW($BQ$4:$BQ$60)-3),ROW(BR17))))</f>
        <v/>
      </c>
      <c r="BS83" s="1321" t="str">
        <f t="array" ref="BS83">IF( ISERROR(INDEX($A$4:$A$60,SMALL(IF($BS$4:$BS$60&lt;&gt;0,ROW($BS$4:$BS$60)-4),ROW(BS17)))),"",INDEX($A$4:$A$60,SMALL(IF($BS$4:$BS$60&lt;&gt;0,ROW($BS$5:$BS$60)-4),ROW(BS17))))</f>
        <v/>
      </c>
      <c r="BT83" s="1321" t="str">
        <f t="array" ref="BT83">IF(ISERROR(INDEX($BS$4:$BS$60,SMALL(IF($BS$4:$BS$60&lt;&gt;0,ROW($BS$4:$BS$60)-3),ROW(BT17)))),"",INDEX($BS$4:$BS$60,SMALL(IF($BS$4:$BS$60&lt;&gt;0,ROW($BS$4:$BS$60)-3),ROW(BT17))))</f>
        <v/>
      </c>
      <c r="BU83" s="1321" t="str">
        <f t="array" ref="BU83">IF( ISERROR(INDEX($A$4:$A$60,SMALL(IF($BU$4:$BU$60&lt;&gt;0,ROW($BU$4:$BU$60)-4),ROW(BU17)))),"",INDEX($A$4:$A$60,SMALL(IF($BU$4:$BU$60&lt;&gt;0,ROW($BU$5:$BU$60)-4),ROW(BU17))))</f>
        <v/>
      </c>
      <c r="BV83" s="1321" t="str">
        <f t="array" ref="BV83">IF(ISERROR(INDEX($BQ$4:$BQ$60,SMALL(IF($BU$4:$BU$60&lt;&gt;0,ROW($BU$4:$BU$60)-3),ROW(BV17)))),"",INDEX($BU$4:$BU$60,SMALL(IF($BU$4:$BU$60&lt;&gt;0,ROW($BU$4:$BU$60)-3),ROW(BV17))))</f>
        <v/>
      </c>
      <c r="BW83" s="1321" t="str">
        <f t="array" ref="BW83">IF( ISERROR(INDEX($A$4:$A$60,SMALL(IF($BW$4:$BW$60&lt;&gt;0,ROW($BW$4:$BW$60)-4),ROW(BW17)))),"",INDEX($A$4:$A$60,SMALL(IF($BW$4:$BW$60&lt;&gt;0,ROW($BW$5:$BW$60)-4),ROW(BW17))))</f>
        <v/>
      </c>
      <c r="BX83" s="1321" t="str">
        <f t="array" ref="BX83">IF(ISERROR(INDEX($BW$4:$BW$60,SMALL(IF($BW$4:$BW$60&lt;&gt;0,ROW($BW$4:$BW$60)-3),ROW(BX17)))),"",INDEX($BW$4:$BW$60,SMALL(IF($BW$4:$BW$60&lt;&gt;0,ROW($BW$4:$BW$60)-3),ROW(BX17))))</f>
        <v/>
      </c>
      <c r="BY83" s="1321" t="str">
        <f t="array" ref="BY83">IF( ISERROR(INDEX($A$4:$A$60,SMALL(IF($BY$4:$BY$60&lt;&gt;0,ROW($BY$4:$BY$60)-4),ROW(BY17)))),"",INDEX($A$4:$A$60,SMALL(IF($BY$4:$BY$60&lt;&gt;0,ROW($BY$5:$BY$60)-4),ROW(BY17))))</f>
        <v/>
      </c>
      <c r="BZ83" s="1321" t="str">
        <f t="array" ref="BZ83">IF(ISERROR(INDEX($BY$4:$BY$60,SMALL(IF($BY$4:$BY$60&lt;&gt;0,ROW($BY$4:$BY$60)-3),ROW(BZ17)))),"",INDEX($BY$4:$BY$60,SMALL(IF($BY$4:$BY$60&lt;&gt;0,ROW($BY$4:$BY$60)-3),ROW(BZ17))))</f>
        <v/>
      </c>
      <c r="CA83" s="1321" t="str">
        <f t="array" ref="CA83">IF( ISERROR(INDEX($A$4:$A$60,SMALL(IF($CA$4:$CA$60&lt;&gt;0,ROW($CA$4:$CA$60)-4),ROW(CA17)))),"",INDEX($A$4:$A$60,SMALL(IF($CA$4:$CA$60&lt;&gt;0,ROW($CA$5:$CA$60)-4),ROW(CA17))))</f>
        <v/>
      </c>
      <c r="CB83" s="1321" t="str">
        <f t="array" ref="CB83">IF(ISERROR(INDEX($CA$4:$CA$60,SMALL(IF($CA$4:$CA$60&lt;&gt;0,ROW($CA$4:$CA$60)-3),ROW(CB17)))),"",INDEX($CA$4:$CA$60,SMALL(IF($CA$4:$CA$60&lt;&gt;0,ROW($CA$4:$CA$60)-3),ROW(CB17))))</f>
        <v/>
      </c>
      <c r="CC83" s="1321" t="str">
        <f t="array" ref="CC83">IF( ISERROR(INDEX($A$4:$A$60,SMALL(IF($CC$4:$CC$60&lt;&gt;0,ROW($CC$4:$CC$60)-4),ROW(CC17)))),"",INDEX($A$4:$A$60,SMALL(IF($CC$4:$CC$60&lt;&gt;0,ROW($CC$5:$CC$60)-4),ROW(CC17))))</f>
        <v/>
      </c>
      <c r="CD83" s="1321" t="str">
        <f t="array" ref="CD83">IF(ISERROR(INDEX($CC$4:$CC$60,SMALL(IF($CC$4:$CC$60&lt;&gt;0,ROW($CC$4:$CC$60)-3),ROW(CD17)))),"",INDEX($CC$4:$CC$60,SMALL(IF($CC$4:$CC$60&lt;&gt;0,ROW($CC$4:$CC$60)-3),ROW(CD17))))</f>
        <v/>
      </c>
      <c r="CE83" s="1321" t="str">
        <f t="array" ref="CE83">IF( ISERROR(INDEX($A$4:$A$60,SMALL(IF($CE$4:$CE$60&lt;&gt;0,ROW($CE$4:$CE$60)-4),ROW(CE17)))),"",INDEX($A$4:$A$60,SMALL(IF($CE$4:$CE$60&lt;&gt;0,ROW($CE$5:$CE$60)-4),ROW(CE17))))</f>
        <v/>
      </c>
      <c r="CF83" s="1321" t="str">
        <f t="array" ref="CF83">IF(ISERROR(INDEX($CE$4:$CE$60,SMALL(IF($CE$4:$CE$60&lt;&gt;0,ROW($CE$4:$CE$60)-3),ROW(CF17)))),"",INDEX($CE$4:$CE$60,SMALL(IF($CE$4:$CE$60&lt;&gt;0,ROW($CE$4:$CE$60)-3),ROW(CF17))))</f>
        <v/>
      </c>
      <c r="CG83" s="1321" t="str">
        <f t="array" ref="CG83">IF( ISERROR(INDEX($A$4:$A$60,SMALL(IF($CG$4:$CG$60&lt;&gt;0,ROW($CG$4:$CG$60)-4),ROW(CG17)))),"",INDEX($A$4:$A$60,SMALL(IF($CG$4:$CG$60&lt;&gt;0,ROW($CG$5:$CG$60)-4),ROW(CG17))))</f>
        <v/>
      </c>
      <c r="CH83" s="1321" t="str">
        <f t="array" ref="CH83">IF(ISERROR(INDEX($CG$4:$CG$60,SMALL(IF($CG$4:$CG$60&lt;&gt;0,ROW($CG$4:$CG$60)-3),ROW(CH17)))),"",INDEX($CG$4:$CG$60,SMALL(IF($CG$4:$CG$60&lt;&gt;0,ROW($CG$4:$CG$60)-3),ROW(CH17))))</f>
        <v/>
      </c>
      <c r="CI83" s="1321" t="str">
        <f t="array" ref="CI83">IF( ISERROR(INDEX($A$4:$A$60,SMALL(IF($CA$4:$CA$60&lt;&gt;0,ROW($CA$4:$CA$60)-4),ROW(CI17)))),"",INDEX($A$4:$A$60,SMALL(IF($CA$4:$CA$60&lt;&gt;0,ROW($CA$5:$CA$60)-4),ROW(CI17))))</f>
        <v/>
      </c>
      <c r="CJ83" s="1321" t="str">
        <f t="array" ref="CJ83">IF(ISERROR(INDEX($CA$4:$CA$60,SMALL(IF($CA$4:$CA$60&lt;&gt;0,ROW($CA$4:$CA$60)-3),ROW(CJ17)))),"",INDEX($CA$4:$CA$60,SMALL(IF($CA$4:$CA$60&lt;&gt;0,ROW($CA$4:$CA$60)-3),ROW(CJ17))))</f>
        <v/>
      </c>
      <c r="CK83" s="1321" t="str">
        <f t="array" ref="CK83">IF( ISERROR(INDEX($A$4:$A$60,SMALL(IF($CK$4:$CK$60&lt;&gt;0,ROW($CK$4:$CK$60)-4),ROW(CK17)))),"",INDEX($A$4:$A$60,SMALL(IF($CK$4:$CK$60&lt;&gt;0,ROW($CK$5:$CK$60)-4),ROW(CK17))))</f>
        <v/>
      </c>
      <c r="CL83" s="1321" t="str">
        <f t="array" ref="CL83">IF(ISERROR(INDEX($CK$4:$CK$60,SMALL(IF($CK$4:$CK$60&lt;&gt;0,ROW($CK$4:$CK$60)-3),ROW(CL17)))),"",INDEX($CK$4:$CK$60,SMALL(IF($CK$4:$CK$60&lt;&gt;0,ROW($CK$4:$CK$60)-3),ROW(CL17))))</f>
        <v/>
      </c>
      <c r="CM83" s="1321" t="str">
        <f t="array" ref="CM83">IF( ISERROR(INDEX($A$4:$A$60,SMALL(IF($CM$4:$CM$60&lt;&gt;0,ROW($CM$4:$CM$60)-4),ROW(CM17)))),"",INDEX($A$4:$A$60,SMALL(IF($CM$4:$CM$60&lt;&gt;0,ROW($CM$5:$CM$60)-4),ROW(CM17))))</f>
        <v/>
      </c>
      <c r="CN83" s="1321" t="str">
        <f t="array" ref="CN83">IF(ISERROR(INDEX($CM$4:$CM$60,SMALL(IF($CM$4:$CM$60&lt;&gt;0,ROW($CM$4:$CM$60)-3),ROW(CN17)))),"",INDEX($CM$4:$CM$60,SMALL(IF($CM$4:$CM$60&lt;&gt;0,ROW($CM$4:$CM$60)-3),ROW(CN17))))</f>
        <v/>
      </c>
      <c r="CO83" s="1321" t="str">
        <f t="array" ref="CO83">IF( ISERROR(INDEX($A$4:$A$60,SMALL(IF($CO$4:$CO$60&lt;&gt;0,ROW($CO$4:$CO$60)-4),ROW(CO17)))),"",INDEX($A$4:$A$60,SMALL(IF($CO$4:$CO$60&lt;&gt;0,ROW($CO$5:$CO$60)-4),ROW(CO17))))</f>
        <v/>
      </c>
      <c r="CP83" s="1321" t="str">
        <f t="array" ref="CP83">IF(ISERROR(INDEX($CO$4:$CO$60,SMALL(IF($CO$4:$CO$60&lt;&gt;0,ROW($CO$4:$CO$60)-3),ROW(CP17)))),"",INDEX($CO$4:$CO$60,SMALL(IF($CO$4:$CO$60&lt;&gt;0,ROW($CO$4:$CO$60)-3),ROW(CP17))))</f>
        <v/>
      </c>
      <c r="CQ83" s="1321" t="str">
        <f t="array" ref="CQ83">IF( ISERROR(INDEX($A$4:$A$60,SMALL(IF($CQ$4:$CQ$60&lt;&gt;0,ROW($CQ$4:$CQ$60)-4),ROW(CQ17)))),"",INDEX($A$4:$A$60,SMALL(IF($CQ$4:$CQ$60&lt;&gt;0,ROW($CQ$5:$CQ$60)-4),ROW(CQ17))))</f>
        <v/>
      </c>
      <c r="CR83" s="1321" t="str">
        <f t="array" ref="CR83">IF(ISERROR(INDEX($CQ$4:$CQ$60,SMALL(IF($CQ$4:$CQ$60&lt;&gt;0,ROW($CQ$4:$CQ$60)-3),ROW(CR17)))),"",INDEX($CQ$4:$CQ$60,SMALL(IF($CQ$4:$CQ$60&lt;&gt;0,ROW($CQ$4:$CQ$60)-3),ROW(CR17))))</f>
        <v/>
      </c>
      <c r="CS83" s="1321" t="str">
        <f t="array" ref="CS83">IF( ISERROR(INDEX($A$4:$A$60,SMALL(IF($CS$4:$CS$60&lt;&gt;0,ROW($CS$4:$CS$60)-4),ROW(CS17)))),"",INDEX($A$4:$A$60,SMALL(IF($CS$4:$CS$60&lt;&gt;0,ROW($CS$5:$CS$60)-4),ROW(CS17))))</f>
        <v/>
      </c>
      <c r="CT83" s="1321" t="str">
        <f t="array" ref="CT83">IF(ISERROR(INDEX($CS$4:$CS$60,SMALL(IF($CS$4:$CS$60&lt;&gt;0,ROW($CS$4:$CS$60)-3),ROW(CT17)))),"",INDEX($CS$4:$CS$60,SMALL(IF($CS$4:$CS$60&lt;&gt;0,ROW($CS$4:$CS$60)-3),ROW(CT17))))</f>
        <v/>
      </c>
      <c r="CU83" s="1321" t="str">
        <f t="array" ref="CU83">IF( ISERROR(INDEX($A$4:$A$60,SMALL(IF($CU$4:$CU$60&lt;&gt;0,ROW($CU$4:$CU$60)-4),ROW(CU17)))),"",INDEX($A$4:$A$60,SMALL(IF($CU$4:$CU$60&lt;&gt;0,ROW($CU$5:$CU$60)-4),ROW(CU17))))</f>
        <v/>
      </c>
      <c r="CV83" s="1321" t="str">
        <f t="array" ref="CV83">IF(ISERROR(INDEX($CU$4:$CU$60,SMALL(IF($CU$4:$CU$60&lt;&gt;0,ROW($CU$4:$CU$60)-3),ROW(CV17)))),"",INDEX($CU$4:$CU$60,SMALL(IF($CU$4:$CU$60&lt;&gt;0,ROW($CU$4:$CU$60)-3),ROW(CV17))))</f>
        <v/>
      </c>
      <c r="CW83" s="1321" t="str">
        <f t="array" ref="CW83">IF( ISERROR(INDEX($A$4:$A$60,SMALL(IF($CW$4:$CW$60&lt;&gt;0,ROW($CW$4:$CW$60)-4),ROW(CW17)))),"",INDEX($A$4:$A$60,SMALL(IF($CW$4:$CW$60&lt;&gt;0,ROW($CW$5:$CW$60)-4),ROW(CW17))))</f>
        <v/>
      </c>
      <c r="CX83" s="1321" t="str">
        <f t="array" ref="CX83">IF(ISERROR(INDEX($CW$4:$CW$60,SMALL(IF($CW$4:$CW$60&lt;&gt;0,ROW($CW$4:$CW$60)-3),ROW(CX17)))),"",INDEX($CW$4:$CW$60,SMALL(IF($CW$4:$CW$60&lt;&gt;0,ROW($CW$4:$CW$60)-3),ROW(CX17))))</f>
        <v/>
      </c>
      <c r="CY83" s="1321" t="str">
        <f t="array" ref="CY83">IF( ISERROR(INDEX($A$4:$A$60,SMALL(IF($CY$4:$CY$60&lt;&gt;0,ROW($CY$4:$CY$60)-4),ROW(CY17)))),"",INDEX($A$4:$A$60,SMALL(IF($CY$4:$CY$60&lt;&gt;0,ROW($CY$5:$CY$60)-4),ROW(CY17))))</f>
        <v/>
      </c>
      <c r="CZ83" s="1321" t="str">
        <f t="array" ref="CZ83">IF(ISERROR(INDEX($CY$4:$CY$60,SMALL(IF($CY$4:$CY$60&lt;&gt;0,ROW($CY$4:$CY$60)-3),ROW(CZ17)))),"",INDEX($CY$4:$CY$60,SMALL(IF($CY$4:$CY$60&lt;&gt;0,ROW($CY$4:$CY$60)-3),ROW(CZ17))))</f>
        <v/>
      </c>
      <c r="DA83" s="1321"/>
      <c r="DB83" s="1321"/>
      <c r="DC83" s="1321"/>
      <c r="DD83" s="1321"/>
      <c r="DE83" s="1321"/>
      <c r="DF83" s="1321"/>
      <c r="DG83" s="1321"/>
      <c r="DH83" s="1321"/>
      <c r="DI83" s="1321"/>
      <c r="DJ83" s="1321"/>
      <c r="DK83" s="1321"/>
      <c r="DL83" s="1321"/>
      <c r="DM83" s="1321"/>
      <c r="DN83" s="1321"/>
      <c r="DO83" s="1321"/>
      <c r="DP83" s="1321"/>
      <c r="DQ83" s="1321"/>
      <c r="DR83" s="1321"/>
      <c r="DS83" s="1321"/>
      <c r="DT83" s="1321"/>
      <c r="DU83" s="1321"/>
      <c r="DV83" s="1321"/>
      <c r="DW83" s="1321"/>
      <c r="DX83" s="1321"/>
      <c r="DY83" s="1321"/>
      <c r="DZ83" s="1321"/>
      <c r="EA83" s="1321"/>
      <c r="EB83" s="1321"/>
      <c r="EC83" s="1321"/>
      <c r="ED83" s="1321"/>
      <c r="EE83" s="1321"/>
      <c r="EF83" s="1321"/>
      <c r="EG83" s="1321"/>
      <c r="EH83" s="1321"/>
      <c r="EI83" s="1321"/>
      <c r="EJ83" s="1321"/>
      <c r="EK83" s="1321"/>
      <c r="EL83" s="1321"/>
      <c r="EM83" s="1321"/>
      <c r="EN83" s="1321"/>
      <c r="EO83" s="1321"/>
      <c r="EP83" s="1321"/>
      <c r="EQ83" s="1321"/>
      <c r="ER83" s="1321"/>
      <c r="ES83" s="1321"/>
      <c r="ET83" s="1321"/>
      <c r="EU83" s="1321"/>
      <c r="EV83" s="1321"/>
      <c r="EW83" s="1321"/>
      <c r="EX83" s="1321"/>
      <c r="EY83" s="1321"/>
      <c r="EZ83" s="1321"/>
      <c r="FA83" s="1321"/>
      <c r="FB83" s="1321"/>
      <c r="FC83" s="1321"/>
      <c r="FD83" s="1321"/>
      <c r="FE83" s="1321"/>
      <c r="FF83" s="1321"/>
      <c r="FG83" s="1321"/>
      <c r="FH83" s="1321"/>
      <c r="FI83" s="1321"/>
      <c r="FJ83" s="1321"/>
      <c r="FK83" s="1321"/>
      <c r="FL83" s="1321"/>
      <c r="FM83" s="1321"/>
      <c r="FN83" s="1321"/>
      <c r="FO83" s="1321"/>
      <c r="FP83" s="1321"/>
      <c r="FQ83" s="1321"/>
      <c r="FR83" s="1321"/>
      <c r="FS83" s="1321"/>
      <c r="FT83" s="1321"/>
      <c r="FU83" s="1321"/>
      <c r="FV83" s="1321"/>
      <c r="FW83" s="1321"/>
      <c r="FX83" s="1321"/>
      <c r="FY83" s="1321"/>
      <c r="FZ83" s="1321"/>
      <c r="GA83" s="1321"/>
      <c r="GB83" s="1321"/>
      <c r="GC83" s="1321"/>
      <c r="GD83" s="1321"/>
      <c r="GE83" s="1321"/>
      <c r="GF83" s="1321"/>
      <c r="GG83" s="1321"/>
      <c r="GH83" s="1321"/>
      <c r="GI83" s="1321"/>
      <c r="GJ83" s="1321"/>
      <c r="GK83" s="1321"/>
      <c r="GL83" s="1321"/>
      <c r="GM83" s="1321"/>
      <c r="GN83" s="1321"/>
      <c r="GO83" s="1321"/>
      <c r="GP83" s="1321"/>
      <c r="GQ83" s="1321"/>
      <c r="GR83" s="1321"/>
      <c r="GS83" s="1321"/>
      <c r="GT83" s="1321"/>
      <c r="GU83" s="1321"/>
      <c r="GV83" s="1321"/>
      <c r="GW83" s="1321"/>
      <c r="GX83" s="1321"/>
      <c r="GY83" s="1321"/>
      <c r="GZ83" s="1321"/>
    </row>
    <row r="84" spans="3:208" hidden="1">
      <c r="C84" s="1321" t="str">
        <f t="array" ref="C84">IF( ISERROR(INDEX($A$4:$A$60,SMALL(IF($C$4:$C$60&lt;&gt;0,ROW($C$4:$C$60)-4),ROW(A18)))),"",INDEX($A$4:$A$60,SMALL(IF($C$4:$C$60&lt;&gt;0,ROW($C$5:$C$60)-4),ROW(A18))))</f>
        <v/>
      </c>
      <c r="D84" s="1321" t="str">
        <f t="array" ref="D84">IF(ISERROR(INDEX($C$4:$C$60,SMALL(IF($C$4:$C$60&lt;&gt;0,ROW($C$4:$C$60)-3),ROW(D18)))),"",INDEX($C$4:$C$60,SMALL(IF($C$4:$C$60&lt;&gt;0,ROW($C$4:$C$60)-3),ROW(D18))))</f>
        <v/>
      </c>
      <c r="E84" s="1321" t="str">
        <f t="array" ref="E84">IF( ISERROR(INDEX($A$4:$A$60,SMALL(IF($E$4:$E$60&lt;&gt;0,ROW($E$4:$E$60)-4),ROW(E18)))),"",INDEX($A$4:$A$60,SMALL(IF($E$4:$E$60&lt;&gt;0,ROW($E$5:$E$60)-4),ROW(E18))))</f>
        <v/>
      </c>
      <c r="F84" s="1321" t="str">
        <f t="array" ref="F84">IF(ISERROR(INDEX($E$4:$E$60,SMALL(IF($E$4:$E$60&lt;&gt;0,ROW($E$4:$E$60)-3),ROW(F18)))),"",INDEX($E$4:$E$60,SMALL(IF($E$4:$E$60&lt;&gt;0,ROW($E$4:$E$60)-3),ROW(F18))))</f>
        <v/>
      </c>
      <c r="G84" s="1321" t="str">
        <f t="array" ref="G84">IF( ISERROR(INDEX($A$4:$A$60,SMALL(IF($G$4:$G$60&lt;&gt;0,ROW($G$4:$G$60)-4),ROW(G18)))),"",INDEX($A$4:$A$60,SMALL(IF($G$4:$G$60&lt;&gt;0,ROW($G$5:$G$60)-4),ROW(G18))))</f>
        <v/>
      </c>
      <c r="H84" s="1321" t="str">
        <f t="array" ref="H84">IF(ISERROR(INDEX($E$4:$E$60,SMALL(IF($G$4:$G$60&lt;&gt;0,ROW($G$4:$G$60)-3),ROW(H18)))),"",INDEX($G$4:$G$60,SMALL(IF($G$4:$G$60&lt;&gt;0,ROW($G$4:$G$60)-3),ROW(H18))))</f>
        <v/>
      </c>
      <c r="I84" s="1321" t="str">
        <f t="array" ref="I84">IF( ISERROR(INDEX($A$4:$A$60,SMALL(IF($I$4:$I$60&lt;&gt;0,ROW($I$4:$I$60)-4),ROW(I18)))),"",INDEX($A$4:$A$60,SMALL(IF($I$4:$I$60&lt;&gt;0,ROW($I$5:$I$60)-4),ROW(I18))))</f>
        <v/>
      </c>
      <c r="J84" s="1321" t="str">
        <f t="array" ref="J84">IF(ISERROR(INDEX($I$4:$I$60,SMALL(IF($I$4:$I$60&lt;&gt;0,ROW($I$4:$I$60)-3),ROW(J18)))),"",INDEX($I$4:$I$60,SMALL(IF($I$4:$I$60&lt;&gt;0,ROW($I$4:$I$60)-3),ROW(J18))))</f>
        <v/>
      </c>
      <c r="K84" s="1321" t="str">
        <f t="array" ref="K84">IF( ISERROR(INDEX($A$4:$A$60,SMALL(IF($K$4:$K$60&lt;&gt;0,ROW($K$4:$K$60)-4),ROW(K18)))),"",INDEX($A$4:$A$60,SMALL(IF($K$4:$K$60&lt;&gt;0,ROW($K$5:$K$60)-4),ROW(K18))))</f>
        <v/>
      </c>
      <c r="L84" s="1321" t="str">
        <f t="array" ref="L84">IF(ISERROR(INDEX($K$4:$K$60,SMALL(IF($K$4:$K$60&lt;&gt;0,ROW($K$4:$K$60)-3),ROW(L18)))),"",INDEX($K$4:$K$60,SMALL(IF($K$4:$K$60&lt;&gt;0,ROW($K$4:$K$60)-3),ROW(L18))))</f>
        <v/>
      </c>
      <c r="M84" s="1321" t="str">
        <f t="array" ref="M84">IF( ISERROR(INDEX($A$4:$A$60,SMALL(IF($M$4:$M$60&lt;&gt;0,ROW($M$4:$M$60)-4),ROW(M18)))),"",INDEX($A$4:$A$60,SMALL(IF($M$4:$M$60&lt;&gt;0,ROW($M$5:$M$60)-4),ROW(M18))))</f>
        <v/>
      </c>
      <c r="N84" s="1321" t="str">
        <f t="array" ref="N84">IF(ISERROR(INDEX($M$4:$M$60,SMALL(IF($M$4:$M$60&lt;&gt;0,ROW($M$4:$M$60)-3),ROW(N18)))),"",INDEX($M$4:$M$60,SMALL(IF($M$4:$M$60&lt;&gt;0,ROW($M$4:$M$60)-3),ROW(N18))))</f>
        <v/>
      </c>
      <c r="O84" s="1321" t="str">
        <f t="array" ref="O84">IF( ISERROR(INDEX($A$4:$A$60,SMALL(IF($O$4:$O$60&lt;&gt;0,ROW($O$4:$O$60)-4),ROW(O18)))),"",INDEX($A$4:$A$60,SMALL(IF($O$4:$O$60&lt;&gt;0,ROW($O$5:$O$60)-4),ROW(O18))))</f>
        <v/>
      </c>
      <c r="P84" s="1321" t="str">
        <f t="array" ref="P84">IF(ISERROR(INDEX($O$4:$O$60,SMALL(IF($O$4:$O$60&lt;&gt;0,ROW($O$4:$O$60)-3),ROW(P18)))),"",INDEX($O$4:$O$60,SMALL(IF($O$4:$O$60&lt;&gt;0,ROW($O$4:$O$60)-3),ROW(P18))))</f>
        <v/>
      </c>
      <c r="Q84" s="1321" t="str">
        <f t="array" ref="Q84">IF( ISERROR(INDEX($A$4:$A$60,SMALL(IF($Q$4:$Q$60&lt;&gt;0,ROW($Q$4:$Q$60)-4),ROW(Q18)))),"",INDEX($A$4:$A$60,SMALL(IF($Q$4:$Q$60&lt;&gt;0,ROW($Q$5:$Q$60)-4),ROW(Q18))))</f>
        <v/>
      </c>
      <c r="R84" s="1321" t="str">
        <f t="array" ref="R84">IF(ISERROR(INDEX($Q$4:$Q$60,SMALL(IF($Q$4:$Q$60&lt;&gt;0,ROW($Q$4:$Q$60)-3),ROW(R18)))),"",INDEX($Q$4:$Q$60,SMALL(IF($Q$4:$Q$60&lt;&gt;0,ROW($Q$4:$Q$60)-3),ROW(R18))))</f>
        <v/>
      </c>
      <c r="S84" s="1321" t="str">
        <f t="array" ref="S84">IF( ISERROR(INDEX($A$4:$A$60,SMALL(IF($S$4:$S$60&lt;&gt;0,ROW($S$4:$S$60)-4),ROW(S18)))),"",INDEX($A$4:$A$60,SMALL(IF($S$4:$S$60&lt;&gt;0,ROW($S$5:$S$60)-4),ROW(S18))))</f>
        <v/>
      </c>
      <c r="T84" s="1321" t="str">
        <f t="array" ref="T84">IF(ISERROR(INDEX($S$4:$S$60,SMALL(IF($S$4:$S$60&lt;&gt;0,ROW($S$4:$S$60)-3),ROW(T18)))),"",INDEX($S$4:$S$60,SMALL(IF($S$4:$S$60&lt;&gt;0,ROW($S$4:$S$60)-3),ROW(T18))))</f>
        <v/>
      </c>
      <c r="U84" s="1321" t="str">
        <f t="array" ref="U84">IF( ISERROR(INDEX($A$4:$A$60,SMALL(IF($U$4:$U$60&lt;&gt;0,ROW($U$4:$U$60)-4),ROW(U18)))),"",INDEX($A$4:$A$60,SMALL(IF($U$4:$U$60&lt;&gt;0,ROW($U$5:$U$60)-4),ROW(U18))))</f>
        <v/>
      </c>
      <c r="V84" s="1321" t="str">
        <f t="array" ref="V84">IF(ISERROR(INDEX($U$4:$U$60,SMALL(IF($U$4:$U$60&lt;&gt;0,ROW($U$4:$U$60)-3),ROW(V18)))),"",INDEX($U$4:$U$60,SMALL(IF($U$4:$U$60&lt;&gt;0,ROW($U$4:$U$60)-3),ROW(V18))))</f>
        <v/>
      </c>
      <c r="W84" s="1321" t="str">
        <f t="array" ref="W84">IF( ISERROR(INDEX($A$4:$A$60,SMALL(IF($W$4:$W$60&lt;&gt;0,ROW($W$4:$W$60)-4),ROW(W18)))),"",INDEX($A$4:$A$60,SMALL(IF($W$4:$W$60&lt;&gt;0,ROW($W$5:$W$60)-4),ROW(W18))))</f>
        <v/>
      </c>
      <c r="X84" s="1321" t="str">
        <f t="array" ref="X84">IF(ISERROR(INDEX($W$4:$W$60,SMALL(IF($W$4:$W$60&lt;&gt;0,ROW($W$4:$W$60)-3),ROW(X18)))),"",INDEX($W$4:$W$60,SMALL(IF($W$4:$W$60&lt;&gt;0,ROW($W$4:$W$60)-3),ROW(X18))))</f>
        <v/>
      </c>
      <c r="Y84" s="1321" t="str">
        <f t="array" ref="Y84">IF( ISERROR(INDEX($A$4:$A$60,SMALL(IF($Y$4:$Y$60&lt;&gt;0,ROW($Y$4:$Y$60)-4),ROW(Y18)))),"",INDEX($A$4:$A$60,SMALL(IF($Y$4:$Y$60&lt;&gt;0,ROW($Y$5:$Y$60)-4),ROW(Y18))))</f>
        <v/>
      </c>
      <c r="Z84" s="1321" t="str">
        <f t="array" ref="Z84">IF(ISERROR(INDEX($Y$4:$Y$60,SMALL(IF($Y$4:$Y$60&lt;&gt;0,ROW($Y$4:$Y$60)-3),ROW(Z18)))),"",INDEX($Y$4:$Y$60,SMALL(IF($Y$4:$Y$60&lt;&gt;0,ROW($Y$4:$Y$60)-3),ROW(Z18))))</f>
        <v/>
      </c>
      <c r="AA84" s="1321" t="str">
        <f t="array" ref="AA84">IF( ISERROR(INDEX($A$4:$A$60,SMALL(IF($AA$4:$AA$60&lt;&gt;0,ROW($AA$4:$AA$60)-4),ROW(AA18)))),"",INDEX($A$4:$A$60,SMALL(IF($AA$4:$AA$60&lt;&gt;0,ROW($AA$5:$AA$60)-4),ROW(AA18))))</f>
        <v/>
      </c>
      <c r="AB84" s="1321" t="str">
        <f t="array" ref="AB84">IF(ISERROR(INDEX($AA$4:$AA$60,SMALL(IF($AA$4:$AA$60&lt;&gt;0,ROW($AA$4:$AA$60)-3),ROW(AB18)))),"",INDEX($AA$4:$AA$60,SMALL(IF($AA$4:$AA$60&lt;&gt;0,ROW($AA$4:$AA$60)-3),ROW(AB18))))</f>
        <v/>
      </c>
      <c r="AC84" s="1321" t="str">
        <f t="array" ref="AC84">IF( ISERROR(INDEX($A$4:$A$60,SMALL(IF($AC$4:$AC$60&lt;&gt;0,ROW($AC$4:$AC$60)-4),ROW(AC18)))),"",INDEX($A$4:$A$60,SMALL(IF($AC$4:$AC$60&lt;&gt;0,ROW($AC$5:$AC$60)-4),ROW(AC18))))</f>
        <v/>
      </c>
      <c r="AD84" s="1321" t="str">
        <f t="array" ref="AD84">IF(ISERROR(INDEX($AC$4:$AC$60,SMALL(IF($AC$4:$AC$60&lt;&gt;0,ROW($AC$4:$AC$60)-3),ROW(AD18)))),"",INDEX($AC$4:$AC$60,SMALL(IF($AC$4:$AC$60&lt;&gt;0,ROW($AC$4:$AC$60)-3),ROW(AD18))))</f>
        <v/>
      </c>
      <c r="AE84" s="1321" t="str">
        <f t="array" ref="AE84">IF( ISERROR(INDEX($A$4:$A$60,SMALL(IF($AE$4:$AE$60&lt;&gt;0,ROW($AE$4:$AE$60)-4),ROW(AE18)))),"",INDEX($A$4:$A$60,SMALL(IF($AE$4:$AE$60&lt;&gt;0,ROW($AE$5:$AE$60)-4),ROW(AE18))))</f>
        <v/>
      </c>
      <c r="AF84" s="1321" t="str">
        <f t="array" ref="AF84">IF(ISERROR(INDEX($AE$4:$AE$60,SMALL(IF($AE$4:$AE$60&lt;&gt;0,ROW($AE$4:$AE$60)-3),ROW(AF18)))),"",INDEX($AE$4:$AE$60,SMALL(IF($AE$4:$AE$60&lt;&gt;0,ROW($AE$4:$AE$60)-3),ROW(AF18))))</f>
        <v/>
      </c>
      <c r="AG84" s="1321" t="str">
        <f t="array" ref="AG84">IF( ISERROR(INDEX($A$4:$A$60,SMALL(IF($AG$4:$AG$60&lt;&gt;0,ROW($AG$4:$AG$60)-4),ROW(AG18)))),"",INDEX($A$4:$A$60,SMALL(IF($AG$4:$AG$60&lt;&gt;0,ROW($AG$5:$AG$60)-4),ROW(AG18))))</f>
        <v/>
      </c>
      <c r="AH84" s="1321" t="str">
        <f t="array" ref="AH84">IF(ISERROR(INDEX($AG$4:$AG$60,SMALL(IF($AG$4:$AG$60&lt;&gt;0,ROW($AG$4:$AG$60)-3),ROW(AH18)))),"",INDEX($AG$4:$AG$60,SMALL(IF($AG$4:$AG$60&lt;&gt;0,ROW($AG$4:$AG$60)-3),ROW(AH18))))</f>
        <v/>
      </c>
      <c r="AI84" s="1321" t="str">
        <f t="array" ref="AI84">IF( ISERROR(INDEX($A$4:$A$60,SMALL(IF($AI$4:$AI$60&lt;&gt;0,ROW($AI$4:$AI$60)-4),ROW(AI18)))),"",INDEX($A$4:$A$60,SMALL(IF($AI$4:$AI$60&lt;&gt;0,ROW($AI$5:$AI$60)-4),ROW(AI18))))</f>
        <v/>
      </c>
      <c r="AJ84" s="1321" t="str">
        <f t="array" ref="AJ84">IF(ISERROR(INDEX($E$4:$E$60,SMALL(IF($AI$4:$AI$60&lt;&gt;0,ROW($AI$4:$AI$60)-3),ROW(AJ18)))),"",INDEX($AI$4:$AI$60,SMALL(IF($AI$4:$AI$60&lt;&gt;0,ROW($AI$4:$AI$60)-3),ROW(AJ18))))</f>
        <v/>
      </c>
      <c r="AK84" s="1321" t="str">
        <f t="array" ref="AK84">IF( ISERROR(INDEX($A$4:$A$60,SMALL(IF($AK$4:$AK$60&lt;&gt;0,ROW($AK$4:$AK$60)-4),ROW(AK18)))),"",INDEX($A$4:$A$60,SMALL(IF($AK$4:$AK$60&lt;&gt;0,ROW($AK$5:$AK$60)-4),ROW(AK18))))</f>
        <v/>
      </c>
      <c r="AL84" s="1321" t="str">
        <f t="array" ref="AL84">IF(ISERROR(INDEX($AK$4:$AK$60,SMALL(IF($AK$4:$AK$60&lt;&gt;0,ROW($AK$4:$AK$60)-3),ROW(AL18)))),"",INDEX($AK$4:$AK$60,SMALL(IF($AK$4:$AK$60&lt;&gt;0,ROW($AK$4:$AK$60)-3),ROW(AL18))))</f>
        <v/>
      </c>
      <c r="AM84" s="1321" t="str">
        <f t="array" ref="AM84">IF( ISERROR(INDEX($A$4:$A$60,SMALL(IF($AM$4:$AM$60&lt;&gt;0,ROW($AM$4:$AM$60)-4),ROW(AM18)))),"",INDEX($A$4:$A$60,SMALL(IF($AM$4:$AM$60&lt;&gt;0,ROW($AM$5:$AM$60)-4),ROW(AM18))))</f>
        <v/>
      </c>
      <c r="AN84" s="1321" t="str">
        <f t="array" ref="AN84">IF(ISERROR(INDEX($AM$4:$AM$60,SMALL(IF($AM$4:$AM$60&lt;&gt;0,ROW($AM$4:$AM$60)-3),ROW(AN18)))),"",INDEX($AM$4:$AM$60,SMALL(IF($AM$4:$AM$60&lt;&gt;0,ROW($AM$4:$AM$60)-3),ROW(AN18))))</f>
        <v/>
      </c>
      <c r="AO84" s="1321" t="str">
        <f t="array" ref="AO84">IF( ISERROR(INDEX($A$4:$A$60,SMALL(IF($AO$4:$AO$60&lt;&gt;0,ROW($AO$4:$AO$60)-4),ROW(AO18)))),"",INDEX($A$4:$A$60,SMALL(IF($AO$4:$AO$60&lt;&gt;0,ROW($AO$5:$AO$60)-4),ROW(AO18))))</f>
        <v/>
      </c>
      <c r="AP84" s="1321" t="str">
        <f t="array" ref="AP84">IF(ISERROR(INDEX($AO$4:$AO$60,SMALL(IF($AO$4:$AO$60&lt;&gt;0,ROW($AO$4:$AO$60)-3),ROW(AP18)))),"",INDEX($AO$4:$AO$60,SMALL(IF($AO$4:$AO$60&lt;&gt;0,ROW($AO$4:$AO$60)-3),ROW(AP18))))</f>
        <v/>
      </c>
      <c r="AQ84" s="1321" t="str">
        <f t="array" ref="AQ84">IF( ISERROR(INDEX($A$4:$A$60,SMALL(IF($AQ$4:$AQ$60&lt;&gt;0,ROW($AQ$4:$AQ$60)-4),ROW(AQ18)))),"",INDEX($A$4:$A$60,SMALL(IF($AQ$4:$AQ$60&lt;&gt;0,ROW($AQ$5:$AQ$60)-4),ROW(AQ18))))</f>
        <v/>
      </c>
      <c r="AR84" s="1321" t="str">
        <f t="array" ref="AR84">IF(ISERROR(INDEX($AQ$4:$AQ$60,SMALL(IF($AQ$4:$AQ$60&lt;&gt;0,ROW($AQ$4:$AQ$60)-3),ROW(AR18)))),"",INDEX($AQ$4:$AQ$60,SMALL(IF($AQ$4:$AQ$60&lt;&gt;0,ROW($AQ$4:$AQ$60)-3),ROW(AR18))))</f>
        <v/>
      </c>
      <c r="AS84" s="1321" t="str">
        <f t="array" ref="AS84">IF( ISERROR(INDEX($A$4:$A$60,SMALL(IF($AS$4:$AS$60&lt;&gt;0,ROW($AS$4:$AS$60)-4),ROW(AS18)))),"",INDEX($A$4:$A$60,SMALL(IF($AS$4:$AS$60&lt;&gt;0,ROW($AS$5:$AS$60)-4),ROW(AS18))))</f>
        <v/>
      </c>
      <c r="AT84" s="1321" t="str">
        <f t="array" ref="AT84">IF(ISERROR(INDEX($AS$4:$AS$60,SMALL(IF($AS$4:$AS$60&lt;&gt;0,ROW($AS$4:$AS$60)-3),ROW(AT18)))),"",INDEX($AS$4:$AS$60,SMALL(IF($AS$4:$AS$60&lt;&gt;0,ROW($AS$4:$AS$60)-3),ROW(AT18))))</f>
        <v/>
      </c>
      <c r="AU84" s="1321" t="str">
        <f t="array" ref="AU84">IF( ISERROR(INDEX($A$4:$A$60,SMALL(IF($AU$4:$AU$60&lt;&gt;0,ROW($AU$4:$AU$60)-4),ROW(AU18)))),"",INDEX($A$4:$A$60,SMALL(IF($AU$4:$AU$60&lt;&gt;0,ROW($AU$5:$AU$60)-4),ROW(AU18))))</f>
        <v/>
      </c>
      <c r="AV84" s="1321" t="str">
        <f t="array" ref="AV84">IF(ISERROR(INDEX($AU$4:$AU$60,SMALL(IF($AU$4:$AU$60&lt;&gt;0,ROW($AU$4:$AU$60)-3),ROW(AV18)))),"",INDEX($AU$4:$AU$60,SMALL(IF($AU$4:$AU$60&lt;&gt;0,ROW($AU$4:$AU$60)-3),ROW(AV18))))</f>
        <v/>
      </c>
      <c r="AW84" s="1321" t="str">
        <f t="array" ref="AW84">IF( ISERROR(INDEX($A$4:$A$60,SMALL(IF($AW$4:$AW$60&lt;&gt;0,ROW($AW$4:$AW$60)-4),ROW(AW18)))),"",INDEX($A$4:$A$60,SMALL(IF($AW$4:$AW$60&lt;&gt;0,ROW($AW$5:$AW$60)-4),ROW(AW18))))</f>
        <v/>
      </c>
      <c r="AX84" s="1321" t="str">
        <f t="array" ref="AX84">IF(ISERROR(INDEX($AW$4:$AW$60,SMALL(IF($AW$4:$AW$60&lt;&gt;0,ROW($AW$4:$AW$60)-3),ROW(AX18)))),"",INDEX($AW$4:$AW$60,SMALL(IF($AW$4:$AW$60&lt;&gt;0,ROW($AW$4:$AW$60)-3),ROW(AX18))))</f>
        <v/>
      </c>
      <c r="AY84" s="1321" t="str">
        <f t="array" ref="AY84">IF( ISERROR(INDEX($A$4:$A$60,SMALL(IF($AY$4:$AY$60&lt;&gt;0,ROW($AY$4:$AY$60)-4),ROW(AY18)))),"",INDEX($A$4:$A$60,SMALL(IF($AY$4:$AY$60&lt;&gt;0,ROW($AY$5:$AY$60)-4),ROW(AY18))))</f>
        <v/>
      </c>
      <c r="AZ84" s="1321" t="str">
        <f t="array" ref="AZ84">IF(ISERROR(INDEX($AY$4:$AY$60,SMALL(IF($AY$4:$AY$60&lt;&gt;0,ROW($AY$4:$AY$60)-3),ROW(AZ18)))),"",INDEX($AY$4:$AY$60,SMALL(IF($AY$4:$AY$60&lt;&gt;0,ROW($AY$4:$AY$60)-3),ROW(AZ18))))</f>
        <v/>
      </c>
      <c r="BA84" s="1321" t="str">
        <f t="array" ref="BA84">IF( ISERROR(INDEX($A$4:$A$60,SMALL(IF($BA$4:$BA$60&lt;&gt;0,ROW($BA$4:$BA$60)-4),ROW(BA18)))),"",INDEX($A$4:$A$60,SMALL(IF($BA$4:$BA$60&lt;&gt;0,ROW($BA$5:$BA$60)-4),ROW(BA18))))</f>
        <v/>
      </c>
      <c r="BB84" s="1321" t="str">
        <f t="array" ref="BB84">IF(ISERROR(INDEX($BA$4:$BA$60,SMALL(IF($BA$4:$BA$60&lt;&gt;0,ROW($BA$4:$BA$60)-3),ROW(BB18)))),"",INDEX($BA$4:$BA$60,SMALL(IF($BA$4:$BA$60&lt;&gt;0,ROW($BA$4:$BA$60)-3),ROW(BB18))))</f>
        <v/>
      </c>
      <c r="BC84" s="1321" t="str">
        <f t="array" ref="BC84">IF( ISERROR(INDEX($A$4:$A$60,SMALL(IF($BC$4:$BC$60&lt;&gt;0,ROW($BC$4:$BC$60)-4),ROW(BC18)))),"",INDEX($A$4:$A$60,SMALL(IF($BC$4:$BC$60&lt;&gt;0,ROW($BC$5:$BC$60)-4),ROW(BC18))))</f>
        <v/>
      </c>
      <c r="BD84" s="1321" t="str">
        <f t="array" ref="BD84">IF(ISERROR(INDEX($BC$4:$BC$60,SMALL(IF($BC$4:$BC$60&lt;&gt;0,ROW($BC$4:$BC$60)-3),ROW(BD18)))),"",INDEX($BC$4:$BC$60,SMALL(IF($BC$4:$BC$60&lt;&gt;0,ROW($BC$4:$BC$60)-3),ROW(BD18))))</f>
        <v/>
      </c>
      <c r="BE84" s="1321" t="str">
        <f t="array" ref="BE84">IF( ISERROR(INDEX($A$4:$A$60,SMALL(IF($BE$4:$BE$60&lt;&gt;0,ROW($BE$4:$BE$60)-4),ROW(BE18)))),"",INDEX($A$4:$A$60,SMALL(IF($BE$4:$BE$60&lt;&gt;0,ROW($BE$5:$BE$60)-4),ROW(BE18))))</f>
        <v/>
      </c>
      <c r="BF84" s="1321" t="str">
        <f t="array" ref="BF84">IF(ISERROR(INDEX($BE$4:$BE$60,SMALL(IF($BE$4:$BE$60&lt;&gt;0,ROW($BE$4:$BE$60)-3),ROW(BF18)))),"",INDEX($BE$4:$BE$60,SMALL(IF($BE$4:$BE$60&lt;&gt;0,ROW($BE$4:$BE$60)-3),ROW(BF18))))</f>
        <v/>
      </c>
      <c r="BG84" s="1321" t="str">
        <f t="array" ref="BG84">IF( ISERROR(INDEX($A$4:$A$60,SMALL(IF($BG$4:$BG$60&lt;&gt;0,ROW($BG$4:$BG$60)-4),ROW(BG18)))),"",INDEX($A$4:$A$60,SMALL(IF($BG$4:$BG$60&lt;&gt;0,ROW($BG$5:$BG$60)-4),ROW(BG18))))</f>
        <v/>
      </c>
      <c r="BH84" s="1321" t="str">
        <f t="array" ref="BH84">IF(ISERROR(INDEX($BG$4:$BG$60,SMALL(IF($BG$4:$BG$60&lt;&gt;0,ROW($BG$4:$BG$60)-3),ROW(BH18)))),"",INDEX($BG$4:$BG$60,SMALL(IF($BG$4:$BG$60&lt;&gt;0,ROW($BG$4:$BG$60)-3),ROW(BH18))))</f>
        <v/>
      </c>
      <c r="BI84" s="1321" t="str">
        <f t="array" ref="BI84">IF( ISERROR(INDEX($A$4:$A$60,SMALL(IF($BI$4:$BI$60&lt;&gt;0,ROW($BI$4:$BI$60)-4),ROW(BI18)))),"",INDEX($A$4:$A$60,SMALL(IF($BI$4:$BI$60&lt;&gt;0,ROW($BI$5:$BI$60)-4),ROW(BI18))))</f>
        <v/>
      </c>
      <c r="BJ84" s="1321" t="str">
        <f t="array" ref="BJ84">IF(ISERROR(INDEX($BI$4:$BI$60,SMALL(IF($BI$4:$BI$60&lt;&gt;0,ROW($BI$4:$BI$60)-3),ROW(BJ18)))),"",INDEX($BI$4:$BI$60,SMALL(IF($BI$4:$BI$60&lt;&gt;0,ROW($BI$4:$BI$60)-3),ROW(BJ18))))</f>
        <v/>
      </c>
      <c r="BK84" s="1321" t="str">
        <f t="array" ref="BK84">IF( ISERROR(INDEX($A$4:$A$60,SMALL(IF($BK$4:$BK$60&lt;&gt;0,ROW($BK$4:$BK$60)-4),ROW(BK18)))),"",INDEX($A$4:$A$60,SMALL(IF($BK$4:$BK$60&lt;&gt;0,ROW($BK$5:$BK$60)-4),ROW(BK18))))</f>
        <v/>
      </c>
      <c r="BL84" s="1321" t="str">
        <f t="array" ref="BL84">IF(ISERROR(INDEX($BK$4:$BK$60,SMALL(IF($BK$4:$BK$60&lt;&gt;0,ROW($BK$4:$BK$60)-3),ROW(BL18)))),"",INDEX($BK$4:$BK$60,SMALL(IF($BK$4:$BK$60&lt;&gt;0,ROW($BK$4:$BK$60)-3),ROW(BL18))))</f>
        <v/>
      </c>
      <c r="BM84" s="1321" t="str">
        <f t="array" ref="BM84">IF( ISERROR(INDEX($A$4:$A$60,SMALL(IF($BM$4:$BM$60&lt;&gt;0,ROW($BM$4:$BM$60)-4),ROW(BM18)))),"",INDEX($A$4:$A$60,SMALL(IF($BM$4:$BM$60&lt;&gt;0,ROW($BM$5:$BM$60)-4),ROW(BM18))))</f>
        <v/>
      </c>
      <c r="BN84" s="1321" t="str">
        <f t="array" ref="BN84">IF(ISERROR(INDEX($BM$4:$BM$60,SMALL(IF($BM$4:$BM$60&lt;&gt;0,ROW($BM$4:$BM$60)-3),ROW(BN18)))),"",INDEX($BM$4:$BM$60,SMALL(IF($BM$4:$BM$60&lt;&gt;0,ROW($BM$4:$BM$60)-3),ROW(BN18))))</f>
        <v/>
      </c>
      <c r="BO84" s="1321" t="str">
        <f t="array" ref="BO84">IF( ISERROR(INDEX($A$4:$A$60,SMALL(IF($BO$4:$BO$60&lt;&gt;0,ROW($BO$4:$BO$60)-4),ROW(BO18)))),"",INDEX($A$4:$A$60,SMALL(IF($BO$4:$BO$60&lt;&gt;0,ROW($BO$5:$BO$60)-4),ROW(BO18))))</f>
        <v/>
      </c>
      <c r="BP84" s="1321" t="str">
        <f t="array" ref="BP84">IF(ISERROR(INDEX($BO$4:$BO$60,SMALL(IF($BO$4:$BO$60&lt;&gt;0,ROW($BO$4:$BO$60)-3),ROW(BP18)))),"",INDEX($BO$4:$BO$60,SMALL(IF($BO$4:$BO$60&lt;&gt;0,ROW($BO$4:$BO$60)-3),ROW(BP18))))</f>
        <v/>
      </c>
      <c r="BQ84" s="1321" t="str">
        <f t="array" ref="BQ84">IF( ISERROR(INDEX($A$4:$A$60,SMALL(IF($BQ$4:$BQ$60&lt;&gt;0,ROW($BQ$4:$BQ$60)-4),ROW(BQ18)))),"",INDEX($A$4:$A$60,SMALL(IF($BQ$4:$BQ$60&lt;&gt;0,ROW($BQ$5:$BQ$60)-4),ROW(BQ18))))</f>
        <v/>
      </c>
      <c r="BR84" s="1321" t="str">
        <f t="array" ref="BR84">IF(ISERROR(INDEX($BQ$4:$BQ$60,SMALL(IF($BQ$4:$BQ$60&lt;&gt;0,ROW($BQ$4:$BQ$60)-3),ROW(BR18)))),"",INDEX($BQ$4:$BQ$60,SMALL(IF($BQ$4:$BQ$60&lt;&gt;0,ROW($BQ$4:$BQ$60)-3),ROW(BR18))))</f>
        <v/>
      </c>
      <c r="BS84" s="1321" t="str">
        <f t="array" ref="BS84">IF( ISERROR(INDEX($A$4:$A$60,SMALL(IF($BS$4:$BS$60&lt;&gt;0,ROW($BS$4:$BS$60)-4),ROW(BS18)))),"",INDEX($A$4:$A$60,SMALL(IF($BS$4:$BS$60&lt;&gt;0,ROW($BS$5:$BS$60)-4),ROW(BS18))))</f>
        <v/>
      </c>
      <c r="BT84" s="1321" t="str">
        <f t="array" ref="BT84">IF(ISERROR(INDEX($BS$4:$BS$60,SMALL(IF($BS$4:$BS$60&lt;&gt;0,ROW($BS$4:$BS$60)-3),ROW(BT18)))),"",INDEX($BS$4:$BS$60,SMALL(IF($BS$4:$BS$60&lt;&gt;0,ROW($BS$4:$BS$60)-3),ROW(BT18))))</f>
        <v/>
      </c>
      <c r="BU84" s="1321" t="str">
        <f t="array" ref="BU84">IF( ISERROR(INDEX($A$4:$A$60,SMALL(IF($BU$4:$BU$60&lt;&gt;0,ROW($BU$4:$BU$60)-4),ROW(BU18)))),"",INDEX($A$4:$A$60,SMALL(IF($BU$4:$BU$60&lt;&gt;0,ROW($BU$5:$BU$60)-4),ROW(BU18))))</f>
        <v/>
      </c>
      <c r="BV84" s="1321" t="str">
        <f t="array" ref="BV84">IF(ISERROR(INDEX($BQ$4:$BQ$60,SMALL(IF($BU$4:$BU$60&lt;&gt;0,ROW($BU$4:$BU$60)-3),ROW(BV18)))),"",INDEX($BU$4:$BU$60,SMALL(IF($BU$4:$BU$60&lt;&gt;0,ROW($BU$4:$BU$60)-3),ROW(BV18))))</f>
        <v/>
      </c>
      <c r="BW84" s="1321" t="str">
        <f t="array" ref="BW84">IF( ISERROR(INDEX($A$4:$A$60,SMALL(IF($BW$4:$BW$60&lt;&gt;0,ROW($BW$4:$BW$60)-4),ROW(BW18)))),"",INDEX($A$4:$A$60,SMALL(IF($BW$4:$BW$60&lt;&gt;0,ROW($BW$5:$BW$60)-4),ROW(BW18))))</f>
        <v/>
      </c>
      <c r="BX84" s="1321" t="str">
        <f t="array" ref="BX84">IF(ISERROR(INDEX($BW$4:$BW$60,SMALL(IF($BW$4:$BW$60&lt;&gt;0,ROW($BW$4:$BW$60)-3),ROW(BX18)))),"",INDEX($BW$4:$BW$60,SMALL(IF($BW$4:$BW$60&lt;&gt;0,ROW($BW$4:$BW$60)-3),ROW(BX18))))</f>
        <v/>
      </c>
      <c r="BY84" s="1321" t="str">
        <f t="array" ref="BY84">IF( ISERROR(INDEX($A$4:$A$60,SMALL(IF($BY$4:$BY$60&lt;&gt;0,ROW($BY$4:$BY$60)-4),ROW(BY18)))),"",INDEX($A$4:$A$60,SMALL(IF($BY$4:$BY$60&lt;&gt;0,ROW($BY$5:$BY$60)-4),ROW(BY18))))</f>
        <v/>
      </c>
      <c r="BZ84" s="1321" t="str">
        <f t="array" ref="BZ84">IF(ISERROR(INDEX($BY$4:$BY$60,SMALL(IF($BY$4:$BY$60&lt;&gt;0,ROW($BY$4:$BY$60)-3),ROW(BZ18)))),"",INDEX($BY$4:$BY$60,SMALL(IF($BY$4:$BY$60&lt;&gt;0,ROW($BY$4:$BY$60)-3),ROW(BZ18))))</f>
        <v/>
      </c>
      <c r="CA84" s="1321" t="str">
        <f t="array" ref="CA84">IF( ISERROR(INDEX($A$4:$A$60,SMALL(IF($CA$4:$CA$60&lt;&gt;0,ROW($CA$4:$CA$60)-4),ROW(CA18)))),"",INDEX($A$4:$A$60,SMALL(IF($CA$4:$CA$60&lt;&gt;0,ROW($CA$5:$CA$60)-4),ROW(CA18))))</f>
        <v/>
      </c>
      <c r="CB84" s="1321" t="str">
        <f t="array" ref="CB84">IF(ISERROR(INDEX($CA$4:$CA$60,SMALL(IF($CA$4:$CA$60&lt;&gt;0,ROW($CA$4:$CA$60)-3),ROW(CB18)))),"",INDEX($CA$4:$CA$60,SMALL(IF($CA$4:$CA$60&lt;&gt;0,ROW($CA$4:$CA$60)-3),ROW(CB18))))</f>
        <v/>
      </c>
      <c r="CC84" s="1321" t="str">
        <f t="array" ref="CC84">IF( ISERROR(INDEX($A$4:$A$60,SMALL(IF($CC$4:$CC$60&lt;&gt;0,ROW($CC$4:$CC$60)-4),ROW(CC18)))),"",INDEX($A$4:$A$60,SMALL(IF($CC$4:$CC$60&lt;&gt;0,ROW($CC$5:$CC$60)-4),ROW(CC18))))</f>
        <v/>
      </c>
      <c r="CD84" s="1321" t="str">
        <f t="array" ref="CD84">IF(ISERROR(INDEX($CC$4:$CC$60,SMALL(IF($CC$4:$CC$60&lt;&gt;0,ROW($CC$4:$CC$60)-3),ROW(CD18)))),"",INDEX($CC$4:$CC$60,SMALL(IF($CC$4:$CC$60&lt;&gt;0,ROW($CC$4:$CC$60)-3),ROW(CD18))))</f>
        <v/>
      </c>
      <c r="CE84" s="1321" t="str">
        <f t="array" ref="CE84">IF( ISERROR(INDEX($A$4:$A$60,SMALL(IF($CE$4:$CE$60&lt;&gt;0,ROW($CE$4:$CE$60)-4),ROW(CE18)))),"",INDEX($A$4:$A$60,SMALL(IF($CE$4:$CE$60&lt;&gt;0,ROW($CE$5:$CE$60)-4),ROW(CE18))))</f>
        <v/>
      </c>
      <c r="CF84" s="1321" t="str">
        <f t="array" ref="CF84">IF(ISERROR(INDEX($CE$4:$CE$60,SMALL(IF($CE$4:$CE$60&lt;&gt;0,ROW($CE$4:$CE$60)-3),ROW(CF18)))),"",INDEX($CE$4:$CE$60,SMALL(IF($CE$4:$CE$60&lt;&gt;0,ROW($CE$4:$CE$60)-3),ROW(CF18))))</f>
        <v/>
      </c>
      <c r="CG84" s="1321" t="str">
        <f t="array" ref="CG84">IF( ISERROR(INDEX($A$4:$A$60,SMALL(IF($CG$4:$CG$60&lt;&gt;0,ROW($CG$4:$CG$60)-4),ROW(CG18)))),"",INDEX($A$4:$A$60,SMALL(IF($CG$4:$CG$60&lt;&gt;0,ROW($CG$5:$CG$60)-4),ROW(CG18))))</f>
        <v/>
      </c>
      <c r="CH84" s="1321" t="str">
        <f t="array" ref="CH84">IF(ISERROR(INDEX($CG$4:$CG$60,SMALL(IF($CG$4:$CG$60&lt;&gt;0,ROW($CG$4:$CG$60)-3),ROW(CH18)))),"",INDEX($CG$4:$CG$60,SMALL(IF($CG$4:$CG$60&lt;&gt;0,ROW($CG$4:$CG$60)-3),ROW(CH18))))</f>
        <v/>
      </c>
      <c r="CI84" s="1321" t="str">
        <f t="array" ref="CI84">IF( ISERROR(INDEX($A$4:$A$60,SMALL(IF($CA$4:$CA$60&lt;&gt;0,ROW($CA$4:$CA$60)-4),ROW(CI18)))),"",INDEX($A$4:$A$60,SMALL(IF($CA$4:$CA$60&lt;&gt;0,ROW($CA$5:$CA$60)-4),ROW(CI18))))</f>
        <v/>
      </c>
      <c r="CJ84" s="1321" t="str">
        <f t="array" ref="CJ84">IF(ISERROR(INDEX($CA$4:$CA$60,SMALL(IF($CA$4:$CA$60&lt;&gt;0,ROW($CA$4:$CA$60)-3),ROW(CJ18)))),"",INDEX($CA$4:$CA$60,SMALL(IF($CA$4:$CA$60&lt;&gt;0,ROW($CA$4:$CA$60)-3),ROW(CJ18))))</f>
        <v/>
      </c>
      <c r="CK84" s="1321" t="str">
        <f t="array" ref="CK84">IF( ISERROR(INDEX($A$4:$A$60,SMALL(IF($CK$4:$CK$60&lt;&gt;0,ROW($CK$4:$CK$60)-4),ROW(CK18)))),"",INDEX($A$4:$A$60,SMALL(IF($CK$4:$CK$60&lt;&gt;0,ROW($CK$5:$CK$60)-4),ROW(CK18))))</f>
        <v/>
      </c>
      <c r="CL84" s="1321" t="str">
        <f t="array" ref="CL84">IF(ISERROR(INDEX($CK$4:$CK$60,SMALL(IF($CK$4:$CK$60&lt;&gt;0,ROW($CK$4:$CK$60)-3),ROW(CL18)))),"",INDEX($CK$4:$CK$60,SMALL(IF($CK$4:$CK$60&lt;&gt;0,ROW($CK$4:$CK$60)-3),ROW(CL18))))</f>
        <v/>
      </c>
      <c r="CM84" s="1321" t="str">
        <f t="array" ref="CM84">IF( ISERROR(INDEX($A$4:$A$60,SMALL(IF($CM$4:$CM$60&lt;&gt;0,ROW($CM$4:$CM$60)-4),ROW(CM18)))),"",INDEX($A$4:$A$60,SMALL(IF($CM$4:$CM$60&lt;&gt;0,ROW($CM$5:$CM$60)-4),ROW(CM18))))</f>
        <v/>
      </c>
      <c r="CN84" s="1321" t="str">
        <f t="array" ref="CN84">IF(ISERROR(INDEX($CM$4:$CM$60,SMALL(IF($CM$4:$CM$60&lt;&gt;0,ROW($CM$4:$CM$60)-3),ROW(CN18)))),"",INDEX($CM$4:$CM$60,SMALL(IF($CM$4:$CM$60&lt;&gt;0,ROW($CM$4:$CM$60)-3),ROW(CN18))))</f>
        <v/>
      </c>
      <c r="CO84" s="1321" t="str">
        <f t="array" ref="CO84">IF( ISERROR(INDEX($A$4:$A$60,SMALL(IF($CO$4:$CO$60&lt;&gt;0,ROW($CO$4:$CO$60)-4),ROW(CO18)))),"",INDEX($A$4:$A$60,SMALL(IF($CO$4:$CO$60&lt;&gt;0,ROW($CO$5:$CO$60)-4),ROW(CO18))))</f>
        <v/>
      </c>
      <c r="CP84" s="1321" t="str">
        <f t="array" ref="CP84">IF(ISERROR(INDEX($CO$4:$CO$60,SMALL(IF($CO$4:$CO$60&lt;&gt;0,ROW($CO$4:$CO$60)-3),ROW(CP18)))),"",INDEX($CO$4:$CO$60,SMALL(IF($CO$4:$CO$60&lt;&gt;0,ROW($CO$4:$CO$60)-3),ROW(CP18))))</f>
        <v/>
      </c>
      <c r="CQ84" s="1321" t="str">
        <f t="array" ref="CQ84">IF( ISERROR(INDEX($A$4:$A$60,SMALL(IF($CQ$4:$CQ$60&lt;&gt;0,ROW($CQ$4:$CQ$60)-4),ROW(CQ18)))),"",INDEX($A$4:$A$60,SMALL(IF($CQ$4:$CQ$60&lt;&gt;0,ROW($CQ$5:$CQ$60)-4),ROW(CQ18))))</f>
        <v/>
      </c>
      <c r="CR84" s="1321" t="str">
        <f t="array" ref="CR84">IF(ISERROR(INDEX($CQ$4:$CQ$60,SMALL(IF($CQ$4:$CQ$60&lt;&gt;0,ROW($CQ$4:$CQ$60)-3),ROW(CR18)))),"",INDEX($CQ$4:$CQ$60,SMALL(IF($CQ$4:$CQ$60&lt;&gt;0,ROW($CQ$4:$CQ$60)-3),ROW(CR18))))</f>
        <v/>
      </c>
      <c r="CS84" s="1321" t="str">
        <f t="array" ref="CS84">IF( ISERROR(INDEX($A$4:$A$60,SMALL(IF($CS$4:$CS$60&lt;&gt;0,ROW($CS$4:$CS$60)-4),ROW(CS18)))),"",INDEX($A$4:$A$60,SMALL(IF($CS$4:$CS$60&lt;&gt;0,ROW($CS$5:$CS$60)-4),ROW(CS18))))</f>
        <v/>
      </c>
      <c r="CT84" s="1321" t="str">
        <f t="array" ref="CT84">IF(ISERROR(INDEX($CS$4:$CS$60,SMALL(IF($CS$4:$CS$60&lt;&gt;0,ROW($CS$4:$CS$60)-3),ROW(CT18)))),"",INDEX($CS$4:$CS$60,SMALL(IF($CS$4:$CS$60&lt;&gt;0,ROW($CS$4:$CS$60)-3),ROW(CT18))))</f>
        <v/>
      </c>
      <c r="CU84" s="1321" t="str">
        <f t="array" ref="CU84">IF( ISERROR(INDEX($A$4:$A$60,SMALL(IF($CU$4:$CU$60&lt;&gt;0,ROW($CU$4:$CU$60)-4),ROW(CU18)))),"",INDEX($A$4:$A$60,SMALL(IF($CU$4:$CU$60&lt;&gt;0,ROW($CU$5:$CU$60)-4),ROW(CU18))))</f>
        <v/>
      </c>
      <c r="CV84" s="1321" t="str">
        <f t="array" ref="CV84">IF(ISERROR(INDEX($CU$4:$CU$60,SMALL(IF($CU$4:$CU$60&lt;&gt;0,ROW($CU$4:$CU$60)-3),ROW(CV18)))),"",INDEX($CU$4:$CU$60,SMALL(IF($CU$4:$CU$60&lt;&gt;0,ROW($CU$4:$CU$60)-3),ROW(CV18))))</f>
        <v/>
      </c>
      <c r="CW84" s="1321" t="str">
        <f t="array" ref="CW84">IF( ISERROR(INDEX($A$4:$A$60,SMALL(IF($CW$4:$CW$60&lt;&gt;0,ROW($CW$4:$CW$60)-4),ROW(CW18)))),"",INDEX($A$4:$A$60,SMALL(IF($CW$4:$CW$60&lt;&gt;0,ROW($CW$5:$CW$60)-4),ROW(CW18))))</f>
        <v/>
      </c>
      <c r="CX84" s="1321" t="str">
        <f t="array" ref="CX84">IF(ISERROR(INDEX($CW$4:$CW$60,SMALL(IF($CW$4:$CW$60&lt;&gt;0,ROW($CW$4:$CW$60)-3),ROW(CX18)))),"",INDEX($CW$4:$CW$60,SMALL(IF($CW$4:$CW$60&lt;&gt;0,ROW($CW$4:$CW$60)-3),ROW(CX18))))</f>
        <v/>
      </c>
      <c r="CY84" s="1321" t="str">
        <f t="array" ref="CY84">IF( ISERROR(INDEX($A$4:$A$60,SMALL(IF($CY$4:$CY$60&lt;&gt;0,ROW($CY$4:$CY$60)-4),ROW(CY18)))),"",INDEX($A$4:$A$60,SMALL(IF($CY$4:$CY$60&lt;&gt;0,ROW($CY$5:$CY$60)-4),ROW(CY18))))</f>
        <v/>
      </c>
      <c r="CZ84" s="1321" t="str">
        <f t="array" ref="CZ84">IF(ISERROR(INDEX($CY$4:$CY$60,SMALL(IF($CY$4:$CY$60&lt;&gt;0,ROW($CY$4:$CY$60)-3),ROW(CZ18)))),"",INDEX($CY$4:$CY$60,SMALL(IF($CY$4:$CY$60&lt;&gt;0,ROW($CY$4:$CY$60)-3),ROW(CZ18))))</f>
        <v/>
      </c>
      <c r="DA84" s="1321"/>
      <c r="DB84" s="1321"/>
      <c r="DC84" s="1321"/>
      <c r="DD84" s="1321"/>
      <c r="DE84" s="1321"/>
      <c r="DF84" s="1321"/>
      <c r="DG84" s="1321"/>
      <c r="DH84" s="1321"/>
      <c r="DI84" s="1321"/>
      <c r="DJ84" s="1321"/>
      <c r="DK84" s="1321"/>
      <c r="DL84" s="1321"/>
      <c r="DM84" s="1321"/>
      <c r="DN84" s="1321"/>
      <c r="DO84" s="1321"/>
      <c r="DP84" s="1321"/>
      <c r="DQ84" s="1321"/>
      <c r="DR84" s="1321"/>
      <c r="DS84" s="1321"/>
      <c r="DT84" s="1321"/>
      <c r="DU84" s="1321"/>
      <c r="DV84" s="1321"/>
      <c r="DW84" s="1321"/>
      <c r="DX84" s="1321"/>
      <c r="DY84" s="1321"/>
      <c r="DZ84" s="1321"/>
      <c r="EA84" s="1321"/>
      <c r="EB84" s="1321"/>
      <c r="EC84" s="1321"/>
      <c r="ED84" s="1321"/>
      <c r="EE84" s="1321"/>
      <c r="EF84" s="1321"/>
      <c r="EG84" s="1321"/>
      <c r="EH84" s="1321"/>
      <c r="EI84" s="1321"/>
      <c r="EJ84" s="1321"/>
      <c r="EK84" s="1321"/>
      <c r="EL84" s="1321"/>
      <c r="EM84" s="1321"/>
      <c r="EN84" s="1321"/>
      <c r="EO84" s="1321"/>
      <c r="EP84" s="1321"/>
      <c r="EQ84" s="1321"/>
      <c r="ER84" s="1321"/>
      <c r="ES84" s="1321"/>
      <c r="ET84" s="1321"/>
      <c r="EU84" s="1321"/>
      <c r="EV84" s="1321"/>
      <c r="EW84" s="1321"/>
      <c r="EX84" s="1321"/>
      <c r="EY84" s="1321"/>
      <c r="EZ84" s="1321"/>
      <c r="FA84" s="1321"/>
      <c r="FB84" s="1321"/>
      <c r="FC84" s="1321"/>
      <c r="FD84" s="1321"/>
      <c r="FE84" s="1321"/>
      <c r="FF84" s="1321"/>
      <c r="FG84" s="1321"/>
      <c r="FH84" s="1321"/>
      <c r="FI84" s="1321"/>
      <c r="FJ84" s="1321"/>
      <c r="FK84" s="1321"/>
      <c r="FL84" s="1321"/>
      <c r="FM84" s="1321"/>
      <c r="FN84" s="1321"/>
      <c r="FO84" s="1321"/>
      <c r="FP84" s="1321"/>
      <c r="FQ84" s="1321"/>
      <c r="FR84" s="1321"/>
      <c r="FS84" s="1321"/>
      <c r="FT84" s="1321"/>
      <c r="FU84" s="1321"/>
      <c r="FV84" s="1321"/>
      <c r="FW84" s="1321"/>
      <c r="FX84" s="1321"/>
      <c r="FY84" s="1321"/>
      <c r="FZ84" s="1321"/>
      <c r="GA84" s="1321"/>
      <c r="GB84" s="1321"/>
      <c r="GC84" s="1321"/>
      <c r="GD84" s="1321"/>
      <c r="GE84" s="1321"/>
      <c r="GF84" s="1321"/>
      <c r="GG84" s="1321"/>
      <c r="GH84" s="1321"/>
      <c r="GI84" s="1321"/>
      <c r="GJ84" s="1321"/>
      <c r="GK84" s="1321"/>
      <c r="GL84" s="1321"/>
      <c r="GM84" s="1321"/>
      <c r="GN84" s="1321"/>
      <c r="GO84" s="1321"/>
      <c r="GP84" s="1321"/>
      <c r="GQ84" s="1321"/>
      <c r="GR84" s="1321"/>
      <c r="GS84" s="1321"/>
      <c r="GT84" s="1321"/>
      <c r="GU84" s="1321"/>
      <c r="GV84" s="1321"/>
      <c r="GW84" s="1321"/>
      <c r="GX84" s="1321"/>
      <c r="GY84" s="1321"/>
      <c r="GZ84" s="1321"/>
    </row>
    <row r="85" spans="3:208" hidden="1">
      <c r="C85" s="1321" t="str">
        <f t="array" ref="C85">IF( ISERROR(INDEX($A$4:$A$60,SMALL(IF($C$4:$C$60&lt;&gt;0,ROW($C$4:$C$60)-4),ROW(A19)))),"",INDEX($A$4:$A$60,SMALL(IF($C$4:$C$60&lt;&gt;0,ROW($C$5:$C$60)-4),ROW(A19))))</f>
        <v/>
      </c>
      <c r="D85" s="1321" t="str">
        <f t="array" ref="D85">IF(ISERROR(INDEX($C$4:$C$60,SMALL(IF($C$4:$C$60&lt;&gt;0,ROW($C$4:$C$60)-3),ROW(D19)))),"",INDEX($C$4:$C$60,SMALL(IF($C$4:$C$60&lt;&gt;0,ROW($C$4:$C$60)-3),ROW(D19))))</f>
        <v/>
      </c>
      <c r="E85" s="1321" t="str">
        <f t="array" ref="E85">IF( ISERROR(INDEX($A$4:$A$60,SMALL(IF($E$4:$E$60&lt;&gt;0,ROW($E$4:$E$60)-4),ROW(E19)))),"",INDEX($A$4:$A$60,SMALL(IF($E$4:$E$60&lt;&gt;0,ROW($E$5:$E$60)-4),ROW(E19))))</f>
        <v/>
      </c>
      <c r="F85" s="1321" t="str">
        <f t="array" ref="F85">IF(ISERROR(INDEX($E$4:$E$60,SMALL(IF($E$4:$E$60&lt;&gt;0,ROW($E$4:$E$60)-3),ROW(F19)))),"",INDEX($E$4:$E$60,SMALL(IF($E$4:$E$60&lt;&gt;0,ROW($E$4:$E$60)-3),ROW(F19))))</f>
        <v/>
      </c>
      <c r="G85" s="1321" t="str">
        <f t="array" ref="G85">IF( ISERROR(INDEX($A$4:$A$60,SMALL(IF($G$4:$G$60&lt;&gt;0,ROW($G$4:$G$60)-4),ROW(G19)))),"",INDEX($A$4:$A$60,SMALL(IF($G$4:$G$60&lt;&gt;0,ROW($G$5:$G$60)-4),ROW(G19))))</f>
        <v/>
      </c>
      <c r="H85" s="1321" t="str">
        <f t="array" ref="H85">IF(ISERROR(INDEX($E$4:$E$60,SMALL(IF($G$4:$G$60&lt;&gt;0,ROW($G$4:$G$60)-3),ROW(H19)))),"",INDEX($G$4:$G$60,SMALL(IF($G$4:$G$60&lt;&gt;0,ROW($G$4:$G$60)-3),ROW(H19))))</f>
        <v/>
      </c>
      <c r="I85" s="1321" t="str">
        <f t="array" ref="I85">IF( ISERROR(INDEX($A$4:$A$60,SMALL(IF($I$4:$I$60&lt;&gt;0,ROW($I$4:$I$60)-4),ROW(I19)))),"",INDEX($A$4:$A$60,SMALL(IF($I$4:$I$60&lt;&gt;0,ROW($I$5:$I$60)-4),ROW(I19))))</f>
        <v/>
      </c>
      <c r="J85" s="1321" t="str">
        <f t="array" ref="J85">IF(ISERROR(INDEX($I$4:$I$60,SMALL(IF($I$4:$I$60&lt;&gt;0,ROW($I$4:$I$60)-3),ROW(J19)))),"",INDEX($I$4:$I$60,SMALL(IF($I$4:$I$60&lt;&gt;0,ROW($I$4:$I$60)-3),ROW(J19))))</f>
        <v/>
      </c>
      <c r="K85" s="1321" t="str">
        <f t="array" ref="K85">IF( ISERROR(INDEX($A$4:$A$60,SMALL(IF($K$4:$K$60&lt;&gt;0,ROW($K$4:$K$60)-4),ROW(K19)))),"",INDEX($A$4:$A$60,SMALL(IF($K$4:$K$60&lt;&gt;0,ROW($K$5:$K$60)-4),ROW(K19))))</f>
        <v/>
      </c>
      <c r="L85" s="1321" t="str">
        <f t="array" ref="L85">IF(ISERROR(INDEX($K$4:$K$60,SMALL(IF($K$4:$K$60&lt;&gt;0,ROW($K$4:$K$60)-3),ROW(L19)))),"",INDEX($K$4:$K$60,SMALL(IF($K$4:$K$60&lt;&gt;0,ROW($K$4:$K$60)-3),ROW(L19))))</f>
        <v/>
      </c>
      <c r="M85" s="1321" t="str">
        <f t="array" ref="M85">IF( ISERROR(INDEX($A$4:$A$60,SMALL(IF($M$4:$M$60&lt;&gt;0,ROW($M$4:$M$60)-4),ROW(M19)))),"",INDEX($A$4:$A$60,SMALL(IF($M$4:$M$60&lt;&gt;0,ROW($M$5:$M$60)-4),ROW(M19))))</f>
        <v/>
      </c>
      <c r="N85" s="1321" t="str">
        <f t="array" ref="N85">IF(ISERROR(INDEX($M$4:$M$60,SMALL(IF($M$4:$M$60&lt;&gt;0,ROW($M$4:$M$60)-3),ROW(N19)))),"",INDEX($M$4:$M$60,SMALL(IF($M$4:$M$60&lt;&gt;0,ROW($M$4:$M$60)-3),ROW(N19))))</f>
        <v/>
      </c>
      <c r="O85" s="1321" t="str">
        <f t="array" ref="O85">IF( ISERROR(INDEX($A$4:$A$60,SMALL(IF($O$4:$O$60&lt;&gt;0,ROW($O$4:$O$60)-4),ROW(O19)))),"",INDEX($A$4:$A$60,SMALL(IF($O$4:$O$60&lt;&gt;0,ROW($O$5:$O$60)-4),ROW(O19))))</f>
        <v/>
      </c>
      <c r="P85" s="1321" t="str">
        <f t="array" ref="P85">IF(ISERROR(INDEX($O$4:$O$60,SMALL(IF($O$4:$O$60&lt;&gt;0,ROW($O$4:$O$60)-3),ROW(P19)))),"",INDEX($O$4:$O$60,SMALL(IF($O$4:$O$60&lt;&gt;0,ROW($O$4:$O$60)-3),ROW(P19))))</f>
        <v/>
      </c>
      <c r="Q85" s="1321" t="str">
        <f t="array" ref="Q85">IF( ISERROR(INDEX($A$4:$A$60,SMALL(IF($Q$4:$Q$60&lt;&gt;0,ROW($Q$4:$Q$60)-4),ROW(Q19)))),"",INDEX($A$4:$A$60,SMALL(IF($Q$4:$Q$60&lt;&gt;0,ROW($Q$5:$Q$60)-4),ROW(Q19))))</f>
        <v/>
      </c>
      <c r="R85" s="1321" t="str">
        <f t="array" ref="R85">IF(ISERROR(INDEX($Q$4:$Q$60,SMALL(IF($Q$4:$Q$60&lt;&gt;0,ROW($Q$4:$Q$60)-3),ROW(R19)))),"",INDEX($Q$4:$Q$60,SMALL(IF($Q$4:$Q$60&lt;&gt;0,ROW($Q$4:$Q$60)-3),ROW(R19))))</f>
        <v/>
      </c>
      <c r="S85" s="1321" t="str">
        <f t="array" ref="S85">IF( ISERROR(INDEX($A$4:$A$60,SMALL(IF($S$4:$S$60&lt;&gt;0,ROW($S$4:$S$60)-4),ROW(S19)))),"",INDEX($A$4:$A$60,SMALL(IF($S$4:$S$60&lt;&gt;0,ROW($S$5:$S$60)-4),ROW(S19))))</f>
        <v/>
      </c>
      <c r="T85" s="1321" t="str">
        <f t="array" ref="T85">IF(ISERROR(INDEX($S$4:$S$60,SMALL(IF($S$4:$S$60&lt;&gt;0,ROW($S$4:$S$60)-3),ROW(T19)))),"",INDEX($S$4:$S$60,SMALL(IF($S$4:$S$60&lt;&gt;0,ROW($S$4:$S$60)-3),ROW(T19))))</f>
        <v/>
      </c>
      <c r="U85" s="1321" t="str">
        <f t="array" ref="U85">IF( ISERROR(INDEX($A$4:$A$60,SMALL(IF($U$4:$U$60&lt;&gt;0,ROW($U$4:$U$60)-4),ROW(U19)))),"",INDEX($A$4:$A$60,SMALL(IF($U$4:$U$60&lt;&gt;0,ROW($U$5:$U$60)-4),ROW(U19))))</f>
        <v/>
      </c>
      <c r="V85" s="1321" t="str">
        <f t="array" ref="V85">IF(ISERROR(INDEX($U$4:$U$60,SMALL(IF($U$4:$U$60&lt;&gt;0,ROW($U$4:$U$60)-3),ROW(V19)))),"",INDEX($U$4:$U$60,SMALL(IF($U$4:$U$60&lt;&gt;0,ROW($U$4:$U$60)-3),ROW(V19))))</f>
        <v/>
      </c>
      <c r="W85" s="1321" t="str">
        <f t="array" ref="W85">IF( ISERROR(INDEX($A$4:$A$60,SMALL(IF($W$4:$W$60&lt;&gt;0,ROW($W$4:$W$60)-4),ROW(W19)))),"",INDEX($A$4:$A$60,SMALL(IF($W$4:$W$60&lt;&gt;0,ROW($W$5:$W$60)-4),ROW(W19))))</f>
        <v/>
      </c>
      <c r="X85" s="1321" t="str">
        <f t="array" ref="X85">IF(ISERROR(INDEX($W$4:$W$60,SMALL(IF($W$4:$W$60&lt;&gt;0,ROW($W$4:$W$60)-3),ROW(X19)))),"",INDEX($W$4:$W$60,SMALL(IF($W$4:$W$60&lt;&gt;0,ROW($W$4:$W$60)-3),ROW(X19))))</f>
        <v/>
      </c>
      <c r="Y85" s="1321" t="str">
        <f t="array" ref="Y85">IF( ISERROR(INDEX($A$4:$A$60,SMALL(IF($Y$4:$Y$60&lt;&gt;0,ROW($Y$4:$Y$60)-4),ROW(Y19)))),"",INDEX($A$4:$A$60,SMALL(IF($Y$4:$Y$60&lt;&gt;0,ROW($Y$5:$Y$60)-4),ROW(Y19))))</f>
        <v/>
      </c>
      <c r="Z85" s="1321" t="str">
        <f t="array" ref="Z85">IF(ISERROR(INDEX($Y$4:$Y$60,SMALL(IF($Y$4:$Y$60&lt;&gt;0,ROW($Y$4:$Y$60)-3),ROW(Z19)))),"",INDEX($Y$4:$Y$60,SMALL(IF($Y$4:$Y$60&lt;&gt;0,ROW($Y$4:$Y$60)-3),ROW(Z19))))</f>
        <v/>
      </c>
      <c r="AA85" s="1321" t="str">
        <f t="array" ref="AA85">IF( ISERROR(INDEX($A$4:$A$60,SMALL(IF($AA$4:$AA$60&lt;&gt;0,ROW($AA$4:$AA$60)-4),ROW(AA19)))),"",INDEX($A$4:$A$60,SMALL(IF($AA$4:$AA$60&lt;&gt;0,ROW($AA$5:$AA$60)-4),ROW(AA19))))</f>
        <v/>
      </c>
      <c r="AB85" s="1321" t="str">
        <f t="array" ref="AB85">IF(ISERROR(INDEX($AA$4:$AA$60,SMALL(IF($AA$4:$AA$60&lt;&gt;0,ROW($AA$4:$AA$60)-3),ROW(AB19)))),"",INDEX($AA$4:$AA$60,SMALL(IF($AA$4:$AA$60&lt;&gt;0,ROW($AA$4:$AA$60)-3),ROW(AB19))))</f>
        <v/>
      </c>
      <c r="AC85" s="1321" t="str">
        <f t="array" ref="AC85">IF( ISERROR(INDEX($A$4:$A$60,SMALL(IF($AC$4:$AC$60&lt;&gt;0,ROW($AC$4:$AC$60)-4),ROW(AC19)))),"",INDEX($A$4:$A$60,SMALL(IF($AC$4:$AC$60&lt;&gt;0,ROW($AC$5:$AC$60)-4),ROW(AC19))))</f>
        <v/>
      </c>
      <c r="AD85" s="1321" t="str">
        <f t="array" ref="AD85">IF(ISERROR(INDEX($AC$4:$AC$60,SMALL(IF($AC$4:$AC$60&lt;&gt;0,ROW($AC$4:$AC$60)-3),ROW(AD19)))),"",INDEX($AC$4:$AC$60,SMALL(IF($AC$4:$AC$60&lt;&gt;0,ROW($AC$4:$AC$60)-3),ROW(AD19))))</f>
        <v/>
      </c>
      <c r="AE85" s="1321" t="str">
        <f t="array" ref="AE85">IF( ISERROR(INDEX($A$4:$A$60,SMALL(IF($AE$4:$AE$60&lt;&gt;0,ROW($AE$4:$AE$60)-4),ROW(AE19)))),"",INDEX($A$4:$A$60,SMALL(IF($AE$4:$AE$60&lt;&gt;0,ROW($AE$5:$AE$60)-4),ROW(AE19))))</f>
        <v/>
      </c>
      <c r="AF85" s="1321" t="str">
        <f t="array" ref="AF85">IF(ISERROR(INDEX($AE$4:$AE$60,SMALL(IF($AE$4:$AE$60&lt;&gt;0,ROW($AE$4:$AE$60)-3),ROW(AF19)))),"",INDEX($AE$4:$AE$60,SMALL(IF($AE$4:$AE$60&lt;&gt;0,ROW($AE$4:$AE$60)-3),ROW(AF19))))</f>
        <v/>
      </c>
      <c r="AG85" s="1321" t="str">
        <f t="array" ref="AG85">IF( ISERROR(INDEX($A$4:$A$60,SMALL(IF($AG$4:$AG$60&lt;&gt;0,ROW($AG$4:$AG$60)-4),ROW(AG19)))),"",INDEX($A$4:$A$60,SMALL(IF($AG$4:$AG$60&lt;&gt;0,ROW($AG$5:$AG$60)-4),ROW(AG19))))</f>
        <v/>
      </c>
      <c r="AH85" s="1321" t="str">
        <f t="array" ref="AH85">IF(ISERROR(INDEX($AG$4:$AG$60,SMALL(IF($AG$4:$AG$60&lt;&gt;0,ROW($AG$4:$AG$60)-3),ROW(AH19)))),"",INDEX($AG$4:$AG$60,SMALL(IF($AG$4:$AG$60&lt;&gt;0,ROW($AG$4:$AG$60)-3),ROW(AH19))))</f>
        <v/>
      </c>
      <c r="AI85" s="1321" t="str">
        <f t="array" ref="AI85">IF( ISERROR(INDEX($A$4:$A$60,SMALL(IF($AI$4:$AI$60&lt;&gt;0,ROW($AI$4:$AI$60)-4),ROW(AI19)))),"",INDEX($A$4:$A$60,SMALL(IF($AI$4:$AI$60&lt;&gt;0,ROW($AI$5:$AI$60)-4),ROW(AI19))))</f>
        <v/>
      </c>
      <c r="AJ85" s="1321" t="str">
        <f t="array" ref="AJ85">IF(ISERROR(INDEX($E$4:$E$60,SMALL(IF($AI$4:$AI$60&lt;&gt;0,ROW($AI$4:$AI$60)-3),ROW(AJ19)))),"",INDEX($AI$4:$AI$60,SMALL(IF($AI$4:$AI$60&lt;&gt;0,ROW($AI$4:$AI$60)-3),ROW(AJ19))))</f>
        <v/>
      </c>
      <c r="AK85" s="1321" t="str">
        <f t="array" ref="AK85">IF( ISERROR(INDEX($A$4:$A$60,SMALL(IF($AK$4:$AK$60&lt;&gt;0,ROW($AK$4:$AK$60)-4),ROW(AK19)))),"",INDEX($A$4:$A$60,SMALL(IF($AK$4:$AK$60&lt;&gt;0,ROW($AK$5:$AK$60)-4),ROW(AK19))))</f>
        <v/>
      </c>
      <c r="AL85" s="1321" t="str">
        <f t="array" ref="AL85">IF(ISERROR(INDEX($AK$4:$AK$60,SMALL(IF($AK$4:$AK$60&lt;&gt;0,ROW($AK$4:$AK$60)-3),ROW(AL19)))),"",INDEX($AK$4:$AK$60,SMALL(IF($AK$4:$AK$60&lt;&gt;0,ROW($AK$4:$AK$60)-3),ROW(AL19))))</f>
        <v/>
      </c>
      <c r="AM85" s="1321" t="str">
        <f t="array" ref="AM85">IF( ISERROR(INDEX($A$4:$A$60,SMALL(IF($AM$4:$AM$60&lt;&gt;0,ROW($AM$4:$AM$60)-4),ROW(AM19)))),"",INDEX($A$4:$A$60,SMALL(IF($AM$4:$AM$60&lt;&gt;0,ROW($AM$5:$AM$60)-4),ROW(AM19))))</f>
        <v/>
      </c>
      <c r="AN85" s="1321" t="str">
        <f t="array" ref="AN85">IF(ISERROR(INDEX($AM$4:$AM$60,SMALL(IF($AM$4:$AM$60&lt;&gt;0,ROW($AM$4:$AM$60)-3),ROW(AN19)))),"",INDEX($AM$4:$AM$60,SMALL(IF($AM$4:$AM$60&lt;&gt;0,ROW($AM$4:$AM$60)-3),ROW(AN19))))</f>
        <v/>
      </c>
      <c r="AO85" s="1321" t="str">
        <f t="array" ref="AO85">IF( ISERROR(INDEX($A$4:$A$60,SMALL(IF($AO$4:$AO$60&lt;&gt;0,ROW($AO$4:$AO$60)-4),ROW(AO19)))),"",INDEX($A$4:$A$60,SMALL(IF($AO$4:$AO$60&lt;&gt;0,ROW($AO$5:$AO$60)-4),ROW(AO19))))</f>
        <v/>
      </c>
      <c r="AP85" s="1321" t="str">
        <f t="array" ref="AP85">IF(ISERROR(INDEX($AO$4:$AO$60,SMALL(IF($AO$4:$AO$60&lt;&gt;0,ROW($AO$4:$AO$60)-3),ROW(AP19)))),"",INDEX($AO$4:$AO$60,SMALL(IF($AO$4:$AO$60&lt;&gt;0,ROW($AO$4:$AO$60)-3),ROW(AP19))))</f>
        <v/>
      </c>
      <c r="AQ85" s="1321" t="str">
        <f t="array" ref="AQ85">IF( ISERROR(INDEX($A$4:$A$60,SMALL(IF($AQ$4:$AQ$60&lt;&gt;0,ROW($AQ$4:$AQ$60)-4),ROW(AQ19)))),"",INDEX($A$4:$A$60,SMALL(IF($AQ$4:$AQ$60&lt;&gt;0,ROW($AQ$5:$AQ$60)-4),ROW(AQ19))))</f>
        <v/>
      </c>
      <c r="AR85" s="1321" t="str">
        <f t="array" ref="AR85">IF(ISERROR(INDEX($AQ$4:$AQ$60,SMALL(IF($AQ$4:$AQ$60&lt;&gt;0,ROW($AQ$4:$AQ$60)-3),ROW(AR19)))),"",INDEX($AQ$4:$AQ$60,SMALL(IF($AQ$4:$AQ$60&lt;&gt;0,ROW($AQ$4:$AQ$60)-3),ROW(AR19))))</f>
        <v/>
      </c>
      <c r="AS85" s="1321" t="str">
        <f t="array" ref="AS85">IF( ISERROR(INDEX($A$4:$A$60,SMALL(IF($AS$4:$AS$60&lt;&gt;0,ROW($AS$4:$AS$60)-4),ROW(AS19)))),"",INDEX($A$4:$A$60,SMALL(IF($AS$4:$AS$60&lt;&gt;0,ROW($AS$5:$AS$60)-4),ROW(AS19))))</f>
        <v/>
      </c>
      <c r="AT85" s="1321" t="str">
        <f t="array" ref="AT85">IF(ISERROR(INDEX($AS$4:$AS$60,SMALL(IF($AS$4:$AS$60&lt;&gt;0,ROW($AS$4:$AS$60)-3),ROW(AT19)))),"",INDEX($AS$4:$AS$60,SMALL(IF($AS$4:$AS$60&lt;&gt;0,ROW($AS$4:$AS$60)-3),ROW(AT19))))</f>
        <v/>
      </c>
      <c r="AU85" s="1321" t="str">
        <f t="array" ref="AU85">IF( ISERROR(INDEX($A$4:$A$60,SMALL(IF($AU$4:$AU$60&lt;&gt;0,ROW($AU$4:$AU$60)-4),ROW(AU19)))),"",INDEX($A$4:$A$60,SMALL(IF($AU$4:$AU$60&lt;&gt;0,ROW($AU$5:$AU$60)-4),ROW(AU19))))</f>
        <v/>
      </c>
      <c r="AV85" s="1321" t="str">
        <f t="array" ref="AV85">IF(ISERROR(INDEX($AU$4:$AU$60,SMALL(IF($AU$4:$AU$60&lt;&gt;0,ROW($AU$4:$AU$60)-3),ROW(AV19)))),"",INDEX($AU$4:$AU$60,SMALL(IF($AU$4:$AU$60&lt;&gt;0,ROW($AU$4:$AU$60)-3),ROW(AV19))))</f>
        <v/>
      </c>
      <c r="AW85" s="1321" t="str">
        <f t="array" ref="AW85">IF( ISERROR(INDEX($A$4:$A$60,SMALL(IF($AW$4:$AW$60&lt;&gt;0,ROW($AW$4:$AW$60)-4),ROW(AW19)))),"",INDEX($A$4:$A$60,SMALL(IF($AW$4:$AW$60&lt;&gt;0,ROW($AW$5:$AW$60)-4),ROW(AW19))))</f>
        <v/>
      </c>
      <c r="AX85" s="1321" t="str">
        <f t="array" ref="AX85">IF(ISERROR(INDEX($AW$4:$AW$60,SMALL(IF($AW$4:$AW$60&lt;&gt;0,ROW($AW$4:$AW$60)-3),ROW(AX19)))),"",INDEX($AW$4:$AW$60,SMALL(IF($AW$4:$AW$60&lt;&gt;0,ROW($AW$4:$AW$60)-3),ROW(AX19))))</f>
        <v/>
      </c>
      <c r="AY85" s="1321" t="str">
        <f t="array" ref="AY85">IF( ISERROR(INDEX($A$4:$A$60,SMALL(IF($AY$4:$AY$60&lt;&gt;0,ROW($AY$4:$AY$60)-4),ROW(AY19)))),"",INDEX($A$4:$A$60,SMALL(IF($AY$4:$AY$60&lt;&gt;0,ROW($AY$5:$AY$60)-4),ROW(AY19))))</f>
        <v/>
      </c>
      <c r="AZ85" s="1321" t="str">
        <f t="array" ref="AZ85">IF(ISERROR(INDEX($AY$4:$AY$60,SMALL(IF($AY$4:$AY$60&lt;&gt;0,ROW($AY$4:$AY$60)-3),ROW(AZ19)))),"",INDEX($AY$4:$AY$60,SMALL(IF($AY$4:$AY$60&lt;&gt;0,ROW($AY$4:$AY$60)-3),ROW(AZ19))))</f>
        <v/>
      </c>
      <c r="BA85" s="1321" t="str">
        <f t="array" ref="BA85">IF( ISERROR(INDEX($A$4:$A$60,SMALL(IF($BA$4:$BA$60&lt;&gt;0,ROW($BA$4:$BA$60)-4),ROW(BA19)))),"",INDEX($A$4:$A$60,SMALL(IF($BA$4:$BA$60&lt;&gt;0,ROW($BA$5:$BA$60)-4),ROW(BA19))))</f>
        <v/>
      </c>
      <c r="BB85" s="1321" t="str">
        <f t="array" ref="BB85">IF(ISERROR(INDEX($BA$4:$BA$60,SMALL(IF($BA$4:$BA$60&lt;&gt;0,ROW($BA$4:$BA$60)-3),ROW(BB19)))),"",INDEX($BA$4:$BA$60,SMALL(IF($BA$4:$BA$60&lt;&gt;0,ROW($BA$4:$BA$60)-3),ROW(BB19))))</f>
        <v/>
      </c>
      <c r="BC85" s="1321" t="str">
        <f t="array" ref="BC85">IF( ISERROR(INDEX($A$4:$A$60,SMALL(IF($BC$4:$BC$60&lt;&gt;0,ROW($BC$4:$BC$60)-4),ROW(BC19)))),"",INDEX($A$4:$A$60,SMALL(IF($BC$4:$BC$60&lt;&gt;0,ROW($BC$5:$BC$60)-4),ROW(BC19))))</f>
        <v/>
      </c>
      <c r="BD85" s="1321" t="str">
        <f t="array" ref="BD85">IF(ISERROR(INDEX($BC$4:$BC$60,SMALL(IF($BC$4:$BC$60&lt;&gt;0,ROW($BC$4:$BC$60)-3),ROW(BD19)))),"",INDEX($BC$4:$BC$60,SMALL(IF($BC$4:$BC$60&lt;&gt;0,ROW($BC$4:$BC$60)-3),ROW(BD19))))</f>
        <v/>
      </c>
      <c r="BE85" s="1321" t="str">
        <f t="array" ref="BE85">IF( ISERROR(INDEX($A$4:$A$60,SMALL(IF($BE$4:$BE$60&lt;&gt;0,ROW($BE$4:$BE$60)-4),ROW(BE19)))),"",INDEX($A$4:$A$60,SMALL(IF($BE$4:$BE$60&lt;&gt;0,ROW($BE$5:$BE$60)-4),ROW(BE19))))</f>
        <v/>
      </c>
      <c r="BF85" s="1321" t="str">
        <f t="array" ref="BF85">IF(ISERROR(INDEX($BE$4:$BE$60,SMALL(IF($BE$4:$BE$60&lt;&gt;0,ROW($BE$4:$BE$60)-3),ROW(BF19)))),"",INDEX($BE$4:$BE$60,SMALL(IF($BE$4:$BE$60&lt;&gt;0,ROW($BE$4:$BE$60)-3),ROW(BF19))))</f>
        <v/>
      </c>
      <c r="BG85" s="1321" t="str">
        <f t="array" ref="BG85">IF( ISERROR(INDEX($A$4:$A$60,SMALL(IF($BG$4:$BG$60&lt;&gt;0,ROW($BG$4:$BG$60)-4),ROW(BG19)))),"",INDEX($A$4:$A$60,SMALL(IF($BG$4:$BG$60&lt;&gt;0,ROW($BG$5:$BG$60)-4),ROW(BG19))))</f>
        <v/>
      </c>
      <c r="BH85" s="1321" t="str">
        <f t="array" ref="BH85">IF(ISERROR(INDEX($BG$4:$BG$60,SMALL(IF($BG$4:$BG$60&lt;&gt;0,ROW($BG$4:$BG$60)-3),ROW(BH19)))),"",INDEX($BG$4:$BG$60,SMALL(IF($BG$4:$BG$60&lt;&gt;0,ROW($BG$4:$BG$60)-3),ROW(BH19))))</f>
        <v/>
      </c>
      <c r="BI85" s="1321" t="str">
        <f t="array" ref="BI85">IF( ISERROR(INDEX($A$4:$A$60,SMALL(IF($BI$4:$BI$60&lt;&gt;0,ROW($BI$4:$BI$60)-4),ROW(BI19)))),"",INDEX($A$4:$A$60,SMALL(IF($BI$4:$BI$60&lt;&gt;0,ROW($BI$5:$BI$60)-4),ROW(BI19))))</f>
        <v/>
      </c>
      <c r="BJ85" s="1321" t="str">
        <f t="array" ref="BJ85">IF(ISERROR(INDEX($BI$4:$BI$60,SMALL(IF($BI$4:$BI$60&lt;&gt;0,ROW($BI$4:$BI$60)-3),ROW(BJ19)))),"",INDEX($BI$4:$BI$60,SMALL(IF($BI$4:$BI$60&lt;&gt;0,ROW($BI$4:$BI$60)-3),ROW(BJ19))))</f>
        <v/>
      </c>
      <c r="BK85" s="1321" t="str">
        <f t="array" ref="BK85">IF( ISERROR(INDEX($A$4:$A$60,SMALL(IF($BK$4:$BK$60&lt;&gt;0,ROW($BK$4:$BK$60)-4),ROW(BK19)))),"",INDEX($A$4:$A$60,SMALL(IF($BK$4:$BK$60&lt;&gt;0,ROW($BK$5:$BK$60)-4),ROW(BK19))))</f>
        <v/>
      </c>
      <c r="BL85" s="1321" t="str">
        <f t="array" ref="BL85">IF(ISERROR(INDEX($BK$4:$BK$60,SMALL(IF($BK$4:$BK$60&lt;&gt;0,ROW($BK$4:$BK$60)-3),ROW(BL19)))),"",INDEX($BK$4:$BK$60,SMALL(IF($BK$4:$BK$60&lt;&gt;0,ROW($BK$4:$BK$60)-3),ROW(BL19))))</f>
        <v/>
      </c>
      <c r="BM85" s="1321" t="str">
        <f t="array" ref="BM85">IF( ISERROR(INDEX($A$4:$A$60,SMALL(IF($BM$4:$BM$60&lt;&gt;0,ROW($BM$4:$BM$60)-4),ROW(BM19)))),"",INDEX($A$4:$A$60,SMALL(IF($BM$4:$BM$60&lt;&gt;0,ROW($BM$5:$BM$60)-4),ROW(BM19))))</f>
        <v/>
      </c>
      <c r="BN85" s="1321" t="str">
        <f t="array" ref="BN85">IF(ISERROR(INDEX($BM$4:$BM$60,SMALL(IF($BM$4:$BM$60&lt;&gt;0,ROW($BM$4:$BM$60)-3),ROW(BN19)))),"",INDEX($BM$4:$BM$60,SMALL(IF($BM$4:$BM$60&lt;&gt;0,ROW($BM$4:$BM$60)-3),ROW(BN19))))</f>
        <v/>
      </c>
      <c r="BO85" s="1321" t="str">
        <f t="array" ref="BO85">IF( ISERROR(INDEX($A$4:$A$60,SMALL(IF($BO$4:$BO$60&lt;&gt;0,ROW($BO$4:$BO$60)-4),ROW(BO19)))),"",INDEX($A$4:$A$60,SMALL(IF($BO$4:$BO$60&lt;&gt;0,ROW($BO$5:$BO$60)-4),ROW(BO19))))</f>
        <v/>
      </c>
      <c r="BP85" s="1321" t="str">
        <f t="array" ref="BP85">IF(ISERROR(INDEX($BO$4:$BO$60,SMALL(IF($BO$4:$BO$60&lt;&gt;0,ROW($BO$4:$BO$60)-3),ROW(BP19)))),"",INDEX($BO$4:$BO$60,SMALL(IF($BO$4:$BO$60&lt;&gt;0,ROW($BO$4:$BO$60)-3),ROW(BP19))))</f>
        <v/>
      </c>
      <c r="BQ85" s="1321" t="str">
        <f t="array" ref="BQ85">IF( ISERROR(INDEX($A$4:$A$60,SMALL(IF($BQ$4:$BQ$60&lt;&gt;0,ROW($BQ$4:$BQ$60)-4),ROW(BQ19)))),"",INDEX($A$4:$A$60,SMALL(IF($BQ$4:$BQ$60&lt;&gt;0,ROW($BQ$5:$BQ$60)-4),ROW(BQ19))))</f>
        <v/>
      </c>
      <c r="BR85" s="1321" t="str">
        <f t="array" ref="BR85">IF(ISERROR(INDEX($BQ$4:$BQ$60,SMALL(IF($BQ$4:$BQ$60&lt;&gt;0,ROW($BQ$4:$BQ$60)-3),ROW(BR19)))),"",INDEX($BQ$4:$BQ$60,SMALL(IF($BQ$4:$BQ$60&lt;&gt;0,ROW($BQ$4:$BQ$60)-3),ROW(BR19))))</f>
        <v/>
      </c>
      <c r="BS85" s="1321" t="str">
        <f t="array" ref="BS85">IF( ISERROR(INDEX($A$4:$A$60,SMALL(IF($BS$4:$BS$60&lt;&gt;0,ROW($BS$4:$BS$60)-4),ROW(BS19)))),"",INDEX($A$4:$A$60,SMALL(IF($BS$4:$BS$60&lt;&gt;0,ROW($BS$5:$BS$60)-4),ROW(BS19))))</f>
        <v/>
      </c>
      <c r="BT85" s="1321" t="str">
        <f t="array" ref="BT85">IF(ISERROR(INDEX($BS$4:$BS$60,SMALL(IF($BS$4:$BS$60&lt;&gt;0,ROW($BS$4:$BS$60)-3),ROW(BT19)))),"",INDEX($BS$4:$BS$60,SMALL(IF($BS$4:$BS$60&lt;&gt;0,ROW($BS$4:$BS$60)-3),ROW(BT19))))</f>
        <v/>
      </c>
      <c r="BU85" s="1321" t="str">
        <f t="array" ref="BU85">IF( ISERROR(INDEX($A$4:$A$60,SMALL(IF($BU$4:$BU$60&lt;&gt;0,ROW($BU$4:$BU$60)-4),ROW(BU19)))),"",INDEX($A$4:$A$60,SMALL(IF($BU$4:$BU$60&lt;&gt;0,ROW($BU$5:$BU$60)-4),ROW(BU19))))</f>
        <v/>
      </c>
      <c r="BV85" s="1321" t="str">
        <f t="array" ref="BV85">IF(ISERROR(INDEX($BQ$4:$BQ$60,SMALL(IF($BU$4:$BU$60&lt;&gt;0,ROW($BU$4:$BU$60)-3),ROW(BV19)))),"",INDEX($BU$4:$BU$60,SMALL(IF($BU$4:$BU$60&lt;&gt;0,ROW($BU$4:$BU$60)-3),ROW(BV19))))</f>
        <v/>
      </c>
      <c r="BW85" s="1321" t="str">
        <f t="array" ref="BW85">IF( ISERROR(INDEX($A$4:$A$60,SMALL(IF($BW$4:$BW$60&lt;&gt;0,ROW($BW$4:$BW$60)-4),ROW(BW19)))),"",INDEX($A$4:$A$60,SMALL(IF($BW$4:$BW$60&lt;&gt;0,ROW($BW$5:$BW$60)-4),ROW(BW19))))</f>
        <v/>
      </c>
      <c r="BX85" s="1321" t="str">
        <f t="array" ref="BX85">IF(ISERROR(INDEX($BW$4:$BW$60,SMALL(IF($BW$4:$BW$60&lt;&gt;0,ROW($BW$4:$BW$60)-3),ROW(BX19)))),"",INDEX($BW$4:$BW$60,SMALL(IF($BW$4:$BW$60&lt;&gt;0,ROW($BW$4:$BW$60)-3),ROW(BX19))))</f>
        <v/>
      </c>
      <c r="BY85" s="1321" t="str">
        <f t="array" ref="BY85">IF( ISERROR(INDEX($A$4:$A$60,SMALL(IF($BY$4:$BY$60&lt;&gt;0,ROW($BY$4:$BY$60)-4),ROW(BY19)))),"",INDEX($A$4:$A$60,SMALL(IF($BY$4:$BY$60&lt;&gt;0,ROW($BY$5:$BY$60)-4),ROW(BY19))))</f>
        <v/>
      </c>
      <c r="BZ85" s="1321" t="str">
        <f t="array" ref="BZ85">IF(ISERROR(INDEX($BY$4:$BY$60,SMALL(IF($BY$4:$BY$60&lt;&gt;0,ROW($BY$4:$BY$60)-3),ROW(BZ19)))),"",INDEX($BY$4:$BY$60,SMALL(IF($BY$4:$BY$60&lt;&gt;0,ROW($BY$4:$BY$60)-3),ROW(BZ19))))</f>
        <v/>
      </c>
      <c r="CA85" s="1321" t="str">
        <f t="array" ref="CA85">IF( ISERROR(INDEX($A$4:$A$60,SMALL(IF($CA$4:$CA$60&lt;&gt;0,ROW($CA$4:$CA$60)-4),ROW(CA19)))),"",INDEX($A$4:$A$60,SMALL(IF($CA$4:$CA$60&lt;&gt;0,ROW($CA$5:$CA$60)-4),ROW(CA19))))</f>
        <v/>
      </c>
      <c r="CB85" s="1321" t="str">
        <f t="array" ref="CB85">IF(ISERROR(INDEX($CA$4:$CA$60,SMALL(IF($CA$4:$CA$60&lt;&gt;0,ROW($CA$4:$CA$60)-3),ROW(CB19)))),"",INDEX($CA$4:$CA$60,SMALL(IF($CA$4:$CA$60&lt;&gt;0,ROW($CA$4:$CA$60)-3),ROW(CB19))))</f>
        <v/>
      </c>
      <c r="CC85" s="1321" t="str">
        <f t="array" ref="CC85">IF( ISERROR(INDEX($A$4:$A$60,SMALL(IF($CC$4:$CC$60&lt;&gt;0,ROW($CC$4:$CC$60)-4),ROW(CC19)))),"",INDEX($A$4:$A$60,SMALL(IF($CC$4:$CC$60&lt;&gt;0,ROW($CC$5:$CC$60)-4),ROW(CC19))))</f>
        <v/>
      </c>
      <c r="CD85" s="1321" t="str">
        <f t="array" ref="CD85">IF(ISERROR(INDEX($CC$4:$CC$60,SMALL(IF($CC$4:$CC$60&lt;&gt;0,ROW($CC$4:$CC$60)-3),ROW(CD19)))),"",INDEX($CC$4:$CC$60,SMALL(IF($CC$4:$CC$60&lt;&gt;0,ROW($CC$4:$CC$60)-3),ROW(CD19))))</f>
        <v/>
      </c>
      <c r="CE85" s="1321" t="str">
        <f t="array" ref="CE85">IF( ISERROR(INDEX($A$4:$A$60,SMALL(IF($CE$4:$CE$60&lt;&gt;0,ROW($CE$4:$CE$60)-4),ROW(CE19)))),"",INDEX($A$4:$A$60,SMALL(IF($CE$4:$CE$60&lt;&gt;0,ROW($CE$5:$CE$60)-4),ROW(CE19))))</f>
        <v/>
      </c>
      <c r="CF85" s="1321" t="str">
        <f t="array" ref="CF85">IF(ISERROR(INDEX($CE$4:$CE$60,SMALL(IF($CE$4:$CE$60&lt;&gt;0,ROW($CE$4:$CE$60)-3),ROW(CF19)))),"",INDEX($CE$4:$CE$60,SMALL(IF($CE$4:$CE$60&lt;&gt;0,ROW($CE$4:$CE$60)-3),ROW(CF19))))</f>
        <v/>
      </c>
      <c r="CG85" s="1321" t="str">
        <f t="array" ref="CG85">IF( ISERROR(INDEX($A$4:$A$60,SMALL(IF($CG$4:$CG$60&lt;&gt;0,ROW($CG$4:$CG$60)-4),ROW(CG19)))),"",INDEX($A$4:$A$60,SMALL(IF($CG$4:$CG$60&lt;&gt;0,ROW($CG$5:$CG$60)-4),ROW(CG19))))</f>
        <v/>
      </c>
      <c r="CH85" s="1321" t="str">
        <f t="array" ref="CH85">IF(ISERROR(INDEX($CG$4:$CG$60,SMALL(IF($CG$4:$CG$60&lt;&gt;0,ROW($CG$4:$CG$60)-3),ROW(CH19)))),"",INDEX($CG$4:$CG$60,SMALL(IF($CG$4:$CG$60&lt;&gt;0,ROW($CG$4:$CG$60)-3),ROW(CH19))))</f>
        <v/>
      </c>
      <c r="CI85" s="1321" t="str">
        <f t="array" ref="CI85">IF( ISERROR(INDEX($A$4:$A$60,SMALL(IF($CA$4:$CA$60&lt;&gt;0,ROW($CA$4:$CA$60)-4),ROW(CI19)))),"",INDEX($A$4:$A$60,SMALL(IF($CA$4:$CA$60&lt;&gt;0,ROW($CA$5:$CA$60)-4),ROW(CI19))))</f>
        <v/>
      </c>
      <c r="CJ85" s="1321" t="str">
        <f t="array" ref="CJ85">IF(ISERROR(INDEX($CA$4:$CA$60,SMALL(IF($CA$4:$CA$60&lt;&gt;0,ROW($CA$4:$CA$60)-3),ROW(CJ19)))),"",INDEX($CA$4:$CA$60,SMALL(IF($CA$4:$CA$60&lt;&gt;0,ROW($CA$4:$CA$60)-3),ROW(CJ19))))</f>
        <v/>
      </c>
      <c r="CK85" s="1321" t="str">
        <f t="array" ref="CK85">IF( ISERROR(INDEX($A$4:$A$60,SMALL(IF($CK$4:$CK$60&lt;&gt;0,ROW($CK$4:$CK$60)-4),ROW(CK19)))),"",INDEX($A$4:$A$60,SMALL(IF($CK$4:$CK$60&lt;&gt;0,ROW($CK$5:$CK$60)-4),ROW(CK19))))</f>
        <v/>
      </c>
      <c r="CL85" s="1321" t="str">
        <f t="array" ref="CL85">IF(ISERROR(INDEX($CK$4:$CK$60,SMALL(IF($CK$4:$CK$60&lt;&gt;0,ROW($CK$4:$CK$60)-3),ROW(CL19)))),"",INDEX($CK$4:$CK$60,SMALL(IF($CK$4:$CK$60&lt;&gt;0,ROW($CK$4:$CK$60)-3),ROW(CL19))))</f>
        <v/>
      </c>
      <c r="CM85" s="1321" t="str">
        <f t="array" ref="CM85">IF( ISERROR(INDEX($A$4:$A$60,SMALL(IF($CM$4:$CM$60&lt;&gt;0,ROW($CM$4:$CM$60)-4),ROW(CM19)))),"",INDEX($A$4:$A$60,SMALL(IF($CM$4:$CM$60&lt;&gt;0,ROW($CM$5:$CM$60)-4),ROW(CM19))))</f>
        <v/>
      </c>
      <c r="CN85" s="1321" t="str">
        <f t="array" ref="CN85">IF(ISERROR(INDEX($CM$4:$CM$60,SMALL(IF($CM$4:$CM$60&lt;&gt;0,ROW($CM$4:$CM$60)-3),ROW(CN19)))),"",INDEX($CM$4:$CM$60,SMALL(IF($CM$4:$CM$60&lt;&gt;0,ROW($CM$4:$CM$60)-3),ROW(CN19))))</f>
        <v/>
      </c>
      <c r="CO85" s="1321" t="str">
        <f t="array" ref="CO85">IF( ISERROR(INDEX($A$4:$A$60,SMALL(IF($CO$4:$CO$60&lt;&gt;0,ROW($CO$4:$CO$60)-4),ROW(CO19)))),"",INDEX($A$4:$A$60,SMALL(IF($CO$4:$CO$60&lt;&gt;0,ROW($CO$5:$CO$60)-4),ROW(CO19))))</f>
        <v/>
      </c>
      <c r="CP85" s="1321" t="str">
        <f t="array" ref="CP85">IF(ISERROR(INDEX($CO$4:$CO$60,SMALL(IF($CO$4:$CO$60&lt;&gt;0,ROW($CO$4:$CO$60)-3),ROW(CP19)))),"",INDEX($CO$4:$CO$60,SMALL(IF($CO$4:$CO$60&lt;&gt;0,ROW($CO$4:$CO$60)-3),ROW(CP19))))</f>
        <v/>
      </c>
      <c r="CQ85" s="1321" t="str">
        <f t="array" ref="CQ85">IF( ISERROR(INDEX($A$4:$A$60,SMALL(IF($CQ$4:$CQ$60&lt;&gt;0,ROW($CQ$4:$CQ$60)-4),ROW(CQ19)))),"",INDEX($A$4:$A$60,SMALL(IF($CQ$4:$CQ$60&lt;&gt;0,ROW($CQ$5:$CQ$60)-4),ROW(CQ19))))</f>
        <v/>
      </c>
      <c r="CR85" s="1321" t="str">
        <f t="array" ref="CR85">IF(ISERROR(INDEX($CQ$4:$CQ$60,SMALL(IF($CQ$4:$CQ$60&lt;&gt;0,ROW($CQ$4:$CQ$60)-3),ROW(CR19)))),"",INDEX($CQ$4:$CQ$60,SMALL(IF($CQ$4:$CQ$60&lt;&gt;0,ROW($CQ$4:$CQ$60)-3),ROW(CR19))))</f>
        <v/>
      </c>
      <c r="CS85" s="1321" t="str">
        <f t="array" ref="CS85">IF( ISERROR(INDEX($A$4:$A$60,SMALL(IF($CS$4:$CS$60&lt;&gt;0,ROW($CS$4:$CS$60)-4),ROW(CS19)))),"",INDEX($A$4:$A$60,SMALL(IF($CS$4:$CS$60&lt;&gt;0,ROW($CS$5:$CS$60)-4),ROW(CS19))))</f>
        <v/>
      </c>
      <c r="CT85" s="1321" t="str">
        <f t="array" ref="CT85">IF(ISERROR(INDEX($CS$4:$CS$60,SMALL(IF($CS$4:$CS$60&lt;&gt;0,ROW($CS$4:$CS$60)-3),ROW(CT19)))),"",INDEX($CS$4:$CS$60,SMALL(IF($CS$4:$CS$60&lt;&gt;0,ROW($CS$4:$CS$60)-3),ROW(CT19))))</f>
        <v/>
      </c>
      <c r="CU85" s="1321" t="str">
        <f t="array" ref="CU85">IF( ISERROR(INDEX($A$4:$A$60,SMALL(IF($CU$4:$CU$60&lt;&gt;0,ROW($CU$4:$CU$60)-4),ROW(CU19)))),"",INDEX($A$4:$A$60,SMALL(IF($CU$4:$CU$60&lt;&gt;0,ROW($CU$5:$CU$60)-4),ROW(CU19))))</f>
        <v/>
      </c>
      <c r="CV85" s="1321" t="str">
        <f t="array" ref="CV85">IF(ISERROR(INDEX($CU$4:$CU$60,SMALL(IF($CU$4:$CU$60&lt;&gt;0,ROW($CU$4:$CU$60)-3),ROW(CV19)))),"",INDEX($CU$4:$CU$60,SMALL(IF($CU$4:$CU$60&lt;&gt;0,ROW($CU$4:$CU$60)-3),ROW(CV19))))</f>
        <v/>
      </c>
      <c r="CW85" s="1321" t="str">
        <f t="array" ref="CW85">IF( ISERROR(INDEX($A$4:$A$60,SMALL(IF($CW$4:$CW$60&lt;&gt;0,ROW($CW$4:$CW$60)-4),ROW(CW19)))),"",INDEX($A$4:$A$60,SMALL(IF($CW$4:$CW$60&lt;&gt;0,ROW($CW$5:$CW$60)-4),ROW(CW19))))</f>
        <v/>
      </c>
      <c r="CX85" s="1321" t="str">
        <f t="array" ref="CX85">IF(ISERROR(INDEX($CW$4:$CW$60,SMALL(IF($CW$4:$CW$60&lt;&gt;0,ROW($CW$4:$CW$60)-3),ROW(CX19)))),"",INDEX($CW$4:$CW$60,SMALL(IF($CW$4:$CW$60&lt;&gt;0,ROW($CW$4:$CW$60)-3),ROW(CX19))))</f>
        <v/>
      </c>
      <c r="CY85" s="1321" t="str">
        <f t="array" ref="CY85">IF( ISERROR(INDEX($A$4:$A$60,SMALL(IF($CY$4:$CY$60&lt;&gt;0,ROW($CY$4:$CY$60)-4),ROW(CY19)))),"",INDEX($A$4:$A$60,SMALL(IF($CY$4:$CY$60&lt;&gt;0,ROW($CY$5:$CY$60)-4),ROW(CY19))))</f>
        <v/>
      </c>
      <c r="CZ85" s="1321" t="str">
        <f t="array" ref="CZ85">IF(ISERROR(INDEX($CY$4:$CY$60,SMALL(IF($CY$4:$CY$60&lt;&gt;0,ROW($CY$4:$CY$60)-3),ROW(CZ19)))),"",INDEX($CY$4:$CY$60,SMALL(IF($CY$4:$CY$60&lt;&gt;0,ROW($CY$4:$CY$60)-3),ROW(CZ19))))</f>
        <v/>
      </c>
      <c r="DA85" s="1321"/>
      <c r="DB85" s="1321"/>
      <c r="DC85" s="1321"/>
      <c r="DD85" s="1321"/>
      <c r="DE85" s="1321"/>
      <c r="DF85" s="1321"/>
      <c r="DG85" s="1321"/>
      <c r="DH85" s="1321"/>
      <c r="DI85" s="1321"/>
      <c r="DJ85" s="1321"/>
      <c r="DK85" s="1321"/>
      <c r="DL85" s="1321"/>
      <c r="DM85" s="1321"/>
      <c r="DN85" s="1321"/>
      <c r="DO85" s="1321"/>
      <c r="DP85" s="1321"/>
      <c r="DQ85" s="1321"/>
      <c r="DR85" s="1321"/>
      <c r="DS85" s="1321"/>
      <c r="DT85" s="1321"/>
      <c r="DU85" s="1321"/>
      <c r="DV85" s="1321"/>
      <c r="DW85" s="1321"/>
      <c r="DX85" s="1321"/>
      <c r="DY85" s="1321"/>
      <c r="DZ85" s="1321"/>
      <c r="EA85" s="1321"/>
      <c r="EB85" s="1321"/>
      <c r="EC85" s="1321"/>
      <c r="ED85" s="1321"/>
      <c r="EE85" s="1321"/>
      <c r="EF85" s="1321"/>
      <c r="EG85" s="1321"/>
      <c r="EH85" s="1321"/>
      <c r="EI85" s="1321"/>
      <c r="EJ85" s="1321"/>
      <c r="EK85" s="1321"/>
      <c r="EL85" s="1321"/>
      <c r="EM85" s="1321"/>
      <c r="EN85" s="1321"/>
      <c r="EO85" s="1321"/>
      <c r="EP85" s="1321"/>
      <c r="EQ85" s="1321"/>
      <c r="ER85" s="1321"/>
      <c r="ES85" s="1321"/>
      <c r="ET85" s="1321"/>
      <c r="EU85" s="1321"/>
      <c r="EV85" s="1321"/>
      <c r="EW85" s="1321"/>
      <c r="EX85" s="1321"/>
      <c r="EY85" s="1321"/>
      <c r="EZ85" s="1321"/>
      <c r="FA85" s="1321"/>
      <c r="FB85" s="1321"/>
      <c r="FC85" s="1321"/>
      <c r="FD85" s="1321"/>
      <c r="FE85" s="1321"/>
      <c r="FF85" s="1321"/>
      <c r="FG85" s="1321"/>
      <c r="FH85" s="1321"/>
      <c r="FI85" s="1321"/>
      <c r="FJ85" s="1321"/>
      <c r="FK85" s="1321"/>
      <c r="FL85" s="1321"/>
      <c r="FM85" s="1321"/>
      <c r="FN85" s="1321"/>
      <c r="FO85" s="1321"/>
      <c r="FP85" s="1321"/>
      <c r="FQ85" s="1321"/>
      <c r="FR85" s="1321"/>
      <c r="FS85" s="1321"/>
      <c r="FT85" s="1321"/>
      <c r="FU85" s="1321"/>
      <c r="FV85" s="1321"/>
      <c r="FW85" s="1321"/>
      <c r="FX85" s="1321"/>
      <c r="FY85" s="1321"/>
      <c r="FZ85" s="1321"/>
      <c r="GA85" s="1321"/>
      <c r="GB85" s="1321"/>
      <c r="GC85" s="1321"/>
      <c r="GD85" s="1321"/>
      <c r="GE85" s="1321"/>
      <c r="GF85" s="1321"/>
      <c r="GG85" s="1321"/>
      <c r="GH85" s="1321"/>
      <c r="GI85" s="1321"/>
      <c r="GJ85" s="1321"/>
      <c r="GK85" s="1321"/>
      <c r="GL85" s="1321"/>
      <c r="GM85" s="1321"/>
      <c r="GN85" s="1321"/>
      <c r="GO85" s="1321"/>
      <c r="GP85" s="1321"/>
      <c r="GQ85" s="1321"/>
      <c r="GR85" s="1321"/>
      <c r="GS85" s="1321"/>
      <c r="GT85" s="1321"/>
      <c r="GU85" s="1321"/>
      <c r="GV85" s="1321"/>
      <c r="GW85" s="1321"/>
      <c r="GX85" s="1321"/>
      <c r="GY85" s="1321"/>
      <c r="GZ85" s="1321"/>
    </row>
    <row r="86" spans="3:208" hidden="1">
      <c r="C86" s="1321" t="str">
        <f t="array" ref="C86">IF( ISERROR(INDEX($A$4:$A$60,SMALL(IF($C$4:$C$60&lt;&gt;0,ROW($C$4:$C$60)-4),ROW(A20)))),"",INDEX($A$4:$A$60,SMALL(IF($C$4:$C$60&lt;&gt;0,ROW($C$5:$C$60)-4),ROW(A20))))</f>
        <v/>
      </c>
      <c r="D86" s="1321" t="str">
        <f t="array" ref="D86">IF(ISERROR(INDEX($C$4:$C$60,SMALL(IF($C$4:$C$60&lt;&gt;0,ROW($C$4:$C$60)-3),ROW(D20)))),"",INDEX($C$4:$C$60,SMALL(IF($C$4:$C$60&lt;&gt;0,ROW($C$4:$C$60)-3),ROW(D20))))</f>
        <v/>
      </c>
      <c r="E86" s="1321" t="str">
        <f t="array" ref="E86">IF( ISERROR(INDEX($A$4:$A$60,SMALL(IF($E$4:$E$60&lt;&gt;0,ROW($E$4:$E$60)-4),ROW(E20)))),"",INDEX($A$4:$A$60,SMALL(IF($E$4:$E$60&lt;&gt;0,ROW($E$5:$E$60)-4),ROW(E20))))</f>
        <v/>
      </c>
      <c r="F86" s="1321" t="str">
        <f t="array" ref="F86">IF(ISERROR(INDEX($E$4:$E$60,SMALL(IF($E$4:$E$60&lt;&gt;0,ROW($E$4:$E$60)-3),ROW(F20)))),"",INDEX($E$4:$E$60,SMALL(IF($E$4:$E$60&lt;&gt;0,ROW($E$4:$E$60)-3),ROW(F20))))</f>
        <v/>
      </c>
      <c r="G86" s="1321" t="str">
        <f t="array" ref="G86">IF( ISERROR(INDEX($A$4:$A$60,SMALL(IF($G$4:$G$60&lt;&gt;0,ROW($G$4:$G$60)-4),ROW(G20)))),"",INDEX($A$4:$A$60,SMALL(IF($G$4:$G$60&lt;&gt;0,ROW($G$5:$G$60)-4),ROW(G20))))</f>
        <v/>
      </c>
      <c r="H86" s="1321" t="str">
        <f t="array" ref="H86">IF(ISERROR(INDEX($E$4:$E$60,SMALL(IF($G$4:$G$60&lt;&gt;0,ROW($G$4:$G$60)-3),ROW(H20)))),"",INDEX($G$4:$G$60,SMALL(IF($G$4:$G$60&lt;&gt;0,ROW($G$4:$G$60)-3),ROW(H20))))</f>
        <v/>
      </c>
      <c r="I86" s="1321" t="str">
        <f t="array" ref="I86">IF( ISERROR(INDEX($A$4:$A$60,SMALL(IF($I$4:$I$60&lt;&gt;0,ROW($I$4:$I$60)-4),ROW(I20)))),"",INDEX($A$4:$A$60,SMALL(IF($I$4:$I$60&lt;&gt;0,ROW($I$5:$I$60)-4),ROW(I20))))</f>
        <v/>
      </c>
      <c r="J86" s="1321" t="str">
        <f t="array" ref="J86">IF(ISERROR(INDEX($I$4:$I$60,SMALL(IF($I$4:$I$60&lt;&gt;0,ROW($I$4:$I$60)-3),ROW(J20)))),"",INDEX($I$4:$I$60,SMALL(IF($I$4:$I$60&lt;&gt;0,ROW($I$4:$I$60)-3),ROW(J20))))</f>
        <v/>
      </c>
      <c r="K86" s="1321" t="str">
        <f t="array" ref="K86">IF( ISERROR(INDEX($A$4:$A$60,SMALL(IF($K$4:$K$60&lt;&gt;0,ROW($K$4:$K$60)-4),ROW(K20)))),"",INDEX($A$4:$A$60,SMALL(IF($K$4:$K$60&lt;&gt;0,ROW($K$5:$K$60)-4),ROW(K20))))</f>
        <v/>
      </c>
      <c r="L86" s="1321" t="str">
        <f t="array" ref="L86">IF(ISERROR(INDEX($K$4:$K$60,SMALL(IF($K$4:$K$60&lt;&gt;0,ROW($K$4:$K$60)-3),ROW(L20)))),"",INDEX($K$4:$K$60,SMALL(IF($K$4:$K$60&lt;&gt;0,ROW($K$4:$K$60)-3),ROW(L20))))</f>
        <v/>
      </c>
      <c r="M86" s="1321" t="str">
        <f t="array" ref="M86">IF( ISERROR(INDEX($A$4:$A$60,SMALL(IF($M$4:$M$60&lt;&gt;0,ROW($M$4:$M$60)-4),ROW(M20)))),"",INDEX($A$4:$A$60,SMALL(IF($M$4:$M$60&lt;&gt;0,ROW($M$5:$M$60)-4),ROW(M20))))</f>
        <v/>
      </c>
      <c r="N86" s="1321" t="str">
        <f t="array" ref="N86">IF(ISERROR(INDEX($M$4:$M$60,SMALL(IF($M$4:$M$60&lt;&gt;0,ROW($M$4:$M$60)-3),ROW(N20)))),"",INDEX($M$4:$M$60,SMALL(IF($M$4:$M$60&lt;&gt;0,ROW($M$4:$M$60)-3),ROW(N20))))</f>
        <v/>
      </c>
      <c r="O86" s="1321" t="str">
        <f t="array" ref="O86">IF( ISERROR(INDEX($A$4:$A$60,SMALL(IF($O$4:$O$60&lt;&gt;0,ROW($O$4:$O$60)-4),ROW(O20)))),"",INDEX($A$4:$A$60,SMALL(IF($O$4:$O$60&lt;&gt;0,ROW($O$5:$O$60)-4),ROW(O20))))</f>
        <v/>
      </c>
      <c r="P86" s="1321" t="str">
        <f t="array" ref="P86">IF(ISERROR(INDEX($O$4:$O$60,SMALL(IF($O$4:$O$60&lt;&gt;0,ROW($O$4:$O$60)-3),ROW(P20)))),"",INDEX($O$4:$O$60,SMALL(IF($O$4:$O$60&lt;&gt;0,ROW($O$4:$O$60)-3),ROW(P20))))</f>
        <v/>
      </c>
      <c r="Q86" s="1321" t="str">
        <f t="array" ref="Q86">IF( ISERROR(INDEX($A$4:$A$60,SMALL(IF($Q$4:$Q$60&lt;&gt;0,ROW($Q$4:$Q$60)-4),ROW(Q20)))),"",INDEX($A$4:$A$60,SMALL(IF($Q$4:$Q$60&lt;&gt;0,ROW($Q$5:$Q$60)-4),ROW(Q20))))</f>
        <v/>
      </c>
      <c r="R86" s="1321" t="str">
        <f t="array" ref="R86">IF(ISERROR(INDEX($Q$4:$Q$60,SMALL(IF($Q$4:$Q$60&lt;&gt;0,ROW($Q$4:$Q$60)-3),ROW(R20)))),"",INDEX($Q$4:$Q$60,SMALL(IF($Q$4:$Q$60&lt;&gt;0,ROW($Q$4:$Q$60)-3),ROW(R20))))</f>
        <v/>
      </c>
      <c r="S86" s="1321" t="str">
        <f t="array" ref="S86">IF( ISERROR(INDEX($A$4:$A$60,SMALL(IF($S$4:$S$60&lt;&gt;0,ROW($S$4:$S$60)-4),ROW(S20)))),"",INDEX($A$4:$A$60,SMALL(IF($S$4:$S$60&lt;&gt;0,ROW($S$5:$S$60)-4),ROW(S20))))</f>
        <v/>
      </c>
      <c r="T86" s="1321" t="str">
        <f t="array" ref="T86">IF(ISERROR(INDEX($S$4:$S$60,SMALL(IF($S$4:$S$60&lt;&gt;0,ROW($S$4:$S$60)-3),ROW(T20)))),"",INDEX($S$4:$S$60,SMALL(IF($S$4:$S$60&lt;&gt;0,ROW($S$4:$S$60)-3),ROW(T20))))</f>
        <v/>
      </c>
      <c r="U86" s="1321" t="str">
        <f t="array" ref="U86">IF( ISERROR(INDEX($A$4:$A$60,SMALL(IF($U$4:$U$60&lt;&gt;0,ROW($U$4:$U$60)-4),ROW(U20)))),"",INDEX($A$4:$A$60,SMALL(IF($U$4:$U$60&lt;&gt;0,ROW($U$5:$U$60)-4),ROW(U20))))</f>
        <v/>
      </c>
      <c r="V86" s="1321" t="str">
        <f t="array" ref="V86">IF(ISERROR(INDEX($U$4:$U$60,SMALL(IF($U$4:$U$60&lt;&gt;0,ROW($U$4:$U$60)-3),ROW(V20)))),"",INDEX($U$4:$U$60,SMALL(IF($U$4:$U$60&lt;&gt;0,ROW($U$4:$U$60)-3),ROW(V20))))</f>
        <v/>
      </c>
      <c r="W86" s="1321" t="str">
        <f t="array" ref="W86">IF( ISERROR(INDEX($A$4:$A$60,SMALL(IF($W$4:$W$60&lt;&gt;0,ROW($W$4:$W$60)-4),ROW(W20)))),"",INDEX($A$4:$A$60,SMALL(IF($W$4:$W$60&lt;&gt;0,ROW($W$5:$W$60)-4),ROW(W20))))</f>
        <v/>
      </c>
      <c r="X86" s="1321" t="str">
        <f t="array" ref="X86">IF(ISERROR(INDEX($W$4:$W$60,SMALL(IF($W$4:$W$60&lt;&gt;0,ROW($W$4:$W$60)-3),ROW(X20)))),"",INDEX($W$4:$W$60,SMALL(IF($W$4:$W$60&lt;&gt;0,ROW($W$4:$W$60)-3),ROW(X20))))</f>
        <v/>
      </c>
      <c r="Y86" s="1321" t="str">
        <f t="array" ref="Y86">IF( ISERROR(INDEX($A$4:$A$60,SMALL(IF($Y$4:$Y$60&lt;&gt;0,ROW($Y$4:$Y$60)-4),ROW(Y20)))),"",INDEX($A$4:$A$60,SMALL(IF($Y$4:$Y$60&lt;&gt;0,ROW($Y$5:$Y$60)-4),ROW(Y20))))</f>
        <v/>
      </c>
      <c r="Z86" s="1321" t="str">
        <f t="array" ref="Z86">IF(ISERROR(INDEX($Y$4:$Y$60,SMALL(IF($Y$4:$Y$60&lt;&gt;0,ROW($Y$4:$Y$60)-3),ROW(Z20)))),"",INDEX($Y$4:$Y$60,SMALL(IF($Y$4:$Y$60&lt;&gt;0,ROW($Y$4:$Y$60)-3),ROW(Z20))))</f>
        <v/>
      </c>
      <c r="AA86" s="1321" t="str">
        <f t="array" ref="AA86">IF( ISERROR(INDEX($A$4:$A$60,SMALL(IF($AA$4:$AA$60&lt;&gt;0,ROW($AA$4:$AA$60)-4),ROW(AA20)))),"",INDEX($A$4:$A$60,SMALL(IF($AA$4:$AA$60&lt;&gt;0,ROW($AA$5:$AA$60)-4),ROW(AA20))))</f>
        <v/>
      </c>
      <c r="AB86" s="1321" t="str">
        <f t="array" ref="AB86">IF(ISERROR(INDEX($AA$4:$AA$60,SMALL(IF($AA$4:$AA$60&lt;&gt;0,ROW($AA$4:$AA$60)-3),ROW(AB20)))),"",INDEX($AA$4:$AA$60,SMALL(IF($AA$4:$AA$60&lt;&gt;0,ROW($AA$4:$AA$60)-3),ROW(AB20))))</f>
        <v/>
      </c>
      <c r="AC86" s="1321" t="str">
        <f t="array" ref="AC86">IF( ISERROR(INDEX($A$4:$A$60,SMALL(IF($AC$4:$AC$60&lt;&gt;0,ROW($AC$4:$AC$60)-4),ROW(AC20)))),"",INDEX($A$4:$A$60,SMALL(IF($AC$4:$AC$60&lt;&gt;0,ROW($AC$5:$AC$60)-4),ROW(AC20))))</f>
        <v/>
      </c>
      <c r="AD86" s="1321" t="str">
        <f t="array" ref="AD86">IF(ISERROR(INDEX($AC$4:$AC$60,SMALL(IF($AC$4:$AC$60&lt;&gt;0,ROW($AC$4:$AC$60)-3),ROW(AD20)))),"",INDEX($AC$4:$AC$60,SMALL(IF($AC$4:$AC$60&lt;&gt;0,ROW($AC$4:$AC$60)-3),ROW(AD20))))</f>
        <v/>
      </c>
      <c r="AE86" s="1321" t="str">
        <f t="array" ref="AE86">IF( ISERROR(INDEX($A$4:$A$60,SMALL(IF($AE$4:$AE$60&lt;&gt;0,ROW($AE$4:$AE$60)-4),ROW(AE20)))),"",INDEX($A$4:$A$60,SMALL(IF($AE$4:$AE$60&lt;&gt;0,ROW($AE$5:$AE$60)-4),ROW(AE20))))</f>
        <v/>
      </c>
      <c r="AF86" s="1321" t="str">
        <f t="array" ref="AF86">IF(ISERROR(INDEX($AE$4:$AE$60,SMALL(IF($AE$4:$AE$60&lt;&gt;0,ROW($AE$4:$AE$60)-3),ROW(AF20)))),"",INDEX($AE$4:$AE$60,SMALL(IF($AE$4:$AE$60&lt;&gt;0,ROW($AE$4:$AE$60)-3),ROW(AF20))))</f>
        <v/>
      </c>
      <c r="AG86" s="1321" t="str">
        <f t="array" ref="AG86">IF( ISERROR(INDEX($A$4:$A$60,SMALL(IF($AG$4:$AG$60&lt;&gt;0,ROW($AG$4:$AG$60)-4),ROW(AG20)))),"",INDEX($A$4:$A$60,SMALL(IF($AG$4:$AG$60&lt;&gt;0,ROW($AG$5:$AG$60)-4),ROW(AG20))))</f>
        <v/>
      </c>
      <c r="AH86" s="1321" t="str">
        <f t="array" ref="AH86">IF(ISERROR(INDEX($AG$4:$AG$60,SMALL(IF($AG$4:$AG$60&lt;&gt;0,ROW($AG$4:$AG$60)-3),ROW(AH20)))),"",INDEX($AG$4:$AG$60,SMALL(IF($AG$4:$AG$60&lt;&gt;0,ROW($AG$4:$AG$60)-3),ROW(AH20))))</f>
        <v/>
      </c>
      <c r="AI86" s="1321" t="str">
        <f t="array" ref="AI86">IF( ISERROR(INDEX($A$4:$A$60,SMALL(IF($AI$4:$AI$60&lt;&gt;0,ROW($AI$4:$AI$60)-4),ROW(AI20)))),"",INDEX($A$4:$A$60,SMALL(IF($AI$4:$AI$60&lt;&gt;0,ROW($AI$5:$AI$60)-4),ROW(AI20))))</f>
        <v/>
      </c>
      <c r="AJ86" s="1321" t="str">
        <f t="array" ref="AJ86">IF(ISERROR(INDEX($E$4:$E$60,SMALL(IF($AI$4:$AI$60&lt;&gt;0,ROW($AI$4:$AI$60)-3),ROW(AJ20)))),"",INDEX($AI$4:$AI$60,SMALL(IF($AI$4:$AI$60&lt;&gt;0,ROW($AI$4:$AI$60)-3),ROW(AJ20))))</f>
        <v/>
      </c>
      <c r="AK86" s="1321" t="str">
        <f t="array" ref="AK86">IF( ISERROR(INDEX($A$4:$A$60,SMALL(IF($AK$4:$AK$60&lt;&gt;0,ROW($AK$4:$AK$60)-4),ROW(AK20)))),"",INDEX($A$4:$A$60,SMALL(IF($AK$4:$AK$60&lt;&gt;0,ROW($AK$5:$AK$60)-4),ROW(AK20))))</f>
        <v/>
      </c>
      <c r="AL86" s="1321" t="str">
        <f t="array" ref="AL86">IF(ISERROR(INDEX($AK$4:$AK$60,SMALL(IF($AK$4:$AK$60&lt;&gt;0,ROW($AK$4:$AK$60)-3),ROW(AL20)))),"",INDEX($AK$4:$AK$60,SMALL(IF($AK$4:$AK$60&lt;&gt;0,ROW($AK$4:$AK$60)-3),ROW(AL20))))</f>
        <v/>
      </c>
      <c r="AM86" s="1321" t="str">
        <f t="array" ref="AM86">IF( ISERROR(INDEX($A$4:$A$60,SMALL(IF($AM$4:$AM$60&lt;&gt;0,ROW($AM$4:$AM$60)-4),ROW(AM20)))),"",INDEX($A$4:$A$60,SMALL(IF($AM$4:$AM$60&lt;&gt;0,ROW($AM$5:$AM$60)-4),ROW(AM20))))</f>
        <v/>
      </c>
      <c r="AN86" s="1321" t="str">
        <f t="array" ref="AN86">IF(ISERROR(INDEX($AM$4:$AM$60,SMALL(IF($AM$4:$AM$60&lt;&gt;0,ROW($AM$4:$AM$60)-3),ROW(AN20)))),"",INDEX($AM$4:$AM$60,SMALL(IF($AM$4:$AM$60&lt;&gt;0,ROW($AM$4:$AM$60)-3),ROW(AN20))))</f>
        <v/>
      </c>
      <c r="AO86" s="1321" t="str">
        <f t="array" ref="AO86">IF( ISERROR(INDEX($A$4:$A$60,SMALL(IF($AO$4:$AO$60&lt;&gt;0,ROW($AO$4:$AO$60)-4),ROW(AO20)))),"",INDEX($A$4:$A$60,SMALL(IF($AO$4:$AO$60&lt;&gt;0,ROW($AO$5:$AO$60)-4),ROW(AO20))))</f>
        <v/>
      </c>
      <c r="AP86" s="1321" t="str">
        <f t="array" ref="AP86">IF(ISERROR(INDEX($AO$4:$AO$60,SMALL(IF($AO$4:$AO$60&lt;&gt;0,ROW($AO$4:$AO$60)-3),ROW(AP20)))),"",INDEX($AO$4:$AO$60,SMALL(IF($AO$4:$AO$60&lt;&gt;0,ROW($AO$4:$AO$60)-3),ROW(AP20))))</f>
        <v/>
      </c>
      <c r="AQ86" s="1321" t="str">
        <f t="array" ref="AQ86">IF( ISERROR(INDEX($A$4:$A$60,SMALL(IF($AQ$4:$AQ$60&lt;&gt;0,ROW($AQ$4:$AQ$60)-4),ROW(AQ20)))),"",INDEX($A$4:$A$60,SMALL(IF($AQ$4:$AQ$60&lt;&gt;0,ROW($AQ$5:$AQ$60)-4),ROW(AQ20))))</f>
        <v/>
      </c>
      <c r="AR86" s="1321" t="str">
        <f t="array" ref="AR86">IF(ISERROR(INDEX($AQ$4:$AQ$60,SMALL(IF($AQ$4:$AQ$60&lt;&gt;0,ROW($AQ$4:$AQ$60)-3),ROW(AR20)))),"",INDEX($AQ$4:$AQ$60,SMALL(IF($AQ$4:$AQ$60&lt;&gt;0,ROW($AQ$4:$AQ$60)-3),ROW(AR20))))</f>
        <v/>
      </c>
      <c r="AS86" s="1321" t="str">
        <f t="array" ref="AS86">IF( ISERROR(INDEX($A$4:$A$60,SMALL(IF($AS$4:$AS$60&lt;&gt;0,ROW($AS$4:$AS$60)-4),ROW(AS20)))),"",INDEX($A$4:$A$60,SMALL(IF($AS$4:$AS$60&lt;&gt;0,ROW($AS$5:$AS$60)-4),ROW(AS20))))</f>
        <v/>
      </c>
      <c r="AT86" s="1321" t="str">
        <f t="array" ref="AT86">IF(ISERROR(INDEX($AS$4:$AS$60,SMALL(IF($AS$4:$AS$60&lt;&gt;0,ROW($AS$4:$AS$60)-3),ROW(AT20)))),"",INDEX($AS$4:$AS$60,SMALL(IF($AS$4:$AS$60&lt;&gt;0,ROW($AS$4:$AS$60)-3),ROW(AT20))))</f>
        <v/>
      </c>
      <c r="AU86" s="1321" t="str">
        <f t="array" ref="AU86">IF( ISERROR(INDEX($A$4:$A$60,SMALL(IF($AU$4:$AU$60&lt;&gt;0,ROW($AU$4:$AU$60)-4),ROW(AU20)))),"",INDEX($A$4:$A$60,SMALL(IF($AU$4:$AU$60&lt;&gt;0,ROW($AU$5:$AU$60)-4),ROW(AU20))))</f>
        <v/>
      </c>
      <c r="AV86" s="1321" t="str">
        <f t="array" ref="AV86">IF(ISERROR(INDEX($AU$4:$AU$60,SMALL(IF($AU$4:$AU$60&lt;&gt;0,ROW($AU$4:$AU$60)-3),ROW(AV20)))),"",INDEX($AU$4:$AU$60,SMALL(IF($AU$4:$AU$60&lt;&gt;0,ROW($AU$4:$AU$60)-3),ROW(AV20))))</f>
        <v/>
      </c>
      <c r="AW86" s="1321" t="str">
        <f t="array" ref="AW86">IF( ISERROR(INDEX($A$4:$A$60,SMALL(IF($AW$4:$AW$60&lt;&gt;0,ROW($AW$4:$AW$60)-4),ROW(AW20)))),"",INDEX($A$4:$A$60,SMALL(IF($AW$4:$AW$60&lt;&gt;0,ROW($AW$5:$AW$60)-4),ROW(AW20))))</f>
        <v/>
      </c>
      <c r="AX86" s="1321" t="str">
        <f t="array" ref="AX86">IF(ISERROR(INDEX($AW$4:$AW$60,SMALL(IF($AW$4:$AW$60&lt;&gt;0,ROW($AW$4:$AW$60)-3),ROW(AX20)))),"",INDEX($AW$4:$AW$60,SMALL(IF($AW$4:$AW$60&lt;&gt;0,ROW($AW$4:$AW$60)-3),ROW(AX20))))</f>
        <v/>
      </c>
      <c r="AY86" s="1321" t="str">
        <f t="array" ref="AY86">IF( ISERROR(INDEX($A$4:$A$60,SMALL(IF($AY$4:$AY$60&lt;&gt;0,ROW($AY$4:$AY$60)-4),ROW(AY20)))),"",INDEX($A$4:$A$60,SMALL(IF($AY$4:$AY$60&lt;&gt;0,ROW($AY$5:$AY$60)-4),ROW(AY20))))</f>
        <v/>
      </c>
      <c r="AZ86" s="1321" t="str">
        <f t="array" ref="AZ86">IF(ISERROR(INDEX($AY$4:$AY$60,SMALL(IF($AY$4:$AY$60&lt;&gt;0,ROW($AY$4:$AY$60)-3),ROW(AZ20)))),"",INDEX($AY$4:$AY$60,SMALL(IF($AY$4:$AY$60&lt;&gt;0,ROW($AY$4:$AY$60)-3),ROW(AZ20))))</f>
        <v/>
      </c>
      <c r="BA86" s="1321" t="str">
        <f t="array" ref="BA86">IF( ISERROR(INDEX($A$4:$A$60,SMALL(IF($BA$4:$BA$60&lt;&gt;0,ROW($BA$4:$BA$60)-4),ROW(BA20)))),"",INDEX($A$4:$A$60,SMALL(IF($BA$4:$BA$60&lt;&gt;0,ROW($BA$5:$BA$60)-4),ROW(BA20))))</f>
        <v/>
      </c>
      <c r="BB86" s="1321" t="str">
        <f t="array" ref="BB86">IF(ISERROR(INDEX($BA$4:$BA$60,SMALL(IF($BA$4:$BA$60&lt;&gt;0,ROW($BA$4:$BA$60)-3),ROW(BB20)))),"",INDEX($BA$4:$BA$60,SMALL(IF($BA$4:$BA$60&lt;&gt;0,ROW($BA$4:$BA$60)-3),ROW(BB20))))</f>
        <v/>
      </c>
      <c r="BC86" s="1321" t="str">
        <f t="array" ref="BC86">IF( ISERROR(INDEX($A$4:$A$60,SMALL(IF($BC$4:$BC$60&lt;&gt;0,ROW($BC$4:$BC$60)-4),ROW(BC20)))),"",INDEX($A$4:$A$60,SMALL(IF($BC$4:$BC$60&lt;&gt;0,ROW($BC$5:$BC$60)-4),ROW(BC20))))</f>
        <v/>
      </c>
      <c r="BD86" s="1321" t="str">
        <f t="array" ref="BD86">IF(ISERROR(INDEX($BC$4:$BC$60,SMALL(IF($BC$4:$BC$60&lt;&gt;0,ROW($BC$4:$BC$60)-3),ROW(BD20)))),"",INDEX($BC$4:$BC$60,SMALL(IF($BC$4:$BC$60&lt;&gt;0,ROW($BC$4:$BC$60)-3),ROW(BD20))))</f>
        <v/>
      </c>
      <c r="BE86" s="1321" t="str">
        <f t="array" ref="BE86">IF( ISERROR(INDEX($A$4:$A$60,SMALL(IF($BE$4:$BE$60&lt;&gt;0,ROW($BE$4:$BE$60)-4),ROW(BE20)))),"",INDEX($A$4:$A$60,SMALL(IF($BE$4:$BE$60&lt;&gt;0,ROW($BE$5:$BE$60)-4),ROW(BE20))))</f>
        <v/>
      </c>
      <c r="BF86" s="1321" t="str">
        <f t="array" ref="BF86">IF(ISERROR(INDEX($BE$4:$BE$60,SMALL(IF($BE$4:$BE$60&lt;&gt;0,ROW($BE$4:$BE$60)-3),ROW(BF20)))),"",INDEX($BE$4:$BE$60,SMALL(IF($BE$4:$BE$60&lt;&gt;0,ROW($BE$4:$BE$60)-3),ROW(BF20))))</f>
        <v/>
      </c>
      <c r="BG86" s="1321" t="str">
        <f t="array" ref="BG86">IF( ISERROR(INDEX($A$4:$A$60,SMALL(IF($BG$4:$BG$60&lt;&gt;0,ROW($BG$4:$BG$60)-4),ROW(BG20)))),"",INDEX($A$4:$A$60,SMALL(IF($BG$4:$BG$60&lt;&gt;0,ROW($BG$5:$BG$60)-4),ROW(BG20))))</f>
        <v/>
      </c>
      <c r="BH86" s="1321" t="str">
        <f t="array" ref="BH86">IF(ISERROR(INDEX($BG$4:$BG$60,SMALL(IF($BG$4:$BG$60&lt;&gt;0,ROW($BG$4:$BG$60)-3),ROW(BH20)))),"",INDEX($BG$4:$BG$60,SMALL(IF($BG$4:$BG$60&lt;&gt;0,ROW($BG$4:$BG$60)-3),ROW(BH20))))</f>
        <v/>
      </c>
      <c r="BI86" s="1321" t="str">
        <f t="array" ref="BI86">IF( ISERROR(INDEX($A$4:$A$60,SMALL(IF($BI$4:$BI$60&lt;&gt;0,ROW($BI$4:$BI$60)-4),ROW(BI20)))),"",INDEX($A$4:$A$60,SMALL(IF($BI$4:$BI$60&lt;&gt;0,ROW($BI$5:$BI$60)-4),ROW(BI20))))</f>
        <v/>
      </c>
      <c r="BJ86" s="1321" t="str">
        <f t="array" ref="BJ86">IF(ISERROR(INDEX($BI$4:$BI$60,SMALL(IF($BI$4:$BI$60&lt;&gt;0,ROW($BI$4:$BI$60)-3),ROW(BJ20)))),"",INDEX($BI$4:$BI$60,SMALL(IF($BI$4:$BI$60&lt;&gt;0,ROW($BI$4:$BI$60)-3),ROW(BJ20))))</f>
        <v/>
      </c>
      <c r="BK86" s="1321" t="str">
        <f t="array" ref="BK86">IF( ISERROR(INDEX($A$4:$A$60,SMALL(IF($BK$4:$BK$60&lt;&gt;0,ROW($BK$4:$BK$60)-4),ROW(BK20)))),"",INDEX($A$4:$A$60,SMALL(IF($BK$4:$BK$60&lt;&gt;0,ROW($BK$5:$BK$60)-4),ROW(BK20))))</f>
        <v/>
      </c>
      <c r="BL86" s="1321" t="str">
        <f t="array" ref="BL86">IF(ISERROR(INDEX($BK$4:$BK$60,SMALL(IF($BK$4:$BK$60&lt;&gt;0,ROW($BK$4:$BK$60)-3),ROW(BL20)))),"",INDEX($BK$4:$BK$60,SMALL(IF($BK$4:$BK$60&lt;&gt;0,ROW($BK$4:$BK$60)-3),ROW(BL20))))</f>
        <v/>
      </c>
      <c r="BM86" s="1321" t="str">
        <f t="array" ref="BM86">IF( ISERROR(INDEX($A$4:$A$60,SMALL(IF($BM$4:$BM$60&lt;&gt;0,ROW($BM$4:$BM$60)-4),ROW(BM20)))),"",INDEX($A$4:$A$60,SMALL(IF($BM$4:$BM$60&lt;&gt;0,ROW($BM$5:$BM$60)-4),ROW(BM20))))</f>
        <v/>
      </c>
      <c r="BN86" s="1321" t="str">
        <f t="array" ref="BN86">IF(ISERROR(INDEX($BM$4:$BM$60,SMALL(IF($BM$4:$BM$60&lt;&gt;0,ROW($BM$4:$BM$60)-3),ROW(BN20)))),"",INDEX($BM$4:$BM$60,SMALL(IF($BM$4:$BM$60&lt;&gt;0,ROW($BM$4:$BM$60)-3),ROW(BN20))))</f>
        <v/>
      </c>
      <c r="BO86" s="1321" t="str">
        <f t="array" ref="BO86">IF( ISERROR(INDEX($A$4:$A$60,SMALL(IF($BO$4:$BO$60&lt;&gt;0,ROW($BO$4:$BO$60)-4),ROW(BO20)))),"",INDEX($A$4:$A$60,SMALL(IF($BO$4:$BO$60&lt;&gt;0,ROW($BO$5:$BO$60)-4),ROW(BO20))))</f>
        <v/>
      </c>
      <c r="BP86" s="1321" t="str">
        <f t="array" ref="BP86">IF(ISERROR(INDEX($BO$4:$BO$60,SMALL(IF($BO$4:$BO$60&lt;&gt;0,ROW($BO$4:$BO$60)-3),ROW(BP20)))),"",INDEX($BO$4:$BO$60,SMALL(IF($BO$4:$BO$60&lt;&gt;0,ROW($BO$4:$BO$60)-3),ROW(BP20))))</f>
        <v/>
      </c>
      <c r="BQ86" s="1321" t="str">
        <f t="array" ref="BQ86">IF( ISERROR(INDEX($A$4:$A$60,SMALL(IF($BQ$4:$BQ$60&lt;&gt;0,ROW($BQ$4:$BQ$60)-4),ROW(BQ20)))),"",INDEX($A$4:$A$60,SMALL(IF($BQ$4:$BQ$60&lt;&gt;0,ROW($BQ$5:$BQ$60)-4),ROW(BQ20))))</f>
        <v/>
      </c>
      <c r="BR86" s="1321" t="str">
        <f t="array" ref="BR86">IF(ISERROR(INDEX($BQ$4:$BQ$60,SMALL(IF($BQ$4:$BQ$60&lt;&gt;0,ROW($BQ$4:$BQ$60)-3),ROW(BR20)))),"",INDEX($BQ$4:$BQ$60,SMALL(IF($BQ$4:$BQ$60&lt;&gt;0,ROW($BQ$4:$BQ$60)-3),ROW(BR20))))</f>
        <v/>
      </c>
      <c r="BS86" s="1321" t="str">
        <f t="array" ref="BS86">IF( ISERROR(INDEX($A$4:$A$60,SMALL(IF($BS$4:$BS$60&lt;&gt;0,ROW($BS$4:$BS$60)-4),ROW(BS20)))),"",INDEX($A$4:$A$60,SMALL(IF($BS$4:$BS$60&lt;&gt;0,ROW($BS$5:$BS$60)-4),ROW(BS20))))</f>
        <v/>
      </c>
      <c r="BT86" s="1321" t="str">
        <f t="array" ref="BT86">IF(ISERROR(INDEX($BS$4:$BS$60,SMALL(IF($BS$4:$BS$60&lt;&gt;0,ROW($BS$4:$BS$60)-3),ROW(BT20)))),"",INDEX($BS$4:$BS$60,SMALL(IF($BS$4:$BS$60&lt;&gt;0,ROW($BS$4:$BS$60)-3),ROW(BT20))))</f>
        <v/>
      </c>
      <c r="BU86" s="1321" t="str">
        <f t="array" ref="BU86">IF( ISERROR(INDEX($A$4:$A$60,SMALL(IF($BU$4:$BU$60&lt;&gt;0,ROW($BU$4:$BU$60)-4),ROW(BU20)))),"",INDEX($A$4:$A$60,SMALL(IF($BU$4:$BU$60&lt;&gt;0,ROW($BU$5:$BU$60)-4),ROW(BU20))))</f>
        <v/>
      </c>
      <c r="BV86" s="1321" t="str">
        <f t="array" ref="BV86">IF(ISERROR(INDEX($BQ$4:$BQ$60,SMALL(IF($BU$4:$BU$60&lt;&gt;0,ROW($BU$4:$BU$60)-3),ROW(BV20)))),"",INDEX($BU$4:$BU$60,SMALL(IF($BU$4:$BU$60&lt;&gt;0,ROW($BU$4:$BU$60)-3),ROW(BV20))))</f>
        <v/>
      </c>
      <c r="BW86" s="1321" t="str">
        <f t="array" ref="BW86">IF( ISERROR(INDEX($A$4:$A$60,SMALL(IF($BW$4:$BW$60&lt;&gt;0,ROW($BW$4:$BW$60)-4),ROW(BW20)))),"",INDEX($A$4:$A$60,SMALL(IF($BW$4:$BW$60&lt;&gt;0,ROW($BW$5:$BW$60)-4),ROW(BW20))))</f>
        <v/>
      </c>
      <c r="BX86" s="1321" t="str">
        <f t="array" ref="BX86">IF(ISERROR(INDEX($BW$4:$BW$60,SMALL(IF($BW$4:$BW$60&lt;&gt;0,ROW($BW$4:$BW$60)-3),ROW(BX20)))),"",INDEX($BW$4:$BW$60,SMALL(IF($BW$4:$BW$60&lt;&gt;0,ROW($BW$4:$BW$60)-3),ROW(BX20))))</f>
        <v/>
      </c>
      <c r="BY86" s="1321" t="str">
        <f t="array" ref="BY86">IF( ISERROR(INDEX($A$4:$A$60,SMALL(IF($BY$4:$BY$60&lt;&gt;0,ROW($BY$4:$BY$60)-4),ROW(BY20)))),"",INDEX($A$4:$A$60,SMALL(IF($BY$4:$BY$60&lt;&gt;0,ROW($BY$5:$BY$60)-4),ROW(BY20))))</f>
        <v/>
      </c>
      <c r="BZ86" s="1321" t="str">
        <f t="array" ref="BZ86">IF(ISERROR(INDEX($BY$4:$BY$60,SMALL(IF($BY$4:$BY$60&lt;&gt;0,ROW($BY$4:$BY$60)-3),ROW(BZ20)))),"",INDEX($BY$4:$BY$60,SMALL(IF($BY$4:$BY$60&lt;&gt;0,ROW($BY$4:$BY$60)-3),ROW(BZ20))))</f>
        <v/>
      </c>
      <c r="CA86" s="1321" t="str">
        <f t="array" ref="CA86">IF( ISERROR(INDEX($A$4:$A$60,SMALL(IF($CA$4:$CA$60&lt;&gt;0,ROW($CA$4:$CA$60)-4),ROW(CA20)))),"",INDEX($A$4:$A$60,SMALL(IF($CA$4:$CA$60&lt;&gt;0,ROW($CA$5:$CA$60)-4),ROW(CA20))))</f>
        <v/>
      </c>
      <c r="CB86" s="1321" t="str">
        <f t="array" ref="CB86">IF(ISERROR(INDEX($CA$4:$CA$60,SMALL(IF($CA$4:$CA$60&lt;&gt;0,ROW($CA$4:$CA$60)-3),ROW(CB20)))),"",INDEX($CA$4:$CA$60,SMALL(IF($CA$4:$CA$60&lt;&gt;0,ROW($CA$4:$CA$60)-3),ROW(CB20))))</f>
        <v/>
      </c>
      <c r="CC86" s="1321" t="str">
        <f t="array" ref="CC86">IF( ISERROR(INDEX($A$4:$A$60,SMALL(IF($CC$4:$CC$60&lt;&gt;0,ROW($CC$4:$CC$60)-4),ROW(CC20)))),"",INDEX($A$4:$A$60,SMALL(IF($CC$4:$CC$60&lt;&gt;0,ROW($CC$5:$CC$60)-4),ROW(CC20))))</f>
        <v/>
      </c>
      <c r="CD86" s="1321" t="str">
        <f t="array" ref="CD86">IF(ISERROR(INDEX($CC$4:$CC$60,SMALL(IF($CC$4:$CC$60&lt;&gt;0,ROW($CC$4:$CC$60)-3),ROW(CD20)))),"",INDEX($CC$4:$CC$60,SMALL(IF($CC$4:$CC$60&lt;&gt;0,ROW($CC$4:$CC$60)-3),ROW(CD20))))</f>
        <v/>
      </c>
      <c r="CE86" s="1321" t="str">
        <f t="array" ref="CE86">IF( ISERROR(INDEX($A$4:$A$60,SMALL(IF($CE$4:$CE$60&lt;&gt;0,ROW($CE$4:$CE$60)-4),ROW(CE20)))),"",INDEX($A$4:$A$60,SMALL(IF($CE$4:$CE$60&lt;&gt;0,ROW($CE$5:$CE$60)-4),ROW(CE20))))</f>
        <v/>
      </c>
      <c r="CF86" s="1321" t="str">
        <f t="array" ref="CF86">IF(ISERROR(INDEX($CE$4:$CE$60,SMALL(IF($CE$4:$CE$60&lt;&gt;0,ROW($CE$4:$CE$60)-3),ROW(CF20)))),"",INDEX($CE$4:$CE$60,SMALL(IF($CE$4:$CE$60&lt;&gt;0,ROW($CE$4:$CE$60)-3),ROW(CF20))))</f>
        <v/>
      </c>
      <c r="CG86" s="1321" t="str">
        <f t="array" ref="CG86">IF( ISERROR(INDEX($A$4:$A$60,SMALL(IF($CG$4:$CG$60&lt;&gt;0,ROW($CG$4:$CG$60)-4),ROW(CG20)))),"",INDEX($A$4:$A$60,SMALL(IF($CG$4:$CG$60&lt;&gt;0,ROW($CG$5:$CG$60)-4),ROW(CG20))))</f>
        <v/>
      </c>
      <c r="CH86" s="1321" t="str">
        <f t="array" ref="CH86">IF(ISERROR(INDEX($CG$4:$CG$60,SMALL(IF($CG$4:$CG$60&lt;&gt;0,ROW($CG$4:$CG$60)-3),ROW(CH20)))),"",INDEX($CG$4:$CG$60,SMALL(IF($CG$4:$CG$60&lt;&gt;0,ROW($CG$4:$CG$60)-3),ROW(CH20))))</f>
        <v/>
      </c>
      <c r="CI86" s="1321" t="str">
        <f t="array" ref="CI86">IF( ISERROR(INDEX($A$4:$A$60,SMALL(IF($CA$4:$CA$60&lt;&gt;0,ROW($CA$4:$CA$60)-4),ROW(CI20)))),"",INDEX($A$4:$A$60,SMALL(IF($CA$4:$CA$60&lt;&gt;0,ROW($CA$5:$CA$60)-4),ROW(CI20))))</f>
        <v/>
      </c>
      <c r="CJ86" s="1321" t="str">
        <f t="array" ref="CJ86">IF(ISERROR(INDEX($CA$4:$CA$60,SMALL(IF($CA$4:$CA$60&lt;&gt;0,ROW($CA$4:$CA$60)-3),ROW(CJ20)))),"",INDEX($CA$4:$CA$60,SMALL(IF($CA$4:$CA$60&lt;&gt;0,ROW($CA$4:$CA$60)-3),ROW(CJ20))))</f>
        <v/>
      </c>
      <c r="CK86" s="1321" t="str">
        <f t="array" ref="CK86">IF( ISERROR(INDEX($A$4:$A$60,SMALL(IF($CK$4:$CK$60&lt;&gt;0,ROW($CK$4:$CK$60)-4),ROW(CK20)))),"",INDEX($A$4:$A$60,SMALL(IF($CK$4:$CK$60&lt;&gt;0,ROW($CK$5:$CK$60)-4),ROW(CK20))))</f>
        <v/>
      </c>
      <c r="CL86" s="1321" t="str">
        <f t="array" ref="CL86">IF(ISERROR(INDEX($CK$4:$CK$60,SMALL(IF($CK$4:$CK$60&lt;&gt;0,ROW($CK$4:$CK$60)-3),ROW(CL20)))),"",INDEX($CK$4:$CK$60,SMALL(IF($CK$4:$CK$60&lt;&gt;0,ROW($CK$4:$CK$60)-3),ROW(CL20))))</f>
        <v/>
      </c>
      <c r="CM86" s="1321" t="str">
        <f t="array" ref="CM86">IF( ISERROR(INDEX($A$4:$A$60,SMALL(IF($CM$4:$CM$60&lt;&gt;0,ROW($CM$4:$CM$60)-4),ROW(CM20)))),"",INDEX($A$4:$A$60,SMALL(IF($CM$4:$CM$60&lt;&gt;0,ROW($CM$5:$CM$60)-4),ROW(CM20))))</f>
        <v/>
      </c>
      <c r="CN86" s="1321" t="str">
        <f t="array" ref="CN86">IF(ISERROR(INDEX($CM$4:$CM$60,SMALL(IF($CM$4:$CM$60&lt;&gt;0,ROW($CM$4:$CM$60)-3),ROW(CN20)))),"",INDEX($CM$4:$CM$60,SMALL(IF($CM$4:$CM$60&lt;&gt;0,ROW($CM$4:$CM$60)-3),ROW(CN20))))</f>
        <v/>
      </c>
      <c r="CO86" s="1321" t="str">
        <f t="array" ref="CO86">IF( ISERROR(INDEX($A$4:$A$60,SMALL(IF($CO$4:$CO$60&lt;&gt;0,ROW($CO$4:$CO$60)-4),ROW(CO20)))),"",INDEX($A$4:$A$60,SMALL(IF($CO$4:$CO$60&lt;&gt;0,ROW($CO$5:$CO$60)-4),ROW(CO20))))</f>
        <v/>
      </c>
      <c r="CP86" s="1321" t="str">
        <f t="array" ref="CP86">IF(ISERROR(INDEX($CO$4:$CO$60,SMALL(IF($CO$4:$CO$60&lt;&gt;0,ROW($CO$4:$CO$60)-3),ROW(CP20)))),"",INDEX($CO$4:$CO$60,SMALL(IF($CO$4:$CO$60&lt;&gt;0,ROW($CO$4:$CO$60)-3),ROW(CP20))))</f>
        <v/>
      </c>
      <c r="CQ86" s="1321" t="str">
        <f t="array" ref="CQ86">IF( ISERROR(INDEX($A$4:$A$60,SMALL(IF($CQ$4:$CQ$60&lt;&gt;0,ROW($CQ$4:$CQ$60)-4),ROW(CQ20)))),"",INDEX($A$4:$A$60,SMALL(IF($CQ$4:$CQ$60&lt;&gt;0,ROW($CQ$5:$CQ$60)-4),ROW(CQ20))))</f>
        <v/>
      </c>
      <c r="CR86" s="1321" t="str">
        <f t="array" ref="CR86">IF(ISERROR(INDEX($CQ$4:$CQ$60,SMALL(IF($CQ$4:$CQ$60&lt;&gt;0,ROW($CQ$4:$CQ$60)-3),ROW(CR20)))),"",INDEX($CQ$4:$CQ$60,SMALL(IF($CQ$4:$CQ$60&lt;&gt;0,ROW($CQ$4:$CQ$60)-3),ROW(CR20))))</f>
        <v/>
      </c>
      <c r="CS86" s="1321" t="str">
        <f t="array" ref="CS86">IF( ISERROR(INDEX($A$4:$A$60,SMALL(IF($CS$4:$CS$60&lt;&gt;0,ROW($CS$4:$CS$60)-4),ROW(CS20)))),"",INDEX($A$4:$A$60,SMALL(IF($CS$4:$CS$60&lt;&gt;0,ROW($CS$5:$CS$60)-4),ROW(CS20))))</f>
        <v/>
      </c>
      <c r="CT86" s="1321" t="str">
        <f t="array" ref="CT86">IF(ISERROR(INDEX($CS$4:$CS$60,SMALL(IF($CS$4:$CS$60&lt;&gt;0,ROW($CS$4:$CS$60)-3),ROW(CT20)))),"",INDEX($CS$4:$CS$60,SMALL(IF($CS$4:$CS$60&lt;&gt;0,ROW($CS$4:$CS$60)-3),ROW(CT20))))</f>
        <v/>
      </c>
      <c r="CU86" s="1321" t="str">
        <f t="array" ref="CU86">IF( ISERROR(INDEX($A$4:$A$60,SMALL(IF($CU$4:$CU$60&lt;&gt;0,ROW($CU$4:$CU$60)-4),ROW(CU20)))),"",INDEX($A$4:$A$60,SMALL(IF($CU$4:$CU$60&lt;&gt;0,ROW($CU$5:$CU$60)-4),ROW(CU20))))</f>
        <v/>
      </c>
      <c r="CV86" s="1321" t="str">
        <f t="array" ref="CV86">IF(ISERROR(INDEX($CU$4:$CU$60,SMALL(IF($CU$4:$CU$60&lt;&gt;0,ROW($CU$4:$CU$60)-3),ROW(CV20)))),"",INDEX($CU$4:$CU$60,SMALL(IF($CU$4:$CU$60&lt;&gt;0,ROW($CU$4:$CU$60)-3),ROW(CV20))))</f>
        <v/>
      </c>
      <c r="CW86" s="1321" t="str">
        <f t="array" ref="CW86">IF( ISERROR(INDEX($A$4:$A$60,SMALL(IF($CW$4:$CW$60&lt;&gt;0,ROW($CW$4:$CW$60)-4),ROW(CW20)))),"",INDEX($A$4:$A$60,SMALL(IF($CW$4:$CW$60&lt;&gt;0,ROW($CW$5:$CW$60)-4),ROW(CW20))))</f>
        <v/>
      </c>
      <c r="CX86" s="1321" t="str">
        <f t="array" ref="CX86">IF(ISERROR(INDEX($CW$4:$CW$60,SMALL(IF($CW$4:$CW$60&lt;&gt;0,ROW($CW$4:$CW$60)-3),ROW(CX20)))),"",INDEX($CW$4:$CW$60,SMALL(IF($CW$4:$CW$60&lt;&gt;0,ROW($CW$4:$CW$60)-3),ROW(CX20))))</f>
        <v/>
      </c>
      <c r="CY86" s="1321" t="str">
        <f t="array" ref="CY86">IF( ISERROR(INDEX($A$4:$A$60,SMALL(IF($CY$4:$CY$60&lt;&gt;0,ROW($CY$4:$CY$60)-4),ROW(CY20)))),"",INDEX($A$4:$A$60,SMALL(IF($CY$4:$CY$60&lt;&gt;0,ROW($CY$5:$CY$60)-4),ROW(CY20))))</f>
        <v/>
      </c>
      <c r="CZ86" s="1321" t="str">
        <f t="array" ref="CZ86">IF(ISERROR(INDEX($CY$4:$CY$60,SMALL(IF($CY$4:$CY$60&lt;&gt;0,ROW($CY$4:$CY$60)-3),ROW(CZ20)))),"",INDEX($CY$4:$CY$60,SMALL(IF($CY$4:$CY$60&lt;&gt;0,ROW($CY$4:$CY$60)-3),ROW(CZ20))))</f>
        <v/>
      </c>
      <c r="DA86" s="1321"/>
      <c r="DB86" s="1321"/>
      <c r="DC86" s="1321"/>
      <c r="DD86" s="1321"/>
      <c r="DE86" s="1321"/>
      <c r="DF86" s="1321"/>
      <c r="DG86" s="1321"/>
      <c r="DH86" s="1321"/>
      <c r="DI86" s="1321"/>
      <c r="DJ86" s="1321"/>
      <c r="DK86" s="1321"/>
      <c r="DL86" s="1321"/>
      <c r="DM86" s="1321"/>
      <c r="DN86" s="1321"/>
      <c r="DO86" s="1321"/>
      <c r="DP86" s="1321"/>
      <c r="DQ86" s="1321"/>
      <c r="DR86" s="1321"/>
      <c r="DS86" s="1321"/>
      <c r="DT86" s="1321"/>
      <c r="DU86" s="1321"/>
      <c r="DV86" s="1321"/>
      <c r="DW86" s="1321"/>
      <c r="DX86" s="1321"/>
      <c r="DY86" s="1321"/>
      <c r="DZ86" s="1321"/>
      <c r="EA86" s="1321"/>
      <c r="EB86" s="1321"/>
      <c r="EC86" s="1321"/>
      <c r="ED86" s="1321"/>
      <c r="EE86" s="1321"/>
      <c r="EF86" s="1321"/>
      <c r="EG86" s="1321"/>
      <c r="EH86" s="1321"/>
      <c r="EI86" s="1321"/>
      <c r="EJ86" s="1321"/>
      <c r="EK86" s="1321"/>
      <c r="EL86" s="1321"/>
      <c r="EM86" s="1321"/>
      <c r="EN86" s="1321"/>
      <c r="EO86" s="1321"/>
      <c r="EP86" s="1321"/>
      <c r="EQ86" s="1321"/>
      <c r="ER86" s="1321"/>
      <c r="ES86" s="1321"/>
      <c r="ET86" s="1321"/>
      <c r="EU86" s="1321"/>
      <c r="EV86" s="1321"/>
      <c r="EW86" s="1321"/>
      <c r="EX86" s="1321"/>
      <c r="EY86" s="1321"/>
      <c r="EZ86" s="1321"/>
      <c r="FA86" s="1321"/>
      <c r="FB86" s="1321"/>
      <c r="FC86" s="1321"/>
      <c r="FD86" s="1321"/>
      <c r="FE86" s="1321"/>
      <c r="FF86" s="1321"/>
      <c r="FG86" s="1321"/>
      <c r="FH86" s="1321"/>
      <c r="FI86" s="1321"/>
      <c r="FJ86" s="1321"/>
      <c r="FK86" s="1321"/>
      <c r="FL86" s="1321"/>
      <c r="FM86" s="1321"/>
      <c r="FN86" s="1321"/>
      <c r="FO86" s="1321"/>
      <c r="FP86" s="1321"/>
      <c r="FQ86" s="1321"/>
      <c r="FR86" s="1321"/>
      <c r="FS86" s="1321"/>
      <c r="FT86" s="1321"/>
      <c r="FU86" s="1321"/>
      <c r="FV86" s="1321"/>
      <c r="FW86" s="1321"/>
      <c r="FX86" s="1321"/>
      <c r="FY86" s="1321"/>
      <c r="FZ86" s="1321"/>
      <c r="GA86" s="1321"/>
      <c r="GB86" s="1321"/>
      <c r="GC86" s="1321"/>
      <c r="GD86" s="1321"/>
      <c r="GE86" s="1321"/>
      <c r="GF86" s="1321"/>
      <c r="GG86" s="1321"/>
      <c r="GH86" s="1321"/>
      <c r="GI86" s="1321"/>
      <c r="GJ86" s="1321"/>
      <c r="GK86" s="1321"/>
      <c r="GL86" s="1321"/>
      <c r="GM86" s="1321"/>
      <c r="GN86" s="1321"/>
      <c r="GO86" s="1321"/>
      <c r="GP86" s="1321"/>
      <c r="GQ86" s="1321"/>
      <c r="GR86" s="1321"/>
      <c r="GS86" s="1321"/>
      <c r="GT86" s="1321"/>
      <c r="GU86" s="1321"/>
      <c r="GV86" s="1321"/>
      <c r="GW86" s="1321"/>
      <c r="GX86" s="1321"/>
      <c r="GY86" s="1321"/>
      <c r="GZ86" s="1321"/>
    </row>
    <row r="87" spans="3:208" hidden="1">
      <c r="C87" s="1321" t="str">
        <f t="array" ref="C87">IF( ISERROR(INDEX($A$4:$A$60,SMALL(IF($C$4:$C$60&lt;&gt;0,ROW($C$4:$C$60)-4),ROW(A21)))),"",INDEX($A$4:$A$60,SMALL(IF($C$4:$C$60&lt;&gt;0,ROW($C$5:$C$60)-4),ROW(A21))))</f>
        <v/>
      </c>
      <c r="D87" s="1321" t="str">
        <f t="array" ref="D87">IF(ISERROR(INDEX($C$4:$C$60,SMALL(IF($C$4:$C$60&lt;&gt;0,ROW($C$4:$C$60)-3),ROW(D21)))),"",INDEX($C$4:$C$60,SMALL(IF($C$4:$C$60&lt;&gt;0,ROW($C$4:$C$60)-3),ROW(D21))))</f>
        <v/>
      </c>
      <c r="E87" s="1321" t="str">
        <f t="array" ref="E87">IF( ISERROR(INDEX($A$4:$A$60,SMALL(IF($E$4:$E$60&lt;&gt;0,ROW($E$4:$E$60)-4),ROW(E21)))),"",INDEX($A$4:$A$60,SMALL(IF($E$4:$E$60&lt;&gt;0,ROW($E$5:$E$60)-4),ROW(E21))))</f>
        <v/>
      </c>
      <c r="F87" s="1321" t="str">
        <f t="array" ref="F87">IF(ISERROR(INDEX($E$4:$E$60,SMALL(IF($E$4:$E$60&lt;&gt;0,ROW($E$4:$E$60)-3),ROW(F21)))),"",INDEX($E$4:$E$60,SMALL(IF($E$4:$E$60&lt;&gt;0,ROW($E$4:$E$60)-3),ROW(F21))))</f>
        <v/>
      </c>
      <c r="G87" s="1321" t="str">
        <f t="array" ref="G87">IF( ISERROR(INDEX($A$4:$A$60,SMALL(IF($G$4:$G$60&lt;&gt;0,ROW($G$4:$G$60)-4),ROW(G21)))),"",INDEX($A$4:$A$60,SMALL(IF($G$4:$G$60&lt;&gt;0,ROW($G$5:$G$60)-4),ROW(G21))))</f>
        <v/>
      </c>
      <c r="H87" s="1321" t="str">
        <f t="array" ref="H87">IF(ISERROR(INDEX($E$4:$E$60,SMALL(IF($G$4:$G$60&lt;&gt;0,ROW($G$4:$G$60)-3),ROW(H21)))),"",INDEX($G$4:$G$60,SMALL(IF($G$4:$G$60&lt;&gt;0,ROW($G$4:$G$60)-3),ROW(H21))))</f>
        <v/>
      </c>
      <c r="I87" s="1321" t="str">
        <f t="array" ref="I87">IF( ISERROR(INDEX($A$4:$A$60,SMALL(IF($I$4:$I$60&lt;&gt;0,ROW($I$4:$I$60)-4),ROW(I21)))),"",INDEX($A$4:$A$60,SMALL(IF($I$4:$I$60&lt;&gt;0,ROW($I$5:$I$60)-4),ROW(I21))))</f>
        <v/>
      </c>
      <c r="J87" s="1321" t="str">
        <f t="array" ref="J87">IF(ISERROR(INDEX($I$4:$I$60,SMALL(IF($I$4:$I$60&lt;&gt;0,ROW($I$4:$I$60)-3),ROW(J21)))),"",INDEX($I$4:$I$60,SMALL(IF($I$4:$I$60&lt;&gt;0,ROW($I$4:$I$60)-3),ROW(J21))))</f>
        <v/>
      </c>
      <c r="K87" s="1321" t="str">
        <f t="array" ref="K87">IF( ISERROR(INDEX($A$4:$A$60,SMALL(IF($K$4:$K$60&lt;&gt;0,ROW($K$4:$K$60)-4),ROW(K21)))),"",INDEX($A$4:$A$60,SMALL(IF($K$4:$K$60&lt;&gt;0,ROW($K$5:$K$60)-4),ROW(K21))))</f>
        <v/>
      </c>
      <c r="L87" s="1321" t="str">
        <f t="array" ref="L87">IF(ISERROR(INDEX($K$4:$K$60,SMALL(IF($K$4:$K$60&lt;&gt;0,ROW($K$4:$K$60)-3),ROW(L21)))),"",INDEX($K$4:$K$60,SMALL(IF($K$4:$K$60&lt;&gt;0,ROW($K$4:$K$60)-3),ROW(L21))))</f>
        <v/>
      </c>
      <c r="M87" s="1321" t="str">
        <f t="array" ref="M87">IF( ISERROR(INDEX($A$4:$A$60,SMALL(IF($M$4:$M$60&lt;&gt;0,ROW($M$4:$M$60)-4),ROW(M21)))),"",INDEX($A$4:$A$60,SMALL(IF($M$4:$M$60&lt;&gt;0,ROW($M$5:$M$60)-4),ROW(M21))))</f>
        <v/>
      </c>
      <c r="N87" s="1321" t="str">
        <f t="array" ref="N87">IF(ISERROR(INDEX($M$4:$M$60,SMALL(IF($M$4:$M$60&lt;&gt;0,ROW($M$4:$M$60)-3),ROW(N21)))),"",INDEX($M$4:$M$60,SMALL(IF($M$4:$M$60&lt;&gt;0,ROW($M$4:$M$60)-3),ROW(N21))))</f>
        <v/>
      </c>
      <c r="O87" s="1321" t="str">
        <f t="array" ref="O87">IF( ISERROR(INDEX($A$4:$A$60,SMALL(IF($O$4:$O$60&lt;&gt;0,ROW($O$4:$O$60)-4),ROW(O21)))),"",INDEX($A$4:$A$60,SMALL(IF($O$4:$O$60&lt;&gt;0,ROW($O$5:$O$60)-4),ROW(O21))))</f>
        <v/>
      </c>
      <c r="P87" s="1321" t="str">
        <f t="array" ref="P87">IF(ISERROR(INDEX($O$4:$O$60,SMALL(IF($O$4:$O$60&lt;&gt;0,ROW($O$4:$O$60)-3),ROW(P21)))),"",INDEX($O$4:$O$60,SMALL(IF($O$4:$O$60&lt;&gt;0,ROW($O$4:$O$60)-3),ROW(P21))))</f>
        <v/>
      </c>
      <c r="Q87" s="1321" t="str">
        <f t="array" ref="Q87">IF( ISERROR(INDEX($A$4:$A$60,SMALL(IF($Q$4:$Q$60&lt;&gt;0,ROW($Q$4:$Q$60)-4),ROW(Q21)))),"",INDEX($A$4:$A$60,SMALL(IF($Q$4:$Q$60&lt;&gt;0,ROW($Q$5:$Q$60)-4),ROW(Q21))))</f>
        <v/>
      </c>
      <c r="R87" s="1321" t="str">
        <f t="array" ref="R87">IF(ISERROR(INDEX($Q$4:$Q$60,SMALL(IF($Q$4:$Q$60&lt;&gt;0,ROW($Q$4:$Q$60)-3),ROW(R21)))),"",INDEX($Q$4:$Q$60,SMALL(IF($Q$4:$Q$60&lt;&gt;0,ROW($Q$4:$Q$60)-3),ROW(R21))))</f>
        <v/>
      </c>
      <c r="S87" s="1321" t="str">
        <f t="array" ref="S87">IF( ISERROR(INDEX($A$4:$A$60,SMALL(IF($S$4:$S$60&lt;&gt;0,ROW($S$4:$S$60)-4),ROW(S21)))),"",INDEX($A$4:$A$60,SMALL(IF($S$4:$S$60&lt;&gt;0,ROW($S$5:$S$60)-4),ROW(S21))))</f>
        <v/>
      </c>
      <c r="T87" s="1321" t="str">
        <f t="array" ref="T87">IF(ISERROR(INDEX($S$4:$S$60,SMALL(IF($S$4:$S$60&lt;&gt;0,ROW($S$4:$S$60)-3),ROW(T21)))),"",INDEX($S$4:$S$60,SMALL(IF($S$4:$S$60&lt;&gt;0,ROW($S$4:$S$60)-3),ROW(T21))))</f>
        <v/>
      </c>
      <c r="U87" s="1321" t="str">
        <f t="array" ref="U87">IF( ISERROR(INDEX($A$4:$A$60,SMALL(IF($U$4:$U$60&lt;&gt;0,ROW($U$4:$U$60)-4),ROW(U21)))),"",INDEX($A$4:$A$60,SMALL(IF($U$4:$U$60&lt;&gt;0,ROW($U$5:$U$60)-4),ROW(U21))))</f>
        <v/>
      </c>
      <c r="V87" s="1321" t="str">
        <f t="array" ref="V87">IF(ISERROR(INDEX($U$4:$U$60,SMALL(IF($U$4:$U$60&lt;&gt;0,ROW($U$4:$U$60)-3),ROW(V21)))),"",INDEX($U$4:$U$60,SMALL(IF($U$4:$U$60&lt;&gt;0,ROW($U$4:$U$60)-3),ROW(V21))))</f>
        <v/>
      </c>
      <c r="W87" s="1321" t="str">
        <f t="array" ref="W87">IF( ISERROR(INDEX($A$4:$A$60,SMALL(IF($W$4:$W$60&lt;&gt;0,ROW($W$4:$W$60)-4),ROW(W21)))),"",INDEX($A$4:$A$60,SMALL(IF($W$4:$W$60&lt;&gt;0,ROW($W$5:$W$60)-4),ROW(W21))))</f>
        <v/>
      </c>
      <c r="X87" s="1321" t="str">
        <f t="array" ref="X87">IF(ISERROR(INDEX($W$4:$W$60,SMALL(IF($W$4:$W$60&lt;&gt;0,ROW($W$4:$W$60)-3),ROW(X21)))),"",INDEX($W$4:$W$60,SMALL(IF($W$4:$W$60&lt;&gt;0,ROW($W$4:$W$60)-3),ROW(X21))))</f>
        <v/>
      </c>
      <c r="Y87" s="1321" t="str">
        <f t="array" ref="Y87">IF( ISERROR(INDEX($A$4:$A$60,SMALL(IF($Y$4:$Y$60&lt;&gt;0,ROW($Y$4:$Y$60)-4),ROW(Y21)))),"",INDEX($A$4:$A$60,SMALL(IF($Y$4:$Y$60&lt;&gt;0,ROW($Y$5:$Y$60)-4),ROW(Y21))))</f>
        <v/>
      </c>
      <c r="Z87" s="1321" t="str">
        <f t="array" ref="Z87">IF(ISERROR(INDEX($Y$4:$Y$60,SMALL(IF($Y$4:$Y$60&lt;&gt;0,ROW($Y$4:$Y$60)-3),ROW(Z21)))),"",INDEX($Y$4:$Y$60,SMALL(IF($Y$4:$Y$60&lt;&gt;0,ROW($Y$4:$Y$60)-3),ROW(Z21))))</f>
        <v/>
      </c>
      <c r="AA87" s="1321" t="str">
        <f t="array" ref="AA87">IF( ISERROR(INDEX($A$4:$A$60,SMALL(IF($AA$4:$AA$60&lt;&gt;0,ROW($AA$4:$AA$60)-4),ROW(AA21)))),"",INDEX($A$4:$A$60,SMALL(IF($AA$4:$AA$60&lt;&gt;0,ROW($AA$5:$AA$60)-4),ROW(AA21))))</f>
        <v/>
      </c>
      <c r="AB87" s="1321" t="str">
        <f t="array" ref="AB87">IF(ISERROR(INDEX($AA$4:$AA$60,SMALL(IF($AA$4:$AA$60&lt;&gt;0,ROW($AA$4:$AA$60)-3),ROW(AB21)))),"",INDEX($AA$4:$AA$60,SMALL(IF($AA$4:$AA$60&lt;&gt;0,ROW($AA$4:$AA$60)-3),ROW(AB21))))</f>
        <v/>
      </c>
      <c r="AC87" s="1321" t="str">
        <f t="array" ref="AC87">IF( ISERROR(INDEX($A$4:$A$60,SMALL(IF($AC$4:$AC$60&lt;&gt;0,ROW($AC$4:$AC$60)-4),ROW(AC21)))),"",INDEX($A$4:$A$60,SMALL(IF($AC$4:$AC$60&lt;&gt;0,ROW($AC$5:$AC$60)-4),ROW(AC21))))</f>
        <v/>
      </c>
      <c r="AD87" s="1321" t="str">
        <f t="array" ref="AD87">IF(ISERROR(INDEX($AC$4:$AC$60,SMALL(IF($AC$4:$AC$60&lt;&gt;0,ROW($AC$4:$AC$60)-3),ROW(AD21)))),"",INDEX($AC$4:$AC$60,SMALL(IF($AC$4:$AC$60&lt;&gt;0,ROW($AC$4:$AC$60)-3),ROW(AD21))))</f>
        <v/>
      </c>
      <c r="AE87" s="1321" t="str">
        <f t="array" ref="AE87">IF( ISERROR(INDEX($A$4:$A$60,SMALL(IF($AE$4:$AE$60&lt;&gt;0,ROW($AE$4:$AE$60)-4),ROW(AE21)))),"",INDEX($A$4:$A$60,SMALL(IF($AE$4:$AE$60&lt;&gt;0,ROW($AE$5:$AE$60)-4),ROW(AE21))))</f>
        <v/>
      </c>
      <c r="AF87" s="1321" t="str">
        <f t="array" ref="AF87">IF(ISERROR(INDEX($AE$4:$AE$60,SMALL(IF($AE$4:$AE$60&lt;&gt;0,ROW($AE$4:$AE$60)-3),ROW(AF21)))),"",INDEX($AE$4:$AE$60,SMALL(IF($AE$4:$AE$60&lt;&gt;0,ROW($AE$4:$AE$60)-3),ROW(AF21))))</f>
        <v/>
      </c>
      <c r="AG87" s="1321" t="str">
        <f t="array" ref="AG87">IF( ISERROR(INDEX($A$4:$A$60,SMALL(IF($AG$4:$AG$60&lt;&gt;0,ROW($AG$4:$AG$60)-4),ROW(AG21)))),"",INDEX($A$4:$A$60,SMALL(IF($AG$4:$AG$60&lt;&gt;0,ROW($AG$5:$AG$60)-4),ROW(AG21))))</f>
        <v/>
      </c>
      <c r="AH87" s="1321" t="str">
        <f t="array" ref="AH87">IF(ISERROR(INDEX($AG$4:$AG$60,SMALL(IF($AG$4:$AG$60&lt;&gt;0,ROW($AG$4:$AG$60)-3),ROW(AH21)))),"",INDEX($AG$4:$AG$60,SMALL(IF($AG$4:$AG$60&lt;&gt;0,ROW($AG$4:$AG$60)-3),ROW(AH21))))</f>
        <v/>
      </c>
      <c r="AI87" s="1321" t="str">
        <f t="array" ref="AI87">IF( ISERROR(INDEX($A$4:$A$60,SMALL(IF($AI$4:$AI$60&lt;&gt;0,ROW($AI$4:$AI$60)-4),ROW(AI21)))),"",INDEX($A$4:$A$60,SMALL(IF($AI$4:$AI$60&lt;&gt;0,ROW($AI$5:$AI$60)-4),ROW(AI21))))</f>
        <v/>
      </c>
      <c r="AJ87" s="1321" t="str">
        <f t="array" ref="AJ87">IF(ISERROR(INDEX($E$4:$E$60,SMALL(IF($AI$4:$AI$60&lt;&gt;0,ROW($AI$4:$AI$60)-3),ROW(AJ21)))),"",INDEX($AI$4:$AI$60,SMALL(IF($AI$4:$AI$60&lt;&gt;0,ROW($AI$4:$AI$60)-3),ROW(AJ21))))</f>
        <v/>
      </c>
      <c r="AK87" s="1321" t="str">
        <f t="array" ref="AK87">IF( ISERROR(INDEX($A$4:$A$60,SMALL(IF($AK$4:$AK$60&lt;&gt;0,ROW($AK$4:$AK$60)-4),ROW(AK21)))),"",INDEX($A$4:$A$60,SMALL(IF($AK$4:$AK$60&lt;&gt;0,ROW($AK$5:$AK$60)-4),ROW(AK21))))</f>
        <v/>
      </c>
      <c r="AL87" s="1321" t="str">
        <f t="array" ref="AL87">IF(ISERROR(INDEX($AK$4:$AK$60,SMALL(IF($AK$4:$AK$60&lt;&gt;0,ROW($AK$4:$AK$60)-3),ROW(AL21)))),"",INDEX($AK$4:$AK$60,SMALL(IF($AK$4:$AK$60&lt;&gt;0,ROW($AK$4:$AK$60)-3),ROW(AL21))))</f>
        <v/>
      </c>
      <c r="AM87" s="1321" t="str">
        <f t="array" ref="AM87">IF( ISERROR(INDEX($A$4:$A$60,SMALL(IF($AM$4:$AM$60&lt;&gt;0,ROW($AM$4:$AM$60)-4),ROW(AM21)))),"",INDEX($A$4:$A$60,SMALL(IF($AM$4:$AM$60&lt;&gt;0,ROW($AM$5:$AM$60)-4),ROW(AM21))))</f>
        <v/>
      </c>
      <c r="AN87" s="1321" t="str">
        <f t="array" ref="AN87">IF(ISERROR(INDEX($AM$4:$AM$60,SMALL(IF($AM$4:$AM$60&lt;&gt;0,ROW($AM$4:$AM$60)-3),ROW(AN21)))),"",INDEX($AM$4:$AM$60,SMALL(IF($AM$4:$AM$60&lt;&gt;0,ROW($AM$4:$AM$60)-3),ROW(AN21))))</f>
        <v/>
      </c>
      <c r="AO87" s="1321" t="str">
        <f t="array" ref="AO87">IF( ISERROR(INDEX($A$4:$A$60,SMALL(IF($AO$4:$AO$60&lt;&gt;0,ROW($AO$4:$AO$60)-4),ROW(AO21)))),"",INDEX($A$4:$A$60,SMALL(IF($AO$4:$AO$60&lt;&gt;0,ROW($AO$5:$AO$60)-4),ROW(AO21))))</f>
        <v/>
      </c>
      <c r="AP87" s="1321" t="str">
        <f t="array" ref="AP87">IF(ISERROR(INDEX($AO$4:$AO$60,SMALL(IF($AO$4:$AO$60&lt;&gt;0,ROW($AO$4:$AO$60)-3),ROW(AP21)))),"",INDEX($AO$4:$AO$60,SMALL(IF($AO$4:$AO$60&lt;&gt;0,ROW($AO$4:$AO$60)-3),ROW(AP21))))</f>
        <v/>
      </c>
      <c r="AQ87" s="1321" t="str">
        <f t="array" ref="AQ87">IF( ISERROR(INDEX($A$4:$A$60,SMALL(IF($AQ$4:$AQ$60&lt;&gt;0,ROW($AQ$4:$AQ$60)-4),ROW(AQ21)))),"",INDEX($A$4:$A$60,SMALL(IF($AQ$4:$AQ$60&lt;&gt;0,ROW($AQ$5:$AQ$60)-4),ROW(AQ21))))</f>
        <v/>
      </c>
      <c r="AR87" s="1321" t="str">
        <f t="array" ref="AR87">IF(ISERROR(INDEX($AQ$4:$AQ$60,SMALL(IF($AQ$4:$AQ$60&lt;&gt;0,ROW($AQ$4:$AQ$60)-3),ROW(AR21)))),"",INDEX($AQ$4:$AQ$60,SMALL(IF($AQ$4:$AQ$60&lt;&gt;0,ROW($AQ$4:$AQ$60)-3),ROW(AR21))))</f>
        <v/>
      </c>
      <c r="AS87" s="1321" t="str">
        <f t="array" ref="AS87">IF( ISERROR(INDEX($A$4:$A$60,SMALL(IF($AS$4:$AS$60&lt;&gt;0,ROW($AS$4:$AS$60)-4),ROW(AS21)))),"",INDEX($A$4:$A$60,SMALL(IF($AS$4:$AS$60&lt;&gt;0,ROW($AS$5:$AS$60)-4),ROW(AS21))))</f>
        <v/>
      </c>
      <c r="AT87" s="1321" t="str">
        <f t="array" ref="AT87">IF(ISERROR(INDEX($AS$4:$AS$60,SMALL(IF($AS$4:$AS$60&lt;&gt;0,ROW($AS$4:$AS$60)-3),ROW(AT21)))),"",INDEX($AS$4:$AS$60,SMALL(IF($AS$4:$AS$60&lt;&gt;0,ROW($AS$4:$AS$60)-3),ROW(AT21))))</f>
        <v/>
      </c>
      <c r="AU87" s="1321" t="str">
        <f t="array" ref="AU87">IF( ISERROR(INDEX($A$4:$A$60,SMALL(IF($AU$4:$AU$60&lt;&gt;0,ROW($AU$4:$AU$60)-4),ROW(AU21)))),"",INDEX($A$4:$A$60,SMALL(IF($AU$4:$AU$60&lt;&gt;0,ROW($AU$5:$AU$60)-4),ROW(AU21))))</f>
        <v/>
      </c>
      <c r="AV87" s="1321" t="str">
        <f t="array" ref="AV87">IF(ISERROR(INDEX($AU$4:$AU$60,SMALL(IF($AU$4:$AU$60&lt;&gt;0,ROW($AU$4:$AU$60)-3),ROW(AV21)))),"",INDEX($AU$4:$AU$60,SMALL(IF($AU$4:$AU$60&lt;&gt;0,ROW($AU$4:$AU$60)-3),ROW(AV21))))</f>
        <v/>
      </c>
      <c r="AW87" s="1321" t="str">
        <f t="array" ref="AW87">IF( ISERROR(INDEX($A$4:$A$60,SMALL(IF($AW$4:$AW$60&lt;&gt;0,ROW($AW$4:$AW$60)-4),ROW(AW21)))),"",INDEX($A$4:$A$60,SMALL(IF($AW$4:$AW$60&lt;&gt;0,ROW($AW$5:$AW$60)-4),ROW(AW21))))</f>
        <v/>
      </c>
      <c r="AX87" s="1321" t="str">
        <f t="array" ref="AX87">IF(ISERROR(INDEX($AW$4:$AW$60,SMALL(IF($AW$4:$AW$60&lt;&gt;0,ROW($AW$4:$AW$60)-3),ROW(AX21)))),"",INDEX($AW$4:$AW$60,SMALL(IF($AW$4:$AW$60&lt;&gt;0,ROW($AW$4:$AW$60)-3),ROW(AX21))))</f>
        <v/>
      </c>
      <c r="AY87" s="1321" t="str">
        <f t="array" ref="AY87">IF( ISERROR(INDEX($A$4:$A$60,SMALL(IF($AY$4:$AY$60&lt;&gt;0,ROW($AY$4:$AY$60)-4),ROW(AY21)))),"",INDEX($A$4:$A$60,SMALL(IF($AY$4:$AY$60&lt;&gt;0,ROW($AY$5:$AY$60)-4),ROW(AY21))))</f>
        <v/>
      </c>
      <c r="AZ87" s="1321" t="str">
        <f t="array" ref="AZ87">IF(ISERROR(INDEX($AY$4:$AY$60,SMALL(IF($AY$4:$AY$60&lt;&gt;0,ROW($AY$4:$AY$60)-3),ROW(AZ21)))),"",INDEX($AY$4:$AY$60,SMALL(IF($AY$4:$AY$60&lt;&gt;0,ROW($AY$4:$AY$60)-3),ROW(AZ21))))</f>
        <v/>
      </c>
      <c r="BA87" s="1321" t="str">
        <f t="array" ref="BA87">IF( ISERROR(INDEX($A$4:$A$60,SMALL(IF($BA$4:$BA$60&lt;&gt;0,ROW($BA$4:$BA$60)-4),ROW(BA21)))),"",INDEX($A$4:$A$60,SMALL(IF($BA$4:$BA$60&lt;&gt;0,ROW($BA$5:$BA$60)-4),ROW(BA21))))</f>
        <v/>
      </c>
      <c r="BB87" s="1321" t="str">
        <f t="array" ref="BB87">IF(ISERROR(INDEX($BA$4:$BA$60,SMALL(IF($BA$4:$BA$60&lt;&gt;0,ROW($BA$4:$BA$60)-3),ROW(BB21)))),"",INDEX($BA$4:$BA$60,SMALL(IF($BA$4:$BA$60&lt;&gt;0,ROW($BA$4:$BA$60)-3),ROW(BB21))))</f>
        <v/>
      </c>
      <c r="BC87" s="1321" t="str">
        <f t="array" ref="BC87">IF( ISERROR(INDEX($A$4:$A$60,SMALL(IF($BC$4:$BC$60&lt;&gt;0,ROW($BC$4:$BC$60)-4),ROW(BC21)))),"",INDEX($A$4:$A$60,SMALL(IF($BC$4:$BC$60&lt;&gt;0,ROW($BC$5:$BC$60)-4),ROW(BC21))))</f>
        <v/>
      </c>
      <c r="BD87" s="1321" t="str">
        <f t="array" ref="BD87">IF(ISERROR(INDEX($BC$4:$BC$60,SMALL(IF($BC$4:$BC$60&lt;&gt;0,ROW($BC$4:$BC$60)-3),ROW(BD21)))),"",INDEX($BC$4:$BC$60,SMALL(IF($BC$4:$BC$60&lt;&gt;0,ROW($BC$4:$BC$60)-3),ROW(BD21))))</f>
        <v/>
      </c>
      <c r="BE87" s="1321" t="str">
        <f t="array" ref="BE87">IF( ISERROR(INDEX($A$4:$A$60,SMALL(IF($BE$4:$BE$60&lt;&gt;0,ROW($BE$4:$BE$60)-4),ROW(BE21)))),"",INDEX($A$4:$A$60,SMALL(IF($BE$4:$BE$60&lt;&gt;0,ROW($BE$5:$BE$60)-4),ROW(BE21))))</f>
        <v/>
      </c>
      <c r="BF87" s="1321" t="str">
        <f t="array" ref="BF87">IF(ISERROR(INDEX($BE$4:$BE$60,SMALL(IF($BE$4:$BE$60&lt;&gt;0,ROW($BE$4:$BE$60)-3),ROW(BF21)))),"",INDEX($BE$4:$BE$60,SMALL(IF($BE$4:$BE$60&lt;&gt;0,ROW($BE$4:$BE$60)-3),ROW(BF21))))</f>
        <v/>
      </c>
      <c r="BG87" s="1321" t="str">
        <f t="array" ref="BG87">IF( ISERROR(INDEX($A$4:$A$60,SMALL(IF($BG$4:$BG$60&lt;&gt;0,ROW($BG$4:$BG$60)-4),ROW(BG21)))),"",INDEX($A$4:$A$60,SMALL(IF($BG$4:$BG$60&lt;&gt;0,ROW($BG$5:$BG$60)-4),ROW(BG21))))</f>
        <v/>
      </c>
      <c r="BH87" s="1321" t="str">
        <f t="array" ref="BH87">IF(ISERROR(INDEX($BG$4:$BG$60,SMALL(IF($BG$4:$BG$60&lt;&gt;0,ROW($BG$4:$BG$60)-3),ROW(BH21)))),"",INDEX($BG$4:$BG$60,SMALL(IF($BG$4:$BG$60&lt;&gt;0,ROW($BG$4:$BG$60)-3),ROW(BH21))))</f>
        <v/>
      </c>
      <c r="BI87" s="1321" t="str">
        <f t="array" ref="BI87">IF( ISERROR(INDEX($A$4:$A$60,SMALL(IF($BI$4:$BI$60&lt;&gt;0,ROW($BI$4:$BI$60)-4),ROW(BI21)))),"",INDEX($A$4:$A$60,SMALL(IF($BI$4:$BI$60&lt;&gt;0,ROW($BI$5:$BI$60)-4),ROW(BI21))))</f>
        <v/>
      </c>
      <c r="BJ87" s="1321" t="str">
        <f t="array" ref="BJ87">IF(ISERROR(INDEX($BI$4:$BI$60,SMALL(IF($BI$4:$BI$60&lt;&gt;0,ROW($BI$4:$BI$60)-3),ROW(BJ21)))),"",INDEX($BI$4:$BI$60,SMALL(IF($BI$4:$BI$60&lt;&gt;0,ROW($BI$4:$BI$60)-3),ROW(BJ21))))</f>
        <v/>
      </c>
      <c r="BK87" s="1321" t="str">
        <f t="array" ref="BK87">IF( ISERROR(INDEX($A$4:$A$60,SMALL(IF($BK$4:$BK$60&lt;&gt;0,ROW($BK$4:$BK$60)-4),ROW(BK21)))),"",INDEX($A$4:$A$60,SMALL(IF($BK$4:$BK$60&lt;&gt;0,ROW($BK$5:$BK$60)-4),ROW(BK21))))</f>
        <v/>
      </c>
      <c r="BL87" s="1321" t="str">
        <f t="array" ref="BL87">IF(ISERROR(INDEX($BK$4:$BK$60,SMALL(IF($BK$4:$BK$60&lt;&gt;0,ROW($BK$4:$BK$60)-3),ROW(BL21)))),"",INDEX($BK$4:$BK$60,SMALL(IF($BK$4:$BK$60&lt;&gt;0,ROW($BK$4:$BK$60)-3),ROW(BL21))))</f>
        <v/>
      </c>
      <c r="BM87" s="1321" t="str">
        <f t="array" ref="BM87">IF( ISERROR(INDEX($A$4:$A$60,SMALL(IF($BM$4:$BM$60&lt;&gt;0,ROW($BM$4:$BM$60)-4),ROW(BM21)))),"",INDEX($A$4:$A$60,SMALL(IF($BM$4:$BM$60&lt;&gt;0,ROW($BM$5:$BM$60)-4),ROW(BM21))))</f>
        <v/>
      </c>
      <c r="BN87" s="1321" t="str">
        <f t="array" ref="BN87">IF(ISERROR(INDEX($BM$4:$BM$60,SMALL(IF($BM$4:$BM$60&lt;&gt;0,ROW($BM$4:$BM$60)-3),ROW(BN21)))),"",INDEX($BM$4:$BM$60,SMALL(IF($BM$4:$BM$60&lt;&gt;0,ROW($BM$4:$BM$60)-3),ROW(BN21))))</f>
        <v/>
      </c>
      <c r="BO87" s="1321" t="str">
        <f t="array" ref="BO87">IF( ISERROR(INDEX($A$4:$A$60,SMALL(IF($BO$4:$BO$60&lt;&gt;0,ROW($BO$4:$BO$60)-4),ROW(BO21)))),"",INDEX($A$4:$A$60,SMALL(IF($BO$4:$BO$60&lt;&gt;0,ROW($BO$5:$BO$60)-4),ROW(BO21))))</f>
        <v/>
      </c>
      <c r="BP87" s="1321" t="str">
        <f t="array" ref="BP87">IF(ISERROR(INDEX($BO$4:$BO$60,SMALL(IF($BO$4:$BO$60&lt;&gt;0,ROW($BO$4:$BO$60)-3),ROW(BP21)))),"",INDEX($BO$4:$BO$60,SMALL(IF($BO$4:$BO$60&lt;&gt;0,ROW($BO$4:$BO$60)-3),ROW(BP21))))</f>
        <v/>
      </c>
      <c r="BQ87" s="1321" t="str">
        <f t="array" ref="BQ87">IF( ISERROR(INDEX($A$4:$A$60,SMALL(IF($BQ$4:$BQ$60&lt;&gt;0,ROW($BQ$4:$BQ$60)-4),ROW(BQ21)))),"",INDEX($A$4:$A$60,SMALL(IF($BQ$4:$BQ$60&lt;&gt;0,ROW($BQ$5:$BQ$60)-4),ROW(BQ21))))</f>
        <v/>
      </c>
      <c r="BR87" s="1321" t="str">
        <f t="array" ref="BR87">IF(ISERROR(INDEX($BQ$4:$BQ$60,SMALL(IF($BQ$4:$BQ$60&lt;&gt;0,ROW($BQ$4:$BQ$60)-3),ROW(BR21)))),"",INDEX($BQ$4:$BQ$60,SMALL(IF($BQ$4:$BQ$60&lt;&gt;0,ROW($BQ$4:$BQ$60)-3),ROW(BR21))))</f>
        <v/>
      </c>
      <c r="BS87" s="1321" t="str">
        <f t="array" ref="BS87">IF( ISERROR(INDEX($A$4:$A$60,SMALL(IF($BS$4:$BS$60&lt;&gt;0,ROW($BS$4:$BS$60)-4),ROW(BS21)))),"",INDEX($A$4:$A$60,SMALL(IF($BS$4:$BS$60&lt;&gt;0,ROW($BS$5:$BS$60)-4),ROW(BS21))))</f>
        <v/>
      </c>
      <c r="BT87" s="1321" t="str">
        <f t="array" ref="BT87">IF(ISERROR(INDEX($BS$4:$BS$60,SMALL(IF($BS$4:$BS$60&lt;&gt;0,ROW($BS$4:$BS$60)-3),ROW(BT21)))),"",INDEX($BS$4:$BS$60,SMALL(IF($BS$4:$BS$60&lt;&gt;0,ROW($BS$4:$BS$60)-3),ROW(BT21))))</f>
        <v/>
      </c>
      <c r="BU87" s="1321" t="str">
        <f t="array" ref="BU87">IF( ISERROR(INDEX($A$4:$A$60,SMALL(IF($BU$4:$BU$60&lt;&gt;0,ROW($BU$4:$BU$60)-4),ROW(BU21)))),"",INDEX($A$4:$A$60,SMALL(IF($BU$4:$BU$60&lt;&gt;0,ROW($BU$5:$BU$60)-4),ROW(BU21))))</f>
        <v/>
      </c>
      <c r="BV87" s="1321" t="str">
        <f t="array" ref="BV87">IF(ISERROR(INDEX($BQ$4:$BQ$60,SMALL(IF($BU$4:$BU$60&lt;&gt;0,ROW($BU$4:$BU$60)-3),ROW(BV21)))),"",INDEX($BU$4:$BU$60,SMALL(IF($BU$4:$BU$60&lt;&gt;0,ROW($BU$4:$BU$60)-3),ROW(BV21))))</f>
        <v/>
      </c>
      <c r="BW87" s="1321" t="str">
        <f t="array" ref="BW87">IF( ISERROR(INDEX($A$4:$A$60,SMALL(IF($BW$4:$BW$60&lt;&gt;0,ROW($BW$4:$BW$60)-4),ROW(BW21)))),"",INDEX($A$4:$A$60,SMALL(IF($BW$4:$BW$60&lt;&gt;0,ROW($BW$5:$BW$60)-4),ROW(BW21))))</f>
        <v/>
      </c>
      <c r="BX87" s="1321" t="str">
        <f t="array" ref="BX87">IF(ISERROR(INDEX($BW$4:$BW$60,SMALL(IF($BW$4:$BW$60&lt;&gt;0,ROW($BW$4:$BW$60)-3),ROW(BX21)))),"",INDEX($BW$4:$BW$60,SMALL(IF($BW$4:$BW$60&lt;&gt;0,ROW($BW$4:$BW$60)-3),ROW(BX21))))</f>
        <v/>
      </c>
      <c r="BY87" s="1321" t="str">
        <f t="array" ref="BY87">IF( ISERROR(INDEX($A$4:$A$60,SMALL(IF($BY$4:$BY$60&lt;&gt;0,ROW($BY$4:$BY$60)-4),ROW(BY21)))),"",INDEX($A$4:$A$60,SMALL(IF($BY$4:$BY$60&lt;&gt;0,ROW($BY$5:$BY$60)-4),ROW(BY21))))</f>
        <v/>
      </c>
      <c r="BZ87" s="1321" t="str">
        <f t="array" ref="BZ87">IF(ISERROR(INDEX($BY$4:$BY$60,SMALL(IF($BY$4:$BY$60&lt;&gt;0,ROW($BY$4:$BY$60)-3),ROW(BZ21)))),"",INDEX($BY$4:$BY$60,SMALL(IF($BY$4:$BY$60&lt;&gt;0,ROW($BY$4:$BY$60)-3),ROW(BZ21))))</f>
        <v/>
      </c>
      <c r="CA87" s="1321" t="str">
        <f t="array" ref="CA87">IF( ISERROR(INDEX($A$4:$A$60,SMALL(IF($CA$4:$CA$60&lt;&gt;0,ROW($CA$4:$CA$60)-4),ROW(CA21)))),"",INDEX($A$4:$A$60,SMALL(IF($CA$4:$CA$60&lt;&gt;0,ROW($CA$5:$CA$60)-4),ROW(CA21))))</f>
        <v/>
      </c>
      <c r="CB87" s="1321" t="str">
        <f t="array" ref="CB87">IF(ISERROR(INDEX($CA$4:$CA$60,SMALL(IF($CA$4:$CA$60&lt;&gt;0,ROW($CA$4:$CA$60)-3),ROW(CB21)))),"",INDEX($CA$4:$CA$60,SMALL(IF($CA$4:$CA$60&lt;&gt;0,ROW($CA$4:$CA$60)-3),ROW(CB21))))</f>
        <v/>
      </c>
      <c r="CC87" s="1321" t="str">
        <f t="array" ref="CC87">IF( ISERROR(INDEX($A$4:$A$60,SMALL(IF($CC$4:$CC$60&lt;&gt;0,ROW($CC$4:$CC$60)-4),ROW(CC21)))),"",INDEX($A$4:$A$60,SMALL(IF($CC$4:$CC$60&lt;&gt;0,ROW($CC$5:$CC$60)-4),ROW(CC21))))</f>
        <v/>
      </c>
      <c r="CD87" s="1321" t="str">
        <f t="array" ref="CD87">IF(ISERROR(INDEX($CC$4:$CC$60,SMALL(IF($CC$4:$CC$60&lt;&gt;0,ROW($CC$4:$CC$60)-3),ROW(CD21)))),"",INDEX($CC$4:$CC$60,SMALL(IF($CC$4:$CC$60&lt;&gt;0,ROW($CC$4:$CC$60)-3),ROW(CD21))))</f>
        <v/>
      </c>
      <c r="CE87" s="1321" t="str">
        <f t="array" ref="CE87">IF( ISERROR(INDEX($A$4:$A$60,SMALL(IF($CE$4:$CE$60&lt;&gt;0,ROW($CE$4:$CE$60)-4),ROW(CE21)))),"",INDEX($A$4:$A$60,SMALL(IF($CE$4:$CE$60&lt;&gt;0,ROW($CE$5:$CE$60)-4),ROW(CE21))))</f>
        <v/>
      </c>
      <c r="CF87" s="1321" t="str">
        <f t="array" ref="CF87">IF(ISERROR(INDEX($CE$4:$CE$60,SMALL(IF($CE$4:$CE$60&lt;&gt;0,ROW($CE$4:$CE$60)-3),ROW(CF21)))),"",INDEX($CE$4:$CE$60,SMALL(IF($CE$4:$CE$60&lt;&gt;0,ROW($CE$4:$CE$60)-3),ROW(CF21))))</f>
        <v/>
      </c>
      <c r="CG87" s="1321" t="str">
        <f t="array" ref="CG87">IF( ISERROR(INDEX($A$4:$A$60,SMALL(IF($CG$4:$CG$60&lt;&gt;0,ROW($CG$4:$CG$60)-4),ROW(CG21)))),"",INDEX($A$4:$A$60,SMALL(IF($CG$4:$CG$60&lt;&gt;0,ROW($CG$5:$CG$60)-4),ROW(CG21))))</f>
        <v/>
      </c>
      <c r="CH87" s="1321" t="str">
        <f t="array" ref="CH87">IF(ISERROR(INDEX($CG$4:$CG$60,SMALL(IF($CG$4:$CG$60&lt;&gt;0,ROW($CG$4:$CG$60)-3),ROW(CH21)))),"",INDEX($CG$4:$CG$60,SMALL(IF($CG$4:$CG$60&lt;&gt;0,ROW($CG$4:$CG$60)-3),ROW(CH21))))</f>
        <v/>
      </c>
      <c r="CI87" s="1321" t="str">
        <f t="array" ref="CI87">IF( ISERROR(INDEX($A$4:$A$60,SMALL(IF($CA$4:$CA$60&lt;&gt;0,ROW($CA$4:$CA$60)-4),ROW(CI21)))),"",INDEX($A$4:$A$60,SMALL(IF($CA$4:$CA$60&lt;&gt;0,ROW($CA$5:$CA$60)-4),ROW(CI21))))</f>
        <v/>
      </c>
      <c r="CJ87" s="1321" t="str">
        <f t="array" ref="CJ87">IF(ISERROR(INDEX($CA$4:$CA$60,SMALL(IF($CA$4:$CA$60&lt;&gt;0,ROW($CA$4:$CA$60)-3),ROW(CJ21)))),"",INDEX($CA$4:$CA$60,SMALL(IF($CA$4:$CA$60&lt;&gt;0,ROW($CA$4:$CA$60)-3),ROW(CJ21))))</f>
        <v/>
      </c>
      <c r="CK87" s="1321" t="str">
        <f t="array" ref="CK87">IF( ISERROR(INDEX($A$4:$A$60,SMALL(IF($CK$4:$CK$60&lt;&gt;0,ROW($CK$4:$CK$60)-4),ROW(CK21)))),"",INDEX($A$4:$A$60,SMALL(IF($CK$4:$CK$60&lt;&gt;0,ROW($CK$5:$CK$60)-4),ROW(CK21))))</f>
        <v/>
      </c>
      <c r="CL87" s="1321" t="str">
        <f t="array" ref="CL87">IF(ISERROR(INDEX($CK$4:$CK$60,SMALL(IF($CK$4:$CK$60&lt;&gt;0,ROW($CK$4:$CK$60)-3),ROW(CL21)))),"",INDEX($CK$4:$CK$60,SMALL(IF($CK$4:$CK$60&lt;&gt;0,ROW($CK$4:$CK$60)-3),ROW(CL21))))</f>
        <v/>
      </c>
      <c r="CM87" s="1321" t="str">
        <f t="array" ref="CM87">IF( ISERROR(INDEX($A$4:$A$60,SMALL(IF($CM$4:$CM$60&lt;&gt;0,ROW($CM$4:$CM$60)-4),ROW(CM21)))),"",INDEX($A$4:$A$60,SMALL(IF($CM$4:$CM$60&lt;&gt;0,ROW($CM$5:$CM$60)-4),ROW(CM21))))</f>
        <v/>
      </c>
      <c r="CN87" s="1321" t="str">
        <f t="array" ref="CN87">IF(ISERROR(INDEX($CM$4:$CM$60,SMALL(IF($CM$4:$CM$60&lt;&gt;0,ROW($CM$4:$CM$60)-3),ROW(CN21)))),"",INDEX($CM$4:$CM$60,SMALL(IF($CM$4:$CM$60&lt;&gt;0,ROW($CM$4:$CM$60)-3),ROW(CN21))))</f>
        <v/>
      </c>
      <c r="CO87" s="1321" t="str">
        <f t="array" ref="CO87">IF( ISERROR(INDEX($A$4:$A$60,SMALL(IF($CO$4:$CO$60&lt;&gt;0,ROW($CO$4:$CO$60)-4),ROW(CO21)))),"",INDEX($A$4:$A$60,SMALL(IF($CO$4:$CO$60&lt;&gt;0,ROW($CO$5:$CO$60)-4),ROW(CO21))))</f>
        <v/>
      </c>
      <c r="CP87" s="1321" t="str">
        <f t="array" ref="CP87">IF(ISERROR(INDEX($CO$4:$CO$60,SMALL(IF($CO$4:$CO$60&lt;&gt;0,ROW($CO$4:$CO$60)-3),ROW(CP21)))),"",INDEX($CO$4:$CO$60,SMALL(IF($CO$4:$CO$60&lt;&gt;0,ROW($CO$4:$CO$60)-3),ROW(CP21))))</f>
        <v/>
      </c>
      <c r="CQ87" s="1321" t="str">
        <f t="array" ref="CQ87">IF( ISERROR(INDEX($A$4:$A$60,SMALL(IF($CQ$4:$CQ$60&lt;&gt;0,ROW($CQ$4:$CQ$60)-4),ROW(CQ21)))),"",INDEX($A$4:$A$60,SMALL(IF($CQ$4:$CQ$60&lt;&gt;0,ROW($CQ$5:$CQ$60)-4),ROW(CQ21))))</f>
        <v/>
      </c>
      <c r="CR87" s="1321" t="str">
        <f t="array" ref="CR87">IF(ISERROR(INDEX($CQ$4:$CQ$60,SMALL(IF($CQ$4:$CQ$60&lt;&gt;0,ROW($CQ$4:$CQ$60)-3),ROW(CR21)))),"",INDEX($CQ$4:$CQ$60,SMALL(IF($CQ$4:$CQ$60&lt;&gt;0,ROW($CQ$4:$CQ$60)-3),ROW(CR21))))</f>
        <v/>
      </c>
      <c r="CS87" s="1321" t="str">
        <f t="array" ref="CS87">IF( ISERROR(INDEX($A$4:$A$60,SMALL(IF($CS$4:$CS$60&lt;&gt;0,ROW($CS$4:$CS$60)-4),ROW(CS21)))),"",INDEX($A$4:$A$60,SMALL(IF($CS$4:$CS$60&lt;&gt;0,ROW($CS$5:$CS$60)-4),ROW(CS21))))</f>
        <v/>
      </c>
      <c r="CT87" s="1321" t="str">
        <f t="array" ref="CT87">IF(ISERROR(INDEX($CS$4:$CS$60,SMALL(IF($CS$4:$CS$60&lt;&gt;0,ROW($CS$4:$CS$60)-3),ROW(CT21)))),"",INDEX($CS$4:$CS$60,SMALL(IF($CS$4:$CS$60&lt;&gt;0,ROW($CS$4:$CS$60)-3),ROW(CT21))))</f>
        <v/>
      </c>
      <c r="CU87" s="1321" t="str">
        <f t="array" ref="CU87">IF( ISERROR(INDEX($A$4:$A$60,SMALL(IF($CU$4:$CU$60&lt;&gt;0,ROW($CU$4:$CU$60)-4),ROW(CU21)))),"",INDEX($A$4:$A$60,SMALL(IF($CU$4:$CU$60&lt;&gt;0,ROW($CU$5:$CU$60)-4),ROW(CU21))))</f>
        <v/>
      </c>
      <c r="CV87" s="1321" t="str">
        <f t="array" ref="CV87">IF(ISERROR(INDEX($CU$4:$CU$60,SMALL(IF($CU$4:$CU$60&lt;&gt;0,ROW($CU$4:$CU$60)-3),ROW(CV21)))),"",INDEX($CU$4:$CU$60,SMALL(IF($CU$4:$CU$60&lt;&gt;0,ROW($CU$4:$CU$60)-3),ROW(CV21))))</f>
        <v/>
      </c>
      <c r="CW87" s="1321" t="str">
        <f t="array" ref="CW87">IF( ISERROR(INDEX($A$4:$A$60,SMALL(IF($CW$4:$CW$60&lt;&gt;0,ROW($CW$4:$CW$60)-4),ROW(CW21)))),"",INDEX($A$4:$A$60,SMALL(IF($CW$4:$CW$60&lt;&gt;0,ROW($CW$5:$CW$60)-4),ROW(CW21))))</f>
        <v/>
      </c>
      <c r="CX87" s="1321" t="str">
        <f t="array" ref="CX87">IF(ISERROR(INDEX($CW$4:$CW$60,SMALL(IF($CW$4:$CW$60&lt;&gt;0,ROW($CW$4:$CW$60)-3),ROW(CX21)))),"",INDEX($CW$4:$CW$60,SMALL(IF($CW$4:$CW$60&lt;&gt;0,ROW($CW$4:$CW$60)-3),ROW(CX21))))</f>
        <v/>
      </c>
      <c r="CY87" s="1321" t="str">
        <f t="array" ref="CY87">IF( ISERROR(INDEX($A$4:$A$60,SMALL(IF($CY$4:$CY$60&lt;&gt;0,ROW($CY$4:$CY$60)-4),ROW(CY21)))),"",INDEX($A$4:$A$60,SMALL(IF($CY$4:$CY$60&lt;&gt;0,ROW($CY$5:$CY$60)-4),ROW(CY21))))</f>
        <v/>
      </c>
      <c r="CZ87" s="1321" t="str">
        <f t="array" ref="CZ87">IF(ISERROR(INDEX($CY$4:$CY$60,SMALL(IF($CY$4:$CY$60&lt;&gt;0,ROW($CY$4:$CY$60)-3),ROW(CZ21)))),"",INDEX($CY$4:$CY$60,SMALL(IF($CY$4:$CY$60&lt;&gt;0,ROW($CY$4:$CY$60)-3),ROW(CZ21))))</f>
        <v/>
      </c>
      <c r="DA87" s="1321"/>
      <c r="DB87" s="1321"/>
      <c r="DC87" s="1321"/>
      <c r="DD87" s="1321"/>
      <c r="DE87" s="1321"/>
      <c r="DF87" s="1321"/>
      <c r="DG87" s="1321"/>
      <c r="DH87" s="1321"/>
      <c r="DI87" s="1321"/>
      <c r="DJ87" s="1321"/>
      <c r="DK87" s="1321"/>
      <c r="DL87" s="1321"/>
      <c r="DM87" s="1321"/>
      <c r="DN87" s="1321"/>
      <c r="DO87" s="1321"/>
      <c r="DP87" s="1321"/>
      <c r="DQ87" s="1321"/>
      <c r="DR87" s="1321"/>
      <c r="DS87" s="1321"/>
      <c r="DT87" s="1321"/>
      <c r="DU87" s="1321"/>
      <c r="DV87" s="1321"/>
      <c r="DW87" s="1321"/>
      <c r="DX87" s="1321"/>
      <c r="DY87" s="1321"/>
      <c r="DZ87" s="1321"/>
      <c r="EA87" s="1321"/>
      <c r="EB87" s="1321"/>
      <c r="EC87" s="1321"/>
      <c r="ED87" s="1321"/>
      <c r="EE87" s="1321"/>
      <c r="EF87" s="1321"/>
      <c r="EG87" s="1321"/>
      <c r="EH87" s="1321"/>
      <c r="EI87" s="1321"/>
      <c r="EJ87" s="1321"/>
      <c r="EK87" s="1321"/>
      <c r="EL87" s="1321"/>
      <c r="EM87" s="1321"/>
      <c r="EN87" s="1321"/>
      <c r="EO87" s="1321"/>
      <c r="EP87" s="1321"/>
      <c r="EQ87" s="1321"/>
      <c r="ER87" s="1321"/>
      <c r="ES87" s="1321"/>
      <c r="ET87" s="1321"/>
      <c r="EU87" s="1321"/>
      <c r="EV87" s="1321"/>
      <c r="EW87" s="1321"/>
      <c r="EX87" s="1321"/>
      <c r="EY87" s="1321"/>
      <c r="EZ87" s="1321"/>
      <c r="FA87" s="1321"/>
      <c r="FB87" s="1321"/>
      <c r="FC87" s="1321"/>
      <c r="FD87" s="1321"/>
      <c r="FE87" s="1321"/>
      <c r="FF87" s="1321"/>
      <c r="FG87" s="1321"/>
      <c r="FH87" s="1321"/>
      <c r="FI87" s="1321"/>
      <c r="FJ87" s="1321"/>
      <c r="FK87" s="1321"/>
      <c r="FL87" s="1321"/>
      <c r="FM87" s="1321"/>
      <c r="FN87" s="1321"/>
      <c r="FO87" s="1321"/>
      <c r="FP87" s="1321"/>
      <c r="FQ87" s="1321"/>
      <c r="FR87" s="1321"/>
      <c r="FS87" s="1321"/>
      <c r="FT87" s="1321"/>
      <c r="FU87" s="1321"/>
      <c r="FV87" s="1321"/>
      <c r="FW87" s="1321"/>
      <c r="FX87" s="1321"/>
      <c r="FY87" s="1321"/>
      <c r="FZ87" s="1321"/>
      <c r="GA87" s="1321"/>
      <c r="GB87" s="1321"/>
      <c r="GC87" s="1321"/>
      <c r="GD87" s="1321"/>
      <c r="GE87" s="1321"/>
      <c r="GF87" s="1321"/>
      <c r="GG87" s="1321"/>
      <c r="GH87" s="1321"/>
      <c r="GI87" s="1321"/>
      <c r="GJ87" s="1321"/>
      <c r="GK87" s="1321"/>
      <c r="GL87" s="1321"/>
      <c r="GM87" s="1321"/>
      <c r="GN87" s="1321"/>
      <c r="GO87" s="1321"/>
      <c r="GP87" s="1321"/>
      <c r="GQ87" s="1321"/>
      <c r="GR87" s="1321"/>
      <c r="GS87" s="1321"/>
      <c r="GT87" s="1321"/>
      <c r="GU87" s="1321"/>
      <c r="GV87" s="1321"/>
      <c r="GW87" s="1321"/>
      <c r="GX87" s="1321"/>
      <c r="GY87" s="1321"/>
      <c r="GZ87" s="1321"/>
    </row>
    <row r="88" spans="3:208" hidden="1">
      <c r="C88" s="1321" t="str">
        <f t="array" ref="C88">IF( ISERROR(INDEX($A$4:$A$60,SMALL(IF($C$4:$C$60&lt;&gt;0,ROW($C$4:$C$60)-4),ROW(A22)))),"",INDEX($A$4:$A$60,SMALL(IF($C$4:$C$60&lt;&gt;0,ROW($C$5:$C$60)-4),ROW(A22))))</f>
        <v/>
      </c>
      <c r="D88" s="1321" t="str">
        <f t="array" ref="D88">IF(ISERROR(INDEX($C$4:$C$60,SMALL(IF($C$4:$C$60&lt;&gt;0,ROW($C$4:$C$60)-3),ROW(D22)))),"",INDEX($C$4:$C$60,SMALL(IF($C$4:$C$60&lt;&gt;0,ROW($C$4:$C$60)-3),ROW(D22))))</f>
        <v/>
      </c>
      <c r="E88" s="1321" t="str">
        <f t="array" ref="E88">IF( ISERROR(INDEX($A$4:$A$60,SMALL(IF($E$4:$E$60&lt;&gt;0,ROW($E$4:$E$60)-4),ROW(E22)))),"",INDEX($A$4:$A$60,SMALL(IF($E$4:$E$60&lt;&gt;0,ROW($E$5:$E$60)-4),ROW(E22))))</f>
        <v/>
      </c>
      <c r="F88" s="1321" t="str">
        <f t="array" ref="F88">IF(ISERROR(INDEX($E$4:$E$60,SMALL(IF($E$4:$E$60&lt;&gt;0,ROW($E$4:$E$60)-3),ROW(F22)))),"",INDEX($E$4:$E$60,SMALL(IF($E$4:$E$60&lt;&gt;0,ROW($E$4:$E$60)-3),ROW(F22))))</f>
        <v/>
      </c>
      <c r="G88" s="1321" t="str">
        <f t="array" ref="G88">IF( ISERROR(INDEX($A$4:$A$60,SMALL(IF($G$4:$G$60&lt;&gt;0,ROW($G$4:$G$60)-4),ROW(G22)))),"",INDEX($A$4:$A$60,SMALL(IF($G$4:$G$60&lt;&gt;0,ROW($G$5:$G$60)-4),ROW(G22))))</f>
        <v/>
      </c>
      <c r="H88" s="1321" t="str">
        <f t="array" ref="H88">IF(ISERROR(INDEX($E$4:$E$60,SMALL(IF($G$4:$G$60&lt;&gt;0,ROW($G$4:$G$60)-3),ROW(H22)))),"",INDEX($G$4:$G$60,SMALL(IF($G$4:$G$60&lt;&gt;0,ROW($G$4:$G$60)-3),ROW(H22))))</f>
        <v/>
      </c>
      <c r="I88" s="1321" t="str">
        <f t="array" ref="I88">IF( ISERROR(INDEX($A$4:$A$60,SMALL(IF($I$4:$I$60&lt;&gt;0,ROW($I$4:$I$60)-4),ROW(I22)))),"",INDEX($A$4:$A$60,SMALL(IF($I$4:$I$60&lt;&gt;0,ROW($I$5:$I$60)-4),ROW(I22))))</f>
        <v/>
      </c>
      <c r="J88" s="1321" t="str">
        <f t="array" ref="J88">IF(ISERROR(INDEX($I$4:$I$60,SMALL(IF($I$4:$I$60&lt;&gt;0,ROW($I$4:$I$60)-3),ROW(J22)))),"",INDEX($I$4:$I$60,SMALL(IF($I$4:$I$60&lt;&gt;0,ROW($I$4:$I$60)-3),ROW(J22))))</f>
        <v/>
      </c>
      <c r="K88" s="1321" t="str">
        <f t="array" ref="K88">IF( ISERROR(INDEX($A$4:$A$60,SMALL(IF($K$4:$K$60&lt;&gt;0,ROW($K$4:$K$60)-4),ROW(K22)))),"",INDEX($A$4:$A$60,SMALL(IF($K$4:$K$60&lt;&gt;0,ROW($K$5:$K$60)-4),ROW(K22))))</f>
        <v/>
      </c>
      <c r="L88" s="1321" t="str">
        <f t="array" ref="L88">IF(ISERROR(INDEX($K$4:$K$60,SMALL(IF($K$4:$K$60&lt;&gt;0,ROW($K$4:$K$60)-3),ROW(L22)))),"",INDEX($K$4:$K$60,SMALL(IF($K$4:$K$60&lt;&gt;0,ROW($K$4:$K$60)-3),ROW(L22))))</f>
        <v/>
      </c>
      <c r="M88" s="1321" t="str">
        <f t="array" ref="M88">IF( ISERROR(INDEX($A$4:$A$60,SMALL(IF($M$4:$M$60&lt;&gt;0,ROW($M$4:$M$60)-4),ROW(M22)))),"",INDEX($A$4:$A$60,SMALL(IF($M$4:$M$60&lt;&gt;0,ROW($M$5:$M$60)-4),ROW(M22))))</f>
        <v/>
      </c>
      <c r="N88" s="1321" t="str">
        <f t="array" ref="N88">IF(ISERROR(INDEX($M$4:$M$60,SMALL(IF($M$4:$M$60&lt;&gt;0,ROW($M$4:$M$60)-3),ROW(N22)))),"",INDEX($M$4:$M$60,SMALL(IF($M$4:$M$60&lt;&gt;0,ROW($M$4:$M$60)-3),ROW(N22))))</f>
        <v/>
      </c>
      <c r="O88" s="1321" t="str">
        <f t="array" ref="O88">IF( ISERROR(INDEX($A$4:$A$60,SMALL(IF($O$4:$O$60&lt;&gt;0,ROW($O$4:$O$60)-4),ROW(O22)))),"",INDEX($A$4:$A$60,SMALL(IF($O$4:$O$60&lt;&gt;0,ROW($O$5:$O$60)-4),ROW(O22))))</f>
        <v/>
      </c>
      <c r="P88" s="1321" t="str">
        <f t="array" ref="P88">IF(ISERROR(INDEX($O$4:$O$60,SMALL(IF($O$4:$O$60&lt;&gt;0,ROW($O$4:$O$60)-3),ROW(P22)))),"",INDEX($O$4:$O$60,SMALL(IF($O$4:$O$60&lt;&gt;0,ROW($O$4:$O$60)-3),ROW(P22))))</f>
        <v/>
      </c>
      <c r="Q88" s="1321" t="str">
        <f t="array" ref="Q88">IF( ISERROR(INDEX($A$4:$A$60,SMALL(IF($Q$4:$Q$60&lt;&gt;0,ROW($Q$4:$Q$60)-4),ROW(Q22)))),"",INDEX($A$4:$A$60,SMALL(IF($Q$4:$Q$60&lt;&gt;0,ROW($Q$5:$Q$60)-4),ROW(Q22))))</f>
        <v/>
      </c>
      <c r="R88" s="1321" t="str">
        <f t="array" ref="R88">IF(ISERROR(INDEX($Q$4:$Q$60,SMALL(IF($Q$4:$Q$60&lt;&gt;0,ROW($Q$4:$Q$60)-3),ROW(R22)))),"",INDEX($Q$4:$Q$60,SMALL(IF($Q$4:$Q$60&lt;&gt;0,ROW($Q$4:$Q$60)-3),ROW(R22))))</f>
        <v/>
      </c>
      <c r="S88" s="1321" t="str">
        <f t="array" ref="S88">IF( ISERROR(INDEX($A$4:$A$60,SMALL(IF($S$4:$S$60&lt;&gt;0,ROW($S$4:$S$60)-4),ROW(S22)))),"",INDEX($A$4:$A$60,SMALL(IF($S$4:$S$60&lt;&gt;0,ROW($S$5:$S$60)-4),ROW(S22))))</f>
        <v/>
      </c>
      <c r="T88" s="1321" t="str">
        <f t="array" ref="T88">IF(ISERROR(INDEX($S$4:$S$60,SMALL(IF($S$4:$S$60&lt;&gt;0,ROW($S$4:$S$60)-3),ROW(T22)))),"",INDEX($S$4:$S$60,SMALL(IF($S$4:$S$60&lt;&gt;0,ROW($S$4:$S$60)-3),ROW(T22))))</f>
        <v/>
      </c>
      <c r="U88" s="1321" t="str">
        <f t="array" ref="U88">IF( ISERROR(INDEX($A$4:$A$60,SMALL(IF($U$4:$U$60&lt;&gt;0,ROW($U$4:$U$60)-4),ROW(U22)))),"",INDEX($A$4:$A$60,SMALL(IF($U$4:$U$60&lt;&gt;0,ROW($U$5:$U$60)-4),ROW(U22))))</f>
        <v/>
      </c>
      <c r="V88" s="1321" t="str">
        <f t="array" ref="V88">IF(ISERROR(INDEX($U$4:$U$60,SMALL(IF($U$4:$U$60&lt;&gt;0,ROW($U$4:$U$60)-3),ROW(V22)))),"",INDEX($U$4:$U$60,SMALL(IF($U$4:$U$60&lt;&gt;0,ROW($U$4:$U$60)-3),ROW(V22))))</f>
        <v/>
      </c>
      <c r="W88" s="1321" t="str">
        <f t="array" ref="W88">IF( ISERROR(INDEX($A$4:$A$60,SMALL(IF($W$4:$W$60&lt;&gt;0,ROW($W$4:$W$60)-4),ROW(W22)))),"",INDEX($A$4:$A$60,SMALL(IF($W$4:$W$60&lt;&gt;0,ROW($W$5:$W$60)-4),ROW(W22))))</f>
        <v/>
      </c>
      <c r="X88" s="1321" t="str">
        <f t="array" ref="X88">IF(ISERROR(INDEX($W$4:$W$60,SMALL(IF($W$4:$W$60&lt;&gt;0,ROW($W$4:$W$60)-3),ROW(X22)))),"",INDEX($W$4:$W$60,SMALL(IF($W$4:$W$60&lt;&gt;0,ROW($W$4:$W$60)-3),ROW(X22))))</f>
        <v/>
      </c>
      <c r="Y88" s="1321" t="str">
        <f t="array" ref="Y88">IF( ISERROR(INDEX($A$4:$A$60,SMALL(IF($Y$4:$Y$60&lt;&gt;0,ROW($Y$4:$Y$60)-4),ROW(Y22)))),"",INDEX($A$4:$A$60,SMALL(IF($Y$4:$Y$60&lt;&gt;0,ROW($Y$5:$Y$60)-4),ROW(Y22))))</f>
        <v/>
      </c>
      <c r="Z88" s="1321" t="str">
        <f t="array" ref="Z88">IF(ISERROR(INDEX($Y$4:$Y$60,SMALL(IF($Y$4:$Y$60&lt;&gt;0,ROW($Y$4:$Y$60)-3),ROW(Z22)))),"",INDEX($Y$4:$Y$60,SMALL(IF($Y$4:$Y$60&lt;&gt;0,ROW($Y$4:$Y$60)-3),ROW(Z22))))</f>
        <v/>
      </c>
      <c r="AA88" s="1321" t="str">
        <f t="array" ref="AA88">IF( ISERROR(INDEX($A$4:$A$60,SMALL(IF($AA$4:$AA$60&lt;&gt;0,ROW($AA$4:$AA$60)-4),ROW(AA22)))),"",INDEX($A$4:$A$60,SMALL(IF($AA$4:$AA$60&lt;&gt;0,ROW($AA$5:$AA$60)-4),ROW(AA22))))</f>
        <v/>
      </c>
      <c r="AB88" s="1321" t="str">
        <f t="array" ref="AB88">IF(ISERROR(INDEX($AA$4:$AA$60,SMALL(IF($AA$4:$AA$60&lt;&gt;0,ROW($AA$4:$AA$60)-3),ROW(AB22)))),"",INDEX($AA$4:$AA$60,SMALL(IF($AA$4:$AA$60&lt;&gt;0,ROW($AA$4:$AA$60)-3),ROW(AB22))))</f>
        <v/>
      </c>
      <c r="AC88" s="1321" t="str">
        <f t="array" ref="AC88">IF( ISERROR(INDEX($A$4:$A$60,SMALL(IF($AC$4:$AC$60&lt;&gt;0,ROW($AC$4:$AC$60)-4),ROW(AC22)))),"",INDEX($A$4:$A$60,SMALL(IF($AC$4:$AC$60&lt;&gt;0,ROW($AC$5:$AC$60)-4),ROW(AC22))))</f>
        <v/>
      </c>
      <c r="AD88" s="1321" t="str">
        <f t="array" ref="AD88">IF(ISERROR(INDEX($AC$4:$AC$60,SMALL(IF($AC$4:$AC$60&lt;&gt;0,ROW($AC$4:$AC$60)-3),ROW(AD22)))),"",INDEX($AC$4:$AC$60,SMALL(IF($AC$4:$AC$60&lt;&gt;0,ROW($AC$4:$AC$60)-3),ROW(AD22))))</f>
        <v/>
      </c>
      <c r="AE88" s="1321" t="str">
        <f t="array" ref="AE88">IF( ISERROR(INDEX($A$4:$A$60,SMALL(IF($AE$4:$AE$60&lt;&gt;0,ROW($AE$4:$AE$60)-4),ROW(AE22)))),"",INDEX($A$4:$A$60,SMALL(IF($AE$4:$AE$60&lt;&gt;0,ROW($AE$5:$AE$60)-4),ROW(AE22))))</f>
        <v/>
      </c>
      <c r="AF88" s="1321" t="str">
        <f t="array" ref="AF88">IF(ISERROR(INDEX($AE$4:$AE$60,SMALL(IF($AE$4:$AE$60&lt;&gt;0,ROW($AE$4:$AE$60)-3),ROW(AF22)))),"",INDEX($AE$4:$AE$60,SMALL(IF($AE$4:$AE$60&lt;&gt;0,ROW($AE$4:$AE$60)-3),ROW(AF22))))</f>
        <v/>
      </c>
      <c r="AG88" s="1321" t="str">
        <f t="array" ref="AG88">IF( ISERROR(INDEX($A$4:$A$60,SMALL(IF($AG$4:$AG$60&lt;&gt;0,ROW($AG$4:$AG$60)-4),ROW(AG22)))),"",INDEX($A$4:$A$60,SMALL(IF($AG$4:$AG$60&lt;&gt;0,ROW($AG$5:$AG$60)-4),ROW(AG22))))</f>
        <v/>
      </c>
      <c r="AH88" s="1321" t="str">
        <f t="array" ref="AH88">IF(ISERROR(INDEX($AG$4:$AG$60,SMALL(IF($AG$4:$AG$60&lt;&gt;0,ROW($AG$4:$AG$60)-3),ROW(AH22)))),"",INDEX($AG$4:$AG$60,SMALL(IF($AG$4:$AG$60&lt;&gt;0,ROW($AG$4:$AG$60)-3),ROW(AH22))))</f>
        <v/>
      </c>
      <c r="AI88" s="1321" t="str">
        <f t="array" ref="AI88">IF( ISERROR(INDEX($A$4:$A$60,SMALL(IF($AI$4:$AI$60&lt;&gt;0,ROW($AI$4:$AI$60)-4),ROW(AI22)))),"",INDEX($A$4:$A$60,SMALL(IF($AI$4:$AI$60&lt;&gt;0,ROW($AI$5:$AI$60)-4),ROW(AI22))))</f>
        <v/>
      </c>
      <c r="AJ88" s="1321" t="str">
        <f t="array" ref="AJ88">IF(ISERROR(INDEX($E$4:$E$60,SMALL(IF($AI$4:$AI$60&lt;&gt;0,ROW($AI$4:$AI$60)-3),ROW(AJ22)))),"",INDEX($AI$4:$AI$60,SMALL(IF($AI$4:$AI$60&lt;&gt;0,ROW($AI$4:$AI$60)-3),ROW(AJ22))))</f>
        <v/>
      </c>
      <c r="AK88" s="1321" t="str">
        <f t="array" ref="AK88">IF( ISERROR(INDEX($A$4:$A$60,SMALL(IF($AK$4:$AK$60&lt;&gt;0,ROW($AK$4:$AK$60)-4),ROW(AK22)))),"",INDEX($A$4:$A$60,SMALL(IF($AK$4:$AK$60&lt;&gt;0,ROW($AK$5:$AK$60)-4),ROW(AK22))))</f>
        <v/>
      </c>
      <c r="AL88" s="1321" t="str">
        <f t="array" ref="AL88">IF(ISERROR(INDEX($AK$4:$AK$60,SMALL(IF($AK$4:$AK$60&lt;&gt;0,ROW($AK$4:$AK$60)-3),ROW(AL22)))),"",INDEX($AK$4:$AK$60,SMALL(IF($AK$4:$AK$60&lt;&gt;0,ROW($AK$4:$AK$60)-3),ROW(AL22))))</f>
        <v/>
      </c>
      <c r="AM88" s="1321" t="str">
        <f t="array" ref="AM88">IF( ISERROR(INDEX($A$4:$A$60,SMALL(IF($AM$4:$AM$60&lt;&gt;0,ROW($AM$4:$AM$60)-4),ROW(AM22)))),"",INDEX($A$4:$A$60,SMALL(IF($AM$4:$AM$60&lt;&gt;0,ROW($AM$5:$AM$60)-4),ROW(AM22))))</f>
        <v/>
      </c>
      <c r="AN88" s="1321" t="str">
        <f t="array" ref="AN88">IF(ISERROR(INDEX($AM$4:$AM$60,SMALL(IF($AM$4:$AM$60&lt;&gt;0,ROW($AM$4:$AM$60)-3),ROW(AN22)))),"",INDEX($AM$4:$AM$60,SMALL(IF($AM$4:$AM$60&lt;&gt;0,ROW($AM$4:$AM$60)-3),ROW(AN22))))</f>
        <v/>
      </c>
      <c r="AO88" s="1321" t="str">
        <f t="array" ref="AO88">IF( ISERROR(INDEX($A$4:$A$60,SMALL(IF($AO$4:$AO$60&lt;&gt;0,ROW($AO$4:$AO$60)-4),ROW(AO22)))),"",INDEX($A$4:$A$60,SMALL(IF($AO$4:$AO$60&lt;&gt;0,ROW($AO$5:$AO$60)-4),ROW(AO22))))</f>
        <v/>
      </c>
      <c r="AP88" s="1321" t="str">
        <f t="array" ref="AP88">IF(ISERROR(INDEX($AO$4:$AO$60,SMALL(IF($AO$4:$AO$60&lt;&gt;0,ROW($AO$4:$AO$60)-3),ROW(AP22)))),"",INDEX($AO$4:$AO$60,SMALL(IF($AO$4:$AO$60&lt;&gt;0,ROW($AO$4:$AO$60)-3),ROW(AP22))))</f>
        <v/>
      </c>
      <c r="AQ88" s="1321" t="str">
        <f t="array" ref="AQ88">IF( ISERROR(INDEX($A$4:$A$60,SMALL(IF($AQ$4:$AQ$60&lt;&gt;0,ROW($AQ$4:$AQ$60)-4),ROW(AQ22)))),"",INDEX($A$4:$A$60,SMALL(IF($AQ$4:$AQ$60&lt;&gt;0,ROW($AQ$5:$AQ$60)-4),ROW(AQ22))))</f>
        <v/>
      </c>
      <c r="AR88" s="1321" t="str">
        <f t="array" ref="AR88">IF(ISERROR(INDEX($AQ$4:$AQ$60,SMALL(IF($AQ$4:$AQ$60&lt;&gt;0,ROW($AQ$4:$AQ$60)-3),ROW(AR22)))),"",INDEX($AQ$4:$AQ$60,SMALL(IF($AQ$4:$AQ$60&lt;&gt;0,ROW($AQ$4:$AQ$60)-3),ROW(AR22))))</f>
        <v/>
      </c>
      <c r="AS88" s="1321" t="str">
        <f t="array" ref="AS88">IF( ISERROR(INDEX($A$4:$A$60,SMALL(IF($AS$4:$AS$60&lt;&gt;0,ROW($AS$4:$AS$60)-4),ROW(AS22)))),"",INDEX($A$4:$A$60,SMALL(IF($AS$4:$AS$60&lt;&gt;0,ROW($AS$5:$AS$60)-4),ROW(AS22))))</f>
        <v/>
      </c>
      <c r="AT88" s="1321" t="str">
        <f t="array" ref="AT88">IF(ISERROR(INDEX($AS$4:$AS$60,SMALL(IF($AS$4:$AS$60&lt;&gt;0,ROW($AS$4:$AS$60)-3),ROW(AT22)))),"",INDEX($AS$4:$AS$60,SMALL(IF($AS$4:$AS$60&lt;&gt;0,ROW($AS$4:$AS$60)-3),ROW(AT22))))</f>
        <v/>
      </c>
      <c r="AU88" s="1321" t="str">
        <f t="array" ref="AU88">IF( ISERROR(INDEX($A$4:$A$60,SMALL(IF($AU$4:$AU$60&lt;&gt;0,ROW($AU$4:$AU$60)-4),ROW(AU22)))),"",INDEX($A$4:$A$60,SMALL(IF($AU$4:$AU$60&lt;&gt;0,ROW($AU$5:$AU$60)-4),ROW(AU22))))</f>
        <v/>
      </c>
      <c r="AV88" s="1321" t="str">
        <f t="array" ref="AV88">IF(ISERROR(INDEX($AU$4:$AU$60,SMALL(IF($AU$4:$AU$60&lt;&gt;0,ROW($AU$4:$AU$60)-3),ROW(AV22)))),"",INDEX($AU$4:$AU$60,SMALL(IF($AU$4:$AU$60&lt;&gt;0,ROW($AU$4:$AU$60)-3),ROW(AV22))))</f>
        <v/>
      </c>
      <c r="AW88" s="1321" t="str">
        <f t="array" ref="AW88">IF( ISERROR(INDEX($A$4:$A$60,SMALL(IF($AW$4:$AW$60&lt;&gt;0,ROW($AW$4:$AW$60)-4),ROW(AW22)))),"",INDEX($A$4:$A$60,SMALL(IF($AW$4:$AW$60&lt;&gt;0,ROW($AW$5:$AW$60)-4),ROW(AW22))))</f>
        <v/>
      </c>
      <c r="AX88" s="1321" t="str">
        <f t="array" ref="AX88">IF(ISERROR(INDEX($AW$4:$AW$60,SMALL(IF($AW$4:$AW$60&lt;&gt;0,ROW($AW$4:$AW$60)-3),ROW(AX22)))),"",INDEX($AW$4:$AW$60,SMALL(IF($AW$4:$AW$60&lt;&gt;0,ROW($AW$4:$AW$60)-3),ROW(AX22))))</f>
        <v/>
      </c>
      <c r="AY88" s="1321" t="str">
        <f t="array" ref="AY88">IF( ISERROR(INDEX($A$4:$A$60,SMALL(IF($AY$4:$AY$60&lt;&gt;0,ROW($AY$4:$AY$60)-4),ROW(AY22)))),"",INDEX($A$4:$A$60,SMALL(IF($AY$4:$AY$60&lt;&gt;0,ROW($AY$5:$AY$60)-4),ROW(AY22))))</f>
        <v/>
      </c>
      <c r="AZ88" s="1321" t="str">
        <f t="array" ref="AZ88">IF(ISERROR(INDEX($AY$4:$AY$60,SMALL(IF($AY$4:$AY$60&lt;&gt;0,ROW($AY$4:$AY$60)-3),ROW(AZ22)))),"",INDEX($AY$4:$AY$60,SMALL(IF($AY$4:$AY$60&lt;&gt;0,ROW($AY$4:$AY$60)-3),ROW(AZ22))))</f>
        <v/>
      </c>
      <c r="BA88" s="1321" t="str">
        <f t="array" ref="BA88">IF( ISERROR(INDEX($A$4:$A$60,SMALL(IF($BA$4:$BA$60&lt;&gt;0,ROW($BA$4:$BA$60)-4),ROW(BA22)))),"",INDEX($A$4:$A$60,SMALL(IF($BA$4:$BA$60&lt;&gt;0,ROW($BA$5:$BA$60)-4),ROW(BA22))))</f>
        <v/>
      </c>
      <c r="BB88" s="1321" t="str">
        <f t="array" ref="BB88">IF(ISERROR(INDEX($BA$4:$BA$60,SMALL(IF($BA$4:$BA$60&lt;&gt;0,ROW($BA$4:$BA$60)-3),ROW(BB22)))),"",INDEX($BA$4:$BA$60,SMALL(IF($BA$4:$BA$60&lt;&gt;0,ROW($BA$4:$BA$60)-3),ROW(BB22))))</f>
        <v/>
      </c>
      <c r="BC88" s="1321" t="str">
        <f t="array" ref="BC88">IF( ISERROR(INDEX($A$4:$A$60,SMALL(IF($BC$4:$BC$60&lt;&gt;0,ROW($BC$4:$BC$60)-4),ROW(BC22)))),"",INDEX($A$4:$A$60,SMALL(IF($BC$4:$BC$60&lt;&gt;0,ROW($BC$5:$BC$60)-4),ROW(BC22))))</f>
        <v/>
      </c>
      <c r="BD88" s="1321" t="str">
        <f t="array" ref="BD88">IF(ISERROR(INDEX($BC$4:$BC$60,SMALL(IF($BC$4:$BC$60&lt;&gt;0,ROW($BC$4:$BC$60)-3),ROW(BD22)))),"",INDEX($BC$4:$BC$60,SMALL(IF($BC$4:$BC$60&lt;&gt;0,ROW($BC$4:$BC$60)-3),ROW(BD22))))</f>
        <v/>
      </c>
      <c r="BE88" s="1321" t="str">
        <f t="array" ref="BE88">IF( ISERROR(INDEX($A$4:$A$60,SMALL(IF($BE$4:$BE$60&lt;&gt;0,ROW($BE$4:$BE$60)-4),ROW(BE22)))),"",INDEX($A$4:$A$60,SMALL(IF($BE$4:$BE$60&lt;&gt;0,ROW($BE$5:$BE$60)-4),ROW(BE22))))</f>
        <v/>
      </c>
      <c r="BF88" s="1321" t="str">
        <f t="array" ref="BF88">IF(ISERROR(INDEX($BE$4:$BE$60,SMALL(IF($BE$4:$BE$60&lt;&gt;0,ROW($BE$4:$BE$60)-3),ROW(BF22)))),"",INDEX($BE$4:$BE$60,SMALL(IF($BE$4:$BE$60&lt;&gt;0,ROW($BE$4:$BE$60)-3),ROW(BF22))))</f>
        <v/>
      </c>
      <c r="BG88" s="1321" t="str">
        <f t="array" ref="BG88">IF( ISERROR(INDEX($A$4:$A$60,SMALL(IF($BG$4:$BG$60&lt;&gt;0,ROW($BG$4:$BG$60)-4),ROW(BG22)))),"",INDEX($A$4:$A$60,SMALL(IF($BG$4:$BG$60&lt;&gt;0,ROW($BG$5:$BG$60)-4),ROW(BG22))))</f>
        <v/>
      </c>
      <c r="BH88" s="1321" t="str">
        <f t="array" ref="BH88">IF(ISERROR(INDEX($BG$4:$BG$60,SMALL(IF($BG$4:$BG$60&lt;&gt;0,ROW($BG$4:$BG$60)-3),ROW(BH22)))),"",INDEX($BG$4:$BG$60,SMALL(IF($BG$4:$BG$60&lt;&gt;0,ROW($BG$4:$BG$60)-3),ROW(BH22))))</f>
        <v/>
      </c>
      <c r="BI88" s="1321" t="str">
        <f t="array" ref="BI88">IF( ISERROR(INDEX($A$4:$A$60,SMALL(IF($BI$4:$BI$60&lt;&gt;0,ROW($BI$4:$BI$60)-4),ROW(BI22)))),"",INDEX($A$4:$A$60,SMALL(IF($BI$4:$BI$60&lt;&gt;0,ROW($BI$5:$BI$60)-4),ROW(BI22))))</f>
        <v/>
      </c>
      <c r="BJ88" s="1321" t="str">
        <f t="array" ref="BJ88">IF(ISERROR(INDEX($BI$4:$BI$60,SMALL(IF($BI$4:$BI$60&lt;&gt;0,ROW($BI$4:$BI$60)-3),ROW(BJ22)))),"",INDEX($BI$4:$BI$60,SMALL(IF($BI$4:$BI$60&lt;&gt;0,ROW($BI$4:$BI$60)-3),ROW(BJ22))))</f>
        <v/>
      </c>
      <c r="BK88" s="1321" t="str">
        <f t="array" ref="BK88">IF( ISERROR(INDEX($A$4:$A$60,SMALL(IF($BK$4:$BK$60&lt;&gt;0,ROW($BK$4:$BK$60)-4),ROW(BK22)))),"",INDEX($A$4:$A$60,SMALL(IF($BK$4:$BK$60&lt;&gt;0,ROW($BK$5:$BK$60)-4),ROW(BK22))))</f>
        <v/>
      </c>
      <c r="BL88" s="1321" t="str">
        <f t="array" ref="BL88">IF(ISERROR(INDEX($BK$4:$BK$60,SMALL(IF($BK$4:$BK$60&lt;&gt;0,ROW($BK$4:$BK$60)-3),ROW(BL22)))),"",INDEX($BK$4:$BK$60,SMALL(IF($BK$4:$BK$60&lt;&gt;0,ROW($BK$4:$BK$60)-3),ROW(BL22))))</f>
        <v/>
      </c>
      <c r="BM88" s="1321" t="str">
        <f t="array" ref="BM88">IF( ISERROR(INDEX($A$4:$A$60,SMALL(IF($BM$4:$BM$60&lt;&gt;0,ROW($BM$4:$BM$60)-4),ROW(BM22)))),"",INDEX($A$4:$A$60,SMALL(IF($BM$4:$BM$60&lt;&gt;0,ROW($BM$5:$BM$60)-4),ROW(BM22))))</f>
        <v/>
      </c>
      <c r="BN88" s="1321" t="str">
        <f t="array" ref="BN88">IF(ISERROR(INDEX($BM$4:$BM$60,SMALL(IF($BM$4:$BM$60&lt;&gt;0,ROW($BM$4:$BM$60)-3),ROW(BN22)))),"",INDEX($BM$4:$BM$60,SMALL(IF($BM$4:$BM$60&lt;&gt;0,ROW($BM$4:$BM$60)-3),ROW(BN22))))</f>
        <v/>
      </c>
      <c r="BO88" s="1321" t="str">
        <f t="array" ref="BO88">IF( ISERROR(INDEX($A$4:$A$60,SMALL(IF($BO$4:$BO$60&lt;&gt;0,ROW($BO$4:$BO$60)-4),ROW(BO22)))),"",INDEX($A$4:$A$60,SMALL(IF($BO$4:$BO$60&lt;&gt;0,ROW($BO$5:$BO$60)-4),ROW(BO22))))</f>
        <v/>
      </c>
      <c r="BP88" s="1321" t="str">
        <f t="array" ref="BP88">IF(ISERROR(INDEX($BO$4:$BO$60,SMALL(IF($BO$4:$BO$60&lt;&gt;0,ROW($BO$4:$BO$60)-3),ROW(BP22)))),"",INDEX($BO$4:$BO$60,SMALL(IF($BO$4:$BO$60&lt;&gt;0,ROW($BO$4:$BO$60)-3),ROW(BP22))))</f>
        <v/>
      </c>
      <c r="BQ88" s="1321" t="str">
        <f t="array" ref="BQ88">IF( ISERROR(INDEX($A$4:$A$60,SMALL(IF($BQ$4:$BQ$60&lt;&gt;0,ROW($BQ$4:$BQ$60)-4),ROW(BQ22)))),"",INDEX($A$4:$A$60,SMALL(IF($BQ$4:$BQ$60&lt;&gt;0,ROW($BQ$5:$BQ$60)-4),ROW(BQ22))))</f>
        <v/>
      </c>
      <c r="BR88" s="1321" t="str">
        <f t="array" ref="BR88">IF(ISERROR(INDEX($BQ$4:$BQ$60,SMALL(IF($BQ$4:$BQ$60&lt;&gt;0,ROW($BQ$4:$BQ$60)-3),ROW(BR22)))),"",INDEX($BQ$4:$BQ$60,SMALL(IF($BQ$4:$BQ$60&lt;&gt;0,ROW($BQ$4:$BQ$60)-3),ROW(BR22))))</f>
        <v/>
      </c>
      <c r="BS88" s="1321" t="str">
        <f t="array" ref="BS88">IF( ISERROR(INDEX($A$4:$A$60,SMALL(IF($BS$4:$BS$60&lt;&gt;0,ROW($BS$4:$BS$60)-4),ROW(BS22)))),"",INDEX($A$4:$A$60,SMALL(IF($BS$4:$BS$60&lt;&gt;0,ROW($BS$5:$BS$60)-4),ROW(BS22))))</f>
        <v/>
      </c>
      <c r="BT88" s="1321" t="str">
        <f t="array" ref="BT88">IF(ISERROR(INDEX($BS$4:$BS$60,SMALL(IF($BS$4:$BS$60&lt;&gt;0,ROW($BS$4:$BS$60)-3),ROW(BT22)))),"",INDEX($BS$4:$BS$60,SMALL(IF($BS$4:$BS$60&lt;&gt;0,ROW($BS$4:$BS$60)-3),ROW(BT22))))</f>
        <v/>
      </c>
      <c r="BU88" s="1321" t="str">
        <f t="array" ref="BU88">IF( ISERROR(INDEX($A$4:$A$60,SMALL(IF($BU$4:$BU$60&lt;&gt;0,ROW($BU$4:$BU$60)-4),ROW(BU22)))),"",INDEX($A$4:$A$60,SMALL(IF($BU$4:$BU$60&lt;&gt;0,ROW($BU$5:$BU$60)-4),ROW(BU22))))</f>
        <v/>
      </c>
      <c r="BV88" s="1321" t="str">
        <f t="array" ref="BV88">IF(ISERROR(INDEX($BQ$4:$BQ$60,SMALL(IF($BU$4:$BU$60&lt;&gt;0,ROW($BU$4:$BU$60)-3),ROW(BV22)))),"",INDEX($BU$4:$BU$60,SMALL(IF($BU$4:$BU$60&lt;&gt;0,ROW($BU$4:$BU$60)-3),ROW(BV22))))</f>
        <v/>
      </c>
      <c r="BW88" s="1321" t="str">
        <f t="array" ref="BW88">IF( ISERROR(INDEX($A$4:$A$60,SMALL(IF($BW$4:$BW$60&lt;&gt;0,ROW($BW$4:$BW$60)-4),ROW(BW22)))),"",INDEX($A$4:$A$60,SMALL(IF($BW$4:$BW$60&lt;&gt;0,ROW($BW$5:$BW$60)-4),ROW(BW22))))</f>
        <v/>
      </c>
      <c r="BX88" s="1321" t="str">
        <f t="array" ref="BX88">IF(ISERROR(INDEX($BW$4:$BW$60,SMALL(IF($BW$4:$BW$60&lt;&gt;0,ROW($BW$4:$BW$60)-3),ROW(BX22)))),"",INDEX($BW$4:$BW$60,SMALL(IF($BW$4:$BW$60&lt;&gt;0,ROW($BW$4:$BW$60)-3),ROW(BX22))))</f>
        <v/>
      </c>
      <c r="BY88" s="1321" t="str">
        <f t="array" ref="BY88">IF( ISERROR(INDEX($A$4:$A$60,SMALL(IF($BY$4:$BY$60&lt;&gt;0,ROW($BY$4:$BY$60)-4),ROW(BY22)))),"",INDEX($A$4:$A$60,SMALL(IF($BY$4:$BY$60&lt;&gt;0,ROW($BY$5:$BY$60)-4),ROW(BY22))))</f>
        <v/>
      </c>
      <c r="BZ88" s="1321" t="str">
        <f t="array" ref="BZ88">IF(ISERROR(INDEX($BY$4:$BY$60,SMALL(IF($BY$4:$BY$60&lt;&gt;0,ROW($BY$4:$BY$60)-3),ROW(BZ22)))),"",INDEX($BY$4:$BY$60,SMALL(IF($BY$4:$BY$60&lt;&gt;0,ROW($BY$4:$BY$60)-3),ROW(BZ22))))</f>
        <v/>
      </c>
      <c r="CA88" s="1321" t="str">
        <f t="array" ref="CA88">IF( ISERROR(INDEX($A$4:$A$60,SMALL(IF($CA$4:$CA$60&lt;&gt;0,ROW($CA$4:$CA$60)-4),ROW(CA22)))),"",INDEX($A$4:$A$60,SMALL(IF($CA$4:$CA$60&lt;&gt;0,ROW($CA$5:$CA$60)-4),ROW(CA22))))</f>
        <v/>
      </c>
      <c r="CB88" s="1321" t="str">
        <f t="array" ref="CB88">IF(ISERROR(INDEX($CA$4:$CA$60,SMALL(IF($CA$4:$CA$60&lt;&gt;0,ROW($CA$4:$CA$60)-3),ROW(CB22)))),"",INDEX($CA$4:$CA$60,SMALL(IF($CA$4:$CA$60&lt;&gt;0,ROW($CA$4:$CA$60)-3),ROW(CB22))))</f>
        <v/>
      </c>
      <c r="CC88" s="1321" t="str">
        <f t="array" ref="CC88">IF( ISERROR(INDEX($A$4:$A$60,SMALL(IF($CC$4:$CC$60&lt;&gt;0,ROW($CC$4:$CC$60)-4),ROW(CC22)))),"",INDEX($A$4:$A$60,SMALL(IF($CC$4:$CC$60&lt;&gt;0,ROW($CC$5:$CC$60)-4),ROW(CC22))))</f>
        <v/>
      </c>
      <c r="CD88" s="1321" t="str">
        <f t="array" ref="CD88">IF(ISERROR(INDEX($CC$4:$CC$60,SMALL(IF($CC$4:$CC$60&lt;&gt;0,ROW($CC$4:$CC$60)-3),ROW(CD22)))),"",INDEX($CC$4:$CC$60,SMALL(IF($CC$4:$CC$60&lt;&gt;0,ROW($CC$4:$CC$60)-3),ROW(CD22))))</f>
        <v/>
      </c>
      <c r="CE88" s="1321" t="str">
        <f t="array" ref="CE88">IF( ISERROR(INDEX($A$4:$A$60,SMALL(IF($CE$4:$CE$60&lt;&gt;0,ROW($CE$4:$CE$60)-4),ROW(CE22)))),"",INDEX($A$4:$A$60,SMALL(IF($CE$4:$CE$60&lt;&gt;0,ROW($CE$5:$CE$60)-4),ROW(CE22))))</f>
        <v/>
      </c>
      <c r="CF88" s="1321" t="str">
        <f t="array" ref="CF88">IF(ISERROR(INDEX($CE$4:$CE$60,SMALL(IF($CE$4:$CE$60&lt;&gt;0,ROW($CE$4:$CE$60)-3),ROW(CF22)))),"",INDEX($CE$4:$CE$60,SMALL(IF($CE$4:$CE$60&lt;&gt;0,ROW($CE$4:$CE$60)-3),ROW(CF22))))</f>
        <v/>
      </c>
      <c r="CG88" s="1321" t="str">
        <f t="array" ref="CG88">IF( ISERROR(INDEX($A$4:$A$60,SMALL(IF($CG$4:$CG$60&lt;&gt;0,ROW($CG$4:$CG$60)-4),ROW(CG22)))),"",INDEX($A$4:$A$60,SMALL(IF($CG$4:$CG$60&lt;&gt;0,ROW($CG$5:$CG$60)-4),ROW(CG22))))</f>
        <v/>
      </c>
      <c r="CH88" s="1321" t="str">
        <f t="array" ref="CH88">IF(ISERROR(INDEX($CG$4:$CG$60,SMALL(IF($CG$4:$CG$60&lt;&gt;0,ROW($CG$4:$CG$60)-3),ROW(CH22)))),"",INDEX($CG$4:$CG$60,SMALL(IF($CG$4:$CG$60&lt;&gt;0,ROW($CG$4:$CG$60)-3),ROW(CH22))))</f>
        <v/>
      </c>
      <c r="CI88" s="1321" t="str">
        <f t="array" ref="CI88">IF( ISERROR(INDEX($A$4:$A$60,SMALL(IF($CA$4:$CA$60&lt;&gt;0,ROW($CA$4:$CA$60)-4),ROW(CI22)))),"",INDEX($A$4:$A$60,SMALL(IF($CA$4:$CA$60&lt;&gt;0,ROW($CA$5:$CA$60)-4),ROW(CI22))))</f>
        <v/>
      </c>
      <c r="CJ88" s="1321" t="str">
        <f t="array" ref="CJ88">IF(ISERROR(INDEX($CA$4:$CA$60,SMALL(IF($CA$4:$CA$60&lt;&gt;0,ROW($CA$4:$CA$60)-3),ROW(CJ22)))),"",INDEX($CA$4:$CA$60,SMALL(IF($CA$4:$CA$60&lt;&gt;0,ROW($CA$4:$CA$60)-3),ROW(CJ22))))</f>
        <v/>
      </c>
      <c r="CK88" s="1321" t="str">
        <f t="array" ref="CK88">IF( ISERROR(INDEX($A$4:$A$60,SMALL(IF($CK$4:$CK$60&lt;&gt;0,ROW($CK$4:$CK$60)-4),ROW(CK22)))),"",INDEX($A$4:$A$60,SMALL(IF($CK$4:$CK$60&lt;&gt;0,ROW($CK$5:$CK$60)-4),ROW(CK22))))</f>
        <v/>
      </c>
      <c r="CL88" s="1321" t="str">
        <f t="array" ref="CL88">IF(ISERROR(INDEX($CK$4:$CK$60,SMALL(IF($CK$4:$CK$60&lt;&gt;0,ROW($CK$4:$CK$60)-3),ROW(CL22)))),"",INDEX($CK$4:$CK$60,SMALL(IF($CK$4:$CK$60&lt;&gt;0,ROW($CK$4:$CK$60)-3),ROW(CL22))))</f>
        <v/>
      </c>
      <c r="CM88" s="1321" t="str">
        <f t="array" ref="CM88">IF( ISERROR(INDEX($A$4:$A$60,SMALL(IF($CM$4:$CM$60&lt;&gt;0,ROW($CM$4:$CM$60)-4),ROW(CM22)))),"",INDEX($A$4:$A$60,SMALL(IF($CM$4:$CM$60&lt;&gt;0,ROW($CM$5:$CM$60)-4),ROW(CM22))))</f>
        <v/>
      </c>
      <c r="CN88" s="1321" t="str">
        <f t="array" ref="CN88">IF(ISERROR(INDEX($CM$4:$CM$60,SMALL(IF($CM$4:$CM$60&lt;&gt;0,ROW($CM$4:$CM$60)-3),ROW(CN22)))),"",INDEX($CM$4:$CM$60,SMALL(IF($CM$4:$CM$60&lt;&gt;0,ROW($CM$4:$CM$60)-3),ROW(CN22))))</f>
        <v/>
      </c>
      <c r="CO88" s="1321" t="str">
        <f t="array" ref="CO88">IF( ISERROR(INDEX($A$4:$A$60,SMALL(IF($CO$4:$CO$60&lt;&gt;0,ROW($CO$4:$CO$60)-4),ROW(CO22)))),"",INDEX($A$4:$A$60,SMALL(IF($CO$4:$CO$60&lt;&gt;0,ROW($CO$5:$CO$60)-4),ROW(CO22))))</f>
        <v/>
      </c>
      <c r="CP88" s="1321" t="str">
        <f t="array" ref="CP88">IF(ISERROR(INDEX($CO$4:$CO$60,SMALL(IF($CO$4:$CO$60&lt;&gt;0,ROW($CO$4:$CO$60)-3),ROW(CP22)))),"",INDEX($CO$4:$CO$60,SMALL(IF($CO$4:$CO$60&lt;&gt;0,ROW($CO$4:$CO$60)-3),ROW(CP22))))</f>
        <v/>
      </c>
      <c r="CQ88" s="1321" t="str">
        <f t="array" ref="CQ88">IF( ISERROR(INDEX($A$4:$A$60,SMALL(IF($CQ$4:$CQ$60&lt;&gt;0,ROW($CQ$4:$CQ$60)-4),ROW(CQ22)))),"",INDEX($A$4:$A$60,SMALL(IF($CQ$4:$CQ$60&lt;&gt;0,ROW($CQ$5:$CQ$60)-4),ROW(CQ22))))</f>
        <v/>
      </c>
      <c r="CR88" s="1321" t="str">
        <f t="array" ref="CR88">IF(ISERROR(INDEX($CQ$4:$CQ$60,SMALL(IF($CQ$4:$CQ$60&lt;&gt;0,ROW($CQ$4:$CQ$60)-3),ROW(CR22)))),"",INDEX($CQ$4:$CQ$60,SMALL(IF($CQ$4:$CQ$60&lt;&gt;0,ROW($CQ$4:$CQ$60)-3),ROW(CR22))))</f>
        <v/>
      </c>
      <c r="CS88" s="1321" t="str">
        <f t="array" ref="CS88">IF( ISERROR(INDEX($A$4:$A$60,SMALL(IF($CS$4:$CS$60&lt;&gt;0,ROW($CS$4:$CS$60)-4),ROW(CS22)))),"",INDEX($A$4:$A$60,SMALL(IF($CS$4:$CS$60&lt;&gt;0,ROW($CS$5:$CS$60)-4),ROW(CS22))))</f>
        <v/>
      </c>
      <c r="CT88" s="1321" t="str">
        <f t="array" ref="CT88">IF(ISERROR(INDEX($CS$4:$CS$60,SMALL(IF($CS$4:$CS$60&lt;&gt;0,ROW($CS$4:$CS$60)-3),ROW(CT22)))),"",INDEX($CS$4:$CS$60,SMALL(IF($CS$4:$CS$60&lt;&gt;0,ROW($CS$4:$CS$60)-3),ROW(CT22))))</f>
        <v/>
      </c>
      <c r="CU88" s="1321" t="str">
        <f t="array" ref="CU88">IF( ISERROR(INDEX($A$4:$A$60,SMALL(IF($CU$4:$CU$60&lt;&gt;0,ROW($CU$4:$CU$60)-4),ROW(CU22)))),"",INDEX($A$4:$A$60,SMALL(IF($CU$4:$CU$60&lt;&gt;0,ROW($CU$5:$CU$60)-4),ROW(CU22))))</f>
        <v/>
      </c>
      <c r="CV88" s="1321" t="str">
        <f t="array" ref="CV88">IF(ISERROR(INDEX($CU$4:$CU$60,SMALL(IF($CU$4:$CU$60&lt;&gt;0,ROW($CU$4:$CU$60)-3),ROW(CV22)))),"",INDEX($CU$4:$CU$60,SMALL(IF($CU$4:$CU$60&lt;&gt;0,ROW($CU$4:$CU$60)-3),ROW(CV22))))</f>
        <v/>
      </c>
      <c r="CW88" s="1321" t="str">
        <f t="array" ref="CW88">IF( ISERROR(INDEX($A$4:$A$60,SMALL(IF($CW$4:$CW$60&lt;&gt;0,ROW($CW$4:$CW$60)-4),ROW(CW22)))),"",INDEX($A$4:$A$60,SMALL(IF($CW$4:$CW$60&lt;&gt;0,ROW($CW$5:$CW$60)-4),ROW(CW22))))</f>
        <v/>
      </c>
      <c r="CX88" s="1321" t="str">
        <f t="array" ref="CX88">IF(ISERROR(INDEX($CW$4:$CW$60,SMALL(IF($CW$4:$CW$60&lt;&gt;0,ROW($CW$4:$CW$60)-3),ROW(CX22)))),"",INDEX($CW$4:$CW$60,SMALL(IF($CW$4:$CW$60&lt;&gt;0,ROW($CW$4:$CW$60)-3),ROW(CX22))))</f>
        <v/>
      </c>
      <c r="CY88" s="1321" t="str">
        <f t="array" ref="CY88">IF( ISERROR(INDEX($A$4:$A$60,SMALL(IF($CY$4:$CY$60&lt;&gt;0,ROW($CY$4:$CY$60)-4),ROW(CY22)))),"",INDEX($A$4:$A$60,SMALL(IF($CY$4:$CY$60&lt;&gt;0,ROW($CY$5:$CY$60)-4),ROW(CY22))))</f>
        <v/>
      </c>
      <c r="CZ88" s="1321" t="str">
        <f t="array" ref="CZ88">IF(ISERROR(INDEX($CY$4:$CY$60,SMALL(IF($CY$4:$CY$60&lt;&gt;0,ROW($CY$4:$CY$60)-3),ROW(CZ22)))),"",INDEX($CY$4:$CY$60,SMALL(IF($CY$4:$CY$60&lt;&gt;0,ROW($CY$4:$CY$60)-3),ROW(CZ22))))</f>
        <v/>
      </c>
      <c r="DA88" s="1321"/>
      <c r="DB88" s="1321"/>
      <c r="DC88" s="1321"/>
      <c r="DD88" s="1321"/>
      <c r="DE88" s="1321"/>
      <c r="DF88" s="1321"/>
      <c r="DG88" s="1321"/>
      <c r="DH88" s="1321"/>
      <c r="DI88" s="1321"/>
      <c r="DJ88" s="1321"/>
      <c r="DK88" s="1321"/>
      <c r="DL88" s="1321"/>
      <c r="DM88" s="1321"/>
      <c r="DN88" s="1321"/>
      <c r="DO88" s="1321"/>
      <c r="DP88" s="1321"/>
      <c r="DQ88" s="1321"/>
      <c r="DR88" s="1321"/>
      <c r="DS88" s="1321"/>
      <c r="DT88" s="1321"/>
      <c r="DU88" s="1321"/>
      <c r="DV88" s="1321"/>
      <c r="DW88" s="1321"/>
      <c r="DX88" s="1321"/>
      <c r="DY88" s="1321"/>
      <c r="DZ88" s="1321"/>
      <c r="EA88" s="1321"/>
      <c r="EB88" s="1321"/>
      <c r="EC88" s="1321"/>
      <c r="ED88" s="1321"/>
      <c r="EE88" s="1321"/>
      <c r="EF88" s="1321"/>
      <c r="EG88" s="1321"/>
      <c r="EH88" s="1321"/>
      <c r="EI88" s="1321"/>
      <c r="EJ88" s="1321"/>
      <c r="EK88" s="1321"/>
      <c r="EL88" s="1321"/>
      <c r="EM88" s="1321"/>
      <c r="EN88" s="1321"/>
      <c r="EO88" s="1321"/>
      <c r="EP88" s="1321"/>
      <c r="EQ88" s="1321"/>
      <c r="ER88" s="1321"/>
      <c r="ES88" s="1321"/>
      <c r="ET88" s="1321"/>
      <c r="EU88" s="1321"/>
      <c r="EV88" s="1321"/>
      <c r="EW88" s="1321"/>
      <c r="EX88" s="1321"/>
      <c r="EY88" s="1321"/>
      <c r="EZ88" s="1321"/>
      <c r="FA88" s="1321"/>
      <c r="FB88" s="1321"/>
      <c r="FC88" s="1321"/>
      <c r="FD88" s="1321"/>
      <c r="FE88" s="1321"/>
      <c r="FF88" s="1321"/>
      <c r="FG88" s="1321"/>
      <c r="FH88" s="1321"/>
      <c r="FI88" s="1321"/>
      <c r="FJ88" s="1321"/>
      <c r="FK88" s="1321"/>
      <c r="FL88" s="1321"/>
      <c r="FM88" s="1321"/>
      <c r="FN88" s="1321"/>
      <c r="FO88" s="1321"/>
      <c r="FP88" s="1321"/>
      <c r="FQ88" s="1321"/>
      <c r="FR88" s="1321"/>
      <c r="FS88" s="1321"/>
      <c r="FT88" s="1321"/>
      <c r="FU88" s="1321"/>
      <c r="FV88" s="1321"/>
      <c r="FW88" s="1321"/>
      <c r="FX88" s="1321"/>
      <c r="FY88" s="1321"/>
      <c r="FZ88" s="1321"/>
      <c r="GA88" s="1321"/>
      <c r="GB88" s="1321"/>
      <c r="GC88" s="1321"/>
      <c r="GD88" s="1321"/>
      <c r="GE88" s="1321"/>
      <c r="GF88" s="1321"/>
      <c r="GG88" s="1321"/>
      <c r="GH88" s="1321"/>
      <c r="GI88" s="1321"/>
      <c r="GJ88" s="1321"/>
      <c r="GK88" s="1321"/>
      <c r="GL88" s="1321"/>
      <c r="GM88" s="1321"/>
      <c r="GN88" s="1321"/>
      <c r="GO88" s="1321"/>
      <c r="GP88" s="1321"/>
      <c r="GQ88" s="1321"/>
      <c r="GR88" s="1321"/>
      <c r="GS88" s="1321"/>
      <c r="GT88" s="1321"/>
      <c r="GU88" s="1321"/>
      <c r="GV88" s="1321"/>
      <c r="GW88" s="1321"/>
      <c r="GX88" s="1321"/>
      <c r="GY88" s="1321"/>
      <c r="GZ88" s="1321"/>
    </row>
    <row r="89" spans="3:208" hidden="1">
      <c r="C89" s="1321" t="str">
        <f t="array" ref="C89">IF( ISERROR(INDEX($A$4:$A$60,SMALL(IF($C$4:$C$60&lt;&gt;0,ROW($C$4:$C$60)-4),ROW(A23)))),"",INDEX($A$4:$A$60,SMALL(IF($C$4:$C$60&lt;&gt;0,ROW($C$5:$C$60)-4),ROW(A23))))</f>
        <v/>
      </c>
      <c r="D89" s="1321" t="str">
        <f t="array" ref="D89">IF(ISERROR(INDEX($C$4:$C$60,SMALL(IF($C$4:$C$60&lt;&gt;0,ROW($C$4:$C$60)-3),ROW(D23)))),"",INDEX($C$4:$C$60,SMALL(IF($C$4:$C$60&lt;&gt;0,ROW($C$4:$C$60)-3),ROW(D23))))</f>
        <v/>
      </c>
      <c r="E89" s="1321" t="str">
        <f t="array" ref="E89">IF( ISERROR(INDEX($A$4:$A$60,SMALL(IF($E$4:$E$60&lt;&gt;0,ROW($E$4:$E$60)-4),ROW(E23)))),"",INDEX($A$4:$A$60,SMALL(IF($E$4:$E$60&lt;&gt;0,ROW($E$5:$E$60)-4),ROW(E23))))</f>
        <v/>
      </c>
      <c r="F89" s="1321" t="str">
        <f t="array" ref="F89">IF(ISERROR(INDEX($E$4:$E$60,SMALL(IF($E$4:$E$60&lt;&gt;0,ROW($E$4:$E$60)-3),ROW(F23)))),"",INDEX($E$4:$E$60,SMALL(IF($E$4:$E$60&lt;&gt;0,ROW($E$4:$E$60)-3),ROW(F23))))</f>
        <v/>
      </c>
      <c r="G89" s="1321" t="str">
        <f t="array" ref="G89">IF( ISERROR(INDEX($A$4:$A$60,SMALL(IF($G$4:$G$60&lt;&gt;0,ROW($G$4:$G$60)-4),ROW(G23)))),"",INDEX($A$4:$A$60,SMALL(IF($G$4:$G$60&lt;&gt;0,ROW($G$5:$G$60)-4),ROW(G23))))</f>
        <v/>
      </c>
      <c r="H89" s="1321" t="str">
        <f t="array" ref="H89">IF(ISERROR(INDEX($E$4:$E$60,SMALL(IF($G$4:$G$60&lt;&gt;0,ROW($G$4:$G$60)-3),ROW(H23)))),"",INDEX($G$4:$G$60,SMALL(IF($G$4:$G$60&lt;&gt;0,ROW($G$4:$G$60)-3),ROW(H23))))</f>
        <v/>
      </c>
      <c r="I89" s="1321" t="str">
        <f t="array" ref="I89">IF( ISERROR(INDEX($A$4:$A$60,SMALL(IF($I$4:$I$60&lt;&gt;0,ROW($I$4:$I$60)-4),ROW(I23)))),"",INDEX($A$4:$A$60,SMALL(IF($I$4:$I$60&lt;&gt;0,ROW($I$5:$I$60)-4),ROW(I23))))</f>
        <v/>
      </c>
      <c r="J89" s="1321" t="str">
        <f t="array" ref="J89">IF(ISERROR(INDEX($I$4:$I$60,SMALL(IF($I$4:$I$60&lt;&gt;0,ROW($I$4:$I$60)-3),ROW(J23)))),"",INDEX($I$4:$I$60,SMALL(IF($I$4:$I$60&lt;&gt;0,ROW($I$4:$I$60)-3),ROW(J23))))</f>
        <v/>
      </c>
      <c r="K89" s="1321" t="str">
        <f t="array" ref="K89">IF( ISERROR(INDEX($A$4:$A$60,SMALL(IF($K$4:$K$60&lt;&gt;0,ROW($K$4:$K$60)-4),ROW(K23)))),"",INDEX($A$4:$A$60,SMALL(IF($K$4:$K$60&lt;&gt;0,ROW($K$5:$K$60)-4),ROW(K23))))</f>
        <v/>
      </c>
      <c r="L89" s="1321" t="str">
        <f t="array" ref="L89">IF(ISERROR(INDEX($K$4:$K$60,SMALL(IF($K$4:$K$60&lt;&gt;0,ROW($K$4:$K$60)-3),ROW(L23)))),"",INDEX($K$4:$K$60,SMALL(IF($K$4:$K$60&lt;&gt;0,ROW($K$4:$K$60)-3),ROW(L23))))</f>
        <v/>
      </c>
      <c r="M89" s="1321" t="str">
        <f t="array" ref="M89">IF( ISERROR(INDEX($A$4:$A$60,SMALL(IF($M$4:$M$60&lt;&gt;0,ROW($M$4:$M$60)-4),ROW(M23)))),"",INDEX($A$4:$A$60,SMALL(IF($M$4:$M$60&lt;&gt;0,ROW($M$5:$M$60)-4),ROW(M23))))</f>
        <v/>
      </c>
      <c r="N89" s="1321" t="str">
        <f t="array" ref="N89">IF(ISERROR(INDEX($M$4:$M$60,SMALL(IF($M$4:$M$60&lt;&gt;0,ROW($M$4:$M$60)-3),ROW(N23)))),"",INDEX($M$4:$M$60,SMALL(IF($M$4:$M$60&lt;&gt;0,ROW($M$4:$M$60)-3),ROW(N23))))</f>
        <v/>
      </c>
      <c r="O89" s="1321" t="str">
        <f t="array" ref="O89">IF( ISERROR(INDEX($A$4:$A$60,SMALL(IF($O$4:$O$60&lt;&gt;0,ROW($O$4:$O$60)-4),ROW(O23)))),"",INDEX($A$4:$A$60,SMALL(IF($O$4:$O$60&lt;&gt;0,ROW($O$5:$O$60)-4),ROW(O23))))</f>
        <v/>
      </c>
      <c r="P89" s="1321" t="str">
        <f t="array" ref="P89">IF(ISERROR(INDEX($O$4:$O$60,SMALL(IF($O$4:$O$60&lt;&gt;0,ROW($O$4:$O$60)-3),ROW(P23)))),"",INDEX($O$4:$O$60,SMALL(IF($O$4:$O$60&lt;&gt;0,ROW($O$4:$O$60)-3),ROW(P23))))</f>
        <v/>
      </c>
      <c r="Q89" s="1321" t="str">
        <f t="array" ref="Q89">IF( ISERROR(INDEX($A$4:$A$60,SMALL(IF($Q$4:$Q$60&lt;&gt;0,ROW($Q$4:$Q$60)-4),ROW(Q23)))),"",INDEX($A$4:$A$60,SMALL(IF($Q$4:$Q$60&lt;&gt;0,ROW($Q$5:$Q$60)-4),ROW(Q23))))</f>
        <v/>
      </c>
      <c r="R89" s="1321" t="str">
        <f t="array" ref="R89">IF(ISERROR(INDEX($Q$4:$Q$60,SMALL(IF($Q$4:$Q$60&lt;&gt;0,ROW($Q$4:$Q$60)-3),ROW(R23)))),"",INDEX($Q$4:$Q$60,SMALL(IF($Q$4:$Q$60&lt;&gt;0,ROW($Q$4:$Q$60)-3),ROW(R23))))</f>
        <v/>
      </c>
      <c r="S89" s="1321" t="str">
        <f t="array" ref="S89">IF( ISERROR(INDEX($A$4:$A$60,SMALL(IF($S$4:$S$60&lt;&gt;0,ROW($S$4:$S$60)-4),ROW(S23)))),"",INDEX($A$4:$A$60,SMALL(IF($S$4:$S$60&lt;&gt;0,ROW($S$5:$S$60)-4),ROW(S23))))</f>
        <v/>
      </c>
      <c r="T89" s="1321" t="str">
        <f t="array" ref="T89">IF(ISERROR(INDEX($S$4:$S$60,SMALL(IF($S$4:$S$60&lt;&gt;0,ROW($S$4:$S$60)-3),ROW(T23)))),"",INDEX($S$4:$S$60,SMALL(IF($S$4:$S$60&lt;&gt;0,ROW($S$4:$S$60)-3),ROW(T23))))</f>
        <v/>
      </c>
      <c r="U89" s="1321" t="str">
        <f t="array" ref="U89">IF( ISERROR(INDEX($A$4:$A$60,SMALL(IF($U$4:$U$60&lt;&gt;0,ROW($U$4:$U$60)-4),ROW(U23)))),"",INDEX($A$4:$A$60,SMALL(IF($U$4:$U$60&lt;&gt;0,ROW($U$5:$U$60)-4),ROW(U23))))</f>
        <v/>
      </c>
      <c r="V89" s="1321" t="str">
        <f t="array" ref="V89">IF(ISERROR(INDEX($U$4:$U$60,SMALL(IF($U$4:$U$60&lt;&gt;0,ROW($U$4:$U$60)-3),ROW(V23)))),"",INDEX($U$4:$U$60,SMALL(IF($U$4:$U$60&lt;&gt;0,ROW($U$4:$U$60)-3),ROW(V23))))</f>
        <v/>
      </c>
      <c r="W89" s="1321" t="str">
        <f t="array" ref="W89">IF( ISERROR(INDEX($A$4:$A$60,SMALL(IF($W$4:$W$60&lt;&gt;0,ROW($W$4:$W$60)-4),ROW(W23)))),"",INDEX($A$4:$A$60,SMALL(IF($W$4:$W$60&lt;&gt;0,ROW($W$5:$W$60)-4),ROW(W23))))</f>
        <v/>
      </c>
      <c r="X89" s="1321" t="str">
        <f t="array" ref="X89">IF(ISERROR(INDEX($W$4:$W$60,SMALL(IF($W$4:$W$60&lt;&gt;0,ROW($W$4:$W$60)-3),ROW(X23)))),"",INDEX($W$4:$W$60,SMALL(IF($W$4:$W$60&lt;&gt;0,ROW($W$4:$W$60)-3),ROW(X23))))</f>
        <v/>
      </c>
      <c r="Y89" s="1321" t="str">
        <f t="array" ref="Y89">IF( ISERROR(INDEX($A$4:$A$60,SMALL(IF($Y$4:$Y$60&lt;&gt;0,ROW($Y$4:$Y$60)-4),ROW(Y23)))),"",INDEX($A$4:$A$60,SMALL(IF($Y$4:$Y$60&lt;&gt;0,ROW($Y$5:$Y$60)-4),ROW(Y23))))</f>
        <v/>
      </c>
      <c r="Z89" s="1321" t="str">
        <f t="array" ref="Z89">IF(ISERROR(INDEX($Y$4:$Y$60,SMALL(IF($Y$4:$Y$60&lt;&gt;0,ROW($Y$4:$Y$60)-3),ROW(Z23)))),"",INDEX($Y$4:$Y$60,SMALL(IF($Y$4:$Y$60&lt;&gt;0,ROW($Y$4:$Y$60)-3),ROW(Z23))))</f>
        <v/>
      </c>
      <c r="AA89" s="1321" t="str">
        <f t="array" ref="AA89">IF( ISERROR(INDEX($A$4:$A$60,SMALL(IF($AA$4:$AA$60&lt;&gt;0,ROW($AA$4:$AA$60)-4),ROW(AA23)))),"",INDEX($A$4:$A$60,SMALL(IF($AA$4:$AA$60&lt;&gt;0,ROW($AA$5:$AA$60)-4),ROW(AA23))))</f>
        <v/>
      </c>
      <c r="AB89" s="1321" t="str">
        <f t="array" ref="AB89">IF(ISERROR(INDEX($AA$4:$AA$60,SMALL(IF($AA$4:$AA$60&lt;&gt;0,ROW($AA$4:$AA$60)-3),ROW(AB23)))),"",INDEX($AA$4:$AA$60,SMALL(IF($AA$4:$AA$60&lt;&gt;0,ROW($AA$4:$AA$60)-3),ROW(AB23))))</f>
        <v/>
      </c>
      <c r="AC89" s="1321" t="str">
        <f t="array" ref="AC89">IF( ISERROR(INDEX($A$4:$A$60,SMALL(IF($AC$4:$AC$60&lt;&gt;0,ROW($AC$4:$AC$60)-4),ROW(AC23)))),"",INDEX($A$4:$A$60,SMALL(IF($AC$4:$AC$60&lt;&gt;0,ROW($AC$5:$AC$60)-4),ROW(AC23))))</f>
        <v/>
      </c>
      <c r="AD89" s="1321" t="str">
        <f t="array" ref="AD89">IF(ISERROR(INDEX($AC$4:$AC$60,SMALL(IF($AC$4:$AC$60&lt;&gt;0,ROW($AC$4:$AC$60)-3),ROW(AD23)))),"",INDEX($AC$4:$AC$60,SMALL(IF($AC$4:$AC$60&lt;&gt;0,ROW($AC$4:$AC$60)-3),ROW(AD23))))</f>
        <v/>
      </c>
      <c r="AE89" s="1321" t="str">
        <f t="array" ref="AE89">IF( ISERROR(INDEX($A$4:$A$60,SMALL(IF($AE$4:$AE$60&lt;&gt;0,ROW($AE$4:$AE$60)-4),ROW(AE23)))),"",INDEX($A$4:$A$60,SMALL(IF($AE$4:$AE$60&lt;&gt;0,ROW($AE$5:$AE$60)-4),ROW(AE23))))</f>
        <v/>
      </c>
      <c r="AF89" s="1321" t="str">
        <f t="array" ref="AF89">IF(ISERROR(INDEX($AE$4:$AE$60,SMALL(IF($AE$4:$AE$60&lt;&gt;0,ROW($AE$4:$AE$60)-3),ROW(AF23)))),"",INDEX($AE$4:$AE$60,SMALL(IF($AE$4:$AE$60&lt;&gt;0,ROW($AE$4:$AE$60)-3),ROW(AF23))))</f>
        <v/>
      </c>
      <c r="AG89" s="1321" t="str">
        <f t="array" ref="AG89">IF( ISERROR(INDEX($A$4:$A$60,SMALL(IF($AG$4:$AG$60&lt;&gt;0,ROW($AG$4:$AG$60)-4),ROW(AG23)))),"",INDEX($A$4:$A$60,SMALL(IF($AG$4:$AG$60&lt;&gt;0,ROW($AG$5:$AG$60)-4),ROW(AG23))))</f>
        <v/>
      </c>
      <c r="AH89" s="1321" t="str">
        <f t="array" ref="AH89">IF(ISERROR(INDEX($AG$4:$AG$60,SMALL(IF($AG$4:$AG$60&lt;&gt;0,ROW($AG$4:$AG$60)-3),ROW(AH23)))),"",INDEX($AG$4:$AG$60,SMALL(IF($AG$4:$AG$60&lt;&gt;0,ROW($AG$4:$AG$60)-3),ROW(AH23))))</f>
        <v/>
      </c>
      <c r="AI89" s="1321" t="str">
        <f t="array" ref="AI89">IF( ISERROR(INDEX($A$4:$A$60,SMALL(IF($AI$4:$AI$60&lt;&gt;0,ROW($AI$4:$AI$60)-4),ROW(AI23)))),"",INDEX($A$4:$A$60,SMALL(IF($AI$4:$AI$60&lt;&gt;0,ROW($AI$5:$AI$60)-4),ROW(AI23))))</f>
        <v/>
      </c>
      <c r="AJ89" s="1321" t="str">
        <f t="array" ref="AJ89">IF(ISERROR(INDEX($E$4:$E$60,SMALL(IF($AI$4:$AI$60&lt;&gt;0,ROW($AI$4:$AI$60)-3),ROW(AJ23)))),"",INDEX($AI$4:$AI$60,SMALL(IF($AI$4:$AI$60&lt;&gt;0,ROW($AI$4:$AI$60)-3),ROW(AJ23))))</f>
        <v/>
      </c>
      <c r="AK89" s="1321" t="str">
        <f t="array" ref="AK89">IF( ISERROR(INDEX($A$4:$A$60,SMALL(IF($AK$4:$AK$60&lt;&gt;0,ROW($AK$4:$AK$60)-4),ROW(AK23)))),"",INDEX($A$4:$A$60,SMALL(IF($AK$4:$AK$60&lt;&gt;0,ROW($AK$5:$AK$60)-4),ROW(AK23))))</f>
        <v/>
      </c>
      <c r="AL89" s="1321" t="str">
        <f t="array" ref="AL89">IF(ISERROR(INDEX($AK$4:$AK$60,SMALL(IF($AK$4:$AK$60&lt;&gt;0,ROW($AK$4:$AK$60)-3),ROW(AL23)))),"",INDEX($AK$4:$AK$60,SMALL(IF($AK$4:$AK$60&lt;&gt;0,ROW($AK$4:$AK$60)-3),ROW(AL23))))</f>
        <v/>
      </c>
      <c r="AM89" s="1321" t="str">
        <f t="array" ref="AM89">IF( ISERROR(INDEX($A$4:$A$60,SMALL(IF($AM$4:$AM$60&lt;&gt;0,ROW($AM$4:$AM$60)-4),ROW(AM23)))),"",INDEX($A$4:$A$60,SMALL(IF($AM$4:$AM$60&lt;&gt;0,ROW($AM$5:$AM$60)-4),ROW(AM23))))</f>
        <v/>
      </c>
      <c r="AN89" s="1321" t="str">
        <f t="array" ref="AN89">IF(ISERROR(INDEX($AM$4:$AM$60,SMALL(IF($AM$4:$AM$60&lt;&gt;0,ROW($AM$4:$AM$60)-3),ROW(AN23)))),"",INDEX($AM$4:$AM$60,SMALL(IF($AM$4:$AM$60&lt;&gt;0,ROW($AM$4:$AM$60)-3),ROW(AN23))))</f>
        <v/>
      </c>
      <c r="AO89" s="1321" t="str">
        <f t="array" ref="AO89">IF( ISERROR(INDEX($A$4:$A$60,SMALL(IF($AO$4:$AO$60&lt;&gt;0,ROW($AO$4:$AO$60)-4),ROW(AO23)))),"",INDEX($A$4:$A$60,SMALL(IF($AO$4:$AO$60&lt;&gt;0,ROW($AO$5:$AO$60)-4),ROW(AO23))))</f>
        <v/>
      </c>
      <c r="AP89" s="1321" t="str">
        <f t="array" ref="AP89">IF(ISERROR(INDEX($AO$4:$AO$60,SMALL(IF($AO$4:$AO$60&lt;&gt;0,ROW($AO$4:$AO$60)-3),ROW(AP23)))),"",INDEX($AO$4:$AO$60,SMALL(IF($AO$4:$AO$60&lt;&gt;0,ROW($AO$4:$AO$60)-3),ROW(AP23))))</f>
        <v/>
      </c>
      <c r="AQ89" s="1321" t="str">
        <f t="array" ref="AQ89">IF( ISERROR(INDEX($A$4:$A$60,SMALL(IF($AQ$4:$AQ$60&lt;&gt;0,ROW($AQ$4:$AQ$60)-4),ROW(AQ23)))),"",INDEX($A$4:$A$60,SMALL(IF($AQ$4:$AQ$60&lt;&gt;0,ROW($AQ$5:$AQ$60)-4),ROW(AQ23))))</f>
        <v/>
      </c>
      <c r="AR89" s="1321" t="str">
        <f t="array" ref="AR89">IF(ISERROR(INDEX($AQ$4:$AQ$60,SMALL(IF($AQ$4:$AQ$60&lt;&gt;0,ROW($AQ$4:$AQ$60)-3),ROW(AR23)))),"",INDEX($AQ$4:$AQ$60,SMALL(IF($AQ$4:$AQ$60&lt;&gt;0,ROW($AQ$4:$AQ$60)-3),ROW(AR23))))</f>
        <v/>
      </c>
      <c r="AS89" s="1321" t="str">
        <f t="array" ref="AS89">IF( ISERROR(INDEX($A$4:$A$60,SMALL(IF($AS$4:$AS$60&lt;&gt;0,ROW($AS$4:$AS$60)-4),ROW(AS23)))),"",INDEX($A$4:$A$60,SMALL(IF($AS$4:$AS$60&lt;&gt;0,ROW($AS$5:$AS$60)-4),ROW(AS23))))</f>
        <v/>
      </c>
      <c r="AT89" s="1321" t="str">
        <f t="array" ref="AT89">IF(ISERROR(INDEX($AS$4:$AS$60,SMALL(IF($AS$4:$AS$60&lt;&gt;0,ROW($AS$4:$AS$60)-3),ROW(AT23)))),"",INDEX($AS$4:$AS$60,SMALL(IF($AS$4:$AS$60&lt;&gt;0,ROW($AS$4:$AS$60)-3),ROW(AT23))))</f>
        <v/>
      </c>
      <c r="AU89" s="1321" t="str">
        <f t="array" ref="AU89">IF( ISERROR(INDEX($A$4:$A$60,SMALL(IF($AU$4:$AU$60&lt;&gt;0,ROW($AU$4:$AU$60)-4),ROW(AU23)))),"",INDEX($A$4:$A$60,SMALL(IF($AU$4:$AU$60&lt;&gt;0,ROW($AU$5:$AU$60)-4),ROW(AU23))))</f>
        <v/>
      </c>
      <c r="AV89" s="1321" t="str">
        <f t="array" ref="AV89">IF(ISERROR(INDEX($AU$4:$AU$60,SMALL(IF($AU$4:$AU$60&lt;&gt;0,ROW($AU$4:$AU$60)-3),ROW(AV23)))),"",INDEX($AU$4:$AU$60,SMALL(IF($AU$4:$AU$60&lt;&gt;0,ROW($AU$4:$AU$60)-3),ROW(AV23))))</f>
        <v/>
      </c>
      <c r="AW89" s="1321" t="str">
        <f t="array" ref="AW89">IF( ISERROR(INDEX($A$4:$A$60,SMALL(IF($AW$4:$AW$60&lt;&gt;0,ROW($AW$4:$AW$60)-4),ROW(AW23)))),"",INDEX($A$4:$A$60,SMALL(IF($AW$4:$AW$60&lt;&gt;0,ROW($AW$5:$AW$60)-4),ROW(AW23))))</f>
        <v/>
      </c>
      <c r="AX89" s="1321" t="str">
        <f t="array" ref="AX89">IF(ISERROR(INDEX($AW$4:$AW$60,SMALL(IF($AW$4:$AW$60&lt;&gt;0,ROW($AW$4:$AW$60)-3),ROW(AX23)))),"",INDEX($AW$4:$AW$60,SMALL(IF($AW$4:$AW$60&lt;&gt;0,ROW($AW$4:$AW$60)-3),ROW(AX23))))</f>
        <v/>
      </c>
      <c r="AY89" s="1321" t="str">
        <f t="array" ref="AY89">IF( ISERROR(INDEX($A$4:$A$60,SMALL(IF($AY$4:$AY$60&lt;&gt;0,ROW($AY$4:$AY$60)-4),ROW(AY23)))),"",INDEX($A$4:$A$60,SMALL(IF($AY$4:$AY$60&lt;&gt;0,ROW($AY$5:$AY$60)-4),ROW(AY23))))</f>
        <v/>
      </c>
      <c r="AZ89" s="1321" t="str">
        <f t="array" ref="AZ89">IF(ISERROR(INDEX($AY$4:$AY$60,SMALL(IF($AY$4:$AY$60&lt;&gt;0,ROW($AY$4:$AY$60)-3),ROW(AZ23)))),"",INDEX($AY$4:$AY$60,SMALL(IF($AY$4:$AY$60&lt;&gt;0,ROW($AY$4:$AY$60)-3),ROW(AZ23))))</f>
        <v/>
      </c>
      <c r="BA89" s="1321" t="str">
        <f t="array" ref="BA89">IF( ISERROR(INDEX($A$4:$A$60,SMALL(IF($BA$4:$BA$60&lt;&gt;0,ROW($BA$4:$BA$60)-4),ROW(BA23)))),"",INDEX($A$4:$A$60,SMALL(IF($BA$4:$BA$60&lt;&gt;0,ROW($BA$5:$BA$60)-4),ROW(BA23))))</f>
        <v/>
      </c>
      <c r="BB89" s="1321" t="str">
        <f t="array" ref="BB89">IF(ISERROR(INDEX($BA$4:$BA$60,SMALL(IF($BA$4:$BA$60&lt;&gt;0,ROW($BA$4:$BA$60)-3),ROW(BB23)))),"",INDEX($BA$4:$BA$60,SMALL(IF($BA$4:$BA$60&lt;&gt;0,ROW($BA$4:$BA$60)-3),ROW(BB23))))</f>
        <v/>
      </c>
      <c r="BC89" s="1321" t="str">
        <f t="array" ref="BC89">IF( ISERROR(INDEX($A$4:$A$60,SMALL(IF($BC$4:$BC$60&lt;&gt;0,ROW($BC$4:$BC$60)-4),ROW(BC23)))),"",INDEX($A$4:$A$60,SMALL(IF($BC$4:$BC$60&lt;&gt;0,ROW($BC$5:$BC$60)-4),ROW(BC23))))</f>
        <v/>
      </c>
      <c r="BD89" s="1321" t="str">
        <f t="array" ref="BD89">IF(ISERROR(INDEX($BC$4:$BC$60,SMALL(IF($BC$4:$BC$60&lt;&gt;0,ROW($BC$4:$BC$60)-3),ROW(BD23)))),"",INDEX($BC$4:$BC$60,SMALL(IF($BC$4:$BC$60&lt;&gt;0,ROW($BC$4:$BC$60)-3),ROW(BD23))))</f>
        <v/>
      </c>
      <c r="BE89" s="1321" t="str">
        <f t="array" ref="BE89">IF( ISERROR(INDEX($A$4:$A$60,SMALL(IF($BE$4:$BE$60&lt;&gt;0,ROW($BE$4:$BE$60)-4),ROW(BE23)))),"",INDEX($A$4:$A$60,SMALL(IF($BE$4:$BE$60&lt;&gt;0,ROW($BE$5:$BE$60)-4),ROW(BE23))))</f>
        <v/>
      </c>
      <c r="BF89" s="1321" t="str">
        <f t="array" ref="BF89">IF(ISERROR(INDEX($BE$4:$BE$60,SMALL(IF($BE$4:$BE$60&lt;&gt;0,ROW($BE$4:$BE$60)-3),ROW(BF23)))),"",INDEX($BE$4:$BE$60,SMALL(IF($BE$4:$BE$60&lt;&gt;0,ROW($BE$4:$BE$60)-3),ROW(BF23))))</f>
        <v/>
      </c>
      <c r="BG89" s="1321" t="str">
        <f t="array" ref="BG89">IF( ISERROR(INDEX($A$4:$A$60,SMALL(IF($BG$4:$BG$60&lt;&gt;0,ROW($BG$4:$BG$60)-4),ROW(BG23)))),"",INDEX($A$4:$A$60,SMALL(IF($BG$4:$BG$60&lt;&gt;0,ROW($BG$5:$BG$60)-4),ROW(BG23))))</f>
        <v/>
      </c>
      <c r="BH89" s="1321" t="str">
        <f t="array" ref="BH89">IF(ISERROR(INDEX($BG$4:$BG$60,SMALL(IF($BG$4:$BG$60&lt;&gt;0,ROW($BG$4:$BG$60)-3),ROW(BH23)))),"",INDEX($BG$4:$BG$60,SMALL(IF($BG$4:$BG$60&lt;&gt;0,ROW($BG$4:$BG$60)-3),ROW(BH23))))</f>
        <v/>
      </c>
      <c r="BI89" s="1321" t="str">
        <f t="array" ref="BI89">IF( ISERROR(INDEX($A$4:$A$60,SMALL(IF($BI$4:$BI$60&lt;&gt;0,ROW($BI$4:$BI$60)-4),ROW(BI23)))),"",INDEX($A$4:$A$60,SMALL(IF($BI$4:$BI$60&lt;&gt;0,ROW($BI$5:$BI$60)-4),ROW(BI23))))</f>
        <v/>
      </c>
      <c r="BJ89" s="1321" t="str">
        <f t="array" ref="BJ89">IF(ISERROR(INDEX($BI$4:$BI$60,SMALL(IF($BI$4:$BI$60&lt;&gt;0,ROW($BI$4:$BI$60)-3),ROW(BJ23)))),"",INDEX($BI$4:$BI$60,SMALL(IF($BI$4:$BI$60&lt;&gt;0,ROW($BI$4:$BI$60)-3),ROW(BJ23))))</f>
        <v/>
      </c>
      <c r="BK89" s="1321" t="str">
        <f t="array" ref="BK89">IF( ISERROR(INDEX($A$4:$A$60,SMALL(IF($BK$4:$BK$60&lt;&gt;0,ROW($BK$4:$BK$60)-4),ROW(BK23)))),"",INDEX($A$4:$A$60,SMALL(IF($BK$4:$BK$60&lt;&gt;0,ROW($BK$5:$BK$60)-4),ROW(BK23))))</f>
        <v/>
      </c>
      <c r="BL89" s="1321" t="str">
        <f t="array" ref="BL89">IF(ISERROR(INDEX($BK$4:$BK$60,SMALL(IF($BK$4:$BK$60&lt;&gt;0,ROW($BK$4:$BK$60)-3),ROW(BL23)))),"",INDEX($BK$4:$BK$60,SMALL(IF($BK$4:$BK$60&lt;&gt;0,ROW($BK$4:$BK$60)-3),ROW(BL23))))</f>
        <v/>
      </c>
      <c r="BM89" s="1321" t="str">
        <f t="array" ref="BM89">IF( ISERROR(INDEX($A$4:$A$60,SMALL(IF($BM$4:$BM$60&lt;&gt;0,ROW($BM$4:$BM$60)-4),ROW(BM23)))),"",INDEX($A$4:$A$60,SMALL(IF($BM$4:$BM$60&lt;&gt;0,ROW($BM$5:$BM$60)-4),ROW(BM23))))</f>
        <v/>
      </c>
      <c r="BN89" s="1321" t="str">
        <f t="array" ref="BN89">IF(ISERROR(INDEX($BM$4:$BM$60,SMALL(IF($BM$4:$BM$60&lt;&gt;0,ROW($BM$4:$BM$60)-3),ROW(BN23)))),"",INDEX($BM$4:$BM$60,SMALL(IF($BM$4:$BM$60&lt;&gt;0,ROW($BM$4:$BM$60)-3),ROW(BN23))))</f>
        <v/>
      </c>
      <c r="BO89" s="1321" t="str">
        <f t="array" ref="BO89">IF( ISERROR(INDEX($A$4:$A$60,SMALL(IF($BO$4:$BO$60&lt;&gt;0,ROW($BO$4:$BO$60)-4),ROW(BO23)))),"",INDEX($A$4:$A$60,SMALL(IF($BO$4:$BO$60&lt;&gt;0,ROW($BO$5:$BO$60)-4),ROW(BO23))))</f>
        <v/>
      </c>
      <c r="BP89" s="1321" t="str">
        <f t="array" ref="BP89">IF(ISERROR(INDEX($BO$4:$BO$60,SMALL(IF($BO$4:$BO$60&lt;&gt;0,ROW($BO$4:$BO$60)-3),ROW(BP23)))),"",INDEX($BO$4:$BO$60,SMALL(IF($BO$4:$BO$60&lt;&gt;0,ROW($BO$4:$BO$60)-3),ROW(BP23))))</f>
        <v/>
      </c>
      <c r="BQ89" s="1321" t="str">
        <f t="array" ref="BQ89">IF( ISERROR(INDEX($A$4:$A$60,SMALL(IF($BQ$4:$BQ$60&lt;&gt;0,ROW($BQ$4:$BQ$60)-4),ROW(BQ23)))),"",INDEX($A$4:$A$60,SMALL(IF($BQ$4:$BQ$60&lt;&gt;0,ROW($BQ$5:$BQ$60)-4),ROW(BQ23))))</f>
        <v/>
      </c>
      <c r="BR89" s="1321" t="str">
        <f t="array" ref="BR89">IF(ISERROR(INDEX($BQ$4:$BQ$60,SMALL(IF($BQ$4:$BQ$60&lt;&gt;0,ROW($BQ$4:$BQ$60)-3),ROW(BR23)))),"",INDEX($BQ$4:$BQ$60,SMALL(IF($BQ$4:$BQ$60&lt;&gt;0,ROW($BQ$4:$BQ$60)-3),ROW(BR23))))</f>
        <v/>
      </c>
      <c r="BS89" s="1321" t="str">
        <f t="array" ref="BS89">IF( ISERROR(INDEX($A$4:$A$60,SMALL(IF($BS$4:$BS$60&lt;&gt;0,ROW($BS$4:$BS$60)-4),ROW(BS23)))),"",INDEX($A$4:$A$60,SMALL(IF($BS$4:$BS$60&lt;&gt;0,ROW($BS$5:$BS$60)-4),ROW(BS23))))</f>
        <v/>
      </c>
      <c r="BT89" s="1321" t="str">
        <f t="array" ref="BT89">IF(ISERROR(INDEX($BS$4:$BS$60,SMALL(IF($BS$4:$BS$60&lt;&gt;0,ROW($BS$4:$BS$60)-3),ROW(BT23)))),"",INDEX($BS$4:$BS$60,SMALL(IF($BS$4:$BS$60&lt;&gt;0,ROW($BS$4:$BS$60)-3),ROW(BT23))))</f>
        <v/>
      </c>
      <c r="BU89" s="1321" t="str">
        <f t="array" ref="BU89">IF( ISERROR(INDEX($A$4:$A$60,SMALL(IF($BU$4:$BU$60&lt;&gt;0,ROW($BU$4:$BU$60)-4),ROW(BU23)))),"",INDEX($A$4:$A$60,SMALL(IF($BU$4:$BU$60&lt;&gt;0,ROW($BU$5:$BU$60)-4),ROW(BU23))))</f>
        <v/>
      </c>
      <c r="BV89" s="1321" t="str">
        <f t="array" ref="BV89">IF(ISERROR(INDEX($BQ$4:$BQ$60,SMALL(IF($BU$4:$BU$60&lt;&gt;0,ROW($BU$4:$BU$60)-3),ROW(BV23)))),"",INDEX($BU$4:$BU$60,SMALL(IF($BU$4:$BU$60&lt;&gt;0,ROW($BU$4:$BU$60)-3),ROW(BV23))))</f>
        <v/>
      </c>
      <c r="BW89" s="1321" t="str">
        <f t="array" ref="BW89">IF( ISERROR(INDEX($A$4:$A$60,SMALL(IF($BW$4:$BW$60&lt;&gt;0,ROW($BW$4:$BW$60)-4),ROW(BW23)))),"",INDEX($A$4:$A$60,SMALL(IF($BW$4:$BW$60&lt;&gt;0,ROW($BW$5:$BW$60)-4),ROW(BW23))))</f>
        <v/>
      </c>
      <c r="BX89" s="1321" t="str">
        <f t="array" ref="BX89">IF(ISERROR(INDEX($BW$4:$BW$60,SMALL(IF($BW$4:$BW$60&lt;&gt;0,ROW($BW$4:$BW$60)-3),ROW(BX23)))),"",INDEX($BW$4:$BW$60,SMALL(IF($BW$4:$BW$60&lt;&gt;0,ROW($BW$4:$BW$60)-3),ROW(BX23))))</f>
        <v/>
      </c>
      <c r="BY89" s="1321" t="str">
        <f t="array" ref="BY89">IF( ISERROR(INDEX($A$4:$A$60,SMALL(IF($BY$4:$BY$60&lt;&gt;0,ROW($BY$4:$BY$60)-4),ROW(BY23)))),"",INDEX($A$4:$A$60,SMALL(IF($BY$4:$BY$60&lt;&gt;0,ROW($BY$5:$BY$60)-4),ROW(BY23))))</f>
        <v/>
      </c>
      <c r="BZ89" s="1321" t="str">
        <f t="array" ref="BZ89">IF(ISERROR(INDEX($BY$4:$BY$60,SMALL(IF($BY$4:$BY$60&lt;&gt;0,ROW($BY$4:$BY$60)-3),ROW(BZ23)))),"",INDEX($BY$4:$BY$60,SMALL(IF($BY$4:$BY$60&lt;&gt;0,ROW($BY$4:$BY$60)-3),ROW(BZ23))))</f>
        <v/>
      </c>
      <c r="CA89" s="1321" t="str">
        <f t="array" ref="CA89">IF( ISERROR(INDEX($A$4:$A$60,SMALL(IF($CA$4:$CA$60&lt;&gt;0,ROW($CA$4:$CA$60)-4),ROW(CA23)))),"",INDEX($A$4:$A$60,SMALL(IF($CA$4:$CA$60&lt;&gt;0,ROW($CA$5:$CA$60)-4),ROW(CA23))))</f>
        <v/>
      </c>
      <c r="CB89" s="1321" t="str">
        <f t="array" ref="CB89">IF(ISERROR(INDEX($CA$4:$CA$60,SMALL(IF($CA$4:$CA$60&lt;&gt;0,ROW($CA$4:$CA$60)-3),ROW(CB23)))),"",INDEX($CA$4:$CA$60,SMALL(IF($CA$4:$CA$60&lt;&gt;0,ROW($CA$4:$CA$60)-3),ROW(CB23))))</f>
        <v/>
      </c>
      <c r="CC89" s="1321" t="str">
        <f t="array" ref="CC89">IF( ISERROR(INDEX($A$4:$A$60,SMALL(IF($CC$4:$CC$60&lt;&gt;0,ROW($CC$4:$CC$60)-4),ROW(CC23)))),"",INDEX($A$4:$A$60,SMALL(IF($CC$4:$CC$60&lt;&gt;0,ROW($CC$5:$CC$60)-4),ROW(CC23))))</f>
        <v/>
      </c>
      <c r="CD89" s="1321" t="str">
        <f t="array" ref="CD89">IF(ISERROR(INDEX($CC$4:$CC$60,SMALL(IF($CC$4:$CC$60&lt;&gt;0,ROW($CC$4:$CC$60)-3),ROW(CD23)))),"",INDEX($CC$4:$CC$60,SMALL(IF($CC$4:$CC$60&lt;&gt;0,ROW($CC$4:$CC$60)-3),ROW(CD23))))</f>
        <v/>
      </c>
      <c r="CE89" s="1321" t="str">
        <f t="array" ref="CE89">IF( ISERROR(INDEX($A$4:$A$60,SMALL(IF($CE$4:$CE$60&lt;&gt;0,ROW($CE$4:$CE$60)-4),ROW(CE23)))),"",INDEX($A$4:$A$60,SMALL(IF($CE$4:$CE$60&lt;&gt;0,ROW($CE$5:$CE$60)-4),ROW(CE23))))</f>
        <v/>
      </c>
      <c r="CF89" s="1321" t="str">
        <f t="array" ref="CF89">IF(ISERROR(INDEX($CE$4:$CE$60,SMALL(IF($CE$4:$CE$60&lt;&gt;0,ROW($CE$4:$CE$60)-3),ROW(CF23)))),"",INDEX($CE$4:$CE$60,SMALL(IF($CE$4:$CE$60&lt;&gt;0,ROW($CE$4:$CE$60)-3),ROW(CF23))))</f>
        <v/>
      </c>
      <c r="CG89" s="1321" t="str">
        <f t="array" ref="CG89">IF( ISERROR(INDEX($A$4:$A$60,SMALL(IF($CG$4:$CG$60&lt;&gt;0,ROW($CG$4:$CG$60)-4),ROW(CG23)))),"",INDEX($A$4:$A$60,SMALL(IF($CG$4:$CG$60&lt;&gt;0,ROW($CG$5:$CG$60)-4),ROW(CG23))))</f>
        <v/>
      </c>
      <c r="CH89" s="1321" t="str">
        <f t="array" ref="CH89">IF(ISERROR(INDEX($CG$4:$CG$60,SMALL(IF($CG$4:$CG$60&lt;&gt;0,ROW($CG$4:$CG$60)-3),ROW(CH23)))),"",INDEX($CG$4:$CG$60,SMALL(IF($CG$4:$CG$60&lt;&gt;0,ROW($CG$4:$CG$60)-3),ROW(CH23))))</f>
        <v/>
      </c>
      <c r="CI89" s="1321" t="str">
        <f t="array" ref="CI89">IF( ISERROR(INDEX($A$4:$A$60,SMALL(IF($CA$4:$CA$60&lt;&gt;0,ROW($CA$4:$CA$60)-4),ROW(CI23)))),"",INDEX($A$4:$A$60,SMALL(IF($CA$4:$CA$60&lt;&gt;0,ROW($CA$5:$CA$60)-4),ROW(CI23))))</f>
        <v/>
      </c>
      <c r="CJ89" s="1321" t="str">
        <f t="array" ref="CJ89">IF(ISERROR(INDEX($CA$4:$CA$60,SMALL(IF($CA$4:$CA$60&lt;&gt;0,ROW($CA$4:$CA$60)-3),ROW(CJ23)))),"",INDEX($CA$4:$CA$60,SMALL(IF($CA$4:$CA$60&lt;&gt;0,ROW($CA$4:$CA$60)-3),ROW(CJ23))))</f>
        <v/>
      </c>
      <c r="CK89" s="1321" t="str">
        <f t="array" ref="CK89">IF( ISERROR(INDEX($A$4:$A$60,SMALL(IF($CK$4:$CK$60&lt;&gt;0,ROW($CK$4:$CK$60)-4),ROW(CK23)))),"",INDEX($A$4:$A$60,SMALL(IF($CK$4:$CK$60&lt;&gt;0,ROW($CK$5:$CK$60)-4),ROW(CK23))))</f>
        <v/>
      </c>
      <c r="CL89" s="1321" t="str">
        <f t="array" ref="CL89">IF(ISERROR(INDEX($CK$4:$CK$60,SMALL(IF($CK$4:$CK$60&lt;&gt;0,ROW($CK$4:$CK$60)-3),ROW(CL23)))),"",INDEX($CK$4:$CK$60,SMALL(IF($CK$4:$CK$60&lt;&gt;0,ROW($CK$4:$CK$60)-3),ROW(CL23))))</f>
        <v/>
      </c>
      <c r="CM89" s="1321" t="str">
        <f t="array" ref="CM89">IF( ISERROR(INDEX($A$4:$A$60,SMALL(IF($CM$4:$CM$60&lt;&gt;0,ROW($CM$4:$CM$60)-4),ROW(CM23)))),"",INDEX($A$4:$A$60,SMALL(IF($CM$4:$CM$60&lt;&gt;0,ROW($CM$5:$CM$60)-4),ROW(CM23))))</f>
        <v/>
      </c>
      <c r="CN89" s="1321" t="str">
        <f t="array" ref="CN89">IF(ISERROR(INDEX($CM$4:$CM$60,SMALL(IF($CM$4:$CM$60&lt;&gt;0,ROW($CM$4:$CM$60)-3),ROW(CN23)))),"",INDEX($CM$4:$CM$60,SMALL(IF($CM$4:$CM$60&lt;&gt;0,ROW($CM$4:$CM$60)-3),ROW(CN23))))</f>
        <v/>
      </c>
      <c r="CO89" s="1321" t="str">
        <f t="array" ref="CO89">IF( ISERROR(INDEX($A$4:$A$60,SMALL(IF($CO$4:$CO$60&lt;&gt;0,ROW($CO$4:$CO$60)-4),ROW(CO23)))),"",INDEX($A$4:$A$60,SMALL(IF($CO$4:$CO$60&lt;&gt;0,ROW($CO$5:$CO$60)-4),ROW(CO23))))</f>
        <v/>
      </c>
      <c r="CP89" s="1321" t="str">
        <f t="array" ref="CP89">IF(ISERROR(INDEX($CO$4:$CO$60,SMALL(IF($CO$4:$CO$60&lt;&gt;0,ROW($CO$4:$CO$60)-3),ROW(CP23)))),"",INDEX($CO$4:$CO$60,SMALL(IF($CO$4:$CO$60&lt;&gt;0,ROW($CO$4:$CO$60)-3),ROW(CP23))))</f>
        <v/>
      </c>
      <c r="CQ89" s="1321" t="str">
        <f t="array" ref="CQ89">IF( ISERROR(INDEX($A$4:$A$60,SMALL(IF($CQ$4:$CQ$60&lt;&gt;0,ROW($CQ$4:$CQ$60)-4),ROW(CQ23)))),"",INDEX($A$4:$A$60,SMALL(IF($CQ$4:$CQ$60&lt;&gt;0,ROW($CQ$5:$CQ$60)-4),ROW(CQ23))))</f>
        <v/>
      </c>
      <c r="CR89" s="1321" t="str">
        <f t="array" ref="CR89">IF(ISERROR(INDEX($CQ$4:$CQ$60,SMALL(IF($CQ$4:$CQ$60&lt;&gt;0,ROW($CQ$4:$CQ$60)-3),ROW(CR23)))),"",INDEX($CQ$4:$CQ$60,SMALL(IF($CQ$4:$CQ$60&lt;&gt;0,ROW($CQ$4:$CQ$60)-3),ROW(CR23))))</f>
        <v/>
      </c>
      <c r="CS89" s="1321" t="str">
        <f t="array" ref="CS89">IF( ISERROR(INDEX($A$4:$A$60,SMALL(IF($CS$4:$CS$60&lt;&gt;0,ROW($CS$4:$CS$60)-4),ROW(CS23)))),"",INDEX($A$4:$A$60,SMALL(IF($CS$4:$CS$60&lt;&gt;0,ROW($CS$5:$CS$60)-4),ROW(CS23))))</f>
        <v/>
      </c>
      <c r="CT89" s="1321" t="str">
        <f t="array" ref="CT89">IF(ISERROR(INDEX($CS$4:$CS$60,SMALL(IF($CS$4:$CS$60&lt;&gt;0,ROW($CS$4:$CS$60)-3),ROW(CT23)))),"",INDEX($CS$4:$CS$60,SMALL(IF($CS$4:$CS$60&lt;&gt;0,ROW($CS$4:$CS$60)-3),ROW(CT23))))</f>
        <v/>
      </c>
      <c r="CU89" s="1321" t="str">
        <f t="array" ref="CU89">IF( ISERROR(INDEX($A$4:$A$60,SMALL(IF($CU$4:$CU$60&lt;&gt;0,ROW($CU$4:$CU$60)-4),ROW(CU23)))),"",INDEX($A$4:$A$60,SMALL(IF($CU$4:$CU$60&lt;&gt;0,ROW($CU$5:$CU$60)-4),ROW(CU23))))</f>
        <v/>
      </c>
      <c r="CV89" s="1321" t="str">
        <f t="array" ref="CV89">IF(ISERROR(INDEX($CU$4:$CU$60,SMALL(IF($CU$4:$CU$60&lt;&gt;0,ROW($CU$4:$CU$60)-3),ROW(CV23)))),"",INDEX($CU$4:$CU$60,SMALL(IF($CU$4:$CU$60&lt;&gt;0,ROW($CU$4:$CU$60)-3),ROW(CV23))))</f>
        <v/>
      </c>
      <c r="CW89" s="1321" t="str">
        <f t="array" ref="CW89">IF( ISERROR(INDEX($A$4:$A$60,SMALL(IF($CW$4:$CW$60&lt;&gt;0,ROW($CW$4:$CW$60)-4),ROW(CW23)))),"",INDEX($A$4:$A$60,SMALL(IF($CW$4:$CW$60&lt;&gt;0,ROW($CW$5:$CW$60)-4),ROW(CW23))))</f>
        <v/>
      </c>
      <c r="CX89" s="1321" t="str">
        <f t="array" ref="CX89">IF(ISERROR(INDEX($CW$4:$CW$60,SMALL(IF($CW$4:$CW$60&lt;&gt;0,ROW($CW$4:$CW$60)-3),ROW(CX23)))),"",INDEX($CW$4:$CW$60,SMALL(IF($CW$4:$CW$60&lt;&gt;0,ROW($CW$4:$CW$60)-3),ROW(CX23))))</f>
        <v/>
      </c>
      <c r="CY89" s="1321" t="str">
        <f t="array" ref="CY89">IF( ISERROR(INDEX($A$4:$A$60,SMALL(IF($CY$4:$CY$60&lt;&gt;0,ROW($CY$4:$CY$60)-4),ROW(CY23)))),"",INDEX($A$4:$A$60,SMALL(IF($CY$4:$CY$60&lt;&gt;0,ROW($CY$5:$CY$60)-4),ROW(CY23))))</f>
        <v/>
      </c>
      <c r="CZ89" s="1321" t="str">
        <f t="array" ref="CZ89">IF(ISERROR(INDEX($CY$4:$CY$60,SMALL(IF($CY$4:$CY$60&lt;&gt;0,ROW($CY$4:$CY$60)-3),ROW(CZ23)))),"",INDEX($CY$4:$CY$60,SMALL(IF($CY$4:$CY$60&lt;&gt;0,ROW($CY$4:$CY$60)-3),ROW(CZ23))))</f>
        <v/>
      </c>
      <c r="DA89" s="1321"/>
      <c r="DB89" s="1321"/>
      <c r="DC89" s="1321"/>
      <c r="DD89" s="1321"/>
      <c r="DE89" s="1321"/>
      <c r="DF89" s="1321"/>
      <c r="DG89" s="1321"/>
      <c r="DH89" s="1321"/>
      <c r="DI89" s="1321"/>
      <c r="DJ89" s="1321"/>
      <c r="DK89" s="1321"/>
      <c r="DL89" s="1321"/>
      <c r="DM89" s="1321"/>
      <c r="DN89" s="1321"/>
      <c r="DO89" s="1321"/>
      <c r="DP89" s="1321"/>
      <c r="DQ89" s="1321"/>
      <c r="DR89" s="1321"/>
      <c r="DS89" s="1321"/>
      <c r="DT89" s="1321"/>
      <c r="DU89" s="1321"/>
      <c r="DV89" s="1321"/>
      <c r="DW89" s="1321"/>
      <c r="DX89" s="1321"/>
      <c r="DY89" s="1321"/>
      <c r="DZ89" s="1321"/>
      <c r="EA89" s="1321"/>
      <c r="EB89" s="1321"/>
      <c r="EC89" s="1321"/>
      <c r="ED89" s="1321"/>
      <c r="EE89" s="1321"/>
      <c r="EF89" s="1321"/>
      <c r="EG89" s="1321"/>
      <c r="EH89" s="1321"/>
      <c r="EI89" s="1321"/>
      <c r="EJ89" s="1321"/>
      <c r="EK89" s="1321"/>
      <c r="EL89" s="1321"/>
      <c r="EM89" s="1321"/>
      <c r="EN89" s="1321"/>
      <c r="EO89" s="1321"/>
      <c r="EP89" s="1321"/>
      <c r="EQ89" s="1321"/>
      <c r="ER89" s="1321"/>
      <c r="ES89" s="1321"/>
      <c r="ET89" s="1321"/>
      <c r="EU89" s="1321"/>
      <c r="EV89" s="1321"/>
      <c r="EW89" s="1321"/>
      <c r="EX89" s="1321"/>
      <c r="EY89" s="1321"/>
      <c r="EZ89" s="1321"/>
      <c r="FA89" s="1321"/>
      <c r="FB89" s="1321"/>
      <c r="FC89" s="1321"/>
      <c r="FD89" s="1321"/>
      <c r="FE89" s="1321"/>
      <c r="FF89" s="1321"/>
      <c r="FG89" s="1321"/>
      <c r="FH89" s="1321"/>
      <c r="FI89" s="1321"/>
      <c r="FJ89" s="1321"/>
      <c r="FK89" s="1321"/>
      <c r="FL89" s="1321"/>
      <c r="FM89" s="1321"/>
      <c r="FN89" s="1321"/>
      <c r="FO89" s="1321"/>
      <c r="FP89" s="1321"/>
      <c r="FQ89" s="1321"/>
      <c r="FR89" s="1321"/>
      <c r="FS89" s="1321"/>
      <c r="FT89" s="1321"/>
      <c r="FU89" s="1321"/>
      <c r="FV89" s="1321"/>
      <c r="FW89" s="1321"/>
      <c r="FX89" s="1321"/>
      <c r="FY89" s="1321"/>
      <c r="FZ89" s="1321"/>
      <c r="GA89" s="1321"/>
      <c r="GB89" s="1321"/>
      <c r="GC89" s="1321"/>
      <c r="GD89" s="1321"/>
      <c r="GE89" s="1321"/>
      <c r="GF89" s="1321"/>
      <c r="GG89" s="1321"/>
      <c r="GH89" s="1321"/>
      <c r="GI89" s="1321"/>
      <c r="GJ89" s="1321"/>
      <c r="GK89" s="1321"/>
      <c r="GL89" s="1321"/>
      <c r="GM89" s="1321"/>
      <c r="GN89" s="1321"/>
      <c r="GO89" s="1321"/>
      <c r="GP89" s="1321"/>
      <c r="GQ89" s="1321"/>
      <c r="GR89" s="1321"/>
      <c r="GS89" s="1321"/>
      <c r="GT89" s="1321"/>
      <c r="GU89" s="1321"/>
      <c r="GV89" s="1321"/>
      <c r="GW89" s="1321"/>
      <c r="GX89" s="1321"/>
      <c r="GY89" s="1321"/>
      <c r="GZ89" s="1321"/>
    </row>
    <row r="90" spans="3:208" hidden="1">
      <c r="C90" s="1321" t="str">
        <f t="array" ref="C90">IF( ISERROR(INDEX($A$4:$A$60,SMALL(IF($C$4:$C$60&lt;&gt;0,ROW($C$4:$C$60)-4),ROW(A24)))),"",INDEX($A$4:$A$60,SMALL(IF($C$4:$C$60&lt;&gt;0,ROW($C$5:$C$60)-4),ROW(A24))))</f>
        <v/>
      </c>
      <c r="D90" s="1321" t="str">
        <f t="array" ref="D90">IF(ISERROR(INDEX($C$4:$C$60,SMALL(IF($C$4:$C$60&lt;&gt;0,ROW($C$4:$C$60)-3),ROW(D24)))),"",INDEX($C$4:$C$60,SMALL(IF($C$4:$C$60&lt;&gt;0,ROW($C$4:$C$60)-3),ROW(D24))))</f>
        <v/>
      </c>
      <c r="E90" s="1321" t="str">
        <f t="array" ref="E90">IF( ISERROR(INDEX($A$4:$A$60,SMALL(IF($E$4:$E$60&lt;&gt;0,ROW($E$4:$E$60)-4),ROW(E24)))),"",INDEX($A$4:$A$60,SMALL(IF($E$4:$E$60&lt;&gt;0,ROW($E$5:$E$60)-4),ROW(E24))))</f>
        <v/>
      </c>
      <c r="F90" s="1321" t="str">
        <f t="array" ref="F90">IF(ISERROR(INDEX($E$4:$E$60,SMALL(IF($E$4:$E$60&lt;&gt;0,ROW($E$4:$E$60)-3),ROW(F24)))),"",INDEX($E$4:$E$60,SMALL(IF($E$4:$E$60&lt;&gt;0,ROW($E$4:$E$60)-3),ROW(F24))))</f>
        <v/>
      </c>
      <c r="G90" s="1321" t="str">
        <f t="array" ref="G90">IF( ISERROR(INDEX($A$4:$A$60,SMALL(IF($G$4:$G$60&lt;&gt;0,ROW($G$4:$G$60)-4),ROW(G24)))),"",INDEX($A$4:$A$60,SMALL(IF($G$4:$G$60&lt;&gt;0,ROW($G$5:$G$60)-4),ROW(G24))))</f>
        <v/>
      </c>
      <c r="H90" s="1321" t="str">
        <f t="array" ref="H90">IF(ISERROR(INDEX($E$4:$E$60,SMALL(IF($G$4:$G$60&lt;&gt;0,ROW($G$4:$G$60)-3),ROW(H24)))),"",INDEX($G$4:$G$60,SMALL(IF($G$4:$G$60&lt;&gt;0,ROW($G$4:$G$60)-3),ROW(H24))))</f>
        <v/>
      </c>
      <c r="I90" s="1321" t="str">
        <f t="array" ref="I90">IF( ISERROR(INDEX($A$4:$A$60,SMALL(IF($I$4:$I$60&lt;&gt;0,ROW($I$4:$I$60)-4),ROW(I24)))),"",INDEX($A$4:$A$60,SMALL(IF($I$4:$I$60&lt;&gt;0,ROW($I$5:$I$60)-4),ROW(I24))))</f>
        <v/>
      </c>
      <c r="J90" s="1321" t="str">
        <f t="array" ref="J90">IF(ISERROR(INDEX($I$4:$I$60,SMALL(IF($I$4:$I$60&lt;&gt;0,ROW($I$4:$I$60)-3),ROW(J24)))),"",INDEX($I$4:$I$60,SMALL(IF($I$4:$I$60&lt;&gt;0,ROW($I$4:$I$60)-3),ROW(J24))))</f>
        <v/>
      </c>
      <c r="K90" s="1321" t="str">
        <f t="array" ref="K90">IF( ISERROR(INDEX($A$4:$A$60,SMALL(IF($K$4:$K$60&lt;&gt;0,ROW($K$4:$K$60)-4),ROW(K24)))),"",INDEX($A$4:$A$60,SMALL(IF($K$4:$K$60&lt;&gt;0,ROW($K$5:$K$60)-4),ROW(K24))))</f>
        <v/>
      </c>
      <c r="L90" s="1321" t="str">
        <f t="array" ref="L90">IF(ISERROR(INDEX($K$4:$K$60,SMALL(IF($K$4:$K$60&lt;&gt;0,ROW($K$4:$K$60)-3),ROW(L24)))),"",INDEX($K$4:$K$60,SMALL(IF($K$4:$K$60&lt;&gt;0,ROW($K$4:$K$60)-3),ROW(L24))))</f>
        <v/>
      </c>
      <c r="M90" s="1321" t="str">
        <f t="array" ref="M90">IF( ISERROR(INDEX($A$4:$A$60,SMALL(IF($M$4:$M$60&lt;&gt;0,ROW($M$4:$M$60)-4),ROW(M24)))),"",INDEX($A$4:$A$60,SMALL(IF($M$4:$M$60&lt;&gt;0,ROW($M$5:$M$60)-4),ROW(M24))))</f>
        <v/>
      </c>
      <c r="N90" s="1321" t="str">
        <f t="array" ref="N90">IF(ISERROR(INDEX($M$4:$M$60,SMALL(IF($M$4:$M$60&lt;&gt;0,ROW($M$4:$M$60)-3),ROW(N24)))),"",INDEX($M$4:$M$60,SMALL(IF($M$4:$M$60&lt;&gt;0,ROW($M$4:$M$60)-3),ROW(N24))))</f>
        <v/>
      </c>
      <c r="O90" s="1321" t="str">
        <f t="array" ref="O90">IF( ISERROR(INDEX($A$4:$A$60,SMALL(IF($O$4:$O$60&lt;&gt;0,ROW($O$4:$O$60)-4),ROW(O24)))),"",INDEX($A$4:$A$60,SMALL(IF($O$4:$O$60&lt;&gt;0,ROW($O$5:$O$60)-4),ROW(O24))))</f>
        <v/>
      </c>
      <c r="P90" s="1321" t="str">
        <f t="array" ref="P90">IF(ISERROR(INDEX($O$4:$O$60,SMALL(IF($O$4:$O$60&lt;&gt;0,ROW($O$4:$O$60)-3),ROW(P24)))),"",INDEX($O$4:$O$60,SMALL(IF($O$4:$O$60&lt;&gt;0,ROW($O$4:$O$60)-3),ROW(P24))))</f>
        <v/>
      </c>
      <c r="Q90" s="1321" t="str">
        <f t="array" ref="Q90">IF( ISERROR(INDEX($A$4:$A$60,SMALL(IF($Q$4:$Q$60&lt;&gt;0,ROW($Q$4:$Q$60)-4),ROW(Q24)))),"",INDEX($A$4:$A$60,SMALL(IF($Q$4:$Q$60&lt;&gt;0,ROW($Q$5:$Q$60)-4),ROW(Q24))))</f>
        <v/>
      </c>
      <c r="R90" s="1321" t="str">
        <f t="array" ref="R90">IF(ISERROR(INDEX($Q$4:$Q$60,SMALL(IF($Q$4:$Q$60&lt;&gt;0,ROW($Q$4:$Q$60)-3),ROW(R24)))),"",INDEX($Q$4:$Q$60,SMALL(IF($Q$4:$Q$60&lt;&gt;0,ROW($Q$4:$Q$60)-3),ROW(R24))))</f>
        <v/>
      </c>
      <c r="S90" s="1321" t="str">
        <f t="array" ref="S90">IF( ISERROR(INDEX($A$4:$A$60,SMALL(IF($S$4:$S$60&lt;&gt;0,ROW($S$4:$S$60)-4),ROW(S24)))),"",INDEX($A$4:$A$60,SMALL(IF($S$4:$S$60&lt;&gt;0,ROW($S$5:$S$60)-4),ROW(S24))))</f>
        <v/>
      </c>
      <c r="T90" s="1321" t="str">
        <f t="array" ref="T90">IF(ISERROR(INDEX($S$4:$S$60,SMALL(IF($S$4:$S$60&lt;&gt;0,ROW($S$4:$S$60)-3),ROW(T24)))),"",INDEX($S$4:$S$60,SMALL(IF($S$4:$S$60&lt;&gt;0,ROW($S$4:$S$60)-3),ROW(T24))))</f>
        <v/>
      </c>
      <c r="U90" s="1321" t="str">
        <f t="array" ref="U90">IF( ISERROR(INDEX($A$4:$A$60,SMALL(IF($U$4:$U$60&lt;&gt;0,ROW($U$4:$U$60)-4),ROW(U24)))),"",INDEX($A$4:$A$60,SMALL(IF($U$4:$U$60&lt;&gt;0,ROW($U$5:$U$60)-4),ROW(U24))))</f>
        <v/>
      </c>
      <c r="V90" s="1321" t="str">
        <f t="array" ref="V90">IF(ISERROR(INDEX($U$4:$U$60,SMALL(IF($U$4:$U$60&lt;&gt;0,ROW($U$4:$U$60)-3),ROW(V24)))),"",INDEX($U$4:$U$60,SMALL(IF($U$4:$U$60&lt;&gt;0,ROW($U$4:$U$60)-3),ROW(V24))))</f>
        <v/>
      </c>
      <c r="W90" s="1321" t="str">
        <f t="array" ref="W90">IF( ISERROR(INDEX($A$4:$A$60,SMALL(IF($W$4:$W$60&lt;&gt;0,ROW($W$4:$W$60)-4),ROW(W24)))),"",INDEX($A$4:$A$60,SMALL(IF($W$4:$W$60&lt;&gt;0,ROW($W$5:$W$60)-4),ROW(W24))))</f>
        <v/>
      </c>
      <c r="X90" s="1321" t="str">
        <f t="array" ref="X90">IF(ISERROR(INDEX($W$4:$W$60,SMALL(IF($W$4:$W$60&lt;&gt;0,ROW($W$4:$W$60)-3),ROW(X24)))),"",INDEX($W$4:$W$60,SMALL(IF($W$4:$W$60&lt;&gt;0,ROW($W$4:$W$60)-3),ROW(X24))))</f>
        <v/>
      </c>
      <c r="Y90" s="1321" t="str">
        <f t="array" ref="Y90">IF( ISERROR(INDEX($A$4:$A$60,SMALL(IF($Y$4:$Y$60&lt;&gt;0,ROW($Y$4:$Y$60)-4),ROW(Y24)))),"",INDEX($A$4:$A$60,SMALL(IF($Y$4:$Y$60&lt;&gt;0,ROW($Y$5:$Y$60)-4),ROW(Y24))))</f>
        <v/>
      </c>
      <c r="Z90" s="1321" t="str">
        <f t="array" ref="Z90">IF(ISERROR(INDEX($Y$4:$Y$60,SMALL(IF($Y$4:$Y$60&lt;&gt;0,ROW($Y$4:$Y$60)-3),ROW(Z24)))),"",INDEX($Y$4:$Y$60,SMALL(IF($Y$4:$Y$60&lt;&gt;0,ROW($Y$4:$Y$60)-3),ROW(Z24))))</f>
        <v/>
      </c>
      <c r="AA90" s="1321" t="str">
        <f t="array" ref="AA90">IF( ISERROR(INDEX($A$4:$A$60,SMALL(IF($AA$4:$AA$60&lt;&gt;0,ROW($AA$4:$AA$60)-4),ROW(AA24)))),"",INDEX($A$4:$A$60,SMALL(IF($AA$4:$AA$60&lt;&gt;0,ROW($AA$5:$AA$60)-4),ROW(AA24))))</f>
        <v/>
      </c>
      <c r="AB90" s="1321" t="str">
        <f t="array" ref="AB90">IF(ISERROR(INDEX($AA$4:$AA$60,SMALL(IF($AA$4:$AA$60&lt;&gt;0,ROW($AA$4:$AA$60)-3),ROW(AB24)))),"",INDEX($AA$4:$AA$60,SMALL(IF($AA$4:$AA$60&lt;&gt;0,ROW($AA$4:$AA$60)-3),ROW(AB24))))</f>
        <v/>
      </c>
      <c r="AC90" s="1321" t="str">
        <f t="array" ref="AC90">IF( ISERROR(INDEX($A$4:$A$60,SMALL(IF($AC$4:$AC$60&lt;&gt;0,ROW($AC$4:$AC$60)-4),ROW(AC24)))),"",INDEX($A$4:$A$60,SMALL(IF($AC$4:$AC$60&lt;&gt;0,ROW($AC$5:$AC$60)-4),ROW(AC24))))</f>
        <v/>
      </c>
      <c r="AD90" s="1321" t="str">
        <f t="array" ref="AD90">IF(ISERROR(INDEX($AC$4:$AC$60,SMALL(IF($AC$4:$AC$60&lt;&gt;0,ROW($AC$4:$AC$60)-3),ROW(AD24)))),"",INDEX($AC$4:$AC$60,SMALL(IF($AC$4:$AC$60&lt;&gt;0,ROW($AC$4:$AC$60)-3),ROW(AD24))))</f>
        <v/>
      </c>
      <c r="AE90" s="1321" t="str">
        <f t="array" ref="AE90">IF( ISERROR(INDEX($A$4:$A$60,SMALL(IF($AE$4:$AE$60&lt;&gt;0,ROW($AE$4:$AE$60)-4),ROW(AE24)))),"",INDEX($A$4:$A$60,SMALL(IF($AE$4:$AE$60&lt;&gt;0,ROW($AE$5:$AE$60)-4),ROW(AE24))))</f>
        <v/>
      </c>
      <c r="AF90" s="1321" t="str">
        <f t="array" ref="AF90">IF(ISERROR(INDEX($AE$4:$AE$60,SMALL(IF($AE$4:$AE$60&lt;&gt;0,ROW($AE$4:$AE$60)-3),ROW(AF24)))),"",INDEX($AE$4:$AE$60,SMALL(IF($AE$4:$AE$60&lt;&gt;0,ROW($AE$4:$AE$60)-3),ROW(AF24))))</f>
        <v/>
      </c>
      <c r="AG90" s="1321" t="str">
        <f t="array" ref="AG90">IF( ISERROR(INDEX($A$4:$A$60,SMALL(IF($AG$4:$AG$60&lt;&gt;0,ROW($AG$4:$AG$60)-4),ROW(AG24)))),"",INDEX($A$4:$A$60,SMALL(IF($AG$4:$AG$60&lt;&gt;0,ROW($AG$5:$AG$60)-4),ROW(AG24))))</f>
        <v/>
      </c>
      <c r="AH90" s="1321" t="str">
        <f t="array" ref="AH90">IF(ISERROR(INDEX($AG$4:$AG$60,SMALL(IF($AG$4:$AG$60&lt;&gt;0,ROW($AG$4:$AG$60)-3),ROW(AH24)))),"",INDEX($AG$4:$AG$60,SMALL(IF($AG$4:$AG$60&lt;&gt;0,ROW($AG$4:$AG$60)-3),ROW(AH24))))</f>
        <v/>
      </c>
      <c r="AI90" s="1321" t="str">
        <f t="array" ref="AI90">IF( ISERROR(INDEX($A$4:$A$60,SMALL(IF($AI$4:$AI$60&lt;&gt;0,ROW($AI$4:$AI$60)-4),ROW(AI24)))),"",INDEX($A$4:$A$60,SMALL(IF($AI$4:$AI$60&lt;&gt;0,ROW($AI$5:$AI$60)-4),ROW(AI24))))</f>
        <v/>
      </c>
      <c r="AJ90" s="1321" t="str">
        <f t="array" ref="AJ90">IF(ISERROR(INDEX($E$4:$E$60,SMALL(IF($AI$4:$AI$60&lt;&gt;0,ROW($AI$4:$AI$60)-3),ROW(AJ24)))),"",INDEX($AI$4:$AI$60,SMALL(IF($AI$4:$AI$60&lt;&gt;0,ROW($AI$4:$AI$60)-3),ROW(AJ24))))</f>
        <v/>
      </c>
      <c r="AK90" s="1321" t="str">
        <f t="array" ref="AK90">IF( ISERROR(INDEX($A$4:$A$60,SMALL(IF($AK$4:$AK$60&lt;&gt;0,ROW($AK$4:$AK$60)-4),ROW(AK24)))),"",INDEX($A$4:$A$60,SMALL(IF($AK$4:$AK$60&lt;&gt;0,ROW($AK$5:$AK$60)-4),ROW(AK24))))</f>
        <v/>
      </c>
      <c r="AL90" s="1321" t="str">
        <f t="array" ref="AL90">IF(ISERROR(INDEX($AK$4:$AK$60,SMALL(IF($AK$4:$AK$60&lt;&gt;0,ROW($AK$4:$AK$60)-3),ROW(AL24)))),"",INDEX($AK$4:$AK$60,SMALL(IF($AK$4:$AK$60&lt;&gt;0,ROW($AK$4:$AK$60)-3),ROW(AL24))))</f>
        <v/>
      </c>
      <c r="AM90" s="1321" t="str">
        <f t="array" ref="AM90">IF( ISERROR(INDEX($A$4:$A$60,SMALL(IF($AM$4:$AM$60&lt;&gt;0,ROW($AM$4:$AM$60)-4),ROW(AM24)))),"",INDEX($A$4:$A$60,SMALL(IF($AM$4:$AM$60&lt;&gt;0,ROW($AM$5:$AM$60)-4),ROW(AM24))))</f>
        <v/>
      </c>
      <c r="AN90" s="1321" t="str">
        <f t="array" ref="AN90">IF(ISERROR(INDEX($AM$4:$AM$60,SMALL(IF($AM$4:$AM$60&lt;&gt;0,ROW($AM$4:$AM$60)-3),ROW(AN24)))),"",INDEX($AM$4:$AM$60,SMALL(IF($AM$4:$AM$60&lt;&gt;0,ROW($AM$4:$AM$60)-3),ROW(AN24))))</f>
        <v/>
      </c>
      <c r="AO90" s="1321" t="str">
        <f t="array" ref="AO90">IF( ISERROR(INDEX($A$4:$A$60,SMALL(IF($AO$4:$AO$60&lt;&gt;0,ROW($AO$4:$AO$60)-4),ROW(AO24)))),"",INDEX($A$4:$A$60,SMALL(IF($AO$4:$AO$60&lt;&gt;0,ROW($AO$5:$AO$60)-4),ROW(AO24))))</f>
        <v/>
      </c>
      <c r="AP90" s="1321" t="str">
        <f t="array" ref="AP90">IF(ISERROR(INDEX($AO$4:$AO$60,SMALL(IF($AO$4:$AO$60&lt;&gt;0,ROW($AO$4:$AO$60)-3),ROW(AP24)))),"",INDEX($AO$4:$AO$60,SMALL(IF($AO$4:$AO$60&lt;&gt;0,ROW($AO$4:$AO$60)-3),ROW(AP24))))</f>
        <v/>
      </c>
      <c r="AQ90" s="1321" t="str">
        <f t="array" ref="AQ90">IF( ISERROR(INDEX($A$4:$A$60,SMALL(IF($AQ$4:$AQ$60&lt;&gt;0,ROW($AQ$4:$AQ$60)-4),ROW(AQ24)))),"",INDEX($A$4:$A$60,SMALL(IF($AQ$4:$AQ$60&lt;&gt;0,ROW($AQ$5:$AQ$60)-4),ROW(AQ24))))</f>
        <v/>
      </c>
      <c r="AR90" s="1321" t="str">
        <f t="array" ref="AR90">IF(ISERROR(INDEX($AQ$4:$AQ$60,SMALL(IF($AQ$4:$AQ$60&lt;&gt;0,ROW($AQ$4:$AQ$60)-3),ROW(AR24)))),"",INDEX($AQ$4:$AQ$60,SMALL(IF($AQ$4:$AQ$60&lt;&gt;0,ROW($AQ$4:$AQ$60)-3),ROW(AR24))))</f>
        <v/>
      </c>
      <c r="AS90" s="1321" t="str">
        <f t="array" ref="AS90">IF( ISERROR(INDEX($A$4:$A$60,SMALL(IF($AS$4:$AS$60&lt;&gt;0,ROW($AS$4:$AS$60)-4),ROW(AS24)))),"",INDEX($A$4:$A$60,SMALL(IF($AS$4:$AS$60&lt;&gt;0,ROW($AS$5:$AS$60)-4),ROW(AS24))))</f>
        <v/>
      </c>
      <c r="AT90" s="1321" t="str">
        <f t="array" ref="AT90">IF(ISERROR(INDEX($AS$4:$AS$60,SMALL(IF($AS$4:$AS$60&lt;&gt;0,ROW($AS$4:$AS$60)-3),ROW(AT24)))),"",INDEX($AS$4:$AS$60,SMALL(IF($AS$4:$AS$60&lt;&gt;0,ROW($AS$4:$AS$60)-3),ROW(AT24))))</f>
        <v/>
      </c>
      <c r="AU90" s="1321" t="str">
        <f t="array" ref="AU90">IF( ISERROR(INDEX($A$4:$A$60,SMALL(IF($AU$4:$AU$60&lt;&gt;0,ROW($AU$4:$AU$60)-4),ROW(AU24)))),"",INDEX($A$4:$A$60,SMALL(IF($AU$4:$AU$60&lt;&gt;0,ROW($AU$5:$AU$60)-4),ROW(AU24))))</f>
        <v/>
      </c>
      <c r="AV90" s="1321" t="str">
        <f t="array" ref="AV90">IF(ISERROR(INDEX($AU$4:$AU$60,SMALL(IF($AU$4:$AU$60&lt;&gt;0,ROW($AU$4:$AU$60)-3),ROW(AV24)))),"",INDEX($AU$4:$AU$60,SMALL(IF($AU$4:$AU$60&lt;&gt;0,ROW($AU$4:$AU$60)-3),ROW(AV24))))</f>
        <v/>
      </c>
      <c r="AW90" s="1321" t="str">
        <f t="array" ref="AW90">IF( ISERROR(INDEX($A$4:$A$60,SMALL(IF($AW$4:$AW$60&lt;&gt;0,ROW($AW$4:$AW$60)-4),ROW(AW24)))),"",INDEX($A$4:$A$60,SMALL(IF($AW$4:$AW$60&lt;&gt;0,ROW($AW$5:$AW$60)-4),ROW(AW24))))</f>
        <v/>
      </c>
      <c r="AX90" s="1321" t="str">
        <f t="array" ref="AX90">IF(ISERROR(INDEX($AW$4:$AW$60,SMALL(IF($AW$4:$AW$60&lt;&gt;0,ROW($AW$4:$AW$60)-3),ROW(AX24)))),"",INDEX($AW$4:$AW$60,SMALL(IF($AW$4:$AW$60&lt;&gt;0,ROW($AW$4:$AW$60)-3),ROW(AX24))))</f>
        <v/>
      </c>
      <c r="AY90" s="1321" t="str">
        <f t="array" ref="AY90">IF( ISERROR(INDEX($A$4:$A$60,SMALL(IF($AY$4:$AY$60&lt;&gt;0,ROW($AY$4:$AY$60)-4),ROW(AY24)))),"",INDEX($A$4:$A$60,SMALL(IF($AY$4:$AY$60&lt;&gt;0,ROW($AY$5:$AY$60)-4),ROW(AY24))))</f>
        <v/>
      </c>
      <c r="AZ90" s="1321" t="str">
        <f t="array" ref="AZ90">IF(ISERROR(INDEX($AY$4:$AY$60,SMALL(IF($AY$4:$AY$60&lt;&gt;0,ROW($AY$4:$AY$60)-3),ROW(AZ24)))),"",INDEX($AY$4:$AY$60,SMALL(IF($AY$4:$AY$60&lt;&gt;0,ROW($AY$4:$AY$60)-3),ROW(AZ24))))</f>
        <v/>
      </c>
      <c r="BA90" s="1321" t="str">
        <f t="array" ref="BA90">IF( ISERROR(INDEX($A$4:$A$60,SMALL(IF($BA$4:$BA$60&lt;&gt;0,ROW($BA$4:$BA$60)-4),ROW(BA24)))),"",INDEX($A$4:$A$60,SMALL(IF($BA$4:$BA$60&lt;&gt;0,ROW($BA$5:$BA$60)-4),ROW(BA24))))</f>
        <v/>
      </c>
      <c r="BB90" s="1321" t="str">
        <f t="array" ref="BB90">IF(ISERROR(INDEX($BA$4:$BA$60,SMALL(IF($BA$4:$BA$60&lt;&gt;0,ROW($BA$4:$BA$60)-3),ROW(BB24)))),"",INDEX($BA$4:$BA$60,SMALL(IF($BA$4:$BA$60&lt;&gt;0,ROW($BA$4:$BA$60)-3),ROW(BB24))))</f>
        <v/>
      </c>
      <c r="BC90" s="1321" t="str">
        <f t="array" ref="BC90">IF( ISERROR(INDEX($A$4:$A$60,SMALL(IF($BC$4:$BC$60&lt;&gt;0,ROW($BC$4:$BC$60)-4),ROW(BC24)))),"",INDEX($A$4:$A$60,SMALL(IF($BC$4:$BC$60&lt;&gt;0,ROW($BC$5:$BC$60)-4),ROW(BC24))))</f>
        <v/>
      </c>
      <c r="BD90" s="1321" t="str">
        <f t="array" ref="BD90">IF(ISERROR(INDEX($BC$4:$BC$60,SMALL(IF($BC$4:$BC$60&lt;&gt;0,ROW($BC$4:$BC$60)-3),ROW(BD24)))),"",INDEX($BC$4:$BC$60,SMALL(IF($BC$4:$BC$60&lt;&gt;0,ROW($BC$4:$BC$60)-3),ROW(BD24))))</f>
        <v/>
      </c>
      <c r="BE90" s="1321" t="str">
        <f t="array" ref="BE90">IF( ISERROR(INDEX($A$4:$A$60,SMALL(IF($BE$4:$BE$60&lt;&gt;0,ROW($BE$4:$BE$60)-4),ROW(BE24)))),"",INDEX($A$4:$A$60,SMALL(IF($BE$4:$BE$60&lt;&gt;0,ROW($BE$5:$BE$60)-4),ROW(BE24))))</f>
        <v/>
      </c>
      <c r="BF90" s="1321" t="str">
        <f t="array" ref="BF90">IF(ISERROR(INDEX($BE$4:$BE$60,SMALL(IF($BE$4:$BE$60&lt;&gt;0,ROW($BE$4:$BE$60)-3),ROW(BF24)))),"",INDEX($BE$4:$BE$60,SMALL(IF($BE$4:$BE$60&lt;&gt;0,ROW($BE$4:$BE$60)-3),ROW(BF24))))</f>
        <v/>
      </c>
      <c r="BG90" s="1321" t="str">
        <f t="array" ref="BG90">IF( ISERROR(INDEX($A$4:$A$60,SMALL(IF($BG$4:$BG$60&lt;&gt;0,ROW($BG$4:$BG$60)-4),ROW(BG24)))),"",INDEX($A$4:$A$60,SMALL(IF($BG$4:$BG$60&lt;&gt;0,ROW($BG$5:$BG$60)-4),ROW(BG24))))</f>
        <v/>
      </c>
      <c r="BH90" s="1321" t="str">
        <f t="array" ref="BH90">IF(ISERROR(INDEX($BG$4:$BG$60,SMALL(IF($BG$4:$BG$60&lt;&gt;0,ROW($BG$4:$BG$60)-3),ROW(BH24)))),"",INDEX($BG$4:$BG$60,SMALL(IF($BG$4:$BG$60&lt;&gt;0,ROW($BG$4:$BG$60)-3),ROW(BH24))))</f>
        <v/>
      </c>
      <c r="BI90" s="1321" t="str">
        <f t="array" ref="BI90">IF( ISERROR(INDEX($A$4:$A$60,SMALL(IF($BI$4:$BI$60&lt;&gt;0,ROW($BI$4:$BI$60)-4),ROW(BI24)))),"",INDEX($A$4:$A$60,SMALL(IF($BI$4:$BI$60&lt;&gt;0,ROW($BI$5:$BI$60)-4),ROW(BI24))))</f>
        <v/>
      </c>
      <c r="BJ90" s="1321" t="str">
        <f t="array" ref="BJ90">IF(ISERROR(INDEX($BI$4:$BI$60,SMALL(IF($BI$4:$BI$60&lt;&gt;0,ROW($BI$4:$BI$60)-3),ROW(BJ24)))),"",INDEX($BI$4:$BI$60,SMALL(IF($BI$4:$BI$60&lt;&gt;0,ROW($BI$4:$BI$60)-3),ROW(BJ24))))</f>
        <v/>
      </c>
      <c r="BK90" s="1321" t="str">
        <f t="array" ref="BK90">IF( ISERROR(INDEX($A$4:$A$60,SMALL(IF($BK$4:$BK$60&lt;&gt;0,ROW($BK$4:$BK$60)-4),ROW(BK24)))),"",INDEX($A$4:$A$60,SMALL(IF($BK$4:$BK$60&lt;&gt;0,ROW($BK$5:$BK$60)-4),ROW(BK24))))</f>
        <v/>
      </c>
      <c r="BL90" s="1321" t="str">
        <f t="array" ref="BL90">IF(ISERROR(INDEX($BK$4:$BK$60,SMALL(IF($BK$4:$BK$60&lt;&gt;0,ROW($BK$4:$BK$60)-3),ROW(BL24)))),"",INDEX($BK$4:$BK$60,SMALL(IF($BK$4:$BK$60&lt;&gt;0,ROW($BK$4:$BK$60)-3),ROW(BL24))))</f>
        <v/>
      </c>
      <c r="BM90" s="1321" t="str">
        <f t="array" ref="BM90">IF( ISERROR(INDEX($A$4:$A$60,SMALL(IF($BM$4:$BM$60&lt;&gt;0,ROW($BM$4:$BM$60)-4),ROW(BM24)))),"",INDEX($A$4:$A$60,SMALL(IF($BM$4:$BM$60&lt;&gt;0,ROW($BM$5:$BM$60)-4),ROW(BM24))))</f>
        <v/>
      </c>
      <c r="BN90" s="1321" t="str">
        <f t="array" ref="BN90">IF(ISERROR(INDEX($BM$4:$BM$60,SMALL(IF($BM$4:$BM$60&lt;&gt;0,ROW($BM$4:$BM$60)-3),ROW(BN24)))),"",INDEX($BM$4:$BM$60,SMALL(IF($BM$4:$BM$60&lt;&gt;0,ROW($BM$4:$BM$60)-3),ROW(BN24))))</f>
        <v/>
      </c>
      <c r="BO90" s="1321" t="str">
        <f t="array" ref="BO90">IF( ISERROR(INDEX($A$4:$A$60,SMALL(IF($BO$4:$BO$60&lt;&gt;0,ROW($BO$4:$BO$60)-4),ROW(BO24)))),"",INDEX($A$4:$A$60,SMALL(IF($BO$4:$BO$60&lt;&gt;0,ROW($BO$5:$BO$60)-4),ROW(BO24))))</f>
        <v/>
      </c>
      <c r="BP90" s="1321" t="str">
        <f t="array" ref="BP90">IF(ISERROR(INDEX($BO$4:$BO$60,SMALL(IF($BO$4:$BO$60&lt;&gt;0,ROW($BO$4:$BO$60)-3),ROW(BP24)))),"",INDEX($BO$4:$BO$60,SMALL(IF($BO$4:$BO$60&lt;&gt;0,ROW($BO$4:$BO$60)-3),ROW(BP24))))</f>
        <v/>
      </c>
      <c r="BQ90" s="1321" t="str">
        <f t="array" ref="BQ90">IF( ISERROR(INDEX($A$4:$A$60,SMALL(IF($BQ$4:$BQ$60&lt;&gt;0,ROW($BQ$4:$BQ$60)-4),ROW(BQ24)))),"",INDEX($A$4:$A$60,SMALL(IF($BQ$4:$BQ$60&lt;&gt;0,ROW($BQ$5:$BQ$60)-4),ROW(BQ24))))</f>
        <v/>
      </c>
      <c r="BR90" s="1321" t="str">
        <f t="array" ref="BR90">IF(ISERROR(INDEX($BQ$4:$BQ$60,SMALL(IF($BQ$4:$BQ$60&lt;&gt;0,ROW($BQ$4:$BQ$60)-3),ROW(BR24)))),"",INDEX($BQ$4:$BQ$60,SMALL(IF($BQ$4:$BQ$60&lt;&gt;0,ROW($BQ$4:$BQ$60)-3),ROW(BR24))))</f>
        <v/>
      </c>
      <c r="BS90" s="1321" t="str">
        <f t="array" ref="BS90">IF( ISERROR(INDEX($A$4:$A$60,SMALL(IF($BS$4:$BS$60&lt;&gt;0,ROW($BS$4:$BS$60)-4),ROW(BS24)))),"",INDEX($A$4:$A$60,SMALL(IF($BS$4:$BS$60&lt;&gt;0,ROW($BS$5:$BS$60)-4),ROW(BS24))))</f>
        <v/>
      </c>
      <c r="BT90" s="1321" t="str">
        <f t="array" ref="BT90">IF(ISERROR(INDEX($BS$4:$BS$60,SMALL(IF($BS$4:$BS$60&lt;&gt;0,ROW($BS$4:$BS$60)-3),ROW(BT24)))),"",INDEX($BS$4:$BS$60,SMALL(IF($BS$4:$BS$60&lt;&gt;0,ROW($BS$4:$BS$60)-3),ROW(BT24))))</f>
        <v/>
      </c>
      <c r="BU90" s="1321" t="str">
        <f t="array" ref="BU90">IF( ISERROR(INDEX($A$4:$A$60,SMALL(IF($BU$4:$BU$60&lt;&gt;0,ROW($BU$4:$BU$60)-4),ROW(BU24)))),"",INDEX($A$4:$A$60,SMALL(IF($BU$4:$BU$60&lt;&gt;0,ROW($BU$5:$BU$60)-4),ROW(BU24))))</f>
        <v/>
      </c>
      <c r="BV90" s="1321" t="str">
        <f t="array" ref="BV90">IF(ISERROR(INDEX($BQ$4:$BQ$60,SMALL(IF($BU$4:$BU$60&lt;&gt;0,ROW($BU$4:$BU$60)-3),ROW(BV24)))),"",INDEX($BU$4:$BU$60,SMALL(IF($BU$4:$BU$60&lt;&gt;0,ROW($BU$4:$BU$60)-3),ROW(BV24))))</f>
        <v/>
      </c>
      <c r="BW90" s="1321" t="str">
        <f t="array" ref="BW90">IF( ISERROR(INDEX($A$4:$A$60,SMALL(IF($BW$4:$BW$60&lt;&gt;0,ROW($BW$4:$BW$60)-4),ROW(BW24)))),"",INDEX($A$4:$A$60,SMALL(IF($BW$4:$BW$60&lt;&gt;0,ROW($BW$5:$BW$60)-4),ROW(BW24))))</f>
        <v/>
      </c>
      <c r="BX90" s="1321" t="str">
        <f t="array" ref="BX90">IF(ISERROR(INDEX($BW$4:$BW$60,SMALL(IF($BW$4:$BW$60&lt;&gt;0,ROW($BW$4:$BW$60)-3),ROW(BX24)))),"",INDEX($BW$4:$BW$60,SMALL(IF($BW$4:$BW$60&lt;&gt;0,ROW($BW$4:$BW$60)-3),ROW(BX24))))</f>
        <v/>
      </c>
      <c r="BY90" s="1321" t="str">
        <f t="array" ref="BY90">IF( ISERROR(INDEX($A$4:$A$60,SMALL(IF($BY$4:$BY$60&lt;&gt;0,ROW($BY$4:$BY$60)-4),ROW(BY24)))),"",INDEX($A$4:$A$60,SMALL(IF($BY$4:$BY$60&lt;&gt;0,ROW($BY$5:$BY$60)-4),ROW(BY24))))</f>
        <v/>
      </c>
      <c r="BZ90" s="1321" t="str">
        <f t="array" ref="BZ90">IF(ISERROR(INDEX($BY$4:$BY$60,SMALL(IF($BY$4:$BY$60&lt;&gt;0,ROW($BY$4:$BY$60)-3),ROW(BZ24)))),"",INDEX($BY$4:$BY$60,SMALL(IF($BY$4:$BY$60&lt;&gt;0,ROW($BY$4:$BY$60)-3),ROW(BZ24))))</f>
        <v/>
      </c>
      <c r="CA90" s="1321" t="str">
        <f t="array" ref="CA90">IF( ISERROR(INDEX($A$4:$A$60,SMALL(IF($CA$4:$CA$60&lt;&gt;0,ROW($CA$4:$CA$60)-4),ROW(CA24)))),"",INDEX($A$4:$A$60,SMALL(IF($CA$4:$CA$60&lt;&gt;0,ROW($CA$5:$CA$60)-4),ROW(CA24))))</f>
        <v/>
      </c>
      <c r="CB90" s="1321" t="str">
        <f t="array" ref="CB90">IF(ISERROR(INDEX($CA$4:$CA$60,SMALL(IF($CA$4:$CA$60&lt;&gt;0,ROW($CA$4:$CA$60)-3),ROW(CB24)))),"",INDEX($CA$4:$CA$60,SMALL(IF($CA$4:$CA$60&lt;&gt;0,ROW($CA$4:$CA$60)-3),ROW(CB24))))</f>
        <v/>
      </c>
      <c r="CC90" s="1321" t="str">
        <f t="array" ref="CC90">IF( ISERROR(INDEX($A$4:$A$60,SMALL(IF($CC$4:$CC$60&lt;&gt;0,ROW($CC$4:$CC$60)-4),ROW(CC24)))),"",INDEX($A$4:$A$60,SMALL(IF($CC$4:$CC$60&lt;&gt;0,ROW($CC$5:$CC$60)-4),ROW(CC24))))</f>
        <v/>
      </c>
      <c r="CD90" s="1321" t="str">
        <f t="array" ref="CD90">IF(ISERROR(INDEX($CC$4:$CC$60,SMALL(IF($CC$4:$CC$60&lt;&gt;0,ROW($CC$4:$CC$60)-3),ROW(CD24)))),"",INDEX($CC$4:$CC$60,SMALL(IF($CC$4:$CC$60&lt;&gt;0,ROW($CC$4:$CC$60)-3),ROW(CD24))))</f>
        <v/>
      </c>
      <c r="CE90" s="1321" t="str">
        <f t="array" ref="CE90">IF( ISERROR(INDEX($A$4:$A$60,SMALL(IF($CE$4:$CE$60&lt;&gt;0,ROW($CE$4:$CE$60)-4),ROW(CE24)))),"",INDEX($A$4:$A$60,SMALL(IF($CE$4:$CE$60&lt;&gt;0,ROW($CE$5:$CE$60)-4),ROW(CE24))))</f>
        <v/>
      </c>
      <c r="CF90" s="1321" t="str">
        <f t="array" ref="CF90">IF(ISERROR(INDEX($CE$4:$CE$60,SMALL(IF($CE$4:$CE$60&lt;&gt;0,ROW($CE$4:$CE$60)-3),ROW(CF24)))),"",INDEX($CE$4:$CE$60,SMALL(IF($CE$4:$CE$60&lt;&gt;0,ROW($CE$4:$CE$60)-3),ROW(CF24))))</f>
        <v/>
      </c>
      <c r="CG90" s="1321" t="str">
        <f t="array" ref="CG90">IF( ISERROR(INDEX($A$4:$A$60,SMALL(IF($CG$4:$CG$60&lt;&gt;0,ROW($CG$4:$CG$60)-4),ROW(CG24)))),"",INDEX($A$4:$A$60,SMALL(IF($CG$4:$CG$60&lt;&gt;0,ROW($CG$5:$CG$60)-4),ROW(CG24))))</f>
        <v/>
      </c>
      <c r="CH90" s="1321" t="str">
        <f t="array" ref="CH90">IF(ISERROR(INDEX($CG$4:$CG$60,SMALL(IF($CG$4:$CG$60&lt;&gt;0,ROW($CG$4:$CG$60)-3),ROW(CH24)))),"",INDEX($CG$4:$CG$60,SMALL(IF($CG$4:$CG$60&lt;&gt;0,ROW($CG$4:$CG$60)-3),ROW(CH24))))</f>
        <v/>
      </c>
      <c r="CI90" s="1321" t="str">
        <f t="array" ref="CI90">IF( ISERROR(INDEX($A$4:$A$60,SMALL(IF($CA$4:$CA$60&lt;&gt;0,ROW($CA$4:$CA$60)-4),ROW(CI24)))),"",INDEX($A$4:$A$60,SMALL(IF($CA$4:$CA$60&lt;&gt;0,ROW($CA$5:$CA$60)-4),ROW(CI24))))</f>
        <v/>
      </c>
      <c r="CJ90" s="1321" t="str">
        <f t="array" ref="CJ90">IF(ISERROR(INDEX($CA$4:$CA$60,SMALL(IF($CA$4:$CA$60&lt;&gt;0,ROW($CA$4:$CA$60)-3),ROW(CJ24)))),"",INDEX($CA$4:$CA$60,SMALL(IF($CA$4:$CA$60&lt;&gt;0,ROW($CA$4:$CA$60)-3),ROW(CJ24))))</f>
        <v/>
      </c>
      <c r="CK90" s="1321" t="str">
        <f t="array" ref="CK90">IF( ISERROR(INDEX($A$4:$A$60,SMALL(IF($CK$4:$CK$60&lt;&gt;0,ROW($CK$4:$CK$60)-4),ROW(CK24)))),"",INDEX($A$4:$A$60,SMALL(IF($CK$4:$CK$60&lt;&gt;0,ROW($CK$5:$CK$60)-4),ROW(CK24))))</f>
        <v/>
      </c>
      <c r="CL90" s="1321" t="str">
        <f t="array" ref="CL90">IF(ISERROR(INDEX($CK$4:$CK$60,SMALL(IF($CK$4:$CK$60&lt;&gt;0,ROW($CK$4:$CK$60)-3),ROW(CL24)))),"",INDEX($CK$4:$CK$60,SMALL(IF($CK$4:$CK$60&lt;&gt;0,ROW($CK$4:$CK$60)-3),ROW(CL24))))</f>
        <v/>
      </c>
      <c r="CM90" s="1321" t="str">
        <f t="array" ref="CM90">IF( ISERROR(INDEX($A$4:$A$60,SMALL(IF($CM$4:$CM$60&lt;&gt;0,ROW($CM$4:$CM$60)-4),ROW(CM24)))),"",INDEX($A$4:$A$60,SMALL(IF($CM$4:$CM$60&lt;&gt;0,ROW($CM$5:$CM$60)-4),ROW(CM24))))</f>
        <v/>
      </c>
      <c r="CN90" s="1321" t="str">
        <f t="array" ref="CN90">IF(ISERROR(INDEX($CM$4:$CM$60,SMALL(IF($CM$4:$CM$60&lt;&gt;0,ROW($CM$4:$CM$60)-3),ROW(CN24)))),"",INDEX($CM$4:$CM$60,SMALL(IF($CM$4:$CM$60&lt;&gt;0,ROW($CM$4:$CM$60)-3),ROW(CN24))))</f>
        <v/>
      </c>
      <c r="CO90" s="1321" t="str">
        <f t="array" ref="CO90">IF( ISERROR(INDEX($A$4:$A$60,SMALL(IF($CO$4:$CO$60&lt;&gt;0,ROW($CO$4:$CO$60)-4),ROW(CO24)))),"",INDEX($A$4:$A$60,SMALL(IF($CO$4:$CO$60&lt;&gt;0,ROW($CO$5:$CO$60)-4),ROW(CO24))))</f>
        <v/>
      </c>
      <c r="CP90" s="1321" t="str">
        <f t="array" ref="CP90">IF(ISERROR(INDEX($CO$4:$CO$60,SMALL(IF($CO$4:$CO$60&lt;&gt;0,ROW($CO$4:$CO$60)-3),ROW(CP24)))),"",INDEX($CO$4:$CO$60,SMALL(IF($CO$4:$CO$60&lt;&gt;0,ROW($CO$4:$CO$60)-3),ROW(CP24))))</f>
        <v/>
      </c>
      <c r="CQ90" s="1321" t="str">
        <f t="array" ref="CQ90">IF( ISERROR(INDEX($A$4:$A$60,SMALL(IF($CQ$4:$CQ$60&lt;&gt;0,ROW($CQ$4:$CQ$60)-4),ROW(CQ24)))),"",INDEX($A$4:$A$60,SMALL(IF($CQ$4:$CQ$60&lt;&gt;0,ROW($CQ$5:$CQ$60)-4),ROW(CQ24))))</f>
        <v/>
      </c>
      <c r="CR90" s="1321" t="str">
        <f t="array" ref="CR90">IF(ISERROR(INDEX($CQ$4:$CQ$60,SMALL(IF($CQ$4:$CQ$60&lt;&gt;0,ROW($CQ$4:$CQ$60)-3),ROW(CR24)))),"",INDEX($CQ$4:$CQ$60,SMALL(IF($CQ$4:$CQ$60&lt;&gt;0,ROW($CQ$4:$CQ$60)-3),ROW(CR24))))</f>
        <v/>
      </c>
      <c r="CS90" s="1321" t="str">
        <f t="array" ref="CS90">IF( ISERROR(INDEX($A$4:$A$60,SMALL(IF($CS$4:$CS$60&lt;&gt;0,ROW($CS$4:$CS$60)-4),ROW(CS24)))),"",INDEX($A$4:$A$60,SMALL(IF($CS$4:$CS$60&lt;&gt;0,ROW($CS$5:$CS$60)-4),ROW(CS24))))</f>
        <v/>
      </c>
      <c r="CT90" s="1321" t="str">
        <f t="array" ref="CT90">IF(ISERROR(INDEX($CS$4:$CS$60,SMALL(IF($CS$4:$CS$60&lt;&gt;0,ROW($CS$4:$CS$60)-3),ROW(CT24)))),"",INDEX($CS$4:$CS$60,SMALL(IF($CS$4:$CS$60&lt;&gt;0,ROW($CS$4:$CS$60)-3),ROW(CT24))))</f>
        <v/>
      </c>
      <c r="CU90" s="1321" t="str">
        <f t="array" ref="CU90">IF( ISERROR(INDEX($A$4:$A$60,SMALL(IF($CU$4:$CU$60&lt;&gt;0,ROW($CU$4:$CU$60)-4),ROW(CU24)))),"",INDEX($A$4:$A$60,SMALL(IF($CU$4:$CU$60&lt;&gt;0,ROW($CU$5:$CU$60)-4),ROW(CU24))))</f>
        <v/>
      </c>
      <c r="CV90" s="1321" t="str">
        <f t="array" ref="CV90">IF(ISERROR(INDEX($CU$4:$CU$60,SMALL(IF($CU$4:$CU$60&lt;&gt;0,ROW($CU$4:$CU$60)-3),ROW(CV24)))),"",INDEX($CU$4:$CU$60,SMALL(IF($CU$4:$CU$60&lt;&gt;0,ROW($CU$4:$CU$60)-3),ROW(CV24))))</f>
        <v/>
      </c>
      <c r="CW90" s="1321" t="str">
        <f t="array" ref="CW90">IF( ISERROR(INDEX($A$4:$A$60,SMALL(IF($CW$4:$CW$60&lt;&gt;0,ROW($CW$4:$CW$60)-4),ROW(CW24)))),"",INDEX($A$4:$A$60,SMALL(IF($CW$4:$CW$60&lt;&gt;0,ROW($CW$5:$CW$60)-4),ROW(CW24))))</f>
        <v/>
      </c>
      <c r="CX90" s="1321" t="str">
        <f t="array" ref="CX90">IF(ISERROR(INDEX($CW$4:$CW$60,SMALL(IF($CW$4:$CW$60&lt;&gt;0,ROW($CW$4:$CW$60)-3),ROW(CX24)))),"",INDEX($CW$4:$CW$60,SMALL(IF($CW$4:$CW$60&lt;&gt;0,ROW($CW$4:$CW$60)-3),ROW(CX24))))</f>
        <v/>
      </c>
      <c r="CY90" s="1321" t="str">
        <f t="array" ref="CY90">IF( ISERROR(INDEX($A$4:$A$60,SMALL(IF($CY$4:$CY$60&lt;&gt;0,ROW($CY$4:$CY$60)-4),ROW(CY24)))),"",INDEX($A$4:$A$60,SMALL(IF($CY$4:$CY$60&lt;&gt;0,ROW($CY$5:$CY$60)-4),ROW(CY24))))</f>
        <v/>
      </c>
      <c r="CZ90" s="1321" t="str">
        <f t="array" ref="CZ90">IF(ISERROR(INDEX($CY$4:$CY$60,SMALL(IF($CY$4:$CY$60&lt;&gt;0,ROW($CY$4:$CY$60)-3),ROW(CZ24)))),"",INDEX($CY$4:$CY$60,SMALL(IF($CY$4:$CY$60&lt;&gt;0,ROW($CY$4:$CY$60)-3),ROW(CZ24))))</f>
        <v/>
      </c>
      <c r="DA90" s="1321"/>
      <c r="DB90" s="1321"/>
      <c r="DC90" s="1321"/>
      <c r="DD90" s="1321"/>
      <c r="DE90" s="1321"/>
      <c r="DF90" s="1321"/>
      <c r="DG90" s="1321"/>
      <c r="DH90" s="1321"/>
      <c r="DI90" s="1321"/>
      <c r="DJ90" s="1321"/>
      <c r="DK90" s="1321"/>
      <c r="DL90" s="1321"/>
      <c r="DM90" s="1321"/>
      <c r="DN90" s="1321"/>
      <c r="DO90" s="1321"/>
      <c r="DP90" s="1321"/>
      <c r="DQ90" s="1321"/>
      <c r="DR90" s="1321"/>
      <c r="DS90" s="1321"/>
      <c r="DT90" s="1321"/>
      <c r="DU90" s="1321"/>
      <c r="DV90" s="1321"/>
      <c r="DW90" s="1321"/>
      <c r="DX90" s="1321"/>
      <c r="DY90" s="1321"/>
      <c r="DZ90" s="1321"/>
      <c r="EA90" s="1321"/>
      <c r="EB90" s="1321"/>
      <c r="EC90" s="1321"/>
      <c r="ED90" s="1321"/>
      <c r="EE90" s="1321"/>
      <c r="EF90" s="1321"/>
      <c r="EG90" s="1321"/>
      <c r="EH90" s="1321"/>
      <c r="EI90" s="1321"/>
      <c r="EJ90" s="1321"/>
      <c r="EK90" s="1321"/>
      <c r="EL90" s="1321"/>
      <c r="EM90" s="1321"/>
      <c r="EN90" s="1321"/>
      <c r="EO90" s="1321"/>
      <c r="EP90" s="1321"/>
      <c r="EQ90" s="1321"/>
      <c r="ER90" s="1321"/>
      <c r="ES90" s="1321"/>
      <c r="ET90" s="1321"/>
      <c r="EU90" s="1321"/>
      <c r="EV90" s="1321"/>
      <c r="EW90" s="1321"/>
      <c r="EX90" s="1321"/>
      <c r="EY90" s="1321"/>
      <c r="EZ90" s="1321"/>
      <c r="FA90" s="1321"/>
      <c r="FB90" s="1321"/>
      <c r="FC90" s="1321"/>
      <c r="FD90" s="1321"/>
      <c r="FE90" s="1321"/>
      <c r="FF90" s="1321"/>
      <c r="FG90" s="1321"/>
      <c r="FH90" s="1321"/>
      <c r="FI90" s="1321"/>
      <c r="FJ90" s="1321"/>
      <c r="FK90" s="1321"/>
      <c r="FL90" s="1321"/>
      <c r="FM90" s="1321"/>
      <c r="FN90" s="1321"/>
      <c r="FO90" s="1321"/>
      <c r="FP90" s="1321"/>
      <c r="FQ90" s="1321"/>
      <c r="FR90" s="1321"/>
      <c r="FS90" s="1321"/>
      <c r="FT90" s="1321"/>
      <c r="FU90" s="1321"/>
      <c r="FV90" s="1321"/>
      <c r="FW90" s="1321"/>
      <c r="FX90" s="1321"/>
      <c r="FY90" s="1321"/>
      <c r="FZ90" s="1321"/>
      <c r="GA90" s="1321"/>
      <c r="GB90" s="1321"/>
      <c r="GC90" s="1321"/>
      <c r="GD90" s="1321"/>
      <c r="GE90" s="1321"/>
      <c r="GF90" s="1321"/>
      <c r="GG90" s="1321"/>
      <c r="GH90" s="1321"/>
      <c r="GI90" s="1321"/>
      <c r="GJ90" s="1321"/>
      <c r="GK90" s="1321"/>
      <c r="GL90" s="1321"/>
      <c r="GM90" s="1321"/>
      <c r="GN90" s="1321"/>
      <c r="GO90" s="1321"/>
      <c r="GP90" s="1321"/>
      <c r="GQ90" s="1321"/>
      <c r="GR90" s="1321"/>
      <c r="GS90" s="1321"/>
      <c r="GT90" s="1321"/>
      <c r="GU90" s="1321"/>
      <c r="GV90" s="1321"/>
      <c r="GW90" s="1321"/>
      <c r="GX90" s="1321"/>
      <c r="GY90" s="1321"/>
      <c r="GZ90" s="1321"/>
    </row>
    <row r="91" spans="3:208" ht="27">
      <c r="C91" s="1353" t="s">
        <v>2911</v>
      </c>
    </row>
    <row r="92" spans="3:208" ht="15" thickBot="1"/>
    <row r="93" spans="3:208" ht="15" thickBot="1">
      <c r="C93" s="1326">
        <f>C63</f>
        <v>2</v>
      </c>
      <c r="D93" s="134">
        <f>D63</f>
        <v>1</v>
      </c>
      <c r="E93" s="134">
        <f t="shared" ref="E93:BP93" si="104">E63</f>
        <v>0</v>
      </c>
      <c r="F93" s="134">
        <f t="shared" si="104"/>
        <v>1</v>
      </c>
      <c r="G93" s="134">
        <f t="shared" si="104"/>
        <v>0</v>
      </c>
      <c r="H93" s="134">
        <f t="shared" si="104"/>
        <v>0</v>
      </c>
      <c r="I93" s="134">
        <f t="shared" si="104"/>
        <v>0</v>
      </c>
      <c r="J93" s="134">
        <f t="shared" si="104"/>
        <v>0</v>
      </c>
      <c r="K93" s="134">
        <f t="shared" si="104"/>
        <v>0</v>
      </c>
      <c r="L93" s="134">
        <f t="shared" si="104"/>
        <v>0</v>
      </c>
      <c r="M93" s="134">
        <f t="shared" si="104"/>
        <v>0</v>
      </c>
      <c r="N93" s="134">
        <f t="shared" si="104"/>
        <v>0</v>
      </c>
      <c r="O93" s="134">
        <f t="shared" si="104"/>
        <v>0</v>
      </c>
      <c r="P93" s="134">
        <f t="shared" si="104"/>
        <v>0</v>
      </c>
      <c r="Q93" s="134">
        <f t="shared" si="104"/>
        <v>0</v>
      </c>
      <c r="R93" s="134">
        <f t="shared" si="104"/>
        <v>0</v>
      </c>
      <c r="S93" s="134">
        <f t="shared" si="104"/>
        <v>0</v>
      </c>
      <c r="T93" s="134">
        <f t="shared" si="104"/>
        <v>0</v>
      </c>
      <c r="U93" s="134">
        <f t="shared" si="104"/>
        <v>0</v>
      </c>
      <c r="V93" s="134">
        <f t="shared" si="104"/>
        <v>0</v>
      </c>
      <c r="W93" s="134">
        <f t="shared" si="104"/>
        <v>0</v>
      </c>
      <c r="X93" s="134">
        <f t="shared" si="104"/>
        <v>0</v>
      </c>
      <c r="Y93" s="134">
        <f t="shared" si="104"/>
        <v>0</v>
      </c>
      <c r="Z93" s="134">
        <f t="shared" si="104"/>
        <v>0</v>
      </c>
      <c r="AA93" s="134">
        <f t="shared" si="104"/>
        <v>0</v>
      </c>
      <c r="AB93" s="134">
        <f t="shared" si="104"/>
        <v>0</v>
      </c>
      <c r="AC93" s="134">
        <f t="shared" si="104"/>
        <v>0</v>
      </c>
      <c r="AD93" s="134">
        <f t="shared" si="104"/>
        <v>0</v>
      </c>
      <c r="AE93" s="134">
        <f t="shared" si="104"/>
        <v>0</v>
      </c>
      <c r="AF93" s="134">
        <f t="shared" si="104"/>
        <v>0</v>
      </c>
      <c r="AG93" s="134">
        <f t="shared" si="104"/>
        <v>0</v>
      </c>
      <c r="AH93" s="134">
        <f t="shared" si="104"/>
        <v>0</v>
      </c>
      <c r="AI93" s="134">
        <f t="shared" si="104"/>
        <v>0</v>
      </c>
      <c r="AJ93" s="134">
        <f t="shared" si="104"/>
        <v>0</v>
      </c>
      <c r="AK93" s="134">
        <f t="shared" si="104"/>
        <v>0</v>
      </c>
      <c r="AL93" s="134">
        <f t="shared" si="104"/>
        <v>0</v>
      </c>
      <c r="AM93" s="134">
        <f t="shared" si="104"/>
        <v>0</v>
      </c>
      <c r="AN93" s="134">
        <f t="shared" si="104"/>
        <v>0</v>
      </c>
      <c r="AO93" s="134">
        <f t="shared" si="104"/>
        <v>0</v>
      </c>
      <c r="AP93" s="134">
        <f t="shared" si="104"/>
        <v>0</v>
      </c>
      <c r="AQ93" s="134">
        <f t="shared" si="104"/>
        <v>0</v>
      </c>
      <c r="AR93" s="134">
        <f t="shared" si="104"/>
        <v>0</v>
      </c>
      <c r="AS93" s="134">
        <f t="shared" si="104"/>
        <v>0</v>
      </c>
      <c r="AT93" s="134">
        <f t="shared" si="104"/>
        <v>0</v>
      </c>
      <c r="AU93" s="134">
        <f t="shared" si="104"/>
        <v>0</v>
      </c>
      <c r="AV93" s="134">
        <f t="shared" si="104"/>
        <v>0</v>
      </c>
      <c r="AW93" s="134">
        <f t="shared" si="104"/>
        <v>0</v>
      </c>
      <c r="AX93" s="134">
        <f t="shared" si="104"/>
        <v>0</v>
      </c>
      <c r="AY93" s="134">
        <f t="shared" si="104"/>
        <v>0</v>
      </c>
      <c r="AZ93" s="134">
        <f t="shared" si="104"/>
        <v>0</v>
      </c>
      <c r="BA93" s="134">
        <f t="shared" si="104"/>
        <v>0</v>
      </c>
      <c r="BB93" s="134">
        <f t="shared" si="104"/>
        <v>0</v>
      </c>
      <c r="BC93" s="134">
        <f t="shared" si="104"/>
        <v>0</v>
      </c>
      <c r="BD93" s="134">
        <f t="shared" si="104"/>
        <v>0</v>
      </c>
      <c r="BE93" s="134">
        <f t="shared" si="104"/>
        <v>0</v>
      </c>
      <c r="BF93" s="134">
        <f t="shared" si="104"/>
        <v>0</v>
      </c>
      <c r="BG93" s="134">
        <f t="shared" si="104"/>
        <v>0</v>
      </c>
      <c r="BH93" s="134">
        <f t="shared" si="104"/>
        <v>0</v>
      </c>
      <c r="BI93" s="134">
        <f t="shared" si="104"/>
        <v>0</v>
      </c>
      <c r="BJ93" s="134">
        <f t="shared" si="104"/>
        <v>0</v>
      </c>
      <c r="BK93" s="134">
        <f t="shared" si="104"/>
        <v>0</v>
      </c>
      <c r="BL93" s="134">
        <f t="shared" si="104"/>
        <v>0</v>
      </c>
      <c r="BM93" s="134">
        <f t="shared" si="104"/>
        <v>0</v>
      </c>
      <c r="BN93" s="134">
        <f t="shared" si="104"/>
        <v>0</v>
      </c>
      <c r="BO93" s="134">
        <f t="shared" si="104"/>
        <v>0</v>
      </c>
      <c r="BP93" s="134">
        <f t="shared" si="104"/>
        <v>0</v>
      </c>
      <c r="BQ93" s="134">
        <f t="shared" ref="BQ93:EB93" si="105">BQ63</f>
        <v>0</v>
      </c>
      <c r="BR93" s="134">
        <f t="shared" si="105"/>
        <v>0</v>
      </c>
      <c r="BS93" s="134">
        <f t="shared" si="105"/>
        <v>0</v>
      </c>
      <c r="BT93" s="134">
        <f t="shared" si="105"/>
        <v>0</v>
      </c>
      <c r="BU93" s="134">
        <f t="shared" si="105"/>
        <v>0</v>
      </c>
      <c r="BV93" s="134">
        <f t="shared" si="105"/>
        <v>0</v>
      </c>
      <c r="BW93" s="134">
        <f t="shared" si="105"/>
        <v>0</v>
      </c>
      <c r="BX93" s="134">
        <f t="shared" si="105"/>
        <v>0</v>
      </c>
      <c r="BY93" s="134">
        <f t="shared" si="105"/>
        <v>0</v>
      </c>
      <c r="BZ93" s="134">
        <f t="shared" si="105"/>
        <v>0</v>
      </c>
      <c r="CA93" s="134">
        <f t="shared" si="105"/>
        <v>0</v>
      </c>
      <c r="CB93" s="134">
        <f t="shared" si="105"/>
        <v>0</v>
      </c>
      <c r="CC93" s="134">
        <f t="shared" si="105"/>
        <v>0</v>
      </c>
      <c r="CD93" s="134">
        <f t="shared" si="105"/>
        <v>0</v>
      </c>
      <c r="CE93" s="134">
        <f t="shared" si="105"/>
        <v>0</v>
      </c>
      <c r="CF93" s="134">
        <f t="shared" si="105"/>
        <v>0</v>
      </c>
      <c r="CG93" s="134">
        <f t="shared" si="105"/>
        <v>0</v>
      </c>
      <c r="CH93" s="134">
        <f t="shared" si="105"/>
        <v>0</v>
      </c>
      <c r="CI93" s="134">
        <f t="shared" si="105"/>
        <v>0</v>
      </c>
      <c r="CJ93" s="134">
        <f t="shared" si="105"/>
        <v>0</v>
      </c>
      <c r="CK93" s="134">
        <f t="shared" si="105"/>
        <v>0</v>
      </c>
      <c r="CL93" s="134">
        <f t="shared" si="105"/>
        <v>0</v>
      </c>
      <c r="CM93" s="134">
        <f t="shared" si="105"/>
        <v>0</v>
      </c>
      <c r="CN93" s="134">
        <f t="shared" si="105"/>
        <v>0</v>
      </c>
      <c r="CO93" s="134">
        <f t="shared" si="105"/>
        <v>0</v>
      </c>
      <c r="CP93" s="134">
        <f t="shared" si="105"/>
        <v>0</v>
      </c>
      <c r="CQ93" s="134">
        <f t="shared" si="105"/>
        <v>0</v>
      </c>
      <c r="CR93" s="134">
        <f t="shared" si="105"/>
        <v>0</v>
      </c>
      <c r="CS93" s="134">
        <f t="shared" si="105"/>
        <v>0</v>
      </c>
      <c r="CT93" s="134">
        <f t="shared" si="105"/>
        <v>0</v>
      </c>
      <c r="CU93" s="134">
        <f t="shared" si="105"/>
        <v>0</v>
      </c>
      <c r="CV93" s="134">
        <f t="shared" si="105"/>
        <v>0</v>
      </c>
      <c r="CW93" s="134">
        <f t="shared" si="105"/>
        <v>0</v>
      </c>
      <c r="CX93" s="134">
        <f t="shared" si="105"/>
        <v>0</v>
      </c>
      <c r="CY93" s="134">
        <f t="shared" si="105"/>
        <v>0</v>
      </c>
      <c r="CZ93" s="134">
        <f t="shared" si="105"/>
        <v>0</v>
      </c>
      <c r="DA93" s="134">
        <f t="shared" si="105"/>
        <v>0</v>
      </c>
      <c r="DB93" s="134">
        <f t="shared" si="105"/>
        <v>0</v>
      </c>
      <c r="DC93" s="134">
        <f t="shared" si="105"/>
        <v>0</v>
      </c>
      <c r="DD93" s="134">
        <f t="shared" si="105"/>
        <v>0</v>
      </c>
      <c r="DE93" s="134">
        <f t="shared" si="105"/>
        <v>0</v>
      </c>
      <c r="DF93" s="134">
        <f t="shared" si="105"/>
        <v>0</v>
      </c>
      <c r="DG93" s="134">
        <f t="shared" si="105"/>
        <v>0</v>
      </c>
      <c r="DH93" s="134">
        <f t="shared" si="105"/>
        <v>0</v>
      </c>
      <c r="DI93" s="134">
        <f t="shared" si="105"/>
        <v>0</v>
      </c>
      <c r="DJ93" s="134">
        <f t="shared" si="105"/>
        <v>0</v>
      </c>
      <c r="DK93" s="134">
        <f t="shared" si="105"/>
        <v>0</v>
      </c>
      <c r="DL93" s="134">
        <f t="shared" si="105"/>
        <v>0</v>
      </c>
      <c r="DM93" s="134">
        <f t="shared" si="105"/>
        <v>0</v>
      </c>
      <c r="DN93" s="134">
        <f t="shared" si="105"/>
        <v>0</v>
      </c>
      <c r="DO93" s="134">
        <f t="shared" si="105"/>
        <v>0</v>
      </c>
      <c r="DP93" s="134">
        <f t="shared" si="105"/>
        <v>0</v>
      </c>
      <c r="DQ93" s="134">
        <f t="shared" si="105"/>
        <v>0</v>
      </c>
      <c r="DR93" s="134">
        <f t="shared" si="105"/>
        <v>0</v>
      </c>
      <c r="DS93" s="134">
        <f t="shared" si="105"/>
        <v>0</v>
      </c>
      <c r="DT93" s="134">
        <f t="shared" si="105"/>
        <v>0</v>
      </c>
      <c r="DU93" s="134">
        <f t="shared" si="105"/>
        <v>0</v>
      </c>
      <c r="DV93" s="134">
        <f t="shared" si="105"/>
        <v>0</v>
      </c>
      <c r="DW93" s="134">
        <f t="shared" si="105"/>
        <v>0</v>
      </c>
      <c r="DX93" s="134">
        <f t="shared" si="105"/>
        <v>0</v>
      </c>
      <c r="DY93" s="134">
        <f t="shared" si="105"/>
        <v>0</v>
      </c>
      <c r="DZ93" s="134">
        <f t="shared" si="105"/>
        <v>0</v>
      </c>
      <c r="EA93" s="134">
        <f t="shared" si="105"/>
        <v>0</v>
      </c>
      <c r="EB93" s="134">
        <f t="shared" si="105"/>
        <v>0</v>
      </c>
      <c r="EC93" s="134">
        <f t="shared" ref="EC93:GN93" si="106">EC63</f>
        <v>0</v>
      </c>
      <c r="ED93" s="134">
        <f t="shared" si="106"/>
        <v>0</v>
      </c>
      <c r="EE93" s="134">
        <f t="shared" si="106"/>
        <v>0</v>
      </c>
      <c r="EF93" s="134">
        <f t="shared" si="106"/>
        <v>0</v>
      </c>
      <c r="EG93" s="134">
        <f t="shared" si="106"/>
        <v>0</v>
      </c>
      <c r="EH93" s="134">
        <f t="shared" si="106"/>
        <v>0</v>
      </c>
      <c r="EI93" s="134">
        <f t="shared" si="106"/>
        <v>0</v>
      </c>
      <c r="EJ93" s="134">
        <f t="shared" si="106"/>
        <v>0</v>
      </c>
      <c r="EK93" s="134">
        <f t="shared" si="106"/>
        <v>0</v>
      </c>
      <c r="EL93" s="134">
        <f t="shared" si="106"/>
        <v>0</v>
      </c>
      <c r="EM93" s="134">
        <f t="shared" si="106"/>
        <v>0</v>
      </c>
      <c r="EN93" s="134">
        <f t="shared" si="106"/>
        <v>0</v>
      </c>
      <c r="EO93" s="134">
        <f t="shared" si="106"/>
        <v>0</v>
      </c>
      <c r="EP93" s="134">
        <f t="shared" si="106"/>
        <v>0</v>
      </c>
      <c r="EQ93" s="134">
        <f t="shared" si="106"/>
        <v>0</v>
      </c>
      <c r="ER93" s="134">
        <f t="shared" si="106"/>
        <v>0</v>
      </c>
      <c r="ES93" s="134">
        <f t="shared" si="106"/>
        <v>0</v>
      </c>
      <c r="ET93" s="134">
        <f t="shared" si="106"/>
        <v>0</v>
      </c>
      <c r="EU93" s="134">
        <f t="shared" si="106"/>
        <v>0</v>
      </c>
      <c r="EV93" s="134">
        <f t="shared" si="106"/>
        <v>0</v>
      </c>
      <c r="EW93" s="134">
        <f t="shared" si="106"/>
        <v>0</v>
      </c>
      <c r="EX93" s="134">
        <f t="shared" si="106"/>
        <v>0</v>
      </c>
      <c r="EY93" s="134">
        <f t="shared" si="106"/>
        <v>0</v>
      </c>
      <c r="EZ93" s="134">
        <f t="shared" si="106"/>
        <v>0</v>
      </c>
      <c r="FA93" s="134">
        <f t="shared" si="106"/>
        <v>0</v>
      </c>
      <c r="FB93" s="134">
        <f t="shared" si="106"/>
        <v>0</v>
      </c>
      <c r="FC93" s="134">
        <f t="shared" si="106"/>
        <v>0</v>
      </c>
      <c r="FD93" s="134">
        <f t="shared" si="106"/>
        <v>0</v>
      </c>
      <c r="FE93" s="134">
        <f t="shared" si="106"/>
        <v>0</v>
      </c>
      <c r="FF93" s="134">
        <f t="shared" si="106"/>
        <v>0</v>
      </c>
      <c r="FG93" s="134">
        <f t="shared" si="106"/>
        <v>0</v>
      </c>
      <c r="FH93" s="134">
        <f t="shared" si="106"/>
        <v>0</v>
      </c>
      <c r="FI93" s="134">
        <f t="shared" si="106"/>
        <v>0</v>
      </c>
      <c r="FJ93" s="134">
        <f t="shared" si="106"/>
        <v>0</v>
      </c>
      <c r="FK93" s="134">
        <f t="shared" si="106"/>
        <v>0</v>
      </c>
      <c r="FL93" s="134">
        <f t="shared" si="106"/>
        <v>0</v>
      </c>
      <c r="FM93" s="134">
        <f t="shared" si="106"/>
        <v>0</v>
      </c>
      <c r="FN93" s="134">
        <f t="shared" si="106"/>
        <v>0</v>
      </c>
      <c r="FO93" s="134">
        <f t="shared" si="106"/>
        <v>0</v>
      </c>
      <c r="FP93" s="134">
        <f t="shared" si="106"/>
        <v>0</v>
      </c>
      <c r="FQ93" s="134">
        <f t="shared" si="106"/>
        <v>0</v>
      </c>
      <c r="FR93" s="134">
        <f t="shared" si="106"/>
        <v>0</v>
      </c>
      <c r="FS93" s="134">
        <f t="shared" si="106"/>
        <v>0</v>
      </c>
      <c r="FT93" s="134">
        <f t="shared" si="106"/>
        <v>0</v>
      </c>
      <c r="FU93" s="134">
        <f t="shared" si="106"/>
        <v>0</v>
      </c>
      <c r="FV93" s="134">
        <f t="shared" si="106"/>
        <v>0</v>
      </c>
      <c r="FW93" s="134">
        <f t="shared" si="106"/>
        <v>0</v>
      </c>
      <c r="FX93" s="134">
        <f t="shared" si="106"/>
        <v>0</v>
      </c>
      <c r="FY93" s="134">
        <f t="shared" si="106"/>
        <v>0</v>
      </c>
      <c r="FZ93" s="134">
        <f t="shared" si="106"/>
        <v>0</v>
      </c>
      <c r="GA93" s="134">
        <f t="shared" si="106"/>
        <v>0</v>
      </c>
      <c r="GB93" s="134">
        <f t="shared" si="106"/>
        <v>0</v>
      </c>
      <c r="GC93" s="134">
        <f t="shared" si="106"/>
        <v>0</v>
      </c>
      <c r="GD93" s="134">
        <f t="shared" si="106"/>
        <v>0</v>
      </c>
      <c r="GE93" s="134">
        <f t="shared" si="106"/>
        <v>0</v>
      </c>
      <c r="GF93" s="134">
        <f t="shared" si="106"/>
        <v>0</v>
      </c>
      <c r="GG93" s="134">
        <f t="shared" si="106"/>
        <v>0</v>
      </c>
      <c r="GH93" s="134">
        <f t="shared" si="106"/>
        <v>0</v>
      </c>
      <c r="GI93" s="134">
        <f t="shared" si="106"/>
        <v>0</v>
      </c>
      <c r="GJ93" s="134">
        <f t="shared" si="106"/>
        <v>0</v>
      </c>
      <c r="GK93" s="134">
        <f t="shared" si="106"/>
        <v>0</v>
      </c>
      <c r="GL93" s="134">
        <f t="shared" si="106"/>
        <v>0</v>
      </c>
      <c r="GM93" s="134">
        <f t="shared" si="106"/>
        <v>0</v>
      </c>
      <c r="GN93" s="134">
        <f t="shared" si="106"/>
        <v>0</v>
      </c>
      <c r="GO93" s="134">
        <f t="shared" ref="GO93:GZ93" si="107">GO63</f>
        <v>0</v>
      </c>
      <c r="GP93" s="134">
        <f t="shared" si="107"/>
        <v>0</v>
      </c>
      <c r="GQ93" s="134">
        <f t="shared" si="107"/>
        <v>0</v>
      </c>
      <c r="GR93" s="134">
        <f t="shared" si="107"/>
        <v>0</v>
      </c>
      <c r="GS93" s="134">
        <f t="shared" si="107"/>
        <v>0</v>
      </c>
      <c r="GT93" s="134">
        <f t="shared" si="107"/>
        <v>0</v>
      </c>
      <c r="GU93" s="134">
        <f t="shared" si="107"/>
        <v>0</v>
      </c>
      <c r="GV93" s="134">
        <f t="shared" si="107"/>
        <v>0</v>
      </c>
      <c r="GW93" s="134">
        <f t="shared" si="107"/>
        <v>0</v>
      </c>
      <c r="GX93" s="134">
        <f t="shared" si="107"/>
        <v>0</v>
      </c>
      <c r="GY93" s="134">
        <f t="shared" si="107"/>
        <v>0</v>
      </c>
      <c r="GZ93" s="134">
        <f t="shared" si="107"/>
        <v>0</v>
      </c>
    </row>
    <row r="94" spans="3:208">
      <c r="C94" s="1327" t="s">
        <v>2675</v>
      </c>
      <c r="D94" s="1328">
        <v>1</v>
      </c>
      <c r="E94" s="1328" t="s">
        <v>2676</v>
      </c>
      <c r="F94" s="1328">
        <v>2</v>
      </c>
      <c r="G94" s="1328" t="s">
        <v>2731</v>
      </c>
      <c r="H94" s="1328">
        <v>3</v>
      </c>
      <c r="I94" s="1328" t="s">
        <v>2678</v>
      </c>
      <c r="J94" s="1328">
        <v>4</v>
      </c>
      <c r="K94" s="1328" t="s">
        <v>2679</v>
      </c>
      <c r="L94" s="1328">
        <v>5</v>
      </c>
      <c r="M94" s="1328" t="s">
        <v>2680</v>
      </c>
      <c r="N94" s="1328">
        <v>6</v>
      </c>
      <c r="O94" s="1328" t="s">
        <v>2681</v>
      </c>
      <c r="P94" s="1328">
        <v>7</v>
      </c>
      <c r="Q94" s="1328" t="s">
        <v>2682</v>
      </c>
      <c r="R94" s="1328">
        <v>8</v>
      </c>
      <c r="S94" s="1328" t="s">
        <v>2732</v>
      </c>
      <c r="T94" s="1328">
        <v>9</v>
      </c>
      <c r="U94" s="1328" t="s">
        <v>2733</v>
      </c>
      <c r="V94" s="1328">
        <v>10</v>
      </c>
      <c r="W94" s="1328" t="s">
        <v>2734</v>
      </c>
      <c r="X94" s="1328">
        <v>11</v>
      </c>
      <c r="Y94" s="1328" t="s">
        <v>2735</v>
      </c>
      <c r="Z94" s="1328">
        <v>12</v>
      </c>
      <c r="AA94" s="1328" t="s">
        <v>2736</v>
      </c>
      <c r="AB94" s="1328">
        <v>13</v>
      </c>
      <c r="AC94" s="1328" t="s">
        <v>2737</v>
      </c>
      <c r="AD94" s="1328">
        <v>14</v>
      </c>
      <c r="AE94" s="1328" t="s">
        <v>2738</v>
      </c>
      <c r="AF94" s="1328">
        <v>15</v>
      </c>
      <c r="AG94" s="1328" t="s">
        <v>2739</v>
      </c>
      <c r="AH94" s="1328">
        <v>16</v>
      </c>
      <c r="AI94" s="1328" t="s">
        <v>2740</v>
      </c>
      <c r="AJ94" s="1328">
        <v>17</v>
      </c>
      <c r="AK94" s="1328" t="s">
        <v>2741</v>
      </c>
      <c r="AL94" s="1328">
        <v>18</v>
      </c>
      <c r="AM94" s="1328" t="s">
        <v>2742</v>
      </c>
      <c r="AN94" s="1328">
        <v>19</v>
      </c>
      <c r="AO94" s="1328" t="s">
        <v>2743</v>
      </c>
      <c r="AP94" s="1328">
        <v>20</v>
      </c>
      <c r="AQ94" s="1329" t="s">
        <v>2695</v>
      </c>
      <c r="AR94" s="1329">
        <v>21</v>
      </c>
      <c r="AS94" s="1329" t="s">
        <v>2696</v>
      </c>
      <c r="AT94" s="1329">
        <v>22</v>
      </c>
      <c r="AU94" s="1329" t="s">
        <v>2697</v>
      </c>
      <c r="AV94" s="1329">
        <v>23</v>
      </c>
      <c r="AW94" s="1329" t="s">
        <v>2698</v>
      </c>
      <c r="AX94" s="1329">
        <v>24</v>
      </c>
      <c r="AY94" s="1329" t="s">
        <v>2699</v>
      </c>
      <c r="AZ94" s="1329">
        <v>25</v>
      </c>
      <c r="BA94" s="1329" t="s">
        <v>2700</v>
      </c>
      <c r="BB94" s="1329">
        <v>26</v>
      </c>
      <c r="BC94" s="1329" t="s">
        <v>2701</v>
      </c>
      <c r="BD94" s="1329">
        <v>27</v>
      </c>
      <c r="BE94" s="1329" t="s">
        <v>2702</v>
      </c>
      <c r="BF94" s="1329">
        <v>28</v>
      </c>
      <c r="BG94" s="1329" t="s">
        <v>2703</v>
      </c>
      <c r="BH94" s="1329">
        <v>29</v>
      </c>
      <c r="BI94" s="1329" t="s">
        <v>2704</v>
      </c>
      <c r="BJ94" s="1329">
        <v>30</v>
      </c>
      <c r="BK94" s="1329" t="s">
        <v>2705</v>
      </c>
      <c r="BL94" s="1329">
        <v>31</v>
      </c>
      <c r="BM94" s="1329" t="s">
        <v>2706</v>
      </c>
      <c r="BN94" s="1329">
        <v>32</v>
      </c>
      <c r="BO94" s="1329" t="s">
        <v>2707</v>
      </c>
      <c r="BP94" s="1329">
        <v>33</v>
      </c>
      <c r="BQ94" s="1329" t="s">
        <v>2744</v>
      </c>
      <c r="BR94" s="1329">
        <v>34</v>
      </c>
      <c r="BS94" s="1329" t="s">
        <v>2709</v>
      </c>
      <c r="BT94" s="1329">
        <v>35</v>
      </c>
      <c r="BU94" s="1329" t="s">
        <v>2804</v>
      </c>
      <c r="BV94" s="1329">
        <v>36</v>
      </c>
      <c r="BW94" s="1329" t="s">
        <v>2711</v>
      </c>
      <c r="BX94" s="1329">
        <v>37</v>
      </c>
      <c r="BY94" s="1329" t="s">
        <v>2712</v>
      </c>
      <c r="BZ94" s="1329">
        <v>38</v>
      </c>
      <c r="CA94" s="1329" t="s">
        <v>2713</v>
      </c>
      <c r="CB94" s="1329">
        <v>39</v>
      </c>
      <c r="CC94" s="1329" t="s">
        <v>2714</v>
      </c>
      <c r="CD94" s="1329">
        <v>40</v>
      </c>
      <c r="CE94" s="1329" t="s">
        <v>2715</v>
      </c>
      <c r="CF94" s="1329">
        <v>41</v>
      </c>
      <c r="CG94" s="1329" t="s">
        <v>2716</v>
      </c>
      <c r="CH94" s="1329">
        <v>42</v>
      </c>
      <c r="CI94" s="1329" t="s">
        <v>2717</v>
      </c>
      <c r="CJ94" s="1329">
        <v>43</v>
      </c>
      <c r="CK94" s="1329" t="s">
        <v>2718</v>
      </c>
      <c r="CL94" s="1329">
        <v>44</v>
      </c>
      <c r="CM94" s="1329" t="s">
        <v>2719</v>
      </c>
      <c r="CN94" s="1329">
        <v>45</v>
      </c>
      <c r="CO94" s="1329" t="s">
        <v>2720</v>
      </c>
      <c r="CP94" s="1329">
        <v>46</v>
      </c>
      <c r="CQ94" s="1329" t="s">
        <v>2721</v>
      </c>
      <c r="CR94" s="1329">
        <v>47</v>
      </c>
      <c r="CS94" s="1329" t="s">
        <v>2722</v>
      </c>
      <c r="CT94" s="1329">
        <v>48</v>
      </c>
      <c r="CU94" s="1329" t="s">
        <v>2723</v>
      </c>
      <c r="CV94" s="1329">
        <v>49</v>
      </c>
      <c r="CW94" s="1329" t="s">
        <v>2724</v>
      </c>
      <c r="CX94" s="1329">
        <v>50</v>
      </c>
      <c r="CY94" s="1329" t="s">
        <v>2725</v>
      </c>
      <c r="CZ94" s="1329">
        <v>51</v>
      </c>
      <c r="DA94" s="1329" t="s">
        <v>2726</v>
      </c>
      <c r="DB94" s="1329">
        <v>52</v>
      </c>
      <c r="DC94" s="1329" t="s">
        <v>2727</v>
      </c>
      <c r="DD94" s="1329">
        <v>53</v>
      </c>
      <c r="DE94" s="1329" t="s">
        <v>2728</v>
      </c>
      <c r="DF94" s="1329">
        <v>54</v>
      </c>
      <c r="DG94" s="1329" t="s">
        <v>2729</v>
      </c>
      <c r="DH94" s="1329">
        <v>55</v>
      </c>
      <c r="DI94" s="1329" t="s">
        <v>2730</v>
      </c>
      <c r="DJ94" s="1329">
        <v>56</v>
      </c>
      <c r="DK94" s="1329" t="s">
        <v>2757</v>
      </c>
      <c r="DL94" s="1329">
        <v>57</v>
      </c>
      <c r="DM94" s="1329" t="s">
        <v>2758</v>
      </c>
      <c r="DN94" s="1329">
        <v>58</v>
      </c>
      <c r="DO94" s="1329" t="s">
        <v>2759</v>
      </c>
      <c r="DP94" s="1329">
        <v>59</v>
      </c>
      <c r="DQ94" s="1329" t="s">
        <v>2760</v>
      </c>
      <c r="DR94" s="1329">
        <v>60</v>
      </c>
      <c r="DS94" s="1329" t="s">
        <v>2761</v>
      </c>
      <c r="DT94" s="1329"/>
      <c r="DU94" s="1329" t="s">
        <v>2762</v>
      </c>
      <c r="DV94" s="1329"/>
      <c r="DW94" s="1354" t="s">
        <v>2763</v>
      </c>
      <c r="DX94" s="1355"/>
      <c r="DY94" s="1354" t="s">
        <v>2764</v>
      </c>
      <c r="DZ94" s="1355"/>
      <c r="EA94" s="1329" t="s">
        <v>2765</v>
      </c>
      <c r="EB94" s="1329"/>
      <c r="EC94" s="1354" t="s">
        <v>2766</v>
      </c>
      <c r="ED94" s="1355"/>
      <c r="EE94" s="1329" t="s">
        <v>2767</v>
      </c>
      <c r="EF94" s="1329"/>
      <c r="EG94" s="1354" t="s">
        <v>2768</v>
      </c>
      <c r="EH94" s="1355"/>
      <c r="EI94" s="1354" t="s">
        <v>2769</v>
      </c>
      <c r="EJ94" s="1355"/>
      <c r="EK94" s="1329" t="s">
        <v>2770</v>
      </c>
      <c r="EL94" s="1329"/>
      <c r="EM94" s="1354" t="s">
        <v>2771</v>
      </c>
      <c r="EN94" s="1355"/>
      <c r="EO94" s="1329" t="s">
        <v>2772</v>
      </c>
      <c r="EP94" s="1329"/>
      <c r="EQ94" s="1354" t="s">
        <v>2773</v>
      </c>
      <c r="ER94" s="1355"/>
      <c r="ES94" s="1354" t="s">
        <v>2774</v>
      </c>
      <c r="ET94" s="1355"/>
      <c r="EU94" s="1329" t="s">
        <v>2775</v>
      </c>
      <c r="EV94" s="1329"/>
      <c r="EW94" s="1354" t="s">
        <v>2776</v>
      </c>
      <c r="EX94" s="1355"/>
      <c r="EY94" s="1329" t="s">
        <v>2777</v>
      </c>
      <c r="EZ94" s="1329"/>
      <c r="FA94" s="1354" t="s">
        <v>2778</v>
      </c>
      <c r="FB94" s="1355"/>
      <c r="FC94" s="1354" t="s">
        <v>2779</v>
      </c>
      <c r="FD94" s="1355"/>
      <c r="FE94" s="1329" t="s">
        <v>2780</v>
      </c>
      <c r="FF94" s="1329"/>
      <c r="FG94" s="1354" t="s">
        <v>2781</v>
      </c>
      <c r="FH94" s="1355"/>
      <c r="FI94" s="1329" t="s">
        <v>2782</v>
      </c>
      <c r="FJ94" s="1329"/>
      <c r="FK94" s="1354" t="s">
        <v>2783</v>
      </c>
      <c r="FL94" s="1355"/>
      <c r="FM94" s="1354" t="s">
        <v>2784</v>
      </c>
      <c r="FN94" s="1355"/>
      <c r="FO94" s="1329" t="s">
        <v>2785</v>
      </c>
      <c r="FP94" s="1329"/>
      <c r="FQ94" s="1354" t="s">
        <v>2786</v>
      </c>
      <c r="FR94" s="1355"/>
      <c r="FS94" s="1329" t="s">
        <v>2787</v>
      </c>
      <c r="FT94" s="1329"/>
      <c r="FU94" s="1354" t="s">
        <v>2788</v>
      </c>
      <c r="FV94" s="1355"/>
      <c r="FW94" s="1354" t="s">
        <v>2789</v>
      </c>
      <c r="FX94" s="1355"/>
      <c r="FY94" s="1329" t="s">
        <v>2790</v>
      </c>
      <c r="FZ94" s="1329"/>
      <c r="GA94" s="1354" t="s">
        <v>2791</v>
      </c>
      <c r="GB94" s="1355"/>
      <c r="GC94" s="1329" t="s">
        <v>2792</v>
      </c>
      <c r="GD94" s="1329"/>
      <c r="GE94" s="1354" t="s">
        <v>2793</v>
      </c>
      <c r="GF94" s="1355"/>
      <c r="GG94" s="1354" t="s">
        <v>2794</v>
      </c>
      <c r="GH94" s="1355"/>
      <c r="GI94" s="1329" t="s">
        <v>2795</v>
      </c>
      <c r="GJ94" s="1329"/>
      <c r="GK94" s="1354" t="s">
        <v>2796</v>
      </c>
      <c r="GL94" s="1355"/>
      <c r="GM94" s="1329" t="s">
        <v>2797</v>
      </c>
      <c r="GN94" s="1329"/>
      <c r="GO94" s="1354" t="s">
        <v>2798</v>
      </c>
      <c r="GP94" s="1355"/>
      <c r="GQ94" s="1354" t="s">
        <v>2799</v>
      </c>
      <c r="GR94" s="1355"/>
      <c r="GS94" s="1329" t="s">
        <v>2800</v>
      </c>
      <c r="GT94" s="1329"/>
      <c r="GU94" s="1688" t="s">
        <v>2801</v>
      </c>
      <c r="GV94" s="1689"/>
      <c r="GW94" s="1688" t="s">
        <v>2802</v>
      </c>
      <c r="GX94" s="1689"/>
      <c r="GY94" s="1690" t="s">
        <v>2803</v>
      </c>
      <c r="GZ94" s="1690"/>
    </row>
    <row r="95" spans="3:208">
      <c r="C95" s="1330" t="s">
        <v>2745</v>
      </c>
      <c r="D95" s="1330" t="str">
        <f>IF(IFERROR(INDEX(D95:D120,MATCH("SL20T"&amp;"*",C95:C120,0)),0)&lt;&gt;0,"L",IF(IFERROR(INDEX(D95:D120,MATCH("SL15T"&amp;"*",C95:C120,0)),0)&lt;&gt;0,"M","S"))</f>
        <v>L</v>
      </c>
      <c r="E95" s="1330" t="s">
        <v>2745</v>
      </c>
      <c r="F95" s="1330" t="str">
        <f>IF(IFERROR(INDEX(F95:F120,MATCH("SL20T"&amp;"*",E95:E120,0)),0)&lt;&gt;0,"L",IF(IFERROR(INDEX(F95:F120,MATCH("SL15T"&amp;"*",E95:E120,0)),0)&lt;&gt;0,"M","S"))</f>
        <v>L</v>
      </c>
      <c r="G95" s="1330" t="s">
        <v>2745</v>
      </c>
      <c r="H95" s="1330" t="str">
        <f>IF(IFERROR(INDEX(H95:H120,MATCH("SL20T"&amp;"*",G95:G120,0)),0)&lt;&gt;0,"L",IF(IFERROR(INDEX(H95:H120,MATCH("SL15T"&amp;"*",G95:G120,0)),0)&lt;&gt;0,"M","S"))</f>
        <v>S</v>
      </c>
      <c r="I95" s="1330" t="s">
        <v>2745</v>
      </c>
      <c r="J95" s="1330" t="str">
        <f>IF(IFERROR(INDEX(J95:J120,MATCH("SL20T",I95:I120,0)),0)&lt;&gt;0,"L",IF(IFERROR(INDEX(J95:J120,MATCH("SL15T",I95:I120,0)),0)&lt;&gt;0,"M","S"))</f>
        <v>S</v>
      </c>
      <c r="K95" s="1330" t="s">
        <v>2745</v>
      </c>
      <c r="L95" s="1330" t="str">
        <f>IF(IFERROR(INDEX(L95:L120,MATCH("SL20T",K95:K120,0)),0)&lt;&gt;0,"L",IF(IFERROR(INDEX(L95:L120,MATCH("SL15T",K95:K120,0)),0)&lt;&gt;0,"M","S"))</f>
        <v>S</v>
      </c>
      <c r="M95" s="1330" t="s">
        <v>2745</v>
      </c>
      <c r="N95" s="1330" t="str">
        <f>IF(IFERROR(INDEX(N95:N120,MATCH("SL20T",M95:M120,0)),0)&lt;&gt;0,"L",IF(IFERROR(INDEX(N95:N120,MATCH("SL15T",M95:M120,0)),0)&lt;&gt;0,"M","S"))</f>
        <v>S</v>
      </c>
      <c r="O95" s="1330" t="s">
        <v>2745</v>
      </c>
      <c r="P95" s="1330" t="str">
        <f>IF(IFERROR(INDEX(P95:P120,MATCH("SL20T",O95:O120,0)),0)&lt;&gt;0,"L",IF(IFERROR(INDEX(P95:P120,MATCH("SL15T",O95:O120,0)),0)&lt;&gt;0,"M","S"))</f>
        <v>S</v>
      </c>
      <c r="Q95" s="1330" t="s">
        <v>2745</v>
      </c>
      <c r="R95" s="1330" t="str">
        <f>IF(IFERROR(INDEX(R95:R120,MATCH("SL20T",Q95:Q120,0)),0)&lt;&gt;0,"L",IF(IFERROR(INDEX(R95:R120,MATCH("SL15T",Q95:Q120,0)),0)&lt;&gt;0,"M","S"))</f>
        <v>S</v>
      </c>
      <c r="S95" s="1330" t="s">
        <v>2745</v>
      </c>
      <c r="T95" s="1330" t="str">
        <f>IF(IFERROR(INDEX(T95:T120,MATCH("SL20T",S95:S120,0)),0)&lt;&gt;0,"L",IF(IFERROR(INDEX(T95:T120,MATCH("SL15T",S95:S120,0)),0)&lt;&gt;0,"M","S"))</f>
        <v>S</v>
      </c>
      <c r="U95" s="1330" t="s">
        <v>2745</v>
      </c>
      <c r="V95" s="1330" t="str">
        <f>IF(IFERROR(INDEX(V95:V120,MATCH("SL20T",U95:U120,0)),0)&lt;&gt;0,"L",IF(IFERROR(INDEX(V95:V120,MATCH("SL15T",U95:U120,0)),0)&lt;&gt;0,"M","S"))</f>
        <v>S</v>
      </c>
      <c r="W95" s="1330" t="s">
        <v>2745</v>
      </c>
      <c r="X95" s="1330" t="str">
        <f>IF(IFERROR(INDEX(X95:X120,MATCH("SL20T",W95:W120,0)),0)&lt;&gt;0,"L",IF(IFERROR(INDEX(X95:X120,MATCH("SL15T",W95:W120,0)),0)&lt;&gt;0,"M","S"))</f>
        <v>S</v>
      </c>
      <c r="Y95" s="1330" t="s">
        <v>2745</v>
      </c>
      <c r="Z95" s="1330" t="str">
        <f>IF(IFERROR(INDEX(Z95:Z120,MATCH("SL20T",Y95:Y120,0)),0)&lt;&gt;0,"L",IF(IFERROR(INDEX(Z95:Z120,MATCH("SL15T",Y95:Y120,0)),0)&lt;&gt;0,"M","S"))</f>
        <v>S</v>
      </c>
      <c r="AA95" s="1330" t="s">
        <v>2745</v>
      </c>
      <c r="AB95" s="1330" t="str">
        <f>IF(IFERROR(INDEX(AB95:AB120,MATCH("W1020D",AA95:AA120,0)),0)&lt;&gt;0,"L",IF(IFERROR(INDEX(AB95:AB120,MATCH("W1015D",AA95:AA120,0)),0)&lt;&gt;0,"M","S"))</f>
        <v>S</v>
      </c>
      <c r="AC95" s="1330" t="s">
        <v>2745</v>
      </c>
      <c r="AD95" s="1330" t="str">
        <f>IF(IFERROR(INDEX(AD95:AD120,MATCH("W1020D",AC95:AC120,0)),0)&lt;&gt;0,"L",IF(IFERROR(INDEX(AD95:AD120,MATCH("W1015D",AC95:AC120,0)),0)&lt;&gt;0,"M","S"))</f>
        <v>S</v>
      </c>
      <c r="AE95" s="1330" t="s">
        <v>2745</v>
      </c>
      <c r="AF95" s="1330" t="str">
        <f>IF(IFERROR(INDEX(AF95:AF120,MATCH("W1020D",AE95:AE120,0)),0)&lt;&gt;0,"L",IF(IFERROR(INDEX(AF95:AF120,MATCH("W1015D",AE95:AE120,0)),0)&lt;&gt;0,"M","S"))</f>
        <v>S</v>
      </c>
      <c r="AG95" s="1330" t="s">
        <v>2745</v>
      </c>
      <c r="AH95" s="1330" t="str">
        <f>IF(IFERROR(INDEX(AH95:AH120,MATCH("W1020D",AG95:AG120,0)),0)&lt;&gt;0,"L",IF(IFERROR(INDEX(AH95:AH120,MATCH("W1015D",AG95:AG120,0)),0)&lt;&gt;0,"M","S"))</f>
        <v>S</v>
      </c>
      <c r="AI95" s="1330" t="s">
        <v>2745</v>
      </c>
      <c r="AJ95" s="1330" t="str">
        <f>IF(IFERROR(INDEX(AJ95:AJ120,MATCH("W1020D",AI95:AI120,0)),0)&lt;&gt;0,"L",IF(IFERROR(INDEX(AJ95:AJ120,MATCH("W1015D",AI95:AI120,0)),0)&lt;&gt;0,"M","S"))</f>
        <v>S</v>
      </c>
      <c r="AK95" s="1330" t="s">
        <v>2745</v>
      </c>
      <c r="AL95" s="1330" t="str">
        <f>IF(IFERROR(INDEX(AL95:AL120,MATCH("W1020D",AK95:AK120,0)),0)&lt;&gt;0,"L",IF(IFERROR(INDEX(AL95:AL120,MATCH("W1015D",AK95:AK120,0)),0)&lt;&gt;0,"M","S"))</f>
        <v>S</v>
      </c>
      <c r="AM95" s="1330" t="s">
        <v>2745</v>
      </c>
      <c r="AN95" s="1330" t="str">
        <f>IF(IFERROR(INDEX(AN95:AN120,MATCH("W1020D",AM95:AM120,0)),0)&lt;&gt;0,"L",IF(IFERROR(INDEX(AN95:AN120,MATCH("W1015D",AM95:AM120,0)),0)&lt;&gt;0,"M","S"))</f>
        <v>S</v>
      </c>
      <c r="AO95" s="1330" t="s">
        <v>2745</v>
      </c>
      <c r="AP95" s="1330" t="str">
        <f>IF(IFERROR(INDEX(AP95:AP120,MATCH("W1020D",AO95:AO120,0)),0)&lt;&gt;0,"L",IF(IFERROR(INDEX(AP95:AP120,MATCH("W1015D",AO95:AO120,0)),0)&lt;&gt;0,"M","S"))</f>
        <v>S</v>
      </c>
      <c r="AQ95" s="1330" t="s">
        <v>2745</v>
      </c>
      <c r="AR95" s="1330" t="str">
        <f>IF(IFERROR(INDEX(AR95:AR120,MATCH("W1020D",AQ95:AQ120,0)),0)&lt;&gt;0,"L",IF(IFERROR(INDEX(AR95:AR120,MATCH("W1015D",AQ95:AQ120,0)),0)&lt;&gt;0,"M","S"))</f>
        <v>S</v>
      </c>
      <c r="AS95" s="1330" t="s">
        <v>2745</v>
      </c>
      <c r="AT95" s="1330" t="str">
        <f>IF(IFERROR(INDEX(AT95:AT120,MATCH("W1020D",AS95:AS120,0)),0)&lt;&gt;0,"L",IF(IFERROR(INDEX(AT95:AT120,MATCH("W1015D",AS95:AS120,0)),0)&lt;&gt;0,"M","S"))</f>
        <v>S</v>
      </c>
      <c r="AU95" s="1330" t="s">
        <v>2745</v>
      </c>
      <c r="AV95" s="1330" t="str">
        <f>IF(IFERROR(INDEX(AV95:AV120,MATCH("W1020D",AU95:AU120,0)),0)&lt;&gt;0,"L",IF(IFERROR(INDEX(AV95:AV120,MATCH("W1015D",AU95:AU120,0)),0)&lt;&gt;0,"M","S"))</f>
        <v>S</v>
      </c>
      <c r="AW95" s="1330" t="s">
        <v>2745</v>
      </c>
      <c r="AX95" s="1330" t="str">
        <f>IF(IFERROR(INDEX(AX95:AX120,MATCH("W1020D",AW95:AW120,0)),0)&lt;&gt;0,"L",IF(IFERROR(INDEX(AX95:AX120,MATCH("W1015D",AW95:AW120,0)),0)&lt;&gt;0,"M","S"))</f>
        <v>S</v>
      </c>
      <c r="AY95" s="1330" t="s">
        <v>2745</v>
      </c>
      <c r="AZ95" s="1330" t="str">
        <f>IF(IFERROR(INDEX(AZ95:AZ120,MATCH("W1020D",AY95:AY120,0)),0)&lt;&gt;0,"L",IF(IFERROR(INDEX(AZ95:AZ120,MATCH("W1015D",AY95:AY120,0)),0)&lt;&gt;0,"M","S"))</f>
        <v>S</v>
      </c>
      <c r="BA95" s="1330" t="s">
        <v>2745</v>
      </c>
      <c r="BB95" s="1330" t="str">
        <f>IF(IFERROR(INDEX(BB95:BB120,MATCH("W1020D",BA95:BA120,0)),0)&lt;&gt;0,"L",IF(IFERROR(INDEX(BB95:BB120,MATCH("W1015D",BA95:BA120,0)),0)&lt;&gt;0,"M","S"))</f>
        <v>S</v>
      </c>
      <c r="BC95" s="1330" t="s">
        <v>2745</v>
      </c>
      <c r="BD95" s="1330" t="str">
        <f>IF(IFERROR(INDEX(BD95:BD120,MATCH("W1020D",BC95:BC120,0)),0)&lt;&gt;0,"L",IF(IFERROR(INDEX(BD95:BD120,MATCH("W1015D",BC95:BC120,0)),0)&lt;&gt;0,"M","S"))</f>
        <v>S</v>
      </c>
      <c r="BE95" s="1330" t="s">
        <v>2745</v>
      </c>
      <c r="BF95" s="1330" t="str">
        <f>IF(IFERROR(INDEX(BF95:BF120,MATCH("W1020D",BE95:BE120,0)),0)&lt;&gt;0,"L",IF(IFERROR(INDEX(BF95:BF120,MATCH("W1015D",BE95:BE120,0)),0)&lt;&gt;0,"M","S"))</f>
        <v>S</v>
      </c>
      <c r="BG95" s="1330" t="s">
        <v>2745</v>
      </c>
      <c r="BH95" s="1330" t="str">
        <f>IF(IFERROR(INDEX(BH95:BH120,MATCH("W1020D",BG95:BG120,0)),0)&lt;&gt;0,"L",IF(IFERROR(INDEX(BH95:BH120,MATCH("W1015D",BG95:BG120,0)),0)&lt;&gt;0,"M","S"))</f>
        <v>S</v>
      </c>
      <c r="BI95" s="1330" t="s">
        <v>2745</v>
      </c>
      <c r="BJ95" s="1330" t="str">
        <f>IF(IFERROR(INDEX(BJ95:BJ120,MATCH("W1020D",BI95:BI120,0)),0)&lt;&gt;0,"L",IF(IFERROR(INDEX(BJ95:BJ120,MATCH("W1015D",BI95:BI120,0)),0)&lt;&gt;0,"M","S"))</f>
        <v>S</v>
      </c>
      <c r="BK95" s="1330" t="s">
        <v>2745</v>
      </c>
      <c r="BL95" s="1330" t="str">
        <f>IF(IFERROR(INDEX(BL95:BL120,MATCH("W1020D",BK95:BK120,0)),0)&lt;&gt;0,"L",IF(IFERROR(INDEX(BL95:BL120,MATCH("W1015D",BK95:BK120,0)),0)&lt;&gt;0,"M","S"))</f>
        <v>S</v>
      </c>
      <c r="BM95" s="1330" t="s">
        <v>2745</v>
      </c>
      <c r="BN95" s="1330" t="str">
        <f>IF(IFERROR(INDEX(BN95:BN120,MATCH("W1020D",BM95:BM120,0)),0)&lt;&gt;0,"L",IF(IFERROR(INDEX(BN95:BN120,MATCH("W1015D",BM95:BM120,0)),0)&lt;&gt;0,"M","S"))</f>
        <v>S</v>
      </c>
      <c r="BO95" s="1330" t="s">
        <v>2745</v>
      </c>
      <c r="BP95" s="1330" t="str">
        <f>IF(IFERROR(INDEX(BP95:BP120,MATCH("W1020D",BO95:BO120,0)),0)&lt;&gt;0,"L",IF(IFERROR(INDEX(BP95:BP120,MATCH("W1015D",BO95:BO120,0)),0)&lt;&gt;0,"M","S"))</f>
        <v>S</v>
      </c>
      <c r="BQ95" s="1330" t="s">
        <v>2745</v>
      </c>
      <c r="BR95" s="1330" t="str">
        <f>IF(IFERROR(INDEX(BR95:BR120,MATCH("W1020D",BQ95:BQ120,0)),0)&lt;&gt;0,"L",IF(IFERROR(INDEX(BR95:BR120,MATCH("W1015D",BQ95:BQ120,0)),0)&lt;&gt;0,"M","S"))</f>
        <v>S</v>
      </c>
      <c r="BS95" s="1330" t="s">
        <v>2745</v>
      </c>
      <c r="BT95" s="1330" t="str">
        <f>IF(IFERROR(INDEX(BT95:BT120,MATCH("W1020D",BS95:BS120,0)),0)&lt;&gt;0,"L",IF(IFERROR(INDEX(BT95:BT120,MATCH("W1015D",BS95:BS120,0)),0)&lt;&gt;0,"M","S"))</f>
        <v>S</v>
      </c>
      <c r="BU95" s="1330" t="s">
        <v>2745</v>
      </c>
      <c r="BV95" s="1330" t="str">
        <f>IF(IFERROR(INDEX(BV95:BV120,MATCH("W1020D",BU95:BU120,0)),0)&lt;&gt;0,"L",IF(IFERROR(INDEX(BV95:BV120,MATCH("W1015D",BU95:BU120,0)),0)&lt;&gt;0,"M","S"))</f>
        <v>S</v>
      </c>
      <c r="BW95" s="1330" t="s">
        <v>2745</v>
      </c>
      <c r="BX95" s="1330" t="str">
        <f>IF(IFERROR(INDEX(BX95:BX120,MATCH("W1020D",BW95:BW120,0)),0)&lt;&gt;0,"L",IF(IFERROR(INDEX(BX95:BX120,MATCH("W1015D",BW95:BW120,0)),0)&lt;&gt;0,"M","S"))</f>
        <v>S</v>
      </c>
      <c r="BY95" s="1330" t="s">
        <v>2745</v>
      </c>
      <c r="BZ95" s="1330" t="str">
        <f>IF(IFERROR(INDEX(BZ95:BZ120,MATCH("W1020D",BY95:BY120,0)),0)&lt;&gt;0,"L",IF(IFERROR(INDEX(BZ95:BZ120,MATCH("W1015D",BY95:BY120,0)),0)&lt;&gt;0,"M","S"))</f>
        <v>S</v>
      </c>
      <c r="CA95" s="1330" t="s">
        <v>2745</v>
      </c>
      <c r="CB95" s="1330" t="str">
        <f>IF(IFERROR(INDEX(CB95:CB120,MATCH("W1020D",CA95:CA120,0)),0)&lt;&gt;0,"L",IF(IFERROR(INDEX(CB95:CB120,MATCH("W1015D",CA95:CA120,0)),0)&lt;&gt;0,"M","S"))</f>
        <v>S</v>
      </c>
      <c r="CC95" s="1330" t="s">
        <v>2745</v>
      </c>
      <c r="CD95" s="1330" t="str">
        <f>IF(IFERROR(INDEX(CD95:CD120,MATCH("W1020D",CC95:CC120,0)),0)&lt;&gt;0,"L",IF(IFERROR(INDEX(CD95:CD120,MATCH("W1015D",CC95:CC120,0)),0)&lt;&gt;0,"M","S"))</f>
        <v>S</v>
      </c>
      <c r="CE95" s="1330" t="s">
        <v>2745</v>
      </c>
      <c r="CF95" s="1330" t="str">
        <f>IF(IFERROR(INDEX(CF95:CF120,MATCH("W1020D",CE95:CE120,0)),0)&lt;&gt;0,"L",IF(IFERROR(INDEX(CF95:CF120,MATCH("W1015D",CE95:CE120,0)),0)&lt;&gt;0,"M","S"))</f>
        <v>S</v>
      </c>
      <c r="CG95" s="1330" t="s">
        <v>2745</v>
      </c>
      <c r="CH95" s="1330" t="str">
        <f>IF(IFERROR(INDEX(CH95:CH120,MATCH("W1020D",CG95:CG120,0)),0)&lt;&gt;0,"L",IF(IFERROR(INDEX(CH95:CH120,MATCH("W1015D",CG95:CG120,0)),0)&lt;&gt;0,"M","S"))</f>
        <v>S</v>
      </c>
      <c r="CI95" s="1330" t="s">
        <v>2745</v>
      </c>
      <c r="CJ95" s="1330" t="str">
        <f>IF(IFERROR(INDEX(CJ95:CJ120,MATCH("W1020D",CI95:CI120,0)),0)&lt;&gt;0,"L",IF(IFERROR(INDEX(CJ95:CJ120,MATCH("W1015D",CI95:CI120,0)),0)&lt;&gt;0,"M","S"))</f>
        <v>S</v>
      </c>
      <c r="CK95" s="1330" t="s">
        <v>2745</v>
      </c>
      <c r="CL95" s="1330" t="str">
        <f>IF(IFERROR(INDEX(CL95:CL120,MATCH("W1020D",CK95:CK120,0)),0)&lt;&gt;0,"L",IF(IFERROR(INDEX(CL95:CL120,MATCH("W1015D",CK95:CK120,0)),0)&lt;&gt;0,"M","S"))</f>
        <v>S</v>
      </c>
      <c r="CM95" s="1330" t="s">
        <v>2745</v>
      </c>
      <c r="CN95" s="1330" t="str">
        <f>IF(IFERROR(INDEX(CN95:CN120,MATCH("W1020D",CM95:CM120,0)),0)&lt;&gt;0,"L",IF(IFERROR(INDEX(CN95:CN120,MATCH("W1015D",CM95:CM120,0)),0)&lt;&gt;0,"M","S"))</f>
        <v>S</v>
      </c>
      <c r="CO95" s="1330" t="s">
        <v>2745</v>
      </c>
      <c r="CP95" s="1330" t="str">
        <f>IF(IFERROR(INDEX(CP95:CP120,MATCH("W1020D",CO95:CO120,0)),0)&lt;&gt;0,"L",IF(IFERROR(INDEX(CP95:CP120,MATCH("W1015D",CO95:CO120,0)),0)&lt;&gt;0,"M","S"))</f>
        <v>S</v>
      </c>
      <c r="CQ95" s="1330" t="s">
        <v>2745</v>
      </c>
      <c r="CR95" s="1330" t="str">
        <f>IF(IFERROR(INDEX(CR95:CR120,MATCH("W1020D",CQ95:CQ120,0)),0)&lt;&gt;0,"L",IF(IFERROR(INDEX(CR95:CR120,MATCH("W1015D",CQ95:CQ120,0)),0)&lt;&gt;0,"M","S"))</f>
        <v>S</v>
      </c>
      <c r="CS95" s="1330" t="s">
        <v>2745</v>
      </c>
      <c r="CT95" s="1330" t="str">
        <f>IF(IFERROR(INDEX(CT95:CT120,MATCH("W1020D",CS95:CS120,0)),0)&lt;&gt;0,"L",IF(IFERROR(INDEX(CT95:CT120,MATCH("W1015D",CS95:CS120,0)),0)&lt;&gt;0,"M","S"))</f>
        <v>S</v>
      </c>
      <c r="CU95" s="1330" t="s">
        <v>2745</v>
      </c>
      <c r="CV95" s="1330" t="str">
        <f>IF(IFERROR(INDEX(CV95:CV120,MATCH("W1020D",CU95:CU120,0)),0)&lt;&gt;0,"L",IF(IFERROR(INDEX(CV95:CV120,MATCH("W1015D",CU95:CU120,0)),0)&lt;&gt;0,"M","S"))</f>
        <v>S</v>
      </c>
      <c r="CW95" s="1330" t="s">
        <v>2745</v>
      </c>
      <c r="CX95" s="1330" t="str">
        <f>IF(IFERROR(INDEX(CX95:CX120,MATCH("W1020D",CW95:CW120,0)),0)&lt;&gt;0,"L",IF(IFERROR(INDEX(CX95:CX120,MATCH("W1015D",CW95:CW120,0)),0)&lt;&gt;0,"M","S"))</f>
        <v>S</v>
      </c>
      <c r="CY95" s="1330" t="s">
        <v>2745</v>
      </c>
      <c r="CZ95" s="1330"/>
      <c r="DA95" s="1330" t="s">
        <v>2745</v>
      </c>
      <c r="DB95" s="1330"/>
      <c r="DC95" s="1330" t="s">
        <v>2745</v>
      </c>
      <c r="DD95" s="1330"/>
      <c r="DE95" s="1330" t="s">
        <v>2745</v>
      </c>
      <c r="DF95" s="1330"/>
      <c r="DG95" s="1330" t="s">
        <v>2745</v>
      </c>
      <c r="DH95" s="1330"/>
      <c r="DI95" s="1330" t="s">
        <v>2745</v>
      </c>
      <c r="DJ95" s="1330"/>
      <c r="DK95" s="1330" t="s">
        <v>2745</v>
      </c>
      <c r="DL95" s="1330"/>
      <c r="DM95" s="1330" t="s">
        <v>2745</v>
      </c>
      <c r="DN95" s="1330"/>
      <c r="DO95" s="1330" t="s">
        <v>2745</v>
      </c>
      <c r="DP95" s="1330"/>
      <c r="DQ95" s="1330" t="s">
        <v>2745</v>
      </c>
      <c r="DR95" s="1330"/>
      <c r="DS95" s="1330" t="s">
        <v>2745</v>
      </c>
      <c r="DT95" s="1330"/>
      <c r="DU95" s="1330" t="s">
        <v>2745</v>
      </c>
      <c r="DV95" s="1330"/>
      <c r="DW95" s="1330" t="s">
        <v>2745</v>
      </c>
      <c r="DX95" s="1330"/>
      <c r="DY95" s="1330" t="s">
        <v>2745</v>
      </c>
      <c r="DZ95" s="1330"/>
      <c r="EA95" s="1330" t="s">
        <v>2745</v>
      </c>
      <c r="EB95" s="1330"/>
      <c r="EC95" s="1330" t="s">
        <v>2745</v>
      </c>
      <c r="ED95" s="1330"/>
      <c r="EE95" s="1330" t="s">
        <v>2745</v>
      </c>
      <c r="EF95" s="1330"/>
      <c r="EG95" s="1330" t="s">
        <v>2745</v>
      </c>
      <c r="EH95" s="1330"/>
      <c r="EI95" s="1330" t="s">
        <v>2745</v>
      </c>
      <c r="EJ95" s="1330"/>
      <c r="EK95" s="1330" t="s">
        <v>2745</v>
      </c>
      <c r="EL95" s="1330"/>
      <c r="EM95" s="1330" t="s">
        <v>2745</v>
      </c>
      <c r="EN95" s="1330"/>
      <c r="EO95" s="1330" t="s">
        <v>2745</v>
      </c>
      <c r="EP95" s="1330"/>
      <c r="EQ95" s="1330" t="s">
        <v>2745</v>
      </c>
      <c r="ER95" s="1330"/>
      <c r="ES95" s="1330" t="s">
        <v>2745</v>
      </c>
      <c r="ET95" s="1330"/>
      <c r="EU95" s="1330" t="s">
        <v>2745</v>
      </c>
      <c r="EV95" s="1330"/>
      <c r="EW95" s="1330" t="s">
        <v>2745</v>
      </c>
      <c r="EX95" s="1330"/>
      <c r="EY95" s="1330" t="s">
        <v>2745</v>
      </c>
      <c r="EZ95" s="1330"/>
      <c r="FA95" s="1330" t="s">
        <v>2745</v>
      </c>
      <c r="FB95" s="1330"/>
      <c r="FC95" s="1330" t="s">
        <v>2745</v>
      </c>
      <c r="FD95" s="1330"/>
      <c r="FE95" s="1330" t="s">
        <v>2745</v>
      </c>
      <c r="FF95" s="1330"/>
      <c r="FG95" s="1330" t="s">
        <v>2745</v>
      </c>
      <c r="FH95" s="1330"/>
      <c r="FI95" s="1330" t="s">
        <v>2745</v>
      </c>
      <c r="FJ95" s="1330"/>
      <c r="FK95" s="1330" t="s">
        <v>2745</v>
      </c>
      <c r="FL95" s="1330"/>
      <c r="FM95" s="1330" t="s">
        <v>2745</v>
      </c>
      <c r="FN95" s="1330"/>
      <c r="FO95" s="1330" t="s">
        <v>2745</v>
      </c>
      <c r="FP95" s="1330"/>
      <c r="FQ95" s="1330" t="s">
        <v>2745</v>
      </c>
      <c r="FR95" s="1330"/>
      <c r="FS95" s="1330" t="s">
        <v>2745</v>
      </c>
      <c r="FT95" s="1330"/>
      <c r="FU95" s="1330" t="s">
        <v>2745</v>
      </c>
      <c r="FV95" s="1330"/>
      <c r="FW95" s="1330" t="s">
        <v>2745</v>
      </c>
      <c r="FX95" s="1330"/>
      <c r="FY95" s="1330" t="s">
        <v>2745</v>
      </c>
      <c r="FZ95" s="1330"/>
      <c r="GA95" s="1330" t="s">
        <v>2745</v>
      </c>
      <c r="GB95" s="1330"/>
      <c r="GC95" s="1330" t="s">
        <v>2745</v>
      </c>
      <c r="GD95" s="1330"/>
      <c r="GE95" s="1330" t="s">
        <v>2745</v>
      </c>
      <c r="GF95" s="1330"/>
      <c r="GG95" s="1330" t="s">
        <v>2745</v>
      </c>
      <c r="GH95" s="1330"/>
      <c r="GI95" s="1330" t="s">
        <v>2745</v>
      </c>
      <c r="GJ95" s="1330"/>
      <c r="GK95" s="1330" t="s">
        <v>2745</v>
      </c>
      <c r="GL95" s="1330"/>
      <c r="GM95" s="1330" t="s">
        <v>2745</v>
      </c>
      <c r="GN95" s="1330"/>
      <c r="GO95" s="1330" t="s">
        <v>2745</v>
      </c>
      <c r="GP95" s="1330"/>
      <c r="GQ95" s="1330" t="s">
        <v>2745</v>
      </c>
      <c r="GR95" s="1330"/>
      <c r="GS95" s="1330" t="s">
        <v>2745</v>
      </c>
      <c r="GT95" s="1330"/>
      <c r="GU95" s="1330" t="s">
        <v>2745</v>
      </c>
      <c r="GV95" s="1330"/>
      <c r="GW95" s="1330" t="s">
        <v>2745</v>
      </c>
      <c r="GX95" s="1330"/>
      <c r="GY95" s="1330" t="s">
        <v>2745</v>
      </c>
      <c r="GZ95" s="1330"/>
    </row>
    <row r="96" spans="3:208">
      <c r="C96" s="1330" t="s">
        <v>1275</v>
      </c>
      <c r="D96" s="1330" t="s">
        <v>239</v>
      </c>
      <c r="E96" s="1330" t="s">
        <v>1275</v>
      </c>
      <c r="F96" s="1330" t="s">
        <v>239</v>
      </c>
      <c r="G96" s="1330" t="s">
        <v>1275</v>
      </c>
      <c r="H96" s="1330" t="s">
        <v>239</v>
      </c>
      <c r="I96" s="1330" t="s">
        <v>1275</v>
      </c>
      <c r="J96" s="1330" t="s">
        <v>239</v>
      </c>
      <c r="K96" s="1330" t="s">
        <v>1275</v>
      </c>
      <c r="L96" s="1330" t="s">
        <v>239</v>
      </c>
      <c r="M96" s="1330" t="s">
        <v>1275</v>
      </c>
      <c r="N96" s="1330" t="s">
        <v>239</v>
      </c>
      <c r="O96" s="1330" t="s">
        <v>1275</v>
      </c>
      <c r="P96" s="1330" t="s">
        <v>239</v>
      </c>
      <c r="Q96" s="1330" t="s">
        <v>1275</v>
      </c>
      <c r="R96" s="1330" t="s">
        <v>239</v>
      </c>
      <c r="S96" s="1330" t="s">
        <v>1275</v>
      </c>
      <c r="T96" s="1330" t="s">
        <v>239</v>
      </c>
      <c r="U96" s="1330" t="s">
        <v>1275</v>
      </c>
      <c r="V96" s="1330" t="s">
        <v>239</v>
      </c>
      <c r="W96" s="1330" t="s">
        <v>1275</v>
      </c>
      <c r="X96" s="1330" t="s">
        <v>239</v>
      </c>
      <c r="Y96" s="1330" t="s">
        <v>1275</v>
      </c>
      <c r="Z96" s="1330" t="s">
        <v>239</v>
      </c>
      <c r="AA96" s="1330" t="s">
        <v>1275</v>
      </c>
      <c r="AB96" s="1330" t="s">
        <v>239</v>
      </c>
      <c r="AC96" s="1330" t="s">
        <v>1275</v>
      </c>
      <c r="AD96" s="1330" t="s">
        <v>239</v>
      </c>
      <c r="AE96" s="1330" t="s">
        <v>1275</v>
      </c>
      <c r="AF96" s="1330" t="s">
        <v>239</v>
      </c>
      <c r="AG96" s="1330" t="s">
        <v>1275</v>
      </c>
      <c r="AH96" s="1330" t="s">
        <v>239</v>
      </c>
      <c r="AI96" s="1330" t="s">
        <v>1275</v>
      </c>
      <c r="AJ96" s="1330" t="s">
        <v>239</v>
      </c>
      <c r="AK96" s="1330" t="s">
        <v>1275</v>
      </c>
      <c r="AL96" s="1330" t="s">
        <v>239</v>
      </c>
      <c r="AM96" s="1330" t="s">
        <v>1275</v>
      </c>
      <c r="AN96" s="1330" t="s">
        <v>239</v>
      </c>
      <c r="AO96" s="1330" t="s">
        <v>1275</v>
      </c>
      <c r="AP96" s="1330" t="s">
        <v>239</v>
      </c>
      <c r="AQ96" s="1330" t="s">
        <v>1275</v>
      </c>
      <c r="AR96" s="1330" t="s">
        <v>239</v>
      </c>
      <c r="AS96" s="1330" t="s">
        <v>1275</v>
      </c>
      <c r="AT96" s="1330" t="s">
        <v>239</v>
      </c>
      <c r="AU96" s="1330" t="s">
        <v>1275</v>
      </c>
      <c r="AV96" s="1330" t="s">
        <v>239</v>
      </c>
      <c r="AW96" s="1330" t="s">
        <v>1275</v>
      </c>
      <c r="AX96" s="1330" t="s">
        <v>239</v>
      </c>
      <c r="AY96" s="1330" t="s">
        <v>1275</v>
      </c>
      <c r="AZ96" s="1330" t="s">
        <v>239</v>
      </c>
      <c r="BA96" s="1330" t="s">
        <v>1275</v>
      </c>
      <c r="BB96" s="1330" t="s">
        <v>239</v>
      </c>
      <c r="BC96" s="1330" t="s">
        <v>1275</v>
      </c>
      <c r="BD96" s="1330" t="s">
        <v>239</v>
      </c>
      <c r="BE96" s="1330" t="s">
        <v>1275</v>
      </c>
      <c r="BF96" s="1330" t="s">
        <v>239</v>
      </c>
      <c r="BG96" s="1330" t="s">
        <v>1275</v>
      </c>
      <c r="BH96" s="1330" t="s">
        <v>239</v>
      </c>
      <c r="BI96" s="1330" t="s">
        <v>1275</v>
      </c>
      <c r="BJ96" s="1330" t="s">
        <v>239</v>
      </c>
      <c r="BK96" s="1330" t="s">
        <v>1275</v>
      </c>
      <c r="BL96" s="1330" t="s">
        <v>239</v>
      </c>
      <c r="BM96" s="1330" t="s">
        <v>1275</v>
      </c>
      <c r="BN96" s="1330" t="s">
        <v>239</v>
      </c>
      <c r="BO96" s="1330" t="s">
        <v>1275</v>
      </c>
      <c r="BP96" s="1330" t="s">
        <v>239</v>
      </c>
      <c r="BQ96" s="1330" t="s">
        <v>1275</v>
      </c>
      <c r="BR96" s="1330" t="s">
        <v>239</v>
      </c>
      <c r="BS96" s="1330" t="s">
        <v>1275</v>
      </c>
      <c r="BT96" s="1330" t="s">
        <v>239</v>
      </c>
      <c r="BU96" s="1330" t="s">
        <v>1275</v>
      </c>
      <c r="BV96" s="1330" t="s">
        <v>239</v>
      </c>
      <c r="BW96" s="1330" t="s">
        <v>1275</v>
      </c>
      <c r="BX96" s="1330" t="s">
        <v>239</v>
      </c>
      <c r="BY96" s="1330" t="s">
        <v>1275</v>
      </c>
      <c r="BZ96" s="1330" t="s">
        <v>239</v>
      </c>
      <c r="CA96" s="1330" t="s">
        <v>1275</v>
      </c>
      <c r="CB96" s="1330" t="s">
        <v>239</v>
      </c>
      <c r="CC96" s="1330" t="s">
        <v>1275</v>
      </c>
      <c r="CD96" s="1330" t="s">
        <v>239</v>
      </c>
      <c r="CE96" s="1330" t="s">
        <v>1275</v>
      </c>
      <c r="CF96" s="1330" t="s">
        <v>239</v>
      </c>
      <c r="CG96" s="1330" t="s">
        <v>1275</v>
      </c>
      <c r="CH96" s="1330" t="s">
        <v>239</v>
      </c>
      <c r="CI96" s="1330" t="s">
        <v>1275</v>
      </c>
      <c r="CJ96" s="1330" t="s">
        <v>239</v>
      </c>
      <c r="CK96" s="1330" t="s">
        <v>1275</v>
      </c>
      <c r="CL96" s="1330" t="s">
        <v>239</v>
      </c>
      <c r="CM96" s="1330" t="s">
        <v>1275</v>
      </c>
      <c r="CN96" s="1330" t="s">
        <v>239</v>
      </c>
      <c r="CO96" s="1330" t="s">
        <v>1275</v>
      </c>
      <c r="CP96" s="1330" t="s">
        <v>239</v>
      </c>
      <c r="CQ96" s="1330" t="s">
        <v>1275</v>
      </c>
      <c r="CR96" s="1330" t="s">
        <v>239</v>
      </c>
      <c r="CS96" s="1330" t="s">
        <v>1275</v>
      </c>
      <c r="CT96" s="1330" t="s">
        <v>239</v>
      </c>
      <c r="CU96" s="1330" t="s">
        <v>1275</v>
      </c>
      <c r="CV96" s="1330" t="s">
        <v>239</v>
      </c>
      <c r="CW96" s="1330" t="s">
        <v>1275</v>
      </c>
      <c r="CX96" s="1330" t="s">
        <v>239</v>
      </c>
      <c r="CY96" s="1330" t="s">
        <v>1275</v>
      </c>
      <c r="CZ96" s="1330" t="s">
        <v>239</v>
      </c>
      <c r="DA96" s="1330" t="s">
        <v>1275</v>
      </c>
      <c r="DB96" s="1330" t="s">
        <v>239</v>
      </c>
      <c r="DC96" s="1330" t="s">
        <v>1275</v>
      </c>
      <c r="DD96" s="1330" t="s">
        <v>239</v>
      </c>
      <c r="DE96" s="1330" t="s">
        <v>1275</v>
      </c>
      <c r="DF96" s="1330" t="s">
        <v>239</v>
      </c>
      <c r="DG96" s="1330" t="s">
        <v>1275</v>
      </c>
      <c r="DH96" s="1330" t="s">
        <v>239</v>
      </c>
      <c r="DI96" s="1330" t="s">
        <v>1275</v>
      </c>
      <c r="DJ96" s="1330" t="s">
        <v>239</v>
      </c>
      <c r="DK96" s="1330" t="s">
        <v>1275</v>
      </c>
      <c r="DL96" s="1330" t="s">
        <v>239</v>
      </c>
      <c r="DM96" s="1330" t="s">
        <v>1275</v>
      </c>
      <c r="DN96" s="1330" t="s">
        <v>239</v>
      </c>
      <c r="DO96" s="1330" t="s">
        <v>1275</v>
      </c>
      <c r="DP96" s="1330" t="s">
        <v>239</v>
      </c>
      <c r="DQ96" s="1330" t="s">
        <v>1275</v>
      </c>
      <c r="DR96" s="1330" t="s">
        <v>239</v>
      </c>
      <c r="DS96" s="1330" t="s">
        <v>1275</v>
      </c>
      <c r="DT96" s="1330" t="s">
        <v>239</v>
      </c>
      <c r="DU96" s="1330" t="s">
        <v>1275</v>
      </c>
      <c r="DV96" s="1330" t="s">
        <v>239</v>
      </c>
      <c r="DW96" s="1330" t="s">
        <v>1275</v>
      </c>
      <c r="DX96" s="1330" t="s">
        <v>239</v>
      </c>
      <c r="DY96" s="1330" t="s">
        <v>1275</v>
      </c>
      <c r="DZ96" s="1330" t="s">
        <v>239</v>
      </c>
      <c r="EA96" s="1330" t="s">
        <v>1275</v>
      </c>
      <c r="EB96" s="1330" t="s">
        <v>239</v>
      </c>
      <c r="EC96" s="1330" t="s">
        <v>1275</v>
      </c>
      <c r="ED96" s="1330" t="s">
        <v>239</v>
      </c>
      <c r="EE96" s="1330" t="s">
        <v>1275</v>
      </c>
      <c r="EF96" s="1330" t="s">
        <v>239</v>
      </c>
      <c r="EG96" s="1330" t="s">
        <v>1275</v>
      </c>
      <c r="EH96" s="1330" t="s">
        <v>239</v>
      </c>
      <c r="EI96" s="1330" t="s">
        <v>1275</v>
      </c>
      <c r="EJ96" s="1330" t="s">
        <v>239</v>
      </c>
      <c r="EK96" s="1330" t="s">
        <v>1275</v>
      </c>
      <c r="EL96" s="1330" t="s">
        <v>239</v>
      </c>
      <c r="EM96" s="1330" t="s">
        <v>1275</v>
      </c>
      <c r="EN96" s="1330" t="s">
        <v>239</v>
      </c>
      <c r="EO96" s="1330" t="s">
        <v>1275</v>
      </c>
      <c r="EP96" s="1330" t="s">
        <v>239</v>
      </c>
      <c r="EQ96" s="1330" t="s">
        <v>1275</v>
      </c>
      <c r="ER96" s="1330" t="s">
        <v>239</v>
      </c>
      <c r="ES96" s="1330" t="s">
        <v>1275</v>
      </c>
      <c r="ET96" s="1330" t="s">
        <v>239</v>
      </c>
      <c r="EU96" s="1330" t="s">
        <v>1275</v>
      </c>
      <c r="EV96" s="1330" t="s">
        <v>239</v>
      </c>
      <c r="EW96" s="1330" t="s">
        <v>1275</v>
      </c>
      <c r="EX96" s="1330" t="s">
        <v>239</v>
      </c>
      <c r="EY96" s="1330" t="s">
        <v>1275</v>
      </c>
      <c r="EZ96" s="1330" t="s">
        <v>239</v>
      </c>
      <c r="FA96" s="1330" t="s">
        <v>1275</v>
      </c>
      <c r="FB96" s="1330" t="s">
        <v>239</v>
      </c>
      <c r="FC96" s="1330" t="s">
        <v>1275</v>
      </c>
      <c r="FD96" s="1330" t="s">
        <v>239</v>
      </c>
      <c r="FE96" s="1330" t="s">
        <v>1275</v>
      </c>
      <c r="FF96" s="1330" t="s">
        <v>239</v>
      </c>
      <c r="FG96" s="1330" t="s">
        <v>1275</v>
      </c>
      <c r="FH96" s="1330" t="s">
        <v>239</v>
      </c>
      <c r="FI96" s="1330" t="s">
        <v>1275</v>
      </c>
      <c r="FJ96" s="1330" t="s">
        <v>239</v>
      </c>
      <c r="FK96" s="1330" t="s">
        <v>1275</v>
      </c>
      <c r="FL96" s="1330" t="s">
        <v>239</v>
      </c>
      <c r="FM96" s="1330" t="s">
        <v>1275</v>
      </c>
      <c r="FN96" s="1330" t="s">
        <v>239</v>
      </c>
      <c r="FO96" s="1330" t="s">
        <v>1275</v>
      </c>
      <c r="FP96" s="1330" t="s">
        <v>239</v>
      </c>
      <c r="FQ96" s="1330" t="s">
        <v>1275</v>
      </c>
      <c r="FR96" s="1330" t="s">
        <v>239</v>
      </c>
      <c r="FS96" s="1330" t="s">
        <v>1275</v>
      </c>
      <c r="FT96" s="1330" t="s">
        <v>239</v>
      </c>
      <c r="FU96" s="1330" t="s">
        <v>1275</v>
      </c>
      <c r="FV96" s="1330" t="s">
        <v>239</v>
      </c>
      <c r="FW96" s="1330" t="s">
        <v>1275</v>
      </c>
      <c r="FX96" s="1330" t="s">
        <v>239</v>
      </c>
      <c r="FY96" s="1330" t="s">
        <v>1275</v>
      </c>
      <c r="FZ96" s="1330" t="s">
        <v>239</v>
      </c>
      <c r="GA96" s="1330" t="s">
        <v>1275</v>
      </c>
      <c r="GB96" s="1330" t="s">
        <v>239</v>
      </c>
      <c r="GC96" s="1330" t="s">
        <v>1275</v>
      </c>
      <c r="GD96" s="1330" t="s">
        <v>239</v>
      </c>
      <c r="GE96" s="1330" t="s">
        <v>1275</v>
      </c>
      <c r="GF96" s="1330" t="s">
        <v>239</v>
      </c>
      <c r="GG96" s="1330" t="s">
        <v>1275</v>
      </c>
      <c r="GH96" s="1330" t="s">
        <v>239</v>
      </c>
      <c r="GI96" s="1330" t="s">
        <v>1275</v>
      </c>
      <c r="GJ96" s="1330" t="s">
        <v>239</v>
      </c>
      <c r="GK96" s="1330" t="s">
        <v>1275</v>
      </c>
      <c r="GL96" s="1330" t="s">
        <v>239</v>
      </c>
      <c r="GM96" s="1330" t="s">
        <v>1275</v>
      </c>
      <c r="GN96" s="1330" t="s">
        <v>239</v>
      </c>
      <c r="GO96" s="1330" t="s">
        <v>1275</v>
      </c>
      <c r="GP96" s="1330" t="s">
        <v>239</v>
      </c>
      <c r="GQ96" s="1330" t="s">
        <v>1275</v>
      </c>
      <c r="GR96" s="1330" t="s">
        <v>239</v>
      </c>
      <c r="GS96" s="1330" t="s">
        <v>1275</v>
      </c>
      <c r="GT96" s="1330" t="s">
        <v>239</v>
      </c>
      <c r="GU96" s="1330" t="s">
        <v>1275</v>
      </c>
      <c r="GV96" s="1330" t="s">
        <v>239</v>
      </c>
      <c r="GW96" s="1330" t="s">
        <v>1275</v>
      </c>
      <c r="GX96" s="1330" t="s">
        <v>239</v>
      </c>
      <c r="GY96" s="1330" t="s">
        <v>1275</v>
      </c>
      <c r="GZ96" s="1330" t="s">
        <v>239</v>
      </c>
    </row>
    <row r="97" spans="3:208">
      <c r="C97" s="1356" t="s">
        <v>2365</v>
      </c>
      <c r="D97" s="1357">
        <v>25</v>
      </c>
      <c r="E97" s="1356" t="s">
        <v>2365</v>
      </c>
      <c r="F97" s="1357">
        <v>5</v>
      </c>
      <c r="G97" s="1356" t="s">
        <v>2422</v>
      </c>
      <c r="H97" s="1357">
        <v>4</v>
      </c>
      <c r="I97" s="1356" t="s">
        <v>2422</v>
      </c>
      <c r="J97" s="1357">
        <v>25</v>
      </c>
      <c r="K97" s="1356" t="s">
        <v>2441</v>
      </c>
      <c r="L97" s="1357">
        <v>1</v>
      </c>
      <c r="M97" s="1356" t="s">
        <v>2441</v>
      </c>
      <c r="N97" s="1357">
        <v>25</v>
      </c>
      <c r="O97" s="1356" t="s">
        <v>2441</v>
      </c>
      <c r="P97" s="1357">
        <v>25</v>
      </c>
      <c r="Q97" s="1356" t="s">
        <v>2439</v>
      </c>
      <c r="R97" s="1357">
        <v>1</v>
      </c>
      <c r="S97" s="1356" t="s">
        <v>1286</v>
      </c>
      <c r="T97" s="1357"/>
      <c r="U97" s="1356" t="s">
        <v>1286</v>
      </c>
      <c r="V97" s="1357"/>
      <c r="W97" s="1356" t="s">
        <v>1286</v>
      </c>
      <c r="X97" s="1357"/>
      <c r="Y97" s="1356" t="s">
        <v>1286</v>
      </c>
      <c r="Z97" s="1357"/>
      <c r="AA97" s="1356" t="s">
        <v>1286</v>
      </c>
      <c r="AB97" s="1357"/>
      <c r="AC97" s="1356" t="s">
        <v>1286</v>
      </c>
      <c r="AD97" s="1357"/>
      <c r="AE97" s="1356" t="s">
        <v>1286</v>
      </c>
      <c r="AF97" s="1357"/>
      <c r="AG97" s="1356" t="s">
        <v>1286</v>
      </c>
      <c r="AH97" s="1357"/>
      <c r="AI97" s="1356" t="s">
        <v>1286</v>
      </c>
      <c r="AJ97" s="1357"/>
      <c r="AK97" s="1356" t="s">
        <v>1286</v>
      </c>
      <c r="AL97" s="1357"/>
      <c r="AM97" s="1356" t="s">
        <v>1286</v>
      </c>
      <c r="AN97" s="1357"/>
      <c r="AO97" s="1356" t="s">
        <v>1286</v>
      </c>
      <c r="AP97" s="1357"/>
      <c r="AQ97" s="1356" t="s">
        <v>1286</v>
      </c>
      <c r="AR97" s="1357"/>
      <c r="AS97" s="1356" t="s">
        <v>1286</v>
      </c>
      <c r="AT97" s="1357"/>
      <c r="AU97" s="1356" t="s">
        <v>1286</v>
      </c>
      <c r="AV97" s="1357"/>
      <c r="AW97" s="1356" t="s">
        <v>1286</v>
      </c>
      <c r="AX97" s="1357"/>
      <c r="AY97" s="1356" t="s">
        <v>1286</v>
      </c>
      <c r="AZ97" s="1357"/>
      <c r="BA97" s="1356" t="s">
        <v>1286</v>
      </c>
      <c r="BB97" s="1357"/>
      <c r="BC97" s="1356" t="s">
        <v>1286</v>
      </c>
      <c r="BD97" s="1357"/>
      <c r="BE97" s="1356" t="s">
        <v>1286</v>
      </c>
      <c r="BF97" s="1357"/>
      <c r="BG97" s="1356" t="s">
        <v>1286</v>
      </c>
      <c r="BH97" s="1357"/>
      <c r="BI97" s="1356" t="s">
        <v>1286</v>
      </c>
      <c r="BJ97" s="1357"/>
      <c r="BK97" s="1356" t="s">
        <v>1286</v>
      </c>
      <c r="BL97" s="1357"/>
      <c r="BM97" s="1356" t="s">
        <v>1286</v>
      </c>
      <c r="BN97" s="1357"/>
      <c r="BO97" s="1356" t="s">
        <v>1286</v>
      </c>
      <c r="BP97" s="1357"/>
      <c r="BQ97" s="1356" t="s">
        <v>1286</v>
      </c>
      <c r="BR97" s="1357"/>
      <c r="BS97" s="1356" t="s">
        <v>1286</v>
      </c>
      <c r="BT97" s="1357"/>
      <c r="BU97" s="1356" t="s">
        <v>1286</v>
      </c>
      <c r="BV97" s="1357"/>
      <c r="BW97" s="1356" t="s">
        <v>1286</v>
      </c>
      <c r="BX97" s="1357"/>
      <c r="BY97" s="1356" t="s">
        <v>1286</v>
      </c>
      <c r="BZ97" s="1357"/>
      <c r="CA97" s="1356" t="s">
        <v>1286</v>
      </c>
      <c r="CB97" s="1357"/>
      <c r="CC97" s="1356" t="s">
        <v>1286</v>
      </c>
      <c r="CD97" s="1357"/>
      <c r="CE97" s="1356" t="s">
        <v>1286</v>
      </c>
      <c r="CF97" s="1357"/>
      <c r="CG97" s="1356" t="s">
        <v>1286</v>
      </c>
      <c r="CH97" s="1357"/>
      <c r="CI97" s="1356" t="s">
        <v>1286</v>
      </c>
      <c r="CJ97" s="1357"/>
      <c r="CK97" s="1356" t="s">
        <v>1286</v>
      </c>
      <c r="CL97" s="1357"/>
      <c r="CM97" s="1356" t="s">
        <v>1286</v>
      </c>
      <c r="CN97" s="1357"/>
      <c r="CO97" s="1356" t="s">
        <v>1286</v>
      </c>
      <c r="CP97" s="1357"/>
      <c r="CQ97" s="1356" t="s">
        <v>1286</v>
      </c>
      <c r="CR97" s="1357"/>
      <c r="CS97" s="1356" t="s">
        <v>1286</v>
      </c>
      <c r="CT97" s="1357"/>
      <c r="CU97" s="1356" t="s">
        <v>1286</v>
      </c>
      <c r="CV97" s="1357"/>
      <c r="CW97" s="1356" t="s">
        <v>1286</v>
      </c>
      <c r="CX97" s="1357"/>
      <c r="CY97" s="1356" t="s">
        <v>1286</v>
      </c>
      <c r="CZ97" s="1357"/>
      <c r="DA97" s="1356"/>
      <c r="DB97" s="1357"/>
      <c r="DC97" s="1356"/>
      <c r="DD97" s="1357"/>
      <c r="DE97" s="1356"/>
      <c r="DF97" s="1357"/>
      <c r="DG97" s="1356"/>
      <c r="DH97" s="1357"/>
      <c r="DI97" s="1356"/>
      <c r="DJ97" s="1357"/>
      <c r="DK97" s="1356"/>
      <c r="DL97" s="1357"/>
      <c r="DM97" s="1356"/>
      <c r="DN97" s="1357"/>
      <c r="DO97" s="1356"/>
      <c r="DP97" s="1357"/>
      <c r="DQ97" s="1356"/>
      <c r="DR97" s="1357"/>
      <c r="DS97" s="1356"/>
      <c r="DT97" s="1357"/>
      <c r="DU97" s="1356"/>
      <c r="DV97" s="1357"/>
      <c r="DW97" s="1356"/>
      <c r="DX97" s="1357"/>
      <c r="DY97" s="1356"/>
      <c r="DZ97" s="1357"/>
      <c r="EA97" s="1356"/>
      <c r="EB97" s="1357"/>
      <c r="EC97" s="1356"/>
      <c r="ED97" s="1357"/>
      <c r="EE97" s="1356"/>
      <c r="EF97" s="1357"/>
      <c r="EG97" s="1356"/>
      <c r="EH97" s="1357"/>
      <c r="EI97" s="1356"/>
      <c r="EJ97" s="1357"/>
      <c r="EK97" s="1356"/>
      <c r="EL97" s="1357"/>
      <c r="EM97" s="1356"/>
      <c r="EN97" s="1357"/>
      <c r="EO97" s="1356"/>
      <c r="EP97" s="1357"/>
      <c r="EQ97" s="1356"/>
      <c r="ER97" s="1357"/>
      <c r="ES97" s="1356"/>
      <c r="ET97" s="1357"/>
      <c r="EU97" s="1356"/>
      <c r="EV97" s="1357"/>
      <c r="EW97" s="1356"/>
      <c r="EX97" s="1357"/>
      <c r="EY97" s="1356"/>
      <c r="EZ97" s="1357"/>
      <c r="FA97" s="1356"/>
      <c r="FB97" s="1357"/>
      <c r="FC97" s="1356"/>
      <c r="FD97" s="1357"/>
      <c r="FE97" s="1356"/>
      <c r="FF97" s="1357"/>
      <c r="FG97" s="1356"/>
      <c r="FH97" s="1357"/>
      <c r="FI97" s="1356"/>
      <c r="FJ97" s="1357"/>
      <c r="FK97" s="1356"/>
      <c r="FL97" s="1357"/>
      <c r="FM97" s="1356"/>
      <c r="FN97" s="1357"/>
      <c r="FO97" s="1356"/>
      <c r="FP97" s="1357"/>
      <c r="FQ97" s="1356"/>
      <c r="FR97" s="1357"/>
      <c r="FS97" s="1356"/>
      <c r="FT97" s="1357"/>
      <c r="FU97" s="1356"/>
      <c r="FV97" s="1357"/>
      <c r="FW97" s="1356"/>
      <c r="FX97" s="1357"/>
      <c r="FY97" s="1356"/>
      <c r="FZ97" s="1357"/>
      <c r="GA97" s="1356"/>
      <c r="GB97" s="1357"/>
      <c r="GC97" s="1356"/>
      <c r="GD97" s="1357"/>
      <c r="GE97" s="1356"/>
      <c r="GF97" s="1357"/>
      <c r="GG97" s="1356"/>
      <c r="GH97" s="1357"/>
      <c r="GI97" s="1356"/>
      <c r="GJ97" s="1357"/>
      <c r="GK97" s="1356"/>
      <c r="GL97" s="1357"/>
      <c r="GM97" s="1356"/>
      <c r="GN97" s="1357"/>
      <c r="GO97" s="1356"/>
      <c r="GP97" s="1357"/>
      <c r="GQ97" s="1356"/>
      <c r="GR97" s="1357"/>
      <c r="GS97" s="1356"/>
      <c r="GT97" s="1357"/>
      <c r="GU97" s="1356"/>
      <c r="GV97" s="1357"/>
      <c r="GW97" s="1356"/>
      <c r="GX97" s="1357"/>
      <c r="GY97" s="1356"/>
      <c r="GZ97" s="1357"/>
    </row>
    <row r="98" spans="3:208">
      <c r="C98" s="1356" t="s">
        <v>1286</v>
      </c>
      <c r="D98" s="1357"/>
      <c r="E98" s="1356" t="s">
        <v>2375</v>
      </c>
      <c r="F98" s="1357">
        <v>30</v>
      </c>
      <c r="G98" s="1356" t="s">
        <v>2435</v>
      </c>
      <c r="H98" s="1357">
        <v>1</v>
      </c>
      <c r="I98" s="1356" t="s">
        <v>1286</v>
      </c>
      <c r="J98" s="1357"/>
      <c r="K98" s="1356" t="s">
        <v>2422</v>
      </c>
      <c r="L98" s="1357">
        <v>24</v>
      </c>
      <c r="M98" s="1356" t="s">
        <v>1286</v>
      </c>
      <c r="N98" s="1357"/>
      <c r="O98" s="1356" t="s">
        <v>1286</v>
      </c>
      <c r="P98" s="1357"/>
      <c r="Q98" s="1356" t="s">
        <v>2441</v>
      </c>
      <c r="R98" s="1357">
        <v>2</v>
      </c>
      <c r="S98" s="1356" t="s">
        <v>1286</v>
      </c>
      <c r="T98" s="1357"/>
      <c r="U98" s="1356" t="s">
        <v>1286</v>
      </c>
      <c r="V98" s="1357"/>
      <c r="W98" s="1356" t="s">
        <v>1286</v>
      </c>
      <c r="X98" s="1357"/>
      <c r="Y98" s="1356" t="s">
        <v>1286</v>
      </c>
      <c r="Z98" s="1357"/>
      <c r="AA98" s="1356" t="s">
        <v>1286</v>
      </c>
      <c r="AB98" s="1357"/>
      <c r="AC98" s="1356" t="s">
        <v>1286</v>
      </c>
      <c r="AD98" s="1357"/>
      <c r="AE98" s="1356" t="s">
        <v>1286</v>
      </c>
      <c r="AF98" s="1357"/>
      <c r="AG98" s="1356" t="s">
        <v>1286</v>
      </c>
      <c r="AH98" s="1357"/>
      <c r="AI98" s="1356" t="s">
        <v>1286</v>
      </c>
      <c r="AJ98" s="1357"/>
      <c r="AK98" s="1356" t="s">
        <v>1286</v>
      </c>
      <c r="AL98" s="1357"/>
      <c r="AM98" s="1356" t="s">
        <v>1286</v>
      </c>
      <c r="AN98" s="1357"/>
      <c r="AO98" s="1356" t="s">
        <v>1286</v>
      </c>
      <c r="AP98" s="1357"/>
      <c r="AQ98" s="1356" t="s">
        <v>1286</v>
      </c>
      <c r="AR98" s="1357"/>
      <c r="AS98" s="1356" t="s">
        <v>1286</v>
      </c>
      <c r="AT98" s="1357"/>
      <c r="AU98" s="1356" t="s">
        <v>1286</v>
      </c>
      <c r="AV98" s="1357"/>
      <c r="AW98" s="1356" t="s">
        <v>1286</v>
      </c>
      <c r="AX98" s="1357"/>
      <c r="AY98" s="1356" t="s">
        <v>1286</v>
      </c>
      <c r="AZ98" s="1357"/>
      <c r="BA98" s="1356" t="s">
        <v>1286</v>
      </c>
      <c r="BB98" s="1357"/>
      <c r="BC98" s="1356" t="s">
        <v>1286</v>
      </c>
      <c r="BD98" s="1357"/>
      <c r="BE98" s="1356" t="s">
        <v>1286</v>
      </c>
      <c r="BF98" s="1357"/>
      <c r="BG98" s="1356" t="s">
        <v>1286</v>
      </c>
      <c r="BH98" s="1357"/>
      <c r="BI98" s="1356" t="s">
        <v>1286</v>
      </c>
      <c r="BJ98" s="1357"/>
      <c r="BK98" s="1356" t="s">
        <v>1286</v>
      </c>
      <c r="BL98" s="1357"/>
      <c r="BM98" s="1356" t="s">
        <v>1286</v>
      </c>
      <c r="BN98" s="1357"/>
      <c r="BO98" s="1356" t="s">
        <v>1286</v>
      </c>
      <c r="BP98" s="1357"/>
      <c r="BQ98" s="1356" t="s">
        <v>1286</v>
      </c>
      <c r="BR98" s="1357"/>
      <c r="BS98" s="1356" t="s">
        <v>1286</v>
      </c>
      <c r="BT98" s="1357"/>
      <c r="BU98" s="1356" t="s">
        <v>1286</v>
      </c>
      <c r="BV98" s="1357"/>
      <c r="BW98" s="1356" t="s">
        <v>1286</v>
      </c>
      <c r="BX98" s="1357"/>
      <c r="BY98" s="1356" t="s">
        <v>1286</v>
      </c>
      <c r="BZ98" s="1357"/>
      <c r="CA98" s="1356" t="s">
        <v>1286</v>
      </c>
      <c r="CB98" s="1357"/>
      <c r="CC98" s="1356" t="s">
        <v>1286</v>
      </c>
      <c r="CD98" s="1357"/>
      <c r="CE98" s="1356" t="s">
        <v>1286</v>
      </c>
      <c r="CF98" s="1357"/>
      <c r="CG98" s="1356" t="s">
        <v>1286</v>
      </c>
      <c r="CH98" s="1357"/>
      <c r="CI98" s="1356" t="s">
        <v>1286</v>
      </c>
      <c r="CJ98" s="1357"/>
      <c r="CK98" s="1356" t="s">
        <v>1286</v>
      </c>
      <c r="CL98" s="1357"/>
      <c r="CM98" s="1356" t="s">
        <v>1286</v>
      </c>
      <c r="CN98" s="1357"/>
      <c r="CO98" s="1356" t="s">
        <v>1286</v>
      </c>
      <c r="CP98" s="1357"/>
      <c r="CQ98" s="1356" t="s">
        <v>1286</v>
      </c>
      <c r="CR98" s="1357"/>
      <c r="CS98" s="1356" t="s">
        <v>1286</v>
      </c>
      <c r="CT98" s="1357"/>
      <c r="CU98" s="1356" t="s">
        <v>1286</v>
      </c>
      <c r="CV98" s="1357"/>
      <c r="CW98" s="1356" t="s">
        <v>1286</v>
      </c>
      <c r="CX98" s="1357"/>
      <c r="CY98" s="1356" t="s">
        <v>1286</v>
      </c>
      <c r="CZ98" s="1357"/>
      <c r="DA98" s="1356"/>
      <c r="DB98" s="1357"/>
      <c r="DC98" s="1356"/>
      <c r="DD98" s="1357"/>
      <c r="DE98" s="1356"/>
      <c r="DF98" s="1357"/>
      <c r="DG98" s="1356"/>
      <c r="DH98" s="1357"/>
      <c r="DI98" s="1356"/>
      <c r="DJ98" s="1357"/>
      <c r="DK98" s="1356"/>
      <c r="DL98" s="1357"/>
      <c r="DM98" s="1356"/>
      <c r="DN98" s="1357"/>
      <c r="DO98" s="1356"/>
      <c r="DP98" s="1357"/>
      <c r="DQ98" s="1356"/>
      <c r="DR98" s="1357"/>
      <c r="DS98" s="1356"/>
      <c r="DT98" s="1357"/>
      <c r="DU98" s="1356"/>
      <c r="DV98" s="1357"/>
      <c r="DW98" s="1356"/>
      <c r="DX98" s="1357"/>
      <c r="DY98" s="1356"/>
      <c r="DZ98" s="1357"/>
      <c r="EA98" s="1356"/>
      <c r="EB98" s="1357"/>
      <c r="EC98" s="1356"/>
      <c r="ED98" s="1357"/>
      <c r="EE98" s="1356"/>
      <c r="EF98" s="1357"/>
      <c r="EG98" s="1356"/>
      <c r="EH98" s="1357"/>
      <c r="EI98" s="1356"/>
      <c r="EJ98" s="1357"/>
      <c r="EK98" s="1356"/>
      <c r="EL98" s="1357"/>
      <c r="EM98" s="1356"/>
      <c r="EN98" s="1357"/>
      <c r="EO98" s="1356"/>
      <c r="EP98" s="1357"/>
      <c r="EQ98" s="1356"/>
      <c r="ER98" s="1357"/>
      <c r="ES98" s="1356"/>
      <c r="ET98" s="1357"/>
      <c r="EU98" s="1356"/>
      <c r="EV98" s="1357"/>
      <c r="EW98" s="1356"/>
      <c r="EX98" s="1357"/>
      <c r="EY98" s="1356"/>
      <c r="EZ98" s="1357"/>
      <c r="FA98" s="1356"/>
      <c r="FB98" s="1357"/>
      <c r="FC98" s="1356"/>
      <c r="FD98" s="1357"/>
      <c r="FE98" s="1356"/>
      <c r="FF98" s="1357"/>
      <c r="FG98" s="1356"/>
      <c r="FH98" s="1357"/>
      <c r="FI98" s="1356"/>
      <c r="FJ98" s="1357"/>
      <c r="FK98" s="1356"/>
      <c r="FL98" s="1357"/>
      <c r="FM98" s="1356"/>
      <c r="FN98" s="1357"/>
      <c r="FO98" s="1356"/>
      <c r="FP98" s="1357"/>
      <c r="FQ98" s="1356"/>
      <c r="FR98" s="1357"/>
      <c r="FS98" s="1356"/>
      <c r="FT98" s="1357"/>
      <c r="FU98" s="1356"/>
      <c r="FV98" s="1357"/>
      <c r="FW98" s="1356"/>
      <c r="FX98" s="1357"/>
      <c r="FY98" s="1356"/>
      <c r="FZ98" s="1357"/>
      <c r="GA98" s="1356"/>
      <c r="GB98" s="1357"/>
      <c r="GC98" s="1356"/>
      <c r="GD98" s="1357"/>
      <c r="GE98" s="1356"/>
      <c r="GF98" s="1357"/>
      <c r="GG98" s="1356"/>
      <c r="GH98" s="1357"/>
      <c r="GI98" s="1356"/>
      <c r="GJ98" s="1357"/>
      <c r="GK98" s="1356"/>
      <c r="GL98" s="1357"/>
      <c r="GM98" s="1356"/>
      <c r="GN98" s="1357"/>
      <c r="GO98" s="1356"/>
      <c r="GP98" s="1357"/>
      <c r="GQ98" s="1356"/>
      <c r="GR98" s="1357"/>
      <c r="GS98" s="1356"/>
      <c r="GT98" s="1357"/>
      <c r="GU98" s="1356"/>
      <c r="GV98" s="1357"/>
      <c r="GW98" s="1356"/>
      <c r="GX98" s="1357"/>
      <c r="GY98" s="1356"/>
      <c r="GZ98" s="1357"/>
    </row>
    <row r="99" spans="3:208">
      <c r="C99" s="1356" t="s">
        <v>1286</v>
      </c>
      <c r="D99" s="1357"/>
      <c r="E99" s="1356" t="s">
        <v>2399</v>
      </c>
      <c r="F99" s="1357">
        <v>10</v>
      </c>
      <c r="G99" s="1356" t="s">
        <v>2399</v>
      </c>
      <c r="H99" s="1357">
        <v>20</v>
      </c>
      <c r="I99" s="1356" t="s">
        <v>1286</v>
      </c>
      <c r="J99" s="1357"/>
      <c r="K99" s="1356" t="s">
        <v>1286</v>
      </c>
      <c r="L99" s="1357"/>
      <c r="M99" s="1356" t="s">
        <v>1286</v>
      </c>
      <c r="N99" s="1357"/>
      <c r="O99" s="1356" t="s">
        <v>1286</v>
      </c>
      <c r="P99" s="1357"/>
      <c r="Q99" s="1356" t="s">
        <v>1286</v>
      </c>
      <c r="R99" s="1357"/>
      <c r="S99" s="1356" t="s">
        <v>1286</v>
      </c>
      <c r="T99" s="1357"/>
      <c r="U99" s="1356" t="s">
        <v>1286</v>
      </c>
      <c r="V99" s="1357"/>
      <c r="W99" s="1356" t="s">
        <v>1286</v>
      </c>
      <c r="X99" s="1357"/>
      <c r="Y99" s="1356" t="s">
        <v>1286</v>
      </c>
      <c r="Z99" s="1357"/>
      <c r="AA99" s="1356" t="s">
        <v>1286</v>
      </c>
      <c r="AB99" s="1357"/>
      <c r="AC99" s="1356" t="s">
        <v>1286</v>
      </c>
      <c r="AD99" s="1357"/>
      <c r="AE99" s="1356" t="s">
        <v>1286</v>
      </c>
      <c r="AF99" s="1357"/>
      <c r="AG99" s="1356" t="s">
        <v>1286</v>
      </c>
      <c r="AH99" s="1357"/>
      <c r="AI99" s="1356" t="s">
        <v>1286</v>
      </c>
      <c r="AJ99" s="1357"/>
      <c r="AK99" s="1356" t="s">
        <v>1286</v>
      </c>
      <c r="AL99" s="1357"/>
      <c r="AM99" s="1356" t="s">
        <v>1286</v>
      </c>
      <c r="AN99" s="1357"/>
      <c r="AO99" s="1356" t="s">
        <v>1286</v>
      </c>
      <c r="AP99" s="1357"/>
      <c r="AQ99" s="1356" t="s">
        <v>1286</v>
      </c>
      <c r="AR99" s="1357"/>
      <c r="AS99" s="1356" t="s">
        <v>1286</v>
      </c>
      <c r="AT99" s="1357"/>
      <c r="AU99" s="1356" t="s">
        <v>1286</v>
      </c>
      <c r="AV99" s="1357"/>
      <c r="AW99" s="1356" t="s">
        <v>1286</v>
      </c>
      <c r="AX99" s="1357"/>
      <c r="AY99" s="1356" t="s">
        <v>1286</v>
      </c>
      <c r="AZ99" s="1357"/>
      <c r="BA99" s="1356" t="s">
        <v>1286</v>
      </c>
      <c r="BB99" s="1357"/>
      <c r="BC99" s="1356" t="s">
        <v>1286</v>
      </c>
      <c r="BD99" s="1357"/>
      <c r="BE99" s="1356" t="s">
        <v>1286</v>
      </c>
      <c r="BF99" s="1357"/>
      <c r="BG99" s="1356" t="s">
        <v>1286</v>
      </c>
      <c r="BH99" s="1357"/>
      <c r="BI99" s="1356" t="s">
        <v>1286</v>
      </c>
      <c r="BJ99" s="1357"/>
      <c r="BK99" s="1356" t="s">
        <v>1286</v>
      </c>
      <c r="BL99" s="1357"/>
      <c r="BM99" s="1356" t="s">
        <v>1286</v>
      </c>
      <c r="BN99" s="1357"/>
      <c r="BO99" s="1356" t="s">
        <v>1286</v>
      </c>
      <c r="BP99" s="1357"/>
      <c r="BQ99" s="1356" t="s">
        <v>1286</v>
      </c>
      <c r="BR99" s="1357"/>
      <c r="BS99" s="1356" t="s">
        <v>1286</v>
      </c>
      <c r="BT99" s="1357"/>
      <c r="BU99" s="1356" t="s">
        <v>1286</v>
      </c>
      <c r="BV99" s="1357"/>
      <c r="BW99" s="1356" t="s">
        <v>1286</v>
      </c>
      <c r="BX99" s="1357"/>
      <c r="BY99" s="1356" t="s">
        <v>1286</v>
      </c>
      <c r="BZ99" s="1357"/>
      <c r="CA99" s="1356" t="s">
        <v>1286</v>
      </c>
      <c r="CB99" s="1357"/>
      <c r="CC99" s="1356" t="s">
        <v>1286</v>
      </c>
      <c r="CD99" s="1357"/>
      <c r="CE99" s="1356" t="s">
        <v>1286</v>
      </c>
      <c r="CF99" s="1357"/>
      <c r="CG99" s="1356" t="s">
        <v>1286</v>
      </c>
      <c r="CH99" s="1357"/>
      <c r="CI99" s="1356" t="s">
        <v>1286</v>
      </c>
      <c r="CJ99" s="1357"/>
      <c r="CK99" s="1356" t="s">
        <v>1286</v>
      </c>
      <c r="CL99" s="1357"/>
      <c r="CM99" s="1356" t="s">
        <v>1286</v>
      </c>
      <c r="CN99" s="1357"/>
      <c r="CO99" s="1356" t="s">
        <v>1286</v>
      </c>
      <c r="CP99" s="1357"/>
      <c r="CQ99" s="1356" t="s">
        <v>1286</v>
      </c>
      <c r="CR99" s="1357"/>
      <c r="CS99" s="1356" t="s">
        <v>1286</v>
      </c>
      <c r="CT99" s="1357"/>
      <c r="CU99" s="1356" t="s">
        <v>1286</v>
      </c>
      <c r="CV99" s="1357"/>
      <c r="CW99" s="1356" t="s">
        <v>1286</v>
      </c>
      <c r="CX99" s="1357"/>
      <c r="CY99" s="1356" t="s">
        <v>1286</v>
      </c>
      <c r="CZ99" s="1357"/>
      <c r="DA99" s="1356"/>
      <c r="DB99" s="1357"/>
      <c r="DC99" s="1356"/>
      <c r="DD99" s="1357"/>
      <c r="DE99" s="1356"/>
      <c r="DF99" s="1357"/>
      <c r="DG99" s="1356"/>
      <c r="DH99" s="1357"/>
      <c r="DI99" s="1356"/>
      <c r="DJ99" s="1357"/>
      <c r="DK99" s="1356"/>
      <c r="DL99" s="1357"/>
      <c r="DM99" s="1356"/>
      <c r="DN99" s="1357"/>
      <c r="DO99" s="1356"/>
      <c r="DP99" s="1357"/>
      <c r="DQ99" s="1356"/>
      <c r="DR99" s="1357"/>
      <c r="DS99" s="1356"/>
      <c r="DT99" s="1357"/>
      <c r="DU99" s="1356"/>
      <c r="DV99" s="1357"/>
      <c r="DW99" s="1356"/>
      <c r="DX99" s="1357"/>
      <c r="DY99" s="1356"/>
      <c r="DZ99" s="1357"/>
      <c r="EA99" s="1356"/>
      <c r="EB99" s="1357"/>
      <c r="EC99" s="1356"/>
      <c r="ED99" s="1357"/>
      <c r="EE99" s="1356"/>
      <c r="EF99" s="1357"/>
      <c r="EG99" s="1356"/>
      <c r="EH99" s="1357"/>
      <c r="EI99" s="1356"/>
      <c r="EJ99" s="1357"/>
      <c r="EK99" s="1356"/>
      <c r="EL99" s="1357"/>
      <c r="EM99" s="1356"/>
      <c r="EN99" s="1357"/>
      <c r="EO99" s="1356"/>
      <c r="EP99" s="1357"/>
      <c r="EQ99" s="1356"/>
      <c r="ER99" s="1357"/>
      <c r="ES99" s="1356"/>
      <c r="ET99" s="1357"/>
      <c r="EU99" s="1356"/>
      <c r="EV99" s="1357"/>
      <c r="EW99" s="1356"/>
      <c r="EX99" s="1357"/>
      <c r="EY99" s="1356"/>
      <c r="EZ99" s="1357"/>
      <c r="FA99" s="1356"/>
      <c r="FB99" s="1357"/>
      <c r="FC99" s="1356"/>
      <c r="FD99" s="1357"/>
      <c r="FE99" s="1356"/>
      <c r="FF99" s="1357"/>
      <c r="FG99" s="1356"/>
      <c r="FH99" s="1357"/>
      <c r="FI99" s="1356"/>
      <c r="FJ99" s="1357"/>
      <c r="FK99" s="1356"/>
      <c r="FL99" s="1357"/>
      <c r="FM99" s="1356"/>
      <c r="FN99" s="1357"/>
      <c r="FO99" s="1356"/>
      <c r="FP99" s="1357"/>
      <c r="FQ99" s="1356"/>
      <c r="FR99" s="1357"/>
      <c r="FS99" s="1356"/>
      <c r="FT99" s="1357"/>
      <c r="FU99" s="1356"/>
      <c r="FV99" s="1357"/>
      <c r="FW99" s="1356"/>
      <c r="FX99" s="1357"/>
      <c r="FY99" s="1356"/>
      <c r="FZ99" s="1357"/>
      <c r="GA99" s="1356"/>
      <c r="GB99" s="1357"/>
      <c r="GC99" s="1356"/>
      <c r="GD99" s="1357"/>
      <c r="GE99" s="1356"/>
      <c r="GF99" s="1357"/>
      <c r="GG99" s="1356"/>
      <c r="GH99" s="1357"/>
      <c r="GI99" s="1356"/>
      <c r="GJ99" s="1357"/>
      <c r="GK99" s="1356"/>
      <c r="GL99" s="1357"/>
      <c r="GM99" s="1356"/>
      <c r="GN99" s="1357"/>
      <c r="GO99" s="1356"/>
      <c r="GP99" s="1357"/>
      <c r="GQ99" s="1356"/>
      <c r="GR99" s="1357"/>
      <c r="GS99" s="1356"/>
      <c r="GT99" s="1357"/>
      <c r="GU99" s="1356"/>
      <c r="GV99" s="1357"/>
      <c r="GW99" s="1356"/>
      <c r="GX99" s="1357"/>
      <c r="GY99" s="1356"/>
      <c r="GZ99" s="1357"/>
    </row>
    <row r="100" spans="3:208">
      <c r="C100" s="1356" t="s">
        <v>1286</v>
      </c>
      <c r="D100" s="1357"/>
      <c r="E100" s="1356" t="s">
        <v>1286</v>
      </c>
      <c r="F100" s="1357"/>
      <c r="G100" s="1356" t="s">
        <v>1286</v>
      </c>
      <c r="H100" s="1357"/>
      <c r="I100" s="1356" t="s">
        <v>1286</v>
      </c>
      <c r="J100" s="1357"/>
      <c r="K100" s="1356" t="s">
        <v>1286</v>
      </c>
      <c r="L100" s="1357"/>
      <c r="M100" s="1356" t="s">
        <v>1286</v>
      </c>
      <c r="N100" s="1357"/>
      <c r="O100" s="1356" t="s">
        <v>1286</v>
      </c>
      <c r="P100" s="1357"/>
      <c r="Q100" s="1356" t="s">
        <v>1286</v>
      </c>
      <c r="R100" s="1357"/>
      <c r="S100" s="1356" t="s">
        <v>1286</v>
      </c>
      <c r="T100" s="1357"/>
      <c r="U100" s="1356" t="s">
        <v>1286</v>
      </c>
      <c r="V100" s="1357"/>
      <c r="W100" s="1356" t="s">
        <v>1286</v>
      </c>
      <c r="X100" s="1357"/>
      <c r="Y100" s="1356" t="s">
        <v>1286</v>
      </c>
      <c r="Z100" s="1357"/>
      <c r="AA100" s="1356" t="s">
        <v>1286</v>
      </c>
      <c r="AB100" s="1357"/>
      <c r="AC100" s="1356" t="s">
        <v>1286</v>
      </c>
      <c r="AD100" s="1357"/>
      <c r="AE100" s="1356" t="s">
        <v>1286</v>
      </c>
      <c r="AF100" s="1357"/>
      <c r="AG100" s="1356" t="s">
        <v>1286</v>
      </c>
      <c r="AH100" s="1357"/>
      <c r="AI100" s="1356" t="s">
        <v>1286</v>
      </c>
      <c r="AJ100" s="1357"/>
      <c r="AK100" s="1356" t="s">
        <v>1286</v>
      </c>
      <c r="AL100" s="1357"/>
      <c r="AM100" s="1356" t="s">
        <v>1286</v>
      </c>
      <c r="AN100" s="1357"/>
      <c r="AO100" s="1356" t="s">
        <v>1286</v>
      </c>
      <c r="AP100" s="1357"/>
      <c r="AQ100" s="1356" t="s">
        <v>1286</v>
      </c>
      <c r="AR100" s="1357"/>
      <c r="AS100" s="1356" t="s">
        <v>1286</v>
      </c>
      <c r="AT100" s="1357"/>
      <c r="AU100" s="1356" t="s">
        <v>1286</v>
      </c>
      <c r="AV100" s="1357"/>
      <c r="AW100" s="1356" t="s">
        <v>1286</v>
      </c>
      <c r="AX100" s="1357"/>
      <c r="AY100" s="1356" t="s">
        <v>1286</v>
      </c>
      <c r="AZ100" s="1357"/>
      <c r="BA100" s="1356" t="s">
        <v>1286</v>
      </c>
      <c r="BB100" s="1357"/>
      <c r="BC100" s="1356" t="s">
        <v>1286</v>
      </c>
      <c r="BD100" s="1357"/>
      <c r="BE100" s="1356" t="s">
        <v>1286</v>
      </c>
      <c r="BF100" s="1357"/>
      <c r="BG100" s="1356" t="s">
        <v>1286</v>
      </c>
      <c r="BH100" s="1357"/>
      <c r="BI100" s="1356" t="s">
        <v>1286</v>
      </c>
      <c r="BJ100" s="1357"/>
      <c r="BK100" s="1356" t="s">
        <v>1286</v>
      </c>
      <c r="BL100" s="1357"/>
      <c r="BM100" s="1356" t="s">
        <v>1286</v>
      </c>
      <c r="BN100" s="1357"/>
      <c r="BO100" s="1356" t="s">
        <v>1286</v>
      </c>
      <c r="BP100" s="1357"/>
      <c r="BQ100" s="1356" t="s">
        <v>1286</v>
      </c>
      <c r="BR100" s="1357"/>
      <c r="BS100" s="1356" t="s">
        <v>1286</v>
      </c>
      <c r="BT100" s="1357"/>
      <c r="BU100" s="1356" t="s">
        <v>1286</v>
      </c>
      <c r="BV100" s="1357"/>
      <c r="BW100" s="1356" t="s">
        <v>1286</v>
      </c>
      <c r="BX100" s="1357"/>
      <c r="BY100" s="1356" t="s">
        <v>1286</v>
      </c>
      <c r="BZ100" s="1357"/>
      <c r="CA100" s="1356" t="s">
        <v>1286</v>
      </c>
      <c r="CB100" s="1357"/>
      <c r="CC100" s="1356" t="s">
        <v>1286</v>
      </c>
      <c r="CD100" s="1357"/>
      <c r="CE100" s="1356" t="s">
        <v>1286</v>
      </c>
      <c r="CF100" s="1357"/>
      <c r="CG100" s="1356" t="s">
        <v>1286</v>
      </c>
      <c r="CH100" s="1357"/>
      <c r="CI100" s="1356" t="s">
        <v>1286</v>
      </c>
      <c r="CJ100" s="1357"/>
      <c r="CK100" s="1356" t="s">
        <v>1286</v>
      </c>
      <c r="CL100" s="1357"/>
      <c r="CM100" s="1356" t="s">
        <v>1286</v>
      </c>
      <c r="CN100" s="1357"/>
      <c r="CO100" s="1356" t="s">
        <v>1286</v>
      </c>
      <c r="CP100" s="1357"/>
      <c r="CQ100" s="1356" t="s">
        <v>1286</v>
      </c>
      <c r="CR100" s="1357"/>
      <c r="CS100" s="1356" t="s">
        <v>1286</v>
      </c>
      <c r="CT100" s="1357"/>
      <c r="CU100" s="1356" t="s">
        <v>1286</v>
      </c>
      <c r="CV100" s="1357"/>
      <c r="CW100" s="1356" t="s">
        <v>1286</v>
      </c>
      <c r="CX100" s="1357"/>
      <c r="CY100" s="1356" t="s">
        <v>1286</v>
      </c>
      <c r="CZ100" s="1357"/>
      <c r="DA100" s="1356"/>
      <c r="DB100" s="1357"/>
      <c r="DC100" s="1356"/>
      <c r="DD100" s="1357"/>
      <c r="DE100" s="1356"/>
      <c r="DF100" s="1357"/>
      <c r="DG100" s="1356"/>
      <c r="DH100" s="1357"/>
      <c r="DI100" s="1356"/>
      <c r="DJ100" s="1357"/>
      <c r="DK100" s="1356"/>
      <c r="DL100" s="1357"/>
      <c r="DM100" s="1356"/>
      <c r="DN100" s="1357"/>
      <c r="DO100" s="1356"/>
      <c r="DP100" s="1357"/>
      <c r="DQ100" s="1356"/>
      <c r="DR100" s="1357"/>
      <c r="DS100" s="1356"/>
      <c r="DT100" s="1357"/>
      <c r="DU100" s="1356"/>
      <c r="DV100" s="1357"/>
      <c r="DW100" s="1356"/>
      <c r="DX100" s="1357"/>
      <c r="DY100" s="1356"/>
      <c r="DZ100" s="1357"/>
      <c r="EA100" s="1356"/>
      <c r="EB100" s="1357"/>
      <c r="EC100" s="1356"/>
      <c r="ED100" s="1357"/>
      <c r="EE100" s="1356"/>
      <c r="EF100" s="1357"/>
      <c r="EG100" s="1356"/>
      <c r="EH100" s="1357"/>
      <c r="EI100" s="1356"/>
      <c r="EJ100" s="1357"/>
      <c r="EK100" s="1356"/>
      <c r="EL100" s="1357"/>
      <c r="EM100" s="1356"/>
      <c r="EN100" s="1357"/>
      <c r="EO100" s="1356"/>
      <c r="EP100" s="1357"/>
      <c r="EQ100" s="1356"/>
      <c r="ER100" s="1357"/>
      <c r="ES100" s="1356"/>
      <c r="ET100" s="1357"/>
      <c r="EU100" s="1356"/>
      <c r="EV100" s="1357"/>
      <c r="EW100" s="1356"/>
      <c r="EX100" s="1357"/>
      <c r="EY100" s="1356"/>
      <c r="EZ100" s="1357"/>
      <c r="FA100" s="1356"/>
      <c r="FB100" s="1357"/>
      <c r="FC100" s="1356"/>
      <c r="FD100" s="1357"/>
      <c r="FE100" s="1356"/>
      <c r="FF100" s="1357"/>
      <c r="FG100" s="1356"/>
      <c r="FH100" s="1357"/>
      <c r="FI100" s="1356"/>
      <c r="FJ100" s="1357"/>
      <c r="FK100" s="1356"/>
      <c r="FL100" s="1357"/>
      <c r="FM100" s="1356"/>
      <c r="FN100" s="1357"/>
      <c r="FO100" s="1356"/>
      <c r="FP100" s="1357"/>
      <c r="FQ100" s="1356"/>
      <c r="FR100" s="1357"/>
      <c r="FS100" s="1356"/>
      <c r="FT100" s="1357"/>
      <c r="FU100" s="1356"/>
      <c r="FV100" s="1357"/>
      <c r="FW100" s="1356"/>
      <c r="FX100" s="1357"/>
      <c r="FY100" s="1356"/>
      <c r="FZ100" s="1357"/>
      <c r="GA100" s="1356"/>
      <c r="GB100" s="1357"/>
      <c r="GC100" s="1356"/>
      <c r="GD100" s="1357"/>
      <c r="GE100" s="1356"/>
      <c r="GF100" s="1357"/>
      <c r="GG100" s="1356"/>
      <c r="GH100" s="1357"/>
      <c r="GI100" s="1356"/>
      <c r="GJ100" s="1357"/>
      <c r="GK100" s="1356"/>
      <c r="GL100" s="1357"/>
      <c r="GM100" s="1356"/>
      <c r="GN100" s="1357"/>
      <c r="GO100" s="1356"/>
      <c r="GP100" s="1357"/>
      <c r="GQ100" s="1356"/>
      <c r="GR100" s="1357"/>
      <c r="GS100" s="1356"/>
      <c r="GT100" s="1357"/>
      <c r="GU100" s="1356"/>
      <c r="GV100" s="1357"/>
      <c r="GW100" s="1356"/>
      <c r="GX100" s="1357"/>
      <c r="GY100" s="1356"/>
      <c r="GZ100" s="1357"/>
    </row>
    <row r="101" spans="3:208">
      <c r="C101" s="1356" t="s">
        <v>1286</v>
      </c>
      <c r="D101" s="1357"/>
      <c r="E101" s="1356" t="s">
        <v>1286</v>
      </c>
      <c r="F101" s="1357"/>
      <c r="G101" s="1356" t="s">
        <v>1286</v>
      </c>
      <c r="H101" s="1357"/>
      <c r="I101" s="1356" t="s">
        <v>1286</v>
      </c>
      <c r="J101" s="1357"/>
      <c r="K101" s="1356" t="s">
        <v>1286</v>
      </c>
      <c r="L101" s="1357"/>
      <c r="M101" s="1356" t="s">
        <v>1286</v>
      </c>
      <c r="N101" s="1357"/>
      <c r="O101" s="1356" t="s">
        <v>1286</v>
      </c>
      <c r="P101" s="1357"/>
      <c r="Q101" s="1356" t="s">
        <v>1286</v>
      </c>
      <c r="R101" s="1357"/>
      <c r="S101" s="1356" t="s">
        <v>1286</v>
      </c>
      <c r="T101" s="1357"/>
      <c r="U101" s="1356" t="s">
        <v>1286</v>
      </c>
      <c r="V101" s="1357"/>
      <c r="W101" s="1356" t="s">
        <v>1286</v>
      </c>
      <c r="X101" s="1357"/>
      <c r="Y101" s="1356" t="s">
        <v>1286</v>
      </c>
      <c r="Z101" s="1357"/>
      <c r="AA101" s="1356" t="s">
        <v>1286</v>
      </c>
      <c r="AB101" s="1357"/>
      <c r="AC101" s="1356" t="s">
        <v>1286</v>
      </c>
      <c r="AD101" s="1357"/>
      <c r="AE101" s="1356" t="s">
        <v>1286</v>
      </c>
      <c r="AF101" s="1357"/>
      <c r="AG101" s="1356" t="s">
        <v>1286</v>
      </c>
      <c r="AH101" s="1357"/>
      <c r="AI101" s="1356" t="s">
        <v>1286</v>
      </c>
      <c r="AJ101" s="1357"/>
      <c r="AK101" s="1356" t="s">
        <v>1286</v>
      </c>
      <c r="AL101" s="1357"/>
      <c r="AM101" s="1356" t="s">
        <v>1286</v>
      </c>
      <c r="AN101" s="1357"/>
      <c r="AO101" s="1356" t="s">
        <v>1286</v>
      </c>
      <c r="AP101" s="1357"/>
      <c r="AQ101" s="1356" t="s">
        <v>1286</v>
      </c>
      <c r="AR101" s="1357"/>
      <c r="AS101" s="1356" t="s">
        <v>1286</v>
      </c>
      <c r="AT101" s="1357"/>
      <c r="AU101" s="1356" t="s">
        <v>1286</v>
      </c>
      <c r="AV101" s="1357"/>
      <c r="AW101" s="1356" t="s">
        <v>1286</v>
      </c>
      <c r="AX101" s="1357"/>
      <c r="AY101" s="1356" t="s">
        <v>1286</v>
      </c>
      <c r="AZ101" s="1357"/>
      <c r="BA101" s="1356" t="s">
        <v>1286</v>
      </c>
      <c r="BB101" s="1357"/>
      <c r="BC101" s="1356" t="s">
        <v>1286</v>
      </c>
      <c r="BD101" s="1357"/>
      <c r="BE101" s="1356" t="s">
        <v>1286</v>
      </c>
      <c r="BF101" s="1357"/>
      <c r="BG101" s="1356" t="s">
        <v>1286</v>
      </c>
      <c r="BH101" s="1357"/>
      <c r="BI101" s="1356" t="s">
        <v>1286</v>
      </c>
      <c r="BJ101" s="1357"/>
      <c r="BK101" s="1356" t="s">
        <v>1286</v>
      </c>
      <c r="BL101" s="1357"/>
      <c r="BM101" s="1356" t="s">
        <v>1286</v>
      </c>
      <c r="BN101" s="1357"/>
      <c r="BO101" s="1356" t="s">
        <v>1286</v>
      </c>
      <c r="BP101" s="1357"/>
      <c r="BQ101" s="1356" t="s">
        <v>1286</v>
      </c>
      <c r="BR101" s="1357"/>
      <c r="BS101" s="1356" t="s">
        <v>1286</v>
      </c>
      <c r="BT101" s="1357"/>
      <c r="BU101" s="1356" t="s">
        <v>1286</v>
      </c>
      <c r="BV101" s="1357"/>
      <c r="BW101" s="1356" t="s">
        <v>1286</v>
      </c>
      <c r="BX101" s="1357"/>
      <c r="BY101" s="1356" t="s">
        <v>1286</v>
      </c>
      <c r="BZ101" s="1357"/>
      <c r="CA101" s="1356" t="s">
        <v>1286</v>
      </c>
      <c r="CB101" s="1357"/>
      <c r="CC101" s="1356" t="s">
        <v>1286</v>
      </c>
      <c r="CD101" s="1357"/>
      <c r="CE101" s="1356" t="s">
        <v>1286</v>
      </c>
      <c r="CF101" s="1357"/>
      <c r="CG101" s="1356" t="s">
        <v>1286</v>
      </c>
      <c r="CH101" s="1357"/>
      <c r="CI101" s="1356" t="s">
        <v>1286</v>
      </c>
      <c r="CJ101" s="1357"/>
      <c r="CK101" s="1356" t="s">
        <v>1286</v>
      </c>
      <c r="CL101" s="1357"/>
      <c r="CM101" s="1356" t="s">
        <v>1286</v>
      </c>
      <c r="CN101" s="1357"/>
      <c r="CO101" s="1356" t="s">
        <v>1286</v>
      </c>
      <c r="CP101" s="1357"/>
      <c r="CQ101" s="1356" t="s">
        <v>1286</v>
      </c>
      <c r="CR101" s="1357"/>
      <c r="CS101" s="1356" t="s">
        <v>1286</v>
      </c>
      <c r="CT101" s="1357"/>
      <c r="CU101" s="1356" t="s">
        <v>1286</v>
      </c>
      <c r="CV101" s="1357"/>
      <c r="CW101" s="1356" t="s">
        <v>1286</v>
      </c>
      <c r="CX101" s="1357"/>
      <c r="CY101" s="1356" t="s">
        <v>1286</v>
      </c>
      <c r="CZ101" s="1357"/>
      <c r="DA101" s="1356"/>
      <c r="DB101" s="1357"/>
      <c r="DC101" s="1356"/>
      <c r="DD101" s="1357"/>
      <c r="DE101" s="1356"/>
      <c r="DF101" s="1357"/>
      <c r="DG101" s="1356"/>
      <c r="DH101" s="1357"/>
      <c r="DI101" s="1356"/>
      <c r="DJ101" s="1357"/>
      <c r="DK101" s="1356"/>
      <c r="DL101" s="1357"/>
      <c r="DM101" s="1356"/>
      <c r="DN101" s="1357"/>
      <c r="DO101" s="1356"/>
      <c r="DP101" s="1357"/>
      <c r="DQ101" s="1356"/>
      <c r="DR101" s="1357"/>
      <c r="DS101" s="1356"/>
      <c r="DT101" s="1357"/>
      <c r="DU101" s="1356"/>
      <c r="DV101" s="1357"/>
      <c r="DW101" s="1356"/>
      <c r="DX101" s="1357"/>
      <c r="DY101" s="1356"/>
      <c r="DZ101" s="1357"/>
      <c r="EA101" s="1356"/>
      <c r="EB101" s="1357"/>
      <c r="EC101" s="1356"/>
      <c r="ED101" s="1357"/>
      <c r="EE101" s="1356"/>
      <c r="EF101" s="1357"/>
      <c r="EG101" s="1356"/>
      <c r="EH101" s="1357"/>
      <c r="EI101" s="1356"/>
      <c r="EJ101" s="1357"/>
      <c r="EK101" s="1356"/>
      <c r="EL101" s="1357"/>
      <c r="EM101" s="1356"/>
      <c r="EN101" s="1357"/>
      <c r="EO101" s="1356"/>
      <c r="EP101" s="1357"/>
      <c r="EQ101" s="1356"/>
      <c r="ER101" s="1357"/>
      <c r="ES101" s="1356"/>
      <c r="ET101" s="1357"/>
      <c r="EU101" s="1356"/>
      <c r="EV101" s="1357"/>
      <c r="EW101" s="1356"/>
      <c r="EX101" s="1357"/>
      <c r="EY101" s="1356"/>
      <c r="EZ101" s="1357"/>
      <c r="FA101" s="1356"/>
      <c r="FB101" s="1357"/>
      <c r="FC101" s="1356"/>
      <c r="FD101" s="1357"/>
      <c r="FE101" s="1356"/>
      <c r="FF101" s="1357"/>
      <c r="FG101" s="1356"/>
      <c r="FH101" s="1357"/>
      <c r="FI101" s="1356"/>
      <c r="FJ101" s="1357"/>
      <c r="FK101" s="1356"/>
      <c r="FL101" s="1357"/>
      <c r="FM101" s="1356"/>
      <c r="FN101" s="1357"/>
      <c r="FO101" s="1356"/>
      <c r="FP101" s="1357"/>
      <c r="FQ101" s="1356"/>
      <c r="FR101" s="1357"/>
      <c r="FS101" s="1356"/>
      <c r="FT101" s="1357"/>
      <c r="FU101" s="1356"/>
      <c r="FV101" s="1357"/>
      <c r="FW101" s="1356"/>
      <c r="FX101" s="1357"/>
      <c r="FY101" s="1356"/>
      <c r="FZ101" s="1357"/>
      <c r="GA101" s="1356"/>
      <c r="GB101" s="1357"/>
      <c r="GC101" s="1356"/>
      <c r="GD101" s="1357"/>
      <c r="GE101" s="1356"/>
      <c r="GF101" s="1357"/>
      <c r="GG101" s="1356"/>
      <c r="GH101" s="1357"/>
      <c r="GI101" s="1356"/>
      <c r="GJ101" s="1357"/>
      <c r="GK101" s="1356"/>
      <c r="GL101" s="1357"/>
      <c r="GM101" s="1356"/>
      <c r="GN101" s="1357"/>
      <c r="GO101" s="1356"/>
      <c r="GP101" s="1357"/>
      <c r="GQ101" s="1356"/>
      <c r="GR101" s="1357"/>
      <c r="GS101" s="1356"/>
      <c r="GT101" s="1357"/>
      <c r="GU101" s="1356"/>
      <c r="GV101" s="1357"/>
      <c r="GW101" s="1356"/>
      <c r="GX101" s="1357"/>
      <c r="GY101" s="1356"/>
      <c r="GZ101" s="1357"/>
    </row>
    <row r="102" spans="3:208">
      <c r="C102" s="1356" t="s">
        <v>1286</v>
      </c>
      <c r="D102" s="1357"/>
      <c r="E102" s="1356" t="s">
        <v>1286</v>
      </c>
      <c r="F102" s="1357"/>
      <c r="G102" s="1356" t="s">
        <v>1286</v>
      </c>
      <c r="H102" s="1357"/>
      <c r="I102" s="1356" t="s">
        <v>1286</v>
      </c>
      <c r="J102" s="1357"/>
      <c r="K102" s="1356" t="s">
        <v>1286</v>
      </c>
      <c r="L102" s="1357"/>
      <c r="M102" s="1356" t="s">
        <v>1286</v>
      </c>
      <c r="N102" s="1357"/>
      <c r="O102" s="1356" t="s">
        <v>1286</v>
      </c>
      <c r="P102" s="1357"/>
      <c r="Q102" s="1356" t="s">
        <v>1286</v>
      </c>
      <c r="R102" s="1357"/>
      <c r="S102" s="1356" t="s">
        <v>1286</v>
      </c>
      <c r="T102" s="1357"/>
      <c r="U102" s="1356" t="s">
        <v>1286</v>
      </c>
      <c r="V102" s="1357"/>
      <c r="W102" s="1356" t="s">
        <v>1286</v>
      </c>
      <c r="X102" s="1357"/>
      <c r="Y102" s="1356" t="s">
        <v>1286</v>
      </c>
      <c r="Z102" s="1357"/>
      <c r="AA102" s="1356" t="s">
        <v>1286</v>
      </c>
      <c r="AB102" s="1357"/>
      <c r="AC102" s="1356" t="s">
        <v>1286</v>
      </c>
      <c r="AD102" s="1357"/>
      <c r="AE102" s="1356" t="s">
        <v>1286</v>
      </c>
      <c r="AF102" s="1357"/>
      <c r="AG102" s="1356" t="s">
        <v>1286</v>
      </c>
      <c r="AH102" s="1357"/>
      <c r="AI102" s="1356" t="s">
        <v>1286</v>
      </c>
      <c r="AJ102" s="1357"/>
      <c r="AK102" s="1356" t="s">
        <v>1286</v>
      </c>
      <c r="AL102" s="1357"/>
      <c r="AM102" s="1356" t="s">
        <v>1286</v>
      </c>
      <c r="AN102" s="1357"/>
      <c r="AO102" s="1356" t="s">
        <v>1286</v>
      </c>
      <c r="AP102" s="1357"/>
      <c r="AQ102" s="1356" t="s">
        <v>1286</v>
      </c>
      <c r="AR102" s="1357"/>
      <c r="AS102" s="1356" t="s">
        <v>1286</v>
      </c>
      <c r="AT102" s="1357"/>
      <c r="AU102" s="1356" t="s">
        <v>1286</v>
      </c>
      <c r="AV102" s="1357"/>
      <c r="AW102" s="1356" t="s">
        <v>1286</v>
      </c>
      <c r="AX102" s="1357"/>
      <c r="AY102" s="1356" t="s">
        <v>1286</v>
      </c>
      <c r="AZ102" s="1357"/>
      <c r="BA102" s="1356" t="s">
        <v>1286</v>
      </c>
      <c r="BB102" s="1357"/>
      <c r="BC102" s="1356" t="s">
        <v>1286</v>
      </c>
      <c r="BD102" s="1357"/>
      <c r="BE102" s="1356" t="s">
        <v>1286</v>
      </c>
      <c r="BF102" s="1357"/>
      <c r="BG102" s="1356" t="s">
        <v>1286</v>
      </c>
      <c r="BH102" s="1357"/>
      <c r="BI102" s="1356" t="s">
        <v>1286</v>
      </c>
      <c r="BJ102" s="1357"/>
      <c r="BK102" s="1356" t="s">
        <v>1286</v>
      </c>
      <c r="BL102" s="1357"/>
      <c r="BM102" s="1356" t="s">
        <v>1286</v>
      </c>
      <c r="BN102" s="1357"/>
      <c r="BO102" s="1356" t="s">
        <v>1286</v>
      </c>
      <c r="BP102" s="1357"/>
      <c r="BQ102" s="1356" t="s">
        <v>1286</v>
      </c>
      <c r="BR102" s="1357"/>
      <c r="BS102" s="1356" t="s">
        <v>1286</v>
      </c>
      <c r="BT102" s="1357"/>
      <c r="BU102" s="1356" t="s">
        <v>1286</v>
      </c>
      <c r="BV102" s="1357"/>
      <c r="BW102" s="1356" t="s">
        <v>1286</v>
      </c>
      <c r="BX102" s="1357"/>
      <c r="BY102" s="1356" t="s">
        <v>1286</v>
      </c>
      <c r="BZ102" s="1357"/>
      <c r="CA102" s="1356" t="s">
        <v>1286</v>
      </c>
      <c r="CB102" s="1357"/>
      <c r="CC102" s="1356" t="s">
        <v>1286</v>
      </c>
      <c r="CD102" s="1357"/>
      <c r="CE102" s="1356" t="s">
        <v>1286</v>
      </c>
      <c r="CF102" s="1357"/>
      <c r="CG102" s="1356" t="s">
        <v>1286</v>
      </c>
      <c r="CH102" s="1357"/>
      <c r="CI102" s="1356" t="s">
        <v>1286</v>
      </c>
      <c r="CJ102" s="1357"/>
      <c r="CK102" s="1356" t="s">
        <v>1286</v>
      </c>
      <c r="CL102" s="1357"/>
      <c r="CM102" s="1356" t="s">
        <v>1286</v>
      </c>
      <c r="CN102" s="1357"/>
      <c r="CO102" s="1356" t="s">
        <v>1286</v>
      </c>
      <c r="CP102" s="1357"/>
      <c r="CQ102" s="1356" t="s">
        <v>1286</v>
      </c>
      <c r="CR102" s="1357"/>
      <c r="CS102" s="1356" t="s">
        <v>1286</v>
      </c>
      <c r="CT102" s="1357"/>
      <c r="CU102" s="1356" t="s">
        <v>1286</v>
      </c>
      <c r="CV102" s="1357"/>
      <c r="CW102" s="1356" t="s">
        <v>1286</v>
      </c>
      <c r="CX102" s="1357"/>
      <c r="CY102" s="1356" t="s">
        <v>1286</v>
      </c>
      <c r="CZ102" s="1357"/>
      <c r="DA102" s="1356"/>
      <c r="DB102" s="1357"/>
      <c r="DC102" s="1356"/>
      <c r="DD102" s="1357"/>
      <c r="DE102" s="1356"/>
      <c r="DF102" s="1357"/>
      <c r="DG102" s="1356"/>
      <c r="DH102" s="1357"/>
      <c r="DI102" s="1356"/>
      <c r="DJ102" s="1357"/>
      <c r="DK102" s="1356"/>
      <c r="DL102" s="1357"/>
      <c r="DM102" s="1356"/>
      <c r="DN102" s="1357"/>
      <c r="DO102" s="1356"/>
      <c r="DP102" s="1357"/>
      <c r="DQ102" s="1356"/>
      <c r="DR102" s="1357"/>
      <c r="DS102" s="1356"/>
      <c r="DT102" s="1357"/>
      <c r="DU102" s="1356"/>
      <c r="DV102" s="1357"/>
      <c r="DW102" s="1356"/>
      <c r="DX102" s="1357"/>
      <c r="DY102" s="1356"/>
      <c r="DZ102" s="1357"/>
      <c r="EA102" s="1356"/>
      <c r="EB102" s="1357"/>
      <c r="EC102" s="1356"/>
      <c r="ED102" s="1357"/>
      <c r="EE102" s="1356"/>
      <c r="EF102" s="1357"/>
      <c r="EG102" s="1356"/>
      <c r="EH102" s="1357"/>
      <c r="EI102" s="1356"/>
      <c r="EJ102" s="1357"/>
      <c r="EK102" s="1356"/>
      <c r="EL102" s="1357"/>
      <c r="EM102" s="1356"/>
      <c r="EN102" s="1357"/>
      <c r="EO102" s="1356"/>
      <c r="EP102" s="1357"/>
      <c r="EQ102" s="1356"/>
      <c r="ER102" s="1357"/>
      <c r="ES102" s="1356"/>
      <c r="ET102" s="1357"/>
      <c r="EU102" s="1356"/>
      <c r="EV102" s="1357"/>
      <c r="EW102" s="1356"/>
      <c r="EX102" s="1357"/>
      <c r="EY102" s="1356"/>
      <c r="EZ102" s="1357"/>
      <c r="FA102" s="1356"/>
      <c r="FB102" s="1357"/>
      <c r="FC102" s="1356"/>
      <c r="FD102" s="1357"/>
      <c r="FE102" s="1356"/>
      <c r="FF102" s="1357"/>
      <c r="FG102" s="1356"/>
      <c r="FH102" s="1357"/>
      <c r="FI102" s="1356"/>
      <c r="FJ102" s="1357"/>
      <c r="FK102" s="1356"/>
      <c r="FL102" s="1357"/>
      <c r="FM102" s="1356"/>
      <c r="FN102" s="1357"/>
      <c r="FO102" s="1356"/>
      <c r="FP102" s="1357"/>
      <c r="FQ102" s="1356"/>
      <c r="FR102" s="1357"/>
      <c r="FS102" s="1356"/>
      <c r="FT102" s="1357"/>
      <c r="FU102" s="1356"/>
      <c r="FV102" s="1357"/>
      <c r="FW102" s="1356"/>
      <c r="FX102" s="1357"/>
      <c r="FY102" s="1356"/>
      <c r="FZ102" s="1357"/>
      <c r="GA102" s="1356"/>
      <c r="GB102" s="1357"/>
      <c r="GC102" s="1356"/>
      <c r="GD102" s="1357"/>
      <c r="GE102" s="1356"/>
      <c r="GF102" s="1357"/>
      <c r="GG102" s="1356"/>
      <c r="GH102" s="1357"/>
      <c r="GI102" s="1356"/>
      <c r="GJ102" s="1357"/>
      <c r="GK102" s="1356"/>
      <c r="GL102" s="1357"/>
      <c r="GM102" s="1356"/>
      <c r="GN102" s="1357"/>
      <c r="GO102" s="1356"/>
      <c r="GP102" s="1357"/>
      <c r="GQ102" s="1356"/>
      <c r="GR102" s="1357"/>
      <c r="GS102" s="1356"/>
      <c r="GT102" s="1357"/>
      <c r="GU102" s="1356"/>
      <c r="GV102" s="1357"/>
      <c r="GW102" s="1356"/>
      <c r="GX102" s="1357"/>
      <c r="GY102" s="1356"/>
      <c r="GZ102" s="1357"/>
    </row>
    <row r="103" spans="3:208">
      <c r="C103" s="1356" t="s">
        <v>1286</v>
      </c>
      <c r="D103" s="1357"/>
      <c r="E103" s="1356" t="s">
        <v>1286</v>
      </c>
      <c r="F103" s="1357"/>
      <c r="G103" s="1356" t="s">
        <v>1286</v>
      </c>
      <c r="H103" s="1357"/>
      <c r="I103" s="1356" t="s">
        <v>1286</v>
      </c>
      <c r="J103" s="1357"/>
      <c r="K103" s="1356" t="s">
        <v>1286</v>
      </c>
      <c r="L103" s="1357"/>
      <c r="M103" s="1356" t="s">
        <v>1286</v>
      </c>
      <c r="N103" s="1357"/>
      <c r="O103" s="1356" t="s">
        <v>1286</v>
      </c>
      <c r="P103" s="1357"/>
      <c r="Q103" s="1356" t="s">
        <v>1286</v>
      </c>
      <c r="R103" s="1357"/>
      <c r="S103" s="1356" t="s">
        <v>1286</v>
      </c>
      <c r="T103" s="1357"/>
      <c r="U103" s="1356" t="s">
        <v>1286</v>
      </c>
      <c r="V103" s="1357"/>
      <c r="W103" s="1356" t="s">
        <v>1286</v>
      </c>
      <c r="X103" s="1357"/>
      <c r="Y103" s="1356" t="s">
        <v>1286</v>
      </c>
      <c r="Z103" s="1357"/>
      <c r="AA103" s="1356" t="s">
        <v>1286</v>
      </c>
      <c r="AB103" s="1357"/>
      <c r="AC103" s="1356" t="s">
        <v>1286</v>
      </c>
      <c r="AD103" s="1357"/>
      <c r="AE103" s="1356" t="s">
        <v>1286</v>
      </c>
      <c r="AF103" s="1357"/>
      <c r="AG103" s="1356" t="s">
        <v>1286</v>
      </c>
      <c r="AH103" s="1357"/>
      <c r="AI103" s="1356" t="s">
        <v>1286</v>
      </c>
      <c r="AJ103" s="1357"/>
      <c r="AK103" s="1356" t="s">
        <v>1286</v>
      </c>
      <c r="AL103" s="1357"/>
      <c r="AM103" s="1356" t="s">
        <v>1286</v>
      </c>
      <c r="AN103" s="1357"/>
      <c r="AO103" s="1356" t="s">
        <v>1286</v>
      </c>
      <c r="AP103" s="1357"/>
      <c r="AQ103" s="1356" t="s">
        <v>1286</v>
      </c>
      <c r="AR103" s="1357"/>
      <c r="AS103" s="1356" t="s">
        <v>1286</v>
      </c>
      <c r="AT103" s="1357"/>
      <c r="AU103" s="1356" t="s">
        <v>1286</v>
      </c>
      <c r="AV103" s="1357"/>
      <c r="AW103" s="1356" t="s">
        <v>1286</v>
      </c>
      <c r="AX103" s="1357"/>
      <c r="AY103" s="1356" t="s">
        <v>1286</v>
      </c>
      <c r="AZ103" s="1357"/>
      <c r="BA103" s="1356" t="s">
        <v>1286</v>
      </c>
      <c r="BB103" s="1357"/>
      <c r="BC103" s="1356" t="s">
        <v>1286</v>
      </c>
      <c r="BD103" s="1357"/>
      <c r="BE103" s="1356" t="s">
        <v>1286</v>
      </c>
      <c r="BF103" s="1357"/>
      <c r="BG103" s="1356" t="s">
        <v>1286</v>
      </c>
      <c r="BH103" s="1357"/>
      <c r="BI103" s="1356" t="s">
        <v>1286</v>
      </c>
      <c r="BJ103" s="1357"/>
      <c r="BK103" s="1356" t="s">
        <v>1286</v>
      </c>
      <c r="BL103" s="1357"/>
      <c r="BM103" s="1356" t="s">
        <v>1286</v>
      </c>
      <c r="BN103" s="1357"/>
      <c r="BO103" s="1356" t="s">
        <v>1286</v>
      </c>
      <c r="BP103" s="1357"/>
      <c r="BQ103" s="1356" t="s">
        <v>1286</v>
      </c>
      <c r="BR103" s="1357"/>
      <c r="BS103" s="1356" t="s">
        <v>1286</v>
      </c>
      <c r="BT103" s="1357"/>
      <c r="BU103" s="1356" t="s">
        <v>1286</v>
      </c>
      <c r="BV103" s="1357"/>
      <c r="BW103" s="1356" t="s">
        <v>1286</v>
      </c>
      <c r="BX103" s="1357"/>
      <c r="BY103" s="1356" t="s">
        <v>1286</v>
      </c>
      <c r="BZ103" s="1357"/>
      <c r="CA103" s="1356" t="s">
        <v>1286</v>
      </c>
      <c r="CB103" s="1357"/>
      <c r="CC103" s="1356" t="s">
        <v>1286</v>
      </c>
      <c r="CD103" s="1357"/>
      <c r="CE103" s="1356" t="s">
        <v>1286</v>
      </c>
      <c r="CF103" s="1357"/>
      <c r="CG103" s="1356" t="s">
        <v>1286</v>
      </c>
      <c r="CH103" s="1357"/>
      <c r="CI103" s="1356" t="s">
        <v>1286</v>
      </c>
      <c r="CJ103" s="1357"/>
      <c r="CK103" s="1356" t="s">
        <v>1286</v>
      </c>
      <c r="CL103" s="1357"/>
      <c r="CM103" s="1356" t="s">
        <v>1286</v>
      </c>
      <c r="CN103" s="1357"/>
      <c r="CO103" s="1356" t="s">
        <v>1286</v>
      </c>
      <c r="CP103" s="1357"/>
      <c r="CQ103" s="1356" t="s">
        <v>1286</v>
      </c>
      <c r="CR103" s="1357"/>
      <c r="CS103" s="1356" t="s">
        <v>1286</v>
      </c>
      <c r="CT103" s="1357"/>
      <c r="CU103" s="1356" t="s">
        <v>1286</v>
      </c>
      <c r="CV103" s="1357"/>
      <c r="CW103" s="1356" t="s">
        <v>1286</v>
      </c>
      <c r="CX103" s="1357"/>
      <c r="CY103" s="1356" t="s">
        <v>1286</v>
      </c>
      <c r="CZ103" s="1357"/>
      <c r="DA103" s="1356"/>
      <c r="DB103" s="1357"/>
      <c r="DC103" s="1356"/>
      <c r="DD103" s="1357"/>
      <c r="DE103" s="1356"/>
      <c r="DF103" s="1357"/>
      <c r="DG103" s="1356"/>
      <c r="DH103" s="1357"/>
      <c r="DI103" s="1356"/>
      <c r="DJ103" s="1357"/>
      <c r="DK103" s="1356"/>
      <c r="DL103" s="1357"/>
      <c r="DM103" s="1356"/>
      <c r="DN103" s="1357"/>
      <c r="DO103" s="1356"/>
      <c r="DP103" s="1357"/>
      <c r="DQ103" s="1356"/>
      <c r="DR103" s="1357"/>
      <c r="DS103" s="1356"/>
      <c r="DT103" s="1357"/>
      <c r="DU103" s="1356"/>
      <c r="DV103" s="1357"/>
      <c r="DW103" s="1356"/>
      <c r="DX103" s="1357"/>
      <c r="DY103" s="1356"/>
      <c r="DZ103" s="1357"/>
      <c r="EA103" s="1356"/>
      <c r="EB103" s="1357"/>
      <c r="EC103" s="1356"/>
      <c r="ED103" s="1357"/>
      <c r="EE103" s="1356"/>
      <c r="EF103" s="1357"/>
      <c r="EG103" s="1356"/>
      <c r="EH103" s="1357"/>
      <c r="EI103" s="1356"/>
      <c r="EJ103" s="1357"/>
      <c r="EK103" s="1356"/>
      <c r="EL103" s="1357"/>
      <c r="EM103" s="1356"/>
      <c r="EN103" s="1357"/>
      <c r="EO103" s="1356"/>
      <c r="EP103" s="1357"/>
      <c r="EQ103" s="1356"/>
      <c r="ER103" s="1357"/>
      <c r="ES103" s="1356"/>
      <c r="ET103" s="1357"/>
      <c r="EU103" s="1356"/>
      <c r="EV103" s="1357"/>
      <c r="EW103" s="1356"/>
      <c r="EX103" s="1357"/>
      <c r="EY103" s="1356"/>
      <c r="EZ103" s="1357"/>
      <c r="FA103" s="1356"/>
      <c r="FB103" s="1357"/>
      <c r="FC103" s="1356"/>
      <c r="FD103" s="1357"/>
      <c r="FE103" s="1356"/>
      <c r="FF103" s="1357"/>
      <c r="FG103" s="1356"/>
      <c r="FH103" s="1357"/>
      <c r="FI103" s="1356"/>
      <c r="FJ103" s="1357"/>
      <c r="FK103" s="1356"/>
      <c r="FL103" s="1357"/>
      <c r="FM103" s="1356"/>
      <c r="FN103" s="1357"/>
      <c r="FO103" s="1356"/>
      <c r="FP103" s="1357"/>
      <c r="FQ103" s="1356"/>
      <c r="FR103" s="1357"/>
      <c r="FS103" s="1356"/>
      <c r="FT103" s="1357"/>
      <c r="FU103" s="1356"/>
      <c r="FV103" s="1357"/>
      <c r="FW103" s="1356"/>
      <c r="FX103" s="1357"/>
      <c r="FY103" s="1356"/>
      <c r="FZ103" s="1357"/>
      <c r="GA103" s="1356"/>
      <c r="GB103" s="1357"/>
      <c r="GC103" s="1356"/>
      <c r="GD103" s="1357"/>
      <c r="GE103" s="1356"/>
      <c r="GF103" s="1357"/>
      <c r="GG103" s="1356"/>
      <c r="GH103" s="1357"/>
      <c r="GI103" s="1356"/>
      <c r="GJ103" s="1357"/>
      <c r="GK103" s="1356"/>
      <c r="GL103" s="1357"/>
      <c r="GM103" s="1356"/>
      <c r="GN103" s="1357"/>
      <c r="GO103" s="1356"/>
      <c r="GP103" s="1357"/>
      <c r="GQ103" s="1356"/>
      <c r="GR103" s="1357"/>
      <c r="GS103" s="1356"/>
      <c r="GT103" s="1357"/>
      <c r="GU103" s="1356"/>
      <c r="GV103" s="1357"/>
      <c r="GW103" s="1356"/>
      <c r="GX103" s="1357"/>
      <c r="GY103" s="1356"/>
      <c r="GZ103" s="1357"/>
    </row>
    <row r="104" spans="3:208">
      <c r="C104" s="1356" t="s">
        <v>1286</v>
      </c>
      <c r="D104" s="1357"/>
      <c r="E104" s="1356" t="s">
        <v>1286</v>
      </c>
      <c r="F104" s="1357"/>
      <c r="G104" s="1356" t="s">
        <v>1286</v>
      </c>
      <c r="H104" s="1357"/>
      <c r="I104" s="1356" t="s">
        <v>1286</v>
      </c>
      <c r="J104" s="1357"/>
      <c r="K104" s="1356" t="s">
        <v>1286</v>
      </c>
      <c r="L104" s="1357"/>
      <c r="M104" s="1356" t="s">
        <v>1286</v>
      </c>
      <c r="N104" s="1357"/>
      <c r="O104" s="1356" t="s">
        <v>1286</v>
      </c>
      <c r="P104" s="1357"/>
      <c r="Q104" s="1356" t="s">
        <v>1286</v>
      </c>
      <c r="R104" s="1357"/>
      <c r="S104" s="1356" t="s">
        <v>1286</v>
      </c>
      <c r="T104" s="1357"/>
      <c r="U104" s="1356" t="s">
        <v>1286</v>
      </c>
      <c r="V104" s="1357"/>
      <c r="W104" s="1356" t="s">
        <v>1286</v>
      </c>
      <c r="X104" s="1357"/>
      <c r="Y104" s="1356" t="s">
        <v>1286</v>
      </c>
      <c r="Z104" s="1357"/>
      <c r="AA104" s="1356" t="s">
        <v>1286</v>
      </c>
      <c r="AB104" s="1357"/>
      <c r="AC104" s="1356" t="s">
        <v>1286</v>
      </c>
      <c r="AD104" s="1357"/>
      <c r="AE104" s="1356" t="s">
        <v>1286</v>
      </c>
      <c r="AF104" s="1357"/>
      <c r="AG104" s="1356" t="s">
        <v>1286</v>
      </c>
      <c r="AH104" s="1357"/>
      <c r="AI104" s="1356" t="s">
        <v>1286</v>
      </c>
      <c r="AJ104" s="1357"/>
      <c r="AK104" s="1356" t="s">
        <v>1286</v>
      </c>
      <c r="AL104" s="1357"/>
      <c r="AM104" s="1356" t="s">
        <v>1286</v>
      </c>
      <c r="AN104" s="1357"/>
      <c r="AO104" s="1356" t="s">
        <v>1286</v>
      </c>
      <c r="AP104" s="1357"/>
      <c r="AQ104" s="1356" t="s">
        <v>1286</v>
      </c>
      <c r="AR104" s="1357"/>
      <c r="AS104" s="1356" t="s">
        <v>1286</v>
      </c>
      <c r="AT104" s="1357"/>
      <c r="AU104" s="1356" t="s">
        <v>1286</v>
      </c>
      <c r="AV104" s="1357"/>
      <c r="AW104" s="1356" t="s">
        <v>1286</v>
      </c>
      <c r="AX104" s="1357"/>
      <c r="AY104" s="1356" t="s">
        <v>1286</v>
      </c>
      <c r="AZ104" s="1357"/>
      <c r="BA104" s="1356" t="s">
        <v>1286</v>
      </c>
      <c r="BB104" s="1357"/>
      <c r="BC104" s="1356" t="s">
        <v>1286</v>
      </c>
      <c r="BD104" s="1357"/>
      <c r="BE104" s="1356" t="s">
        <v>1286</v>
      </c>
      <c r="BF104" s="1357"/>
      <c r="BG104" s="1356" t="s">
        <v>1286</v>
      </c>
      <c r="BH104" s="1357"/>
      <c r="BI104" s="1356" t="s">
        <v>1286</v>
      </c>
      <c r="BJ104" s="1357"/>
      <c r="BK104" s="1356" t="s">
        <v>1286</v>
      </c>
      <c r="BL104" s="1357"/>
      <c r="BM104" s="1356" t="s">
        <v>1286</v>
      </c>
      <c r="BN104" s="1357"/>
      <c r="BO104" s="1356" t="s">
        <v>1286</v>
      </c>
      <c r="BP104" s="1357"/>
      <c r="BQ104" s="1356" t="s">
        <v>1286</v>
      </c>
      <c r="BR104" s="1357"/>
      <c r="BS104" s="1356" t="s">
        <v>1286</v>
      </c>
      <c r="BT104" s="1357"/>
      <c r="BU104" s="1356" t="s">
        <v>1286</v>
      </c>
      <c r="BV104" s="1357"/>
      <c r="BW104" s="1356" t="s">
        <v>1286</v>
      </c>
      <c r="BX104" s="1357"/>
      <c r="BY104" s="1356" t="s">
        <v>1286</v>
      </c>
      <c r="BZ104" s="1357"/>
      <c r="CA104" s="1356" t="s">
        <v>1286</v>
      </c>
      <c r="CB104" s="1357"/>
      <c r="CC104" s="1356" t="s">
        <v>1286</v>
      </c>
      <c r="CD104" s="1357"/>
      <c r="CE104" s="1356" t="s">
        <v>1286</v>
      </c>
      <c r="CF104" s="1357"/>
      <c r="CG104" s="1356" t="s">
        <v>1286</v>
      </c>
      <c r="CH104" s="1357"/>
      <c r="CI104" s="1356" t="s">
        <v>1286</v>
      </c>
      <c r="CJ104" s="1357"/>
      <c r="CK104" s="1356" t="s">
        <v>1286</v>
      </c>
      <c r="CL104" s="1357"/>
      <c r="CM104" s="1356" t="s">
        <v>1286</v>
      </c>
      <c r="CN104" s="1357"/>
      <c r="CO104" s="1356" t="s">
        <v>1286</v>
      </c>
      <c r="CP104" s="1357"/>
      <c r="CQ104" s="1356" t="s">
        <v>1286</v>
      </c>
      <c r="CR104" s="1357"/>
      <c r="CS104" s="1356" t="s">
        <v>1286</v>
      </c>
      <c r="CT104" s="1357"/>
      <c r="CU104" s="1356" t="s">
        <v>1286</v>
      </c>
      <c r="CV104" s="1357"/>
      <c r="CW104" s="1356" t="s">
        <v>1286</v>
      </c>
      <c r="CX104" s="1357"/>
      <c r="CY104" s="1356" t="s">
        <v>1286</v>
      </c>
      <c r="CZ104" s="1357"/>
      <c r="DA104" s="1356"/>
      <c r="DB104" s="1357"/>
      <c r="DC104" s="1356"/>
      <c r="DD104" s="1357"/>
      <c r="DE104" s="1356"/>
      <c r="DF104" s="1357"/>
      <c r="DG104" s="1356"/>
      <c r="DH104" s="1357"/>
      <c r="DI104" s="1356"/>
      <c r="DJ104" s="1357"/>
      <c r="DK104" s="1356"/>
      <c r="DL104" s="1357"/>
      <c r="DM104" s="1356"/>
      <c r="DN104" s="1357"/>
      <c r="DO104" s="1356"/>
      <c r="DP104" s="1357"/>
      <c r="DQ104" s="1356"/>
      <c r="DR104" s="1357"/>
      <c r="DS104" s="1356"/>
      <c r="DT104" s="1357"/>
      <c r="DU104" s="1356"/>
      <c r="DV104" s="1357"/>
      <c r="DW104" s="1356"/>
      <c r="DX104" s="1357"/>
      <c r="DY104" s="1356"/>
      <c r="DZ104" s="1357"/>
      <c r="EA104" s="1356"/>
      <c r="EB104" s="1357"/>
      <c r="EC104" s="1356"/>
      <c r="ED104" s="1357"/>
      <c r="EE104" s="1356"/>
      <c r="EF104" s="1357"/>
      <c r="EG104" s="1356"/>
      <c r="EH104" s="1357"/>
      <c r="EI104" s="1356"/>
      <c r="EJ104" s="1357"/>
      <c r="EK104" s="1356"/>
      <c r="EL104" s="1357"/>
      <c r="EM104" s="1356"/>
      <c r="EN104" s="1357"/>
      <c r="EO104" s="1356"/>
      <c r="EP104" s="1357"/>
      <c r="EQ104" s="1356"/>
      <c r="ER104" s="1357"/>
      <c r="ES104" s="1356"/>
      <c r="ET104" s="1357"/>
      <c r="EU104" s="1356"/>
      <c r="EV104" s="1357"/>
      <c r="EW104" s="1356"/>
      <c r="EX104" s="1357"/>
      <c r="EY104" s="1356"/>
      <c r="EZ104" s="1357"/>
      <c r="FA104" s="1356"/>
      <c r="FB104" s="1357"/>
      <c r="FC104" s="1356"/>
      <c r="FD104" s="1357"/>
      <c r="FE104" s="1356"/>
      <c r="FF104" s="1357"/>
      <c r="FG104" s="1356"/>
      <c r="FH104" s="1357"/>
      <c r="FI104" s="1356"/>
      <c r="FJ104" s="1357"/>
      <c r="FK104" s="1356"/>
      <c r="FL104" s="1357"/>
      <c r="FM104" s="1356"/>
      <c r="FN104" s="1357"/>
      <c r="FO104" s="1356"/>
      <c r="FP104" s="1357"/>
      <c r="FQ104" s="1356"/>
      <c r="FR104" s="1357"/>
      <c r="FS104" s="1356"/>
      <c r="FT104" s="1357"/>
      <c r="FU104" s="1356"/>
      <c r="FV104" s="1357"/>
      <c r="FW104" s="1356"/>
      <c r="FX104" s="1357"/>
      <c r="FY104" s="1356"/>
      <c r="FZ104" s="1357"/>
      <c r="GA104" s="1356"/>
      <c r="GB104" s="1357"/>
      <c r="GC104" s="1356"/>
      <c r="GD104" s="1357"/>
      <c r="GE104" s="1356"/>
      <c r="GF104" s="1357"/>
      <c r="GG104" s="1356"/>
      <c r="GH104" s="1357"/>
      <c r="GI104" s="1356"/>
      <c r="GJ104" s="1357"/>
      <c r="GK104" s="1356"/>
      <c r="GL104" s="1357"/>
      <c r="GM104" s="1356"/>
      <c r="GN104" s="1357"/>
      <c r="GO104" s="1356"/>
      <c r="GP104" s="1357"/>
      <c r="GQ104" s="1356"/>
      <c r="GR104" s="1357"/>
      <c r="GS104" s="1356"/>
      <c r="GT104" s="1357"/>
      <c r="GU104" s="1356"/>
      <c r="GV104" s="1357"/>
      <c r="GW104" s="1356"/>
      <c r="GX104" s="1357"/>
      <c r="GY104" s="1356"/>
      <c r="GZ104" s="1357"/>
    </row>
    <row r="105" spans="3:208">
      <c r="C105" s="1356" t="s">
        <v>1286</v>
      </c>
      <c r="D105" s="1357"/>
      <c r="E105" s="1356" t="s">
        <v>1286</v>
      </c>
      <c r="F105" s="1357"/>
      <c r="G105" s="1356" t="s">
        <v>1286</v>
      </c>
      <c r="H105" s="1357"/>
      <c r="I105" s="1356" t="s">
        <v>1286</v>
      </c>
      <c r="J105" s="1357"/>
      <c r="K105" s="1356" t="s">
        <v>1286</v>
      </c>
      <c r="L105" s="1357"/>
      <c r="M105" s="1356" t="s">
        <v>1286</v>
      </c>
      <c r="N105" s="1357"/>
      <c r="O105" s="1356" t="s">
        <v>1286</v>
      </c>
      <c r="P105" s="1357"/>
      <c r="Q105" s="1356" t="s">
        <v>1286</v>
      </c>
      <c r="R105" s="1357"/>
      <c r="S105" s="1356" t="s">
        <v>1286</v>
      </c>
      <c r="T105" s="1357"/>
      <c r="U105" s="1356" t="s">
        <v>1286</v>
      </c>
      <c r="V105" s="1357"/>
      <c r="W105" s="1356" t="s">
        <v>1286</v>
      </c>
      <c r="X105" s="1357"/>
      <c r="Y105" s="1356" t="s">
        <v>1286</v>
      </c>
      <c r="Z105" s="1357"/>
      <c r="AA105" s="1356" t="s">
        <v>1286</v>
      </c>
      <c r="AB105" s="1357"/>
      <c r="AC105" s="1356" t="s">
        <v>1286</v>
      </c>
      <c r="AD105" s="1357"/>
      <c r="AE105" s="1356" t="s">
        <v>1286</v>
      </c>
      <c r="AF105" s="1357"/>
      <c r="AG105" s="1356" t="s">
        <v>1286</v>
      </c>
      <c r="AH105" s="1357"/>
      <c r="AI105" s="1356" t="s">
        <v>1286</v>
      </c>
      <c r="AJ105" s="1357"/>
      <c r="AK105" s="1356" t="s">
        <v>1286</v>
      </c>
      <c r="AL105" s="1357"/>
      <c r="AM105" s="1356" t="s">
        <v>1286</v>
      </c>
      <c r="AN105" s="1357"/>
      <c r="AO105" s="1356" t="s">
        <v>1286</v>
      </c>
      <c r="AP105" s="1357"/>
      <c r="AQ105" s="1356" t="s">
        <v>1286</v>
      </c>
      <c r="AR105" s="1357"/>
      <c r="AS105" s="1356" t="s">
        <v>1286</v>
      </c>
      <c r="AT105" s="1357"/>
      <c r="AU105" s="1356" t="s">
        <v>1286</v>
      </c>
      <c r="AV105" s="1357"/>
      <c r="AW105" s="1356" t="s">
        <v>1286</v>
      </c>
      <c r="AX105" s="1357"/>
      <c r="AY105" s="1356" t="s">
        <v>1286</v>
      </c>
      <c r="AZ105" s="1357"/>
      <c r="BA105" s="1356" t="s">
        <v>1286</v>
      </c>
      <c r="BB105" s="1357"/>
      <c r="BC105" s="1356" t="s">
        <v>1286</v>
      </c>
      <c r="BD105" s="1357"/>
      <c r="BE105" s="1356" t="s">
        <v>1286</v>
      </c>
      <c r="BF105" s="1357"/>
      <c r="BG105" s="1356" t="s">
        <v>1286</v>
      </c>
      <c r="BH105" s="1357"/>
      <c r="BI105" s="1356" t="s">
        <v>1286</v>
      </c>
      <c r="BJ105" s="1357"/>
      <c r="BK105" s="1356" t="s">
        <v>1286</v>
      </c>
      <c r="BL105" s="1357"/>
      <c r="BM105" s="1356" t="s">
        <v>1286</v>
      </c>
      <c r="BN105" s="1357"/>
      <c r="BO105" s="1356" t="s">
        <v>1286</v>
      </c>
      <c r="BP105" s="1357"/>
      <c r="BQ105" s="1356" t="s">
        <v>1286</v>
      </c>
      <c r="BR105" s="1357"/>
      <c r="BS105" s="1356" t="s">
        <v>1286</v>
      </c>
      <c r="BT105" s="1357"/>
      <c r="BU105" s="1356" t="s">
        <v>1286</v>
      </c>
      <c r="BV105" s="1357"/>
      <c r="BW105" s="1356" t="s">
        <v>1286</v>
      </c>
      <c r="BX105" s="1357"/>
      <c r="BY105" s="1356" t="s">
        <v>1286</v>
      </c>
      <c r="BZ105" s="1357"/>
      <c r="CA105" s="1356" t="s">
        <v>1286</v>
      </c>
      <c r="CB105" s="1357"/>
      <c r="CC105" s="1356" t="s">
        <v>1286</v>
      </c>
      <c r="CD105" s="1357"/>
      <c r="CE105" s="1356" t="s">
        <v>1286</v>
      </c>
      <c r="CF105" s="1357"/>
      <c r="CG105" s="1356" t="s">
        <v>1286</v>
      </c>
      <c r="CH105" s="1357"/>
      <c r="CI105" s="1356" t="s">
        <v>1286</v>
      </c>
      <c r="CJ105" s="1357"/>
      <c r="CK105" s="1356" t="s">
        <v>1286</v>
      </c>
      <c r="CL105" s="1357"/>
      <c r="CM105" s="1356" t="s">
        <v>1286</v>
      </c>
      <c r="CN105" s="1357"/>
      <c r="CO105" s="1356" t="s">
        <v>1286</v>
      </c>
      <c r="CP105" s="1357"/>
      <c r="CQ105" s="1356" t="s">
        <v>1286</v>
      </c>
      <c r="CR105" s="1357"/>
      <c r="CS105" s="1356" t="s">
        <v>1286</v>
      </c>
      <c r="CT105" s="1357"/>
      <c r="CU105" s="1356" t="s">
        <v>1286</v>
      </c>
      <c r="CV105" s="1357"/>
      <c r="CW105" s="1356" t="s">
        <v>1286</v>
      </c>
      <c r="CX105" s="1357"/>
      <c r="CY105" s="1356" t="s">
        <v>1286</v>
      </c>
      <c r="CZ105" s="1357"/>
      <c r="DA105" s="1356"/>
      <c r="DB105" s="1357"/>
      <c r="DC105" s="1356"/>
      <c r="DD105" s="1357"/>
      <c r="DE105" s="1356"/>
      <c r="DF105" s="1357"/>
      <c r="DG105" s="1356"/>
      <c r="DH105" s="1357"/>
      <c r="DI105" s="1356"/>
      <c r="DJ105" s="1357"/>
      <c r="DK105" s="1356"/>
      <c r="DL105" s="1357"/>
      <c r="DM105" s="1356"/>
      <c r="DN105" s="1357"/>
      <c r="DO105" s="1356"/>
      <c r="DP105" s="1357"/>
      <c r="DQ105" s="1356"/>
      <c r="DR105" s="1357"/>
      <c r="DS105" s="1356"/>
      <c r="DT105" s="1357"/>
      <c r="DU105" s="1356"/>
      <c r="DV105" s="1357"/>
      <c r="DW105" s="1356"/>
      <c r="DX105" s="1357"/>
      <c r="DY105" s="1356"/>
      <c r="DZ105" s="1357"/>
      <c r="EA105" s="1356"/>
      <c r="EB105" s="1357"/>
      <c r="EC105" s="1356"/>
      <c r="ED105" s="1357"/>
      <c r="EE105" s="1356"/>
      <c r="EF105" s="1357"/>
      <c r="EG105" s="1356"/>
      <c r="EH105" s="1357"/>
      <c r="EI105" s="1356"/>
      <c r="EJ105" s="1357"/>
      <c r="EK105" s="1356"/>
      <c r="EL105" s="1357"/>
      <c r="EM105" s="1356"/>
      <c r="EN105" s="1357"/>
      <c r="EO105" s="1356"/>
      <c r="EP105" s="1357"/>
      <c r="EQ105" s="1356"/>
      <c r="ER105" s="1357"/>
      <c r="ES105" s="1356"/>
      <c r="ET105" s="1357"/>
      <c r="EU105" s="1356"/>
      <c r="EV105" s="1357"/>
      <c r="EW105" s="1356"/>
      <c r="EX105" s="1357"/>
      <c r="EY105" s="1356"/>
      <c r="EZ105" s="1357"/>
      <c r="FA105" s="1356"/>
      <c r="FB105" s="1357"/>
      <c r="FC105" s="1356"/>
      <c r="FD105" s="1357"/>
      <c r="FE105" s="1356"/>
      <c r="FF105" s="1357"/>
      <c r="FG105" s="1356"/>
      <c r="FH105" s="1357"/>
      <c r="FI105" s="1356"/>
      <c r="FJ105" s="1357"/>
      <c r="FK105" s="1356"/>
      <c r="FL105" s="1357"/>
      <c r="FM105" s="1356"/>
      <c r="FN105" s="1357"/>
      <c r="FO105" s="1356"/>
      <c r="FP105" s="1357"/>
      <c r="FQ105" s="1356"/>
      <c r="FR105" s="1357"/>
      <c r="FS105" s="1356"/>
      <c r="FT105" s="1357"/>
      <c r="FU105" s="1356"/>
      <c r="FV105" s="1357"/>
      <c r="FW105" s="1356"/>
      <c r="FX105" s="1357"/>
      <c r="FY105" s="1356"/>
      <c r="FZ105" s="1357"/>
      <c r="GA105" s="1356"/>
      <c r="GB105" s="1357"/>
      <c r="GC105" s="1356"/>
      <c r="GD105" s="1357"/>
      <c r="GE105" s="1356"/>
      <c r="GF105" s="1357"/>
      <c r="GG105" s="1356"/>
      <c r="GH105" s="1357"/>
      <c r="GI105" s="1356"/>
      <c r="GJ105" s="1357"/>
      <c r="GK105" s="1356"/>
      <c r="GL105" s="1357"/>
      <c r="GM105" s="1356"/>
      <c r="GN105" s="1357"/>
      <c r="GO105" s="1356"/>
      <c r="GP105" s="1357"/>
      <c r="GQ105" s="1356"/>
      <c r="GR105" s="1357"/>
      <c r="GS105" s="1356"/>
      <c r="GT105" s="1357"/>
      <c r="GU105" s="1356"/>
      <c r="GV105" s="1357"/>
      <c r="GW105" s="1356"/>
      <c r="GX105" s="1357"/>
      <c r="GY105" s="1356"/>
      <c r="GZ105" s="1357"/>
    </row>
    <row r="106" spans="3:208">
      <c r="C106" s="1356" t="s">
        <v>1286</v>
      </c>
      <c r="D106" s="1357"/>
      <c r="E106" s="1356" t="s">
        <v>1286</v>
      </c>
      <c r="F106" s="1357"/>
      <c r="G106" s="1356" t="s">
        <v>1286</v>
      </c>
      <c r="H106" s="1357"/>
      <c r="I106" s="1356" t="s">
        <v>1286</v>
      </c>
      <c r="J106" s="1357"/>
      <c r="K106" s="1356" t="s">
        <v>1286</v>
      </c>
      <c r="L106" s="1357"/>
      <c r="M106" s="1356" t="s">
        <v>1286</v>
      </c>
      <c r="N106" s="1357"/>
      <c r="O106" s="1356" t="s">
        <v>1286</v>
      </c>
      <c r="P106" s="1357"/>
      <c r="Q106" s="1356" t="s">
        <v>1286</v>
      </c>
      <c r="R106" s="1357"/>
      <c r="S106" s="1356" t="s">
        <v>1286</v>
      </c>
      <c r="T106" s="1357"/>
      <c r="U106" s="1356" t="s">
        <v>1286</v>
      </c>
      <c r="V106" s="1357"/>
      <c r="W106" s="1356" t="s">
        <v>1286</v>
      </c>
      <c r="X106" s="1357"/>
      <c r="Y106" s="1356" t="s">
        <v>1286</v>
      </c>
      <c r="Z106" s="1357"/>
      <c r="AA106" s="1356" t="s">
        <v>1286</v>
      </c>
      <c r="AB106" s="1357"/>
      <c r="AC106" s="1356" t="s">
        <v>1286</v>
      </c>
      <c r="AD106" s="1357"/>
      <c r="AE106" s="1356" t="s">
        <v>1286</v>
      </c>
      <c r="AF106" s="1357"/>
      <c r="AG106" s="1356" t="s">
        <v>1286</v>
      </c>
      <c r="AH106" s="1357"/>
      <c r="AI106" s="1356" t="s">
        <v>1286</v>
      </c>
      <c r="AJ106" s="1357"/>
      <c r="AK106" s="1356" t="s">
        <v>1286</v>
      </c>
      <c r="AL106" s="1357"/>
      <c r="AM106" s="1356" t="s">
        <v>1286</v>
      </c>
      <c r="AN106" s="1357"/>
      <c r="AO106" s="1356" t="s">
        <v>1286</v>
      </c>
      <c r="AP106" s="1357"/>
      <c r="AQ106" s="1356" t="s">
        <v>1286</v>
      </c>
      <c r="AR106" s="1357"/>
      <c r="AS106" s="1356" t="s">
        <v>1286</v>
      </c>
      <c r="AT106" s="1357"/>
      <c r="AU106" s="1356" t="s">
        <v>1286</v>
      </c>
      <c r="AV106" s="1357"/>
      <c r="AW106" s="1356" t="s">
        <v>1286</v>
      </c>
      <c r="AX106" s="1357"/>
      <c r="AY106" s="1356" t="s">
        <v>1286</v>
      </c>
      <c r="AZ106" s="1357"/>
      <c r="BA106" s="1356" t="s">
        <v>1286</v>
      </c>
      <c r="BB106" s="1357"/>
      <c r="BC106" s="1356" t="s">
        <v>1286</v>
      </c>
      <c r="BD106" s="1357"/>
      <c r="BE106" s="1356" t="s">
        <v>1286</v>
      </c>
      <c r="BF106" s="1357"/>
      <c r="BG106" s="1356" t="s">
        <v>1286</v>
      </c>
      <c r="BH106" s="1357"/>
      <c r="BI106" s="1356" t="s">
        <v>1286</v>
      </c>
      <c r="BJ106" s="1357"/>
      <c r="BK106" s="1356" t="s">
        <v>1286</v>
      </c>
      <c r="BL106" s="1357"/>
      <c r="BM106" s="1356" t="s">
        <v>1286</v>
      </c>
      <c r="BN106" s="1357"/>
      <c r="BO106" s="1356" t="s">
        <v>1286</v>
      </c>
      <c r="BP106" s="1357"/>
      <c r="BQ106" s="1356" t="s">
        <v>1286</v>
      </c>
      <c r="BR106" s="1357"/>
      <c r="BS106" s="1356" t="s">
        <v>1286</v>
      </c>
      <c r="BT106" s="1357"/>
      <c r="BU106" s="1356" t="s">
        <v>1286</v>
      </c>
      <c r="BV106" s="1357"/>
      <c r="BW106" s="1356" t="s">
        <v>1286</v>
      </c>
      <c r="BX106" s="1357"/>
      <c r="BY106" s="1356" t="s">
        <v>1286</v>
      </c>
      <c r="BZ106" s="1357"/>
      <c r="CA106" s="1356" t="s">
        <v>1286</v>
      </c>
      <c r="CB106" s="1357"/>
      <c r="CC106" s="1356" t="s">
        <v>1286</v>
      </c>
      <c r="CD106" s="1357"/>
      <c r="CE106" s="1356" t="s">
        <v>1286</v>
      </c>
      <c r="CF106" s="1357"/>
      <c r="CG106" s="1356" t="s">
        <v>1286</v>
      </c>
      <c r="CH106" s="1357"/>
      <c r="CI106" s="1356" t="s">
        <v>1286</v>
      </c>
      <c r="CJ106" s="1357"/>
      <c r="CK106" s="1356" t="s">
        <v>1286</v>
      </c>
      <c r="CL106" s="1357"/>
      <c r="CM106" s="1356" t="s">
        <v>1286</v>
      </c>
      <c r="CN106" s="1357"/>
      <c r="CO106" s="1356" t="s">
        <v>1286</v>
      </c>
      <c r="CP106" s="1357"/>
      <c r="CQ106" s="1356" t="s">
        <v>1286</v>
      </c>
      <c r="CR106" s="1357"/>
      <c r="CS106" s="1356" t="s">
        <v>1286</v>
      </c>
      <c r="CT106" s="1357"/>
      <c r="CU106" s="1356" t="s">
        <v>1286</v>
      </c>
      <c r="CV106" s="1357"/>
      <c r="CW106" s="1356" t="s">
        <v>1286</v>
      </c>
      <c r="CX106" s="1357"/>
      <c r="CY106" s="1356" t="s">
        <v>1286</v>
      </c>
      <c r="CZ106" s="1357"/>
      <c r="DA106" s="1356"/>
      <c r="DB106" s="1357"/>
      <c r="DC106" s="1356"/>
      <c r="DD106" s="1357"/>
      <c r="DE106" s="1356"/>
      <c r="DF106" s="1357"/>
      <c r="DG106" s="1356"/>
      <c r="DH106" s="1357"/>
      <c r="DI106" s="1356"/>
      <c r="DJ106" s="1357"/>
      <c r="DK106" s="1356"/>
      <c r="DL106" s="1357"/>
      <c r="DM106" s="1356"/>
      <c r="DN106" s="1357"/>
      <c r="DO106" s="1356"/>
      <c r="DP106" s="1357"/>
      <c r="DQ106" s="1356"/>
      <c r="DR106" s="1357"/>
      <c r="DS106" s="1356"/>
      <c r="DT106" s="1357"/>
      <c r="DU106" s="1356"/>
      <c r="DV106" s="1357"/>
      <c r="DW106" s="1356"/>
      <c r="DX106" s="1357"/>
      <c r="DY106" s="1356"/>
      <c r="DZ106" s="1357"/>
      <c r="EA106" s="1356"/>
      <c r="EB106" s="1357"/>
      <c r="EC106" s="1356"/>
      <c r="ED106" s="1357"/>
      <c r="EE106" s="1356"/>
      <c r="EF106" s="1357"/>
      <c r="EG106" s="1356"/>
      <c r="EH106" s="1357"/>
      <c r="EI106" s="1356"/>
      <c r="EJ106" s="1357"/>
      <c r="EK106" s="1356"/>
      <c r="EL106" s="1357"/>
      <c r="EM106" s="1356"/>
      <c r="EN106" s="1357"/>
      <c r="EO106" s="1356"/>
      <c r="EP106" s="1357"/>
      <c r="EQ106" s="1356"/>
      <c r="ER106" s="1357"/>
      <c r="ES106" s="1356"/>
      <c r="ET106" s="1357"/>
      <c r="EU106" s="1356"/>
      <c r="EV106" s="1357"/>
      <c r="EW106" s="1356"/>
      <c r="EX106" s="1357"/>
      <c r="EY106" s="1356"/>
      <c r="EZ106" s="1357"/>
      <c r="FA106" s="1356"/>
      <c r="FB106" s="1357"/>
      <c r="FC106" s="1356"/>
      <c r="FD106" s="1357"/>
      <c r="FE106" s="1356"/>
      <c r="FF106" s="1357"/>
      <c r="FG106" s="1356"/>
      <c r="FH106" s="1357"/>
      <c r="FI106" s="1356"/>
      <c r="FJ106" s="1357"/>
      <c r="FK106" s="1356"/>
      <c r="FL106" s="1357"/>
      <c r="FM106" s="1356"/>
      <c r="FN106" s="1357"/>
      <c r="FO106" s="1356"/>
      <c r="FP106" s="1357"/>
      <c r="FQ106" s="1356"/>
      <c r="FR106" s="1357"/>
      <c r="FS106" s="1356"/>
      <c r="FT106" s="1357"/>
      <c r="FU106" s="1356"/>
      <c r="FV106" s="1357"/>
      <c r="FW106" s="1356"/>
      <c r="FX106" s="1357"/>
      <c r="FY106" s="1356"/>
      <c r="FZ106" s="1357"/>
      <c r="GA106" s="1356"/>
      <c r="GB106" s="1357"/>
      <c r="GC106" s="1356"/>
      <c r="GD106" s="1357"/>
      <c r="GE106" s="1356"/>
      <c r="GF106" s="1357"/>
      <c r="GG106" s="1356"/>
      <c r="GH106" s="1357"/>
      <c r="GI106" s="1356"/>
      <c r="GJ106" s="1357"/>
      <c r="GK106" s="1356"/>
      <c r="GL106" s="1357"/>
      <c r="GM106" s="1356"/>
      <c r="GN106" s="1357"/>
      <c r="GO106" s="1356"/>
      <c r="GP106" s="1357"/>
      <c r="GQ106" s="1356"/>
      <c r="GR106" s="1357"/>
      <c r="GS106" s="1356"/>
      <c r="GT106" s="1357"/>
      <c r="GU106" s="1356"/>
      <c r="GV106" s="1357"/>
      <c r="GW106" s="1356"/>
      <c r="GX106" s="1357"/>
      <c r="GY106" s="1356"/>
      <c r="GZ106" s="1357"/>
    </row>
    <row r="107" spans="3:208">
      <c r="C107" s="1356" t="s">
        <v>1286</v>
      </c>
      <c r="D107" s="1357"/>
      <c r="E107" s="1356" t="s">
        <v>1286</v>
      </c>
      <c r="F107" s="1357"/>
      <c r="G107" s="1356" t="s">
        <v>1286</v>
      </c>
      <c r="H107" s="1357"/>
      <c r="I107" s="1356" t="s">
        <v>1286</v>
      </c>
      <c r="J107" s="1357"/>
      <c r="K107" s="1356" t="s">
        <v>1286</v>
      </c>
      <c r="L107" s="1357"/>
      <c r="M107" s="1356" t="s">
        <v>1286</v>
      </c>
      <c r="N107" s="1357"/>
      <c r="O107" s="1356" t="s">
        <v>1286</v>
      </c>
      <c r="P107" s="1357"/>
      <c r="Q107" s="1356" t="s">
        <v>1286</v>
      </c>
      <c r="R107" s="1357"/>
      <c r="S107" s="1356" t="s">
        <v>1286</v>
      </c>
      <c r="T107" s="1357"/>
      <c r="U107" s="1356" t="s">
        <v>1286</v>
      </c>
      <c r="V107" s="1357"/>
      <c r="W107" s="1356" t="s">
        <v>1286</v>
      </c>
      <c r="X107" s="1357"/>
      <c r="Y107" s="1356" t="s">
        <v>1286</v>
      </c>
      <c r="Z107" s="1357"/>
      <c r="AA107" s="1356" t="s">
        <v>1286</v>
      </c>
      <c r="AB107" s="1357"/>
      <c r="AC107" s="1356" t="s">
        <v>1286</v>
      </c>
      <c r="AD107" s="1357"/>
      <c r="AE107" s="1356" t="s">
        <v>1286</v>
      </c>
      <c r="AF107" s="1357"/>
      <c r="AG107" s="1356" t="s">
        <v>1286</v>
      </c>
      <c r="AH107" s="1357"/>
      <c r="AI107" s="1356" t="s">
        <v>1286</v>
      </c>
      <c r="AJ107" s="1357"/>
      <c r="AK107" s="1356" t="s">
        <v>1286</v>
      </c>
      <c r="AL107" s="1357"/>
      <c r="AM107" s="1356" t="s">
        <v>1286</v>
      </c>
      <c r="AN107" s="1357"/>
      <c r="AO107" s="1356" t="s">
        <v>1286</v>
      </c>
      <c r="AP107" s="1357"/>
      <c r="AQ107" s="1356" t="s">
        <v>1286</v>
      </c>
      <c r="AR107" s="1357"/>
      <c r="AS107" s="1356" t="s">
        <v>1286</v>
      </c>
      <c r="AT107" s="1357"/>
      <c r="AU107" s="1356" t="s">
        <v>1286</v>
      </c>
      <c r="AV107" s="1357"/>
      <c r="AW107" s="1356" t="s">
        <v>1286</v>
      </c>
      <c r="AX107" s="1357"/>
      <c r="AY107" s="1356" t="s">
        <v>1286</v>
      </c>
      <c r="AZ107" s="1357"/>
      <c r="BA107" s="1356" t="s">
        <v>1286</v>
      </c>
      <c r="BB107" s="1357"/>
      <c r="BC107" s="1356" t="s">
        <v>1286</v>
      </c>
      <c r="BD107" s="1357"/>
      <c r="BE107" s="1356" t="s">
        <v>1286</v>
      </c>
      <c r="BF107" s="1357"/>
      <c r="BG107" s="1356" t="s">
        <v>1286</v>
      </c>
      <c r="BH107" s="1357"/>
      <c r="BI107" s="1356" t="s">
        <v>1286</v>
      </c>
      <c r="BJ107" s="1357"/>
      <c r="BK107" s="1356" t="s">
        <v>1286</v>
      </c>
      <c r="BL107" s="1357"/>
      <c r="BM107" s="1356" t="s">
        <v>1286</v>
      </c>
      <c r="BN107" s="1357"/>
      <c r="BO107" s="1356" t="s">
        <v>1286</v>
      </c>
      <c r="BP107" s="1357"/>
      <c r="BQ107" s="1356" t="s">
        <v>1286</v>
      </c>
      <c r="BR107" s="1357"/>
      <c r="BS107" s="1356" t="s">
        <v>1286</v>
      </c>
      <c r="BT107" s="1357"/>
      <c r="BU107" s="1356" t="s">
        <v>1286</v>
      </c>
      <c r="BV107" s="1357"/>
      <c r="BW107" s="1356" t="s">
        <v>1286</v>
      </c>
      <c r="BX107" s="1357"/>
      <c r="BY107" s="1356" t="s">
        <v>1286</v>
      </c>
      <c r="BZ107" s="1357"/>
      <c r="CA107" s="1356" t="s">
        <v>1286</v>
      </c>
      <c r="CB107" s="1357"/>
      <c r="CC107" s="1356" t="s">
        <v>1286</v>
      </c>
      <c r="CD107" s="1357"/>
      <c r="CE107" s="1356" t="s">
        <v>1286</v>
      </c>
      <c r="CF107" s="1357"/>
      <c r="CG107" s="1356" t="s">
        <v>1286</v>
      </c>
      <c r="CH107" s="1357"/>
      <c r="CI107" s="1356" t="s">
        <v>1286</v>
      </c>
      <c r="CJ107" s="1357"/>
      <c r="CK107" s="1356" t="s">
        <v>1286</v>
      </c>
      <c r="CL107" s="1357"/>
      <c r="CM107" s="1356" t="s">
        <v>1286</v>
      </c>
      <c r="CN107" s="1357"/>
      <c r="CO107" s="1356" t="s">
        <v>1286</v>
      </c>
      <c r="CP107" s="1357"/>
      <c r="CQ107" s="1356" t="s">
        <v>1286</v>
      </c>
      <c r="CR107" s="1357"/>
      <c r="CS107" s="1356" t="s">
        <v>1286</v>
      </c>
      <c r="CT107" s="1357"/>
      <c r="CU107" s="1356" t="s">
        <v>1286</v>
      </c>
      <c r="CV107" s="1357"/>
      <c r="CW107" s="1356" t="s">
        <v>1286</v>
      </c>
      <c r="CX107" s="1357"/>
      <c r="CY107" s="1356" t="s">
        <v>1286</v>
      </c>
      <c r="CZ107" s="1357"/>
      <c r="DA107" s="1356"/>
      <c r="DB107" s="1357"/>
      <c r="DC107" s="1356"/>
      <c r="DD107" s="1357"/>
      <c r="DE107" s="1356"/>
      <c r="DF107" s="1357"/>
      <c r="DG107" s="1356"/>
      <c r="DH107" s="1357"/>
      <c r="DI107" s="1356"/>
      <c r="DJ107" s="1357"/>
      <c r="DK107" s="1356"/>
      <c r="DL107" s="1357"/>
      <c r="DM107" s="1356"/>
      <c r="DN107" s="1357"/>
      <c r="DO107" s="1356"/>
      <c r="DP107" s="1357"/>
      <c r="DQ107" s="1356"/>
      <c r="DR107" s="1357"/>
      <c r="DS107" s="1356"/>
      <c r="DT107" s="1357"/>
      <c r="DU107" s="1356"/>
      <c r="DV107" s="1357"/>
      <c r="DW107" s="1356"/>
      <c r="DX107" s="1357"/>
      <c r="DY107" s="1356"/>
      <c r="DZ107" s="1357"/>
      <c r="EA107" s="1356"/>
      <c r="EB107" s="1357"/>
      <c r="EC107" s="1356"/>
      <c r="ED107" s="1357"/>
      <c r="EE107" s="1356"/>
      <c r="EF107" s="1357"/>
      <c r="EG107" s="1356"/>
      <c r="EH107" s="1357"/>
      <c r="EI107" s="1356"/>
      <c r="EJ107" s="1357"/>
      <c r="EK107" s="1356"/>
      <c r="EL107" s="1357"/>
      <c r="EM107" s="1356"/>
      <c r="EN107" s="1357"/>
      <c r="EO107" s="1356"/>
      <c r="EP107" s="1357"/>
      <c r="EQ107" s="1356"/>
      <c r="ER107" s="1357"/>
      <c r="ES107" s="1356"/>
      <c r="ET107" s="1357"/>
      <c r="EU107" s="1356"/>
      <c r="EV107" s="1357"/>
      <c r="EW107" s="1356"/>
      <c r="EX107" s="1357"/>
      <c r="EY107" s="1356"/>
      <c r="EZ107" s="1357"/>
      <c r="FA107" s="1356"/>
      <c r="FB107" s="1357"/>
      <c r="FC107" s="1356"/>
      <c r="FD107" s="1357"/>
      <c r="FE107" s="1356"/>
      <c r="FF107" s="1357"/>
      <c r="FG107" s="1356"/>
      <c r="FH107" s="1357"/>
      <c r="FI107" s="1356"/>
      <c r="FJ107" s="1357"/>
      <c r="FK107" s="1356"/>
      <c r="FL107" s="1357"/>
      <c r="FM107" s="1356"/>
      <c r="FN107" s="1357"/>
      <c r="FO107" s="1356"/>
      <c r="FP107" s="1357"/>
      <c r="FQ107" s="1356"/>
      <c r="FR107" s="1357"/>
      <c r="FS107" s="1356"/>
      <c r="FT107" s="1357"/>
      <c r="FU107" s="1356"/>
      <c r="FV107" s="1357"/>
      <c r="FW107" s="1356"/>
      <c r="FX107" s="1357"/>
      <c r="FY107" s="1356"/>
      <c r="FZ107" s="1357"/>
      <c r="GA107" s="1356"/>
      <c r="GB107" s="1357"/>
      <c r="GC107" s="1356"/>
      <c r="GD107" s="1357"/>
      <c r="GE107" s="1356"/>
      <c r="GF107" s="1357"/>
      <c r="GG107" s="1356"/>
      <c r="GH107" s="1357"/>
      <c r="GI107" s="1356"/>
      <c r="GJ107" s="1357"/>
      <c r="GK107" s="1356"/>
      <c r="GL107" s="1357"/>
      <c r="GM107" s="1356"/>
      <c r="GN107" s="1357"/>
      <c r="GO107" s="1356"/>
      <c r="GP107" s="1357"/>
      <c r="GQ107" s="1356"/>
      <c r="GR107" s="1357"/>
      <c r="GS107" s="1356"/>
      <c r="GT107" s="1357"/>
      <c r="GU107" s="1356"/>
      <c r="GV107" s="1357"/>
      <c r="GW107" s="1356"/>
      <c r="GX107" s="1357"/>
      <c r="GY107" s="1356"/>
      <c r="GZ107" s="1357"/>
    </row>
    <row r="108" spans="3:208">
      <c r="C108" s="1356" t="s">
        <v>1286</v>
      </c>
      <c r="D108" s="1357"/>
      <c r="E108" s="1356" t="s">
        <v>1286</v>
      </c>
      <c r="F108" s="1357"/>
      <c r="G108" s="1356" t="s">
        <v>1286</v>
      </c>
      <c r="H108" s="1357"/>
      <c r="I108" s="1356" t="s">
        <v>1286</v>
      </c>
      <c r="J108" s="1357"/>
      <c r="K108" s="1356" t="s">
        <v>1286</v>
      </c>
      <c r="L108" s="1357"/>
      <c r="M108" s="1356" t="s">
        <v>1286</v>
      </c>
      <c r="N108" s="1357"/>
      <c r="O108" s="1356" t="s">
        <v>1286</v>
      </c>
      <c r="P108" s="1357"/>
      <c r="Q108" s="1356" t="s">
        <v>1286</v>
      </c>
      <c r="R108" s="1357"/>
      <c r="S108" s="1356" t="s">
        <v>1286</v>
      </c>
      <c r="T108" s="1357"/>
      <c r="U108" s="1356" t="s">
        <v>1286</v>
      </c>
      <c r="V108" s="1357"/>
      <c r="W108" s="1356" t="s">
        <v>1286</v>
      </c>
      <c r="X108" s="1357"/>
      <c r="Y108" s="1356" t="s">
        <v>1286</v>
      </c>
      <c r="Z108" s="1357"/>
      <c r="AA108" s="1356" t="s">
        <v>1286</v>
      </c>
      <c r="AB108" s="1357"/>
      <c r="AC108" s="1356" t="s">
        <v>1286</v>
      </c>
      <c r="AD108" s="1357"/>
      <c r="AE108" s="1356" t="s">
        <v>1286</v>
      </c>
      <c r="AF108" s="1357"/>
      <c r="AG108" s="1356" t="s">
        <v>1286</v>
      </c>
      <c r="AH108" s="1357"/>
      <c r="AI108" s="1356" t="s">
        <v>1286</v>
      </c>
      <c r="AJ108" s="1357"/>
      <c r="AK108" s="1356" t="s">
        <v>1286</v>
      </c>
      <c r="AL108" s="1357"/>
      <c r="AM108" s="1356" t="s">
        <v>1286</v>
      </c>
      <c r="AN108" s="1357"/>
      <c r="AO108" s="1356" t="s">
        <v>1286</v>
      </c>
      <c r="AP108" s="1357"/>
      <c r="AQ108" s="1356" t="s">
        <v>1286</v>
      </c>
      <c r="AR108" s="1357"/>
      <c r="AS108" s="1356" t="s">
        <v>1286</v>
      </c>
      <c r="AT108" s="1357"/>
      <c r="AU108" s="1356" t="s">
        <v>1286</v>
      </c>
      <c r="AV108" s="1357"/>
      <c r="AW108" s="1356" t="s">
        <v>1286</v>
      </c>
      <c r="AX108" s="1357"/>
      <c r="AY108" s="1356" t="s">
        <v>1286</v>
      </c>
      <c r="AZ108" s="1357"/>
      <c r="BA108" s="1356" t="s">
        <v>1286</v>
      </c>
      <c r="BB108" s="1357"/>
      <c r="BC108" s="1356" t="s">
        <v>1286</v>
      </c>
      <c r="BD108" s="1357"/>
      <c r="BE108" s="1356" t="s">
        <v>1286</v>
      </c>
      <c r="BF108" s="1357"/>
      <c r="BG108" s="1356" t="s">
        <v>1286</v>
      </c>
      <c r="BH108" s="1357"/>
      <c r="BI108" s="1356" t="s">
        <v>1286</v>
      </c>
      <c r="BJ108" s="1357"/>
      <c r="BK108" s="1356" t="s">
        <v>1286</v>
      </c>
      <c r="BL108" s="1357"/>
      <c r="BM108" s="1356" t="s">
        <v>1286</v>
      </c>
      <c r="BN108" s="1357"/>
      <c r="BO108" s="1356" t="s">
        <v>1286</v>
      </c>
      <c r="BP108" s="1357"/>
      <c r="BQ108" s="1356" t="s">
        <v>1286</v>
      </c>
      <c r="BR108" s="1357"/>
      <c r="BS108" s="1356" t="s">
        <v>1286</v>
      </c>
      <c r="BT108" s="1357"/>
      <c r="BU108" s="1356" t="s">
        <v>1286</v>
      </c>
      <c r="BV108" s="1357"/>
      <c r="BW108" s="1356" t="s">
        <v>1286</v>
      </c>
      <c r="BX108" s="1357"/>
      <c r="BY108" s="1356" t="s">
        <v>1286</v>
      </c>
      <c r="BZ108" s="1357"/>
      <c r="CA108" s="1356" t="s">
        <v>1286</v>
      </c>
      <c r="CB108" s="1357"/>
      <c r="CC108" s="1356" t="s">
        <v>1286</v>
      </c>
      <c r="CD108" s="1357"/>
      <c r="CE108" s="1356" t="s">
        <v>1286</v>
      </c>
      <c r="CF108" s="1357"/>
      <c r="CG108" s="1356" t="s">
        <v>1286</v>
      </c>
      <c r="CH108" s="1357"/>
      <c r="CI108" s="1356" t="s">
        <v>1286</v>
      </c>
      <c r="CJ108" s="1357"/>
      <c r="CK108" s="1356" t="s">
        <v>1286</v>
      </c>
      <c r="CL108" s="1357"/>
      <c r="CM108" s="1356" t="s">
        <v>1286</v>
      </c>
      <c r="CN108" s="1357"/>
      <c r="CO108" s="1356" t="s">
        <v>1286</v>
      </c>
      <c r="CP108" s="1357"/>
      <c r="CQ108" s="1356" t="s">
        <v>1286</v>
      </c>
      <c r="CR108" s="1357"/>
      <c r="CS108" s="1356" t="s">
        <v>1286</v>
      </c>
      <c r="CT108" s="1357"/>
      <c r="CU108" s="1356" t="s">
        <v>1286</v>
      </c>
      <c r="CV108" s="1357"/>
      <c r="CW108" s="1356" t="s">
        <v>1286</v>
      </c>
      <c r="CX108" s="1357"/>
      <c r="CY108" s="1356" t="s">
        <v>1286</v>
      </c>
      <c r="CZ108" s="1357"/>
      <c r="DA108" s="1356"/>
      <c r="DB108" s="1357"/>
      <c r="DC108" s="1356"/>
      <c r="DD108" s="1357"/>
      <c r="DE108" s="1356"/>
      <c r="DF108" s="1357"/>
      <c r="DG108" s="1356"/>
      <c r="DH108" s="1357"/>
      <c r="DI108" s="1356"/>
      <c r="DJ108" s="1357"/>
      <c r="DK108" s="1356"/>
      <c r="DL108" s="1357"/>
      <c r="DM108" s="1356"/>
      <c r="DN108" s="1357"/>
      <c r="DO108" s="1356"/>
      <c r="DP108" s="1357"/>
      <c r="DQ108" s="1356"/>
      <c r="DR108" s="1357"/>
      <c r="DS108" s="1356"/>
      <c r="DT108" s="1357"/>
      <c r="DU108" s="1356"/>
      <c r="DV108" s="1357"/>
      <c r="DW108" s="1356"/>
      <c r="DX108" s="1357"/>
      <c r="DY108" s="1356"/>
      <c r="DZ108" s="1357"/>
      <c r="EA108" s="1356"/>
      <c r="EB108" s="1357"/>
      <c r="EC108" s="1356"/>
      <c r="ED108" s="1357"/>
      <c r="EE108" s="1356"/>
      <c r="EF108" s="1357"/>
      <c r="EG108" s="1356"/>
      <c r="EH108" s="1357"/>
      <c r="EI108" s="1356"/>
      <c r="EJ108" s="1357"/>
      <c r="EK108" s="1356"/>
      <c r="EL108" s="1357"/>
      <c r="EM108" s="1356"/>
      <c r="EN108" s="1357"/>
      <c r="EO108" s="1356"/>
      <c r="EP108" s="1357"/>
      <c r="EQ108" s="1356"/>
      <c r="ER108" s="1357"/>
      <c r="ES108" s="1356"/>
      <c r="ET108" s="1357"/>
      <c r="EU108" s="1356"/>
      <c r="EV108" s="1357"/>
      <c r="EW108" s="1356"/>
      <c r="EX108" s="1357"/>
      <c r="EY108" s="1356"/>
      <c r="EZ108" s="1357"/>
      <c r="FA108" s="1356"/>
      <c r="FB108" s="1357"/>
      <c r="FC108" s="1356"/>
      <c r="FD108" s="1357"/>
      <c r="FE108" s="1356"/>
      <c r="FF108" s="1357"/>
      <c r="FG108" s="1356"/>
      <c r="FH108" s="1357"/>
      <c r="FI108" s="1356"/>
      <c r="FJ108" s="1357"/>
      <c r="FK108" s="1356"/>
      <c r="FL108" s="1357"/>
      <c r="FM108" s="1356"/>
      <c r="FN108" s="1357"/>
      <c r="FO108" s="1356"/>
      <c r="FP108" s="1357"/>
      <c r="FQ108" s="1356"/>
      <c r="FR108" s="1357"/>
      <c r="FS108" s="1356"/>
      <c r="FT108" s="1357"/>
      <c r="FU108" s="1356"/>
      <c r="FV108" s="1357"/>
      <c r="FW108" s="1356"/>
      <c r="FX108" s="1357"/>
      <c r="FY108" s="1356"/>
      <c r="FZ108" s="1357"/>
      <c r="GA108" s="1356"/>
      <c r="GB108" s="1357"/>
      <c r="GC108" s="1356"/>
      <c r="GD108" s="1357"/>
      <c r="GE108" s="1356"/>
      <c r="GF108" s="1357"/>
      <c r="GG108" s="1356"/>
      <c r="GH108" s="1357"/>
      <c r="GI108" s="1356"/>
      <c r="GJ108" s="1357"/>
      <c r="GK108" s="1356"/>
      <c r="GL108" s="1357"/>
      <c r="GM108" s="1356"/>
      <c r="GN108" s="1357"/>
      <c r="GO108" s="1356"/>
      <c r="GP108" s="1357"/>
      <c r="GQ108" s="1356"/>
      <c r="GR108" s="1357"/>
      <c r="GS108" s="1356"/>
      <c r="GT108" s="1357"/>
      <c r="GU108" s="1356"/>
      <c r="GV108" s="1357"/>
      <c r="GW108" s="1356"/>
      <c r="GX108" s="1357"/>
      <c r="GY108" s="1356"/>
      <c r="GZ108" s="1357"/>
    </row>
    <row r="109" spans="3:208">
      <c r="C109" s="1356" t="s">
        <v>1286</v>
      </c>
      <c r="D109" s="1357"/>
      <c r="E109" s="1356" t="s">
        <v>1286</v>
      </c>
      <c r="F109" s="1357"/>
      <c r="G109" s="1356" t="s">
        <v>1286</v>
      </c>
      <c r="H109" s="1357"/>
      <c r="I109" s="1356" t="s">
        <v>1286</v>
      </c>
      <c r="J109" s="1357"/>
      <c r="K109" s="1356" t="s">
        <v>1286</v>
      </c>
      <c r="L109" s="1357"/>
      <c r="M109" s="1356" t="s">
        <v>1286</v>
      </c>
      <c r="N109" s="1357"/>
      <c r="O109" s="1356" t="s">
        <v>1286</v>
      </c>
      <c r="P109" s="1357"/>
      <c r="Q109" s="1356" t="s">
        <v>1286</v>
      </c>
      <c r="R109" s="1357"/>
      <c r="S109" s="1356" t="s">
        <v>1286</v>
      </c>
      <c r="T109" s="1357"/>
      <c r="U109" s="1356" t="s">
        <v>1286</v>
      </c>
      <c r="V109" s="1357"/>
      <c r="W109" s="1356" t="s">
        <v>1286</v>
      </c>
      <c r="X109" s="1357"/>
      <c r="Y109" s="1356" t="s">
        <v>1286</v>
      </c>
      <c r="Z109" s="1357"/>
      <c r="AA109" s="1356" t="s">
        <v>1286</v>
      </c>
      <c r="AB109" s="1357"/>
      <c r="AC109" s="1356" t="s">
        <v>1286</v>
      </c>
      <c r="AD109" s="1357"/>
      <c r="AE109" s="1356" t="s">
        <v>1286</v>
      </c>
      <c r="AF109" s="1357"/>
      <c r="AG109" s="1356" t="s">
        <v>1286</v>
      </c>
      <c r="AH109" s="1357"/>
      <c r="AI109" s="1356" t="s">
        <v>1286</v>
      </c>
      <c r="AJ109" s="1357"/>
      <c r="AK109" s="1356" t="s">
        <v>1286</v>
      </c>
      <c r="AL109" s="1357"/>
      <c r="AM109" s="1356" t="s">
        <v>1286</v>
      </c>
      <c r="AN109" s="1357"/>
      <c r="AO109" s="1356" t="s">
        <v>1286</v>
      </c>
      <c r="AP109" s="1357"/>
      <c r="AQ109" s="1356" t="s">
        <v>1286</v>
      </c>
      <c r="AR109" s="1357"/>
      <c r="AS109" s="1356" t="s">
        <v>1286</v>
      </c>
      <c r="AT109" s="1357"/>
      <c r="AU109" s="1356" t="s">
        <v>1286</v>
      </c>
      <c r="AV109" s="1357"/>
      <c r="AW109" s="1356" t="s">
        <v>1286</v>
      </c>
      <c r="AX109" s="1357"/>
      <c r="AY109" s="1356" t="s">
        <v>1286</v>
      </c>
      <c r="AZ109" s="1357"/>
      <c r="BA109" s="1356" t="s">
        <v>1286</v>
      </c>
      <c r="BB109" s="1357"/>
      <c r="BC109" s="1356" t="s">
        <v>1286</v>
      </c>
      <c r="BD109" s="1357"/>
      <c r="BE109" s="1356" t="s">
        <v>1286</v>
      </c>
      <c r="BF109" s="1357"/>
      <c r="BG109" s="1356" t="s">
        <v>1286</v>
      </c>
      <c r="BH109" s="1357"/>
      <c r="BI109" s="1356" t="s">
        <v>1286</v>
      </c>
      <c r="BJ109" s="1357"/>
      <c r="BK109" s="1356" t="s">
        <v>1286</v>
      </c>
      <c r="BL109" s="1357"/>
      <c r="BM109" s="1356" t="s">
        <v>1286</v>
      </c>
      <c r="BN109" s="1357"/>
      <c r="BO109" s="1356" t="s">
        <v>1286</v>
      </c>
      <c r="BP109" s="1357"/>
      <c r="BQ109" s="1356" t="s">
        <v>1286</v>
      </c>
      <c r="BR109" s="1357"/>
      <c r="BS109" s="1356" t="s">
        <v>1286</v>
      </c>
      <c r="BT109" s="1357"/>
      <c r="BU109" s="1356" t="s">
        <v>1286</v>
      </c>
      <c r="BV109" s="1357"/>
      <c r="BW109" s="1356" t="s">
        <v>1286</v>
      </c>
      <c r="BX109" s="1357"/>
      <c r="BY109" s="1356" t="s">
        <v>1286</v>
      </c>
      <c r="BZ109" s="1357"/>
      <c r="CA109" s="1356" t="s">
        <v>1286</v>
      </c>
      <c r="CB109" s="1357"/>
      <c r="CC109" s="1356" t="s">
        <v>1286</v>
      </c>
      <c r="CD109" s="1357"/>
      <c r="CE109" s="1356" t="s">
        <v>1286</v>
      </c>
      <c r="CF109" s="1357"/>
      <c r="CG109" s="1356" t="s">
        <v>1286</v>
      </c>
      <c r="CH109" s="1357"/>
      <c r="CI109" s="1356" t="s">
        <v>1286</v>
      </c>
      <c r="CJ109" s="1357"/>
      <c r="CK109" s="1356" t="s">
        <v>1286</v>
      </c>
      <c r="CL109" s="1357"/>
      <c r="CM109" s="1356" t="s">
        <v>1286</v>
      </c>
      <c r="CN109" s="1357"/>
      <c r="CO109" s="1356" t="s">
        <v>1286</v>
      </c>
      <c r="CP109" s="1357"/>
      <c r="CQ109" s="1356" t="s">
        <v>1286</v>
      </c>
      <c r="CR109" s="1357"/>
      <c r="CS109" s="1356" t="s">
        <v>1286</v>
      </c>
      <c r="CT109" s="1357"/>
      <c r="CU109" s="1356" t="s">
        <v>1286</v>
      </c>
      <c r="CV109" s="1357"/>
      <c r="CW109" s="1356" t="s">
        <v>1286</v>
      </c>
      <c r="CX109" s="1357"/>
      <c r="CY109" s="1356" t="s">
        <v>1286</v>
      </c>
      <c r="CZ109" s="1357"/>
      <c r="DA109" s="1356"/>
      <c r="DB109" s="1357"/>
      <c r="DC109" s="1356"/>
      <c r="DD109" s="1357"/>
      <c r="DE109" s="1356"/>
      <c r="DF109" s="1357"/>
      <c r="DG109" s="1356"/>
      <c r="DH109" s="1357"/>
      <c r="DI109" s="1356"/>
      <c r="DJ109" s="1357"/>
      <c r="DK109" s="1356"/>
      <c r="DL109" s="1357"/>
      <c r="DM109" s="1356"/>
      <c r="DN109" s="1357"/>
      <c r="DO109" s="1356"/>
      <c r="DP109" s="1357"/>
      <c r="DQ109" s="1356"/>
      <c r="DR109" s="1357"/>
      <c r="DS109" s="1356"/>
      <c r="DT109" s="1357"/>
      <c r="DU109" s="1356"/>
      <c r="DV109" s="1357"/>
      <c r="DW109" s="1356"/>
      <c r="DX109" s="1357"/>
      <c r="DY109" s="1356"/>
      <c r="DZ109" s="1357"/>
      <c r="EA109" s="1356"/>
      <c r="EB109" s="1357"/>
      <c r="EC109" s="1356"/>
      <c r="ED109" s="1357"/>
      <c r="EE109" s="1356"/>
      <c r="EF109" s="1357"/>
      <c r="EG109" s="1356"/>
      <c r="EH109" s="1357"/>
      <c r="EI109" s="1356"/>
      <c r="EJ109" s="1357"/>
      <c r="EK109" s="1356"/>
      <c r="EL109" s="1357"/>
      <c r="EM109" s="1356"/>
      <c r="EN109" s="1357"/>
      <c r="EO109" s="1356"/>
      <c r="EP109" s="1357"/>
      <c r="EQ109" s="1356"/>
      <c r="ER109" s="1357"/>
      <c r="ES109" s="1356"/>
      <c r="ET109" s="1357"/>
      <c r="EU109" s="1356"/>
      <c r="EV109" s="1357"/>
      <c r="EW109" s="1356"/>
      <c r="EX109" s="1357"/>
      <c r="EY109" s="1356"/>
      <c r="EZ109" s="1357"/>
      <c r="FA109" s="1356"/>
      <c r="FB109" s="1357"/>
      <c r="FC109" s="1356"/>
      <c r="FD109" s="1357"/>
      <c r="FE109" s="1356"/>
      <c r="FF109" s="1357"/>
      <c r="FG109" s="1356"/>
      <c r="FH109" s="1357"/>
      <c r="FI109" s="1356"/>
      <c r="FJ109" s="1357"/>
      <c r="FK109" s="1356"/>
      <c r="FL109" s="1357"/>
      <c r="FM109" s="1356"/>
      <c r="FN109" s="1357"/>
      <c r="FO109" s="1356"/>
      <c r="FP109" s="1357"/>
      <c r="FQ109" s="1356"/>
      <c r="FR109" s="1357"/>
      <c r="FS109" s="1356"/>
      <c r="FT109" s="1357"/>
      <c r="FU109" s="1356"/>
      <c r="FV109" s="1357"/>
      <c r="FW109" s="1356"/>
      <c r="FX109" s="1357"/>
      <c r="FY109" s="1356"/>
      <c r="FZ109" s="1357"/>
      <c r="GA109" s="1356"/>
      <c r="GB109" s="1357"/>
      <c r="GC109" s="1356"/>
      <c r="GD109" s="1357"/>
      <c r="GE109" s="1356"/>
      <c r="GF109" s="1357"/>
      <c r="GG109" s="1356"/>
      <c r="GH109" s="1357"/>
      <c r="GI109" s="1356"/>
      <c r="GJ109" s="1357"/>
      <c r="GK109" s="1356"/>
      <c r="GL109" s="1357"/>
      <c r="GM109" s="1356"/>
      <c r="GN109" s="1357"/>
      <c r="GO109" s="1356"/>
      <c r="GP109" s="1357"/>
      <c r="GQ109" s="1356"/>
      <c r="GR109" s="1357"/>
      <c r="GS109" s="1356"/>
      <c r="GT109" s="1357"/>
      <c r="GU109" s="1356"/>
      <c r="GV109" s="1357"/>
      <c r="GW109" s="1356"/>
      <c r="GX109" s="1357"/>
      <c r="GY109" s="1356"/>
      <c r="GZ109" s="1357"/>
    </row>
    <row r="110" spans="3:208">
      <c r="C110" s="1356" t="s">
        <v>1286</v>
      </c>
      <c r="D110" s="1357"/>
      <c r="E110" s="1356" t="s">
        <v>1286</v>
      </c>
      <c r="F110" s="1357"/>
      <c r="G110" s="1356" t="s">
        <v>1286</v>
      </c>
      <c r="H110" s="1357"/>
      <c r="I110" s="1356" t="s">
        <v>1286</v>
      </c>
      <c r="J110" s="1357"/>
      <c r="K110" s="1356" t="s">
        <v>1286</v>
      </c>
      <c r="L110" s="1357"/>
      <c r="M110" s="1356" t="s">
        <v>1286</v>
      </c>
      <c r="N110" s="1357"/>
      <c r="O110" s="1356" t="s">
        <v>1286</v>
      </c>
      <c r="P110" s="1357"/>
      <c r="Q110" s="1356" t="s">
        <v>1286</v>
      </c>
      <c r="R110" s="1357"/>
      <c r="S110" s="1356" t="s">
        <v>1286</v>
      </c>
      <c r="T110" s="1357"/>
      <c r="U110" s="1356" t="s">
        <v>1286</v>
      </c>
      <c r="V110" s="1357"/>
      <c r="W110" s="1356" t="s">
        <v>1286</v>
      </c>
      <c r="X110" s="1357"/>
      <c r="Y110" s="1356" t="s">
        <v>1286</v>
      </c>
      <c r="Z110" s="1357"/>
      <c r="AA110" s="1356" t="s">
        <v>1286</v>
      </c>
      <c r="AB110" s="1357"/>
      <c r="AC110" s="1356" t="s">
        <v>1286</v>
      </c>
      <c r="AD110" s="1357"/>
      <c r="AE110" s="1356" t="s">
        <v>1286</v>
      </c>
      <c r="AF110" s="1357"/>
      <c r="AG110" s="1356" t="s">
        <v>1286</v>
      </c>
      <c r="AH110" s="1357"/>
      <c r="AI110" s="1356" t="s">
        <v>1286</v>
      </c>
      <c r="AJ110" s="1357"/>
      <c r="AK110" s="1356" t="s">
        <v>1286</v>
      </c>
      <c r="AL110" s="1357"/>
      <c r="AM110" s="1356" t="s">
        <v>1286</v>
      </c>
      <c r="AN110" s="1357"/>
      <c r="AO110" s="1356" t="s">
        <v>1286</v>
      </c>
      <c r="AP110" s="1357"/>
      <c r="AQ110" s="1356" t="s">
        <v>1286</v>
      </c>
      <c r="AR110" s="1357"/>
      <c r="AS110" s="1356" t="s">
        <v>1286</v>
      </c>
      <c r="AT110" s="1357"/>
      <c r="AU110" s="1356" t="s">
        <v>1286</v>
      </c>
      <c r="AV110" s="1357"/>
      <c r="AW110" s="1356" t="s">
        <v>1286</v>
      </c>
      <c r="AX110" s="1357"/>
      <c r="AY110" s="1356" t="s">
        <v>1286</v>
      </c>
      <c r="AZ110" s="1357"/>
      <c r="BA110" s="1356" t="s">
        <v>1286</v>
      </c>
      <c r="BB110" s="1357"/>
      <c r="BC110" s="1356" t="s">
        <v>1286</v>
      </c>
      <c r="BD110" s="1357"/>
      <c r="BE110" s="1356" t="s">
        <v>1286</v>
      </c>
      <c r="BF110" s="1357"/>
      <c r="BG110" s="1356" t="s">
        <v>1286</v>
      </c>
      <c r="BH110" s="1357"/>
      <c r="BI110" s="1356" t="s">
        <v>1286</v>
      </c>
      <c r="BJ110" s="1357"/>
      <c r="BK110" s="1356" t="s">
        <v>1286</v>
      </c>
      <c r="BL110" s="1357"/>
      <c r="BM110" s="1356" t="s">
        <v>1286</v>
      </c>
      <c r="BN110" s="1357"/>
      <c r="BO110" s="1356" t="s">
        <v>1286</v>
      </c>
      <c r="BP110" s="1357"/>
      <c r="BQ110" s="1356" t="s">
        <v>1286</v>
      </c>
      <c r="BR110" s="1357"/>
      <c r="BS110" s="1356" t="s">
        <v>1286</v>
      </c>
      <c r="BT110" s="1357"/>
      <c r="BU110" s="1356" t="s">
        <v>1286</v>
      </c>
      <c r="BV110" s="1357"/>
      <c r="BW110" s="1356" t="s">
        <v>1286</v>
      </c>
      <c r="BX110" s="1357"/>
      <c r="BY110" s="1356" t="s">
        <v>1286</v>
      </c>
      <c r="BZ110" s="1357"/>
      <c r="CA110" s="1356" t="s">
        <v>1286</v>
      </c>
      <c r="CB110" s="1357"/>
      <c r="CC110" s="1356" t="s">
        <v>1286</v>
      </c>
      <c r="CD110" s="1357"/>
      <c r="CE110" s="1356" t="s">
        <v>1286</v>
      </c>
      <c r="CF110" s="1357"/>
      <c r="CG110" s="1356" t="s">
        <v>1286</v>
      </c>
      <c r="CH110" s="1357"/>
      <c r="CI110" s="1356" t="s">
        <v>1286</v>
      </c>
      <c r="CJ110" s="1357"/>
      <c r="CK110" s="1356" t="s">
        <v>1286</v>
      </c>
      <c r="CL110" s="1357"/>
      <c r="CM110" s="1356" t="s">
        <v>1286</v>
      </c>
      <c r="CN110" s="1357"/>
      <c r="CO110" s="1356" t="s">
        <v>1286</v>
      </c>
      <c r="CP110" s="1357"/>
      <c r="CQ110" s="1356" t="s">
        <v>1286</v>
      </c>
      <c r="CR110" s="1357"/>
      <c r="CS110" s="1356" t="s">
        <v>1286</v>
      </c>
      <c r="CT110" s="1357"/>
      <c r="CU110" s="1356" t="s">
        <v>1286</v>
      </c>
      <c r="CV110" s="1357"/>
      <c r="CW110" s="1356" t="s">
        <v>1286</v>
      </c>
      <c r="CX110" s="1357"/>
      <c r="CY110" s="1356" t="s">
        <v>1286</v>
      </c>
      <c r="CZ110" s="1357"/>
      <c r="DA110" s="1356"/>
      <c r="DB110" s="1357"/>
      <c r="DC110" s="1356"/>
      <c r="DD110" s="1357"/>
      <c r="DE110" s="1356"/>
      <c r="DF110" s="1357"/>
      <c r="DG110" s="1356"/>
      <c r="DH110" s="1357"/>
      <c r="DI110" s="1356"/>
      <c r="DJ110" s="1357"/>
      <c r="DK110" s="1356"/>
      <c r="DL110" s="1357"/>
      <c r="DM110" s="1356"/>
      <c r="DN110" s="1357"/>
      <c r="DO110" s="1356"/>
      <c r="DP110" s="1357"/>
      <c r="DQ110" s="1356"/>
      <c r="DR110" s="1357"/>
      <c r="DS110" s="1356"/>
      <c r="DT110" s="1357"/>
      <c r="DU110" s="1356"/>
      <c r="DV110" s="1357"/>
      <c r="DW110" s="1356"/>
      <c r="DX110" s="1357"/>
      <c r="DY110" s="1356"/>
      <c r="DZ110" s="1357"/>
      <c r="EA110" s="1356"/>
      <c r="EB110" s="1357"/>
      <c r="EC110" s="1356"/>
      <c r="ED110" s="1357"/>
      <c r="EE110" s="1356"/>
      <c r="EF110" s="1357"/>
      <c r="EG110" s="1356"/>
      <c r="EH110" s="1357"/>
      <c r="EI110" s="1356"/>
      <c r="EJ110" s="1357"/>
      <c r="EK110" s="1356"/>
      <c r="EL110" s="1357"/>
      <c r="EM110" s="1356"/>
      <c r="EN110" s="1357"/>
      <c r="EO110" s="1356"/>
      <c r="EP110" s="1357"/>
      <c r="EQ110" s="1356"/>
      <c r="ER110" s="1357"/>
      <c r="ES110" s="1356"/>
      <c r="ET110" s="1357"/>
      <c r="EU110" s="1356"/>
      <c r="EV110" s="1357"/>
      <c r="EW110" s="1356"/>
      <c r="EX110" s="1357"/>
      <c r="EY110" s="1356"/>
      <c r="EZ110" s="1357"/>
      <c r="FA110" s="1356"/>
      <c r="FB110" s="1357"/>
      <c r="FC110" s="1356"/>
      <c r="FD110" s="1357"/>
      <c r="FE110" s="1356"/>
      <c r="FF110" s="1357"/>
      <c r="FG110" s="1356"/>
      <c r="FH110" s="1357"/>
      <c r="FI110" s="1356"/>
      <c r="FJ110" s="1357"/>
      <c r="FK110" s="1356"/>
      <c r="FL110" s="1357"/>
      <c r="FM110" s="1356"/>
      <c r="FN110" s="1357"/>
      <c r="FO110" s="1356"/>
      <c r="FP110" s="1357"/>
      <c r="FQ110" s="1356"/>
      <c r="FR110" s="1357"/>
      <c r="FS110" s="1356"/>
      <c r="FT110" s="1357"/>
      <c r="FU110" s="1356"/>
      <c r="FV110" s="1357"/>
      <c r="FW110" s="1356"/>
      <c r="FX110" s="1357"/>
      <c r="FY110" s="1356"/>
      <c r="FZ110" s="1357"/>
      <c r="GA110" s="1356"/>
      <c r="GB110" s="1357"/>
      <c r="GC110" s="1356"/>
      <c r="GD110" s="1357"/>
      <c r="GE110" s="1356"/>
      <c r="GF110" s="1357"/>
      <c r="GG110" s="1356"/>
      <c r="GH110" s="1357"/>
      <c r="GI110" s="1356"/>
      <c r="GJ110" s="1357"/>
      <c r="GK110" s="1356"/>
      <c r="GL110" s="1357"/>
      <c r="GM110" s="1356"/>
      <c r="GN110" s="1357"/>
      <c r="GO110" s="1356"/>
      <c r="GP110" s="1357"/>
      <c r="GQ110" s="1356"/>
      <c r="GR110" s="1357"/>
      <c r="GS110" s="1356"/>
      <c r="GT110" s="1357"/>
      <c r="GU110" s="1356"/>
      <c r="GV110" s="1357"/>
      <c r="GW110" s="1356"/>
      <c r="GX110" s="1357"/>
      <c r="GY110" s="1356"/>
      <c r="GZ110" s="1357"/>
    </row>
    <row r="111" spans="3:208">
      <c r="C111" s="1356" t="s">
        <v>1286</v>
      </c>
      <c r="D111" s="1357"/>
      <c r="E111" s="1356" t="s">
        <v>1286</v>
      </c>
      <c r="F111" s="1357"/>
      <c r="G111" s="1356" t="s">
        <v>1286</v>
      </c>
      <c r="H111" s="1357"/>
      <c r="I111" s="1356" t="s">
        <v>1286</v>
      </c>
      <c r="J111" s="1357"/>
      <c r="K111" s="1356" t="s">
        <v>1286</v>
      </c>
      <c r="L111" s="1357"/>
      <c r="M111" s="1356" t="s">
        <v>1286</v>
      </c>
      <c r="N111" s="1357"/>
      <c r="O111" s="1356" t="s">
        <v>1286</v>
      </c>
      <c r="P111" s="1357"/>
      <c r="Q111" s="1356" t="s">
        <v>1286</v>
      </c>
      <c r="R111" s="1357"/>
      <c r="S111" s="1356" t="s">
        <v>1286</v>
      </c>
      <c r="T111" s="1357"/>
      <c r="U111" s="1356" t="s">
        <v>1286</v>
      </c>
      <c r="V111" s="1357"/>
      <c r="W111" s="1356" t="s">
        <v>1286</v>
      </c>
      <c r="X111" s="1357"/>
      <c r="Y111" s="1356" t="s">
        <v>1286</v>
      </c>
      <c r="Z111" s="1357"/>
      <c r="AA111" s="1356" t="s">
        <v>1286</v>
      </c>
      <c r="AB111" s="1357"/>
      <c r="AC111" s="1356" t="s">
        <v>1286</v>
      </c>
      <c r="AD111" s="1357"/>
      <c r="AE111" s="1356" t="s">
        <v>1286</v>
      </c>
      <c r="AF111" s="1357"/>
      <c r="AG111" s="1356" t="s">
        <v>1286</v>
      </c>
      <c r="AH111" s="1357"/>
      <c r="AI111" s="1356" t="s">
        <v>1286</v>
      </c>
      <c r="AJ111" s="1357"/>
      <c r="AK111" s="1356" t="s">
        <v>1286</v>
      </c>
      <c r="AL111" s="1357"/>
      <c r="AM111" s="1356" t="s">
        <v>1286</v>
      </c>
      <c r="AN111" s="1357"/>
      <c r="AO111" s="1356" t="s">
        <v>1286</v>
      </c>
      <c r="AP111" s="1357"/>
      <c r="AQ111" s="1356" t="s">
        <v>1286</v>
      </c>
      <c r="AR111" s="1357"/>
      <c r="AS111" s="1356" t="s">
        <v>1286</v>
      </c>
      <c r="AT111" s="1357"/>
      <c r="AU111" s="1356" t="s">
        <v>1286</v>
      </c>
      <c r="AV111" s="1357"/>
      <c r="AW111" s="1356" t="s">
        <v>1286</v>
      </c>
      <c r="AX111" s="1357"/>
      <c r="AY111" s="1356" t="s">
        <v>1286</v>
      </c>
      <c r="AZ111" s="1357"/>
      <c r="BA111" s="1356" t="s">
        <v>1286</v>
      </c>
      <c r="BB111" s="1357"/>
      <c r="BC111" s="1356" t="s">
        <v>1286</v>
      </c>
      <c r="BD111" s="1357"/>
      <c r="BE111" s="1356" t="s">
        <v>1286</v>
      </c>
      <c r="BF111" s="1357"/>
      <c r="BG111" s="1356" t="s">
        <v>1286</v>
      </c>
      <c r="BH111" s="1357"/>
      <c r="BI111" s="1356" t="s">
        <v>1286</v>
      </c>
      <c r="BJ111" s="1357"/>
      <c r="BK111" s="1356" t="s">
        <v>1286</v>
      </c>
      <c r="BL111" s="1357"/>
      <c r="BM111" s="1356" t="s">
        <v>1286</v>
      </c>
      <c r="BN111" s="1357"/>
      <c r="BO111" s="1356" t="s">
        <v>1286</v>
      </c>
      <c r="BP111" s="1357"/>
      <c r="BQ111" s="1356" t="s">
        <v>1286</v>
      </c>
      <c r="BR111" s="1357"/>
      <c r="BS111" s="1356" t="s">
        <v>1286</v>
      </c>
      <c r="BT111" s="1357"/>
      <c r="BU111" s="1356" t="s">
        <v>1286</v>
      </c>
      <c r="BV111" s="1357"/>
      <c r="BW111" s="1356" t="s">
        <v>1286</v>
      </c>
      <c r="BX111" s="1357"/>
      <c r="BY111" s="1356" t="s">
        <v>1286</v>
      </c>
      <c r="BZ111" s="1357"/>
      <c r="CA111" s="1356" t="s">
        <v>1286</v>
      </c>
      <c r="CB111" s="1357"/>
      <c r="CC111" s="1356" t="s">
        <v>1286</v>
      </c>
      <c r="CD111" s="1357"/>
      <c r="CE111" s="1356" t="s">
        <v>1286</v>
      </c>
      <c r="CF111" s="1357"/>
      <c r="CG111" s="1356" t="s">
        <v>1286</v>
      </c>
      <c r="CH111" s="1357"/>
      <c r="CI111" s="1356" t="s">
        <v>1286</v>
      </c>
      <c r="CJ111" s="1357"/>
      <c r="CK111" s="1356" t="s">
        <v>1286</v>
      </c>
      <c r="CL111" s="1357"/>
      <c r="CM111" s="1356" t="s">
        <v>1286</v>
      </c>
      <c r="CN111" s="1357"/>
      <c r="CO111" s="1356" t="s">
        <v>1286</v>
      </c>
      <c r="CP111" s="1357"/>
      <c r="CQ111" s="1356" t="s">
        <v>1286</v>
      </c>
      <c r="CR111" s="1357"/>
      <c r="CS111" s="1356" t="s">
        <v>1286</v>
      </c>
      <c r="CT111" s="1357"/>
      <c r="CU111" s="1356" t="s">
        <v>1286</v>
      </c>
      <c r="CV111" s="1357"/>
      <c r="CW111" s="1356" t="s">
        <v>1286</v>
      </c>
      <c r="CX111" s="1357"/>
      <c r="CY111" s="1356" t="s">
        <v>1286</v>
      </c>
      <c r="CZ111" s="1357"/>
      <c r="DA111" s="1356"/>
      <c r="DB111" s="1357"/>
      <c r="DC111" s="1356"/>
      <c r="DD111" s="1357"/>
      <c r="DE111" s="1356"/>
      <c r="DF111" s="1357"/>
      <c r="DG111" s="1356"/>
      <c r="DH111" s="1357"/>
      <c r="DI111" s="1356"/>
      <c r="DJ111" s="1357"/>
      <c r="DK111" s="1356"/>
      <c r="DL111" s="1357"/>
      <c r="DM111" s="1356"/>
      <c r="DN111" s="1357"/>
      <c r="DO111" s="1356"/>
      <c r="DP111" s="1357"/>
      <c r="DQ111" s="1356"/>
      <c r="DR111" s="1357"/>
      <c r="DS111" s="1356"/>
      <c r="DT111" s="1357"/>
      <c r="DU111" s="1356"/>
      <c r="DV111" s="1357"/>
      <c r="DW111" s="1356"/>
      <c r="DX111" s="1357"/>
      <c r="DY111" s="1356"/>
      <c r="DZ111" s="1357"/>
      <c r="EA111" s="1356"/>
      <c r="EB111" s="1357"/>
      <c r="EC111" s="1356"/>
      <c r="ED111" s="1357"/>
      <c r="EE111" s="1356"/>
      <c r="EF111" s="1357"/>
      <c r="EG111" s="1356"/>
      <c r="EH111" s="1357"/>
      <c r="EI111" s="1356"/>
      <c r="EJ111" s="1357"/>
      <c r="EK111" s="1356"/>
      <c r="EL111" s="1357"/>
      <c r="EM111" s="1356"/>
      <c r="EN111" s="1357"/>
      <c r="EO111" s="1356"/>
      <c r="EP111" s="1357"/>
      <c r="EQ111" s="1356"/>
      <c r="ER111" s="1357"/>
      <c r="ES111" s="1356"/>
      <c r="ET111" s="1357"/>
      <c r="EU111" s="1356"/>
      <c r="EV111" s="1357"/>
      <c r="EW111" s="1356"/>
      <c r="EX111" s="1357"/>
      <c r="EY111" s="1356"/>
      <c r="EZ111" s="1357"/>
      <c r="FA111" s="1356"/>
      <c r="FB111" s="1357"/>
      <c r="FC111" s="1356"/>
      <c r="FD111" s="1357"/>
      <c r="FE111" s="1356"/>
      <c r="FF111" s="1357"/>
      <c r="FG111" s="1356"/>
      <c r="FH111" s="1357"/>
      <c r="FI111" s="1356"/>
      <c r="FJ111" s="1357"/>
      <c r="FK111" s="1356"/>
      <c r="FL111" s="1357"/>
      <c r="FM111" s="1356"/>
      <c r="FN111" s="1357"/>
      <c r="FO111" s="1356"/>
      <c r="FP111" s="1357"/>
      <c r="FQ111" s="1356"/>
      <c r="FR111" s="1357"/>
      <c r="FS111" s="1356"/>
      <c r="FT111" s="1357"/>
      <c r="FU111" s="1356"/>
      <c r="FV111" s="1357"/>
      <c r="FW111" s="1356"/>
      <c r="FX111" s="1357"/>
      <c r="FY111" s="1356"/>
      <c r="FZ111" s="1357"/>
      <c r="GA111" s="1356"/>
      <c r="GB111" s="1357"/>
      <c r="GC111" s="1356"/>
      <c r="GD111" s="1357"/>
      <c r="GE111" s="1356"/>
      <c r="GF111" s="1357"/>
      <c r="GG111" s="1356"/>
      <c r="GH111" s="1357"/>
      <c r="GI111" s="1356"/>
      <c r="GJ111" s="1357"/>
      <c r="GK111" s="1356"/>
      <c r="GL111" s="1357"/>
      <c r="GM111" s="1356"/>
      <c r="GN111" s="1357"/>
      <c r="GO111" s="1356"/>
      <c r="GP111" s="1357"/>
      <c r="GQ111" s="1356"/>
      <c r="GR111" s="1357"/>
      <c r="GS111" s="1356"/>
      <c r="GT111" s="1357"/>
      <c r="GU111" s="1356"/>
      <c r="GV111" s="1357"/>
      <c r="GW111" s="1356"/>
      <c r="GX111" s="1357"/>
      <c r="GY111" s="1356"/>
      <c r="GZ111" s="1357"/>
    </row>
    <row r="112" spans="3:208">
      <c r="C112" s="1356" t="s">
        <v>1286</v>
      </c>
      <c r="D112" s="1357"/>
      <c r="E112" s="1356" t="s">
        <v>1286</v>
      </c>
      <c r="F112" s="1357"/>
      <c r="G112" s="1356" t="s">
        <v>1286</v>
      </c>
      <c r="H112" s="1357"/>
      <c r="I112" s="1356" t="s">
        <v>1286</v>
      </c>
      <c r="J112" s="1357"/>
      <c r="K112" s="1356" t="s">
        <v>1286</v>
      </c>
      <c r="L112" s="1357"/>
      <c r="M112" s="1356" t="s">
        <v>1286</v>
      </c>
      <c r="N112" s="1357"/>
      <c r="O112" s="1356" t="s">
        <v>1286</v>
      </c>
      <c r="P112" s="1357"/>
      <c r="Q112" s="1356" t="s">
        <v>1286</v>
      </c>
      <c r="R112" s="1357"/>
      <c r="S112" s="1356" t="s">
        <v>1286</v>
      </c>
      <c r="T112" s="1357"/>
      <c r="U112" s="1356" t="s">
        <v>1286</v>
      </c>
      <c r="V112" s="1357"/>
      <c r="W112" s="1356" t="s">
        <v>1286</v>
      </c>
      <c r="X112" s="1357"/>
      <c r="Y112" s="1356" t="s">
        <v>1286</v>
      </c>
      <c r="Z112" s="1357"/>
      <c r="AA112" s="1356" t="s">
        <v>1286</v>
      </c>
      <c r="AB112" s="1357"/>
      <c r="AC112" s="1356" t="s">
        <v>1286</v>
      </c>
      <c r="AD112" s="1357"/>
      <c r="AE112" s="1356" t="s">
        <v>1286</v>
      </c>
      <c r="AF112" s="1357"/>
      <c r="AG112" s="1356" t="s">
        <v>1286</v>
      </c>
      <c r="AH112" s="1357"/>
      <c r="AI112" s="1356" t="s">
        <v>1286</v>
      </c>
      <c r="AJ112" s="1357"/>
      <c r="AK112" s="1356" t="s">
        <v>1286</v>
      </c>
      <c r="AL112" s="1357"/>
      <c r="AM112" s="1356" t="s">
        <v>1286</v>
      </c>
      <c r="AN112" s="1357"/>
      <c r="AO112" s="1356" t="s">
        <v>1286</v>
      </c>
      <c r="AP112" s="1357"/>
      <c r="AQ112" s="1356" t="s">
        <v>1286</v>
      </c>
      <c r="AR112" s="1357"/>
      <c r="AS112" s="1356" t="s">
        <v>1286</v>
      </c>
      <c r="AT112" s="1357"/>
      <c r="AU112" s="1356" t="s">
        <v>1286</v>
      </c>
      <c r="AV112" s="1357"/>
      <c r="AW112" s="1356" t="s">
        <v>1286</v>
      </c>
      <c r="AX112" s="1357"/>
      <c r="AY112" s="1356" t="s">
        <v>1286</v>
      </c>
      <c r="AZ112" s="1357"/>
      <c r="BA112" s="1356" t="s">
        <v>1286</v>
      </c>
      <c r="BB112" s="1357"/>
      <c r="BC112" s="1356" t="s">
        <v>1286</v>
      </c>
      <c r="BD112" s="1357"/>
      <c r="BE112" s="1356" t="s">
        <v>1286</v>
      </c>
      <c r="BF112" s="1357"/>
      <c r="BG112" s="1356" t="s">
        <v>1286</v>
      </c>
      <c r="BH112" s="1357"/>
      <c r="BI112" s="1356" t="s">
        <v>1286</v>
      </c>
      <c r="BJ112" s="1357"/>
      <c r="BK112" s="1356" t="s">
        <v>1286</v>
      </c>
      <c r="BL112" s="1357"/>
      <c r="BM112" s="1356" t="s">
        <v>1286</v>
      </c>
      <c r="BN112" s="1357"/>
      <c r="BO112" s="1356" t="s">
        <v>1286</v>
      </c>
      <c r="BP112" s="1357"/>
      <c r="BQ112" s="1356" t="s">
        <v>1286</v>
      </c>
      <c r="BR112" s="1357"/>
      <c r="BS112" s="1356" t="s">
        <v>1286</v>
      </c>
      <c r="BT112" s="1357"/>
      <c r="BU112" s="1356" t="s">
        <v>1286</v>
      </c>
      <c r="BV112" s="1357"/>
      <c r="BW112" s="1356" t="s">
        <v>1286</v>
      </c>
      <c r="BX112" s="1357"/>
      <c r="BY112" s="1356" t="s">
        <v>1286</v>
      </c>
      <c r="BZ112" s="1357"/>
      <c r="CA112" s="1356" t="s">
        <v>1286</v>
      </c>
      <c r="CB112" s="1357"/>
      <c r="CC112" s="1356" t="s">
        <v>1286</v>
      </c>
      <c r="CD112" s="1357"/>
      <c r="CE112" s="1356" t="s">
        <v>1286</v>
      </c>
      <c r="CF112" s="1357"/>
      <c r="CG112" s="1356" t="s">
        <v>1286</v>
      </c>
      <c r="CH112" s="1357"/>
      <c r="CI112" s="1356" t="s">
        <v>1286</v>
      </c>
      <c r="CJ112" s="1357"/>
      <c r="CK112" s="1356" t="s">
        <v>1286</v>
      </c>
      <c r="CL112" s="1357"/>
      <c r="CM112" s="1356" t="s">
        <v>1286</v>
      </c>
      <c r="CN112" s="1357"/>
      <c r="CO112" s="1356" t="s">
        <v>1286</v>
      </c>
      <c r="CP112" s="1357"/>
      <c r="CQ112" s="1356" t="s">
        <v>1286</v>
      </c>
      <c r="CR112" s="1357"/>
      <c r="CS112" s="1356" t="s">
        <v>1286</v>
      </c>
      <c r="CT112" s="1357"/>
      <c r="CU112" s="1356" t="s">
        <v>1286</v>
      </c>
      <c r="CV112" s="1357"/>
      <c r="CW112" s="1356" t="s">
        <v>1286</v>
      </c>
      <c r="CX112" s="1357"/>
      <c r="CY112" s="1356" t="s">
        <v>1286</v>
      </c>
      <c r="CZ112" s="1357"/>
      <c r="DA112" s="1356"/>
      <c r="DB112" s="1357"/>
      <c r="DC112" s="1356"/>
      <c r="DD112" s="1357"/>
      <c r="DE112" s="1356"/>
      <c r="DF112" s="1357"/>
      <c r="DG112" s="1356"/>
      <c r="DH112" s="1357"/>
      <c r="DI112" s="1356"/>
      <c r="DJ112" s="1357"/>
      <c r="DK112" s="1356"/>
      <c r="DL112" s="1357"/>
      <c r="DM112" s="1356"/>
      <c r="DN112" s="1357"/>
      <c r="DO112" s="1356"/>
      <c r="DP112" s="1357"/>
      <c r="DQ112" s="1356"/>
      <c r="DR112" s="1357"/>
      <c r="DS112" s="1356"/>
      <c r="DT112" s="1357"/>
      <c r="DU112" s="1356"/>
      <c r="DV112" s="1357"/>
      <c r="DW112" s="1356"/>
      <c r="DX112" s="1357"/>
      <c r="DY112" s="1356"/>
      <c r="DZ112" s="1357"/>
      <c r="EA112" s="1356"/>
      <c r="EB112" s="1357"/>
      <c r="EC112" s="1356"/>
      <c r="ED112" s="1357"/>
      <c r="EE112" s="1356"/>
      <c r="EF112" s="1357"/>
      <c r="EG112" s="1356"/>
      <c r="EH112" s="1357"/>
      <c r="EI112" s="1356"/>
      <c r="EJ112" s="1357"/>
      <c r="EK112" s="1356"/>
      <c r="EL112" s="1357"/>
      <c r="EM112" s="1356"/>
      <c r="EN112" s="1357"/>
      <c r="EO112" s="1356"/>
      <c r="EP112" s="1357"/>
      <c r="EQ112" s="1356"/>
      <c r="ER112" s="1357"/>
      <c r="ES112" s="1356"/>
      <c r="ET112" s="1357"/>
      <c r="EU112" s="1356"/>
      <c r="EV112" s="1357"/>
      <c r="EW112" s="1356"/>
      <c r="EX112" s="1357"/>
      <c r="EY112" s="1356"/>
      <c r="EZ112" s="1357"/>
      <c r="FA112" s="1356"/>
      <c r="FB112" s="1357"/>
      <c r="FC112" s="1356"/>
      <c r="FD112" s="1357"/>
      <c r="FE112" s="1356"/>
      <c r="FF112" s="1357"/>
      <c r="FG112" s="1356"/>
      <c r="FH112" s="1357"/>
      <c r="FI112" s="1356"/>
      <c r="FJ112" s="1357"/>
      <c r="FK112" s="1356"/>
      <c r="FL112" s="1357"/>
      <c r="FM112" s="1356"/>
      <c r="FN112" s="1357"/>
      <c r="FO112" s="1356"/>
      <c r="FP112" s="1357"/>
      <c r="FQ112" s="1356"/>
      <c r="FR112" s="1357"/>
      <c r="FS112" s="1356"/>
      <c r="FT112" s="1357"/>
      <c r="FU112" s="1356"/>
      <c r="FV112" s="1357"/>
      <c r="FW112" s="1356"/>
      <c r="FX112" s="1357"/>
      <c r="FY112" s="1356"/>
      <c r="FZ112" s="1357"/>
      <c r="GA112" s="1356"/>
      <c r="GB112" s="1357"/>
      <c r="GC112" s="1356"/>
      <c r="GD112" s="1357"/>
      <c r="GE112" s="1356"/>
      <c r="GF112" s="1357"/>
      <c r="GG112" s="1356"/>
      <c r="GH112" s="1357"/>
      <c r="GI112" s="1356"/>
      <c r="GJ112" s="1357"/>
      <c r="GK112" s="1356"/>
      <c r="GL112" s="1357"/>
      <c r="GM112" s="1356"/>
      <c r="GN112" s="1357"/>
      <c r="GO112" s="1356"/>
      <c r="GP112" s="1357"/>
      <c r="GQ112" s="1356"/>
      <c r="GR112" s="1357"/>
      <c r="GS112" s="1356"/>
      <c r="GT112" s="1357"/>
      <c r="GU112" s="1356"/>
      <c r="GV112" s="1357"/>
      <c r="GW112" s="1356"/>
      <c r="GX112" s="1357"/>
      <c r="GY112" s="1356"/>
      <c r="GZ112" s="1357"/>
    </row>
    <row r="113" spans="3:208">
      <c r="C113" s="1356" t="s">
        <v>1286</v>
      </c>
      <c r="D113" s="1357"/>
      <c r="E113" s="1356" t="s">
        <v>1286</v>
      </c>
      <c r="F113" s="1357"/>
      <c r="G113" s="1356" t="s">
        <v>1286</v>
      </c>
      <c r="H113" s="1357"/>
      <c r="I113" s="1356" t="s">
        <v>1286</v>
      </c>
      <c r="J113" s="1357"/>
      <c r="K113" s="1356" t="s">
        <v>1286</v>
      </c>
      <c r="L113" s="1357"/>
      <c r="M113" s="1356" t="s">
        <v>1286</v>
      </c>
      <c r="N113" s="1357"/>
      <c r="O113" s="1356" t="s">
        <v>1286</v>
      </c>
      <c r="P113" s="1357"/>
      <c r="Q113" s="1356" t="s">
        <v>1286</v>
      </c>
      <c r="R113" s="1357"/>
      <c r="S113" s="1356" t="s">
        <v>1286</v>
      </c>
      <c r="T113" s="1357"/>
      <c r="U113" s="1356" t="s">
        <v>1286</v>
      </c>
      <c r="V113" s="1357"/>
      <c r="W113" s="1356" t="s">
        <v>1286</v>
      </c>
      <c r="X113" s="1357"/>
      <c r="Y113" s="1356" t="s">
        <v>1286</v>
      </c>
      <c r="Z113" s="1357"/>
      <c r="AA113" s="1356" t="s">
        <v>1286</v>
      </c>
      <c r="AB113" s="1357"/>
      <c r="AC113" s="1356" t="s">
        <v>1286</v>
      </c>
      <c r="AD113" s="1357"/>
      <c r="AE113" s="1356" t="s">
        <v>1286</v>
      </c>
      <c r="AF113" s="1357"/>
      <c r="AG113" s="1356" t="s">
        <v>1286</v>
      </c>
      <c r="AH113" s="1357"/>
      <c r="AI113" s="1356" t="s">
        <v>1286</v>
      </c>
      <c r="AJ113" s="1357"/>
      <c r="AK113" s="1356" t="s">
        <v>1286</v>
      </c>
      <c r="AL113" s="1357"/>
      <c r="AM113" s="1356" t="s">
        <v>1286</v>
      </c>
      <c r="AN113" s="1357"/>
      <c r="AO113" s="1356" t="s">
        <v>1286</v>
      </c>
      <c r="AP113" s="1357"/>
      <c r="AQ113" s="1356" t="s">
        <v>1286</v>
      </c>
      <c r="AR113" s="1357"/>
      <c r="AS113" s="1356" t="s">
        <v>1286</v>
      </c>
      <c r="AT113" s="1357"/>
      <c r="AU113" s="1356" t="s">
        <v>1286</v>
      </c>
      <c r="AV113" s="1357"/>
      <c r="AW113" s="1356" t="s">
        <v>1286</v>
      </c>
      <c r="AX113" s="1357"/>
      <c r="AY113" s="1356" t="s">
        <v>1286</v>
      </c>
      <c r="AZ113" s="1357"/>
      <c r="BA113" s="1356" t="s">
        <v>1286</v>
      </c>
      <c r="BB113" s="1357"/>
      <c r="BC113" s="1356" t="s">
        <v>1286</v>
      </c>
      <c r="BD113" s="1357"/>
      <c r="BE113" s="1356" t="s">
        <v>1286</v>
      </c>
      <c r="BF113" s="1357"/>
      <c r="BG113" s="1356" t="s">
        <v>1286</v>
      </c>
      <c r="BH113" s="1357"/>
      <c r="BI113" s="1356" t="s">
        <v>1286</v>
      </c>
      <c r="BJ113" s="1357"/>
      <c r="BK113" s="1356" t="s">
        <v>1286</v>
      </c>
      <c r="BL113" s="1357"/>
      <c r="BM113" s="1356" t="s">
        <v>1286</v>
      </c>
      <c r="BN113" s="1357"/>
      <c r="BO113" s="1356" t="s">
        <v>1286</v>
      </c>
      <c r="BP113" s="1357"/>
      <c r="BQ113" s="1356" t="s">
        <v>1286</v>
      </c>
      <c r="BR113" s="1357"/>
      <c r="BS113" s="1356" t="s">
        <v>1286</v>
      </c>
      <c r="BT113" s="1357"/>
      <c r="BU113" s="1356" t="s">
        <v>1286</v>
      </c>
      <c r="BV113" s="1357"/>
      <c r="BW113" s="1356" t="s">
        <v>1286</v>
      </c>
      <c r="BX113" s="1357"/>
      <c r="BY113" s="1356" t="s">
        <v>1286</v>
      </c>
      <c r="BZ113" s="1357"/>
      <c r="CA113" s="1356" t="s">
        <v>1286</v>
      </c>
      <c r="CB113" s="1357"/>
      <c r="CC113" s="1356" t="s">
        <v>1286</v>
      </c>
      <c r="CD113" s="1357"/>
      <c r="CE113" s="1356" t="s">
        <v>1286</v>
      </c>
      <c r="CF113" s="1357"/>
      <c r="CG113" s="1356" t="s">
        <v>1286</v>
      </c>
      <c r="CH113" s="1357"/>
      <c r="CI113" s="1356" t="s">
        <v>1286</v>
      </c>
      <c r="CJ113" s="1357"/>
      <c r="CK113" s="1356" t="s">
        <v>1286</v>
      </c>
      <c r="CL113" s="1357"/>
      <c r="CM113" s="1356" t="s">
        <v>1286</v>
      </c>
      <c r="CN113" s="1357"/>
      <c r="CO113" s="1356" t="s">
        <v>1286</v>
      </c>
      <c r="CP113" s="1357"/>
      <c r="CQ113" s="1356" t="s">
        <v>1286</v>
      </c>
      <c r="CR113" s="1357"/>
      <c r="CS113" s="1356" t="s">
        <v>1286</v>
      </c>
      <c r="CT113" s="1357"/>
      <c r="CU113" s="1356" t="s">
        <v>1286</v>
      </c>
      <c r="CV113" s="1357"/>
      <c r="CW113" s="1356" t="s">
        <v>1286</v>
      </c>
      <c r="CX113" s="1357"/>
      <c r="CY113" s="1356" t="s">
        <v>1286</v>
      </c>
      <c r="CZ113" s="1357"/>
      <c r="DA113" s="1356"/>
      <c r="DB113" s="1357"/>
      <c r="DC113" s="1356"/>
      <c r="DD113" s="1357"/>
      <c r="DE113" s="1356"/>
      <c r="DF113" s="1357"/>
      <c r="DG113" s="1356"/>
      <c r="DH113" s="1357"/>
      <c r="DI113" s="1356"/>
      <c r="DJ113" s="1357"/>
      <c r="DK113" s="1356"/>
      <c r="DL113" s="1357"/>
      <c r="DM113" s="1356"/>
      <c r="DN113" s="1357"/>
      <c r="DO113" s="1356"/>
      <c r="DP113" s="1357"/>
      <c r="DQ113" s="1356"/>
      <c r="DR113" s="1357"/>
      <c r="DS113" s="1356"/>
      <c r="DT113" s="1357"/>
      <c r="DU113" s="1356"/>
      <c r="DV113" s="1357"/>
      <c r="DW113" s="1356"/>
      <c r="DX113" s="1357"/>
      <c r="DY113" s="1356"/>
      <c r="DZ113" s="1357"/>
      <c r="EA113" s="1356"/>
      <c r="EB113" s="1357"/>
      <c r="EC113" s="1356"/>
      <c r="ED113" s="1357"/>
      <c r="EE113" s="1356"/>
      <c r="EF113" s="1357"/>
      <c r="EG113" s="1356"/>
      <c r="EH113" s="1357"/>
      <c r="EI113" s="1356"/>
      <c r="EJ113" s="1357"/>
      <c r="EK113" s="1356"/>
      <c r="EL113" s="1357"/>
      <c r="EM113" s="1356"/>
      <c r="EN113" s="1357"/>
      <c r="EO113" s="1356"/>
      <c r="EP113" s="1357"/>
      <c r="EQ113" s="1356"/>
      <c r="ER113" s="1357"/>
      <c r="ES113" s="1356"/>
      <c r="ET113" s="1357"/>
      <c r="EU113" s="1356"/>
      <c r="EV113" s="1357"/>
      <c r="EW113" s="1356"/>
      <c r="EX113" s="1357"/>
      <c r="EY113" s="1356"/>
      <c r="EZ113" s="1357"/>
      <c r="FA113" s="1356"/>
      <c r="FB113" s="1357"/>
      <c r="FC113" s="1356"/>
      <c r="FD113" s="1357"/>
      <c r="FE113" s="1356"/>
      <c r="FF113" s="1357"/>
      <c r="FG113" s="1356"/>
      <c r="FH113" s="1357"/>
      <c r="FI113" s="1356"/>
      <c r="FJ113" s="1357"/>
      <c r="FK113" s="1356"/>
      <c r="FL113" s="1357"/>
      <c r="FM113" s="1356"/>
      <c r="FN113" s="1357"/>
      <c r="FO113" s="1356"/>
      <c r="FP113" s="1357"/>
      <c r="FQ113" s="1356"/>
      <c r="FR113" s="1357"/>
      <c r="FS113" s="1356"/>
      <c r="FT113" s="1357"/>
      <c r="FU113" s="1356"/>
      <c r="FV113" s="1357"/>
      <c r="FW113" s="1356"/>
      <c r="FX113" s="1357"/>
      <c r="FY113" s="1356"/>
      <c r="FZ113" s="1357"/>
      <c r="GA113" s="1356"/>
      <c r="GB113" s="1357"/>
      <c r="GC113" s="1356"/>
      <c r="GD113" s="1357"/>
      <c r="GE113" s="1356"/>
      <c r="GF113" s="1357"/>
      <c r="GG113" s="1356"/>
      <c r="GH113" s="1357"/>
      <c r="GI113" s="1356"/>
      <c r="GJ113" s="1357"/>
      <c r="GK113" s="1356"/>
      <c r="GL113" s="1357"/>
      <c r="GM113" s="1356"/>
      <c r="GN113" s="1357"/>
      <c r="GO113" s="1356"/>
      <c r="GP113" s="1357"/>
      <c r="GQ113" s="1356"/>
      <c r="GR113" s="1357"/>
      <c r="GS113" s="1356"/>
      <c r="GT113" s="1357"/>
      <c r="GU113" s="1356"/>
      <c r="GV113" s="1357"/>
      <c r="GW113" s="1356"/>
      <c r="GX113" s="1357"/>
      <c r="GY113" s="1356"/>
      <c r="GZ113" s="1357"/>
    </row>
    <row r="114" spans="3:208">
      <c r="C114" s="1356" t="s">
        <v>1286</v>
      </c>
      <c r="D114" s="1357"/>
      <c r="E114" s="1356" t="s">
        <v>1286</v>
      </c>
      <c r="F114" s="1357"/>
      <c r="G114" s="1356" t="s">
        <v>1286</v>
      </c>
      <c r="H114" s="1357"/>
      <c r="I114" s="1356" t="s">
        <v>1286</v>
      </c>
      <c r="J114" s="1357"/>
      <c r="K114" s="1356" t="s">
        <v>1286</v>
      </c>
      <c r="L114" s="1357"/>
      <c r="M114" s="1356" t="s">
        <v>1286</v>
      </c>
      <c r="N114" s="1357"/>
      <c r="O114" s="1356" t="s">
        <v>1286</v>
      </c>
      <c r="P114" s="1357"/>
      <c r="Q114" s="1356" t="s">
        <v>1286</v>
      </c>
      <c r="R114" s="1357"/>
      <c r="S114" s="1356" t="s">
        <v>1286</v>
      </c>
      <c r="T114" s="1357"/>
      <c r="U114" s="1356" t="s">
        <v>1286</v>
      </c>
      <c r="V114" s="1357"/>
      <c r="W114" s="1356" t="s">
        <v>1286</v>
      </c>
      <c r="X114" s="1357"/>
      <c r="Y114" s="1356" t="s">
        <v>1286</v>
      </c>
      <c r="Z114" s="1357"/>
      <c r="AA114" s="1356" t="s">
        <v>1286</v>
      </c>
      <c r="AB114" s="1357"/>
      <c r="AC114" s="1356" t="s">
        <v>1286</v>
      </c>
      <c r="AD114" s="1357"/>
      <c r="AE114" s="1356" t="s">
        <v>1286</v>
      </c>
      <c r="AF114" s="1357"/>
      <c r="AG114" s="1356" t="s">
        <v>1286</v>
      </c>
      <c r="AH114" s="1357"/>
      <c r="AI114" s="1356" t="s">
        <v>1286</v>
      </c>
      <c r="AJ114" s="1357"/>
      <c r="AK114" s="1356" t="s">
        <v>1286</v>
      </c>
      <c r="AL114" s="1357"/>
      <c r="AM114" s="1356" t="s">
        <v>1286</v>
      </c>
      <c r="AN114" s="1357"/>
      <c r="AO114" s="1356" t="s">
        <v>1286</v>
      </c>
      <c r="AP114" s="1357"/>
      <c r="AQ114" s="1356" t="s">
        <v>1286</v>
      </c>
      <c r="AR114" s="1357"/>
      <c r="AS114" s="1356" t="s">
        <v>1286</v>
      </c>
      <c r="AT114" s="1357"/>
      <c r="AU114" s="1356" t="s">
        <v>1286</v>
      </c>
      <c r="AV114" s="1357"/>
      <c r="AW114" s="1356" t="s">
        <v>1286</v>
      </c>
      <c r="AX114" s="1357"/>
      <c r="AY114" s="1356" t="s">
        <v>1286</v>
      </c>
      <c r="AZ114" s="1357"/>
      <c r="BA114" s="1356" t="s">
        <v>1286</v>
      </c>
      <c r="BB114" s="1357"/>
      <c r="BC114" s="1356" t="s">
        <v>1286</v>
      </c>
      <c r="BD114" s="1357"/>
      <c r="BE114" s="1356" t="s">
        <v>1286</v>
      </c>
      <c r="BF114" s="1357"/>
      <c r="BG114" s="1356" t="s">
        <v>1286</v>
      </c>
      <c r="BH114" s="1357"/>
      <c r="BI114" s="1356" t="s">
        <v>1286</v>
      </c>
      <c r="BJ114" s="1357"/>
      <c r="BK114" s="1356" t="s">
        <v>1286</v>
      </c>
      <c r="BL114" s="1357"/>
      <c r="BM114" s="1356" t="s">
        <v>1286</v>
      </c>
      <c r="BN114" s="1357"/>
      <c r="BO114" s="1356" t="s">
        <v>1286</v>
      </c>
      <c r="BP114" s="1357"/>
      <c r="BQ114" s="1356" t="s">
        <v>1286</v>
      </c>
      <c r="BR114" s="1357"/>
      <c r="BS114" s="1356" t="s">
        <v>1286</v>
      </c>
      <c r="BT114" s="1357"/>
      <c r="BU114" s="1356" t="s">
        <v>1286</v>
      </c>
      <c r="BV114" s="1357"/>
      <c r="BW114" s="1356" t="s">
        <v>1286</v>
      </c>
      <c r="BX114" s="1357"/>
      <c r="BY114" s="1356" t="s">
        <v>1286</v>
      </c>
      <c r="BZ114" s="1357"/>
      <c r="CA114" s="1356" t="s">
        <v>1286</v>
      </c>
      <c r="CB114" s="1357"/>
      <c r="CC114" s="1356" t="s">
        <v>1286</v>
      </c>
      <c r="CD114" s="1357"/>
      <c r="CE114" s="1356" t="s">
        <v>1286</v>
      </c>
      <c r="CF114" s="1357"/>
      <c r="CG114" s="1356" t="s">
        <v>1286</v>
      </c>
      <c r="CH114" s="1357"/>
      <c r="CI114" s="1356" t="s">
        <v>1286</v>
      </c>
      <c r="CJ114" s="1357"/>
      <c r="CK114" s="1356" t="s">
        <v>1286</v>
      </c>
      <c r="CL114" s="1357"/>
      <c r="CM114" s="1356" t="s">
        <v>1286</v>
      </c>
      <c r="CN114" s="1357"/>
      <c r="CO114" s="1356" t="s">
        <v>1286</v>
      </c>
      <c r="CP114" s="1357"/>
      <c r="CQ114" s="1356" t="s">
        <v>1286</v>
      </c>
      <c r="CR114" s="1357"/>
      <c r="CS114" s="1356" t="s">
        <v>1286</v>
      </c>
      <c r="CT114" s="1357"/>
      <c r="CU114" s="1356" t="s">
        <v>1286</v>
      </c>
      <c r="CV114" s="1357"/>
      <c r="CW114" s="1356" t="s">
        <v>1286</v>
      </c>
      <c r="CX114" s="1357"/>
      <c r="CY114" s="1356" t="s">
        <v>1286</v>
      </c>
      <c r="CZ114" s="1357"/>
      <c r="DA114" s="1356"/>
      <c r="DB114" s="1357"/>
      <c r="DC114" s="1356"/>
      <c r="DD114" s="1357"/>
      <c r="DE114" s="1356"/>
      <c r="DF114" s="1357"/>
      <c r="DG114" s="1356"/>
      <c r="DH114" s="1357"/>
      <c r="DI114" s="1356"/>
      <c r="DJ114" s="1357"/>
      <c r="DK114" s="1356"/>
      <c r="DL114" s="1357"/>
      <c r="DM114" s="1356"/>
      <c r="DN114" s="1357"/>
      <c r="DO114" s="1356"/>
      <c r="DP114" s="1357"/>
      <c r="DQ114" s="1356"/>
      <c r="DR114" s="1357"/>
      <c r="DS114" s="1356"/>
      <c r="DT114" s="1357"/>
      <c r="DU114" s="1356"/>
      <c r="DV114" s="1357"/>
      <c r="DW114" s="1356"/>
      <c r="DX114" s="1357"/>
      <c r="DY114" s="1356"/>
      <c r="DZ114" s="1357"/>
      <c r="EA114" s="1356"/>
      <c r="EB114" s="1357"/>
      <c r="EC114" s="1356"/>
      <c r="ED114" s="1357"/>
      <c r="EE114" s="1356"/>
      <c r="EF114" s="1357"/>
      <c r="EG114" s="1356"/>
      <c r="EH114" s="1357"/>
      <c r="EI114" s="1356"/>
      <c r="EJ114" s="1357"/>
      <c r="EK114" s="1356"/>
      <c r="EL114" s="1357"/>
      <c r="EM114" s="1356"/>
      <c r="EN114" s="1357"/>
      <c r="EO114" s="1356"/>
      <c r="EP114" s="1357"/>
      <c r="EQ114" s="1356"/>
      <c r="ER114" s="1357"/>
      <c r="ES114" s="1356"/>
      <c r="ET114" s="1357"/>
      <c r="EU114" s="1356"/>
      <c r="EV114" s="1357"/>
      <c r="EW114" s="1356"/>
      <c r="EX114" s="1357"/>
      <c r="EY114" s="1356"/>
      <c r="EZ114" s="1357"/>
      <c r="FA114" s="1356"/>
      <c r="FB114" s="1357"/>
      <c r="FC114" s="1356"/>
      <c r="FD114" s="1357"/>
      <c r="FE114" s="1356"/>
      <c r="FF114" s="1357"/>
      <c r="FG114" s="1356"/>
      <c r="FH114" s="1357"/>
      <c r="FI114" s="1356"/>
      <c r="FJ114" s="1357"/>
      <c r="FK114" s="1356"/>
      <c r="FL114" s="1357"/>
      <c r="FM114" s="1356"/>
      <c r="FN114" s="1357"/>
      <c r="FO114" s="1356"/>
      <c r="FP114" s="1357"/>
      <c r="FQ114" s="1356"/>
      <c r="FR114" s="1357"/>
      <c r="FS114" s="1356"/>
      <c r="FT114" s="1357"/>
      <c r="FU114" s="1356"/>
      <c r="FV114" s="1357"/>
      <c r="FW114" s="1356"/>
      <c r="FX114" s="1357"/>
      <c r="FY114" s="1356"/>
      <c r="FZ114" s="1357"/>
      <c r="GA114" s="1356"/>
      <c r="GB114" s="1357"/>
      <c r="GC114" s="1356"/>
      <c r="GD114" s="1357"/>
      <c r="GE114" s="1356"/>
      <c r="GF114" s="1357"/>
      <c r="GG114" s="1356"/>
      <c r="GH114" s="1357"/>
      <c r="GI114" s="1356"/>
      <c r="GJ114" s="1357"/>
      <c r="GK114" s="1356"/>
      <c r="GL114" s="1357"/>
      <c r="GM114" s="1356"/>
      <c r="GN114" s="1357"/>
      <c r="GO114" s="1356"/>
      <c r="GP114" s="1357"/>
      <c r="GQ114" s="1356"/>
      <c r="GR114" s="1357"/>
      <c r="GS114" s="1356"/>
      <c r="GT114" s="1357"/>
      <c r="GU114" s="1356"/>
      <c r="GV114" s="1357"/>
      <c r="GW114" s="1356"/>
      <c r="GX114" s="1357"/>
      <c r="GY114" s="1356"/>
      <c r="GZ114" s="1357"/>
    </row>
    <row r="115" spans="3:208">
      <c r="C115" s="1356" t="s">
        <v>1286</v>
      </c>
      <c r="D115" s="1357"/>
      <c r="E115" s="1356" t="s">
        <v>1286</v>
      </c>
      <c r="F115" s="1357"/>
      <c r="G115" s="1356" t="s">
        <v>1286</v>
      </c>
      <c r="H115" s="1357"/>
      <c r="I115" s="1356" t="s">
        <v>1286</v>
      </c>
      <c r="J115" s="1357"/>
      <c r="K115" s="1356" t="s">
        <v>1286</v>
      </c>
      <c r="L115" s="1357"/>
      <c r="M115" s="1356" t="s">
        <v>1286</v>
      </c>
      <c r="N115" s="1357"/>
      <c r="O115" s="1356" t="s">
        <v>1286</v>
      </c>
      <c r="P115" s="1357"/>
      <c r="Q115" s="1356" t="s">
        <v>1286</v>
      </c>
      <c r="R115" s="1357"/>
      <c r="S115" s="1356" t="s">
        <v>1286</v>
      </c>
      <c r="T115" s="1357"/>
      <c r="U115" s="1356" t="s">
        <v>1286</v>
      </c>
      <c r="V115" s="1357"/>
      <c r="W115" s="1356" t="s">
        <v>1286</v>
      </c>
      <c r="X115" s="1357"/>
      <c r="Y115" s="1356" t="s">
        <v>1286</v>
      </c>
      <c r="Z115" s="1357"/>
      <c r="AA115" s="1356" t="s">
        <v>1286</v>
      </c>
      <c r="AB115" s="1357"/>
      <c r="AC115" s="1356" t="s">
        <v>1286</v>
      </c>
      <c r="AD115" s="1357"/>
      <c r="AE115" s="1356" t="s">
        <v>1286</v>
      </c>
      <c r="AF115" s="1357"/>
      <c r="AG115" s="1356" t="s">
        <v>1286</v>
      </c>
      <c r="AH115" s="1357"/>
      <c r="AI115" s="1356" t="s">
        <v>1286</v>
      </c>
      <c r="AJ115" s="1357"/>
      <c r="AK115" s="1356" t="s">
        <v>1286</v>
      </c>
      <c r="AL115" s="1357"/>
      <c r="AM115" s="1356" t="s">
        <v>1286</v>
      </c>
      <c r="AN115" s="1357"/>
      <c r="AO115" s="1356" t="s">
        <v>1286</v>
      </c>
      <c r="AP115" s="1357"/>
      <c r="AQ115" s="1356" t="s">
        <v>1286</v>
      </c>
      <c r="AR115" s="1357"/>
      <c r="AS115" s="1356" t="s">
        <v>1286</v>
      </c>
      <c r="AT115" s="1357"/>
      <c r="AU115" s="1356" t="s">
        <v>1286</v>
      </c>
      <c r="AV115" s="1357"/>
      <c r="AW115" s="1356" t="s">
        <v>1286</v>
      </c>
      <c r="AX115" s="1357"/>
      <c r="AY115" s="1356" t="s">
        <v>1286</v>
      </c>
      <c r="AZ115" s="1357"/>
      <c r="BA115" s="1356" t="s">
        <v>1286</v>
      </c>
      <c r="BB115" s="1357"/>
      <c r="BC115" s="1356" t="s">
        <v>1286</v>
      </c>
      <c r="BD115" s="1357"/>
      <c r="BE115" s="1356" t="s">
        <v>1286</v>
      </c>
      <c r="BF115" s="1357"/>
      <c r="BG115" s="1356" t="s">
        <v>1286</v>
      </c>
      <c r="BH115" s="1357"/>
      <c r="BI115" s="1356" t="s">
        <v>1286</v>
      </c>
      <c r="BJ115" s="1357"/>
      <c r="BK115" s="1356" t="s">
        <v>1286</v>
      </c>
      <c r="BL115" s="1357"/>
      <c r="BM115" s="1356" t="s">
        <v>1286</v>
      </c>
      <c r="BN115" s="1357"/>
      <c r="BO115" s="1356" t="s">
        <v>1286</v>
      </c>
      <c r="BP115" s="1357"/>
      <c r="BQ115" s="1356" t="s">
        <v>1286</v>
      </c>
      <c r="BR115" s="1357"/>
      <c r="BS115" s="1356" t="s">
        <v>1286</v>
      </c>
      <c r="BT115" s="1357"/>
      <c r="BU115" s="1356" t="s">
        <v>1286</v>
      </c>
      <c r="BV115" s="1357"/>
      <c r="BW115" s="1356" t="s">
        <v>1286</v>
      </c>
      <c r="BX115" s="1357"/>
      <c r="BY115" s="1356" t="s">
        <v>1286</v>
      </c>
      <c r="BZ115" s="1357"/>
      <c r="CA115" s="1356" t="s">
        <v>1286</v>
      </c>
      <c r="CB115" s="1357"/>
      <c r="CC115" s="1356" t="s">
        <v>1286</v>
      </c>
      <c r="CD115" s="1357"/>
      <c r="CE115" s="1356" t="s">
        <v>1286</v>
      </c>
      <c r="CF115" s="1357"/>
      <c r="CG115" s="1356" t="s">
        <v>1286</v>
      </c>
      <c r="CH115" s="1357"/>
      <c r="CI115" s="1356" t="s">
        <v>1286</v>
      </c>
      <c r="CJ115" s="1357"/>
      <c r="CK115" s="1356" t="s">
        <v>1286</v>
      </c>
      <c r="CL115" s="1357"/>
      <c r="CM115" s="1356" t="s">
        <v>1286</v>
      </c>
      <c r="CN115" s="1357"/>
      <c r="CO115" s="1356" t="s">
        <v>1286</v>
      </c>
      <c r="CP115" s="1357"/>
      <c r="CQ115" s="1356" t="s">
        <v>1286</v>
      </c>
      <c r="CR115" s="1357"/>
      <c r="CS115" s="1356" t="s">
        <v>1286</v>
      </c>
      <c r="CT115" s="1357"/>
      <c r="CU115" s="1356" t="s">
        <v>1286</v>
      </c>
      <c r="CV115" s="1357"/>
      <c r="CW115" s="1356" t="s">
        <v>1286</v>
      </c>
      <c r="CX115" s="1357"/>
      <c r="CY115" s="1356" t="s">
        <v>1286</v>
      </c>
      <c r="CZ115" s="1357"/>
      <c r="DA115" s="1356"/>
      <c r="DB115" s="1357"/>
      <c r="DC115" s="1356"/>
      <c r="DD115" s="1357"/>
      <c r="DE115" s="1356"/>
      <c r="DF115" s="1357"/>
      <c r="DG115" s="1356"/>
      <c r="DH115" s="1357"/>
      <c r="DI115" s="1356"/>
      <c r="DJ115" s="1357"/>
      <c r="DK115" s="1356"/>
      <c r="DL115" s="1357"/>
      <c r="DM115" s="1356"/>
      <c r="DN115" s="1357"/>
      <c r="DO115" s="1356"/>
      <c r="DP115" s="1357"/>
      <c r="DQ115" s="1356"/>
      <c r="DR115" s="1357"/>
      <c r="DS115" s="1356"/>
      <c r="DT115" s="1357"/>
      <c r="DU115" s="1356"/>
      <c r="DV115" s="1357"/>
      <c r="DW115" s="1356"/>
      <c r="DX115" s="1357"/>
      <c r="DY115" s="1356"/>
      <c r="DZ115" s="1357"/>
      <c r="EA115" s="1356"/>
      <c r="EB115" s="1357"/>
      <c r="EC115" s="1356"/>
      <c r="ED115" s="1357"/>
      <c r="EE115" s="1356"/>
      <c r="EF115" s="1357"/>
      <c r="EG115" s="1356"/>
      <c r="EH115" s="1357"/>
      <c r="EI115" s="1356"/>
      <c r="EJ115" s="1357"/>
      <c r="EK115" s="1356"/>
      <c r="EL115" s="1357"/>
      <c r="EM115" s="1356"/>
      <c r="EN115" s="1357"/>
      <c r="EO115" s="1356"/>
      <c r="EP115" s="1357"/>
      <c r="EQ115" s="1356"/>
      <c r="ER115" s="1357"/>
      <c r="ES115" s="1356"/>
      <c r="ET115" s="1357"/>
      <c r="EU115" s="1356"/>
      <c r="EV115" s="1357"/>
      <c r="EW115" s="1356"/>
      <c r="EX115" s="1357"/>
      <c r="EY115" s="1356"/>
      <c r="EZ115" s="1357"/>
      <c r="FA115" s="1356"/>
      <c r="FB115" s="1357"/>
      <c r="FC115" s="1356"/>
      <c r="FD115" s="1357"/>
      <c r="FE115" s="1356"/>
      <c r="FF115" s="1357"/>
      <c r="FG115" s="1356"/>
      <c r="FH115" s="1357"/>
      <c r="FI115" s="1356"/>
      <c r="FJ115" s="1357"/>
      <c r="FK115" s="1356"/>
      <c r="FL115" s="1357"/>
      <c r="FM115" s="1356"/>
      <c r="FN115" s="1357"/>
      <c r="FO115" s="1356"/>
      <c r="FP115" s="1357"/>
      <c r="FQ115" s="1356"/>
      <c r="FR115" s="1357"/>
      <c r="FS115" s="1356"/>
      <c r="FT115" s="1357"/>
      <c r="FU115" s="1356"/>
      <c r="FV115" s="1357"/>
      <c r="FW115" s="1356"/>
      <c r="FX115" s="1357"/>
      <c r="FY115" s="1356"/>
      <c r="FZ115" s="1357"/>
      <c r="GA115" s="1356"/>
      <c r="GB115" s="1357"/>
      <c r="GC115" s="1356"/>
      <c r="GD115" s="1357"/>
      <c r="GE115" s="1356"/>
      <c r="GF115" s="1357"/>
      <c r="GG115" s="1356"/>
      <c r="GH115" s="1357"/>
      <c r="GI115" s="1356"/>
      <c r="GJ115" s="1357"/>
      <c r="GK115" s="1356"/>
      <c r="GL115" s="1357"/>
      <c r="GM115" s="1356"/>
      <c r="GN115" s="1357"/>
      <c r="GO115" s="1356"/>
      <c r="GP115" s="1357"/>
      <c r="GQ115" s="1356"/>
      <c r="GR115" s="1357"/>
      <c r="GS115" s="1356"/>
      <c r="GT115" s="1357"/>
      <c r="GU115" s="1356"/>
      <c r="GV115" s="1357"/>
      <c r="GW115" s="1356"/>
      <c r="GX115" s="1357"/>
      <c r="GY115" s="1356"/>
      <c r="GZ115" s="1357"/>
    </row>
    <row r="116" spans="3:208">
      <c r="C116" s="1356" t="s">
        <v>1286</v>
      </c>
      <c r="D116" s="1357"/>
      <c r="E116" s="1356" t="s">
        <v>1286</v>
      </c>
      <c r="F116" s="1357"/>
      <c r="G116" s="1356" t="s">
        <v>1286</v>
      </c>
      <c r="H116" s="1357"/>
      <c r="I116" s="1356" t="s">
        <v>1286</v>
      </c>
      <c r="J116" s="1357"/>
      <c r="K116" s="1356" t="s">
        <v>1286</v>
      </c>
      <c r="L116" s="1357"/>
      <c r="M116" s="1356" t="s">
        <v>1286</v>
      </c>
      <c r="N116" s="1357"/>
      <c r="O116" s="1356" t="s">
        <v>1286</v>
      </c>
      <c r="P116" s="1357"/>
      <c r="Q116" s="1356" t="s">
        <v>1286</v>
      </c>
      <c r="R116" s="1357"/>
      <c r="S116" s="1356" t="s">
        <v>1286</v>
      </c>
      <c r="T116" s="1357"/>
      <c r="U116" s="1356" t="s">
        <v>1286</v>
      </c>
      <c r="V116" s="1357"/>
      <c r="W116" s="1356" t="s">
        <v>1286</v>
      </c>
      <c r="X116" s="1357"/>
      <c r="Y116" s="1356" t="s">
        <v>1286</v>
      </c>
      <c r="Z116" s="1357"/>
      <c r="AA116" s="1356" t="s">
        <v>1286</v>
      </c>
      <c r="AB116" s="1357"/>
      <c r="AC116" s="1356" t="s">
        <v>1286</v>
      </c>
      <c r="AD116" s="1357"/>
      <c r="AE116" s="1356" t="s">
        <v>1286</v>
      </c>
      <c r="AF116" s="1357"/>
      <c r="AG116" s="1356" t="s">
        <v>1286</v>
      </c>
      <c r="AH116" s="1357"/>
      <c r="AI116" s="1356" t="s">
        <v>1286</v>
      </c>
      <c r="AJ116" s="1357"/>
      <c r="AK116" s="1356" t="s">
        <v>1286</v>
      </c>
      <c r="AL116" s="1357"/>
      <c r="AM116" s="1356" t="s">
        <v>1286</v>
      </c>
      <c r="AN116" s="1357"/>
      <c r="AO116" s="1356" t="s">
        <v>1286</v>
      </c>
      <c r="AP116" s="1357"/>
      <c r="AQ116" s="1356" t="s">
        <v>1286</v>
      </c>
      <c r="AR116" s="1357"/>
      <c r="AS116" s="1356" t="s">
        <v>1286</v>
      </c>
      <c r="AT116" s="1357"/>
      <c r="AU116" s="1356" t="s">
        <v>1286</v>
      </c>
      <c r="AV116" s="1357"/>
      <c r="AW116" s="1356" t="s">
        <v>1286</v>
      </c>
      <c r="AX116" s="1357"/>
      <c r="AY116" s="1356" t="s">
        <v>1286</v>
      </c>
      <c r="AZ116" s="1357"/>
      <c r="BA116" s="1356" t="s">
        <v>1286</v>
      </c>
      <c r="BB116" s="1357"/>
      <c r="BC116" s="1356" t="s">
        <v>1286</v>
      </c>
      <c r="BD116" s="1357"/>
      <c r="BE116" s="1356" t="s">
        <v>1286</v>
      </c>
      <c r="BF116" s="1357"/>
      <c r="BG116" s="1356" t="s">
        <v>1286</v>
      </c>
      <c r="BH116" s="1357"/>
      <c r="BI116" s="1356" t="s">
        <v>1286</v>
      </c>
      <c r="BJ116" s="1357"/>
      <c r="BK116" s="1356" t="s">
        <v>1286</v>
      </c>
      <c r="BL116" s="1357"/>
      <c r="BM116" s="1356" t="s">
        <v>1286</v>
      </c>
      <c r="BN116" s="1357"/>
      <c r="BO116" s="1356" t="s">
        <v>1286</v>
      </c>
      <c r="BP116" s="1357"/>
      <c r="BQ116" s="1356" t="s">
        <v>1286</v>
      </c>
      <c r="BR116" s="1357"/>
      <c r="BS116" s="1356" t="s">
        <v>1286</v>
      </c>
      <c r="BT116" s="1357"/>
      <c r="BU116" s="1356" t="s">
        <v>1286</v>
      </c>
      <c r="BV116" s="1357"/>
      <c r="BW116" s="1356" t="s">
        <v>1286</v>
      </c>
      <c r="BX116" s="1357"/>
      <c r="BY116" s="1356" t="s">
        <v>1286</v>
      </c>
      <c r="BZ116" s="1357"/>
      <c r="CA116" s="1356" t="s">
        <v>1286</v>
      </c>
      <c r="CB116" s="1357"/>
      <c r="CC116" s="1356" t="s">
        <v>1286</v>
      </c>
      <c r="CD116" s="1357"/>
      <c r="CE116" s="1356" t="s">
        <v>1286</v>
      </c>
      <c r="CF116" s="1357"/>
      <c r="CG116" s="1356" t="s">
        <v>1286</v>
      </c>
      <c r="CH116" s="1357"/>
      <c r="CI116" s="1356" t="s">
        <v>1286</v>
      </c>
      <c r="CJ116" s="1357"/>
      <c r="CK116" s="1356" t="s">
        <v>1286</v>
      </c>
      <c r="CL116" s="1357"/>
      <c r="CM116" s="1356" t="s">
        <v>1286</v>
      </c>
      <c r="CN116" s="1357"/>
      <c r="CO116" s="1356" t="s">
        <v>1286</v>
      </c>
      <c r="CP116" s="1357"/>
      <c r="CQ116" s="1356" t="s">
        <v>1286</v>
      </c>
      <c r="CR116" s="1357"/>
      <c r="CS116" s="1356" t="s">
        <v>1286</v>
      </c>
      <c r="CT116" s="1357"/>
      <c r="CU116" s="1356" t="s">
        <v>1286</v>
      </c>
      <c r="CV116" s="1357"/>
      <c r="CW116" s="1356" t="s">
        <v>1286</v>
      </c>
      <c r="CX116" s="1357"/>
      <c r="CY116" s="1356" t="s">
        <v>1286</v>
      </c>
      <c r="CZ116" s="1357"/>
      <c r="DA116" s="1356"/>
      <c r="DB116" s="1357"/>
      <c r="DC116" s="1356"/>
      <c r="DD116" s="1357"/>
      <c r="DE116" s="1356"/>
      <c r="DF116" s="1357"/>
      <c r="DG116" s="1356"/>
      <c r="DH116" s="1357"/>
      <c r="DI116" s="1356"/>
      <c r="DJ116" s="1357"/>
      <c r="DK116" s="1356"/>
      <c r="DL116" s="1357"/>
      <c r="DM116" s="1356"/>
      <c r="DN116" s="1357"/>
      <c r="DO116" s="1356"/>
      <c r="DP116" s="1357"/>
      <c r="DQ116" s="1356"/>
      <c r="DR116" s="1357"/>
      <c r="DS116" s="1356"/>
      <c r="DT116" s="1357"/>
      <c r="DU116" s="1356"/>
      <c r="DV116" s="1357"/>
      <c r="DW116" s="1356"/>
      <c r="DX116" s="1357"/>
      <c r="DY116" s="1356"/>
      <c r="DZ116" s="1357"/>
      <c r="EA116" s="1356"/>
      <c r="EB116" s="1357"/>
      <c r="EC116" s="1356"/>
      <c r="ED116" s="1357"/>
      <c r="EE116" s="1356"/>
      <c r="EF116" s="1357"/>
      <c r="EG116" s="1356"/>
      <c r="EH116" s="1357"/>
      <c r="EI116" s="1356"/>
      <c r="EJ116" s="1357"/>
      <c r="EK116" s="1356"/>
      <c r="EL116" s="1357"/>
      <c r="EM116" s="1356"/>
      <c r="EN116" s="1357"/>
      <c r="EO116" s="1356"/>
      <c r="EP116" s="1357"/>
      <c r="EQ116" s="1356"/>
      <c r="ER116" s="1357"/>
      <c r="ES116" s="1356"/>
      <c r="ET116" s="1357"/>
      <c r="EU116" s="1356"/>
      <c r="EV116" s="1357"/>
      <c r="EW116" s="1356"/>
      <c r="EX116" s="1357"/>
      <c r="EY116" s="1356"/>
      <c r="EZ116" s="1357"/>
      <c r="FA116" s="1356"/>
      <c r="FB116" s="1357"/>
      <c r="FC116" s="1356"/>
      <c r="FD116" s="1357"/>
      <c r="FE116" s="1356"/>
      <c r="FF116" s="1357"/>
      <c r="FG116" s="1356"/>
      <c r="FH116" s="1357"/>
      <c r="FI116" s="1356"/>
      <c r="FJ116" s="1357"/>
      <c r="FK116" s="1356"/>
      <c r="FL116" s="1357"/>
      <c r="FM116" s="1356"/>
      <c r="FN116" s="1357"/>
      <c r="FO116" s="1356"/>
      <c r="FP116" s="1357"/>
      <c r="FQ116" s="1356"/>
      <c r="FR116" s="1357"/>
      <c r="FS116" s="1356"/>
      <c r="FT116" s="1357"/>
      <c r="FU116" s="1356"/>
      <c r="FV116" s="1357"/>
      <c r="FW116" s="1356"/>
      <c r="FX116" s="1357"/>
      <c r="FY116" s="1356"/>
      <c r="FZ116" s="1357"/>
      <c r="GA116" s="1356"/>
      <c r="GB116" s="1357"/>
      <c r="GC116" s="1356"/>
      <c r="GD116" s="1357"/>
      <c r="GE116" s="1356"/>
      <c r="GF116" s="1357"/>
      <c r="GG116" s="1356"/>
      <c r="GH116" s="1357"/>
      <c r="GI116" s="1356"/>
      <c r="GJ116" s="1357"/>
      <c r="GK116" s="1356"/>
      <c r="GL116" s="1357"/>
      <c r="GM116" s="1356"/>
      <c r="GN116" s="1357"/>
      <c r="GO116" s="1356"/>
      <c r="GP116" s="1357"/>
      <c r="GQ116" s="1356"/>
      <c r="GR116" s="1357"/>
      <c r="GS116" s="1356"/>
      <c r="GT116" s="1357"/>
      <c r="GU116" s="1356"/>
      <c r="GV116" s="1357"/>
      <c r="GW116" s="1356"/>
      <c r="GX116" s="1357"/>
      <c r="GY116" s="1356"/>
      <c r="GZ116" s="1357"/>
    </row>
    <row r="117" spans="3:208">
      <c r="C117" s="1356" t="s">
        <v>1286</v>
      </c>
      <c r="D117" s="1357"/>
      <c r="E117" s="1356" t="s">
        <v>1286</v>
      </c>
      <c r="F117" s="1357"/>
      <c r="G117" s="1356" t="s">
        <v>1286</v>
      </c>
      <c r="H117" s="1357"/>
      <c r="I117" s="1356" t="s">
        <v>1286</v>
      </c>
      <c r="J117" s="1357"/>
      <c r="K117" s="1356" t="s">
        <v>1286</v>
      </c>
      <c r="L117" s="1357"/>
      <c r="M117" s="1356" t="s">
        <v>1286</v>
      </c>
      <c r="N117" s="1357"/>
      <c r="O117" s="1356" t="s">
        <v>1286</v>
      </c>
      <c r="P117" s="1357"/>
      <c r="Q117" s="1356" t="s">
        <v>1286</v>
      </c>
      <c r="R117" s="1357"/>
      <c r="S117" s="1356" t="s">
        <v>1286</v>
      </c>
      <c r="T117" s="1357"/>
      <c r="U117" s="1356" t="s">
        <v>1286</v>
      </c>
      <c r="V117" s="1357"/>
      <c r="W117" s="1356" t="s">
        <v>1286</v>
      </c>
      <c r="X117" s="1357"/>
      <c r="Y117" s="1356" t="s">
        <v>1286</v>
      </c>
      <c r="Z117" s="1357"/>
      <c r="AA117" s="1356" t="s">
        <v>1286</v>
      </c>
      <c r="AB117" s="1357"/>
      <c r="AC117" s="1356" t="s">
        <v>1286</v>
      </c>
      <c r="AD117" s="1357"/>
      <c r="AE117" s="1356" t="s">
        <v>1286</v>
      </c>
      <c r="AF117" s="1357"/>
      <c r="AG117" s="1356" t="s">
        <v>1286</v>
      </c>
      <c r="AH117" s="1357"/>
      <c r="AI117" s="1356" t="s">
        <v>1286</v>
      </c>
      <c r="AJ117" s="1357"/>
      <c r="AK117" s="1356" t="s">
        <v>1286</v>
      </c>
      <c r="AL117" s="1357"/>
      <c r="AM117" s="1356" t="s">
        <v>1286</v>
      </c>
      <c r="AN117" s="1357"/>
      <c r="AO117" s="1356" t="s">
        <v>1286</v>
      </c>
      <c r="AP117" s="1357"/>
      <c r="AQ117" s="1356" t="s">
        <v>1286</v>
      </c>
      <c r="AR117" s="1357"/>
      <c r="AS117" s="1356" t="s">
        <v>1286</v>
      </c>
      <c r="AT117" s="1357"/>
      <c r="AU117" s="1356" t="s">
        <v>1286</v>
      </c>
      <c r="AV117" s="1357"/>
      <c r="AW117" s="1356" t="s">
        <v>1286</v>
      </c>
      <c r="AX117" s="1357"/>
      <c r="AY117" s="1356" t="s">
        <v>1286</v>
      </c>
      <c r="AZ117" s="1357"/>
      <c r="BA117" s="1356" t="s">
        <v>1286</v>
      </c>
      <c r="BB117" s="1357"/>
      <c r="BC117" s="1356" t="s">
        <v>1286</v>
      </c>
      <c r="BD117" s="1357"/>
      <c r="BE117" s="1356" t="s">
        <v>1286</v>
      </c>
      <c r="BF117" s="1357"/>
      <c r="BG117" s="1356" t="s">
        <v>1286</v>
      </c>
      <c r="BH117" s="1357"/>
      <c r="BI117" s="1356" t="s">
        <v>1286</v>
      </c>
      <c r="BJ117" s="1357"/>
      <c r="BK117" s="1356" t="s">
        <v>1286</v>
      </c>
      <c r="BL117" s="1357"/>
      <c r="BM117" s="1356" t="s">
        <v>1286</v>
      </c>
      <c r="BN117" s="1357"/>
      <c r="BO117" s="1356" t="s">
        <v>1286</v>
      </c>
      <c r="BP117" s="1357"/>
      <c r="BQ117" s="1356" t="s">
        <v>1286</v>
      </c>
      <c r="BR117" s="1357"/>
      <c r="BS117" s="1356" t="s">
        <v>1286</v>
      </c>
      <c r="BT117" s="1357"/>
      <c r="BU117" s="1356" t="s">
        <v>1286</v>
      </c>
      <c r="BV117" s="1357"/>
      <c r="BW117" s="1356" t="s">
        <v>1286</v>
      </c>
      <c r="BX117" s="1357"/>
      <c r="BY117" s="1356" t="s">
        <v>1286</v>
      </c>
      <c r="BZ117" s="1357"/>
      <c r="CA117" s="1356" t="s">
        <v>1286</v>
      </c>
      <c r="CB117" s="1357"/>
      <c r="CC117" s="1356" t="s">
        <v>1286</v>
      </c>
      <c r="CD117" s="1357"/>
      <c r="CE117" s="1356" t="s">
        <v>1286</v>
      </c>
      <c r="CF117" s="1357"/>
      <c r="CG117" s="1356" t="s">
        <v>1286</v>
      </c>
      <c r="CH117" s="1357"/>
      <c r="CI117" s="1356" t="s">
        <v>1286</v>
      </c>
      <c r="CJ117" s="1357"/>
      <c r="CK117" s="1356" t="s">
        <v>1286</v>
      </c>
      <c r="CL117" s="1357"/>
      <c r="CM117" s="1356" t="s">
        <v>1286</v>
      </c>
      <c r="CN117" s="1357"/>
      <c r="CO117" s="1356" t="s">
        <v>1286</v>
      </c>
      <c r="CP117" s="1357"/>
      <c r="CQ117" s="1356" t="s">
        <v>1286</v>
      </c>
      <c r="CR117" s="1357"/>
      <c r="CS117" s="1356" t="s">
        <v>1286</v>
      </c>
      <c r="CT117" s="1357"/>
      <c r="CU117" s="1356" t="s">
        <v>1286</v>
      </c>
      <c r="CV117" s="1357"/>
      <c r="CW117" s="1356" t="s">
        <v>1286</v>
      </c>
      <c r="CX117" s="1357"/>
      <c r="CY117" s="1356" t="s">
        <v>1286</v>
      </c>
      <c r="CZ117" s="1357"/>
      <c r="DA117" s="1356"/>
      <c r="DB117" s="1357"/>
      <c r="DC117" s="1356"/>
      <c r="DD117" s="1357"/>
      <c r="DE117" s="1356"/>
      <c r="DF117" s="1357"/>
      <c r="DG117" s="1356"/>
      <c r="DH117" s="1357"/>
      <c r="DI117" s="1356"/>
      <c r="DJ117" s="1357"/>
      <c r="DK117" s="1356"/>
      <c r="DL117" s="1357"/>
      <c r="DM117" s="1356"/>
      <c r="DN117" s="1357"/>
      <c r="DO117" s="1356"/>
      <c r="DP117" s="1357"/>
      <c r="DQ117" s="1356"/>
      <c r="DR117" s="1357"/>
      <c r="DS117" s="1356"/>
      <c r="DT117" s="1357"/>
      <c r="DU117" s="1356"/>
      <c r="DV117" s="1357"/>
      <c r="DW117" s="1356"/>
      <c r="DX117" s="1357"/>
      <c r="DY117" s="1356"/>
      <c r="DZ117" s="1357"/>
      <c r="EA117" s="1356"/>
      <c r="EB117" s="1357"/>
      <c r="EC117" s="1356"/>
      <c r="ED117" s="1357"/>
      <c r="EE117" s="1356"/>
      <c r="EF117" s="1357"/>
      <c r="EG117" s="1356"/>
      <c r="EH117" s="1357"/>
      <c r="EI117" s="1356"/>
      <c r="EJ117" s="1357"/>
      <c r="EK117" s="1356"/>
      <c r="EL117" s="1357"/>
      <c r="EM117" s="1356"/>
      <c r="EN117" s="1357"/>
      <c r="EO117" s="1356"/>
      <c r="EP117" s="1357"/>
      <c r="EQ117" s="1356"/>
      <c r="ER117" s="1357"/>
      <c r="ES117" s="1356"/>
      <c r="ET117" s="1357"/>
      <c r="EU117" s="1356"/>
      <c r="EV117" s="1357"/>
      <c r="EW117" s="1356"/>
      <c r="EX117" s="1357"/>
      <c r="EY117" s="1356"/>
      <c r="EZ117" s="1357"/>
      <c r="FA117" s="1356"/>
      <c r="FB117" s="1357"/>
      <c r="FC117" s="1356"/>
      <c r="FD117" s="1357"/>
      <c r="FE117" s="1356"/>
      <c r="FF117" s="1357"/>
      <c r="FG117" s="1356"/>
      <c r="FH117" s="1357"/>
      <c r="FI117" s="1356"/>
      <c r="FJ117" s="1357"/>
      <c r="FK117" s="1356"/>
      <c r="FL117" s="1357"/>
      <c r="FM117" s="1356"/>
      <c r="FN117" s="1357"/>
      <c r="FO117" s="1356"/>
      <c r="FP117" s="1357"/>
      <c r="FQ117" s="1356"/>
      <c r="FR117" s="1357"/>
      <c r="FS117" s="1356"/>
      <c r="FT117" s="1357"/>
      <c r="FU117" s="1356"/>
      <c r="FV117" s="1357"/>
      <c r="FW117" s="1356"/>
      <c r="FX117" s="1357"/>
      <c r="FY117" s="1356"/>
      <c r="FZ117" s="1357"/>
      <c r="GA117" s="1356"/>
      <c r="GB117" s="1357"/>
      <c r="GC117" s="1356"/>
      <c r="GD117" s="1357"/>
      <c r="GE117" s="1356"/>
      <c r="GF117" s="1357"/>
      <c r="GG117" s="1356"/>
      <c r="GH117" s="1357"/>
      <c r="GI117" s="1356"/>
      <c r="GJ117" s="1357"/>
      <c r="GK117" s="1356"/>
      <c r="GL117" s="1357"/>
      <c r="GM117" s="1356"/>
      <c r="GN117" s="1357"/>
      <c r="GO117" s="1356"/>
      <c r="GP117" s="1357"/>
      <c r="GQ117" s="1356"/>
      <c r="GR117" s="1357"/>
      <c r="GS117" s="1356"/>
      <c r="GT117" s="1357"/>
      <c r="GU117" s="1356"/>
      <c r="GV117" s="1357"/>
      <c r="GW117" s="1356"/>
      <c r="GX117" s="1357"/>
      <c r="GY117" s="1356"/>
      <c r="GZ117" s="1357"/>
    </row>
    <row r="118" spans="3:208">
      <c r="C118" s="1356" t="s">
        <v>1286</v>
      </c>
      <c r="D118" s="1357"/>
      <c r="E118" s="1356" t="s">
        <v>1286</v>
      </c>
      <c r="F118" s="1357"/>
      <c r="G118" s="1356" t="s">
        <v>1286</v>
      </c>
      <c r="H118" s="1357"/>
      <c r="I118" s="1356" t="s">
        <v>1286</v>
      </c>
      <c r="J118" s="1357"/>
      <c r="K118" s="1356" t="s">
        <v>1286</v>
      </c>
      <c r="L118" s="1357"/>
      <c r="M118" s="1356" t="s">
        <v>1286</v>
      </c>
      <c r="N118" s="1357"/>
      <c r="O118" s="1356" t="s">
        <v>1286</v>
      </c>
      <c r="P118" s="1357"/>
      <c r="Q118" s="1356" t="s">
        <v>1286</v>
      </c>
      <c r="R118" s="1357"/>
      <c r="S118" s="1356" t="s">
        <v>1286</v>
      </c>
      <c r="T118" s="1357"/>
      <c r="U118" s="1356" t="s">
        <v>1286</v>
      </c>
      <c r="V118" s="1357"/>
      <c r="W118" s="1356" t="s">
        <v>1286</v>
      </c>
      <c r="X118" s="1357"/>
      <c r="Y118" s="1356" t="s">
        <v>1286</v>
      </c>
      <c r="Z118" s="1357"/>
      <c r="AA118" s="1356" t="s">
        <v>1286</v>
      </c>
      <c r="AB118" s="1357"/>
      <c r="AC118" s="1356" t="s">
        <v>1286</v>
      </c>
      <c r="AD118" s="1357"/>
      <c r="AE118" s="1356" t="s">
        <v>1286</v>
      </c>
      <c r="AF118" s="1357"/>
      <c r="AG118" s="1356" t="s">
        <v>1286</v>
      </c>
      <c r="AH118" s="1357"/>
      <c r="AI118" s="1356" t="s">
        <v>1286</v>
      </c>
      <c r="AJ118" s="1357"/>
      <c r="AK118" s="1356" t="s">
        <v>1286</v>
      </c>
      <c r="AL118" s="1357"/>
      <c r="AM118" s="1356" t="s">
        <v>1286</v>
      </c>
      <c r="AN118" s="1357"/>
      <c r="AO118" s="1356" t="s">
        <v>1286</v>
      </c>
      <c r="AP118" s="1357"/>
      <c r="AQ118" s="1356" t="s">
        <v>1286</v>
      </c>
      <c r="AR118" s="1357"/>
      <c r="AS118" s="1356" t="s">
        <v>1286</v>
      </c>
      <c r="AT118" s="1357"/>
      <c r="AU118" s="1356" t="s">
        <v>1286</v>
      </c>
      <c r="AV118" s="1357"/>
      <c r="AW118" s="1356" t="s">
        <v>1286</v>
      </c>
      <c r="AX118" s="1357"/>
      <c r="AY118" s="1356" t="s">
        <v>1286</v>
      </c>
      <c r="AZ118" s="1357"/>
      <c r="BA118" s="1356" t="s">
        <v>1286</v>
      </c>
      <c r="BB118" s="1357"/>
      <c r="BC118" s="1356" t="s">
        <v>1286</v>
      </c>
      <c r="BD118" s="1357"/>
      <c r="BE118" s="1356" t="s">
        <v>1286</v>
      </c>
      <c r="BF118" s="1357"/>
      <c r="BG118" s="1356" t="s">
        <v>1286</v>
      </c>
      <c r="BH118" s="1357"/>
      <c r="BI118" s="1356" t="s">
        <v>1286</v>
      </c>
      <c r="BJ118" s="1357"/>
      <c r="BK118" s="1356" t="s">
        <v>1286</v>
      </c>
      <c r="BL118" s="1357"/>
      <c r="BM118" s="1356" t="s">
        <v>1286</v>
      </c>
      <c r="BN118" s="1357"/>
      <c r="BO118" s="1356" t="s">
        <v>1286</v>
      </c>
      <c r="BP118" s="1357"/>
      <c r="BQ118" s="1356" t="s">
        <v>1286</v>
      </c>
      <c r="BR118" s="1357"/>
      <c r="BS118" s="1356" t="s">
        <v>1286</v>
      </c>
      <c r="BT118" s="1357"/>
      <c r="BU118" s="1356" t="s">
        <v>1286</v>
      </c>
      <c r="BV118" s="1357"/>
      <c r="BW118" s="1356" t="s">
        <v>1286</v>
      </c>
      <c r="BX118" s="1357"/>
      <c r="BY118" s="1356" t="s">
        <v>1286</v>
      </c>
      <c r="BZ118" s="1357"/>
      <c r="CA118" s="1356" t="s">
        <v>1286</v>
      </c>
      <c r="CB118" s="1357"/>
      <c r="CC118" s="1356" t="s">
        <v>1286</v>
      </c>
      <c r="CD118" s="1357"/>
      <c r="CE118" s="1356" t="s">
        <v>1286</v>
      </c>
      <c r="CF118" s="1357"/>
      <c r="CG118" s="1356" t="s">
        <v>1286</v>
      </c>
      <c r="CH118" s="1357"/>
      <c r="CI118" s="1356" t="s">
        <v>1286</v>
      </c>
      <c r="CJ118" s="1357"/>
      <c r="CK118" s="1356" t="s">
        <v>1286</v>
      </c>
      <c r="CL118" s="1357"/>
      <c r="CM118" s="1356" t="s">
        <v>1286</v>
      </c>
      <c r="CN118" s="1357"/>
      <c r="CO118" s="1356" t="s">
        <v>1286</v>
      </c>
      <c r="CP118" s="1357"/>
      <c r="CQ118" s="1356" t="s">
        <v>1286</v>
      </c>
      <c r="CR118" s="1357"/>
      <c r="CS118" s="1356" t="s">
        <v>1286</v>
      </c>
      <c r="CT118" s="1357"/>
      <c r="CU118" s="1356" t="s">
        <v>1286</v>
      </c>
      <c r="CV118" s="1357"/>
      <c r="CW118" s="1356" t="s">
        <v>1286</v>
      </c>
      <c r="CX118" s="1357"/>
      <c r="CY118" s="1356" t="s">
        <v>1286</v>
      </c>
      <c r="CZ118" s="1357"/>
      <c r="DA118" s="1356"/>
      <c r="DB118" s="1357"/>
      <c r="DC118" s="1356"/>
      <c r="DD118" s="1357"/>
      <c r="DE118" s="1356"/>
      <c r="DF118" s="1357"/>
      <c r="DG118" s="1356"/>
      <c r="DH118" s="1357"/>
      <c r="DI118" s="1356"/>
      <c r="DJ118" s="1357"/>
      <c r="DK118" s="1356"/>
      <c r="DL118" s="1357"/>
      <c r="DM118" s="1356"/>
      <c r="DN118" s="1357"/>
      <c r="DO118" s="1356"/>
      <c r="DP118" s="1357"/>
      <c r="DQ118" s="1356"/>
      <c r="DR118" s="1357"/>
      <c r="DS118" s="1356"/>
      <c r="DT118" s="1357"/>
      <c r="DU118" s="1356"/>
      <c r="DV118" s="1357"/>
      <c r="DW118" s="1356"/>
      <c r="DX118" s="1357"/>
      <c r="DY118" s="1356"/>
      <c r="DZ118" s="1357"/>
      <c r="EA118" s="1356"/>
      <c r="EB118" s="1357"/>
      <c r="EC118" s="1356"/>
      <c r="ED118" s="1357"/>
      <c r="EE118" s="1356"/>
      <c r="EF118" s="1357"/>
      <c r="EG118" s="1356"/>
      <c r="EH118" s="1357"/>
      <c r="EI118" s="1356"/>
      <c r="EJ118" s="1357"/>
      <c r="EK118" s="1356"/>
      <c r="EL118" s="1357"/>
      <c r="EM118" s="1356"/>
      <c r="EN118" s="1357"/>
      <c r="EO118" s="1356"/>
      <c r="EP118" s="1357"/>
      <c r="EQ118" s="1356"/>
      <c r="ER118" s="1357"/>
      <c r="ES118" s="1356"/>
      <c r="ET118" s="1357"/>
      <c r="EU118" s="1356"/>
      <c r="EV118" s="1357"/>
      <c r="EW118" s="1356"/>
      <c r="EX118" s="1357"/>
      <c r="EY118" s="1356"/>
      <c r="EZ118" s="1357"/>
      <c r="FA118" s="1356"/>
      <c r="FB118" s="1357"/>
      <c r="FC118" s="1356"/>
      <c r="FD118" s="1357"/>
      <c r="FE118" s="1356"/>
      <c r="FF118" s="1357"/>
      <c r="FG118" s="1356"/>
      <c r="FH118" s="1357"/>
      <c r="FI118" s="1356"/>
      <c r="FJ118" s="1357"/>
      <c r="FK118" s="1356"/>
      <c r="FL118" s="1357"/>
      <c r="FM118" s="1356"/>
      <c r="FN118" s="1357"/>
      <c r="FO118" s="1356"/>
      <c r="FP118" s="1357"/>
      <c r="FQ118" s="1356"/>
      <c r="FR118" s="1357"/>
      <c r="FS118" s="1356"/>
      <c r="FT118" s="1357"/>
      <c r="FU118" s="1356"/>
      <c r="FV118" s="1357"/>
      <c r="FW118" s="1356"/>
      <c r="FX118" s="1357"/>
      <c r="FY118" s="1356"/>
      <c r="FZ118" s="1357"/>
      <c r="GA118" s="1356"/>
      <c r="GB118" s="1357"/>
      <c r="GC118" s="1356"/>
      <c r="GD118" s="1357"/>
      <c r="GE118" s="1356"/>
      <c r="GF118" s="1357"/>
      <c r="GG118" s="1356"/>
      <c r="GH118" s="1357"/>
      <c r="GI118" s="1356"/>
      <c r="GJ118" s="1357"/>
      <c r="GK118" s="1356"/>
      <c r="GL118" s="1357"/>
      <c r="GM118" s="1356"/>
      <c r="GN118" s="1357"/>
      <c r="GO118" s="1356"/>
      <c r="GP118" s="1357"/>
      <c r="GQ118" s="1356"/>
      <c r="GR118" s="1357"/>
      <c r="GS118" s="1356"/>
      <c r="GT118" s="1357"/>
      <c r="GU118" s="1356"/>
      <c r="GV118" s="1357"/>
      <c r="GW118" s="1356"/>
      <c r="GX118" s="1357"/>
      <c r="GY118" s="1356"/>
      <c r="GZ118" s="1357"/>
    </row>
    <row r="119" spans="3:208">
      <c r="C119" s="1356" t="s">
        <v>1286</v>
      </c>
      <c r="D119" s="1357"/>
      <c r="E119" s="1356" t="s">
        <v>1286</v>
      </c>
      <c r="F119" s="1357"/>
      <c r="G119" s="1356" t="s">
        <v>1286</v>
      </c>
      <c r="H119" s="1357"/>
      <c r="I119" s="1356" t="s">
        <v>1286</v>
      </c>
      <c r="J119" s="1357"/>
      <c r="K119" s="1356" t="s">
        <v>1286</v>
      </c>
      <c r="L119" s="1357"/>
      <c r="M119" s="1356" t="s">
        <v>1286</v>
      </c>
      <c r="N119" s="1357"/>
      <c r="O119" s="1356" t="s">
        <v>1286</v>
      </c>
      <c r="P119" s="1357"/>
      <c r="Q119" s="1356" t="s">
        <v>1286</v>
      </c>
      <c r="R119" s="1357"/>
      <c r="S119" s="1356" t="s">
        <v>1286</v>
      </c>
      <c r="T119" s="1357"/>
      <c r="U119" s="1356" t="s">
        <v>1286</v>
      </c>
      <c r="V119" s="1357"/>
      <c r="W119" s="1356" t="s">
        <v>1286</v>
      </c>
      <c r="X119" s="1357"/>
      <c r="Y119" s="1356" t="s">
        <v>1286</v>
      </c>
      <c r="Z119" s="1357"/>
      <c r="AA119" s="1356" t="s">
        <v>1286</v>
      </c>
      <c r="AB119" s="1357"/>
      <c r="AC119" s="1356" t="s">
        <v>1286</v>
      </c>
      <c r="AD119" s="1357"/>
      <c r="AE119" s="1356" t="s">
        <v>1286</v>
      </c>
      <c r="AF119" s="1357"/>
      <c r="AG119" s="1356" t="s">
        <v>1286</v>
      </c>
      <c r="AH119" s="1357"/>
      <c r="AI119" s="1356" t="s">
        <v>1286</v>
      </c>
      <c r="AJ119" s="1357"/>
      <c r="AK119" s="1356" t="s">
        <v>1286</v>
      </c>
      <c r="AL119" s="1357"/>
      <c r="AM119" s="1356" t="s">
        <v>1286</v>
      </c>
      <c r="AN119" s="1357"/>
      <c r="AO119" s="1356" t="s">
        <v>1286</v>
      </c>
      <c r="AP119" s="1357"/>
      <c r="AQ119" s="1356" t="s">
        <v>1286</v>
      </c>
      <c r="AR119" s="1357"/>
      <c r="AS119" s="1356" t="s">
        <v>1286</v>
      </c>
      <c r="AT119" s="1357"/>
      <c r="AU119" s="1356" t="s">
        <v>1286</v>
      </c>
      <c r="AV119" s="1357"/>
      <c r="AW119" s="1356" t="s">
        <v>1286</v>
      </c>
      <c r="AX119" s="1357"/>
      <c r="AY119" s="1356" t="s">
        <v>1286</v>
      </c>
      <c r="AZ119" s="1357"/>
      <c r="BA119" s="1356" t="s">
        <v>1286</v>
      </c>
      <c r="BB119" s="1357"/>
      <c r="BC119" s="1356" t="s">
        <v>1286</v>
      </c>
      <c r="BD119" s="1357"/>
      <c r="BE119" s="1356" t="s">
        <v>1286</v>
      </c>
      <c r="BF119" s="1357"/>
      <c r="BG119" s="1356" t="s">
        <v>1286</v>
      </c>
      <c r="BH119" s="1357"/>
      <c r="BI119" s="1356" t="s">
        <v>1286</v>
      </c>
      <c r="BJ119" s="1357"/>
      <c r="BK119" s="1356" t="s">
        <v>1286</v>
      </c>
      <c r="BL119" s="1357"/>
      <c r="BM119" s="1356" t="s">
        <v>1286</v>
      </c>
      <c r="BN119" s="1357"/>
      <c r="BO119" s="1356" t="s">
        <v>1286</v>
      </c>
      <c r="BP119" s="1357"/>
      <c r="BQ119" s="1356" t="s">
        <v>1286</v>
      </c>
      <c r="BR119" s="1357"/>
      <c r="BS119" s="1356" t="s">
        <v>1286</v>
      </c>
      <c r="BT119" s="1357"/>
      <c r="BU119" s="1356" t="s">
        <v>1286</v>
      </c>
      <c r="BV119" s="1357"/>
      <c r="BW119" s="1356" t="s">
        <v>1286</v>
      </c>
      <c r="BX119" s="1357"/>
      <c r="BY119" s="1356" t="s">
        <v>1286</v>
      </c>
      <c r="BZ119" s="1357"/>
      <c r="CA119" s="1356" t="s">
        <v>1286</v>
      </c>
      <c r="CB119" s="1357"/>
      <c r="CC119" s="1356" t="s">
        <v>1286</v>
      </c>
      <c r="CD119" s="1357"/>
      <c r="CE119" s="1356" t="s">
        <v>1286</v>
      </c>
      <c r="CF119" s="1357"/>
      <c r="CG119" s="1356" t="s">
        <v>1286</v>
      </c>
      <c r="CH119" s="1357"/>
      <c r="CI119" s="1356" t="s">
        <v>1286</v>
      </c>
      <c r="CJ119" s="1357"/>
      <c r="CK119" s="1356" t="s">
        <v>1286</v>
      </c>
      <c r="CL119" s="1357"/>
      <c r="CM119" s="1356" t="s">
        <v>1286</v>
      </c>
      <c r="CN119" s="1357"/>
      <c r="CO119" s="1356" t="s">
        <v>1286</v>
      </c>
      <c r="CP119" s="1357"/>
      <c r="CQ119" s="1356" t="s">
        <v>1286</v>
      </c>
      <c r="CR119" s="1357"/>
      <c r="CS119" s="1356" t="s">
        <v>1286</v>
      </c>
      <c r="CT119" s="1357"/>
      <c r="CU119" s="1356" t="s">
        <v>1286</v>
      </c>
      <c r="CV119" s="1357"/>
      <c r="CW119" s="1356" t="s">
        <v>1286</v>
      </c>
      <c r="CX119" s="1357"/>
      <c r="CY119" s="1356" t="s">
        <v>1286</v>
      </c>
      <c r="CZ119" s="1357"/>
      <c r="DA119" s="1356"/>
      <c r="DB119" s="1357"/>
      <c r="DC119" s="1356"/>
      <c r="DD119" s="1357"/>
      <c r="DE119" s="1356"/>
      <c r="DF119" s="1357"/>
      <c r="DG119" s="1356"/>
      <c r="DH119" s="1357"/>
      <c r="DI119" s="1356"/>
      <c r="DJ119" s="1357"/>
      <c r="DK119" s="1356"/>
      <c r="DL119" s="1357"/>
      <c r="DM119" s="1356"/>
      <c r="DN119" s="1357"/>
      <c r="DO119" s="1356"/>
      <c r="DP119" s="1357"/>
      <c r="DQ119" s="1356"/>
      <c r="DR119" s="1357"/>
      <c r="DS119" s="1356"/>
      <c r="DT119" s="1357"/>
      <c r="DU119" s="1356"/>
      <c r="DV119" s="1357"/>
      <c r="DW119" s="1356"/>
      <c r="DX119" s="1357"/>
      <c r="DY119" s="1356"/>
      <c r="DZ119" s="1357"/>
      <c r="EA119" s="1356"/>
      <c r="EB119" s="1357"/>
      <c r="EC119" s="1356"/>
      <c r="ED119" s="1357"/>
      <c r="EE119" s="1356"/>
      <c r="EF119" s="1357"/>
      <c r="EG119" s="1356"/>
      <c r="EH119" s="1357"/>
      <c r="EI119" s="1356"/>
      <c r="EJ119" s="1357"/>
      <c r="EK119" s="1356"/>
      <c r="EL119" s="1357"/>
      <c r="EM119" s="1356"/>
      <c r="EN119" s="1357"/>
      <c r="EO119" s="1356"/>
      <c r="EP119" s="1357"/>
      <c r="EQ119" s="1356"/>
      <c r="ER119" s="1357"/>
      <c r="ES119" s="1356"/>
      <c r="ET119" s="1357"/>
      <c r="EU119" s="1356"/>
      <c r="EV119" s="1357"/>
      <c r="EW119" s="1356"/>
      <c r="EX119" s="1357"/>
      <c r="EY119" s="1356"/>
      <c r="EZ119" s="1357"/>
      <c r="FA119" s="1356"/>
      <c r="FB119" s="1357"/>
      <c r="FC119" s="1356"/>
      <c r="FD119" s="1357"/>
      <c r="FE119" s="1356"/>
      <c r="FF119" s="1357"/>
      <c r="FG119" s="1356"/>
      <c r="FH119" s="1357"/>
      <c r="FI119" s="1356"/>
      <c r="FJ119" s="1357"/>
      <c r="FK119" s="1356"/>
      <c r="FL119" s="1357"/>
      <c r="FM119" s="1356"/>
      <c r="FN119" s="1357"/>
      <c r="FO119" s="1356"/>
      <c r="FP119" s="1357"/>
      <c r="FQ119" s="1356"/>
      <c r="FR119" s="1357"/>
      <c r="FS119" s="1356"/>
      <c r="FT119" s="1357"/>
      <c r="FU119" s="1356"/>
      <c r="FV119" s="1357"/>
      <c r="FW119" s="1356"/>
      <c r="FX119" s="1357"/>
      <c r="FY119" s="1356"/>
      <c r="FZ119" s="1357"/>
      <c r="GA119" s="1356"/>
      <c r="GB119" s="1357"/>
      <c r="GC119" s="1356"/>
      <c r="GD119" s="1357"/>
      <c r="GE119" s="1356"/>
      <c r="GF119" s="1357"/>
      <c r="GG119" s="1356"/>
      <c r="GH119" s="1357"/>
      <c r="GI119" s="1356"/>
      <c r="GJ119" s="1357"/>
      <c r="GK119" s="1356"/>
      <c r="GL119" s="1357"/>
      <c r="GM119" s="1356"/>
      <c r="GN119" s="1357"/>
      <c r="GO119" s="1356"/>
      <c r="GP119" s="1357"/>
      <c r="GQ119" s="1356"/>
      <c r="GR119" s="1357"/>
      <c r="GS119" s="1356"/>
      <c r="GT119" s="1357"/>
      <c r="GU119" s="1356"/>
      <c r="GV119" s="1357"/>
      <c r="GW119" s="1356"/>
      <c r="GX119" s="1357"/>
      <c r="GY119" s="1356"/>
      <c r="GZ119" s="1357"/>
    </row>
    <row r="120" spans="3:208">
      <c r="C120" s="1356" t="s">
        <v>1286</v>
      </c>
      <c r="D120" s="1357"/>
      <c r="E120" s="1356" t="s">
        <v>1286</v>
      </c>
      <c r="F120" s="1357"/>
      <c r="G120" s="1356" t="s">
        <v>1286</v>
      </c>
      <c r="H120" s="1357"/>
      <c r="I120" s="1356" t="s">
        <v>1286</v>
      </c>
      <c r="J120" s="1357"/>
      <c r="K120" s="1356" t="s">
        <v>1286</v>
      </c>
      <c r="L120" s="1357"/>
      <c r="M120" s="1356" t="s">
        <v>1286</v>
      </c>
      <c r="N120" s="1357"/>
      <c r="O120" s="1356" t="s">
        <v>1286</v>
      </c>
      <c r="P120" s="1357"/>
      <c r="Q120" s="1356" t="s">
        <v>1286</v>
      </c>
      <c r="R120" s="1357"/>
      <c r="S120" s="1356" t="s">
        <v>1286</v>
      </c>
      <c r="T120" s="1357"/>
      <c r="U120" s="1356" t="s">
        <v>1286</v>
      </c>
      <c r="V120" s="1357"/>
      <c r="W120" s="1356" t="s">
        <v>1286</v>
      </c>
      <c r="X120" s="1357"/>
      <c r="Y120" s="1356" t="s">
        <v>1286</v>
      </c>
      <c r="Z120" s="1357"/>
      <c r="AA120" s="1356" t="s">
        <v>1286</v>
      </c>
      <c r="AB120" s="1357"/>
      <c r="AC120" s="1356" t="s">
        <v>1286</v>
      </c>
      <c r="AD120" s="1357"/>
      <c r="AE120" s="1356" t="s">
        <v>1286</v>
      </c>
      <c r="AF120" s="1357"/>
      <c r="AG120" s="1356" t="s">
        <v>1286</v>
      </c>
      <c r="AH120" s="1357"/>
      <c r="AI120" s="1356" t="s">
        <v>1286</v>
      </c>
      <c r="AJ120" s="1357"/>
      <c r="AK120" s="1356" t="s">
        <v>1286</v>
      </c>
      <c r="AL120" s="1357"/>
      <c r="AM120" s="1356" t="s">
        <v>1286</v>
      </c>
      <c r="AN120" s="1357"/>
      <c r="AO120" s="1356" t="s">
        <v>1286</v>
      </c>
      <c r="AP120" s="1357"/>
      <c r="AQ120" s="1356" t="s">
        <v>1286</v>
      </c>
      <c r="AR120" s="1357"/>
      <c r="AS120" s="1356" t="s">
        <v>1286</v>
      </c>
      <c r="AT120" s="1357"/>
      <c r="AU120" s="1356" t="s">
        <v>1286</v>
      </c>
      <c r="AV120" s="1357"/>
      <c r="AW120" s="1356" t="s">
        <v>1286</v>
      </c>
      <c r="AX120" s="1357"/>
      <c r="AY120" s="1356" t="s">
        <v>1286</v>
      </c>
      <c r="AZ120" s="1357"/>
      <c r="BA120" s="1356" t="s">
        <v>1286</v>
      </c>
      <c r="BB120" s="1357"/>
      <c r="BC120" s="1356" t="s">
        <v>1286</v>
      </c>
      <c r="BD120" s="1357"/>
      <c r="BE120" s="1356" t="s">
        <v>1286</v>
      </c>
      <c r="BF120" s="1357"/>
      <c r="BG120" s="1356" t="s">
        <v>1286</v>
      </c>
      <c r="BH120" s="1357"/>
      <c r="BI120" s="1356" t="s">
        <v>1286</v>
      </c>
      <c r="BJ120" s="1357"/>
      <c r="BK120" s="1356" t="s">
        <v>1286</v>
      </c>
      <c r="BL120" s="1357"/>
      <c r="BM120" s="1356" t="s">
        <v>1286</v>
      </c>
      <c r="BN120" s="1357"/>
      <c r="BO120" s="1356" t="s">
        <v>1286</v>
      </c>
      <c r="BP120" s="1357"/>
      <c r="BQ120" s="1356" t="s">
        <v>1286</v>
      </c>
      <c r="BR120" s="1357"/>
      <c r="BS120" s="1356" t="s">
        <v>1286</v>
      </c>
      <c r="BT120" s="1357"/>
      <c r="BU120" s="1356" t="s">
        <v>1286</v>
      </c>
      <c r="BV120" s="1357"/>
      <c r="BW120" s="1356" t="s">
        <v>1286</v>
      </c>
      <c r="BX120" s="1357"/>
      <c r="BY120" s="1356" t="s">
        <v>1286</v>
      </c>
      <c r="BZ120" s="1357"/>
      <c r="CA120" s="1356" t="s">
        <v>1286</v>
      </c>
      <c r="CB120" s="1357"/>
      <c r="CC120" s="1356" t="s">
        <v>1286</v>
      </c>
      <c r="CD120" s="1357"/>
      <c r="CE120" s="1356" t="s">
        <v>1286</v>
      </c>
      <c r="CF120" s="1357"/>
      <c r="CG120" s="1356" t="s">
        <v>1286</v>
      </c>
      <c r="CH120" s="1357"/>
      <c r="CI120" s="1356" t="s">
        <v>1286</v>
      </c>
      <c r="CJ120" s="1357"/>
      <c r="CK120" s="1356" t="s">
        <v>1286</v>
      </c>
      <c r="CL120" s="1357"/>
      <c r="CM120" s="1356" t="s">
        <v>1286</v>
      </c>
      <c r="CN120" s="1357"/>
      <c r="CO120" s="1356" t="s">
        <v>1286</v>
      </c>
      <c r="CP120" s="1357"/>
      <c r="CQ120" s="1356" t="s">
        <v>1286</v>
      </c>
      <c r="CR120" s="1357"/>
      <c r="CS120" s="1356" t="s">
        <v>1286</v>
      </c>
      <c r="CT120" s="1357"/>
      <c r="CU120" s="1356" t="s">
        <v>1286</v>
      </c>
      <c r="CV120" s="1357"/>
      <c r="CW120" s="1356" t="s">
        <v>1286</v>
      </c>
      <c r="CX120" s="1357"/>
      <c r="CY120" s="1356" t="s">
        <v>1286</v>
      </c>
      <c r="CZ120" s="1357"/>
      <c r="DA120" s="1356"/>
      <c r="DB120" s="1357"/>
      <c r="DC120" s="1356"/>
      <c r="DD120" s="1357"/>
      <c r="DE120" s="1356"/>
      <c r="DF120" s="1357"/>
      <c r="DG120" s="1356"/>
      <c r="DH120" s="1357"/>
      <c r="DI120" s="1356"/>
      <c r="DJ120" s="1357"/>
      <c r="DK120" s="1356"/>
      <c r="DL120" s="1357"/>
      <c r="DM120" s="1356"/>
      <c r="DN120" s="1357"/>
      <c r="DO120" s="1356"/>
      <c r="DP120" s="1357"/>
      <c r="DQ120" s="1356"/>
      <c r="DR120" s="1357"/>
      <c r="DS120" s="1356"/>
      <c r="DT120" s="1357"/>
      <c r="DU120" s="1356"/>
      <c r="DV120" s="1357"/>
      <c r="DW120" s="1356"/>
      <c r="DX120" s="1357"/>
      <c r="DY120" s="1356"/>
      <c r="DZ120" s="1357"/>
      <c r="EA120" s="1356"/>
      <c r="EB120" s="1357"/>
      <c r="EC120" s="1356"/>
      <c r="ED120" s="1357"/>
      <c r="EE120" s="1356"/>
      <c r="EF120" s="1357"/>
      <c r="EG120" s="1356"/>
      <c r="EH120" s="1357"/>
      <c r="EI120" s="1356"/>
      <c r="EJ120" s="1357"/>
      <c r="EK120" s="1356"/>
      <c r="EL120" s="1357"/>
      <c r="EM120" s="1356"/>
      <c r="EN120" s="1357"/>
      <c r="EO120" s="1356"/>
      <c r="EP120" s="1357"/>
      <c r="EQ120" s="1356"/>
      <c r="ER120" s="1357"/>
      <c r="ES120" s="1356"/>
      <c r="ET120" s="1357"/>
      <c r="EU120" s="1356"/>
      <c r="EV120" s="1357"/>
      <c r="EW120" s="1356"/>
      <c r="EX120" s="1357"/>
      <c r="EY120" s="1356"/>
      <c r="EZ120" s="1357"/>
      <c r="FA120" s="1356"/>
      <c r="FB120" s="1357"/>
      <c r="FC120" s="1356"/>
      <c r="FD120" s="1357"/>
      <c r="FE120" s="1356"/>
      <c r="FF120" s="1357"/>
      <c r="FG120" s="1356"/>
      <c r="FH120" s="1357"/>
      <c r="FI120" s="1356"/>
      <c r="FJ120" s="1357"/>
      <c r="FK120" s="1356"/>
      <c r="FL120" s="1357"/>
      <c r="FM120" s="1356"/>
      <c r="FN120" s="1357"/>
      <c r="FO120" s="1356"/>
      <c r="FP120" s="1357"/>
      <c r="FQ120" s="1356"/>
      <c r="FR120" s="1357"/>
      <c r="FS120" s="1356"/>
      <c r="FT120" s="1357"/>
      <c r="FU120" s="1356"/>
      <c r="FV120" s="1357"/>
      <c r="FW120" s="1356"/>
      <c r="FX120" s="1357"/>
      <c r="FY120" s="1356"/>
      <c r="FZ120" s="1357"/>
      <c r="GA120" s="1356"/>
      <c r="GB120" s="1357"/>
      <c r="GC120" s="1356"/>
      <c r="GD120" s="1357"/>
      <c r="GE120" s="1356"/>
      <c r="GF120" s="1357"/>
      <c r="GG120" s="1356"/>
      <c r="GH120" s="1357"/>
      <c r="GI120" s="1356"/>
      <c r="GJ120" s="1357"/>
      <c r="GK120" s="1356"/>
      <c r="GL120" s="1357"/>
      <c r="GM120" s="1356"/>
      <c r="GN120" s="1357"/>
      <c r="GO120" s="1356"/>
      <c r="GP120" s="1357"/>
      <c r="GQ120" s="1356"/>
      <c r="GR120" s="1357"/>
      <c r="GS120" s="1356"/>
      <c r="GT120" s="1357"/>
      <c r="GU120" s="1356"/>
      <c r="GV120" s="1357"/>
      <c r="GW120" s="1356"/>
      <c r="GX120" s="1357"/>
      <c r="GY120" s="1356"/>
      <c r="GZ120" s="1357"/>
    </row>
  </sheetData>
  <mergeCells count="109">
    <mergeCell ref="GU94:GV94"/>
    <mergeCell ref="GW94:GX94"/>
    <mergeCell ref="GY94:GZ94"/>
    <mergeCell ref="DI2:DJ2"/>
    <mergeCell ref="CU2:CV2"/>
    <mergeCell ref="CW2:CX2"/>
    <mergeCell ref="CY2:CZ2"/>
    <mergeCell ref="DA2:DB2"/>
    <mergeCell ref="DC2:DD2"/>
    <mergeCell ref="DE2:DF2"/>
    <mergeCell ref="DK2:DL2"/>
    <mergeCell ref="DM2:DN2"/>
    <mergeCell ref="DO2:DP2"/>
    <mergeCell ref="DQ2:DR2"/>
    <mergeCell ref="EI2:EJ2"/>
    <mergeCell ref="FG2:FH2"/>
    <mergeCell ref="FI2:FJ2"/>
    <mergeCell ref="FK2:FL2"/>
    <mergeCell ref="FM2:FN2"/>
    <mergeCell ref="FO2:FP2"/>
    <mergeCell ref="EK2:EL2"/>
    <mergeCell ref="EW2:EX2"/>
    <mergeCell ref="EY2:EZ2"/>
    <mergeCell ref="FA2:FB2"/>
    <mergeCell ref="DG2:DH2"/>
    <mergeCell ref="BG2:BH2"/>
    <mergeCell ref="CG2:CH2"/>
    <mergeCell ref="BK2:BL2"/>
    <mergeCell ref="BM2:BN2"/>
    <mergeCell ref="BO2:BP2"/>
    <mergeCell ref="BQ2:BR2"/>
    <mergeCell ref="BS2:BT2"/>
    <mergeCell ref="BU2:BV2"/>
    <mergeCell ref="BW2:BX2"/>
    <mergeCell ref="BY2:BZ2"/>
    <mergeCell ref="CA2:CB2"/>
    <mergeCell ref="CC2:CD2"/>
    <mergeCell ref="CE2:CF2"/>
    <mergeCell ref="BI2:BJ2"/>
    <mergeCell ref="M2:N2"/>
    <mergeCell ref="C2:D2"/>
    <mergeCell ref="E2:F2"/>
    <mergeCell ref="G2:H2"/>
    <mergeCell ref="I2:J2"/>
    <mergeCell ref="K2:L2"/>
    <mergeCell ref="AK2:AL2"/>
    <mergeCell ref="O2:P2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M2:AN2"/>
    <mergeCell ref="DW2:DX2"/>
    <mergeCell ref="DY2:DZ2"/>
    <mergeCell ref="EA2:EB2"/>
    <mergeCell ref="DS2:DT2"/>
    <mergeCell ref="DU2:DV2"/>
    <mergeCell ref="EC2:ED2"/>
    <mergeCell ref="EE2:EF2"/>
    <mergeCell ref="EG2:EH2"/>
    <mergeCell ref="AO2:AP2"/>
    <mergeCell ref="AQ2:AR2"/>
    <mergeCell ref="AS2:AT2"/>
    <mergeCell ref="AU2:AV2"/>
    <mergeCell ref="AW2:AX2"/>
    <mergeCell ref="AY2:AZ2"/>
    <mergeCell ref="BA2:BB2"/>
    <mergeCell ref="BC2:BD2"/>
    <mergeCell ref="BE2:BF2"/>
    <mergeCell ref="CI2:CJ2"/>
    <mergeCell ref="CK2:CL2"/>
    <mergeCell ref="CM2:CN2"/>
    <mergeCell ref="CO2:CP2"/>
    <mergeCell ref="CQ2:CR2"/>
    <mergeCell ref="CS2:CT2"/>
    <mergeCell ref="FC2:FD2"/>
    <mergeCell ref="FE2:FF2"/>
    <mergeCell ref="EM2:EN2"/>
    <mergeCell ref="EO2:EP2"/>
    <mergeCell ref="EQ2:ER2"/>
    <mergeCell ref="ES2:ET2"/>
    <mergeCell ref="EU2:EV2"/>
    <mergeCell ref="GA2:GB2"/>
    <mergeCell ref="GC2:GD2"/>
    <mergeCell ref="GE2:GF2"/>
    <mergeCell ref="GG2:GH2"/>
    <mergeCell ref="GI2:GJ2"/>
    <mergeCell ref="FQ2:FR2"/>
    <mergeCell ref="FS2:FT2"/>
    <mergeCell ref="FU2:FV2"/>
    <mergeCell ref="FW2:FX2"/>
    <mergeCell ref="FY2:FZ2"/>
    <mergeCell ref="GU2:GV2"/>
    <mergeCell ref="GW2:GX2"/>
    <mergeCell ref="GY2:GZ2"/>
    <mergeCell ref="GU64:GV64"/>
    <mergeCell ref="GW64:GX64"/>
    <mergeCell ref="GY64:GZ64"/>
    <mergeCell ref="GS2:GT2"/>
    <mergeCell ref="GK2:GL2"/>
    <mergeCell ref="GM2:GN2"/>
    <mergeCell ref="GO2:GP2"/>
    <mergeCell ref="GQ2:GR2"/>
  </mergeCells>
  <phoneticPr fontId="13" type="noConversion"/>
  <pageMargins left="0.7" right="0.7" top="0.75" bottom="0.75" header="0.3" footer="0.3"/>
  <pageSetup paperSize="9" orientation="portrait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978BFF-3DE5-4688-990C-F49AA3959DDE}">
          <x14:formula1>
            <xm:f>'D:\영성ACC\타사COWORK\Yagiz Enerji Makina\SUDES MAKINA\[PROGRAM_BOM_20200427-TEST_New_Way.xlsm]LOOKUP_TABLE'!#REF!</xm:f>
          </x14:formula1>
          <xm:sqref>A4:A35</xm:sqref>
        </x14:dataValidation>
        <x14:dataValidation type="list" allowBlank="1" showInputMessage="1" showErrorMessage="1" xr:uid="{25F9647D-AB80-4B3A-BA63-39876D2DF0A0}">
          <x14:formula1>
            <xm:f>'D:\영성ACC\Factory_Setup_Project\Saudi_Al Muhaideb National Tanks\Program\BOM\[MNT_BOM_TEST200428.xlsm]REFERENCE'!#REF!</xm:f>
          </x14:formula1>
          <xm:sqref>C97:C120 E97:E120 G97:G120 I97:I120 K97:K120 M97:M120 O97:O120 Q97:Q120 S97:S120 U97:U120 W97:W120 Y97:Y120 AA97:AA120 AC97:AC120 AE97:AE120 AG97:AG120 AI97:AI120 AK97:AK120 AM97:AM120 AO97:AO120 AQ97:AQ120 AS97:AS120 AU97:AU120 AW97:AW120 AY97:AY120 BA97:BA120 BC97:BC120 BE97:BE120 BG97:BG120 BI97:BI120 BK97:BK120 BM97:BM120 BO97:BO120 BQ97:BQ120 BS97:BS120 BU97:BU120 BW97:BW120 BY97:BY120 CA97:CA120 CC97:CC120 CE97:CE120 CG97:CG120 CI97:CI120 CK97:CK120 CM97:CM120 CO97:CO120 CQ97:CQ120 CS97:CS120 CU97:CU120 CW97:CW120 CY97:CY120 DA97:DA120 DC97:DC120 DE97:DE120 DG97:DG120 DI97:DI120 DK97:DK120 DM97:DM120 DO97:DO120 DQ97:DQ120 DS97:DS120 DU97:DU120 DY97:DY120 DW97:DW120 EA97:EA120 EC97:EC120 EE97:EE120 EG97:EG120 EI97:EI120 EK97:EK120 EM97:EM120 EO97:EO120 EQ97:EQ120 ES97:ES120 EU97:EU120 EW97:EW120 EY97:EY120 FA97:FA120 FC97:FC120 FE97:FE120 FG97:FG120 FI97:FI120 FK97:FK120 FM97:FM120 FO97:FO120 FQ97:FQ120 FS97:FS120 FU97:FU120 FW97:FW120 FY97:FY120 GA97:GA120 GC97:GC120 GE97:GE120 GG97:GG120 GI97:GI120 GK97:GK120 GM97:GM120 GO97:GO120 GQ97:GQ120 GS97:GS120 GU97:GU120 GW97:GW120 GY97:GY120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>
    <pageSetUpPr fitToPage="1"/>
  </sheetPr>
  <dimension ref="A1:N579"/>
  <sheetViews>
    <sheetView zoomScaleNormal="100" zoomScaleSheetLayoutView="90" workbookViewId="0">
      <selection activeCell="G11" sqref="G11"/>
    </sheetView>
  </sheetViews>
  <sheetFormatPr defaultColWidth="8.875" defaultRowHeight="12.75"/>
  <cols>
    <col min="1" max="1" width="5.125" style="167" bestFit="1" customWidth="1"/>
    <col min="2" max="2" width="21.75" style="168" bestFit="1" customWidth="1"/>
    <col min="3" max="3" width="22.125" style="168" customWidth="1"/>
    <col min="4" max="4" width="11.75" style="172" bestFit="1" customWidth="1"/>
    <col min="5" max="5" width="35.25" style="172" bestFit="1" customWidth="1"/>
    <col min="6" max="6" width="33.375" style="396" bestFit="1" customWidth="1"/>
    <col min="7" max="7" width="9.875" style="173" bestFit="1" customWidth="1"/>
    <col min="8" max="8" width="8.875" style="957"/>
    <col min="9" max="16384" width="8.875" style="173"/>
  </cols>
  <sheetData>
    <row r="1" spans="1:8" s="168" customFormat="1" ht="25.5">
      <c r="A1" s="1398" t="s">
        <v>272</v>
      </c>
      <c r="B1" s="1338"/>
      <c r="C1" s="1338"/>
      <c r="D1" s="1338"/>
      <c r="E1" s="1338"/>
      <c r="F1" s="1338"/>
      <c r="H1" s="955"/>
    </row>
    <row r="2" spans="1:8" s="167" customFormat="1">
      <c r="A2" s="169" t="s">
        <v>345</v>
      </c>
      <c r="B2" s="170"/>
      <c r="D2" s="171" t="s">
        <v>425</v>
      </c>
      <c r="E2" s="172"/>
      <c r="F2" s="395"/>
      <c r="H2" s="157"/>
    </row>
    <row r="3" spans="1:8" s="168" customFormat="1">
      <c r="A3" s="1363" t="s">
        <v>273</v>
      </c>
      <c r="B3" s="1364" t="s">
        <v>274</v>
      </c>
      <c r="C3" s="1365" t="s">
        <v>276</v>
      </c>
      <c r="D3" s="1366" t="s">
        <v>275</v>
      </c>
      <c r="E3" s="1367" t="s">
        <v>402</v>
      </c>
      <c r="F3" s="1365" t="s">
        <v>277</v>
      </c>
      <c r="G3" s="544" t="s">
        <v>403</v>
      </c>
      <c r="H3" s="955"/>
    </row>
    <row r="4" spans="1:8" s="168" customFormat="1" ht="14.25">
      <c r="A4" s="1363">
        <v>1</v>
      </c>
      <c r="B4" s="1399" t="s">
        <v>1027</v>
      </c>
      <c r="C4" s="1365" t="s">
        <v>1024</v>
      </c>
      <c r="D4" s="1400">
        <v>8</v>
      </c>
      <c r="E4" s="1367" t="s">
        <v>1028</v>
      </c>
      <c r="F4" s="1365" t="s">
        <v>1026</v>
      </c>
      <c r="G4" s="545" t="e">
        <f>VLOOKUP(B:B,Weight_Table!A:B,2,FALSE)</f>
        <v>#N/A</v>
      </c>
      <c r="H4" s="955"/>
    </row>
    <row r="5" spans="1:8" s="168" customFormat="1" ht="14.25">
      <c r="A5" s="1363">
        <v>2</v>
      </c>
      <c r="B5" s="1399" t="s">
        <v>1023</v>
      </c>
      <c r="C5" s="1365" t="s">
        <v>1024</v>
      </c>
      <c r="D5" s="1400">
        <v>4</v>
      </c>
      <c r="E5" s="1367" t="s">
        <v>1025</v>
      </c>
      <c r="F5" s="1365" t="s">
        <v>1026</v>
      </c>
      <c r="G5" s="545" t="e">
        <f>VLOOKUP(B:B,Weight_Table!A:B,2,FALSE)</f>
        <v>#N/A</v>
      </c>
      <c r="H5" s="955"/>
    </row>
    <row r="6" spans="1:8" s="168" customFormat="1">
      <c r="A6" s="1363">
        <v>3</v>
      </c>
      <c r="B6" s="1369" t="s">
        <v>1061</v>
      </c>
      <c r="C6" s="1369" t="s">
        <v>1062</v>
      </c>
      <c r="D6" s="1368">
        <v>32.700000000000003</v>
      </c>
      <c r="E6" s="1369" t="s">
        <v>1062</v>
      </c>
      <c r="F6" s="1369" t="s">
        <v>1062</v>
      </c>
      <c r="G6" s="545" t="e">
        <f>VLOOKUP(B:B,Weight_Table!A:B,2,FALSE)</f>
        <v>#N/A</v>
      </c>
      <c r="H6" s="955"/>
    </row>
    <row r="7" spans="1:8" s="168" customFormat="1">
      <c r="A7" s="1363">
        <v>4</v>
      </c>
      <c r="B7" s="1369" t="s">
        <v>1059</v>
      </c>
      <c r="C7" s="1369" t="s">
        <v>1060</v>
      </c>
      <c r="D7" s="1368">
        <v>32.6</v>
      </c>
      <c r="E7" s="1369" t="s">
        <v>1060</v>
      </c>
      <c r="F7" s="1369" t="s">
        <v>1060</v>
      </c>
      <c r="G7" s="545" t="e">
        <f>VLOOKUP(B:B,Weight_Table!A:B,2,FALSE)</f>
        <v>#N/A</v>
      </c>
      <c r="H7" s="955"/>
    </row>
    <row r="8" spans="1:8" s="168" customFormat="1">
      <c r="A8" s="1363">
        <v>5</v>
      </c>
      <c r="B8" s="1369" t="s">
        <v>1057</v>
      </c>
      <c r="C8" s="1369" t="s">
        <v>1058</v>
      </c>
      <c r="D8" s="1368">
        <v>32.5</v>
      </c>
      <c r="E8" s="1369" t="s">
        <v>1058</v>
      </c>
      <c r="F8" s="1369" t="s">
        <v>1058</v>
      </c>
      <c r="G8" s="545" t="e">
        <f>VLOOKUP(B:B,Weight_Table!A:B,2,FALSE)</f>
        <v>#N/A</v>
      </c>
      <c r="H8" s="955"/>
    </row>
    <row r="9" spans="1:8" s="168" customFormat="1">
      <c r="A9" s="1363">
        <v>6</v>
      </c>
      <c r="B9" s="1369" t="s">
        <v>1055</v>
      </c>
      <c r="C9" s="1369" t="s">
        <v>1056</v>
      </c>
      <c r="D9" s="1368">
        <v>32.4</v>
      </c>
      <c r="E9" s="1369" t="s">
        <v>1056</v>
      </c>
      <c r="F9" s="1369" t="s">
        <v>1056</v>
      </c>
      <c r="G9" s="545" t="e">
        <f>VLOOKUP(B:B,Weight_Table!A:B,2,FALSE)</f>
        <v>#N/A</v>
      </c>
      <c r="H9" s="955"/>
    </row>
    <row r="10" spans="1:8" s="168" customFormat="1">
      <c r="A10" s="1363">
        <v>7</v>
      </c>
      <c r="B10" s="1369" t="s">
        <v>1053</v>
      </c>
      <c r="C10" s="1369" t="s">
        <v>1054</v>
      </c>
      <c r="D10" s="1368">
        <v>32.299999999999997</v>
      </c>
      <c r="E10" s="1369" t="s">
        <v>1054</v>
      </c>
      <c r="F10" s="1369" t="s">
        <v>1054</v>
      </c>
      <c r="G10" s="545" t="e">
        <f>VLOOKUP(B:B,Weight_Table!A:B,2,FALSE)</f>
        <v>#N/A</v>
      </c>
      <c r="H10" s="955"/>
    </row>
    <row r="11" spans="1:8" s="168" customFormat="1">
      <c r="A11" s="1363">
        <v>8</v>
      </c>
      <c r="B11" s="1369" t="s">
        <v>1039</v>
      </c>
      <c r="C11" s="1369" t="s">
        <v>1040</v>
      </c>
      <c r="D11" s="1368">
        <v>31.6</v>
      </c>
      <c r="E11" s="1369" t="s">
        <v>1040</v>
      </c>
      <c r="F11" s="1369" t="s">
        <v>1040</v>
      </c>
      <c r="G11" s="545" t="e">
        <f>VLOOKUP(B:B,Weight_Table!A:B,2,FALSE)</f>
        <v>#N/A</v>
      </c>
      <c r="H11" s="955"/>
    </row>
    <row r="12" spans="1:8" s="168" customFormat="1">
      <c r="A12" s="1363">
        <v>9</v>
      </c>
      <c r="B12" s="1369" t="s">
        <v>1037</v>
      </c>
      <c r="C12" s="1369" t="s">
        <v>1038</v>
      </c>
      <c r="D12" s="1368">
        <v>31.5</v>
      </c>
      <c r="E12" s="1369" t="s">
        <v>1038</v>
      </c>
      <c r="F12" s="1369" t="s">
        <v>1038</v>
      </c>
      <c r="G12" s="545" t="e">
        <f>VLOOKUP(B:B,Weight_Table!A:B,2,FALSE)</f>
        <v>#N/A</v>
      </c>
      <c r="H12" s="955"/>
    </row>
    <row r="13" spans="1:8" s="954" customFormat="1">
      <c r="A13" s="1363">
        <v>10</v>
      </c>
      <c r="B13" s="1369" t="s">
        <v>1035</v>
      </c>
      <c r="C13" s="1369" t="s">
        <v>1036</v>
      </c>
      <c r="D13" s="1368">
        <v>31.4</v>
      </c>
      <c r="E13" s="1369" t="s">
        <v>1036</v>
      </c>
      <c r="F13" s="1369" t="s">
        <v>1036</v>
      </c>
      <c r="G13" s="545" t="e">
        <f>VLOOKUP(B:B,Weight_Table!A:B,2,FALSE)</f>
        <v>#N/A</v>
      </c>
      <c r="H13" s="956"/>
    </row>
    <row r="14" spans="1:8" s="168" customFormat="1">
      <c r="A14" s="1363">
        <v>11</v>
      </c>
      <c r="B14" s="1369" t="s">
        <v>1033</v>
      </c>
      <c r="C14" s="1369" t="s">
        <v>1034</v>
      </c>
      <c r="D14" s="1368">
        <v>31.3</v>
      </c>
      <c r="E14" s="1369" t="s">
        <v>1034</v>
      </c>
      <c r="F14" s="1369" t="s">
        <v>1034</v>
      </c>
      <c r="G14" s="545" t="e">
        <f>VLOOKUP(B:B,Weight_Table!A:B,2,FALSE)</f>
        <v>#N/A</v>
      </c>
      <c r="H14" s="955"/>
    </row>
    <row r="15" spans="1:8" s="168" customFormat="1">
      <c r="A15" s="1363">
        <v>12</v>
      </c>
      <c r="B15" s="1369" t="s">
        <v>1031</v>
      </c>
      <c r="C15" s="1369" t="s">
        <v>1032</v>
      </c>
      <c r="D15" s="1368">
        <v>31.2</v>
      </c>
      <c r="E15" s="1369" t="s">
        <v>1032</v>
      </c>
      <c r="F15" s="1369" t="s">
        <v>1032</v>
      </c>
      <c r="G15" s="545" t="e">
        <f>VLOOKUP(B:B,Weight_Table!A:B,2,FALSE)</f>
        <v>#N/A</v>
      </c>
      <c r="H15" s="955"/>
    </row>
    <row r="16" spans="1:8" s="168" customFormat="1">
      <c r="A16" s="1363">
        <v>13</v>
      </c>
      <c r="B16" s="1369" t="s">
        <v>1029</v>
      </c>
      <c r="C16" s="1369" t="s">
        <v>1030</v>
      </c>
      <c r="D16" s="1368">
        <v>31.1</v>
      </c>
      <c r="E16" s="1369" t="s">
        <v>1030</v>
      </c>
      <c r="F16" s="1369" t="s">
        <v>1030</v>
      </c>
      <c r="G16" s="545" t="e">
        <f>VLOOKUP(B:B,Weight_Table!A:B,2,FALSE)</f>
        <v>#N/A</v>
      </c>
      <c r="H16" s="955"/>
    </row>
    <row r="17" spans="1:14" s="168" customFormat="1" ht="14.25">
      <c r="A17" s="1363">
        <v>14</v>
      </c>
      <c r="B17" s="1399" t="s">
        <v>1554</v>
      </c>
      <c r="C17" s="1365" t="s">
        <v>340</v>
      </c>
      <c r="D17" s="1400">
        <v>110</v>
      </c>
      <c r="E17" s="1367" t="s">
        <v>792</v>
      </c>
      <c r="F17" s="1365" t="s">
        <v>800</v>
      </c>
      <c r="G17" s="545" t="e">
        <f>VLOOKUP(B:B,Weight_Table!A:B,2,FALSE)</f>
        <v>#N/A</v>
      </c>
      <c r="H17" s="955"/>
    </row>
    <row r="18" spans="1:14" s="168" customFormat="1" ht="14.25">
      <c r="A18" s="1363">
        <v>15</v>
      </c>
      <c r="B18" s="1399" t="s">
        <v>1553</v>
      </c>
      <c r="C18" s="1365" t="s">
        <v>340</v>
      </c>
      <c r="D18" s="1400">
        <v>99</v>
      </c>
      <c r="E18" s="1367" t="s">
        <v>792</v>
      </c>
      <c r="F18" s="1365" t="s">
        <v>799</v>
      </c>
      <c r="G18" s="545" t="e">
        <f>VLOOKUP(B:B,Weight_Table!A:B,2,FALSE)</f>
        <v>#N/A</v>
      </c>
      <c r="H18" s="955"/>
    </row>
    <row r="19" spans="1:14" s="168" customFormat="1" ht="14.25">
      <c r="A19" s="1363">
        <v>16</v>
      </c>
      <c r="B19" s="1399" t="s">
        <v>1552</v>
      </c>
      <c r="C19" s="1365" t="s">
        <v>340</v>
      </c>
      <c r="D19" s="1400">
        <v>88</v>
      </c>
      <c r="E19" s="1367" t="s">
        <v>792</v>
      </c>
      <c r="F19" s="1365" t="s">
        <v>798</v>
      </c>
      <c r="G19" s="545" t="e">
        <f>VLOOKUP(B:B,Weight_Table!A:B,2,FALSE)</f>
        <v>#N/A</v>
      </c>
      <c r="H19" s="955"/>
    </row>
    <row r="20" spans="1:14" s="168" customFormat="1" ht="14.25">
      <c r="A20" s="1363">
        <v>17</v>
      </c>
      <c r="B20" s="1399" t="s">
        <v>1551</v>
      </c>
      <c r="C20" s="1365" t="s">
        <v>340</v>
      </c>
      <c r="D20" s="1400">
        <v>77</v>
      </c>
      <c r="E20" s="1367" t="s">
        <v>792</v>
      </c>
      <c r="F20" s="1365" t="s">
        <v>797</v>
      </c>
      <c r="G20" s="545" t="e">
        <f>VLOOKUP(B:B,Weight_Table!A:B,2,FALSE)</f>
        <v>#N/A</v>
      </c>
      <c r="H20" s="955"/>
    </row>
    <row r="21" spans="1:14" s="168" customFormat="1" ht="14.25">
      <c r="A21" s="1363">
        <v>18</v>
      </c>
      <c r="B21" s="1399" t="s">
        <v>1550</v>
      </c>
      <c r="C21" s="1365" t="s">
        <v>340</v>
      </c>
      <c r="D21" s="1400">
        <v>66</v>
      </c>
      <c r="E21" s="1367" t="s">
        <v>792</v>
      </c>
      <c r="F21" s="1365" t="s">
        <v>796</v>
      </c>
      <c r="G21" s="545" t="e">
        <f>VLOOKUP(B:B,Weight_Table!A:B,2,FALSE)</f>
        <v>#N/A</v>
      </c>
      <c r="H21" s="955"/>
    </row>
    <row r="22" spans="1:14" s="168" customFormat="1" ht="14.25">
      <c r="A22" s="1363">
        <v>19</v>
      </c>
      <c r="B22" s="1399" t="s">
        <v>1549</v>
      </c>
      <c r="C22" s="1365" t="s">
        <v>340</v>
      </c>
      <c r="D22" s="1400">
        <v>55</v>
      </c>
      <c r="E22" s="1367" t="s">
        <v>792</v>
      </c>
      <c r="F22" s="1365" t="s">
        <v>795</v>
      </c>
      <c r="G22" s="545" t="e">
        <f>VLOOKUP(B:B,Weight_Table!A:B,2,FALSE)</f>
        <v>#N/A</v>
      </c>
      <c r="H22" s="955"/>
    </row>
    <row r="23" spans="1:14" s="168" customFormat="1" ht="14.25">
      <c r="A23" s="1363">
        <v>20</v>
      </c>
      <c r="B23" s="1399" t="s">
        <v>1548</v>
      </c>
      <c r="C23" s="1365" t="s">
        <v>340</v>
      </c>
      <c r="D23" s="1400">
        <v>44</v>
      </c>
      <c r="E23" s="1367" t="s">
        <v>792</v>
      </c>
      <c r="F23" s="1365" t="s">
        <v>794</v>
      </c>
      <c r="G23" s="545" t="e">
        <f>VLOOKUP(B:B,Weight_Table!A:B,2,FALSE)</f>
        <v>#N/A</v>
      </c>
      <c r="H23" s="955"/>
    </row>
    <row r="24" spans="1:14" s="168" customFormat="1" ht="14.25">
      <c r="A24" s="1363">
        <v>21</v>
      </c>
      <c r="B24" s="1399" t="s">
        <v>1547</v>
      </c>
      <c r="C24" s="1365" t="s">
        <v>340</v>
      </c>
      <c r="D24" s="1400">
        <v>33</v>
      </c>
      <c r="E24" s="1367" t="s">
        <v>792</v>
      </c>
      <c r="F24" s="1365" t="s">
        <v>793</v>
      </c>
      <c r="G24" s="545" t="e">
        <f>VLOOKUP(B:B,Weight_Table!A:B,2,FALSE)</f>
        <v>#N/A</v>
      </c>
      <c r="H24" s="955"/>
    </row>
    <row r="25" spans="1:14" s="168" customFormat="1" ht="14.25">
      <c r="A25" s="1363">
        <v>22</v>
      </c>
      <c r="B25" s="1364" t="s">
        <v>1013</v>
      </c>
      <c r="C25" s="1365" t="s">
        <v>1004</v>
      </c>
      <c r="D25" s="1368">
        <v>29.9</v>
      </c>
      <c r="E25" s="1367" t="s">
        <v>1005</v>
      </c>
      <c r="F25" s="1365" t="s">
        <v>77</v>
      </c>
      <c r="G25" s="545" t="e">
        <f>VLOOKUP(B:B,Weight_Table!A:B,2,FALSE)</f>
        <v>#N/A</v>
      </c>
      <c r="H25" s="955"/>
    </row>
    <row r="26" spans="1:14" s="168" customFormat="1" ht="14.25">
      <c r="A26" s="1363">
        <v>23</v>
      </c>
      <c r="B26" s="1399" t="s">
        <v>1022</v>
      </c>
      <c r="C26" s="1365" t="s">
        <v>1004</v>
      </c>
      <c r="D26" s="1400">
        <v>750</v>
      </c>
      <c r="E26" s="1367" t="s">
        <v>1005</v>
      </c>
      <c r="F26" s="1365" t="s">
        <v>77</v>
      </c>
      <c r="G26" s="545" t="e">
        <f>VLOOKUP(B:B,Weight_Table!A:B,2,FALSE)</f>
        <v>#N/A</v>
      </c>
      <c r="H26" s="955"/>
    </row>
    <row r="27" spans="1:14" ht="14.25">
      <c r="A27" s="1363">
        <v>24</v>
      </c>
      <c r="B27" s="1364" t="s">
        <v>1012</v>
      </c>
      <c r="C27" s="1365" t="s">
        <v>1004</v>
      </c>
      <c r="D27" s="1368">
        <v>29.8</v>
      </c>
      <c r="E27" s="1367" t="s">
        <v>1005</v>
      </c>
      <c r="F27" s="1365" t="s">
        <v>77</v>
      </c>
      <c r="G27" s="545" t="e">
        <f>VLOOKUP(B:B,Weight_Table!A:B,2,FALSE)</f>
        <v>#N/A</v>
      </c>
    </row>
    <row r="28" spans="1:14" ht="14.25">
      <c r="A28" s="1363">
        <v>25</v>
      </c>
      <c r="B28" s="1399" t="s">
        <v>1021</v>
      </c>
      <c r="C28" s="1365" t="s">
        <v>1004</v>
      </c>
      <c r="D28" s="1400">
        <v>675</v>
      </c>
      <c r="E28" s="1367" t="s">
        <v>1005</v>
      </c>
      <c r="F28" s="1365" t="s">
        <v>77</v>
      </c>
      <c r="G28" s="545" t="e">
        <f>VLOOKUP(B:B,Weight_Table!A:B,2,FALSE)</f>
        <v>#N/A</v>
      </c>
    </row>
    <row r="29" spans="1:14" ht="14.25">
      <c r="A29" s="1363">
        <v>26</v>
      </c>
      <c r="B29" s="1364" t="s">
        <v>1011</v>
      </c>
      <c r="C29" s="1365" t="s">
        <v>1004</v>
      </c>
      <c r="D29" s="1368">
        <v>29.7</v>
      </c>
      <c r="E29" s="1367" t="s">
        <v>1005</v>
      </c>
      <c r="F29" s="1365" t="s">
        <v>77</v>
      </c>
      <c r="G29" s="545" t="e">
        <f>VLOOKUP(B:B,Weight_Table!A:B,2,FALSE)</f>
        <v>#N/A</v>
      </c>
    </row>
    <row r="30" spans="1:14" ht="14.25">
      <c r="A30" s="1363">
        <v>27</v>
      </c>
      <c r="B30" s="1399" t="s">
        <v>1020</v>
      </c>
      <c r="C30" s="1365" t="s">
        <v>1004</v>
      </c>
      <c r="D30" s="1400">
        <v>600</v>
      </c>
      <c r="E30" s="1367" t="s">
        <v>1005</v>
      </c>
      <c r="F30" s="1365" t="s">
        <v>77</v>
      </c>
      <c r="G30" s="545" t="e">
        <f>VLOOKUP(B:B,Weight_Table!A:B,2,FALSE)</f>
        <v>#N/A</v>
      </c>
    </row>
    <row r="31" spans="1:14" ht="14.25">
      <c r="A31" s="1363">
        <v>28</v>
      </c>
      <c r="B31" s="1364" t="s">
        <v>1010</v>
      </c>
      <c r="C31" s="1365" t="s">
        <v>1004</v>
      </c>
      <c r="D31" s="1368">
        <v>29.6</v>
      </c>
      <c r="E31" s="1367" t="s">
        <v>1005</v>
      </c>
      <c r="F31" s="1365" t="s">
        <v>77</v>
      </c>
      <c r="G31" s="545" t="e">
        <f>VLOOKUP(B:B,Weight_Table!A:B,2,FALSE)</f>
        <v>#N/A</v>
      </c>
      <c r="N31" s="173">
        <v>11.1</v>
      </c>
    </row>
    <row r="32" spans="1:14" ht="14.25">
      <c r="A32" s="1363">
        <v>29</v>
      </c>
      <c r="B32" s="1399" t="s">
        <v>1019</v>
      </c>
      <c r="C32" s="1365" t="s">
        <v>1004</v>
      </c>
      <c r="D32" s="1400">
        <v>525</v>
      </c>
      <c r="E32" s="1367" t="s">
        <v>1005</v>
      </c>
      <c r="F32" s="1365" t="s">
        <v>77</v>
      </c>
      <c r="G32" s="545" t="e">
        <f>VLOOKUP(B:B,Weight_Table!A:B,2,FALSE)</f>
        <v>#N/A</v>
      </c>
      <c r="N32" s="173">
        <v>1.1000000000000001</v>
      </c>
    </row>
    <row r="33" spans="1:14" ht="14.25">
      <c r="A33" s="1363">
        <v>30</v>
      </c>
      <c r="B33" s="1364" t="s">
        <v>1009</v>
      </c>
      <c r="C33" s="1365" t="s">
        <v>1004</v>
      </c>
      <c r="D33" s="1368">
        <v>29.5</v>
      </c>
      <c r="E33" s="1367" t="s">
        <v>1005</v>
      </c>
      <c r="F33" s="1365" t="s">
        <v>77</v>
      </c>
      <c r="G33" s="545" t="e">
        <f>VLOOKUP(B:B,Weight_Table!A:B,2,FALSE)</f>
        <v>#N/A</v>
      </c>
      <c r="N33" s="173">
        <v>2.2000000000000002</v>
      </c>
    </row>
    <row r="34" spans="1:14" ht="14.25">
      <c r="A34" s="1363">
        <v>31</v>
      </c>
      <c r="B34" s="1399" t="s">
        <v>1018</v>
      </c>
      <c r="C34" s="1365" t="s">
        <v>1004</v>
      </c>
      <c r="D34" s="1400">
        <v>450</v>
      </c>
      <c r="E34" s="1367" t="s">
        <v>1005</v>
      </c>
      <c r="F34" s="1365" t="s">
        <v>77</v>
      </c>
      <c r="G34" s="545" t="e">
        <f>VLOOKUP(B:B,Weight_Table!A:B,2,FALSE)</f>
        <v>#N/A</v>
      </c>
      <c r="N34" s="173">
        <f>SUM(N31:N33)</f>
        <v>14.399999999999999</v>
      </c>
    </row>
    <row r="35" spans="1:14" ht="14.25">
      <c r="A35" s="1363">
        <v>32</v>
      </c>
      <c r="B35" s="1364" t="s">
        <v>1008</v>
      </c>
      <c r="C35" s="1365" t="s">
        <v>1004</v>
      </c>
      <c r="D35" s="1368">
        <v>29.4</v>
      </c>
      <c r="E35" s="1367" t="s">
        <v>1005</v>
      </c>
      <c r="F35" s="1365" t="s">
        <v>77</v>
      </c>
      <c r="G35" s="545" t="e">
        <f>VLOOKUP(B:B,Weight_Table!A:B,2,FALSE)</f>
        <v>#N/A</v>
      </c>
      <c r="N35" s="173">
        <f>N34*3.76*1.15</f>
        <v>62.265599999999985</v>
      </c>
    </row>
    <row r="36" spans="1:14" ht="14.25">
      <c r="A36" s="1363">
        <v>33</v>
      </c>
      <c r="B36" s="1399" t="s">
        <v>1017</v>
      </c>
      <c r="C36" s="1365" t="s">
        <v>1004</v>
      </c>
      <c r="D36" s="1400">
        <v>375</v>
      </c>
      <c r="E36" s="1367" t="s">
        <v>1005</v>
      </c>
      <c r="F36" s="1365" t="s">
        <v>77</v>
      </c>
      <c r="G36" s="545" t="e">
        <f>VLOOKUP(B:B,Weight_Table!A:B,2,FALSE)</f>
        <v>#N/A</v>
      </c>
    </row>
    <row r="37" spans="1:14" ht="14.25">
      <c r="A37" s="1363">
        <v>34</v>
      </c>
      <c r="B37" s="1364" t="s">
        <v>1007</v>
      </c>
      <c r="C37" s="1365" t="s">
        <v>1004</v>
      </c>
      <c r="D37" s="1368">
        <v>29.3</v>
      </c>
      <c r="E37" s="1367" t="s">
        <v>1005</v>
      </c>
      <c r="F37" s="1365" t="s">
        <v>77</v>
      </c>
      <c r="G37" s="545" t="e">
        <f>VLOOKUP(B:B,Weight_Table!A:B,2,FALSE)</f>
        <v>#N/A</v>
      </c>
    </row>
    <row r="38" spans="1:14" ht="14.25">
      <c r="A38" s="1363">
        <v>35</v>
      </c>
      <c r="B38" s="1399" t="s">
        <v>1016</v>
      </c>
      <c r="C38" s="1365" t="s">
        <v>1004</v>
      </c>
      <c r="D38" s="1400">
        <v>300</v>
      </c>
      <c r="E38" s="1367" t="s">
        <v>1005</v>
      </c>
      <c r="F38" s="1365" t="s">
        <v>77</v>
      </c>
      <c r="G38" s="545" t="e">
        <f>VLOOKUP(B:B,Weight_Table!A:B,2,FALSE)</f>
        <v>#N/A</v>
      </c>
    </row>
    <row r="39" spans="1:14" ht="14.25">
      <c r="A39" s="1363">
        <v>36</v>
      </c>
      <c r="B39" s="1364" t="s">
        <v>1006</v>
      </c>
      <c r="C39" s="1365" t="s">
        <v>1004</v>
      </c>
      <c r="D39" s="1368">
        <v>29.2</v>
      </c>
      <c r="E39" s="1367" t="s">
        <v>1005</v>
      </c>
      <c r="F39" s="1365" t="s">
        <v>77</v>
      </c>
      <c r="G39" s="545" t="e">
        <f>VLOOKUP(B:B,Weight_Table!A:B,2,FALSE)</f>
        <v>#N/A</v>
      </c>
    </row>
    <row r="40" spans="1:14" ht="14.25">
      <c r="A40" s="1363">
        <v>37</v>
      </c>
      <c r="B40" s="1399" t="s">
        <v>1015</v>
      </c>
      <c r="C40" s="1365" t="s">
        <v>1004</v>
      </c>
      <c r="D40" s="1400">
        <v>225</v>
      </c>
      <c r="E40" s="1367" t="s">
        <v>1005</v>
      </c>
      <c r="F40" s="1365" t="s">
        <v>77</v>
      </c>
      <c r="G40" s="545" t="e">
        <f>VLOOKUP(B:B,Weight_Table!A:B,2,FALSE)</f>
        <v>#N/A</v>
      </c>
    </row>
    <row r="41" spans="1:14" ht="14.25">
      <c r="A41" s="1363">
        <v>38</v>
      </c>
      <c r="B41" s="1364" t="s">
        <v>1003</v>
      </c>
      <c r="C41" s="1365" t="s">
        <v>1004</v>
      </c>
      <c r="D41" s="1368">
        <v>29.1</v>
      </c>
      <c r="E41" s="1367" t="s">
        <v>1005</v>
      </c>
      <c r="F41" s="1365" t="s">
        <v>77</v>
      </c>
      <c r="G41" s="545" t="e">
        <f>VLOOKUP(B:B,Weight_Table!A:B,2,FALSE)</f>
        <v>#N/A</v>
      </c>
    </row>
    <row r="42" spans="1:14" ht="14.25">
      <c r="A42" s="1363">
        <v>39</v>
      </c>
      <c r="B42" s="1399" t="s">
        <v>1014</v>
      </c>
      <c r="C42" s="1365" t="s">
        <v>1004</v>
      </c>
      <c r="D42" s="1400">
        <v>150</v>
      </c>
      <c r="E42" s="1367" t="s">
        <v>1005</v>
      </c>
      <c r="F42" s="1365" t="s">
        <v>77</v>
      </c>
      <c r="G42" s="545" t="e">
        <f>VLOOKUP(B:B,Weight_Table!A:B,2,FALSE)</f>
        <v>#N/A</v>
      </c>
    </row>
    <row r="43" spans="1:14">
      <c r="A43" s="1363">
        <v>40</v>
      </c>
      <c r="B43" s="1399" t="s">
        <v>924</v>
      </c>
      <c r="C43" s="1370" t="s">
        <v>907</v>
      </c>
      <c r="D43" s="1400">
        <v>455</v>
      </c>
      <c r="E43" s="1367" t="s">
        <v>908</v>
      </c>
      <c r="F43" s="1370" t="s">
        <v>925</v>
      </c>
      <c r="G43" s="545">
        <f>VLOOKUP(B:B,Weight_Table!A:B,2,FALSE)</f>
        <v>8</v>
      </c>
    </row>
    <row r="44" spans="1:14" ht="14.25">
      <c r="A44" s="1363">
        <v>41</v>
      </c>
      <c r="B44" s="1399" t="s">
        <v>76</v>
      </c>
      <c r="C44" s="1365" t="s">
        <v>339</v>
      </c>
      <c r="D44" s="1400">
        <v>450</v>
      </c>
      <c r="E44" s="1367" t="s">
        <v>791</v>
      </c>
      <c r="F44" s="1365" t="s">
        <v>305</v>
      </c>
      <c r="G44" s="545">
        <f>VLOOKUP(B:B,Weight_Table!A:B,2,FALSE)</f>
        <v>13.5</v>
      </c>
    </row>
    <row r="45" spans="1:14">
      <c r="A45" s="1363">
        <v>42</v>
      </c>
      <c r="B45" s="1399" t="s">
        <v>922</v>
      </c>
      <c r="C45" s="1370" t="s">
        <v>907</v>
      </c>
      <c r="D45" s="1400">
        <v>410</v>
      </c>
      <c r="E45" s="1367" t="s">
        <v>908</v>
      </c>
      <c r="F45" s="1370" t="s">
        <v>923</v>
      </c>
      <c r="G45" s="545">
        <f>VLOOKUP(B:B,Weight_Table!A:B,2,FALSE)</f>
        <v>7.2</v>
      </c>
    </row>
    <row r="46" spans="1:14" ht="14.25">
      <c r="A46" s="1363">
        <v>43</v>
      </c>
      <c r="B46" s="1399" t="s">
        <v>75</v>
      </c>
      <c r="C46" s="1365" t="s">
        <v>339</v>
      </c>
      <c r="D46" s="1400">
        <v>415</v>
      </c>
      <c r="E46" s="1367" t="s">
        <v>791</v>
      </c>
      <c r="F46" s="1365" t="s">
        <v>302</v>
      </c>
      <c r="G46" s="545">
        <f>VLOOKUP(B:B,Weight_Table!A:B,2,FALSE)</f>
        <v>12.15</v>
      </c>
    </row>
    <row r="47" spans="1:14">
      <c r="A47" s="1363">
        <v>44</v>
      </c>
      <c r="B47" s="1399" t="s">
        <v>920</v>
      </c>
      <c r="C47" s="1370" t="s">
        <v>907</v>
      </c>
      <c r="D47" s="1400">
        <v>365</v>
      </c>
      <c r="E47" s="1367" t="s">
        <v>908</v>
      </c>
      <c r="F47" s="1370" t="s">
        <v>921</v>
      </c>
      <c r="G47" s="545">
        <f>VLOOKUP(B:B,Weight_Table!A:B,2,FALSE)</f>
        <v>6.4</v>
      </c>
    </row>
    <row r="48" spans="1:14" ht="14.25">
      <c r="A48" s="1363">
        <v>45</v>
      </c>
      <c r="B48" s="1399" t="s">
        <v>74</v>
      </c>
      <c r="C48" s="1365" t="s">
        <v>339</v>
      </c>
      <c r="D48" s="1400">
        <v>346</v>
      </c>
      <c r="E48" s="1367" t="s">
        <v>791</v>
      </c>
      <c r="F48" s="1365" t="s">
        <v>304</v>
      </c>
      <c r="G48" s="545">
        <f>VLOOKUP(B:B,Weight_Table!A:B,2,FALSE)</f>
        <v>10.8</v>
      </c>
    </row>
    <row r="49" spans="1:7">
      <c r="A49" s="1363">
        <v>46</v>
      </c>
      <c r="B49" s="1399" t="s">
        <v>918</v>
      </c>
      <c r="C49" s="1370" t="s">
        <v>907</v>
      </c>
      <c r="D49" s="1400">
        <v>320</v>
      </c>
      <c r="E49" s="1367" t="s">
        <v>908</v>
      </c>
      <c r="F49" s="1370" t="s">
        <v>919</v>
      </c>
      <c r="G49" s="545">
        <f>VLOOKUP(B:B,Weight_Table!A:B,2,FALSE)</f>
        <v>5.6</v>
      </c>
    </row>
    <row r="50" spans="1:7" ht="14.25">
      <c r="A50" s="1363">
        <v>47</v>
      </c>
      <c r="B50" s="1399" t="s">
        <v>73</v>
      </c>
      <c r="C50" s="1365" t="s">
        <v>339</v>
      </c>
      <c r="D50" s="1400">
        <v>324</v>
      </c>
      <c r="E50" s="1367" t="s">
        <v>791</v>
      </c>
      <c r="F50" s="1365" t="s">
        <v>303</v>
      </c>
      <c r="G50" s="545">
        <f>VLOOKUP(B:B,Weight_Table!A:B,2,FALSE)</f>
        <v>9.6</v>
      </c>
    </row>
    <row r="51" spans="1:7">
      <c r="A51" s="1363">
        <v>48</v>
      </c>
      <c r="B51" s="1399" t="s">
        <v>916</v>
      </c>
      <c r="C51" s="1370" t="s">
        <v>907</v>
      </c>
      <c r="D51" s="1400">
        <v>275</v>
      </c>
      <c r="E51" s="1367" t="s">
        <v>908</v>
      </c>
      <c r="F51" s="1370" t="s">
        <v>917</v>
      </c>
      <c r="G51" s="545">
        <f>VLOOKUP(B:B,Weight_Table!A:B,2,FALSE)</f>
        <v>5.6</v>
      </c>
    </row>
    <row r="52" spans="1:7" ht="14.25">
      <c r="A52" s="1363">
        <v>49</v>
      </c>
      <c r="B52" s="1399" t="s">
        <v>72</v>
      </c>
      <c r="C52" s="1365" t="s">
        <v>339</v>
      </c>
      <c r="D52" s="1400">
        <v>264</v>
      </c>
      <c r="E52" s="1367" t="s">
        <v>791</v>
      </c>
      <c r="F52" s="1365" t="s">
        <v>301</v>
      </c>
      <c r="G52" s="545">
        <f>VLOOKUP(B:B,Weight_Table!A:B,2,FALSE)</f>
        <v>8.1000000000000014</v>
      </c>
    </row>
    <row r="53" spans="1:7">
      <c r="A53" s="1363">
        <v>50</v>
      </c>
      <c r="B53" s="1399" t="s">
        <v>914</v>
      </c>
      <c r="C53" s="1370" t="s">
        <v>907</v>
      </c>
      <c r="D53" s="1400">
        <v>230</v>
      </c>
      <c r="E53" s="1367" t="s">
        <v>908</v>
      </c>
      <c r="F53" s="1370" t="s">
        <v>915</v>
      </c>
      <c r="G53" s="545">
        <f>VLOOKUP(B:B,Weight_Table!A:B,2,FALSE)</f>
        <v>4</v>
      </c>
    </row>
    <row r="54" spans="1:7" ht="14.25">
      <c r="A54" s="1363">
        <v>51</v>
      </c>
      <c r="B54" s="1399" t="s">
        <v>71</v>
      </c>
      <c r="C54" s="1402" t="s">
        <v>339</v>
      </c>
      <c r="D54" s="1400">
        <v>234</v>
      </c>
      <c r="E54" s="1367" t="s">
        <v>791</v>
      </c>
      <c r="F54" s="1365" t="s">
        <v>300</v>
      </c>
      <c r="G54" s="545">
        <f>VLOOKUP(B:B,Weight_Table!A:B,2,FALSE)</f>
        <v>6.4</v>
      </c>
    </row>
    <row r="55" spans="1:7">
      <c r="A55" s="1363">
        <v>52</v>
      </c>
      <c r="B55" s="1399" t="s">
        <v>912</v>
      </c>
      <c r="C55" s="1370" t="s">
        <v>907</v>
      </c>
      <c r="D55" s="1400">
        <v>185</v>
      </c>
      <c r="E55" s="1367" t="s">
        <v>908</v>
      </c>
      <c r="F55" s="1370" t="s">
        <v>913</v>
      </c>
      <c r="G55" s="545">
        <f>VLOOKUP(B:B,Weight_Table!A:B,2,FALSE)</f>
        <v>3.8</v>
      </c>
    </row>
    <row r="56" spans="1:7" ht="14.25">
      <c r="A56" s="1363">
        <v>53</v>
      </c>
      <c r="B56" s="1399" t="s">
        <v>83</v>
      </c>
      <c r="C56" s="1365" t="s">
        <v>339</v>
      </c>
      <c r="D56" s="1400">
        <v>200</v>
      </c>
      <c r="E56" s="1367" t="s">
        <v>791</v>
      </c>
      <c r="F56" s="1365" t="s">
        <v>299</v>
      </c>
      <c r="G56" s="545">
        <f>VLOOKUP(B:B,Weight_Table!A:B,2,FALSE)</f>
        <v>6.4</v>
      </c>
    </row>
    <row r="57" spans="1:7">
      <c r="A57" s="1363">
        <v>54</v>
      </c>
      <c r="B57" s="1399" t="s">
        <v>910</v>
      </c>
      <c r="C57" s="1370" t="s">
        <v>907</v>
      </c>
      <c r="D57" s="1400">
        <v>140</v>
      </c>
      <c r="E57" s="1367" t="s">
        <v>908</v>
      </c>
      <c r="F57" s="1370" t="s">
        <v>911</v>
      </c>
      <c r="G57" s="545">
        <f>VLOOKUP(B:B,Weight_Table!A:B,2,FALSE)</f>
        <v>2.4000000000000004</v>
      </c>
    </row>
    <row r="58" spans="1:7" ht="14.25">
      <c r="A58" s="1363">
        <v>55</v>
      </c>
      <c r="B58" s="1399" t="s">
        <v>82</v>
      </c>
      <c r="C58" s="1365" t="s">
        <v>339</v>
      </c>
      <c r="D58" s="1400">
        <v>174</v>
      </c>
      <c r="E58" s="1367" t="s">
        <v>791</v>
      </c>
      <c r="F58" s="1365" t="s">
        <v>298</v>
      </c>
      <c r="G58" s="545">
        <f>VLOOKUP(B:B,Weight_Table!A:B,2,FALSE)</f>
        <v>5</v>
      </c>
    </row>
    <row r="59" spans="1:7">
      <c r="A59" s="1363">
        <v>56</v>
      </c>
      <c r="B59" s="1399" t="s">
        <v>906</v>
      </c>
      <c r="C59" s="1372" t="s">
        <v>907</v>
      </c>
      <c r="D59" s="1400">
        <v>125</v>
      </c>
      <c r="E59" s="1373" t="s">
        <v>908</v>
      </c>
      <c r="F59" s="1372" t="s">
        <v>909</v>
      </c>
      <c r="G59" s="953" t="e">
        <f>VLOOKUP(B:B,Weight_Table!A:B,2,FALSE)</f>
        <v>#N/A</v>
      </c>
    </row>
    <row r="60" spans="1:7" ht="14.25">
      <c r="A60" s="1363">
        <v>57</v>
      </c>
      <c r="B60" s="1399" t="s">
        <v>295</v>
      </c>
      <c r="C60" s="1365" t="s">
        <v>339</v>
      </c>
      <c r="D60" s="1400">
        <v>174</v>
      </c>
      <c r="E60" s="1367" t="s">
        <v>791</v>
      </c>
      <c r="F60" s="1365" t="s">
        <v>297</v>
      </c>
      <c r="G60" s="545" t="e">
        <f>VLOOKUP(B:B,Weight_Table!A:B,2,FALSE)</f>
        <v>#N/A</v>
      </c>
    </row>
    <row r="61" spans="1:7">
      <c r="A61" s="1363">
        <v>58</v>
      </c>
      <c r="B61" s="1369" t="s">
        <v>1065</v>
      </c>
      <c r="C61" s="1369" t="s">
        <v>1066</v>
      </c>
      <c r="D61" s="1368">
        <v>32.9</v>
      </c>
      <c r="E61" s="1369" t="s">
        <v>1066</v>
      </c>
      <c r="F61" s="1369" t="s">
        <v>1066</v>
      </c>
      <c r="G61" s="545" t="e">
        <f>VLOOKUP(B:B,Weight_Table!A:B,2,FALSE)</f>
        <v>#N/A</v>
      </c>
    </row>
    <row r="62" spans="1:7">
      <c r="A62" s="1363">
        <v>59</v>
      </c>
      <c r="B62" s="1369" t="s">
        <v>1063</v>
      </c>
      <c r="C62" s="1369" t="s">
        <v>1064</v>
      </c>
      <c r="D62" s="1368">
        <v>32.799999999999997</v>
      </c>
      <c r="E62" s="1369" t="s">
        <v>1064</v>
      </c>
      <c r="F62" s="1369" t="s">
        <v>1064</v>
      </c>
      <c r="G62" s="545" t="e">
        <f>VLOOKUP(B:B,Weight_Table!A:B,2,FALSE)</f>
        <v>#N/A</v>
      </c>
    </row>
    <row r="63" spans="1:7">
      <c r="A63" s="1363">
        <v>60</v>
      </c>
      <c r="B63" s="1369" t="s">
        <v>1051</v>
      </c>
      <c r="C63" s="1369" t="s">
        <v>1052</v>
      </c>
      <c r="D63" s="1368">
        <v>32.200000000000003</v>
      </c>
      <c r="E63" s="1369" t="s">
        <v>1052</v>
      </c>
      <c r="F63" s="1369" t="s">
        <v>1052</v>
      </c>
      <c r="G63" s="545" t="e">
        <f>VLOOKUP(B:B,Weight_Table!A:B,2,FALSE)</f>
        <v>#N/A</v>
      </c>
    </row>
    <row r="64" spans="1:7">
      <c r="A64" s="1363">
        <v>61</v>
      </c>
      <c r="B64" s="1369" t="s">
        <v>1049</v>
      </c>
      <c r="C64" s="1369" t="s">
        <v>1050</v>
      </c>
      <c r="D64" s="1368">
        <v>32.1</v>
      </c>
      <c r="E64" s="1369" t="s">
        <v>1050</v>
      </c>
      <c r="F64" s="1369" t="s">
        <v>1050</v>
      </c>
      <c r="G64" s="545" t="e">
        <f>VLOOKUP(B:B,Weight_Table!A:B,2,FALSE)</f>
        <v>#N/A</v>
      </c>
    </row>
    <row r="65" spans="1:7">
      <c r="A65" s="1363">
        <v>62</v>
      </c>
      <c r="B65" s="1369" t="s">
        <v>1047</v>
      </c>
      <c r="C65" s="1369" t="s">
        <v>1048</v>
      </c>
      <c r="D65" s="1368">
        <v>32</v>
      </c>
      <c r="E65" s="1369" t="s">
        <v>1048</v>
      </c>
      <c r="F65" s="1369" t="s">
        <v>1048</v>
      </c>
      <c r="G65" s="545" t="e">
        <f>VLOOKUP(B:B,Weight_Table!A:B,2,FALSE)</f>
        <v>#N/A</v>
      </c>
    </row>
    <row r="66" spans="1:7">
      <c r="A66" s="1363">
        <v>63</v>
      </c>
      <c r="B66" s="1369" t="s">
        <v>1045</v>
      </c>
      <c r="C66" s="1369" t="s">
        <v>1046</v>
      </c>
      <c r="D66" s="1368">
        <v>31.9</v>
      </c>
      <c r="E66" s="1369" t="s">
        <v>1046</v>
      </c>
      <c r="F66" s="1369" t="s">
        <v>1046</v>
      </c>
      <c r="G66" s="545" t="e">
        <f>VLOOKUP(B:B,Weight_Table!A:B,2,FALSE)</f>
        <v>#N/A</v>
      </c>
    </row>
    <row r="67" spans="1:7">
      <c r="A67" s="1363">
        <v>64</v>
      </c>
      <c r="B67" s="1369" t="s">
        <v>1043</v>
      </c>
      <c r="C67" s="1369" t="s">
        <v>1044</v>
      </c>
      <c r="D67" s="1368">
        <v>31.8</v>
      </c>
      <c r="E67" s="1369" t="s">
        <v>1044</v>
      </c>
      <c r="F67" s="1369" t="s">
        <v>1044</v>
      </c>
      <c r="G67" s="545" t="e">
        <f>VLOOKUP(B:B,Weight_Table!A:B,2,FALSE)</f>
        <v>#N/A</v>
      </c>
    </row>
    <row r="68" spans="1:7">
      <c r="A68" s="1363">
        <v>65</v>
      </c>
      <c r="B68" s="1369" t="s">
        <v>1041</v>
      </c>
      <c r="C68" s="1369" t="s">
        <v>1042</v>
      </c>
      <c r="D68" s="1368">
        <v>31.7</v>
      </c>
      <c r="E68" s="1369" t="s">
        <v>1042</v>
      </c>
      <c r="F68" s="1369" t="s">
        <v>1042</v>
      </c>
      <c r="G68" s="545" t="e">
        <f>VLOOKUP(B:B,Weight_Table!A:B,2,FALSE)</f>
        <v>#N/A</v>
      </c>
    </row>
    <row r="69" spans="1:7" ht="14.25">
      <c r="A69" s="1363">
        <v>66</v>
      </c>
      <c r="B69" s="1399" t="s">
        <v>2912</v>
      </c>
      <c r="C69" s="1365" t="s">
        <v>660</v>
      </c>
      <c r="D69" s="1400">
        <v>125</v>
      </c>
      <c r="E69" s="1367" t="s">
        <v>714</v>
      </c>
      <c r="F69" s="1365" t="s">
        <v>1259</v>
      </c>
      <c r="G69" s="545">
        <f>VLOOKUP(B:B,Weight_Table!A:B,2,FALSE)</f>
        <v>19.329999999999998</v>
      </c>
    </row>
    <row r="70" spans="1:7" ht="14.25">
      <c r="A70" s="1363">
        <v>67</v>
      </c>
      <c r="B70" s="1399" t="s">
        <v>712</v>
      </c>
      <c r="C70" s="1365" t="s">
        <v>660</v>
      </c>
      <c r="D70" s="1400">
        <v>330</v>
      </c>
      <c r="E70" s="1367" t="s">
        <v>713</v>
      </c>
      <c r="F70" s="1365" t="s">
        <v>1260</v>
      </c>
      <c r="G70" s="545" t="e">
        <f>VLOOKUP(B:B,Weight_Table!A:B,2,FALSE)</f>
        <v>#N/A</v>
      </c>
    </row>
    <row r="71" spans="1:7" ht="14.25">
      <c r="A71" s="1363">
        <v>68</v>
      </c>
      <c r="B71" s="1420" t="s">
        <v>710</v>
      </c>
      <c r="C71" s="1365" t="s">
        <v>632</v>
      </c>
      <c r="D71" s="1419">
        <v>200</v>
      </c>
      <c r="E71" s="1367" t="s">
        <v>711</v>
      </c>
      <c r="F71" s="1365" t="s">
        <v>1260</v>
      </c>
      <c r="G71" s="545">
        <f>VLOOKUP(B:B,Weight_Table!A:B,2,FALSE)</f>
        <v>18.989999999999998</v>
      </c>
    </row>
    <row r="72" spans="1:7" ht="14.25">
      <c r="A72" s="1363">
        <v>69</v>
      </c>
      <c r="B72" s="1421" t="s">
        <v>709</v>
      </c>
      <c r="C72" s="1365" t="s">
        <v>637</v>
      </c>
      <c r="D72" s="1422">
        <v>330</v>
      </c>
      <c r="E72" s="1367" t="s">
        <v>698</v>
      </c>
      <c r="F72" s="1365" t="s">
        <v>1260</v>
      </c>
      <c r="G72" s="545">
        <f>VLOOKUP(B:B,Weight_Table!A:B,2,FALSE)</f>
        <v>36.86</v>
      </c>
    </row>
    <row r="73" spans="1:7" ht="14.25">
      <c r="A73" s="1363">
        <v>70</v>
      </c>
      <c r="B73" s="1399" t="s">
        <v>707</v>
      </c>
      <c r="C73" s="1365" t="s">
        <v>660</v>
      </c>
      <c r="D73" s="1400">
        <v>320</v>
      </c>
      <c r="E73" s="1367" t="s">
        <v>708</v>
      </c>
      <c r="F73" s="1365" t="s">
        <v>1260</v>
      </c>
      <c r="G73" s="545" t="e">
        <f>VLOOKUP(B:B,Weight_Table!A:B,2,FALSE)</f>
        <v>#N/A</v>
      </c>
    </row>
    <row r="74" spans="1:7" ht="14.25">
      <c r="A74" s="1363">
        <v>71</v>
      </c>
      <c r="B74" s="1420" t="s">
        <v>706</v>
      </c>
      <c r="C74" s="1365" t="s">
        <v>632</v>
      </c>
      <c r="D74" s="1419">
        <v>200</v>
      </c>
      <c r="E74" s="1367" t="s">
        <v>705</v>
      </c>
      <c r="F74" s="1365" t="s">
        <v>1260</v>
      </c>
      <c r="G74" s="545">
        <f>VLOOKUP(B:B,Weight_Table!A:B,2,FALSE)</f>
        <v>18.489999999999998</v>
      </c>
    </row>
    <row r="75" spans="1:7" ht="14.25">
      <c r="A75" s="1363">
        <v>72</v>
      </c>
      <c r="B75" s="1420" t="s">
        <v>704</v>
      </c>
      <c r="C75" s="1365" t="s">
        <v>632</v>
      </c>
      <c r="D75" s="1419">
        <v>200</v>
      </c>
      <c r="E75" s="1367" t="s">
        <v>705</v>
      </c>
      <c r="F75" s="1365" t="s">
        <v>1260</v>
      </c>
      <c r="G75" s="545">
        <f>VLOOKUP(B:B,Weight_Table!A:B,2,FALSE)</f>
        <v>18.489999999999998</v>
      </c>
    </row>
    <row r="76" spans="1:7" ht="14.25">
      <c r="A76" s="1363">
        <v>73</v>
      </c>
      <c r="B76" s="1421" t="s">
        <v>703</v>
      </c>
      <c r="C76" s="1365" t="s">
        <v>637</v>
      </c>
      <c r="D76" s="1422">
        <v>320</v>
      </c>
      <c r="E76" s="1367" t="s">
        <v>693</v>
      </c>
      <c r="F76" s="1365" t="s">
        <v>1260</v>
      </c>
      <c r="G76" s="545">
        <f>VLOOKUP(B:B,Weight_Table!A:B,2,FALSE)</f>
        <v>36</v>
      </c>
    </row>
    <row r="77" spans="1:7" ht="14.25">
      <c r="A77" s="1363">
        <v>74</v>
      </c>
      <c r="B77" s="1421" t="s">
        <v>702</v>
      </c>
      <c r="C77" s="1365" t="s">
        <v>637</v>
      </c>
      <c r="D77" s="1422">
        <v>320</v>
      </c>
      <c r="E77" s="1367" t="s">
        <v>693</v>
      </c>
      <c r="F77" s="1365" t="s">
        <v>1260</v>
      </c>
      <c r="G77" s="545">
        <f>VLOOKUP(B:B,Weight_Table!A:B,2,FALSE)</f>
        <v>36</v>
      </c>
    </row>
    <row r="78" spans="1:7" ht="14.25">
      <c r="A78" s="1363">
        <v>75</v>
      </c>
      <c r="B78" s="1399" t="s">
        <v>1739</v>
      </c>
      <c r="C78" s="1365" t="s">
        <v>660</v>
      </c>
      <c r="D78" s="1400">
        <v>270</v>
      </c>
      <c r="E78" s="1367" t="s">
        <v>701</v>
      </c>
      <c r="F78" s="1365" t="s">
        <v>1260</v>
      </c>
      <c r="G78" s="545" t="e">
        <f>VLOOKUP(B:B,Weight_Table!A:B,2,FALSE)</f>
        <v>#N/A</v>
      </c>
    </row>
    <row r="79" spans="1:7" ht="14.25">
      <c r="A79" s="1363">
        <v>76</v>
      </c>
      <c r="B79" s="1420" t="s">
        <v>699</v>
      </c>
      <c r="C79" s="1365" t="s">
        <v>632</v>
      </c>
      <c r="D79" s="1419">
        <v>160</v>
      </c>
      <c r="E79" s="1367" t="s">
        <v>700</v>
      </c>
      <c r="F79" s="1365" t="s">
        <v>1260</v>
      </c>
      <c r="G79" s="545">
        <f>VLOOKUP(B:B,Weight_Table!A:B,2,FALSE)</f>
        <v>15.39</v>
      </c>
    </row>
    <row r="80" spans="1:7" ht="14.25">
      <c r="A80" s="1363">
        <v>77</v>
      </c>
      <c r="B80" s="1421" t="s">
        <v>697</v>
      </c>
      <c r="C80" s="1365" t="s">
        <v>637</v>
      </c>
      <c r="D80" s="1422">
        <v>265</v>
      </c>
      <c r="E80" s="1367" t="s">
        <v>698</v>
      </c>
      <c r="F80" s="1365" t="s">
        <v>1260</v>
      </c>
      <c r="G80" s="545">
        <f>VLOOKUP(B:B,Weight_Table!A:B,2,FALSE)</f>
        <v>29.83</v>
      </c>
    </row>
    <row r="81" spans="1:8" ht="14.25">
      <c r="A81" s="1363">
        <v>78</v>
      </c>
      <c r="B81" s="1399" t="s">
        <v>1737</v>
      </c>
      <c r="C81" s="1365" t="s">
        <v>660</v>
      </c>
      <c r="D81" s="1400">
        <v>260</v>
      </c>
      <c r="E81" s="1367" t="s">
        <v>696</v>
      </c>
      <c r="F81" s="1365" t="s">
        <v>1260</v>
      </c>
      <c r="G81" s="545">
        <f>VLOOKUP(B:B,Weight_Table!A:B,2,FALSE)</f>
        <v>40.43</v>
      </c>
    </row>
    <row r="82" spans="1:8" ht="14.25">
      <c r="A82" s="1363">
        <v>79</v>
      </c>
      <c r="B82" s="1421" t="s">
        <v>1738</v>
      </c>
      <c r="C82" s="1365" t="s">
        <v>660</v>
      </c>
      <c r="D82" s="1422">
        <v>260</v>
      </c>
      <c r="E82" s="1367" t="s">
        <v>696</v>
      </c>
      <c r="F82" s="1365" t="s">
        <v>1260</v>
      </c>
      <c r="G82" s="545">
        <f>VLOOKUP(B:B,Weight_Table!A:B,2,FALSE)</f>
        <v>40.43</v>
      </c>
    </row>
    <row r="83" spans="1:8" ht="14.25">
      <c r="A83" s="1363">
        <v>80</v>
      </c>
      <c r="B83" s="1420" t="s">
        <v>1736</v>
      </c>
      <c r="C83" s="1365" t="s">
        <v>632</v>
      </c>
      <c r="D83" s="1419">
        <v>152</v>
      </c>
      <c r="E83" s="1367" t="s">
        <v>695</v>
      </c>
      <c r="F83" s="1365" t="s">
        <v>1260</v>
      </c>
      <c r="G83" s="545">
        <f>VLOOKUP(B:B,Weight_Table!A:B,2,FALSE)</f>
        <v>25.5</v>
      </c>
    </row>
    <row r="84" spans="1:8" ht="14.25">
      <c r="A84" s="1363">
        <v>81</v>
      </c>
      <c r="B84" s="1420" t="s">
        <v>1735</v>
      </c>
      <c r="C84" s="1365" t="s">
        <v>632</v>
      </c>
      <c r="D84" s="1419">
        <v>152</v>
      </c>
      <c r="E84" s="1367" t="s">
        <v>695</v>
      </c>
      <c r="F84" s="1365" t="s">
        <v>1260</v>
      </c>
      <c r="G84" s="545">
        <f>VLOOKUP(B:B,Weight_Table!A:B,2,FALSE)</f>
        <v>25.5</v>
      </c>
    </row>
    <row r="85" spans="1:8" s="143" customFormat="1" ht="14.25">
      <c r="A85" s="1363">
        <v>82</v>
      </c>
      <c r="B85" s="1421" t="s">
        <v>694</v>
      </c>
      <c r="C85" s="1365" t="s">
        <v>637</v>
      </c>
      <c r="D85" s="1422">
        <v>258</v>
      </c>
      <c r="E85" s="1367" t="s">
        <v>693</v>
      </c>
      <c r="F85" s="1365" t="s">
        <v>1259</v>
      </c>
      <c r="G85" s="545">
        <f>VLOOKUP(B:B,Weight_Table!A:B,2,FALSE)</f>
        <v>28.98</v>
      </c>
      <c r="H85" s="955"/>
    </row>
    <row r="86" spans="1:8" s="143" customFormat="1" ht="14.25">
      <c r="A86" s="1363">
        <v>83</v>
      </c>
      <c r="B86" s="1421" t="s">
        <v>692</v>
      </c>
      <c r="C86" s="1365" t="s">
        <v>637</v>
      </c>
      <c r="D86" s="1422">
        <v>258</v>
      </c>
      <c r="E86" s="1367" t="s">
        <v>693</v>
      </c>
      <c r="F86" s="1365" t="s">
        <v>1259</v>
      </c>
      <c r="G86" s="545">
        <f>VLOOKUP(B:B,Weight_Table!A:B,2,FALSE)</f>
        <v>28.98</v>
      </c>
      <c r="H86" s="955"/>
    </row>
    <row r="87" spans="1:8" s="143" customFormat="1" ht="14.25">
      <c r="A87" s="1363">
        <v>84</v>
      </c>
      <c r="B87" s="1399" t="s">
        <v>691</v>
      </c>
      <c r="C87" s="1365" t="s">
        <v>660</v>
      </c>
      <c r="D87" s="1400">
        <v>250</v>
      </c>
      <c r="E87" s="1367" t="s">
        <v>688</v>
      </c>
      <c r="F87" s="1365" t="s">
        <v>1260</v>
      </c>
      <c r="G87" s="545">
        <f>VLOOKUP(B:B,Weight_Table!A:B,2,FALSE)</f>
        <v>39.06</v>
      </c>
      <c r="H87" s="955"/>
    </row>
    <row r="88" spans="1:8" s="143" customFormat="1" ht="14.25">
      <c r="A88" s="1363">
        <v>85</v>
      </c>
      <c r="B88" s="1421" t="s">
        <v>690</v>
      </c>
      <c r="C88" s="1365" t="s">
        <v>637</v>
      </c>
      <c r="D88" s="1422">
        <v>250</v>
      </c>
      <c r="E88" s="1367" t="s">
        <v>686</v>
      </c>
      <c r="F88" s="1365" t="s">
        <v>1260</v>
      </c>
      <c r="G88" s="545">
        <f>VLOOKUP(B:B,Weight_Table!A:B,2,FALSE)</f>
        <v>28.14</v>
      </c>
      <c r="H88" s="955"/>
    </row>
    <row r="89" spans="1:8" s="143" customFormat="1" ht="14.25">
      <c r="A89" s="1363">
        <v>86</v>
      </c>
      <c r="B89" s="1420" t="s">
        <v>689</v>
      </c>
      <c r="C89" s="1365" t="s">
        <v>632</v>
      </c>
      <c r="D89" s="1419">
        <v>152</v>
      </c>
      <c r="E89" s="1367" t="s">
        <v>684</v>
      </c>
      <c r="F89" s="1365" t="s">
        <v>1260</v>
      </c>
      <c r="G89" s="545">
        <f>VLOOKUP(B:B,Weight_Table!A:B,2,FALSE)</f>
        <v>25.5</v>
      </c>
      <c r="H89" s="955"/>
    </row>
    <row r="90" spans="1:8" s="143" customFormat="1" ht="14.25">
      <c r="A90" s="1363">
        <v>87</v>
      </c>
      <c r="B90" s="1399" t="s">
        <v>687</v>
      </c>
      <c r="C90" s="1365" t="s">
        <v>660</v>
      </c>
      <c r="D90" s="1400">
        <v>217</v>
      </c>
      <c r="E90" s="1367" t="s">
        <v>688</v>
      </c>
      <c r="F90" s="1365" t="s">
        <v>1259</v>
      </c>
      <c r="G90" s="545">
        <f>VLOOKUP(B:B,Weight_Table!A:B,2,FALSE)</f>
        <v>38.869999999999997</v>
      </c>
      <c r="H90" s="955"/>
    </row>
    <row r="91" spans="1:8" s="143" customFormat="1" ht="14.25">
      <c r="A91" s="1363">
        <v>88</v>
      </c>
      <c r="B91" s="1421" t="s">
        <v>685</v>
      </c>
      <c r="C91" s="1365" t="s">
        <v>637</v>
      </c>
      <c r="D91" s="1422">
        <v>217</v>
      </c>
      <c r="E91" s="1367" t="s">
        <v>686</v>
      </c>
      <c r="F91" s="1365" t="s">
        <v>1259</v>
      </c>
      <c r="G91" s="545">
        <f>VLOOKUP(B:B,Weight_Table!A:B,2,FALSE)</f>
        <v>28</v>
      </c>
      <c r="H91" s="955"/>
    </row>
    <row r="92" spans="1:8" ht="14.25">
      <c r="A92" s="1363">
        <v>89</v>
      </c>
      <c r="B92" s="1420" t="s">
        <v>683</v>
      </c>
      <c r="C92" s="1365" t="s">
        <v>632</v>
      </c>
      <c r="D92" s="1419">
        <v>151</v>
      </c>
      <c r="E92" s="1367" t="s">
        <v>684</v>
      </c>
      <c r="F92" s="1365" t="s">
        <v>1259</v>
      </c>
      <c r="G92" s="545">
        <f>VLOOKUP(B:B,Weight_Table!A:B,2,FALSE)</f>
        <v>26.7</v>
      </c>
    </row>
    <row r="93" spans="1:8" ht="14.25">
      <c r="A93" s="1363">
        <v>90</v>
      </c>
      <c r="B93" s="1399" t="s">
        <v>681</v>
      </c>
      <c r="C93" s="1365" t="s">
        <v>660</v>
      </c>
      <c r="D93" s="1400">
        <v>200</v>
      </c>
      <c r="E93" s="1367" t="s">
        <v>682</v>
      </c>
      <c r="F93" s="1365" t="s">
        <v>1260</v>
      </c>
      <c r="G93" s="545" t="e">
        <f>VLOOKUP(B:B,Weight_Table!A:B,2,FALSE)</f>
        <v>#N/A</v>
      </c>
    </row>
    <row r="94" spans="1:8" ht="14.25">
      <c r="A94" s="1363">
        <v>91</v>
      </c>
      <c r="B94" s="1420" t="s">
        <v>679</v>
      </c>
      <c r="C94" s="1365" t="s">
        <v>632</v>
      </c>
      <c r="D94" s="1419">
        <v>140</v>
      </c>
      <c r="E94" s="1367" t="s">
        <v>680</v>
      </c>
      <c r="F94" s="1365" t="s">
        <v>1260</v>
      </c>
      <c r="G94" s="545">
        <f>VLOOKUP(B:B,Weight_Table!A:B,2,FALSE)</f>
        <v>11.8</v>
      </c>
    </row>
    <row r="95" spans="1:8" ht="14.25">
      <c r="A95" s="1363">
        <v>92</v>
      </c>
      <c r="B95" s="1421" t="s">
        <v>677</v>
      </c>
      <c r="C95" s="1365" t="s">
        <v>637</v>
      </c>
      <c r="D95" s="1422">
        <v>200</v>
      </c>
      <c r="E95" s="1367" t="s">
        <v>678</v>
      </c>
      <c r="F95" s="1365" t="s">
        <v>1260</v>
      </c>
      <c r="G95" s="545">
        <f>VLOOKUP(B:B,Weight_Table!A:B,2,FALSE)</f>
        <v>22.79</v>
      </c>
    </row>
    <row r="96" spans="1:8" ht="14.25">
      <c r="A96" s="1363">
        <v>93</v>
      </c>
      <c r="B96" s="1399" t="s">
        <v>1733</v>
      </c>
      <c r="C96" s="1365" t="s">
        <v>660</v>
      </c>
      <c r="D96" s="1400">
        <v>200</v>
      </c>
      <c r="E96" s="1367" t="s">
        <v>676</v>
      </c>
      <c r="F96" s="1365" t="s">
        <v>1260</v>
      </c>
      <c r="G96" s="545">
        <f>VLOOKUP(B:B,Weight_Table!A:B,2,FALSE)</f>
        <v>30.66</v>
      </c>
    </row>
    <row r="97" spans="1:7" ht="14.25">
      <c r="A97" s="1363">
        <v>94</v>
      </c>
      <c r="B97" s="1399" t="s">
        <v>1734</v>
      </c>
      <c r="C97" s="1365" t="s">
        <v>660</v>
      </c>
      <c r="D97" s="1400">
        <v>200</v>
      </c>
      <c r="E97" s="1367" t="s">
        <v>676</v>
      </c>
      <c r="F97" s="1365" t="s">
        <v>1260</v>
      </c>
      <c r="G97" s="545">
        <f>VLOOKUP(B:B,Weight_Table!A:B,2,FALSE)</f>
        <v>30.66</v>
      </c>
    </row>
    <row r="98" spans="1:7" ht="14.25">
      <c r="A98" s="1363">
        <v>95</v>
      </c>
      <c r="B98" s="1420" t="s">
        <v>1732</v>
      </c>
      <c r="C98" s="1365" t="s">
        <v>632</v>
      </c>
      <c r="D98" s="1419">
        <v>135</v>
      </c>
      <c r="E98" s="1367" t="s">
        <v>675</v>
      </c>
      <c r="F98" s="1365" t="s">
        <v>1260</v>
      </c>
      <c r="G98" s="545">
        <f>VLOOKUP(B:B,Weight_Table!A:B,2,FALSE)</f>
        <v>11.29</v>
      </c>
    </row>
    <row r="99" spans="1:7" ht="14.25">
      <c r="A99" s="1363">
        <v>96</v>
      </c>
      <c r="B99" s="1420" t="s">
        <v>1731</v>
      </c>
      <c r="C99" s="1365" t="s">
        <v>632</v>
      </c>
      <c r="D99" s="1419">
        <v>135</v>
      </c>
      <c r="E99" s="1367" t="s">
        <v>675</v>
      </c>
      <c r="F99" s="1365" t="s">
        <v>1260</v>
      </c>
      <c r="G99" s="545">
        <f>VLOOKUP(B:B,Weight_Table!A:B,2,FALSE)</f>
        <v>11.29</v>
      </c>
    </row>
    <row r="100" spans="1:7" ht="14.25">
      <c r="A100" s="1363">
        <v>97</v>
      </c>
      <c r="B100" s="1421" t="s">
        <v>674</v>
      </c>
      <c r="C100" s="1365" t="s">
        <v>637</v>
      </c>
      <c r="D100" s="1422">
        <v>200</v>
      </c>
      <c r="E100" s="1367" t="s">
        <v>673</v>
      </c>
      <c r="F100" s="1365" t="s">
        <v>1260</v>
      </c>
      <c r="G100" s="545">
        <f>VLOOKUP(B:B,Weight_Table!A:B,2,FALSE)</f>
        <v>21.95</v>
      </c>
    </row>
    <row r="101" spans="1:7" ht="14.25">
      <c r="A101" s="1363">
        <v>98</v>
      </c>
      <c r="B101" s="1421" t="s">
        <v>672</v>
      </c>
      <c r="C101" s="1365" t="s">
        <v>637</v>
      </c>
      <c r="D101" s="1422">
        <v>200</v>
      </c>
      <c r="E101" s="1367" t="s">
        <v>673</v>
      </c>
      <c r="F101" s="1365" t="s">
        <v>1260</v>
      </c>
      <c r="G101" s="545">
        <f>VLOOKUP(B:B,Weight_Table!A:B,2,FALSE)</f>
        <v>21.95</v>
      </c>
    </row>
    <row r="102" spans="1:7" ht="14.25">
      <c r="A102" s="1363">
        <v>99</v>
      </c>
      <c r="B102" s="1399" t="s">
        <v>1742</v>
      </c>
      <c r="C102" s="1365" t="s">
        <v>632</v>
      </c>
      <c r="D102" s="1400">
        <v>190</v>
      </c>
      <c r="E102" s="1367" t="s">
        <v>1743</v>
      </c>
      <c r="F102" s="1365" t="s">
        <v>1260</v>
      </c>
      <c r="G102" s="545">
        <f>VLOOKUP(B:B,Weight_Table!A:B,2,FALSE)</f>
        <v>29.3</v>
      </c>
    </row>
    <row r="103" spans="1:7" ht="14.25">
      <c r="A103" s="1363">
        <v>100</v>
      </c>
      <c r="B103" s="1421" t="s">
        <v>670</v>
      </c>
      <c r="C103" s="1365" t="s">
        <v>637</v>
      </c>
      <c r="D103" s="1422">
        <v>190</v>
      </c>
      <c r="E103" s="1367" t="s">
        <v>671</v>
      </c>
      <c r="F103" s="1365" t="s">
        <v>1260</v>
      </c>
      <c r="G103" s="545">
        <f>VLOOKUP(B:B,Weight_Table!A:B,2,FALSE)</f>
        <v>21.11</v>
      </c>
    </row>
    <row r="104" spans="1:7" ht="14.25">
      <c r="A104" s="1363">
        <v>101</v>
      </c>
      <c r="B104" s="1420" t="s">
        <v>1741</v>
      </c>
      <c r="C104" s="1365" t="s">
        <v>632</v>
      </c>
      <c r="D104" s="1419">
        <v>130</v>
      </c>
      <c r="E104" s="1367" t="s">
        <v>1740</v>
      </c>
      <c r="F104" s="1365" t="s">
        <v>1260</v>
      </c>
      <c r="G104" s="545">
        <f>VLOOKUP(B:B,Weight_Table!A:B,2,FALSE)</f>
        <v>10.79</v>
      </c>
    </row>
    <row r="105" spans="1:7" ht="14.25">
      <c r="A105" s="1363">
        <v>102</v>
      </c>
      <c r="B105" s="1399" t="s">
        <v>668</v>
      </c>
      <c r="C105" s="1365" t="s">
        <v>660</v>
      </c>
      <c r="D105" s="1400">
        <v>190</v>
      </c>
      <c r="E105" s="1367" t="s">
        <v>669</v>
      </c>
      <c r="F105" s="1365" t="s">
        <v>1259</v>
      </c>
      <c r="G105" s="545">
        <f>VLOOKUP(B:B,Weight_Table!A:B,2,FALSE)</f>
        <v>29.1</v>
      </c>
    </row>
    <row r="106" spans="1:7" ht="14.25">
      <c r="A106" s="1363">
        <v>103</v>
      </c>
      <c r="B106" s="1421" t="s">
        <v>666</v>
      </c>
      <c r="C106" s="1365" t="s">
        <v>637</v>
      </c>
      <c r="D106" s="1422">
        <v>190</v>
      </c>
      <c r="E106" s="1367" t="s">
        <v>667</v>
      </c>
      <c r="F106" s="1365" t="s">
        <v>1259</v>
      </c>
      <c r="G106" s="545">
        <f>VLOOKUP(B:B,Weight_Table!A:B,2,FALSE)</f>
        <v>20.96</v>
      </c>
    </row>
    <row r="107" spans="1:7" ht="14.25">
      <c r="A107" s="1363">
        <v>104</v>
      </c>
      <c r="B107" s="1420" t="s">
        <v>664</v>
      </c>
      <c r="C107" s="1365" t="s">
        <v>632</v>
      </c>
      <c r="D107" s="1419">
        <v>130</v>
      </c>
      <c r="E107" s="1367" t="s">
        <v>665</v>
      </c>
      <c r="F107" s="1365" t="s">
        <v>1259</v>
      </c>
      <c r="G107" s="545">
        <f>VLOOKUP(B:B,Weight_Table!A:B,2,FALSE)</f>
        <v>10.7</v>
      </c>
    </row>
    <row r="108" spans="1:7" ht="14.25">
      <c r="A108" s="1363">
        <v>105</v>
      </c>
      <c r="B108" s="1420" t="s">
        <v>662</v>
      </c>
      <c r="C108" s="1365" t="s">
        <v>632</v>
      </c>
      <c r="D108" s="1419">
        <v>100</v>
      </c>
      <c r="E108" s="1367" t="s">
        <v>663</v>
      </c>
      <c r="F108" s="1365" t="s">
        <v>1260</v>
      </c>
      <c r="G108" s="545">
        <f>VLOOKUP(B:B,Weight_Table!A:B,2,FALSE)</f>
        <v>8.1999999999999993</v>
      </c>
    </row>
    <row r="109" spans="1:7" ht="14.25">
      <c r="A109" s="1363">
        <v>106</v>
      </c>
      <c r="B109" s="1399" t="s">
        <v>659</v>
      </c>
      <c r="C109" s="1365" t="s">
        <v>660</v>
      </c>
      <c r="D109" s="1400">
        <v>125</v>
      </c>
      <c r="E109" s="1367" t="s">
        <v>661</v>
      </c>
      <c r="F109" s="1365" t="s">
        <v>1260</v>
      </c>
      <c r="G109" s="545" t="e">
        <f>VLOOKUP(B:B,Weight_Table!A:B,2,FALSE)</f>
        <v>#N/A</v>
      </c>
    </row>
    <row r="110" spans="1:7" ht="14.25">
      <c r="A110" s="1363">
        <v>107</v>
      </c>
      <c r="B110" s="1421" t="s">
        <v>657</v>
      </c>
      <c r="C110" s="1365" t="s">
        <v>637</v>
      </c>
      <c r="D110" s="1422">
        <v>125</v>
      </c>
      <c r="E110" s="1367" t="s">
        <v>658</v>
      </c>
      <c r="F110" s="1365" t="s">
        <v>1260</v>
      </c>
      <c r="G110" s="545">
        <f>VLOOKUP(B:B,Weight_Table!A:B,2,FALSE)</f>
        <v>15.76</v>
      </c>
    </row>
    <row r="111" spans="1:7" ht="14.25">
      <c r="A111" s="1363">
        <v>108</v>
      </c>
      <c r="B111" s="1399" t="s">
        <v>655</v>
      </c>
      <c r="C111" s="1365" t="s">
        <v>610</v>
      </c>
      <c r="D111" s="1400">
        <v>110</v>
      </c>
      <c r="E111" s="1367" t="s">
        <v>656</v>
      </c>
      <c r="F111" s="1365" t="s">
        <v>1258</v>
      </c>
      <c r="G111" s="545">
        <f>VLOOKUP(B:B,Weight_Table!A:B,2,FALSE)</f>
        <v>11.92</v>
      </c>
    </row>
    <row r="112" spans="1:7" ht="14.25">
      <c r="A112" s="1363">
        <v>109</v>
      </c>
      <c r="B112" s="1423" t="s">
        <v>653</v>
      </c>
      <c r="C112" s="1365" t="s">
        <v>610</v>
      </c>
      <c r="D112" s="1424">
        <v>82</v>
      </c>
      <c r="E112" s="1367" t="s">
        <v>654</v>
      </c>
      <c r="F112" s="1365" t="s">
        <v>1258</v>
      </c>
      <c r="G112" s="545">
        <f>VLOOKUP(B:B,Weight_Table!A:B,2,FALSE)</f>
        <v>8.83</v>
      </c>
    </row>
    <row r="113" spans="1:7" ht="14.25">
      <c r="A113" s="1363">
        <v>110</v>
      </c>
      <c r="B113" s="1413" t="s">
        <v>155</v>
      </c>
      <c r="C113" s="1365" t="s">
        <v>610</v>
      </c>
      <c r="D113" s="1400">
        <v>110</v>
      </c>
      <c r="E113" s="1367" t="s">
        <v>627</v>
      </c>
      <c r="F113" s="1365" t="s">
        <v>1258</v>
      </c>
      <c r="G113" s="545" t="e">
        <f>VLOOKUP(B:B,Weight_Table!A:B,2,FALSE)</f>
        <v>#N/A</v>
      </c>
    </row>
    <row r="114" spans="1:7" ht="14.25">
      <c r="A114" s="1363">
        <v>111</v>
      </c>
      <c r="B114" s="1423" t="s">
        <v>651</v>
      </c>
      <c r="C114" s="1365" t="s">
        <v>610</v>
      </c>
      <c r="D114" s="1424">
        <v>82</v>
      </c>
      <c r="E114" s="1367" t="s">
        <v>652</v>
      </c>
      <c r="F114" s="1365" t="s">
        <v>1258</v>
      </c>
      <c r="G114" s="545">
        <f>VLOOKUP(B:B,Weight_Table!A:B,2,FALSE)</f>
        <v>8.76</v>
      </c>
    </row>
    <row r="115" spans="1:7" ht="14.25">
      <c r="A115" s="1363">
        <v>112</v>
      </c>
      <c r="B115" s="1399" t="s">
        <v>649</v>
      </c>
      <c r="C115" s="1365" t="s">
        <v>610</v>
      </c>
      <c r="D115" s="1400">
        <v>110</v>
      </c>
      <c r="E115" s="1367" t="s">
        <v>650</v>
      </c>
      <c r="F115" s="1365" t="s">
        <v>1258</v>
      </c>
      <c r="G115" s="545" t="e">
        <f>VLOOKUP(B:B,Weight_Table!A:B,2,FALSE)</f>
        <v>#N/A</v>
      </c>
    </row>
    <row r="116" spans="1:7" ht="14.25">
      <c r="A116" s="1363">
        <v>113</v>
      </c>
      <c r="B116" s="1423" t="s">
        <v>647</v>
      </c>
      <c r="C116" s="1365" t="s">
        <v>610</v>
      </c>
      <c r="D116" s="1424">
        <v>82</v>
      </c>
      <c r="E116" s="1367" t="s">
        <v>648</v>
      </c>
      <c r="F116" s="1365" t="s">
        <v>1258</v>
      </c>
      <c r="G116" s="545">
        <f>VLOOKUP(B:B,Weight_Table!A:B,2,FALSE)</f>
        <v>8.57</v>
      </c>
    </row>
    <row r="117" spans="1:7" ht="14.25">
      <c r="A117" s="1363">
        <v>114</v>
      </c>
      <c r="B117" s="1413" t="s">
        <v>156</v>
      </c>
      <c r="C117" s="1365" t="s">
        <v>610</v>
      </c>
      <c r="D117" s="1400">
        <v>110</v>
      </c>
      <c r="E117" s="1367" t="s">
        <v>628</v>
      </c>
      <c r="F117" s="1365" t="s">
        <v>1258</v>
      </c>
      <c r="G117" s="545" t="e">
        <f>VLOOKUP(B:B,Weight_Table!A:B,2,FALSE)</f>
        <v>#N/A</v>
      </c>
    </row>
    <row r="118" spans="1:7" ht="14.25">
      <c r="A118" s="1363">
        <v>115</v>
      </c>
      <c r="B118" s="1423" t="s">
        <v>645</v>
      </c>
      <c r="C118" s="1365" t="s">
        <v>610</v>
      </c>
      <c r="D118" s="1424">
        <v>82</v>
      </c>
      <c r="E118" s="1367" t="s">
        <v>646</v>
      </c>
      <c r="F118" s="1365" t="s">
        <v>1258</v>
      </c>
      <c r="G118" s="545">
        <f>VLOOKUP(B:B,Weight_Table!A:B,2,FALSE)</f>
        <v>8.5299999999999994</v>
      </c>
    </row>
    <row r="119" spans="1:7" ht="14.25">
      <c r="A119" s="1363">
        <v>116</v>
      </c>
      <c r="B119" s="1399" t="s">
        <v>643</v>
      </c>
      <c r="C119" s="1365" t="s">
        <v>610</v>
      </c>
      <c r="D119" s="1400">
        <v>110</v>
      </c>
      <c r="E119" s="1367" t="s">
        <v>644</v>
      </c>
      <c r="F119" s="1365" t="s">
        <v>1258</v>
      </c>
      <c r="G119" s="545">
        <f>VLOOKUP(B:B,Weight_Table!A:B,2,FALSE)</f>
        <v>11.24</v>
      </c>
    </row>
    <row r="120" spans="1:7" ht="14.25">
      <c r="A120" s="1363">
        <v>117</v>
      </c>
      <c r="B120" s="1423" t="s">
        <v>641</v>
      </c>
      <c r="C120" s="1365" t="s">
        <v>610</v>
      </c>
      <c r="D120" s="1424">
        <v>82</v>
      </c>
      <c r="E120" s="1367" t="s">
        <v>642</v>
      </c>
      <c r="F120" s="1365" t="s">
        <v>1258</v>
      </c>
      <c r="G120" s="545">
        <f>VLOOKUP(B:B,Weight_Table!A:B,2,FALSE)</f>
        <v>8.33</v>
      </c>
    </row>
    <row r="121" spans="1:7" ht="14.25">
      <c r="A121" s="1363">
        <v>118</v>
      </c>
      <c r="B121" s="1399" t="s">
        <v>639</v>
      </c>
      <c r="C121" s="1365" t="s">
        <v>610</v>
      </c>
      <c r="D121" s="1400">
        <v>110</v>
      </c>
      <c r="E121" s="1367" t="s">
        <v>640</v>
      </c>
      <c r="F121" s="1365" t="s">
        <v>1258</v>
      </c>
      <c r="G121" s="545" t="e">
        <f>VLOOKUP(B:B,Weight_Table!A:B,2,FALSE)</f>
        <v>#N/A</v>
      </c>
    </row>
    <row r="122" spans="1:7" ht="14.25">
      <c r="A122" s="1363">
        <v>119</v>
      </c>
      <c r="B122" s="1421" t="s">
        <v>636</v>
      </c>
      <c r="C122" s="1365" t="s">
        <v>637</v>
      </c>
      <c r="D122" s="1422">
        <v>115</v>
      </c>
      <c r="E122" s="1367" t="s">
        <v>638</v>
      </c>
      <c r="F122" s="1365" t="s">
        <v>1259</v>
      </c>
      <c r="G122" s="545">
        <f>VLOOKUP(B:B,Weight_Table!A:B,2,FALSE)</f>
        <v>13.93</v>
      </c>
    </row>
    <row r="123" spans="1:7" ht="14.25">
      <c r="A123" s="1363">
        <v>87</v>
      </c>
      <c r="B123" s="1399" t="s">
        <v>2912</v>
      </c>
      <c r="C123" s="1365" t="s">
        <v>660</v>
      </c>
      <c r="D123" s="1400">
        <v>115</v>
      </c>
      <c r="E123" s="1367" t="s">
        <v>3154</v>
      </c>
      <c r="F123" s="1365" t="s">
        <v>1259</v>
      </c>
      <c r="G123" s="545">
        <f>VLOOKUP(B:B,Weight_Table!A:B,2,FALSE)</f>
        <v>19.329999999999998</v>
      </c>
    </row>
    <row r="124" spans="1:7" ht="14.25">
      <c r="A124" s="1363">
        <v>120</v>
      </c>
      <c r="B124" s="1423" t="s">
        <v>634</v>
      </c>
      <c r="C124" s="1365" t="s">
        <v>610</v>
      </c>
      <c r="D124" s="1424">
        <v>82</v>
      </c>
      <c r="E124" s="1367" t="s">
        <v>635</v>
      </c>
      <c r="F124" s="1365" t="s">
        <v>1258</v>
      </c>
      <c r="G124" s="545">
        <f>VLOOKUP(B:B,Weight_Table!A:B,2,FALSE)</f>
        <v>8.3000000000000007</v>
      </c>
    </row>
    <row r="125" spans="1:7" ht="14.25">
      <c r="A125" s="1363">
        <v>121</v>
      </c>
      <c r="B125" s="1420" t="s">
        <v>631</v>
      </c>
      <c r="C125" s="1365" t="s">
        <v>632</v>
      </c>
      <c r="D125" s="1419">
        <v>110</v>
      </c>
      <c r="E125" s="1367" t="s">
        <v>633</v>
      </c>
      <c r="F125" s="1365" t="s">
        <v>1259</v>
      </c>
      <c r="G125" s="545">
        <f>VLOOKUP(B:B,Weight_Table!A:B,2,FALSE)</f>
        <v>7.12</v>
      </c>
    </row>
    <row r="126" spans="1:7" ht="14.25">
      <c r="A126" s="1363">
        <v>122</v>
      </c>
      <c r="B126" s="1423" t="s">
        <v>629</v>
      </c>
      <c r="C126" s="1365" t="s">
        <v>610</v>
      </c>
      <c r="D126" s="1424">
        <v>82</v>
      </c>
      <c r="E126" s="1367" t="s">
        <v>630</v>
      </c>
      <c r="F126" s="1365" t="s">
        <v>1258</v>
      </c>
      <c r="G126" s="545">
        <f>VLOOKUP(B:B,Weight_Table!A:B,2,FALSE)</f>
        <v>8.1</v>
      </c>
    </row>
    <row r="127" spans="1:7" ht="14.25">
      <c r="A127" s="1363">
        <v>123</v>
      </c>
      <c r="B127" s="1399" t="s">
        <v>624</v>
      </c>
      <c r="C127" s="1365" t="s">
        <v>610</v>
      </c>
      <c r="D127" s="1400">
        <v>110</v>
      </c>
      <c r="E127" s="1367" t="s">
        <v>625</v>
      </c>
      <c r="F127" s="1365" t="s">
        <v>1258</v>
      </c>
      <c r="G127" s="545">
        <f>VLOOKUP(B:B,Weight_Table!A:B,2,FALSE)</f>
        <v>10.89</v>
      </c>
    </row>
    <row r="128" spans="1:7" ht="14.25">
      <c r="A128" s="1363">
        <v>124</v>
      </c>
      <c r="B128" s="1423" t="s">
        <v>622</v>
      </c>
      <c r="C128" s="1365" t="s">
        <v>610</v>
      </c>
      <c r="D128" s="1424">
        <v>82</v>
      </c>
      <c r="E128" s="1367" t="s">
        <v>623</v>
      </c>
      <c r="F128" s="1365" t="s">
        <v>1258</v>
      </c>
      <c r="G128" s="545">
        <f>VLOOKUP(B:B,Weight_Table!A:B,2,FALSE)</f>
        <v>8.06</v>
      </c>
    </row>
    <row r="129" spans="1:7" ht="14.25">
      <c r="A129" s="1363">
        <v>125</v>
      </c>
      <c r="B129" s="1399" t="s">
        <v>620</v>
      </c>
      <c r="C129" s="1365" t="s">
        <v>610</v>
      </c>
      <c r="D129" s="1400">
        <v>82</v>
      </c>
      <c r="E129" s="1367" t="s">
        <v>621</v>
      </c>
      <c r="F129" s="1365" t="s">
        <v>1258</v>
      </c>
      <c r="G129" s="545">
        <f>VLOOKUP(B:B,Weight_Table!A:B,2,FALSE)</f>
        <v>7</v>
      </c>
    </row>
    <row r="130" spans="1:7" ht="14.25">
      <c r="A130" s="1363">
        <v>126</v>
      </c>
      <c r="B130" s="1423" t="s">
        <v>618</v>
      </c>
      <c r="C130" s="1365" t="s">
        <v>610</v>
      </c>
      <c r="D130" s="1424">
        <v>65</v>
      </c>
      <c r="E130" s="1367" t="s">
        <v>619</v>
      </c>
      <c r="F130" s="1365" t="s">
        <v>1258</v>
      </c>
      <c r="G130" s="545">
        <f>VLOOKUP(B:B,Weight_Table!A:B,2,FALSE)</f>
        <v>5.2</v>
      </c>
    </row>
    <row r="131" spans="1:7" ht="14.25">
      <c r="A131" s="1363">
        <v>127</v>
      </c>
      <c r="B131" s="1413" t="s">
        <v>154</v>
      </c>
      <c r="C131" s="1365" t="s">
        <v>610</v>
      </c>
      <c r="D131" s="1400">
        <v>82</v>
      </c>
      <c r="E131" s="1367" t="s">
        <v>626</v>
      </c>
      <c r="F131" s="1365" t="s">
        <v>1258</v>
      </c>
      <c r="G131" s="545" t="e">
        <f>VLOOKUP(B:B,Weight_Table!A:B,2,FALSE)</f>
        <v>#N/A</v>
      </c>
    </row>
    <row r="132" spans="1:7" ht="14.25">
      <c r="A132" s="1363">
        <v>128</v>
      </c>
      <c r="B132" s="1423" t="s">
        <v>616</v>
      </c>
      <c r="C132" s="1365" t="s">
        <v>610</v>
      </c>
      <c r="D132" s="1424">
        <v>65</v>
      </c>
      <c r="E132" s="1367" t="s">
        <v>617</v>
      </c>
      <c r="F132" s="1365" t="s">
        <v>1258</v>
      </c>
      <c r="G132" s="545">
        <f>VLOOKUP(B:B,Weight_Table!A:B,2,FALSE)</f>
        <v>5.13</v>
      </c>
    </row>
    <row r="133" spans="1:7" ht="14.25">
      <c r="A133" s="1363">
        <v>129</v>
      </c>
      <c r="B133" s="1399" t="s">
        <v>47</v>
      </c>
      <c r="C133" s="1365" t="s">
        <v>610</v>
      </c>
      <c r="D133" s="1400">
        <v>82</v>
      </c>
      <c r="E133" s="1367" t="s">
        <v>615</v>
      </c>
      <c r="F133" s="1365" t="s">
        <v>1258</v>
      </c>
      <c r="G133" s="545" t="e">
        <f>VLOOKUP(B:B,Weight_Table!A:B,2,FALSE)</f>
        <v>#N/A</v>
      </c>
    </row>
    <row r="134" spans="1:7" ht="14.25">
      <c r="A134" s="1363">
        <v>130</v>
      </c>
      <c r="B134" s="1423" t="s">
        <v>612</v>
      </c>
      <c r="C134" s="1365" t="s">
        <v>610</v>
      </c>
      <c r="D134" s="1424">
        <v>65</v>
      </c>
      <c r="E134" s="1367" t="s">
        <v>613</v>
      </c>
      <c r="F134" s="1365" t="s">
        <v>1258</v>
      </c>
      <c r="G134" s="545">
        <f>VLOOKUP(B:B,Weight_Table!A:B,2,FALSE)</f>
        <v>4.93</v>
      </c>
    </row>
    <row r="135" spans="1:7" ht="14.25">
      <c r="A135" s="1363">
        <v>131</v>
      </c>
      <c r="B135" s="1423" t="s">
        <v>609</v>
      </c>
      <c r="C135" s="1374" t="s">
        <v>610</v>
      </c>
      <c r="D135" s="1424">
        <v>65</v>
      </c>
      <c r="E135" s="1373" t="s">
        <v>611</v>
      </c>
      <c r="F135" s="1374" t="s">
        <v>1258</v>
      </c>
      <c r="G135" s="953">
        <f>VLOOKUP(B:B,Weight_Table!A:B,2,FALSE)</f>
        <v>4.9000000000000004</v>
      </c>
    </row>
    <row r="136" spans="1:7" ht="14.25">
      <c r="A136" s="1363">
        <v>132</v>
      </c>
      <c r="B136" s="1399" t="s">
        <v>904</v>
      </c>
      <c r="C136" s="1374" t="s">
        <v>891</v>
      </c>
      <c r="D136" s="1400">
        <v>45</v>
      </c>
      <c r="E136" s="1373" t="s">
        <v>905</v>
      </c>
      <c r="F136" s="1374" t="s">
        <v>772</v>
      </c>
      <c r="G136" s="953">
        <f>(25+59)*3*1450*7.87/1000000</f>
        <v>2.8756979999999999</v>
      </c>
    </row>
    <row r="137" spans="1:7" ht="14.25">
      <c r="A137" s="1363">
        <v>133</v>
      </c>
      <c r="B137" s="1399" t="s">
        <v>1711</v>
      </c>
      <c r="C137" s="1374" t="s">
        <v>888</v>
      </c>
      <c r="D137" s="1400">
        <v>45</v>
      </c>
      <c r="E137" s="1373" t="s">
        <v>1712</v>
      </c>
      <c r="F137" s="1374" t="s">
        <v>772</v>
      </c>
      <c r="G137" s="953">
        <f>(30+64)*3*1450*7.87/1000000</f>
        <v>3.2180430000000002</v>
      </c>
    </row>
    <row r="138" spans="1:7" ht="14.25">
      <c r="A138" s="1363">
        <v>134</v>
      </c>
      <c r="B138" s="1399" t="s">
        <v>1752</v>
      </c>
      <c r="C138" s="1374" t="s">
        <v>891</v>
      </c>
      <c r="D138" s="1400">
        <v>37</v>
      </c>
      <c r="E138" s="1373" t="s">
        <v>1710</v>
      </c>
      <c r="F138" s="1374" t="s">
        <v>772</v>
      </c>
      <c r="G138" s="953">
        <f>VLOOKUP(B:B,Weight_Table!A:B,2,FALSE)</f>
        <v>2.2166437499999994</v>
      </c>
    </row>
    <row r="139" spans="1:7" ht="14.25">
      <c r="A139" s="1363">
        <v>135</v>
      </c>
      <c r="B139" s="1399" t="s">
        <v>1751</v>
      </c>
      <c r="C139" s="1374" t="s">
        <v>888</v>
      </c>
      <c r="D139" s="1400">
        <v>35</v>
      </c>
      <c r="E139" s="1373" t="s">
        <v>1709</v>
      </c>
      <c r="F139" s="1374" t="s">
        <v>772</v>
      </c>
      <c r="G139" s="953">
        <f>VLOOKUP(B:B,Weight_Table!A:B,2,FALSE)</f>
        <v>2.5539974999999999</v>
      </c>
    </row>
    <row r="140" spans="1:7" ht="14.25">
      <c r="A140" s="1363">
        <v>136</v>
      </c>
      <c r="B140" s="1399" t="s">
        <v>1761</v>
      </c>
      <c r="C140" s="1365" t="s">
        <v>777</v>
      </c>
      <c r="D140" s="1400">
        <v>78</v>
      </c>
      <c r="E140" s="1367" t="s">
        <v>790</v>
      </c>
      <c r="F140" s="1365" t="s">
        <v>772</v>
      </c>
      <c r="G140" s="545">
        <f>VLOOKUP(B:B,Weight_Table!A:B,2,FALSE)</f>
        <v>2.5539974999999999</v>
      </c>
    </row>
    <row r="141" spans="1:7" ht="14.25">
      <c r="A141" s="1363">
        <v>137</v>
      </c>
      <c r="B141" s="1364" t="s">
        <v>1760</v>
      </c>
      <c r="C141" s="1365" t="s">
        <v>775</v>
      </c>
      <c r="D141" s="1368">
        <v>78</v>
      </c>
      <c r="E141" s="1367" t="s">
        <v>789</v>
      </c>
      <c r="F141" s="1365" t="s">
        <v>772</v>
      </c>
      <c r="G141" s="545">
        <f>VLOOKUP(B:B,Weight_Table!A:B,2,FALSE)</f>
        <v>2.5539974999999999</v>
      </c>
    </row>
    <row r="142" spans="1:7" ht="14.25">
      <c r="A142" s="1363">
        <v>138</v>
      </c>
      <c r="B142" s="1399" t="s">
        <v>1759</v>
      </c>
      <c r="C142" s="1365" t="s">
        <v>773</v>
      </c>
      <c r="D142" s="1400">
        <v>78</v>
      </c>
      <c r="E142" s="1367" t="s">
        <v>788</v>
      </c>
      <c r="F142" s="1365" t="s">
        <v>772</v>
      </c>
      <c r="G142" s="545">
        <f>VLOOKUP(B:B,Weight_Table!A:B,2,FALSE)</f>
        <v>2.2166437499999994</v>
      </c>
    </row>
    <row r="143" spans="1:7" ht="14.25">
      <c r="A143" s="1363">
        <v>139</v>
      </c>
      <c r="B143" s="1364" t="s">
        <v>1758</v>
      </c>
      <c r="C143" s="1365" t="s">
        <v>770</v>
      </c>
      <c r="D143" s="1368">
        <v>78</v>
      </c>
      <c r="E143" s="1367" t="s">
        <v>787</v>
      </c>
      <c r="F143" s="1365" t="s">
        <v>772</v>
      </c>
      <c r="G143" s="545">
        <f>VLOOKUP(B:B,Weight_Table!A:B,2,FALSE)</f>
        <v>2.2166437499999994</v>
      </c>
    </row>
    <row r="144" spans="1:7" ht="14.25">
      <c r="A144" s="1363">
        <v>140</v>
      </c>
      <c r="B144" s="1399" t="s">
        <v>901</v>
      </c>
      <c r="C144" s="1365" t="s">
        <v>894</v>
      </c>
      <c r="D144" s="1400">
        <v>16</v>
      </c>
      <c r="E144" s="1367" t="s">
        <v>902</v>
      </c>
      <c r="F144" s="1365" t="s">
        <v>896</v>
      </c>
      <c r="G144" s="545">
        <f>VLOOKUP(B:B,Weight_Table!A:B,2,FALSE)</f>
        <v>0.78715874999999991</v>
      </c>
    </row>
    <row r="145" spans="1:7" ht="14.25">
      <c r="A145" s="1363">
        <v>141</v>
      </c>
      <c r="B145" s="1399" t="s">
        <v>899</v>
      </c>
      <c r="C145" s="1365" t="s">
        <v>891</v>
      </c>
      <c r="D145" s="1400">
        <v>31</v>
      </c>
      <c r="E145" s="1367" t="s">
        <v>900</v>
      </c>
      <c r="F145" s="1365" t="s">
        <v>772</v>
      </c>
      <c r="G145" s="545">
        <f>VLOOKUP(B:B,Weight_Table!A:B,2,FALSE)</f>
        <v>1.6867687499999997</v>
      </c>
    </row>
    <row r="146" spans="1:7" ht="14.25">
      <c r="A146" s="1363">
        <v>142</v>
      </c>
      <c r="B146" s="1399" t="s">
        <v>897</v>
      </c>
      <c r="C146" s="1365" t="s">
        <v>888</v>
      </c>
      <c r="D146" s="1400">
        <v>30</v>
      </c>
      <c r="E146" s="1367" t="s">
        <v>898</v>
      </c>
      <c r="F146" s="1365" t="s">
        <v>772</v>
      </c>
      <c r="G146" s="545">
        <f>VLOOKUP(B:B,Weight_Table!A:B,2,FALSE)</f>
        <v>2.0241225000000003</v>
      </c>
    </row>
    <row r="147" spans="1:7" ht="14.25">
      <c r="A147" s="1363">
        <v>143</v>
      </c>
      <c r="B147" s="1399" t="s">
        <v>1757</v>
      </c>
      <c r="C147" s="1365" t="s">
        <v>777</v>
      </c>
      <c r="D147" s="1400">
        <v>70</v>
      </c>
      <c r="E147" s="1367" t="s">
        <v>784</v>
      </c>
      <c r="F147" s="1365" t="s">
        <v>772</v>
      </c>
      <c r="G147" s="545">
        <f>VLOOKUP(B:B,Weight_Table!A:B,2,FALSE)</f>
        <v>2.0241225000000003</v>
      </c>
    </row>
    <row r="148" spans="1:7" ht="14.25">
      <c r="A148" s="1363">
        <v>144</v>
      </c>
      <c r="B148" s="1364" t="s">
        <v>1753</v>
      </c>
      <c r="C148" s="1365" t="s">
        <v>775</v>
      </c>
      <c r="D148" s="1368">
        <v>70</v>
      </c>
      <c r="E148" s="1367" t="s">
        <v>783</v>
      </c>
      <c r="F148" s="1365" t="s">
        <v>772</v>
      </c>
      <c r="G148" s="545">
        <f>VLOOKUP(B:B,Weight_Table!A:B,2,FALSE)</f>
        <v>2.0241225000000003</v>
      </c>
    </row>
    <row r="149" spans="1:7" ht="14.25">
      <c r="A149" s="1363">
        <v>145</v>
      </c>
      <c r="B149" s="1399" t="s">
        <v>1754</v>
      </c>
      <c r="C149" s="1365" t="s">
        <v>768</v>
      </c>
      <c r="D149" s="1400">
        <v>70</v>
      </c>
      <c r="E149" s="1367" t="s">
        <v>782</v>
      </c>
      <c r="F149" s="1365" t="s">
        <v>767</v>
      </c>
      <c r="G149" s="545">
        <f>VLOOKUP(B:B,Weight_Table!A:B,2,FALSE)</f>
        <v>0.78715874999999991</v>
      </c>
    </row>
    <row r="150" spans="1:7" ht="14.25">
      <c r="A150" s="1363">
        <v>146</v>
      </c>
      <c r="B150" s="1399" t="s">
        <v>1756</v>
      </c>
      <c r="C150" s="1365" t="s">
        <v>773</v>
      </c>
      <c r="D150" s="1400">
        <v>70</v>
      </c>
      <c r="E150" s="1367" t="s">
        <v>786</v>
      </c>
      <c r="F150" s="1365" t="s">
        <v>772</v>
      </c>
      <c r="G150" s="545">
        <f>VLOOKUP(B:B,Weight_Table!A:B,2,FALSE)</f>
        <v>1.6867687499999997</v>
      </c>
    </row>
    <row r="151" spans="1:7" ht="14.25">
      <c r="A151" s="1363">
        <v>147</v>
      </c>
      <c r="B151" s="1364" t="s">
        <v>1755</v>
      </c>
      <c r="C151" s="1365" t="s">
        <v>770</v>
      </c>
      <c r="D151" s="1368">
        <v>70</v>
      </c>
      <c r="E151" s="1367" t="s">
        <v>785</v>
      </c>
      <c r="F151" s="1365" t="s">
        <v>772</v>
      </c>
      <c r="G151" s="545">
        <f>VLOOKUP(B:B,Weight_Table!A:B,2,FALSE)</f>
        <v>1.6867687499999997</v>
      </c>
    </row>
    <row r="152" spans="1:7" ht="14.25">
      <c r="A152" s="1363">
        <v>148</v>
      </c>
      <c r="B152" s="1399" t="s">
        <v>903</v>
      </c>
      <c r="C152" s="1365" t="s">
        <v>894</v>
      </c>
      <c r="D152" s="1400">
        <v>16</v>
      </c>
      <c r="E152" s="1367" t="s">
        <v>902</v>
      </c>
      <c r="F152" s="1365" t="s">
        <v>896</v>
      </c>
      <c r="G152" s="545">
        <f>VLOOKUP(B:B,Weight_Table!A:B,2,FALSE)</f>
        <v>0.7253400000000001</v>
      </c>
    </row>
    <row r="153" spans="1:7" ht="14.25">
      <c r="A153" s="1363">
        <v>149</v>
      </c>
      <c r="B153" s="1399" t="s">
        <v>1771</v>
      </c>
      <c r="C153" s="1365" t="s">
        <v>777</v>
      </c>
      <c r="D153" s="1400">
        <v>36</v>
      </c>
      <c r="E153" s="1367" t="s">
        <v>784</v>
      </c>
      <c r="F153" s="1365" t="s">
        <v>772</v>
      </c>
      <c r="G153" s="545">
        <f>VLOOKUP(B:B,Weight_Table!A:B,2,FALSE)</f>
        <v>1.8651600000000002</v>
      </c>
    </row>
    <row r="154" spans="1:7" ht="14.25">
      <c r="A154" s="1363">
        <v>150</v>
      </c>
      <c r="B154" s="1364" t="s">
        <v>1770</v>
      </c>
      <c r="C154" s="1365" t="s">
        <v>775</v>
      </c>
      <c r="D154" s="1368">
        <v>36</v>
      </c>
      <c r="E154" s="1367" t="s">
        <v>783</v>
      </c>
      <c r="F154" s="1365" t="s">
        <v>772</v>
      </c>
      <c r="G154" s="545">
        <f>VLOOKUP(B:B,Weight_Table!A:B,2,FALSE)</f>
        <v>1.8651600000000002</v>
      </c>
    </row>
    <row r="155" spans="1:7" ht="14.25">
      <c r="A155" s="1363">
        <v>151</v>
      </c>
      <c r="B155" s="1399" t="s">
        <v>1769</v>
      </c>
      <c r="C155" s="1365" t="s">
        <v>781</v>
      </c>
      <c r="D155" s="1400">
        <v>36</v>
      </c>
      <c r="E155" s="1367" t="s">
        <v>782</v>
      </c>
      <c r="F155" s="1365" t="s">
        <v>767</v>
      </c>
      <c r="G155" s="545">
        <f>VLOOKUP(B:B,Weight_Table!A:B,2,FALSE)</f>
        <v>0.7253400000000001</v>
      </c>
    </row>
    <row r="156" spans="1:7" ht="14.25">
      <c r="A156" s="1363">
        <v>152</v>
      </c>
      <c r="B156" s="1364" t="s">
        <v>1768</v>
      </c>
      <c r="C156" s="1365" t="s">
        <v>779</v>
      </c>
      <c r="D156" s="1368">
        <v>36</v>
      </c>
      <c r="E156" s="1367" t="s">
        <v>780</v>
      </c>
      <c r="F156" s="1365" t="s">
        <v>767</v>
      </c>
      <c r="G156" s="545">
        <f>VLOOKUP(B:B,Weight_Table!A:B,2,FALSE)</f>
        <v>0.7253400000000001</v>
      </c>
    </row>
    <row r="157" spans="1:7" ht="14.25">
      <c r="A157" s="1363">
        <v>153</v>
      </c>
      <c r="B157" s="1399" t="s">
        <v>1773</v>
      </c>
      <c r="C157" s="1365" t="s">
        <v>773</v>
      </c>
      <c r="D157" s="1400">
        <v>55</v>
      </c>
      <c r="E157" s="1367" t="s">
        <v>784</v>
      </c>
      <c r="F157" s="1365" t="s">
        <v>772</v>
      </c>
      <c r="G157" s="545">
        <f>VLOOKUP(B:B,Weight_Table!A:B,2,FALSE)</f>
        <v>1.5543</v>
      </c>
    </row>
    <row r="158" spans="1:7" ht="14.25">
      <c r="A158" s="1363">
        <v>154</v>
      </c>
      <c r="B158" s="1364" t="s">
        <v>1772</v>
      </c>
      <c r="C158" s="1365" t="s">
        <v>770</v>
      </c>
      <c r="D158" s="1368">
        <v>55</v>
      </c>
      <c r="E158" s="1367" t="s">
        <v>783</v>
      </c>
      <c r="F158" s="1365" t="s">
        <v>772</v>
      </c>
      <c r="G158" s="545">
        <f>VLOOKUP(B:B,Weight_Table!A:B,2,FALSE)</f>
        <v>1.5543</v>
      </c>
    </row>
    <row r="159" spans="1:7" ht="14.25">
      <c r="A159" s="1363">
        <v>155</v>
      </c>
      <c r="B159" s="1399" t="s">
        <v>893</v>
      </c>
      <c r="C159" s="1365" t="s">
        <v>894</v>
      </c>
      <c r="D159" s="1400">
        <v>10</v>
      </c>
      <c r="E159" s="1367" t="s">
        <v>895</v>
      </c>
      <c r="F159" s="1365" t="s">
        <v>896</v>
      </c>
      <c r="G159" s="545">
        <f>VLOOKUP(B:B,Weight_Table!A:B,2,FALSE)</f>
        <v>0.33753037500000005</v>
      </c>
    </row>
    <row r="160" spans="1:7" ht="14.25">
      <c r="A160" s="1363">
        <v>156</v>
      </c>
      <c r="B160" s="1399" t="s">
        <v>890</v>
      </c>
      <c r="C160" s="1365" t="s">
        <v>891</v>
      </c>
      <c r="D160" s="1400">
        <v>18</v>
      </c>
      <c r="E160" s="1367" t="s">
        <v>892</v>
      </c>
      <c r="F160" s="1365" t="s">
        <v>772</v>
      </c>
      <c r="G160" s="545">
        <f>VLOOKUP(B:B,Weight_Table!A:B,2,FALSE)</f>
        <v>0.80364374999999999</v>
      </c>
    </row>
    <row r="161" spans="1:7" ht="14.25">
      <c r="A161" s="1363">
        <v>157</v>
      </c>
      <c r="B161" s="1399" t="s">
        <v>887</v>
      </c>
      <c r="C161" s="1365" t="s">
        <v>888</v>
      </c>
      <c r="D161" s="1400">
        <v>17</v>
      </c>
      <c r="E161" s="1367" t="s">
        <v>889</v>
      </c>
      <c r="F161" s="1365" t="s">
        <v>772</v>
      </c>
      <c r="G161" s="545">
        <f>VLOOKUP(B:B,Weight_Table!A:B,2,FALSE)</f>
        <v>0.96437249999999997</v>
      </c>
    </row>
    <row r="162" spans="1:7" ht="14.25">
      <c r="A162" s="1363">
        <v>158</v>
      </c>
      <c r="B162" s="1399" t="s">
        <v>1767</v>
      </c>
      <c r="C162" s="1365" t="s">
        <v>777</v>
      </c>
      <c r="D162" s="1400">
        <v>34</v>
      </c>
      <c r="E162" s="1367" t="s">
        <v>778</v>
      </c>
      <c r="F162" s="1365" t="s">
        <v>772</v>
      </c>
      <c r="G162" s="545">
        <f>VLOOKUP(B:B,Weight_Table!A:B,2,FALSE)</f>
        <v>0.96437249999999997</v>
      </c>
    </row>
    <row r="163" spans="1:7" ht="14.25">
      <c r="A163" s="1363">
        <v>159</v>
      </c>
      <c r="B163" s="1364" t="s">
        <v>1766</v>
      </c>
      <c r="C163" s="1365" t="s">
        <v>775</v>
      </c>
      <c r="D163" s="1368">
        <v>34</v>
      </c>
      <c r="E163" s="1367" t="s">
        <v>776</v>
      </c>
      <c r="F163" s="1365" t="s">
        <v>772</v>
      </c>
      <c r="G163" s="545">
        <f>VLOOKUP(B:B,Weight_Table!A:B,2,FALSE)</f>
        <v>0.96437249999999997</v>
      </c>
    </row>
    <row r="164" spans="1:7" ht="14.25">
      <c r="A164" s="1363">
        <v>160</v>
      </c>
      <c r="B164" s="1399" t="s">
        <v>1763</v>
      </c>
      <c r="C164" s="1365" t="s">
        <v>768</v>
      </c>
      <c r="D164" s="1400">
        <v>21</v>
      </c>
      <c r="E164" s="1367" t="s">
        <v>769</v>
      </c>
      <c r="F164" s="1365" t="s">
        <v>767</v>
      </c>
      <c r="G164" s="545">
        <f>VLOOKUP(B:B,Weight_Table!A:B,2,FALSE)</f>
        <v>0.33753037500000005</v>
      </c>
    </row>
    <row r="165" spans="1:7" ht="14.25">
      <c r="A165" s="1363">
        <v>161</v>
      </c>
      <c r="B165" s="1364" t="s">
        <v>1762</v>
      </c>
      <c r="C165" s="1365" t="s">
        <v>765</v>
      </c>
      <c r="D165" s="1368">
        <v>21</v>
      </c>
      <c r="E165" s="1367" t="s">
        <v>766</v>
      </c>
      <c r="F165" s="1365" t="s">
        <v>767</v>
      </c>
      <c r="G165" s="545">
        <f>VLOOKUP(B:B,Weight_Table!A:B,2,FALSE)</f>
        <v>0.33753037500000005</v>
      </c>
    </row>
    <row r="166" spans="1:7" ht="14.25">
      <c r="A166" s="1363">
        <v>162</v>
      </c>
      <c r="B166" s="1399" t="s">
        <v>1765</v>
      </c>
      <c r="C166" s="1365" t="s">
        <v>773</v>
      </c>
      <c r="D166" s="1400">
        <v>34</v>
      </c>
      <c r="E166" s="1367" t="s">
        <v>774</v>
      </c>
      <c r="F166" s="1365" t="s">
        <v>772</v>
      </c>
      <c r="G166" s="545">
        <f>VLOOKUP(B:B,Weight_Table!A:B,2,FALSE)</f>
        <v>0.80364374999999999</v>
      </c>
    </row>
    <row r="167" spans="1:7" ht="14.25">
      <c r="A167" s="1363">
        <v>163</v>
      </c>
      <c r="B167" s="1364" t="s">
        <v>1764</v>
      </c>
      <c r="C167" s="1365" t="s">
        <v>770</v>
      </c>
      <c r="D167" s="1368">
        <v>34</v>
      </c>
      <c r="E167" s="1367" t="s">
        <v>771</v>
      </c>
      <c r="F167" s="1365" t="s">
        <v>772</v>
      </c>
      <c r="G167" s="545">
        <f>VLOOKUP(B:B,Weight_Table!A:B,2,FALSE)</f>
        <v>0.80364374999999999</v>
      </c>
    </row>
    <row r="168" spans="1:7" ht="14.25">
      <c r="A168" s="1363">
        <v>164</v>
      </c>
      <c r="B168" s="1364" t="s">
        <v>1775</v>
      </c>
      <c r="C168" s="1365" t="s">
        <v>884</v>
      </c>
      <c r="D168" s="1368">
        <v>12</v>
      </c>
      <c r="E168" s="1367" t="s">
        <v>1776</v>
      </c>
      <c r="F168" s="1370" t="s">
        <v>886</v>
      </c>
      <c r="G168" s="545" t="e">
        <f>VLOOKUP(B:B,Weight_Table!A:B,2,FALSE)</f>
        <v>#N/A</v>
      </c>
    </row>
    <row r="169" spans="1:7" ht="14.25">
      <c r="A169" s="1363">
        <v>165</v>
      </c>
      <c r="B169" s="1399" t="s">
        <v>883</v>
      </c>
      <c r="C169" s="1365" t="s">
        <v>884</v>
      </c>
      <c r="D169" s="1400">
        <v>12</v>
      </c>
      <c r="E169" s="1367" t="s">
        <v>885</v>
      </c>
      <c r="F169" s="1370" t="s">
        <v>886</v>
      </c>
      <c r="G169" s="545">
        <f>75*160*5*7.87/1000000</f>
        <v>0.47220000000000001</v>
      </c>
    </row>
    <row r="170" spans="1:7" ht="14.25">
      <c r="A170" s="1363">
        <v>166</v>
      </c>
      <c r="B170" s="1399" t="s">
        <v>759</v>
      </c>
      <c r="C170" s="1365" t="s">
        <v>760</v>
      </c>
      <c r="D170" s="1400">
        <v>21</v>
      </c>
      <c r="E170" s="1367" t="s">
        <v>761</v>
      </c>
      <c r="F170" s="1365" t="s">
        <v>758</v>
      </c>
      <c r="G170" s="545">
        <f t="shared" ref="G170:G171" si="0">75*160*5*7.87/1000000</f>
        <v>0.47220000000000001</v>
      </c>
    </row>
    <row r="171" spans="1:7" ht="14.25">
      <c r="A171" s="1363">
        <v>167</v>
      </c>
      <c r="B171" s="1364" t="s">
        <v>755</v>
      </c>
      <c r="C171" s="1365" t="s">
        <v>756</v>
      </c>
      <c r="D171" s="1368">
        <v>21</v>
      </c>
      <c r="E171" s="1367" t="s">
        <v>757</v>
      </c>
      <c r="F171" s="1365" t="s">
        <v>758</v>
      </c>
      <c r="G171" s="545">
        <f t="shared" si="0"/>
        <v>0.47220000000000001</v>
      </c>
    </row>
    <row r="172" spans="1:7" ht="14.25">
      <c r="A172" s="1363">
        <v>168</v>
      </c>
      <c r="B172" s="1399" t="s">
        <v>751</v>
      </c>
      <c r="C172" s="1365" t="s">
        <v>752</v>
      </c>
      <c r="D172" s="1400">
        <v>37</v>
      </c>
      <c r="E172" s="1367" t="s">
        <v>753</v>
      </c>
      <c r="F172" s="1365" t="s">
        <v>754</v>
      </c>
      <c r="G172" s="545">
        <f>60*320*5*7.87/1000000</f>
        <v>0.75551999999999997</v>
      </c>
    </row>
    <row r="173" spans="1:7" ht="14.25">
      <c r="A173" s="1363">
        <v>169</v>
      </c>
      <c r="B173" s="1364" t="s">
        <v>747</v>
      </c>
      <c r="C173" s="1365" t="s">
        <v>748</v>
      </c>
      <c r="D173" s="1368">
        <v>37</v>
      </c>
      <c r="E173" s="1367" t="s">
        <v>749</v>
      </c>
      <c r="F173" s="1365" t="s">
        <v>750</v>
      </c>
      <c r="G173" s="545">
        <f>60*320*5*7.87/1000000</f>
        <v>0.75551999999999997</v>
      </c>
    </row>
    <row r="174" spans="1:7" ht="14.25">
      <c r="A174" s="1363">
        <v>170</v>
      </c>
      <c r="B174" s="1399" t="s">
        <v>743</v>
      </c>
      <c r="C174" s="1365" t="s">
        <v>744</v>
      </c>
      <c r="D174" s="1400">
        <v>75</v>
      </c>
      <c r="E174" s="1367" t="s">
        <v>745</v>
      </c>
      <c r="F174" s="1365" t="s">
        <v>746</v>
      </c>
      <c r="G174" s="545">
        <f>160*320*5*7.87/1000000</f>
        <v>2.0147200000000001</v>
      </c>
    </row>
    <row r="175" spans="1:7" ht="14.25">
      <c r="A175" s="1363">
        <v>171</v>
      </c>
      <c r="B175" s="1364" t="s">
        <v>739</v>
      </c>
      <c r="C175" s="1365" t="s">
        <v>740</v>
      </c>
      <c r="D175" s="1368">
        <v>75</v>
      </c>
      <c r="E175" s="1367" t="s">
        <v>741</v>
      </c>
      <c r="F175" s="1365" t="s">
        <v>742</v>
      </c>
      <c r="G175" s="545">
        <f>160*320*5*7.87/1000000</f>
        <v>2.0147200000000001</v>
      </c>
    </row>
    <row r="176" spans="1:7" ht="14.25">
      <c r="A176" s="1363">
        <v>172</v>
      </c>
      <c r="B176" s="1364" t="s">
        <v>879</v>
      </c>
      <c r="C176" s="1365" t="s">
        <v>880</v>
      </c>
      <c r="D176" s="1368">
        <v>20</v>
      </c>
      <c r="E176" s="1367" t="s">
        <v>881</v>
      </c>
      <c r="F176" s="1370" t="s">
        <v>882</v>
      </c>
      <c r="G176" s="545">
        <f>160*160*5*7.87/1000000</f>
        <v>1.00736</v>
      </c>
    </row>
    <row r="177" spans="1:7">
      <c r="A177" s="1363">
        <v>173</v>
      </c>
      <c r="B177" s="1364" t="s">
        <v>736</v>
      </c>
      <c r="C177" s="1365" t="s">
        <v>733</v>
      </c>
      <c r="D177" s="1368">
        <v>75</v>
      </c>
      <c r="E177" s="1367" t="s">
        <v>737</v>
      </c>
      <c r="F177" s="1365" t="s">
        <v>738</v>
      </c>
      <c r="G177" s="545">
        <f>160*160*5*7.87/1000000</f>
        <v>1.00736</v>
      </c>
    </row>
    <row r="178" spans="1:7">
      <c r="A178" s="1363">
        <v>174</v>
      </c>
      <c r="B178" s="1364" t="s">
        <v>732</v>
      </c>
      <c r="C178" s="1365" t="s">
        <v>733</v>
      </c>
      <c r="D178" s="1368">
        <v>75</v>
      </c>
      <c r="E178" s="1367" t="s">
        <v>734</v>
      </c>
      <c r="F178" s="1365" t="s">
        <v>735</v>
      </c>
      <c r="G178" s="545">
        <f>160*160*5*7.87/1000000</f>
        <v>1.00736</v>
      </c>
    </row>
    <row r="179" spans="1:7" ht="14.25">
      <c r="A179" s="1363">
        <v>175</v>
      </c>
      <c r="B179" s="1364" t="s">
        <v>762</v>
      </c>
      <c r="C179" s="1365" t="s">
        <v>763</v>
      </c>
      <c r="D179" s="1368">
        <v>12</v>
      </c>
      <c r="E179" s="1367" t="s">
        <v>764</v>
      </c>
      <c r="F179" s="1365" t="s">
        <v>758</v>
      </c>
      <c r="G179" s="545" t="e">
        <f>VLOOKUP(B:B,Weight_Table!A:B,2,FALSE)</f>
        <v>#N/A</v>
      </c>
    </row>
    <row r="180" spans="1:7">
      <c r="A180" s="1363">
        <v>176</v>
      </c>
      <c r="B180" s="1399" t="s">
        <v>875</v>
      </c>
      <c r="C180" s="1370" t="s">
        <v>876</v>
      </c>
      <c r="D180" s="1400">
        <v>20</v>
      </c>
      <c r="E180" s="1367" t="s">
        <v>877</v>
      </c>
      <c r="F180" s="1370" t="s">
        <v>878</v>
      </c>
      <c r="G180" s="545" t="e">
        <f>VLOOKUP(B:B,Weight_Table!A:B,2,FALSE)</f>
        <v>#N/A</v>
      </c>
    </row>
    <row r="181" spans="1:7" ht="14.25">
      <c r="A181" s="1363">
        <v>177</v>
      </c>
      <c r="B181" s="1399" t="s">
        <v>728</v>
      </c>
      <c r="C181" s="1365" t="s">
        <v>729</v>
      </c>
      <c r="D181" s="1400">
        <v>50</v>
      </c>
      <c r="E181" s="1367" t="s">
        <v>730</v>
      </c>
      <c r="F181" s="1365" t="s">
        <v>731</v>
      </c>
      <c r="G181" s="545">
        <f>160*160*5*7.87/1000000</f>
        <v>1.00736</v>
      </c>
    </row>
    <row r="182" spans="1:7" ht="14.25">
      <c r="A182" s="1363">
        <v>178</v>
      </c>
      <c r="B182" s="1364" t="s">
        <v>724</v>
      </c>
      <c r="C182" s="1365" t="s">
        <v>725</v>
      </c>
      <c r="D182" s="1368">
        <v>50</v>
      </c>
      <c r="E182" s="1367" t="s">
        <v>726</v>
      </c>
      <c r="F182" s="1365" t="s">
        <v>727</v>
      </c>
      <c r="G182" s="545">
        <f>160*160*5*7.87/1000000</f>
        <v>1.00736</v>
      </c>
    </row>
    <row r="183" spans="1:7" ht="14.25">
      <c r="A183" s="1363">
        <v>179</v>
      </c>
      <c r="B183" s="1399" t="s">
        <v>873</v>
      </c>
      <c r="C183" s="1365" t="s">
        <v>868</v>
      </c>
      <c r="D183" s="1400">
        <v>76</v>
      </c>
      <c r="E183" s="1367" t="s">
        <v>874</v>
      </c>
      <c r="F183" s="1365" t="s">
        <v>870</v>
      </c>
      <c r="G183" s="545">
        <f>140*2000*3*7.87/1000000</f>
        <v>6.6108000000000002</v>
      </c>
    </row>
    <row r="184" spans="1:7" ht="14.25">
      <c r="A184" s="1363">
        <v>180</v>
      </c>
      <c r="B184" s="1399" t="s">
        <v>871</v>
      </c>
      <c r="C184" s="1365" t="s">
        <v>868</v>
      </c>
      <c r="D184" s="1400">
        <v>71</v>
      </c>
      <c r="E184" s="1367" t="s">
        <v>872</v>
      </c>
      <c r="F184" s="1365" t="s">
        <v>870</v>
      </c>
      <c r="G184" s="545">
        <f>140*1500*3*7.87/1000000</f>
        <v>4.9581</v>
      </c>
    </row>
    <row r="185" spans="1:7" ht="14.25">
      <c r="A185" s="1363">
        <v>181</v>
      </c>
      <c r="B185" s="1399" t="s">
        <v>867</v>
      </c>
      <c r="C185" s="1365" t="s">
        <v>868</v>
      </c>
      <c r="D185" s="1400">
        <v>42</v>
      </c>
      <c r="E185" s="1367" t="s">
        <v>869</v>
      </c>
      <c r="F185" s="1365" t="s">
        <v>870</v>
      </c>
      <c r="G185" s="545">
        <f>140*1000*3*7.87/1000000</f>
        <v>3.3054000000000001</v>
      </c>
    </row>
    <row r="186" spans="1:7" ht="14.25">
      <c r="A186" s="1363">
        <v>182</v>
      </c>
      <c r="B186" s="1364" t="s">
        <v>2355</v>
      </c>
      <c r="C186" s="1365" t="s">
        <v>868</v>
      </c>
      <c r="D186" s="1368">
        <v>42</v>
      </c>
      <c r="E186" s="1367" t="s">
        <v>2356</v>
      </c>
      <c r="F186" s="1365" t="s">
        <v>870</v>
      </c>
      <c r="G186" s="545">
        <f>140*1000*3*7.87/1000000</f>
        <v>3.3054000000000001</v>
      </c>
    </row>
    <row r="187" spans="1:7" ht="14.25">
      <c r="A187" s="1363">
        <v>183</v>
      </c>
      <c r="B187" s="1364" t="s">
        <v>2357</v>
      </c>
      <c r="C187" s="1365" t="s">
        <v>868</v>
      </c>
      <c r="D187" s="1368">
        <v>21</v>
      </c>
      <c r="E187" s="1367" t="s">
        <v>2358</v>
      </c>
      <c r="F187" s="1365" t="s">
        <v>870</v>
      </c>
      <c r="G187" s="545">
        <v>1.5</v>
      </c>
    </row>
    <row r="188" spans="1:7" ht="14.25">
      <c r="A188" s="1363">
        <v>184</v>
      </c>
      <c r="B188" s="1364" t="s">
        <v>981</v>
      </c>
      <c r="C188" s="1365" t="s">
        <v>931</v>
      </c>
      <c r="D188" s="1368">
        <v>19</v>
      </c>
      <c r="E188" s="1367" t="s">
        <v>974</v>
      </c>
      <c r="F188" s="1365" t="s">
        <v>982</v>
      </c>
      <c r="G188" s="958">
        <f>0.016+0.023*2+0.01</f>
        <v>7.1999999999999995E-2</v>
      </c>
    </row>
    <row r="189" spans="1:7" ht="14.25">
      <c r="A189" s="1363">
        <v>185</v>
      </c>
      <c r="B189" s="1364" t="s">
        <v>973</v>
      </c>
      <c r="C189" s="1365" t="s">
        <v>951</v>
      </c>
      <c r="D189" s="1368">
        <v>28.1</v>
      </c>
      <c r="E189" s="1367" t="s">
        <v>974</v>
      </c>
      <c r="F189" s="1365" t="s">
        <v>975</v>
      </c>
      <c r="G189" s="958">
        <f>0.016+0.023*2+0.01</f>
        <v>7.1999999999999995E-2</v>
      </c>
    </row>
    <row r="190" spans="1:7" ht="14.25">
      <c r="A190" s="1363">
        <v>186</v>
      </c>
      <c r="B190" s="1364" t="s">
        <v>976</v>
      </c>
      <c r="C190" s="1365" t="s">
        <v>944</v>
      </c>
      <c r="D190" s="1368">
        <v>28.2</v>
      </c>
      <c r="E190" s="1367" t="s">
        <v>974</v>
      </c>
      <c r="F190" s="1365" t="s">
        <v>977</v>
      </c>
      <c r="G190" s="958">
        <f>0.016+0.023*2+0.01</f>
        <v>7.1999999999999995E-2</v>
      </c>
    </row>
    <row r="191" spans="1:7" ht="14.25">
      <c r="A191" s="1363">
        <v>187</v>
      </c>
      <c r="B191" s="1364" t="s">
        <v>971</v>
      </c>
      <c r="C191" s="1365" t="s">
        <v>951</v>
      </c>
      <c r="D191" s="1368">
        <v>28</v>
      </c>
      <c r="E191" s="1367" t="s">
        <v>967</v>
      </c>
      <c r="F191" s="1365" t="s">
        <v>972</v>
      </c>
      <c r="G191" s="958">
        <f>0.016+0.023*2+0.01</f>
        <v>7.1999999999999995E-2</v>
      </c>
    </row>
    <row r="192" spans="1:7" ht="14.25">
      <c r="A192" s="1363">
        <v>188</v>
      </c>
      <c r="B192" s="1364" t="s">
        <v>969</v>
      </c>
      <c r="C192" s="1365" t="s">
        <v>948</v>
      </c>
      <c r="D192" s="1368">
        <v>27.9</v>
      </c>
      <c r="E192" s="1367" t="s">
        <v>967</v>
      </c>
      <c r="F192" s="1365" t="s">
        <v>970</v>
      </c>
      <c r="G192" s="958">
        <f>0.016+0.023*2+0.01</f>
        <v>7.1999999999999995E-2</v>
      </c>
    </row>
    <row r="193" spans="1:7" ht="14.25">
      <c r="A193" s="1363">
        <v>189</v>
      </c>
      <c r="B193" s="1364" t="s">
        <v>966</v>
      </c>
      <c r="C193" s="1365" t="s">
        <v>944</v>
      </c>
      <c r="D193" s="1368">
        <v>27.8</v>
      </c>
      <c r="E193" s="1367" t="s">
        <v>967</v>
      </c>
      <c r="F193" s="1365" t="s">
        <v>968</v>
      </c>
      <c r="G193" s="545">
        <f>VLOOKUP(B:B,Weight_Table!A:B,2,FALSE)</f>
        <v>0.14899999999999999</v>
      </c>
    </row>
    <row r="194" spans="1:7" ht="14.25">
      <c r="A194" s="1363">
        <v>190</v>
      </c>
      <c r="B194" s="1399" t="s">
        <v>963</v>
      </c>
      <c r="C194" s="1365" t="s">
        <v>934</v>
      </c>
      <c r="D194" s="1400">
        <v>1.9</v>
      </c>
      <c r="E194" s="1367" t="s">
        <v>964</v>
      </c>
      <c r="F194" s="1365" t="s">
        <v>965</v>
      </c>
      <c r="G194" s="958">
        <f>0.016+0.023+0.01</f>
        <v>4.9000000000000002E-2</v>
      </c>
    </row>
    <row r="195" spans="1:7" ht="14.25">
      <c r="A195" s="1363">
        <v>191</v>
      </c>
      <c r="B195" s="1399" t="s">
        <v>959</v>
      </c>
      <c r="C195" s="1365" t="s">
        <v>951</v>
      </c>
      <c r="D195" s="1400">
        <v>14</v>
      </c>
      <c r="E195" s="1367" t="s">
        <v>957</v>
      </c>
      <c r="F195" s="1365" t="s">
        <v>960</v>
      </c>
      <c r="G195" s="545">
        <v>0.28000000000000003</v>
      </c>
    </row>
    <row r="196" spans="1:7" ht="14.25">
      <c r="A196" s="1363">
        <v>192</v>
      </c>
      <c r="B196" s="1364" t="s">
        <v>961</v>
      </c>
      <c r="C196" s="1365" t="s">
        <v>948</v>
      </c>
      <c r="D196" s="1368">
        <v>14</v>
      </c>
      <c r="E196" s="1367" t="s">
        <v>957</v>
      </c>
      <c r="F196" s="1365" t="s">
        <v>962</v>
      </c>
      <c r="G196" s="545">
        <v>0.28000000000000003</v>
      </c>
    </row>
    <row r="197" spans="1:7" ht="14.25">
      <c r="A197" s="1363">
        <v>193</v>
      </c>
      <c r="B197" s="1399" t="s">
        <v>956</v>
      </c>
      <c r="C197" s="1365" t="s">
        <v>944</v>
      </c>
      <c r="D197" s="1400">
        <v>14</v>
      </c>
      <c r="E197" s="1367" t="s">
        <v>957</v>
      </c>
      <c r="F197" s="1365" t="s">
        <v>958</v>
      </c>
      <c r="G197" s="545">
        <v>0.28000000000000003</v>
      </c>
    </row>
    <row r="198" spans="1:7" ht="14.25">
      <c r="A198" s="1363">
        <v>194</v>
      </c>
      <c r="B198" s="1364" t="s">
        <v>978</v>
      </c>
      <c r="C198" s="1365" t="s">
        <v>931</v>
      </c>
      <c r="D198" s="1368">
        <v>15</v>
      </c>
      <c r="E198" s="1367" t="s">
        <v>979</v>
      </c>
      <c r="F198" s="1365" t="s">
        <v>980</v>
      </c>
      <c r="G198" s="545" t="e">
        <f>VLOOKUP(B:B,Weight_Table!A:B,2,FALSE)</f>
        <v>#N/A</v>
      </c>
    </row>
    <row r="199" spans="1:7" ht="14.25">
      <c r="A199" s="1363">
        <v>195</v>
      </c>
      <c r="B199" s="1399" t="s">
        <v>953</v>
      </c>
      <c r="C199" s="1365" t="s">
        <v>934</v>
      </c>
      <c r="D199" s="1400">
        <v>1.9</v>
      </c>
      <c r="E199" s="1367" t="s">
        <v>954</v>
      </c>
      <c r="F199" s="1367" t="s">
        <v>955</v>
      </c>
      <c r="G199" s="545" t="e">
        <f>VLOOKUP(B:B,Weight_Table!A:B,2,FALSE)</f>
        <v>#N/A</v>
      </c>
    </row>
    <row r="200" spans="1:7" ht="14.25">
      <c r="A200" s="1363">
        <v>196</v>
      </c>
      <c r="B200" s="1399" t="s">
        <v>950</v>
      </c>
      <c r="C200" s="1365" t="s">
        <v>951</v>
      </c>
      <c r="D200" s="1400">
        <v>15</v>
      </c>
      <c r="E200" s="1367" t="s">
        <v>945</v>
      </c>
      <c r="F200" s="1365" t="s">
        <v>952</v>
      </c>
      <c r="G200" s="545" t="e">
        <f>VLOOKUP(B:B,Weight_Table!A:B,2,FALSE)</f>
        <v>#N/A</v>
      </c>
    </row>
    <row r="201" spans="1:7" ht="14.25">
      <c r="A201" s="1363">
        <v>197</v>
      </c>
      <c r="B201" s="1364" t="s">
        <v>947</v>
      </c>
      <c r="C201" s="1365" t="s">
        <v>948</v>
      </c>
      <c r="D201" s="1368">
        <v>15</v>
      </c>
      <c r="E201" s="1367" t="s">
        <v>945</v>
      </c>
      <c r="F201" s="1365" t="s">
        <v>949</v>
      </c>
      <c r="G201" s="545" t="e">
        <f>VLOOKUP(B:B,Weight_Table!A:B,2,FALSE)</f>
        <v>#N/A</v>
      </c>
    </row>
    <row r="202" spans="1:7" ht="14.25">
      <c r="A202" s="1363">
        <v>198</v>
      </c>
      <c r="B202" s="1364" t="s">
        <v>943</v>
      </c>
      <c r="C202" s="1365" t="s">
        <v>944</v>
      </c>
      <c r="D202" s="1368">
        <v>5</v>
      </c>
      <c r="E202" s="1367" t="s">
        <v>945</v>
      </c>
      <c r="F202" s="1365" t="s">
        <v>946</v>
      </c>
      <c r="G202" s="545" t="e">
        <f>VLOOKUP(B:B,Weight_Table!A:B,2,FALSE)</f>
        <v>#N/A</v>
      </c>
    </row>
    <row r="203" spans="1:7" ht="14.25">
      <c r="A203" s="1363">
        <v>199</v>
      </c>
      <c r="B203" s="1399" t="s">
        <v>941</v>
      </c>
      <c r="C203" s="1365" t="s">
        <v>934</v>
      </c>
      <c r="D203" s="1400">
        <v>0.85</v>
      </c>
      <c r="E203" s="1367" t="s">
        <v>937</v>
      </c>
      <c r="F203" s="1365" t="s">
        <v>942</v>
      </c>
      <c r="G203" s="545">
        <f>VLOOKUP(B:B,Weight_Table!A:B,2,FALSE)</f>
        <v>7.0000000000000007E-2</v>
      </c>
    </row>
    <row r="204" spans="1:7" ht="14.25">
      <c r="A204" s="1363">
        <v>200</v>
      </c>
      <c r="B204" s="1399" t="s">
        <v>939</v>
      </c>
      <c r="C204" s="1365" t="s">
        <v>931</v>
      </c>
      <c r="D204" s="1400">
        <v>2.65</v>
      </c>
      <c r="E204" s="1367" t="s">
        <v>937</v>
      </c>
      <c r="F204" s="1365" t="s">
        <v>940</v>
      </c>
      <c r="G204" s="545">
        <f>VLOOKUP(B:B,Weight_Table!A:B,2,FALSE)</f>
        <v>6.6600000000000006E-2</v>
      </c>
    </row>
    <row r="205" spans="1:7" ht="14.25">
      <c r="A205" s="1363">
        <v>201</v>
      </c>
      <c r="B205" s="1364" t="s">
        <v>936</v>
      </c>
      <c r="C205" s="1365" t="s">
        <v>927</v>
      </c>
      <c r="D205" s="1368">
        <v>2.65</v>
      </c>
      <c r="E205" s="1367" t="s">
        <v>937</v>
      </c>
      <c r="F205" s="1365" t="s">
        <v>938</v>
      </c>
      <c r="G205" s="545">
        <f>VLOOKUP(B:B,Weight_Table!A:B,2,FALSE)</f>
        <v>6.83E-2</v>
      </c>
    </row>
    <row r="206" spans="1:7" ht="14.25">
      <c r="A206" s="1363">
        <v>202</v>
      </c>
      <c r="B206" s="1364" t="s">
        <v>2228</v>
      </c>
      <c r="C206" s="1365" t="s">
        <v>931</v>
      </c>
      <c r="D206" s="1368">
        <v>14</v>
      </c>
      <c r="E206" s="1367" t="s">
        <v>954</v>
      </c>
      <c r="F206" s="1365" t="s">
        <v>2230</v>
      </c>
      <c r="G206" s="545" t="e">
        <f>VLOOKUP(B:B,Weight_Table!A:B,2,FALSE)</f>
        <v>#N/A</v>
      </c>
    </row>
    <row r="207" spans="1:7" ht="14.25">
      <c r="A207" s="1363">
        <v>203</v>
      </c>
      <c r="B207" s="1364" t="s">
        <v>2229</v>
      </c>
      <c r="C207" s="1365" t="s">
        <v>927</v>
      </c>
      <c r="D207" s="1368">
        <v>14</v>
      </c>
      <c r="E207" s="1367" t="s">
        <v>954</v>
      </c>
      <c r="F207" s="1365" t="s">
        <v>2231</v>
      </c>
      <c r="G207" s="545" t="e">
        <f>VLOOKUP(B:B,Weight_Table!A:B,2,FALSE)</f>
        <v>#N/A</v>
      </c>
    </row>
    <row r="208" spans="1:7" ht="14.25">
      <c r="A208" s="1363">
        <v>204</v>
      </c>
      <c r="B208" s="1399" t="s">
        <v>933</v>
      </c>
      <c r="C208" s="1365" t="s">
        <v>934</v>
      </c>
      <c r="D208" s="1400">
        <v>0.72</v>
      </c>
      <c r="E208" s="1367" t="s">
        <v>928</v>
      </c>
      <c r="F208" s="1365" t="s">
        <v>935</v>
      </c>
      <c r="G208" s="545">
        <f>VLOOKUP(B:B,Weight_Table!A:B,2,FALSE)</f>
        <v>7.0000000000000007E-2</v>
      </c>
    </row>
    <row r="209" spans="1:7" ht="14.25">
      <c r="A209" s="1363">
        <v>205</v>
      </c>
      <c r="B209" s="1399" t="s">
        <v>930</v>
      </c>
      <c r="C209" s="1365" t="s">
        <v>931</v>
      </c>
      <c r="D209" s="1400">
        <v>2.2000000000000002</v>
      </c>
      <c r="E209" s="1367" t="s">
        <v>928</v>
      </c>
      <c r="F209" s="1365" t="s">
        <v>932</v>
      </c>
      <c r="G209" s="545">
        <f>VLOOKUP(B:B,Weight_Table!A:B,2,FALSE)</f>
        <v>6.6600000000000006E-2</v>
      </c>
    </row>
    <row r="210" spans="1:7" ht="14.25">
      <c r="A210" s="1363">
        <v>206</v>
      </c>
      <c r="B210" s="1364" t="s">
        <v>926</v>
      </c>
      <c r="C210" s="1365" t="s">
        <v>927</v>
      </c>
      <c r="D210" s="1368">
        <v>2.2000000000000002</v>
      </c>
      <c r="E210" s="1367" t="s">
        <v>928</v>
      </c>
      <c r="F210" s="1365" t="s">
        <v>929</v>
      </c>
      <c r="G210" s="545">
        <f>VLOOKUP(B:B,Weight_Table!A:B,2,FALSE)</f>
        <v>6.83E-2</v>
      </c>
    </row>
    <row r="211" spans="1:7" ht="14.25">
      <c r="A211" s="1363">
        <v>207</v>
      </c>
      <c r="B211" s="1364" t="s">
        <v>989</v>
      </c>
      <c r="C211" s="1365" t="s">
        <v>990</v>
      </c>
      <c r="D211" s="1368">
        <v>28.7</v>
      </c>
      <c r="E211" s="1367" t="s">
        <v>991</v>
      </c>
      <c r="F211" s="1365" t="s">
        <v>992</v>
      </c>
      <c r="G211" s="545" t="e">
        <f>VLOOKUP(B:B,Weight_Table!A:B,2,FALSE)</f>
        <v>#N/A</v>
      </c>
    </row>
    <row r="212" spans="1:7" ht="14.25">
      <c r="A212" s="1363">
        <v>208</v>
      </c>
      <c r="B212" s="1399" t="s">
        <v>720</v>
      </c>
      <c r="C212" s="1365" t="s">
        <v>721</v>
      </c>
      <c r="D212" s="1400">
        <v>45</v>
      </c>
      <c r="E212" s="1367" t="s">
        <v>722</v>
      </c>
      <c r="F212" s="1365" t="s">
        <v>723</v>
      </c>
      <c r="G212" s="545">
        <f>VLOOKUP(B:B,Weight_Table!A:B,2,FALSE)</f>
        <v>0.78</v>
      </c>
    </row>
    <row r="213" spans="1:7" ht="14.25">
      <c r="A213" s="1363">
        <v>209</v>
      </c>
      <c r="B213" s="1364" t="s">
        <v>717</v>
      </c>
      <c r="C213" s="1365" t="s">
        <v>338</v>
      </c>
      <c r="D213" s="1368">
        <v>45</v>
      </c>
      <c r="E213" s="1367" t="s">
        <v>718</v>
      </c>
      <c r="F213" s="1365" t="s">
        <v>719</v>
      </c>
      <c r="G213" s="545">
        <f>VLOOKUP(B:B,Weight_Table!A:B,2,FALSE)</f>
        <v>0.78</v>
      </c>
    </row>
    <row r="214" spans="1:7" ht="14.25">
      <c r="A214" s="1363">
        <v>210</v>
      </c>
      <c r="B214" s="1399" t="s">
        <v>602</v>
      </c>
      <c r="C214" s="1365" t="s">
        <v>603</v>
      </c>
      <c r="D214" s="1400">
        <v>15</v>
      </c>
      <c r="E214" s="1367" t="s">
        <v>604</v>
      </c>
      <c r="F214" s="1365" t="s">
        <v>594</v>
      </c>
      <c r="G214" s="545">
        <f>VLOOKUP(B:B,Weight_Table!A:B,2,FALSE)</f>
        <v>0.74</v>
      </c>
    </row>
    <row r="215" spans="1:7" ht="14.25">
      <c r="A215" s="1363">
        <v>211</v>
      </c>
      <c r="B215" s="1399" t="s">
        <v>598</v>
      </c>
      <c r="C215" s="1365" t="s">
        <v>599</v>
      </c>
      <c r="D215" s="1400">
        <v>16</v>
      </c>
      <c r="E215" s="1367" t="s">
        <v>600</v>
      </c>
      <c r="F215" s="1365" t="s">
        <v>601</v>
      </c>
      <c r="G215" s="545">
        <f>VLOOKUP(B:B,Weight_Table!A:B,2,FALSE)</f>
        <v>0.35</v>
      </c>
    </row>
    <row r="216" spans="1:7" ht="14.25">
      <c r="A216" s="1363">
        <v>212</v>
      </c>
      <c r="B216" s="1399" t="s">
        <v>597</v>
      </c>
      <c r="C216" s="1365" t="s">
        <v>592</v>
      </c>
      <c r="D216" s="1400">
        <v>16</v>
      </c>
      <c r="E216" s="1367" t="s">
        <v>596</v>
      </c>
      <c r="F216" s="1365" t="s">
        <v>594</v>
      </c>
      <c r="G216" s="545" t="e">
        <f>VLOOKUP(B:B,Weight_Table!A:B,2,FALSE)</f>
        <v>#N/A</v>
      </c>
    </row>
    <row r="217" spans="1:7" ht="14.25">
      <c r="A217" s="1363">
        <v>213</v>
      </c>
      <c r="B217" s="1399" t="s">
        <v>595</v>
      </c>
      <c r="C217" s="1365" t="s">
        <v>592</v>
      </c>
      <c r="D217" s="1400">
        <v>16</v>
      </c>
      <c r="E217" s="1367" t="s">
        <v>596</v>
      </c>
      <c r="F217" s="1365" t="s">
        <v>594</v>
      </c>
      <c r="G217" s="545" t="e">
        <f>VLOOKUP(B:B,Weight_Table!A:B,2,FALSE)</f>
        <v>#N/A</v>
      </c>
    </row>
    <row r="218" spans="1:7">
      <c r="A218" s="1363">
        <v>214</v>
      </c>
      <c r="B218" s="1399" t="s">
        <v>863</v>
      </c>
      <c r="C218" s="1370" t="s">
        <v>864</v>
      </c>
      <c r="D218" s="1400">
        <v>16</v>
      </c>
      <c r="E218" s="1367" t="s">
        <v>865</v>
      </c>
      <c r="F218" s="1370" t="s">
        <v>866</v>
      </c>
      <c r="G218" s="545">
        <f>VLOOKUP(B:B,Weight_Table!A:B,2,FALSE)</f>
        <v>0.54</v>
      </c>
    </row>
    <row r="219" spans="1:7" ht="14.25">
      <c r="A219" s="1363">
        <v>215</v>
      </c>
      <c r="B219" s="1399" t="s">
        <v>591</v>
      </c>
      <c r="C219" s="1365" t="s">
        <v>592</v>
      </c>
      <c r="D219" s="1400">
        <v>16</v>
      </c>
      <c r="E219" s="1367" t="s">
        <v>593</v>
      </c>
      <c r="F219" s="1365" t="s">
        <v>594</v>
      </c>
      <c r="G219" s="545" t="e">
        <f>VLOOKUP(B:B,Weight_Table!A:B,2,FALSE)</f>
        <v>#N/A</v>
      </c>
    </row>
    <row r="220" spans="1:7" ht="14.25">
      <c r="A220" s="1363">
        <v>216</v>
      </c>
      <c r="B220" s="1399" t="s">
        <v>607</v>
      </c>
      <c r="C220" s="1365" t="s">
        <v>603</v>
      </c>
      <c r="D220" s="1400">
        <v>16</v>
      </c>
      <c r="E220" s="1367" t="s">
        <v>608</v>
      </c>
      <c r="F220" s="1365" t="s">
        <v>594</v>
      </c>
      <c r="G220" s="545" t="e">
        <f>VLOOKUP(B:B,Weight_Table!A:B,2,FALSE)</f>
        <v>#N/A</v>
      </c>
    </row>
    <row r="221" spans="1:7" ht="14.25">
      <c r="A221" s="1363">
        <v>217</v>
      </c>
      <c r="B221" s="1399" t="s">
        <v>605</v>
      </c>
      <c r="C221" s="1365" t="s">
        <v>603</v>
      </c>
      <c r="D221" s="1400">
        <v>15</v>
      </c>
      <c r="E221" s="1367" t="s">
        <v>606</v>
      </c>
      <c r="F221" s="1365" t="s">
        <v>594</v>
      </c>
      <c r="G221" s="545">
        <f>VLOOKUP(B:B,Weight_Table!A:B,2,FALSE)</f>
        <v>1.06</v>
      </c>
    </row>
    <row r="222" spans="1:7" ht="14.25">
      <c r="A222" s="1363">
        <v>218</v>
      </c>
      <c r="B222" s="1399" t="s">
        <v>1001</v>
      </c>
      <c r="C222" s="1365" t="s">
        <v>998</v>
      </c>
      <c r="D222" s="1400">
        <v>53</v>
      </c>
      <c r="E222" s="1367" t="s">
        <v>1002</v>
      </c>
      <c r="F222" s="1365" t="s">
        <v>1000</v>
      </c>
      <c r="G222" s="545" t="e">
        <f>VLOOKUP(B:B,Weight_Table!A:B,2,FALSE)</f>
        <v>#N/A</v>
      </c>
    </row>
    <row r="223" spans="1:7" ht="14.25">
      <c r="A223" s="1363">
        <v>219</v>
      </c>
      <c r="B223" s="1399" t="s">
        <v>997</v>
      </c>
      <c r="C223" s="1365" t="s">
        <v>998</v>
      </c>
      <c r="D223" s="1400">
        <v>20</v>
      </c>
      <c r="E223" s="1367" t="s">
        <v>999</v>
      </c>
      <c r="F223" s="1365" t="s">
        <v>1000</v>
      </c>
      <c r="G223" s="545" t="e">
        <f>VLOOKUP(B:B,Weight_Table!A:B,2,FALSE)</f>
        <v>#N/A</v>
      </c>
    </row>
    <row r="224" spans="1:7" ht="14.25">
      <c r="A224" s="1363">
        <v>220</v>
      </c>
      <c r="B224" s="1364" t="s">
        <v>1206</v>
      </c>
      <c r="C224" s="1365" t="s">
        <v>344</v>
      </c>
      <c r="D224" s="1368">
        <v>133</v>
      </c>
      <c r="E224" s="1367" t="s">
        <v>862</v>
      </c>
      <c r="F224" s="1365" t="s">
        <v>841</v>
      </c>
      <c r="G224" s="959">
        <f>ROUNDUP(PI()*6.35^2*5000*7.87/1000000,2)</f>
        <v>4.99</v>
      </c>
    </row>
    <row r="225" spans="1:7" ht="14.25">
      <c r="A225" s="1363">
        <v>221</v>
      </c>
      <c r="B225" s="1364" t="s">
        <v>1205</v>
      </c>
      <c r="C225" s="1365" t="s">
        <v>343</v>
      </c>
      <c r="D225" s="1368">
        <v>133</v>
      </c>
      <c r="E225" s="1367" t="s">
        <v>862</v>
      </c>
      <c r="F225" s="1365" t="s">
        <v>840</v>
      </c>
      <c r="G225" s="959">
        <f>ROUNDUP(PI()*6.35^2*5000*7.87/1000000,2)</f>
        <v>4.99</v>
      </c>
    </row>
    <row r="226" spans="1:7" ht="14.25">
      <c r="A226" s="1363">
        <v>222</v>
      </c>
      <c r="B226" s="1364" t="s">
        <v>1204</v>
      </c>
      <c r="C226" s="1365" t="s">
        <v>344</v>
      </c>
      <c r="D226" s="1368">
        <v>130</v>
      </c>
      <c r="E226" s="1367" t="s">
        <v>861</v>
      </c>
      <c r="F226" s="1365" t="s">
        <v>841</v>
      </c>
      <c r="G226" s="959">
        <f>ROUNDUP(PI()*6.35^2*4880*7.87/1000000,2)</f>
        <v>4.87</v>
      </c>
    </row>
    <row r="227" spans="1:7" ht="14.25">
      <c r="A227" s="1363">
        <v>223</v>
      </c>
      <c r="B227" s="1364" t="s">
        <v>1203</v>
      </c>
      <c r="C227" s="1365" t="s">
        <v>343</v>
      </c>
      <c r="D227" s="1368">
        <v>130</v>
      </c>
      <c r="E227" s="1367" t="s">
        <v>861</v>
      </c>
      <c r="F227" s="1365" t="s">
        <v>840</v>
      </c>
      <c r="G227" s="959">
        <f>ROUNDUP(PI()*6.35^2*4880*7.87/1000000,2)</f>
        <v>4.87</v>
      </c>
    </row>
    <row r="228" spans="1:7" ht="14.25">
      <c r="A228" s="1363">
        <v>224</v>
      </c>
      <c r="B228" s="1364" t="s">
        <v>1202</v>
      </c>
      <c r="C228" s="1365" t="s">
        <v>344</v>
      </c>
      <c r="D228" s="1368">
        <v>130</v>
      </c>
      <c r="E228" s="1367" t="s">
        <v>860</v>
      </c>
      <c r="F228" s="1365" t="s">
        <v>813</v>
      </c>
      <c r="G228" s="959">
        <f>ROUNDUP(PI()*6.35^2*4780*7.87/1000000,2)</f>
        <v>4.7699999999999996</v>
      </c>
    </row>
    <row r="229" spans="1:7" ht="14.25">
      <c r="A229" s="1363">
        <v>225</v>
      </c>
      <c r="B229" s="1364" t="s">
        <v>1201</v>
      </c>
      <c r="C229" s="1365" t="s">
        <v>343</v>
      </c>
      <c r="D229" s="1368">
        <v>130</v>
      </c>
      <c r="E229" s="1367" t="s">
        <v>860</v>
      </c>
      <c r="F229" s="1365" t="s">
        <v>812</v>
      </c>
      <c r="G229" s="959">
        <f>ROUNDUP(PI()*6.35^2*4780*7.87/1000000,2)</f>
        <v>4.7699999999999996</v>
      </c>
    </row>
    <row r="230" spans="1:7" ht="14.25">
      <c r="A230" s="1363">
        <v>226</v>
      </c>
      <c r="B230" s="1364" t="s">
        <v>1200</v>
      </c>
      <c r="C230" s="1365" t="s">
        <v>344</v>
      </c>
      <c r="D230" s="1403">
        <v>120</v>
      </c>
      <c r="E230" s="1367" t="s">
        <v>859</v>
      </c>
      <c r="F230" s="1365" t="s">
        <v>841</v>
      </c>
      <c r="G230" s="959">
        <f>ROUNDUP(PI()*6.35^2*4380*7.87/1000000,2)</f>
        <v>4.37</v>
      </c>
    </row>
    <row r="231" spans="1:7" ht="14.25">
      <c r="A231" s="1363">
        <v>227</v>
      </c>
      <c r="B231" s="1364" t="s">
        <v>1199</v>
      </c>
      <c r="C231" s="1365" t="s">
        <v>343</v>
      </c>
      <c r="D231" s="1368">
        <v>120</v>
      </c>
      <c r="E231" s="1367" t="s">
        <v>859</v>
      </c>
      <c r="F231" s="1365" t="s">
        <v>840</v>
      </c>
      <c r="G231" s="959">
        <f>ROUNDUP(PI()*6.35^2*4380*7.87/1000000,2)</f>
        <v>4.37</v>
      </c>
    </row>
    <row r="232" spans="1:7" ht="14.25">
      <c r="A232" s="1363">
        <v>228</v>
      </c>
      <c r="B232" s="1364" t="s">
        <v>1198</v>
      </c>
      <c r="C232" s="1365" t="s">
        <v>344</v>
      </c>
      <c r="D232" s="1368">
        <v>120</v>
      </c>
      <c r="E232" s="1367" t="s">
        <v>858</v>
      </c>
      <c r="F232" s="1365" t="s">
        <v>813</v>
      </c>
      <c r="G232" s="959">
        <f>ROUNDUP(PI()*6.35^2*4280*7.87/1000000,2)</f>
        <v>4.2699999999999996</v>
      </c>
    </row>
    <row r="233" spans="1:7" ht="14.25">
      <c r="A233" s="1363">
        <v>229</v>
      </c>
      <c r="B233" s="1364" t="s">
        <v>1197</v>
      </c>
      <c r="C233" s="1365" t="s">
        <v>343</v>
      </c>
      <c r="D233" s="1368">
        <v>120</v>
      </c>
      <c r="E233" s="1367" t="s">
        <v>858</v>
      </c>
      <c r="F233" s="1365" t="s">
        <v>812</v>
      </c>
      <c r="G233" s="959">
        <f>ROUNDUP(PI()*6.35^2*4280*7.87/1000000,2)</f>
        <v>4.2699999999999996</v>
      </c>
    </row>
    <row r="234" spans="1:7" ht="14.25">
      <c r="A234" s="1363">
        <v>230</v>
      </c>
      <c r="B234" s="1364" t="s">
        <v>1196</v>
      </c>
      <c r="C234" s="1365" t="s">
        <v>344</v>
      </c>
      <c r="D234" s="1368">
        <v>110</v>
      </c>
      <c r="E234" s="1367" t="s">
        <v>857</v>
      </c>
      <c r="F234" s="1365" t="s">
        <v>841</v>
      </c>
      <c r="G234" s="959">
        <f>ROUNDUP(PI()*6.35^2*4000*7.87/1000000,2)</f>
        <v>3.9899999999999998</v>
      </c>
    </row>
    <row r="235" spans="1:7" ht="14.25">
      <c r="A235" s="1363">
        <v>231</v>
      </c>
      <c r="B235" s="1364" t="s">
        <v>1195</v>
      </c>
      <c r="C235" s="1365" t="s">
        <v>343</v>
      </c>
      <c r="D235" s="1368">
        <v>110</v>
      </c>
      <c r="E235" s="1367" t="s">
        <v>857</v>
      </c>
      <c r="F235" s="1365" t="s">
        <v>840</v>
      </c>
      <c r="G235" s="959">
        <f>ROUNDUP(PI()*6.35^2*4000*7.87/1000000,2)</f>
        <v>3.9899999999999998</v>
      </c>
    </row>
    <row r="236" spans="1:7" ht="14.25">
      <c r="A236" s="1363">
        <v>232</v>
      </c>
      <c r="B236" s="1364" t="s">
        <v>1194</v>
      </c>
      <c r="C236" s="1365" t="s">
        <v>344</v>
      </c>
      <c r="D236" s="1368">
        <v>105</v>
      </c>
      <c r="E236" s="1367" t="s">
        <v>856</v>
      </c>
      <c r="F236" s="1365" t="s">
        <v>841</v>
      </c>
      <c r="G236" s="959">
        <f>ROUNDUP(PI()*6.35^2*3880*7.87/1000000,2)</f>
        <v>3.8699999999999997</v>
      </c>
    </row>
    <row r="237" spans="1:7" ht="14.25">
      <c r="A237" s="1363">
        <v>233</v>
      </c>
      <c r="B237" s="1364" t="s">
        <v>1193</v>
      </c>
      <c r="C237" s="1365" t="s">
        <v>343</v>
      </c>
      <c r="D237" s="1368">
        <v>105</v>
      </c>
      <c r="E237" s="1367" t="s">
        <v>856</v>
      </c>
      <c r="F237" s="1365" t="s">
        <v>840</v>
      </c>
      <c r="G237" s="959">
        <f>ROUNDUP(PI()*6.35^2*3880*7.87/1000000,2)</f>
        <v>3.8699999999999997</v>
      </c>
    </row>
    <row r="238" spans="1:7" ht="14.25">
      <c r="A238" s="1363">
        <v>234</v>
      </c>
      <c r="B238" s="1364" t="s">
        <v>1192</v>
      </c>
      <c r="C238" s="1365" t="s">
        <v>344</v>
      </c>
      <c r="D238" s="1368">
        <v>105</v>
      </c>
      <c r="E238" s="1367" t="s">
        <v>855</v>
      </c>
      <c r="F238" s="1365" t="s">
        <v>813</v>
      </c>
      <c r="G238" s="959">
        <f>ROUNDUP(PI()*6.35^2*3780*7.87/1000000,2)</f>
        <v>3.7699999999999996</v>
      </c>
    </row>
    <row r="239" spans="1:7" ht="14.25">
      <c r="A239" s="1363">
        <v>235</v>
      </c>
      <c r="B239" s="1364" t="s">
        <v>1191</v>
      </c>
      <c r="C239" s="1365" t="s">
        <v>343</v>
      </c>
      <c r="D239" s="1368">
        <v>105</v>
      </c>
      <c r="E239" s="1367" t="s">
        <v>855</v>
      </c>
      <c r="F239" s="1365" t="s">
        <v>812</v>
      </c>
      <c r="G239" s="959">
        <f>ROUNDUP(PI()*6.35^2*3780*7.87/1000000,2)</f>
        <v>3.7699999999999996</v>
      </c>
    </row>
    <row r="240" spans="1:7" ht="14.25">
      <c r="A240" s="1363">
        <v>236</v>
      </c>
      <c r="B240" s="1364" t="s">
        <v>1190</v>
      </c>
      <c r="C240" s="1365" t="s">
        <v>344</v>
      </c>
      <c r="D240" s="1368">
        <v>95</v>
      </c>
      <c r="E240" s="1367" t="s">
        <v>854</v>
      </c>
      <c r="F240" s="1365" t="s">
        <v>841</v>
      </c>
      <c r="G240" s="959">
        <f>ROUNDUP(PI()*6.35^2*3380*7.87/1000000,2)</f>
        <v>3.3699999999999997</v>
      </c>
    </row>
    <row r="241" spans="1:7" ht="14.25">
      <c r="A241" s="1363">
        <v>237</v>
      </c>
      <c r="B241" s="1364" t="s">
        <v>1189</v>
      </c>
      <c r="C241" s="1365" t="s">
        <v>343</v>
      </c>
      <c r="D241" s="1368">
        <v>95</v>
      </c>
      <c r="E241" s="1367" t="s">
        <v>854</v>
      </c>
      <c r="F241" s="1365" t="s">
        <v>840</v>
      </c>
      <c r="G241" s="959">
        <f>ROUNDUP(PI()*6.35^2*3380*7.87/1000000,2)</f>
        <v>3.3699999999999997</v>
      </c>
    </row>
    <row r="242" spans="1:7" ht="14.25">
      <c r="A242" s="1363">
        <v>238</v>
      </c>
      <c r="B242" s="1364" t="s">
        <v>1188</v>
      </c>
      <c r="C242" s="1365" t="s">
        <v>344</v>
      </c>
      <c r="D242" s="1368">
        <v>95</v>
      </c>
      <c r="E242" s="1367" t="s">
        <v>853</v>
      </c>
      <c r="F242" s="1365" t="s">
        <v>813</v>
      </c>
      <c r="G242" s="959">
        <f>ROUNDUP(PI()*6.35^2*3280*7.87/1000000,2)</f>
        <v>3.2699999999999996</v>
      </c>
    </row>
    <row r="243" spans="1:7" ht="14.25">
      <c r="A243" s="1363">
        <v>239</v>
      </c>
      <c r="B243" s="1364" t="s">
        <v>1187</v>
      </c>
      <c r="C243" s="1365" t="s">
        <v>343</v>
      </c>
      <c r="D243" s="1368">
        <v>95</v>
      </c>
      <c r="E243" s="1367" t="s">
        <v>853</v>
      </c>
      <c r="F243" s="1365" t="s">
        <v>812</v>
      </c>
      <c r="G243" s="959">
        <f>ROUNDUP(PI()*6.35^2*3280*7.87/1000000,2)</f>
        <v>3.2699999999999996</v>
      </c>
    </row>
    <row r="244" spans="1:7" ht="14.25">
      <c r="A244" s="1363">
        <v>240</v>
      </c>
      <c r="B244" s="1364" t="s">
        <v>1186</v>
      </c>
      <c r="C244" s="1365" t="s">
        <v>344</v>
      </c>
      <c r="D244" s="1368">
        <v>81</v>
      </c>
      <c r="E244" s="1367" t="s">
        <v>852</v>
      </c>
      <c r="F244" s="1365" t="s">
        <v>841</v>
      </c>
      <c r="G244" s="959">
        <f>ROUNDUP(PI()*6.35^2*3000*7.87/1000000,2)</f>
        <v>3</v>
      </c>
    </row>
    <row r="245" spans="1:7" ht="14.25">
      <c r="A245" s="1363">
        <v>241</v>
      </c>
      <c r="B245" s="1364" t="s">
        <v>1185</v>
      </c>
      <c r="C245" s="1365" t="s">
        <v>343</v>
      </c>
      <c r="D245" s="1368">
        <v>81</v>
      </c>
      <c r="E245" s="1367" t="s">
        <v>852</v>
      </c>
      <c r="F245" s="1365" t="s">
        <v>840</v>
      </c>
      <c r="G245" s="959">
        <f>ROUNDUP(PI()*6.35^2*3000*7.87/1000000,2)</f>
        <v>3</v>
      </c>
    </row>
    <row r="246" spans="1:7" ht="14.25">
      <c r="A246" s="1363">
        <v>242</v>
      </c>
      <c r="B246" s="1364" t="s">
        <v>1184</v>
      </c>
      <c r="C246" s="1365" t="s">
        <v>344</v>
      </c>
      <c r="D246" s="1368">
        <v>77</v>
      </c>
      <c r="E246" s="1367" t="s">
        <v>851</v>
      </c>
      <c r="F246" s="1365" t="s">
        <v>841</v>
      </c>
      <c r="G246" s="959">
        <f>ROUNDUP(PI()*6.35^2*2880*7.87/1000000,2)</f>
        <v>2.88</v>
      </c>
    </row>
    <row r="247" spans="1:7" ht="14.25">
      <c r="A247" s="1363">
        <v>243</v>
      </c>
      <c r="B247" s="1364" t="s">
        <v>1183</v>
      </c>
      <c r="C247" s="1365" t="s">
        <v>343</v>
      </c>
      <c r="D247" s="1368">
        <v>77</v>
      </c>
      <c r="E247" s="1367" t="s">
        <v>851</v>
      </c>
      <c r="F247" s="1365" t="s">
        <v>840</v>
      </c>
      <c r="G247" s="959">
        <f>ROUNDUP(PI()*6.35^2*2880*7.87/1000000,2)</f>
        <v>2.88</v>
      </c>
    </row>
    <row r="248" spans="1:7" ht="14.25">
      <c r="A248" s="1363">
        <v>244</v>
      </c>
      <c r="B248" s="1364" t="s">
        <v>1182</v>
      </c>
      <c r="C248" s="1365" t="s">
        <v>344</v>
      </c>
      <c r="D248" s="1368">
        <v>77</v>
      </c>
      <c r="E248" s="1367" t="s">
        <v>850</v>
      </c>
      <c r="F248" s="1365" t="s">
        <v>813</v>
      </c>
      <c r="G248" s="959">
        <f>ROUNDUP(PI()*6.35^2*2780*7.87/1000000,2)</f>
        <v>2.78</v>
      </c>
    </row>
    <row r="249" spans="1:7" ht="14.25">
      <c r="A249" s="1363">
        <v>245</v>
      </c>
      <c r="B249" s="1364" t="s">
        <v>1181</v>
      </c>
      <c r="C249" s="1365" t="s">
        <v>343</v>
      </c>
      <c r="D249" s="1368">
        <v>77</v>
      </c>
      <c r="E249" s="1367" t="s">
        <v>850</v>
      </c>
      <c r="F249" s="1365" t="s">
        <v>812</v>
      </c>
      <c r="G249" s="959">
        <f>ROUNDUP(PI()*6.35^2*2780*7.87/1000000,2)</f>
        <v>2.78</v>
      </c>
    </row>
    <row r="250" spans="1:7" ht="14.25">
      <c r="A250" s="1363">
        <v>246</v>
      </c>
      <c r="B250" s="1364" t="s">
        <v>1180</v>
      </c>
      <c r="C250" s="1365" t="s">
        <v>344</v>
      </c>
      <c r="D250" s="1368">
        <v>63</v>
      </c>
      <c r="E250" s="1367" t="s">
        <v>849</v>
      </c>
      <c r="F250" s="1365" t="s">
        <v>841</v>
      </c>
      <c r="G250" s="959">
        <f>ROUNDUP(PI()*6.35^2*2380*7.87/1000000,2)</f>
        <v>2.38</v>
      </c>
    </row>
    <row r="251" spans="1:7" ht="14.25">
      <c r="A251" s="1363">
        <v>247</v>
      </c>
      <c r="B251" s="1364" t="s">
        <v>1179</v>
      </c>
      <c r="C251" s="1365" t="s">
        <v>343</v>
      </c>
      <c r="D251" s="1368">
        <v>63</v>
      </c>
      <c r="E251" s="1367" t="s">
        <v>849</v>
      </c>
      <c r="F251" s="1365" t="s">
        <v>840</v>
      </c>
      <c r="G251" s="959">
        <f>ROUNDUP(PI()*6.35^2*2380*7.87/1000000,2)</f>
        <v>2.38</v>
      </c>
    </row>
    <row r="252" spans="1:7" ht="14.25">
      <c r="A252" s="1363">
        <v>248</v>
      </c>
      <c r="B252" s="1364" t="s">
        <v>1178</v>
      </c>
      <c r="C252" s="1365" t="s">
        <v>344</v>
      </c>
      <c r="D252" s="1368">
        <v>63</v>
      </c>
      <c r="E252" s="1367" t="s">
        <v>848</v>
      </c>
      <c r="F252" s="1365" t="s">
        <v>813</v>
      </c>
      <c r="G252" s="959">
        <f>ROUNDUP(PI()*6.35^2*2280*7.87/1000000,2)</f>
        <v>2.2799999999999998</v>
      </c>
    </row>
    <row r="253" spans="1:7" ht="14.25">
      <c r="A253" s="1363">
        <v>249</v>
      </c>
      <c r="B253" s="1364" t="s">
        <v>1177</v>
      </c>
      <c r="C253" s="1365" t="s">
        <v>343</v>
      </c>
      <c r="D253" s="1368">
        <v>63</v>
      </c>
      <c r="E253" s="1367" t="s">
        <v>848</v>
      </c>
      <c r="F253" s="1365" t="s">
        <v>812</v>
      </c>
      <c r="G253" s="959">
        <f>ROUNDUP(PI()*6.35^2*2280*7.87/1000000,2)</f>
        <v>2.2799999999999998</v>
      </c>
    </row>
    <row r="254" spans="1:7" ht="14.25">
      <c r="A254" s="1363">
        <v>250</v>
      </c>
      <c r="B254" s="1364" t="s">
        <v>1176</v>
      </c>
      <c r="C254" s="1365" t="s">
        <v>344</v>
      </c>
      <c r="D254" s="1368">
        <v>57</v>
      </c>
      <c r="E254" s="1367" t="s">
        <v>847</v>
      </c>
      <c r="F254" s="1365" t="s">
        <v>841</v>
      </c>
      <c r="G254" s="959">
        <f>ROUNDUP(PI()*6.35^2*2000*7.87/1000000,2)</f>
        <v>2</v>
      </c>
    </row>
    <row r="255" spans="1:7" ht="14.25">
      <c r="A255" s="1363">
        <v>251</v>
      </c>
      <c r="B255" s="1364" t="s">
        <v>1175</v>
      </c>
      <c r="C255" s="1365" t="s">
        <v>343</v>
      </c>
      <c r="D255" s="1368">
        <v>57</v>
      </c>
      <c r="E255" s="1367" t="s">
        <v>847</v>
      </c>
      <c r="F255" s="1365" t="s">
        <v>840</v>
      </c>
      <c r="G255" s="959">
        <f>ROUNDUP(PI()*6.35^2*2000*7.87/1000000,2)</f>
        <v>2</v>
      </c>
    </row>
    <row r="256" spans="1:7" ht="14.25">
      <c r="A256" s="1363">
        <v>252</v>
      </c>
      <c r="B256" s="1364" t="s">
        <v>1174</v>
      </c>
      <c r="C256" s="1365" t="s">
        <v>344</v>
      </c>
      <c r="D256" s="1368">
        <v>57</v>
      </c>
      <c r="E256" s="1367" t="s">
        <v>846</v>
      </c>
      <c r="F256" s="1365" t="s">
        <v>841</v>
      </c>
      <c r="G256" s="959">
        <f>ROUNDUP(PI()*6.35^2*1880*7.87/1000000,2)</f>
        <v>1.8800000000000001</v>
      </c>
    </row>
    <row r="257" spans="1:8" ht="14.25">
      <c r="A257" s="1363">
        <v>253</v>
      </c>
      <c r="B257" s="1364" t="s">
        <v>1173</v>
      </c>
      <c r="C257" s="1365" t="s">
        <v>343</v>
      </c>
      <c r="D257" s="1368">
        <v>57</v>
      </c>
      <c r="E257" s="1367" t="s">
        <v>846</v>
      </c>
      <c r="F257" s="1365" t="s">
        <v>840</v>
      </c>
      <c r="G257" s="959">
        <f>ROUNDUP(PI()*6.35^2*1880*7.87/1000000,2)</f>
        <v>1.8800000000000001</v>
      </c>
    </row>
    <row r="258" spans="1:8" ht="14.25">
      <c r="A258" s="1363">
        <v>254</v>
      </c>
      <c r="B258" s="1364" t="s">
        <v>1172</v>
      </c>
      <c r="C258" s="1365" t="s">
        <v>344</v>
      </c>
      <c r="D258" s="1368">
        <v>57</v>
      </c>
      <c r="E258" s="1367" t="s">
        <v>845</v>
      </c>
      <c r="F258" s="1365" t="s">
        <v>813</v>
      </c>
      <c r="G258" s="959">
        <f>ROUNDUP(PI()*6.35^2*1880*7.87/1000000,2)</f>
        <v>1.8800000000000001</v>
      </c>
    </row>
    <row r="259" spans="1:8" ht="14.25">
      <c r="A259" s="1363">
        <v>255</v>
      </c>
      <c r="B259" s="1364" t="s">
        <v>1171</v>
      </c>
      <c r="C259" s="1365" t="s">
        <v>343</v>
      </c>
      <c r="D259" s="1368">
        <v>57</v>
      </c>
      <c r="E259" s="1367" t="s">
        <v>845</v>
      </c>
      <c r="F259" s="1365" t="s">
        <v>812</v>
      </c>
      <c r="G259" s="959">
        <f>ROUNDUP(PI()*6.35^2*1780*7.87/1000000,2)</f>
        <v>1.78</v>
      </c>
    </row>
    <row r="260" spans="1:8" ht="14.25">
      <c r="A260" s="1363">
        <v>256</v>
      </c>
      <c r="B260" s="1364" t="s">
        <v>1170</v>
      </c>
      <c r="C260" s="1365" t="s">
        <v>344</v>
      </c>
      <c r="D260" s="1368">
        <v>43</v>
      </c>
      <c r="E260" s="1367" t="s">
        <v>844</v>
      </c>
      <c r="F260" s="1365" t="s">
        <v>841</v>
      </c>
      <c r="G260" s="959">
        <f>ROUNDUP(PI()*6.35^2*1380*7.87/1000000,2)</f>
        <v>1.3800000000000001</v>
      </c>
    </row>
    <row r="261" spans="1:8" ht="14.25">
      <c r="A261" s="1363">
        <v>257</v>
      </c>
      <c r="B261" s="1364" t="s">
        <v>1169</v>
      </c>
      <c r="C261" s="1365" t="s">
        <v>343</v>
      </c>
      <c r="D261" s="1368">
        <v>43</v>
      </c>
      <c r="E261" s="1367" t="s">
        <v>844</v>
      </c>
      <c r="F261" s="1365" t="s">
        <v>840</v>
      </c>
      <c r="G261" s="959">
        <f>ROUNDUP(PI()*6.35^2*1380*7.87/1000000,2)</f>
        <v>1.3800000000000001</v>
      </c>
    </row>
    <row r="262" spans="1:8" ht="14.25">
      <c r="A262" s="1363">
        <v>258</v>
      </c>
      <c r="B262" s="1364" t="s">
        <v>1168</v>
      </c>
      <c r="C262" s="1365" t="s">
        <v>344</v>
      </c>
      <c r="D262" s="1368">
        <v>43</v>
      </c>
      <c r="E262" s="1367" t="s">
        <v>843</v>
      </c>
      <c r="F262" s="1365" t="s">
        <v>813</v>
      </c>
      <c r="G262" s="959">
        <f>ROUNDUP(PI()*6.35^2*1280*7.87/1000000,2)</f>
        <v>1.28</v>
      </c>
    </row>
    <row r="263" spans="1:8" ht="14.25">
      <c r="A263" s="1363">
        <v>259</v>
      </c>
      <c r="B263" s="1364" t="s">
        <v>1167</v>
      </c>
      <c r="C263" s="1365" t="s">
        <v>343</v>
      </c>
      <c r="D263" s="1368">
        <v>43</v>
      </c>
      <c r="E263" s="1367" t="s">
        <v>843</v>
      </c>
      <c r="F263" s="1365" t="s">
        <v>812</v>
      </c>
      <c r="G263" s="959">
        <f>ROUNDUP(PI()*6.35^2*1280*7.87/1000000,2)</f>
        <v>1.28</v>
      </c>
    </row>
    <row r="264" spans="1:8" ht="14.25">
      <c r="A264" s="1363">
        <v>260</v>
      </c>
      <c r="B264" s="1364" t="s">
        <v>1166</v>
      </c>
      <c r="C264" s="1365" t="s">
        <v>344</v>
      </c>
      <c r="D264" s="1368">
        <v>35</v>
      </c>
      <c r="E264" s="1367" t="s">
        <v>842</v>
      </c>
      <c r="F264" s="1365" t="s">
        <v>841</v>
      </c>
      <c r="G264" s="959">
        <f>ROUNDUP(PI()*6.35^2*1000*7.87/1000000,2)</f>
        <v>1</v>
      </c>
    </row>
    <row r="265" spans="1:8" ht="14.25">
      <c r="A265" s="1363">
        <v>261</v>
      </c>
      <c r="B265" s="1364" t="s">
        <v>1165</v>
      </c>
      <c r="C265" s="1365" t="s">
        <v>343</v>
      </c>
      <c r="D265" s="1368">
        <v>35</v>
      </c>
      <c r="E265" s="1367" t="s">
        <v>842</v>
      </c>
      <c r="F265" s="1365" t="s">
        <v>840</v>
      </c>
      <c r="G265" s="959">
        <f>ROUNDUP(PI()*6.35^2*1000*7.87/1000000,2)</f>
        <v>1</v>
      </c>
    </row>
    <row r="266" spans="1:8" ht="14.25">
      <c r="A266" s="1363">
        <v>262</v>
      </c>
      <c r="B266" s="1364" t="s">
        <v>1164</v>
      </c>
      <c r="C266" s="1365" t="s">
        <v>344</v>
      </c>
      <c r="D266" s="1368">
        <v>35</v>
      </c>
      <c r="E266" s="1367" t="s">
        <v>839</v>
      </c>
      <c r="F266" s="1365" t="s">
        <v>841</v>
      </c>
      <c r="G266" s="959">
        <f>ROUNDUP(PI()*6.35^2*880*7.87/1000000,2)</f>
        <v>0.88</v>
      </c>
    </row>
    <row r="267" spans="1:8" ht="14.25">
      <c r="A267" s="1363">
        <v>263</v>
      </c>
      <c r="B267" s="1364" t="s">
        <v>1163</v>
      </c>
      <c r="C267" s="1365" t="s">
        <v>343</v>
      </c>
      <c r="D267" s="1368">
        <v>35</v>
      </c>
      <c r="E267" s="1367" t="s">
        <v>839</v>
      </c>
      <c r="F267" s="1365" t="s">
        <v>840</v>
      </c>
      <c r="G267" s="959">
        <f>ROUNDUP(PI()*6.35^2*880*7.87/1000000,2)</f>
        <v>0.88</v>
      </c>
    </row>
    <row r="268" spans="1:8" ht="14.25">
      <c r="A268" s="1363">
        <v>264</v>
      </c>
      <c r="B268" s="1364" t="s">
        <v>1162</v>
      </c>
      <c r="C268" s="1365" t="s">
        <v>344</v>
      </c>
      <c r="D268" s="1368">
        <v>35</v>
      </c>
      <c r="E268" s="1367" t="s">
        <v>838</v>
      </c>
      <c r="F268" s="1365" t="s">
        <v>813</v>
      </c>
      <c r="G268" s="959">
        <f>ROUNDUP(PI()*6.35^2*780*7.87/1000000,2)</f>
        <v>0.78</v>
      </c>
    </row>
    <row r="269" spans="1:8" ht="14.25">
      <c r="A269" s="1363">
        <v>265</v>
      </c>
      <c r="B269" s="1364" t="s">
        <v>1161</v>
      </c>
      <c r="C269" s="1365" t="s">
        <v>343</v>
      </c>
      <c r="D269" s="1368">
        <v>35</v>
      </c>
      <c r="E269" s="1367" t="s">
        <v>838</v>
      </c>
      <c r="F269" s="1365" t="s">
        <v>812</v>
      </c>
      <c r="G269" s="959">
        <f>ROUNDUP(PI()*6.35^2*780*7.87/1000000,2)</f>
        <v>0.78</v>
      </c>
    </row>
    <row r="270" spans="1:8" ht="14.25">
      <c r="A270" s="1363">
        <v>266</v>
      </c>
      <c r="B270" s="1399" t="s">
        <v>1160</v>
      </c>
      <c r="C270" s="1365" t="s">
        <v>344</v>
      </c>
      <c r="D270" s="1400">
        <v>133</v>
      </c>
      <c r="E270" s="1367" t="s">
        <v>837</v>
      </c>
      <c r="F270" s="1365" t="s">
        <v>816</v>
      </c>
      <c r="G270" s="959">
        <f>ROUNDUP(PI()*5.35^2*5000*7.87/1000000,2)</f>
        <v>3.5399999999999996</v>
      </c>
    </row>
    <row r="271" spans="1:8" ht="14.25">
      <c r="A271" s="1363">
        <v>267</v>
      </c>
      <c r="B271" s="1364" t="s">
        <v>1159</v>
      </c>
      <c r="C271" s="1365" t="s">
        <v>343</v>
      </c>
      <c r="D271" s="1368">
        <v>133</v>
      </c>
      <c r="E271" s="1367" t="s">
        <v>837</v>
      </c>
      <c r="F271" s="1365" t="s">
        <v>815</v>
      </c>
      <c r="G271" s="959">
        <f>ROUNDUP(PI()*5.35^2*5000*7.87/1000000,2)</f>
        <v>3.5399999999999996</v>
      </c>
    </row>
    <row r="272" spans="1:8" s="1407" customFormat="1" ht="14.25">
      <c r="A272" s="1401">
        <v>268</v>
      </c>
      <c r="B272" s="1399" t="s">
        <v>1158</v>
      </c>
      <c r="C272" s="1402" t="s">
        <v>344</v>
      </c>
      <c r="D272" s="1400">
        <v>130</v>
      </c>
      <c r="E272" s="1404" t="s">
        <v>836</v>
      </c>
      <c r="F272" s="1402" t="s">
        <v>816</v>
      </c>
      <c r="G272" s="1405">
        <f>ROUNDUP(PI()*5.35^2*4880*7.87/1000000,2)</f>
        <v>3.46</v>
      </c>
      <c r="H272" s="1406"/>
    </row>
    <row r="273" spans="1:7" ht="14.25">
      <c r="A273" s="1363">
        <v>269</v>
      </c>
      <c r="B273" s="1364" t="s">
        <v>1157</v>
      </c>
      <c r="C273" s="1365" t="s">
        <v>343</v>
      </c>
      <c r="D273" s="1368">
        <v>130</v>
      </c>
      <c r="E273" s="1367" t="s">
        <v>836</v>
      </c>
      <c r="F273" s="1365" t="s">
        <v>815</v>
      </c>
      <c r="G273" s="959">
        <f>ROUNDUP(PI()*5.35^2*4880*7.87/1000000,2)</f>
        <v>3.46</v>
      </c>
    </row>
    <row r="274" spans="1:7" ht="14.25">
      <c r="A274" s="1363">
        <v>270</v>
      </c>
      <c r="B274" s="1364" t="s">
        <v>1156</v>
      </c>
      <c r="C274" s="1365" t="s">
        <v>344</v>
      </c>
      <c r="D274" s="1368">
        <v>130</v>
      </c>
      <c r="E274" s="1367" t="s">
        <v>835</v>
      </c>
      <c r="F274" s="1365" t="s">
        <v>813</v>
      </c>
      <c r="G274" s="959">
        <f>ROUNDUP(PI()*5.35^2*4780*7.87/1000000,2)</f>
        <v>3.3899999999999997</v>
      </c>
    </row>
    <row r="275" spans="1:7" ht="14.25">
      <c r="A275" s="1363">
        <v>271</v>
      </c>
      <c r="B275" s="1364" t="s">
        <v>1155</v>
      </c>
      <c r="C275" s="1365" t="s">
        <v>343</v>
      </c>
      <c r="D275" s="1368">
        <v>130</v>
      </c>
      <c r="E275" s="1367" t="s">
        <v>835</v>
      </c>
      <c r="F275" s="1365" t="s">
        <v>812</v>
      </c>
      <c r="G275" s="959">
        <f>ROUNDUP(PI()*5.35^2*4780*7.87/1000000,2)</f>
        <v>3.3899999999999997</v>
      </c>
    </row>
    <row r="276" spans="1:7" ht="14.25">
      <c r="A276" s="1363">
        <v>272</v>
      </c>
      <c r="B276" s="1399" t="s">
        <v>1154</v>
      </c>
      <c r="C276" s="1365" t="s">
        <v>344</v>
      </c>
      <c r="D276" s="1400">
        <v>120</v>
      </c>
      <c r="E276" s="1367" t="s">
        <v>834</v>
      </c>
      <c r="F276" s="1365" t="s">
        <v>816</v>
      </c>
      <c r="G276" s="959">
        <f>ROUNDUP(PI()*5.35^2*4380*7.87/1000000,2)</f>
        <v>3.0999999999999996</v>
      </c>
    </row>
    <row r="277" spans="1:7" ht="14.25">
      <c r="A277" s="1363">
        <v>273</v>
      </c>
      <c r="B277" s="1364" t="s">
        <v>1153</v>
      </c>
      <c r="C277" s="1365" t="s">
        <v>343</v>
      </c>
      <c r="D277" s="1368">
        <v>120</v>
      </c>
      <c r="E277" s="1367" t="s">
        <v>834</v>
      </c>
      <c r="F277" s="1365" t="s">
        <v>815</v>
      </c>
      <c r="G277" s="959">
        <f>ROUNDUP(PI()*5.35^2*4380*7.87/1000000,2)</f>
        <v>3.0999999999999996</v>
      </c>
    </row>
    <row r="278" spans="1:7" ht="14.25">
      <c r="A278" s="1363">
        <v>274</v>
      </c>
      <c r="B278" s="1364" t="s">
        <v>1152</v>
      </c>
      <c r="C278" s="1365" t="s">
        <v>344</v>
      </c>
      <c r="D278" s="1368">
        <v>120</v>
      </c>
      <c r="E278" s="1367" t="s">
        <v>833</v>
      </c>
      <c r="F278" s="1365" t="s">
        <v>813</v>
      </c>
      <c r="G278" s="959">
        <f>ROUNDUP(PI()*5.35^2*4280*7.87/1000000,2)</f>
        <v>3.03</v>
      </c>
    </row>
    <row r="279" spans="1:7" ht="14.25">
      <c r="A279" s="1363">
        <v>275</v>
      </c>
      <c r="B279" s="1364" t="s">
        <v>1151</v>
      </c>
      <c r="C279" s="1365" t="s">
        <v>343</v>
      </c>
      <c r="D279" s="1368">
        <v>120</v>
      </c>
      <c r="E279" s="1367" t="s">
        <v>833</v>
      </c>
      <c r="F279" s="1365" t="s">
        <v>812</v>
      </c>
      <c r="G279" s="959">
        <f>ROUNDUP(PI()*5.35^2*4280*7.87/1000000,2)</f>
        <v>3.03</v>
      </c>
    </row>
    <row r="280" spans="1:7" ht="14.25">
      <c r="A280" s="1363">
        <v>276</v>
      </c>
      <c r="B280" s="1399" t="s">
        <v>1150</v>
      </c>
      <c r="C280" s="1365" t="s">
        <v>344</v>
      </c>
      <c r="D280" s="1400">
        <v>110</v>
      </c>
      <c r="E280" s="1367" t="s">
        <v>832</v>
      </c>
      <c r="F280" s="1365" t="s">
        <v>816</v>
      </c>
      <c r="G280" s="959">
        <f>ROUNDUP(PI()*5.35^2*4000*7.87/1000000,2)</f>
        <v>2.84</v>
      </c>
    </row>
    <row r="281" spans="1:7" ht="14.25">
      <c r="A281" s="1363">
        <v>277</v>
      </c>
      <c r="B281" s="1364" t="s">
        <v>1149</v>
      </c>
      <c r="C281" s="1365" t="s">
        <v>343</v>
      </c>
      <c r="D281" s="1368">
        <v>110</v>
      </c>
      <c r="E281" s="1367" t="s">
        <v>832</v>
      </c>
      <c r="F281" s="1365" t="s">
        <v>815</v>
      </c>
      <c r="G281" s="959">
        <f>ROUNDUP(PI()*5.35^2*4000*7.87/1000000,2)</f>
        <v>2.84</v>
      </c>
    </row>
    <row r="282" spans="1:7" ht="14.25">
      <c r="A282" s="1363">
        <v>278</v>
      </c>
      <c r="B282" s="1399" t="s">
        <v>1148</v>
      </c>
      <c r="C282" s="1365" t="s">
        <v>344</v>
      </c>
      <c r="D282" s="1400">
        <v>105</v>
      </c>
      <c r="E282" s="1367" t="s">
        <v>831</v>
      </c>
      <c r="F282" s="1365" t="s">
        <v>816</v>
      </c>
      <c r="G282" s="959">
        <f>ROUNDUP(PI()*5.35^2*3880*7.87/1000000,2)</f>
        <v>2.75</v>
      </c>
    </row>
    <row r="283" spans="1:7" ht="14.25">
      <c r="A283" s="1363">
        <v>279</v>
      </c>
      <c r="B283" s="1364" t="s">
        <v>1147</v>
      </c>
      <c r="C283" s="1365" t="s">
        <v>343</v>
      </c>
      <c r="D283" s="1368">
        <v>105</v>
      </c>
      <c r="E283" s="1367" t="s">
        <v>831</v>
      </c>
      <c r="F283" s="1365" t="s">
        <v>815</v>
      </c>
      <c r="G283" s="959">
        <f>ROUNDUP(PI()*5.35^2*3880*7.87/1000000,2)</f>
        <v>2.75</v>
      </c>
    </row>
    <row r="284" spans="1:7" ht="14.25">
      <c r="A284" s="1363">
        <v>280</v>
      </c>
      <c r="B284" s="1364" t="s">
        <v>1146</v>
      </c>
      <c r="C284" s="1365" t="s">
        <v>344</v>
      </c>
      <c r="D284" s="1368">
        <v>105</v>
      </c>
      <c r="E284" s="1367" t="s">
        <v>830</v>
      </c>
      <c r="F284" s="1365" t="s">
        <v>816</v>
      </c>
      <c r="G284" s="959">
        <f>ROUNDUP(PI()*5.35^2*3780*7.87/1000000,2)</f>
        <v>2.6799999999999997</v>
      </c>
    </row>
    <row r="285" spans="1:7" ht="14.25">
      <c r="A285" s="1363">
        <v>281</v>
      </c>
      <c r="B285" s="1364" t="s">
        <v>1145</v>
      </c>
      <c r="C285" s="1365" t="s">
        <v>343</v>
      </c>
      <c r="D285" s="1368">
        <v>105</v>
      </c>
      <c r="E285" s="1367" t="s">
        <v>830</v>
      </c>
      <c r="F285" s="1365" t="s">
        <v>815</v>
      </c>
      <c r="G285" s="959">
        <f>ROUNDUP(PI()*5.35^2*3780*7.87/1000000,2)</f>
        <v>2.6799999999999997</v>
      </c>
    </row>
    <row r="286" spans="1:7" ht="14.25">
      <c r="A286" s="1363">
        <v>282</v>
      </c>
      <c r="B286" s="1399" t="s">
        <v>1144</v>
      </c>
      <c r="C286" s="1365" t="s">
        <v>344</v>
      </c>
      <c r="D286" s="1400">
        <v>95</v>
      </c>
      <c r="E286" s="1367" t="s">
        <v>829</v>
      </c>
      <c r="F286" s="1365" t="s">
        <v>816</v>
      </c>
      <c r="G286" s="959">
        <f>ROUNDUP(PI()*5.35^2*3380*7.87/1000000,2)</f>
        <v>2.4</v>
      </c>
    </row>
    <row r="287" spans="1:7" ht="14.25">
      <c r="A287" s="1363">
        <v>283</v>
      </c>
      <c r="B287" s="1364" t="s">
        <v>1143</v>
      </c>
      <c r="C287" s="1365" t="s">
        <v>344</v>
      </c>
      <c r="D287" s="1368">
        <v>95</v>
      </c>
      <c r="E287" s="1367" t="s">
        <v>828</v>
      </c>
      <c r="F287" s="1365" t="s">
        <v>813</v>
      </c>
      <c r="G287" s="959">
        <f>ROUNDUP(PI()*5.35^2*3380*7.87/1000000,2)</f>
        <v>2.4</v>
      </c>
    </row>
    <row r="288" spans="1:7" ht="14.25">
      <c r="A288" s="1363">
        <v>284</v>
      </c>
      <c r="B288" s="1364" t="s">
        <v>1142</v>
      </c>
      <c r="C288" s="1365" t="s">
        <v>343</v>
      </c>
      <c r="D288" s="1368">
        <v>95</v>
      </c>
      <c r="E288" s="1367" t="s">
        <v>828</v>
      </c>
      <c r="F288" s="1365" t="s">
        <v>812</v>
      </c>
      <c r="G288" s="959">
        <f>ROUNDUP(PI()*5.35^2*3280*7.87/1000000,2)</f>
        <v>2.3299999999999996</v>
      </c>
    </row>
    <row r="289" spans="1:7" ht="14.25">
      <c r="A289" s="1363">
        <v>285</v>
      </c>
      <c r="B289" s="1364" t="s">
        <v>1142</v>
      </c>
      <c r="C289" s="1365" t="s">
        <v>343</v>
      </c>
      <c r="D289" s="1368">
        <v>95</v>
      </c>
      <c r="E289" s="1367" t="s">
        <v>829</v>
      </c>
      <c r="F289" s="1365" t="s">
        <v>815</v>
      </c>
      <c r="G289" s="959">
        <f>ROUNDUP(PI()*5.35^2*3280*7.87/1000000,2)</f>
        <v>2.3299999999999996</v>
      </c>
    </row>
    <row r="290" spans="1:7" ht="14.25">
      <c r="A290" s="1363">
        <v>286</v>
      </c>
      <c r="B290" s="1399" t="s">
        <v>1141</v>
      </c>
      <c r="C290" s="1365" t="s">
        <v>344</v>
      </c>
      <c r="D290" s="1400">
        <v>81</v>
      </c>
      <c r="E290" s="1367" t="s">
        <v>827</v>
      </c>
      <c r="F290" s="1365" t="s">
        <v>816</v>
      </c>
      <c r="G290" s="959">
        <f>ROUNDUP(PI()*5.35^2*3000*7.87/1000000,2)</f>
        <v>2.13</v>
      </c>
    </row>
    <row r="291" spans="1:7" ht="14.25">
      <c r="A291" s="1363">
        <v>287</v>
      </c>
      <c r="B291" s="1364" t="s">
        <v>1140</v>
      </c>
      <c r="C291" s="1365" t="s">
        <v>343</v>
      </c>
      <c r="D291" s="1368">
        <v>81</v>
      </c>
      <c r="E291" s="1367" t="s">
        <v>827</v>
      </c>
      <c r="F291" s="1365" t="s">
        <v>815</v>
      </c>
      <c r="G291" s="959">
        <f>ROUNDUP(PI()*5.35^2*3000*7.87/1000000,2)</f>
        <v>2.13</v>
      </c>
    </row>
    <row r="292" spans="1:7" ht="14.25">
      <c r="A292" s="1363">
        <v>288</v>
      </c>
      <c r="B292" s="1399" t="s">
        <v>1139</v>
      </c>
      <c r="C292" s="1365" t="s">
        <v>344</v>
      </c>
      <c r="D292" s="1400">
        <v>77</v>
      </c>
      <c r="E292" s="1367" t="s">
        <v>826</v>
      </c>
      <c r="F292" s="1365" t="s">
        <v>816</v>
      </c>
      <c r="G292" s="959">
        <f>ROUNDUP(PI()*5.35^2*2880*7.87/1000000,2)</f>
        <v>2.0399999999999996</v>
      </c>
    </row>
    <row r="293" spans="1:7" ht="14.25">
      <c r="A293" s="1363">
        <v>289</v>
      </c>
      <c r="B293" s="1364" t="s">
        <v>1138</v>
      </c>
      <c r="C293" s="1365" t="s">
        <v>343</v>
      </c>
      <c r="D293" s="1368">
        <v>77</v>
      </c>
      <c r="E293" s="1367" t="s">
        <v>826</v>
      </c>
      <c r="F293" s="1365" t="s">
        <v>815</v>
      </c>
      <c r="G293" s="959">
        <f>ROUNDUP(PI()*5.35^2*2880*7.87/1000000,2)</f>
        <v>2.0399999999999996</v>
      </c>
    </row>
    <row r="294" spans="1:7" ht="14.25">
      <c r="A294" s="1363">
        <v>290</v>
      </c>
      <c r="B294" s="1364" t="s">
        <v>1137</v>
      </c>
      <c r="C294" s="1365" t="s">
        <v>344</v>
      </c>
      <c r="D294" s="1368">
        <v>77</v>
      </c>
      <c r="E294" s="1367" t="s">
        <v>825</v>
      </c>
      <c r="F294" s="1365" t="s">
        <v>813</v>
      </c>
      <c r="G294" s="959">
        <f>ROUNDUP(PI()*5.35^2*2780*7.87/1000000,2)</f>
        <v>1.97</v>
      </c>
    </row>
    <row r="295" spans="1:7" ht="14.25">
      <c r="A295" s="1363">
        <v>291</v>
      </c>
      <c r="B295" s="1364" t="s">
        <v>1136</v>
      </c>
      <c r="C295" s="1365" t="s">
        <v>343</v>
      </c>
      <c r="D295" s="1368">
        <v>77</v>
      </c>
      <c r="E295" s="1367" t="s">
        <v>825</v>
      </c>
      <c r="F295" s="1365" t="s">
        <v>812</v>
      </c>
      <c r="G295" s="959">
        <f>ROUNDUP(PI()*5.35^2*2780*7.87/1000000,2)</f>
        <v>1.97</v>
      </c>
    </row>
    <row r="296" spans="1:7" ht="14.25">
      <c r="A296" s="1363">
        <v>292</v>
      </c>
      <c r="B296" s="1399" t="s">
        <v>1135</v>
      </c>
      <c r="C296" s="1365" t="s">
        <v>344</v>
      </c>
      <c r="D296" s="1400">
        <v>63</v>
      </c>
      <c r="E296" s="1367" t="s">
        <v>824</v>
      </c>
      <c r="F296" s="1365" t="s">
        <v>816</v>
      </c>
      <c r="G296" s="959">
        <f>ROUNDUP(PI()*5.35^2*2380*7.87/1000000,2)</f>
        <v>1.69</v>
      </c>
    </row>
    <row r="297" spans="1:7" ht="14.25">
      <c r="A297" s="1363">
        <v>293</v>
      </c>
      <c r="B297" s="1364" t="s">
        <v>1134</v>
      </c>
      <c r="C297" s="1365" t="s">
        <v>343</v>
      </c>
      <c r="D297" s="1368">
        <v>63</v>
      </c>
      <c r="E297" s="1367" t="s">
        <v>824</v>
      </c>
      <c r="F297" s="1365" t="s">
        <v>815</v>
      </c>
      <c r="G297" s="959">
        <f>ROUNDUP(PI()*5.35^2*2380*7.87/1000000,2)</f>
        <v>1.69</v>
      </c>
    </row>
    <row r="298" spans="1:7" ht="14.25">
      <c r="A298" s="1363">
        <v>294</v>
      </c>
      <c r="B298" s="1364" t="s">
        <v>1133</v>
      </c>
      <c r="C298" s="1365" t="s">
        <v>344</v>
      </c>
      <c r="D298" s="1368">
        <v>63</v>
      </c>
      <c r="E298" s="1367" t="s">
        <v>823</v>
      </c>
      <c r="F298" s="1365" t="s">
        <v>813</v>
      </c>
      <c r="G298" s="959">
        <f>ROUNDUP(PI()*5.35^2*2280*7.87/1000000,2)</f>
        <v>1.62</v>
      </c>
    </row>
    <row r="299" spans="1:7" ht="14.25">
      <c r="A299" s="1363">
        <v>295</v>
      </c>
      <c r="B299" s="1364" t="s">
        <v>1132</v>
      </c>
      <c r="C299" s="1365" t="s">
        <v>343</v>
      </c>
      <c r="D299" s="1368">
        <v>63</v>
      </c>
      <c r="E299" s="1367" t="s">
        <v>823</v>
      </c>
      <c r="F299" s="1365" t="s">
        <v>812</v>
      </c>
      <c r="G299" s="959">
        <f>ROUNDUP(PI()*5.35^2*2280*7.87/1000000,2)</f>
        <v>1.62</v>
      </c>
    </row>
    <row r="300" spans="1:7" ht="14.25">
      <c r="A300" s="1363">
        <v>296</v>
      </c>
      <c r="B300" s="1399" t="s">
        <v>1131</v>
      </c>
      <c r="C300" s="1365" t="s">
        <v>344</v>
      </c>
      <c r="D300" s="1400">
        <v>57</v>
      </c>
      <c r="E300" s="1367" t="s">
        <v>822</v>
      </c>
      <c r="F300" s="1365" t="s">
        <v>816</v>
      </c>
      <c r="G300" s="959">
        <f>ROUNDUP(PI()*5.35^2*2000*7.87/1000000,2)</f>
        <v>1.42</v>
      </c>
    </row>
    <row r="301" spans="1:7" ht="14.25">
      <c r="A301" s="1363">
        <v>297</v>
      </c>
      <c r="B301" s="1364" t="s">
        <v>1130</v>
      </c>
      <c r="C301" s="1365" t="s">
        <v>343</v>
      </c>
      <c r="D301" s="1368">
        <v>57</v>
      </c>
      <c r="E301" s="1367" t="s">
        <v>822</v>
      </c>
      <c r="F301" s="1365" t="s">
        <v>815</v>
      </c>
      <c r="G301" s="959">
        <f>ROUNDUP(PI()*5.35^2*2000*7.87/1000000,2)</f>
        <v>1.42</v>
      </c>
    </row>
    <row r="302" spans="1:7" ht="14.25">
      <c r="A302" s="1363">
        <v>298</v>
      </c>
      <c r="B302" s="1399" t="s">
        <v>1129</v>
      </c>
      <c r="C302" s="1365" t="s">
        <v>344</v>
      </c>
      <c r="D302" s="1400">
        <v>57</v>
      </c>
      <c r="E302" s="1367" t="s">
        <v>821</v>
      </c>
      <c r="F302" s="1365" t="s">
        <v>816</v>
      </c>
      <c r="G302" s="959">
        <f>ROUNDUP(PI()*5.35^2*1880*7.87/1000000,2)</f>
        <v>1.34</v>
      </c>
    </row>
    <row r="303" spans="1:7" ht="14.25">
      <c r="A303" s="1363">
        <v>299</v>
      </c>
      <c r="B303" s="1364" t="s">
        <v>1128</v>
      </c>
      <c r="C303" s="1365" t="s">
        <v>343</v>
      </c>
      <c r="D303" s="1368">
        <v>57</v>
      </c>
      <c r="E303" s="1367" t="s">
        <v>821</v>
      </c>
      <c r="F303" s="1365" t="s">
        <v>815</v>
      </c>
      <c r="G303" s="959">
        <f>ROUNDUP(PI()*5.35^2*1880*7.87/1000000,2)</f>
        <v>1.34</v>
      </c>
    </row>
    <row r="304" spans="1:7" ht="14.25">
      <c r="A304" s="1363">
        <v>300</v>
      </c>
      <c r="B304" s="1364" t="s">
        <v>1127</v>
      </c>
      <c r="C304" s="1365" t="s">
        <v>344</v>
      </c>
      <c r="D304" s="1368">
        <v>57</v>
      </c>
      <c r="E304" s="1367" t="s">
        <v>820</v>
      </c>
      <c r="F304" s="1365" t="s">
        <v>813</v>
      </c>
      <c r="G304" s="959">
        <f>ROUNDUP(PI()*5.35^2*1880*7.87/1000000,2)</f>
        <v>1.34</v>
      </c>
    </row>
    <row r="305" spans="1:7" ht="14.25">
      <c r="A305" s="1363">
        <v>301</v>
      </c>
      <c r="B305" s="1364" t="s">
        <v>1126</v>
      </c>
      <c r="C305" s="1365" t="s">
        <v>343</v>
      </c>
      <c r="D305" s="1368">
        <v>57</v>
      </c>
      <c r="E305" s="1367" t="s">
        <v>820</v>
      </c>
      <c r="F305" s="1365" t="s">
        <v>812</v>
      </c>
      <c r="G305" s="959">
        <f>ROUNDUP(PI()*5.35^2*1780*7.87/1000000,2)</f>
        <v>1.26</v>
      </c>
    </row>
    <row r="306" spans="1:7" ht="14.25">
      <c r="A306" s="1363">
        <v>302</v>
      </c>
      <c r="B306" s="1399" t="s">
        <v>1125</v>
      </c>
      <c r="C306" s="1365" t="s">
        <v>344</v>
      </c>
      <c r="D306" s="1400">
        <v>43</v>
      </c>
      <c r="E306" s="1367" t="s">
        <v>819</v>
      </c>
      <c r="F306" s="1365" t="s">
        <v>816</v>
      </c>
      <c r="G306" s="959">
        <f>ROUNDUP(PI()*5.35^2*1380*7.87/1000000,2)</f>
        <v>0.98</v>
      </c>
    </row>
    <row r="307" spans="1:7" ht="14.25">
      <c r="A307" s="1363">
        <v>303</v>
      </c>
      <c r="B307" s="1364" t="s">
        <v>1124</v>
      </c>
      <c r="C307" s="1365" t="s">
        <v>343</v>
      </c>
      <c r="D307" s="1368">
        <v>43</v>
      </c>
      <c r="E307" s="1367" t="s">
        <v>819</v>
      </c>
      <c r="F307" s="1365" t="s">
        <v>815</v>
      </c>
      <c r="G307" s="959">
        <f>ROUNDUP(PI()*5.35^2*1380*7.87/1000000,2)</f>
        <v>0.98</v>
      </c>
    </row>
    <row r="308" spans="1:7" ht="14.25">
      <c r="A308" s="1363">
        <v>304</v>
      </c>
      <c r="B308" s="1364" t="s">
        <v>1123</v>
      </c>
      <c r="C308" s="1365" t="s">
        <v>344</v>
      </c>
      <c r="D308" s="1368">
        <v>43</v>
      </c>
      <c r="E308" s="1367" t="s">
        <v>818</v>
      </c>
      <c r="F308" s="1365" t="s">
        <v>813</v>
      </c>
      <c r="G308" s="959">
        <f>ROUNDUP(PI()*5.35^2*1280*7.87/1000000,2)</f>
        <v>0.91</v>
      </c>
    </row>
    <row r="309" spans="1:7" ht="14.25">
      <c r="A309" s="1363">
        <v>305</v>
      </c>
      <c r="B309" s="1364" t="s">
        <v>1122</v>
      </c>
      <c r="C309" s="1365" t="s">
        <v>343</v>
      </c>
      <c r="D309" s="1368">
        <v>43</v>
      </c>
      <c r="E309" s="1367" t="s">
        <v>818</v>
      </c>
      <c r="F309" s="1365" t="s">
        <v>812</v>
      </c>
      <c r="G309" s="959">
        <f>ROUNDUP(PI()*5.35^2*1280*7.87/1000000,2)</f>
        <v>0.91</v>
      </c>
    </row>
    <row r="310" spans="1:7" ht="14.25">
      <c r="A310" s="1363">
        <v>306</v>
      </c>
      <c r="B310" s="1399" t="s">
        <v>1121</v>
      </c>
      <c r="C310" s="1365" t="s">
        <v>344</v>
      </c>
      <c r="D310" s="1400">
        <v>35</v>
      </c>
      <c r="E310" s="1367" t="s">
        <v>817</v>
      </c>
      <c r="F310" s="1365" t="s">
        <v>816</v>
      </c>
      <c r="G310" s="959">
        <f>ROUNDUP(PI()*5.35^2*1000*7.87/1000000,2)</f>
        <v>0.71</v>
      </c>
    </row>
    <row r="311" spans="1:7" ht="14.25">
      <c r="A311" s="1363">
        <v>307</v>
      </c>
      <c r="B311" s="1364" t="s">
        <v>1120</v>
      </c>
      <c r="C311" s="1365" t="s">
        <v>343</v>
      </c>
      <c r="D311" s="1368">
        <v>35</v>
      </c>
      <c r="E311" s="1367" t="s">
        <v>817</v>
      </c>
      <c r="F311" s="1365" t="s">
        <v>815</v>
      </c>
      <c r="G311" s="959">
        <f>ROUNDUP(PI()*5.35^2*1000*7.87/1000000,2)</f>
        <v>0.71</v>
      </c>
    </row>
    <row r="312" spans="1:7" ht="14.25">
      <c r="A312" s="1363">
        <v>308</v>
      </c>
      <c r="B312" s="1399" t="s">
        <v>1119</v>
      </c>
      <c r="C312" s="1365" t="s">
        <v>344</v>
      </c>
      <c r="D312" s="1400">
        <v>35</v>
      </c>
      <c r="E312" s="1367" t="s">
        <v>814</v>
      </c>
      <c r="F312" s="1365" t="s">
        <v>816</v>
      </c>
      <c r="G312" s="959">
        <f>ROUNDUP(PI()*5.35^2*880*7.87/1000000,2)</f>
        <v>0.63</v>
      </c>
    </row>
    <row r="313" spans="1:7" ht="14.25">
      <c r="A313" s="1363">
        <v>309</v>
      </c>
      <c r="B313" s="1364" t="s">
        <v>1118</v>
      </c>
      <c r="C313" s="1365" t="s">
        <v>343</v>
      </c>
      <c r="D313" s="1368">
        <v>35</v>
      </c>
      <c r="E313" s="1367" t="s">
        <v>814</v>
      </c>
      <c r="F313" s="1365" t="s">
        <v>815</v>
      </c>
      <c r="G313" s="959">
        <f>ROUNDUP(PI()*5.35^2*880*7.87/1000000,2)</f>
        <v>0.63</v>
      </c>
    </row>
    <row r="314" spans="1:7" ht="14.25">
      <c r="A314" s="1363">
        <v>310</v>
      </c>
      <c r="B314" s="1364" t="s">
        <v>1117</v>
      </c>
      <c r="C314" s="1365" t="s">
        <v>344</v>
      </c>
      <c r="D314" s="1368">
        <v>35</v>
      </c>
      <c r="E314" s="1367" t="s">
        <v>811</v>
      </c>
      <c r="F314" s="1365" t="s">
        <v>813</v>
      </c>
      <c r="G314" s="959">
        <f>ROUNDUP(PI()*5.35^2*780*7.87/1000000,2)</f>
        <v>0.56000000000000005</v>
      </c>
    </row>
    <row r="315" spans="1:7" ht="14.25">
      <c r="A315" s="1363">
        <v>311</v>
      </c>
      <c r="B315" s="1364" t="s">
        <v>1116</v>
      </c>
      <c r="C315" s="1365" t="s">
        <v>343</v>
      </c>
      <c r="D315" s="1368">
        <v>35</v>
      </c>
      <c r="E315" s="1367" t="s">
        <v>811</v>
      </c>
      <c r="F315" s="1365" t="s">
        <v>812</v>
      </c>
      <c r="G315" s="959">
        <f>ROUNDUP(PI()*5.35^2*780*7.87/1000000,2)</f>
        <v>0.56000000000000005</v>
      </c>
    </row>
    <row r="316" spans="1:7" ht="14.25">
      <c r="A316" s="1363">
        <v>312</v>
      </c>
      <c r="B316" s="1364" t="s">
        <v>1210</v>
      </c>
      <c r="C316" s="1365" t="s">
        <v>808</v>
      </c>
      <c r="D316" s="1368">
        <v>17</v>
      </c>
      <c r="E316" s="1367" t="s">
        <v>809</v>
      </c>
      <c r="F316" s="1365" t="s">
        <v>810</v>
      </c>
      <c r="G316" s="545" t="e">
        <f>VLOOKUP(B:B,Weight_Table!A:B,2,FALSE)</f>
        <v>#N/A</v>
      </c>
    </row>
    <row r="317" spans="1:7" ht="14.25">
      <c r="A317" s="1363">
        <v>313</v>
      </c>
      <c r="B317" s="1364" t="s">
        <v>1209</v>
      </c>
      <c r="C317" s="1365" t="s">
        <v>805</v>
      </c>
      <c r="D317" s="1368">
        <v>17</v>
      </c>
      <c r="E317" s="1367" t="s">
        <v>806</v>
      </c>
      <c r="F317" s="1365" t="s">
        <v>807</v>
      </c>
      <c r="G317" s="545" t="e">
        <f>VLOOKUP(B:B,Weight_Table!A:B,2,FALSE)</f>
        <v>#N/A</v>
      </c>
    </row>
    <row r="318" spans="1:7" ht="14.25">
      <c r="A318" s="1363">
        <v>314</v>
      </c>
      <c r="B318" s="1399" t="s">
        <v>1208</v>
      </c>
      <c r="C318" s="1365" t="s">
        <v>342</v>
      </c>
      <c r="D318" s="1400">
        <v>17</v>
      </c>
      <c r="E318" s="1367" t="s">
        <v>803</v>
      </c>
      <c r="F318" s="1365" t="s">
        <v>804</v>
      </c>
      <c r="G318" s="545" t="e">
        <f>VLOOKUP(B:B,Weight_Table!A:B,2,FALSE)</f>
        <v>#N/A</v>
      </c>
    </row>
    <row r="319" spans="1:7" ht="14.25">
      <c r="A319" s="1363">
        <v>315</v>
      </c>
      <c r="B319" s="1364" t="s">
        <v>1207</v>
      </c>
      <c r="C319" s="1365" t="s">
        <v>341</v>
      </c>
      <c r="D319" s="1368">
        <v>17</v>
      </c>
      <c r="E319" s="1367" t="s">
        <v>801</v>
      </c>
      <c r="F319" s="1365" t="s">
        <v>802</v>
      </c>
      <c r="G319" s="545" t="e">
        <f>VLOOKUP(B:B,Weight_Table!A:B,2,FALSE)</f>
        <v>#N/A</v>
      </c>
    </row>
    <row r="320" spans="1:7">
      <c r="A320" s="1363">
        <v>316</v>
      </c>
      <c r="B320" s="1375" t="s">
        <v>1476</v>
      </c>
      <c r="C320" s="1376" t="s">
        <v>1508</v>
      </c>
      <c r="D320" s="1377">
        <v>160</v>
      </c>
      <c r="E320" s="1376" t="s">
        <v>2913</v>
      </c>
      <c r="F320" s="1376" t="s">
        <v>2805</v>
      </c>
      <c r="G320" s="545" t="e">
        <f>VLOOKUP(B:B,Weight_Table!A:B,2,FALSE)</f>
        <v>#N/A</v>
      </c>
    </row>
    <row r="321" spans="1:7">
      <c r="A321" s="1363">
        <v>317</v>
      </c>
      <c r="B321" s="1375" t="s">
        <v>1475</v>
      </c>
      <c r="C321" s="1376" t="s">
        <v>1508</v>
      </c>
      <c r="D321" s="1377">
        <v>159</v>
      </c>
      <c r="E321" s="1376" t="s">
        <v>2913</v>
      </c>
      <c r="F321" s="1376" t="s">
        <v>2805</v>
      </c>
      <c r="G321" s="545" t="e">
        <f>VLOOKUP(B:B,Weight_Table!A:B,2,FALSE)</f>
        <v>#N/A</v>
      </c>
    </row>
    <row r="322" spans="1:7">
      <c r="A322" s="1363">
        <v>318</v>
      </c>
      <c r="B322" s="1375" t="s">
        <v>1474</v>
      </c>
      <c r="C322" s="1376" t="s">
        <v>1508</v>
      </c>
      <c r="D322" s="1377">
        <v>158</v>
      </c>
      <c r="E322" s="1376" t="s">
        <v>2913</v>
      </c>
      <c r="F322" s="1376" t="s">
        <v>2805</v>
      </c>
      <c r="G322" s="545" t="e">
        <f>VLOOKUP(B:B,Weight_Table!A:B,2,FALSE)</f>
        <v>#N/A</v>
      </c>
    </row>
    <row r="323" spans="1:7">
      <c r="A323" s="1363">
        <v>319</v>
      </c>
      <c r="B323" s="1375" t="s">
        <v>1473</v>
      </c>
      <c r="C323" s="1376" t="s">
        <v>1508</v>
      </c>
      <c r="D323" s="1377">
        <v>157</v>
      </c>
      <c r="E323" s="1376" t="s">
        <v>2913</v>
      </c>
      <c r="F323" s="1376" t="s">
        <v>2805</v>
      </c>
      <c r="G323" s="545" t="e">
        <f>VLOOKUP(B:B,Weight_Table!A:B,2,FALSE)</f>
        <v>#N/A</v>
      </c>
    </row>
    <row r="324" spans="1:7">
      <c r="A324" s="1363">
        <v>320</v>
      </c>
      <c r="B324" s="1375" t="s">
        <v>1472</v>
      </c>
      <c r="C324" s="1376" t="s">
        <v>1508</v>
      </c>
      <c r="D324" s="1377">
        <v>156</v>
      </c>
      <c r="E324" s="1376" t="s">
        <v>2913</v>
      </c>
      <c r="F324" s="1376" t="s">
        <v>2805</v>
      </c>
      <c r="G324" s="545" t="e">
        <f>VLOOKUP(B:B,Weight_Table!A:B,2,FALSE)</f>
        <v>#N/A</v>
      </c>
    </row>
    <row r="325" spans="1:7">
      <c r="A325" s="1363">
        <v>321</v>
      </c>
      <c r="B325" s="1375" t="s">
        <v>1471</v>
      </c>
      <c r="C325" s="1376" t="s">
        <v>1508</v>
      </c>
      <c r="D325" s="1377">
        <v>155</v>
      </c>
      <c r="E325" s="1376" t="s">
        <v>2913</v>
      </c>
      <c r="F325" s="1376" t="s">
        <v>2805</v>
      </c>
      <c r="G325" s="545" t="e">
        <f>VLOOKUP(B:B,Weight_Table!A:B,2,FALSE)</f>
        <v>#N/A</v>
      </c>
    </row>
    <row r="326" spans="1:7">
      <c r="A326" s="1363">
        <v>322</v>
      </c>
      <c r="B326" s="1415" t="s">
        <v>1477</v>
      </c>
      <c r="C326" s="1376" t="s">
        <v>1508</v>
      </c>
      <c r="D326" s="1416">
        <v>100</v>
      </c>
      <c r="E326" s="1376" t="s">
        <v>2913</v>
      </c>
      <c r="F326" s="1376" t="s">
        <v>2805</v>
      </c>
      <c r="G326" s="545" t="e">
        <f>VLOOKUP(B:B,Weight_Table!A:B,2,FALSE)</f>
        <v>#N/A</v>
      </c>
    </row>
    <row r="327" spans="1:7">
      <c r="A327" s="1363">
        <v>323</v>
      </c>
      <c r="B327" s="1375" t="s">
        <v>1470</v>
      </c>
      <c r="C327" s="1376" t="s">
        <v>1508</v>
      </c>
      <c r="D327" s="1377">
        <v>154</v>
      </c>
      <c r="E327" s="1376" t="s">
        <v>2913</v>
      </c>
      <c r="F327" s="1376" t="s">
        <v>2805</v>
      </c>
      <c r="G327" s="545" t="e">
        <f>VLOOKUP(B:B,Weight_Table!A:B,2,FALSE)</f>
        <v>#N/A</v>
      </c>
    </row>
    <row r="328" spans="1:7">
      <c r="A328" s="1363">
        <v>324</v>
      </c>
      <c r="B328" s="1375" t="s">
        <v>1459</v>
      </c>
      <c r="C328" s="1376" t="s">
        <v>1507</v>
      </c>
      <c r="D328" s="1377">
        <v>143</v>
      </c>
      <c r="E328" s="1376" t="s">
        <v>2806</v>
      </c>
      <c r="F328" s="1376" t="s">
        <v>2914</v>
      </c>
      <c r="G328" s="545">
        <v>27</v>
      </c>
    </row>
    <row r="329" spans="1:7">
      <c r="A329" s="1363">
        <v>325</v>
      </c>
      <c r="B329" s="1375" t="s">
        <v>1455</v>
      </c>
      <c r="C329" s="1376" t="s">
        <v>1507</v>
      </c>
      <c r="D329" s="1377">
        <v>139</v>
      </c>
      <c r="E329" s="1376" t="s">
        <v>2806</v>
      </c>
      <c r="F329" s="1376" t="s">
        <v>2915</v>
      </c>
      <c r="G329" s="545">
        <v>27</v>
      </c>
    </row>
    <row r="330" spans="1:7">
      <c r="A330" s="1363">
        <v>326</v>
      </c>
      <c r="B330" s="1375" t="s">
        <v>1444</v>
      </c>
      <c r="C330" s="1376" t="s">
        <v>1507</v>
      </c>
      <c r="D330" s="1377">
        <v>128</v>
      </c>
      <c r="E330" s="1376" t="s">
        <v>2806</v>
      </c>
      <c r="F330" s="1376" t="s">
        <v>2916</v>
      </c>
      <c r="G330" s="545">
        <v>27</v>
      </c>
    </row>
    <row r="331" spans="1:7">
      <c r="A331" s="1363">
        <v>327</v>
      </c>
      <c r="B331" s="1375" t="s">
        <v>1467</v>
      </c>
      <c r="C331" s="1376" t="s">
        <v>1507</v>
      </c>
      <c r="D331" s="1377">
        <v>151</v>
      </c>
      <c r="E331" s="1376" t="s">
        <v>2806</v>
      </c>
      <c r="F331" s="1376" t="s">
        <v>2917</v>
      </c>
      <c r="G331" s="545">
        <v>27</v>
      </c>
    </row>
    <row r="332" spans="1:7">
      <c r="A332" s="1363">
        <v>328</v>
      </c>
      <c r="B332" s="1375" t="s">
        <v>1463</v>
      </c>
      <c r="C332" s="1376" t="s">
        <v>1507</v>
      </c>
      <c r="D332" s="1377">
        <v>147</v>
      </c>
      <c r="E332" s="1376" t="s">
        <v>2806</v>
      </c>
      <c r="F332" s="1376" t="s">
        <v>2918</v>
      </c>
      <c r="G332" s="545">
        <v>27</v>
      </c>
    </row>
    <row r="333" spans="1:7">
      <c r="A333" s="1363">
        <v>329</v>
      </c>
      <c r="B333" s="1375" t="s">
        <v>1448</v>
      </c>
      <c r="C333" s="1376" t="s">
        <v>1507</v>
      </c>
      <c r="D333" s="1377">
        <v>132</v>
      </c>
      <c r="E333" s="1376" t="s">
        <v>2806</v>
      </c>
      <c r="F333" s="1376" t="s">
        <v>2919</v>
      </c>
      <c r="G333" s="545">
        <v>27</v>
      </c>
    </row>
    <row r="334" spans="1:7">
      <c r="A334" s="1363">
        <v>330</v>
      </c>
      <c r="B334" s="1375" t="s">
        <v>1458</v>
      </c>
      <c r="C334" s="1376" t="s">
        <v>1507</v>
      </c>
      <c r="D334" s="1377">
        <v>142</v>
      </c>
      <c r="E334" s="1376" t="s">
        <v>2806</v>
      </c>
      <c r="F334" s="1376" t="s">
        <v>2920</v>
      </c>
      <c r="G334" s="545">
        <v>25</v>
      </c>
    </row>
    <row r="335" spans="1:7">
      <c r="A335" s="1363">
        <v>331</v>
      </c>
      <c r="B335" s="1375" t="s">
        <v>1454</v>
      </c>
      <c r="C335" s="1376" t="s">
        <v>1507</v>
      </c>
      <c r="D335" s="1377">
        <v>138</v>
      </c>
      <c r="E335" s="1376" t="s">
        <v>2806</v>
      </c>
      <c r="F335" s="1376" t="s">
        <v>2921</v>
      </c>
      <c r="G335" s="545">
        <v>25</v>
      </c>
    </row>
    <row r="336" spans="1:7">
      <c r="A336" s="1363">
        <v>332</v>
      </c>
      <c r="B336" s="1375" t="s">
        <v>1443</v>
      </c>
      <c r="C336" s="1376" t="s">
        <v>1507</v>
      </c>
      <c r="D336" s="1377">
        <v>127</v>
      </c>
      <c r="E336" s="1376" t="s">
        <v>2806</v>
      </c>
      <c r="F336" s="1376" t="s">
        <v>2922</v>
      </c>
      <c r="G336" s="545">
        <v>25</v>
      </c>
    </row>
    <row r="337" spans="1:7">
      <c r="A337" s="1363">
        <v>333</v>
      </c>
      <c r="B337" s="1375" t="s">
        <v>1466</v>
      </c>
      <c r="C337" s="1376" t="s">
        <v>1507</v>
      </c>
      <c r="D337" s="1377">
        <v>150</v>
      </c>
      <c r="E337" s="1376" t="s">
        <v>2806</v>
      </c>
      <c r="F337" s="1376" t="s">
        <v>2917</v>
      </c>
      <c r="G337" s="545">
        <v>25</v>
      </c>
    </row>
    <row r="338" spans="1:7">
      <c r="A338" s="1363">
        <v>334</v>
      </c>
      <c r="B338" s="1375" t="s">
        <v>1462</v>
      </c>
      <c r="C338" s="1376" t="s">
        <v>1507</v>
      </c>
      <c r="D338" s="1377">
        <v>146</v>
      </c>
      <c r="E338" s="1376" t="s">
        <v>2806</v>
      </c>
      <c r="F338" s="1376" t="s">
        <v>2918</v>
      </c>
      <c r="G338" s="545">
        <v>25</v>
      </c>
    </row>
    <row r="339" spans="1:7">
      <c r="A339" s="1363">
        <v>335</v>
      </c>
      <c r="B339" s="1375" t="s">
        <v>1447</v>
      </c>
      <c r="C339" s="1376" t="s">
        <v>1507</v>
      </c>
      <c r="D339" s="1377">
        <v>131</v>
      </c>
      <c r="E339" s="1376" t="s">
        <v>2806</v>
      </c>
      <c r="F339" s="1376" t="s">
        <v>2919</v>
      </c>
      <c r="G339" s="545">
        <v>25</v>
      </c>
    </row>
    <row r="340" spans="1:7">
      <c r="A340" s="1363">
        <v>336</v>
      </c>
      <c r="B340" s="1375" t="s">
        <v>1457</v>
      </c>
      <c r="C340" s="1376" t="s">
        <v>1507</v>
      </c>
      <c r="D340" s="1377">
        <v>141</v>
      </c>
      <c r="E340" s="1376" t="s">
        <v>2806</v>
      </c>
      <c r="F340" s="1376" t="s">
        <v>2920</v>
      </c>
      <c r="G340" s="545">
        <v>23</v>
      </c>
    </row>
    <row r="341" spans="1:7">
      <c r="A341" s="1363">
        <v>337</v>
      </c>
      <c r="B341" s="1375" t="s">
        <v>1453</v>
      </c>
      <c r="C341" s="1376" t="s">
        <v>1507</v>
      </c>
      <c r="D341" s="1377">
        <v>137</v>
      </c>
      <c r="E341" s="1376" t="s">
        <v>2806</v>
      </c>
      <c r="F341" s="1376" t="s">
        <v>2921</v>
      </c>
      <c r="G341" s="545">
        <v>23</v>
      </c>
    </row>
    <row r="342" spans="1:7">
      <c r="A342" s="1363">
        <v>338</v>
      </c>
      <c r="B342" s="1375" t="s">
        <v>1442</v>
      </c>
      <c r="C342" s="1376" t="s">
        <v>1507</v>
      </c>
      <c r="D342" s="1377">
        <v>126</v>
      </c>
      <c r="E342" s="1376" t="s">
        <v>2806</v>
      </c>
      <c r="F342" s="1376" t="s">
        <v>2922</v>
      </c>
      <c r="G342" s="545">
        <v>23</v>
      </c>
    </row>
    <row r="343" spans="1:7">
      <c r="A343" s="1363">
        <v>339</v>
      </c>
      <c r="B343" s="1375" t="s">
        <v>1465</v>
      </c>
      <c r="C343" s="1376" t="s">
        <v>1507</v>
      </c>
      <c r="D343" s="1377">
        <v>149</v>
      </c>
      <c r="E343" s="1376" t="s">
        <v>2806</v>
      </c>
      <c r="F343" s="1376" t="s">
        <v>2917</v>
      </c>
      <c r="G343" s="545">
        <v>23</v>
      </c>
    </row>
    <row r="344" spans="1:7">
      <c r="A344" s="1363">
        <v>340</v>
      </c>
      <c r="B344" s="1375" t="s">
        <v>1461</v>
      </c>
      <c r="C344" s="1376" t="s">
        <v>1507</v>
      </c>
      <c r="D344" s="1377">
        <v>145</v>
      </c>
      <c r="E344" s="1376" t="s">
        <v>2806</v>
      </c>
      <c r="F344" s="1376" t="s">
        <v>2918</v>
      </c>
      <c r="G344" s="545">
        <v>23</v>
      </c>
    </row>
    <row r="345" spans="1:7">
      <c r="A345" s="1363">
        <v>341</v>
      </c>
      <c r="B345" s="1375" t="s">
        <v>1446</v>
      </c>
      <c r="C345" s="1376" t="s">
        <v>1507</v>
      </c>
      <c r="D345" s="1377">
        <v>130</v>
      </c>
      <c r="E345" s="1376" t="s">
        <v>2806</v>
      </c>
      <c r="F345" s="1376" t="s">
        <v>2919</v>
      </c>
      <c r="G345" s="545">
        <v>23</v>
      </c>
    </row>
    <row r="346" spans="1:7">
      <c r="A346" s="1363">
        <v>342</v>
      </c>
      <c r="B346" s="1375" t="s">
        <v>1456</v>
      </c>
      <c r="C346" s="1376" t="s">
        <v>1507</v>
      </c>
      <c r="D346" s="1377">
        <v>140</v>
      </c>
      <c r="E346" s="1376" t="s">
        <v>2806</v>
      </c>
      <c r="F346" s="1376" t="s">
        <v>2920</v>
      </c>
      <c r="G346" s="545">
        <v>21</v>
      </c>
    </row>
    <row r="347" spans="1:7">
      <c r="A347" s="1363">
        <v>343</v>
      </c>
      <c r="B347" s="1375" t="s">
        <v>1452</v>
      </c>
      <c r="C347" s="1376" t="s">
        <v>1507</v>
      </c>
      <c r="D347" s="1377">
        <v>136</v>
      </c>
      <c r="E347" s="1376" t="s">
        <v>2806</v>
      </c>
      <c r="F347" s="1376" t="s">
        <v>2921</v>
      </c>
      <c r="G347" s="545">
        <v>21</v>
      </c>
    </row>
    <row r="348" spans="1:7">
      <c r="A348" s="1363">
        <v>344</v>
      </c>
      <c r="B348" s="1375" t="s">
        <v>1441</v>
      </c>
      <c r="C348" s="1376" t="s">
        <v>1507</v>
      </c>
      <c r="D348" s="1377">
        <v>125</v>
      </c>
      <c r="E348" s="1376" t="s">
        <v>2806</v>
      </c>
      <c r="F348" s="1376" t="s">
        <v>2922</v>
      </c>
      <c r="G348" s="545">
        <v>21</v>
      </c>
    </row>
    <row r="349" spans="1:7">
      <c r="A349" s="1363">
        <v>345</v>
      </c>
      <c r="B349" s="1375" t="s">
        <v>1464</v>
      </c>
      <c r="C349" s="1376" t="s">
        <v>1507</v>
      </c>
      <c r="D349" s="1377">
        <v>148</v>
      </c>
      <c r="E349" s="1376" t="s">
        <v>2806</v>
      </c>
      <c r="F349" s="1376" t="s">
        <v>2917</v>
      </c>
      <c r="G349" s="545">
        <v>21</v>
      </c>
    </row>
    <row r="350" spans="1:7">
      <c r="A350" s="1363">
        <v>346</v>
      </c>
      <c r="B350" s="1375" t="s">
        <v>1460</v>
      </c>
      <c r="C350" s="1376" t="s">
        <v>1507</v>
      </c>
      <c r="D350" s="1377">
        <v>144</v>
      </c>
      <c r="E350" s="1376" t="s">
        <v>2806</v>
      </c>
      <c r="F350" s="1376" t="s">
        <v>2918</v>
      </c>
      <c r="G350" s="545">
        <v>21</v>
      </c>
    </row>
    <row r="351" spans="1:7">
      <c r="A351" s="1363">
        <v>347</v>
      </c>
      <c r="B351" s="1375" t="s">
        <v>1445</v>
      </c>
      <c r="C351" s="1376" t="s">
        <v>1507</v>
      </c>
      <c r="D351" s="1377">
        <v>129</v>
      </c>
      <c r="E351" s="1376" t="s">
        <v>2806</v>
      </c>
      <c r="F351" s="1376" t="s">
        <v>2919</v>
      </c>
      <c r="G351" s="545">
        <v>21</v>
      </c>
    </row>
    <row r="352" spans="1:7">
      <c r="A352" s="1363">
        <v>348</v>
      </c>
      <c r="B352" s="1375" t="s">
        <v>1469</v>
      </c>
      <c r="C352" s="1376" t="s">
        <v>1507</v>
      </c>
      <c r="D352" s="1377">
        <v>153</v>
      </c>
      <c r="E352" s="1376" t="s">
        <v>2806</v>
      </c>
      <c r="F352" s="1376" t="s">
        <v>2923</v>
      </c>
      <c r="G352" s="545">
        <v>17</v>
      </c>
    </row>
    <row r="353" spans="1:7">
      <c r="A353" s="1363">
        <v>349</v>
      </c>
      <c r="B353" s="1375" t="s">
        <v>1468</v>
      </c>
      <c r="C353" s="1376" t="s">
        <v>1507</v>
      </c>
      <c r="D353" s="1377">
        <v>152</v>
      </c>
      <c r="E353" s="1376" t="s">
        <v>2806</v>
      </c>
      <c r="F353" s="1376" t="s">
        <v>2924</v>
      </c>
      <c r="G353" s="545">
        <v>17</v>
      </c>
    </row>
    <row r="354" spans="1:7">
      <c r="A354" s="1363">
        <v>350</v>
      </c>
      <c r="B354" s="1375" t="s">
        <v>1449</v>
      </c>
      <c r="C354" s="1376" t="s">
        <v>1507</v>
      </c>
      <c r="D354" s="1377">
        <v>133</v>
      </c>
      <c r="E354" s="1376" t="s">
        <v>2806</v>
      </c>
      <c r="F354" s="1376" t="s">
        <v>2925</v>
      </c>
      <c r="G354" s="545">
        <v>17</v>
      </c>
    </row>
    <row r="355" spans="1:7">
      <c r="A355" s="1363">
        <v>351</v>
      </c>
      <c r="B355" s="1375" t="s">
        <v>1451</v>
      </c>
      <c r="C355" s="1376" t="s">
        <v>1507</v>
      </c>
      <c r="D355" s="1377">
        <v>135</v>
      </c>
      <c r="E355" s="1376" t="s">
        <v>2806</v>
      </c>
      <c r="F355" s="1376" t="s">
        <v>2926</v>
      </c>
      <c r="G355" s="545">
        <v>17</v>
      </c>
    </row>
    <row r="356" spans="1:7">
      <c r="A356" s="1363">
        <v>352</v>
      </c>
      <c r="B356" s="1375" t="s">
        <v>1450</v>
      </c>
      <c r="C356" s="1376" t="s">
        <v>1507</v>
      </c>
      <c r="D356" s="1377">
        <v>134</v>
      </c>
      <c r="E356" s="1376" t="s">
        <v>2806</v>
      </c>
      <c r="F356" s="1376" t="s">
        <v>2927</v>
      </c>
      <c r="G356" s="545">
        <v>17</v>
      </c>
    </row>
    <row r="357" spans="1:7">
      <c r="A357" s="1363">
        <v>353</v>
      </c>
      <c r="B357" s="1375" t="s">
        <v>1440</v>
      </c>
      <c r="C357" s="1376" t="s">
        <v>1507</v>
      </c>
      <c r="D357" s="1377">
        <v>124</v>
      </c>
      <c r="E357" s="1376" t="s">
        <v>2806</v>
      </c>
      <c r="F357" s="1376" t="s">
        <v>2928</v>
      </c>
      <c r="G357" s="545">
        <v>17</v>
      </c>
    </row>
    <row r="358" spans="1:7">
      <c r="A358" s="1363">
        <v>354</v>
      </c>
      <c r="B358" s="1415" t="s">
        <v>1403</v>
      </c>
      <c r="C358" s="1378" t="s">
        <v>1504</v>
      </c>
      <c r="D358" s="1416">
        <v>150</v>
      </c>
      <c r="E358" s="1378" t="s">
        <v>2807</v>
      </c>
      <c r="F358" s="1378" t="s">
        <v>2929</v>
      </c>
      <c r="G358" s="545">
        <v>28.5</v>
      </c>
    </row>
    <row r="359" spans="1:7">
      <c r="A359" s="1363">
        <v>355</v>
      </c>
      <c r="B359" s="1415" t="s">
        <v>1402</v>
      </c>
      <c r="C359" s="1378" t="s">
        <v>1504</v>
      </c>
      <c r="D359" s="1416">
        <v>150</v>
      </c>
      <c r="E359" s="1378" t="s">
        <v>2807</v>
      </c>
      <c r="F359" s="1378" t="s">
        <v>2930</v>
      </c>
      <c r="G359" s="545">
        <v>28.5</v>
      </c>
    </row>
    <row r="360" spans="1:7">
      <c r="A360" s="1363">
        <v>356</v>
      </c>
      <c r="B360" s="1415" t="s">
        <v>1401</v>
      </c>
      <c r="C360" s="1378" t="s">
        <v>1504</v>
      </c>
      <c r="D360" s="1416">
        <v>150</v>
      </c>
      <c r="E360" s="1378" t="s">
        <v>2807</v>
      </c>
      <c r="F360" s="1378" t="s">
        <v>2931</v>
      </c>
      <c r="G360" s="545">
        <v>28.5</v>
      </c>
    </row>
    <row r="361" spans="1:7">
      <c r="A361" s="1363">
        <v>357</v>
      </c>
      <c r="B361" s="1375" t="s">
        <v>1400</v>
      </c>
      <c r="C361" s="1378" t="s">
        <v>1504</v>
      </c>
      <c r="D361" s="1377">
        <v>84</v>
      </c>
      <c r="E361" s="1378" t="s">
        <v>2807</v>
      </c>
      <c r="F361" s="1378" t="s">
        <v>2932</v>
      </c>
      <c r="G361" s="545">
        <v>28.5</v>
      </c>
    </row>
    <row r="362" spans="1:7">
      <c r="A362" s="1363">
        <v>358</v>
      </c>
      <c r="B362" s="1375" t="s">
        <v>1399</v>
      </c>
      <c r="C362" s="1378" t="s">
        <v>1504</v>
      </c>
      <c r="D362" s="1377">
        <v>83</v>
      </c>
      <c r="E362" s="1378" t="s">
        <v>2807</v>
      </c>
      <c r="F362" s="1378" t="s">
        <v>2933</v>
      </c>
      <c r="G362" s="545">
        <v>28.5</v>
      </c>
    </row>
    <row r="363" spans="1:7">
      <c r="A363" s="1363">
        <v>359</v>
      </c>
      <c r="B363" s="1415" t="s">
        <v>1398</v>
      </c>
      <c r="C363" s="1378" t="s">
        <v>1504</v>
      </c>
      <c r="D363" s="1416">
        <v>150</v>
      </c>
      <c r="E363" s="1378" t="s">
        <v>2807</v>
      </c>
      <c r="F363" s="1378" t="s">
        <v>2934</v>
      </c>
      <c r="G363" s="545">
        <v>28.5</v>
      </c>
    </row>
    <row r="364" spans="1:7">
      <c r="A364" s="1363">
        <v>360</v>
      </c>
      <c r="B364" s="1415" t="s">
        <v>1409</v>
      </c>
      <c r="C364" s="1378" t="s">
        <v>1505</v>
      </c>
      <c r="D364" s="1416">
        <v>115</v>
      </c>
      <c r="E364" s="1378" t="s">
        <v>2809</v>
      </c>
      <c r="F364" s="1378" t="s">
        <v>2935</v>
      </c>
      <c r="G364" s="545">
        <v>21</v>
      </c>
    </row>
    <row r="365" spans="1:7">
      <c r="A365" s="1363">
        <v>361</v>
      </c>
      <c r="B365" s="1415" t="s">
        <v>1408</v>
      </c>
      <c r="C365" s="1378" t="s">
        <v>1505</v>
      </c>
      <c r="D365" s="1416">
        <v>115</v>
      </c>
      <c r="E365" s="1378" t="s">
        <v>2809</v>
      </c>
      <c r="F365" s="1378" t="s">
        <v>2936</v>
      </c>
      <c r="G365" s="545">
        <v>21</v>
      </c>
    </row>
    <row r="366" spans="1:7">
      <c r="A366" s="1363">
        <v>362</v>
      </c>
      <c r="B366" s="1415" t="s">
        <v>1407</v>
      </c>
      <c r="C366" s="1378" t="s">
        <v>1505</v>
      </c>
      <c r="D366" s="1416">
        <v>115</v>
      </c>
      <c r="E366" s="1378" t="s">
        <v>2809</v>
      </c>
      <c r="F366" s="1378" t="s">
        <v>2937</v>
      </c>
      <c r="G366" s="545">
        <v>21</v>
      </c>
    </row>
    <row r="367" spans="1:7">
      <c r="A367" s="1363">
        <v>363</v>
      </c>
      <c r="B367" s="1375" t="s">
        <v>1406</v>
      </c>
      <c r="C367" s="1378" t="s">
        <v>1505</v>
      </c>
      <c r="D367" s="1377">
        <v>90</v>
      </c>
      <c r="E367" s="1378" t="s">
        <v>2809</v>
      </c>
      <c r="F367" s="1378" t="s">
        <v>2938</v>
      </c>
      <c r="G367" s="545">
        <v>21</v>
      </c>
    </row>
    <row r="368" spans="1:7">
      <c r="A368" s="1363">
        <v>364</v>
      </c>
      <c r="B368" s="1375" t="s">
        <v>1405</v>
      </c>
      <c r="C368" s="1378" t="s">
        <v>1505</v>
      </c>
      <c r="D368" s="1377">
        <v>89</v>
      </c>
      <c r="E368" s="1378" t="s">
        <v>2809</v>
      </c>
      <c r="F368" s="1378" t="s">
        <v>2939</v>
      </c>
      <c r="G368" s="545">
        <v>21</v>
      </c>
    </row>
    <row r="369" spans="1:7">
      <c r="A369" s="1363">
        <v>365</v>
      </c>
      <c r="B369" s="1415" t="s">
        <v>1404</v>
      </c>
      <c r="C369" s="1378" t="s">
        <v>1505</v>
      </c>
      <c r="D369" s="1416">
        <v>115</v>
      </c>
      <c r="E369" s="1378" t="s">
        <v>2809</v>
      </c>
      <c r="F369" s="1378" t="s">
        <v>2940</v>
      </c>
      <c r="G369" s="545">
        <v>21</v>
      </c>
    </row>
    <row r="370" spans="1:7">
      <c r="A370" s="1363">
        <v>366</v>
      </c>
      <c r="B370" s="1375" t="s">
        <v>2870</v>
      </c>
      <c r="C370" s="1376" t="s">
        <v>1506</v>
      </c>
      <c r="D370" s="1377">
        <v>113</v>
      </c>
      <c r="E370" s="1376" t="s">
        <v>2813</v>
      </c>
      <c r="F370" s="1376" t="s">
        <v>2941</v>
      </c>
      <c r="G370" s="545">
        <v>15.5</v>
      </c>
    </row>
    <row r="371" spans="1:7">
      <c r="A371" s="1363">
        <v>367</v>
      </c>
      <c r="B371" s="1375" t="s">
        <v>2871</v>
      </c>
      <c r="C371" s="1376" t="s">
        <v>1506</v>
      </c>
      <c r="D371" s="1377">
        <v>109</v>
      </c>
      <c r="E371" s="1376" t="s">
        <v>2813</v>
      </c>
      <c r="F371" s="1376" t="s">
        <v>2942</v>
      </c>
      <c r="G371" s="545">
        <v>15.5</v>
      </c>
    </row>
    <row r="372" spans="1:7">
      <c r="A372" s="1363">
        <v>368</v>
      </c>
      <c r="B372" s="1375" t="s">
        <v>2872</v>
      </c>
      <c r="C372" s="1376" t="s">
        <v>1506</v>
      </c>
      <c r="D372" s="1377">
        <v>98</v>
      </c>
      <c r="E372" s="1376" t="s">
        <v>2813</v>
      </c>
      <c r="F372" s="1376" t="s">
        <v>2808</v>
      </c>
      <c r="G372" s="545">
        <v>15.5</v>
      </c>
    </row>
    <row r="373" spans="1:7">
      <c r="A373" s="1363">
        <v>369</v>
      </c>
      <c r="B373" s="1375" t="s">
        <v>2873</v>
      </c>
      <c r="C373" s="1376" t="s">
        <v>1506</v>
      </c>
      <c r="D373" s="1377">
        <v>121</v>
      </c>
      <c r="E373" s="1376" t="s">
        <v>2813</v>
      </c>
      <c r="F373" s="1376" t="s">
        <v>2943</v>
      </c>
      <c r="G373" s="545">
        <v>15.5</v>
      </c>
    </row>
    <row r="374" spans="1:7">
      <c r="A374" s="1363">
        <v>370</v>
      </c>
      <c r="B374" s="1375" t="s">
        <v>2874</v>
      </c>
      <c r="C374" s="1376" t="s">
        <v>1506</v>
      </c>
      <c r="D374" s="1377">
        <v>117</v>
      </c>
      <c r="E374" s="1376" t="s">
        <v>2813</v>
      </c>
      <c r="F374" s="1376" t="s">
        <v>2944</v>
      </c>
      <c r="G374" s="545">
        <v>15.5</v>
      </c>
    </row>
    <row r="375" spans="1:7">
      <c r="A375" s="1363">
        <v>371</v>
      </c>
      <c r="B375" s="1375" t="s">
        <v>2875</v>
      </c>
      <c r="C375" s="1376" t="s">
        <v>1506</v>
      </c>
      <c r="D375" s="1377">
        <v>102</v>
      </c>
      <c r="E375" s="1376" t="s">
        <v>2813</v>
      </c>
      <c r="F375" s="1376" t="s">
        <v>2945</v>
      </c>
      <c r="G375" s="545">
        <v>15.5</v>
      </c>
    </row>
    <row r="376" spans="1:7">
      <c r="A376" s="1363">
        <v>372</v>
      </c>
      <c r="B376" s="1375" t="s">
        <v>2864</v>
      </c>
      <c r="C376" s="1376" t="s">
        <v>1506</v>
      </c>
      <c r="D376" s="1377">
        <v>113</v>
      </c>
      <c r="E376" s="1376" t="s">
        <v>2813</v>
      </c>
      <c r="F376" s="1376" t="s">
        <v>2941</v>
      </c>
      <c r="G376" s="545">
        <v>15</v>
      </c>
    </row>
    <row r="377" spans="1:7">
      <c r="A377" s="1363">
        <v>373</v>
      </c>
      <c r="B377" s="1375" t="s">
        <v>2865</v>
      </c>
      <c r="C377" s="1376" t="s">
        <v>1506</v>
      </c>
      <c r="D377" s="1377">
        <v>109</v>
      </c>
      <c r="E377" s="1376" t="s">
        <v>2813</v>
      </c>
      <c r="F377" s="1376" t="s">
        <v>2942</v>
      </c>
      <c r="G377" s="545">
        <v>15</v>
      </c>
    </row>
    <row r="378" spans="1:7">
      <c r="A378" s="1363">
        <v>374</v>
      </c>
      <c r="B378" s="1375" t="s">
        <v>2866</v>
      </c>
      <c r="C378" s="1376" t="s">
        <v>1506</v>
      </c>
      <c r="D378" s="1377">
        <v>98</v>
      </c>
      <c r="E378" s="1376" t="s">
        <v>2813</v>
      </c>
      <c r="F378" s="1376" t="s">
        <v>2808</v>
      </c>
      <c r="G378" s="545">
        <v>15</v>
      </c>
    </row>
    <row r="379" spans="1:7">
      <c r="A379" s="1363">
        <v>375</v>
      </c>
      <c r="B379" s="1375" t="s">
        <v>2867</v>
      </c>
      <c r="C379" s="1376" t="s">
        <v>1506</v>
      </c>
      <c r="D379" s="1377">
        <v>121</v>
      </c>
      <c r="E379" s="1376" t="s">
        <v>2813</v>
      </c>
      <c r="F379" s="1376" t="s">
        <v>2943</v>
      </c>
      <c r="G379" s="545">
        <v>15</v>
      </c>
    </row>
    <row r="380" spans="1:7">
      <c r="A380" s="1363">
        <v>376</v>
      </c>
      <c r="B380" s="1375" t="s">
        <v>2868</v>
      </c>
      <c r="C380" s="1376" t="s">
        <v>1506</v>
      </c>
      <c r="D380" s="1377">
        <v>117</v>
      </c>
      <c r="E380" s="1376" t="s">
        <v>2813</v>
      </c>
      <c r="F380" s="1376" t="s">
        <v>2944</v>
      </c>
      <c r="G380" s="545">
        <v>15</v>
      </c>
    </row>
    <row r="381" spans="1:7">
      <c r="A381" s="1363">
        <v>377</v>
      </c>
      <c r="B381" s="1375" t="s">
        <v>2869</v>
      </c>
      <c r="C381" s="1376" t="s">
        <v>1506</v>
      </c>
      <c r="D381" s="1377">
        <v>102</v>
      </c>
      <c r="E381" s="1376" t="s">
        <v>2813</v>
      </c>
      <c r="F381" s="1376" t="s">
        <v>2945</v>
      </c>
      <c r="G381" s="545">
        <v>15</v>
      </c>
    </row>
    <row r="382" spans="1:7">
      <c r="A382" s="1363">
        <v>378</v>
      </c>
      <c r="B382" s="1375" t="s">
        <v>1429</v>
      </c>
      <c r="C382" s="1376" t="s">
        <v>1506</v>
      </c>
      <c r="D382" s="1377">
        <v>113</v>
      </c>
      <c r="E382" s="1376" t="s">
        <v>2813</v>
      </c>
      <c r="F382" s="1376" t="s">
        <v>2941</v>
      </c>
      <c r="G382" s="545">
        <v>14</v>
      </c>
    </row>
    <row r="383" spans="1:7">
      <c r="A383" s="1363">
        <v>379</v>
      </c>
      <c r="B383" s="1375" t="s">
        <v>1425</v>
      </c>
      <c r="C383" s="1376" t="s">
        <v>1506</v>
      </c>
      <c r="D383" s="1377">
        <v>109</v>
      </c>
      <c r="E383" s="1376" t="s">
        <v>2813</v>
      </c>
      <c r="F383" s="1376" t="s">
        <v>2942</v>
      </c>
      <c r="G383" s="545">
        <v>14</v>
      </c>
    </row>
    <row r="384" spans="1:7">
      <c r="A384" s="1363">
        <v>380</v>
      </c>
      <c r="B384" s="1415" t="s">
        <v>1414</v>
      </c>
      <c r="C384" s="1376" t="s">
        <v>1506</v>
      </c>
      <c r="D384" s="1416">
        <v>70</v>
      </c>
      <c r="E384" s="1376" t="s">
        <v>2813</v>
      </c>
      <c r="F384" s="1376" t="s">
        <v>2808</v>
      </c>
      <c r="G384" s="545">
        <v>14</v>
      </c>
    </row>
    <row r="385" spans="1:7">
      <c r="A385" s="1363">
        <v>381</v>
      </c>
      <c r="B385" s="1375" t="s">
        <v>1437</v>
      </c>
      <c r="C385" s="1376" t="s">
        <v>1506</v>
      </c>
      <c r="D385" s="1377">
        <v>121</v>
      </c>
      <c r="E385" s="1376" t="s">
        <v>2813</v>
      </c>
      <c r="F385" s="1376" t="s">
        <v>2943</v>
      </c>
      <c r="G385" s="545">
        <v>14</v>
      </c>
    </row>
    <row r="386" spans="1:7">
      <c r="A386" s="1363">
        <v>382</v>
      </c>
      <c r="B386" s="1375" t="s">
        <v>1433</v>
      </c>
      <c r="C386" s="1376" t="s">
        <v>1506</v>
      </c>
      <c r="D386" s="1377">
        <v>117</v>
      </c>
      <c r="E386" s="1376" t="s">
        <v>2813</v>
      </c>
      <c r="F386" s="1376" t="s">
        <v>2944</v>
      </c>
      <c r="G386" s="545">
        <v>14</v>
      </c>
    </row>
    <row r="387" spans="1:7">
      <c r="A387" s="1363">
        <v>383</v>
      </c>
      <c r="B387" s="1415" t="s">
        <v>1418</v>
      </c>
      <c r="C387" s="1376" t="s">
        <v>1506</v>
      </c>
      <c r="D387" s="1416">
        <v>70</v>
      </c>
      <c r="E387" s="1376" t="s">
        <v>2813</v>
      </c>
      <c r="F387" s="1376" t="s">
        <v>2945</v>
      </c>
      <c r="G387" s="545">
        <v>14</v>
      </c>
    </row>
    <row r="388" spans="1:7">
      <c r="A388" s="1363">
        <v>384</v>
      </c>
      <c r="B388" s="1375" t="s">
        <v>1428</v>
      </c>
      <c r="C388" s="1376" t="s">
        <v>1506</v>
      </c>
      <c r="D388" s="1377">
        <v>112</v>
      </c>
      <c r="E388" s="1376" t="s">
        <v>2813</v>
      </c>
      <c r="F388" s="1376" t="s">
        <v>2941</v>
      </c>
      <c r="G388" s="545">
        <v>13</v>
      </c>
    </row>
    <row r="389" spans="1:7">
      <c r="A389" s="1363">
        <v>385</v>
      </c>
      <c r="B389" s="1375" t="s">
        <v>1424</v>
      </c>
      <c r="C389" s="1376" t="s">
        <v>1506</v>
      </c>
      <c r="D389" s="1377">
        <v>108</v>
      </c>
      <c r="E389" s="1376" t="s">
        <v>2813</v>
      </c>
      <c r="F389" s="1376" t="s">
        <v>2942</v>
      </c>
      <c r="G389" s="545">
        <v>13</v>
      </c>
    </row>
    <row r="390" spans="1:7">
      <c r="A390" s="1363">
        <v>386</v>
      </c>
      <c r="B390" s="1375" t="s">
        <v>1413</v>
      </c>
      <c r="C390" s="1376" t="s">
        <v>1506</v>
      </c>
      <c r="D390" s="1377">
        <v>65</v>
      </c>
      <c r="E390" s="1376" t="s">
        <v>2813</v>
      </c>
      <c r="F390" s="1376" t="s">
        <v>2808</v>
      </c>
      <c r="G390" s="545">
        <v>13</v>
      </c>
    </row>
    <row r="391" spans="1:7">
      <c r="A391" s="1363">
        <v>387</v>
      </c>
      <c r="B391" s="1375" t="s">
        <v>1436</v>
      </c>
      <c r="C391" s="1376" t="s">
        <v>1506</v>
      </c>
      <c r="D391" s="1377">
        <v>120</v>
      </c>
      <c r="E391" s="1376" t="s">
        <v>2813</v>
      </c>
      <c r="F391" s="1376" t="s">
        <v>2943</v>
      </c>
      <c r="G391" s="545">
        <v>13</v>
      </c>
    </row>
    <row r="392" spans="1:7">
      <c r="A392" s="1363">
        <v>388</v>
      </c>
      <c r="B392" s="1375" t="s">
        <v>1432</v>
      </c>
      <c r="C392" s="1376" t="s">
        <v>1506</v>
      </c>
      <c r="D392" s="1377">
        <v>116</v>
      </c>
      <c r="E392" s="1376" t="s">
        <v>2813</v>
      </c>
      <c r="F392" s="1376" t="s">
        <v>2944</v>
      </c>
      <c r="G392" s="545">
        <v>13</v>
      </c>
    </row>
    <row r="393" spans="1:7">
      <c r="A393" s="1363">
        <v>389</v>
      </c>
      <c r="B393" s="1415" t="s">
        <v>1417</v>
      </c>
      <c r="C393" s="1376" t="s">
        <v>1506</v>
      </c>
      <c r="D393" s="1416">
        <v>65</v>
      </c>
      <c r="E393" s="1376" t="s">
        <v>2813</v>
      </c>
      <c r="F393" s="1376" t="s">
        <v>2945</v>
      </c>
      <c r="G393" s="545">
        <v>13</v>
      </c>
    </row>
    <row r="394" spans="1:7">
      <c r="A394" s="1363">
        <v>390</v>
      </c>
      <c r="B394" s="1375" t="s">
        <v>1427</v>
      </c>
      <c r="C394" s="1376" t="s">
        <v>1506</v>
      </c>
      <c r="D394" s="1377">
        <v>111</v>
      </c>
      <c r="E394" s="1376" t="s">
        <v>2813</v>
      </c>
      <c r="F394" s="1376" t="s">
        <v>2941</v>
      </c>
      <c r="G394" s="545">
        <v>12.5</v>
      </c>
    </row>
    <row r="395" spans="1:7">
      <c r="A395" s="1363">
        <v>391</v>
      </c>
      <c r="B395" s="1375" t="s">
        <v>1423</v>
      </c>
      <c r="C395" s="1376" t="s">
        <v>1506</v>
      </c>
      <c r="D395" s="1377">
        <v>107</v>
      </c>
      <c r="E395" s="1376" t="s">
        <v>2813</v>
      </c>
      <c r="F395" s="1376" t="s">
        <v>2942</v>
      </c>
      <c r="G395" s="545">
        <v>12.5</v>
      </c>
    </row>
    <row r="396" spans="1:7">
      <c r="A396" s="1363">
        <v>392</v>
      </c>
      <c r="B396" s="1415" t="s">
        <v>1412</v>
      </c>
      <c r="C396" s="1376" t="s">
        <v>1506</v>
      </c>
      <c r="D396" s="1416">
        <v>63</v>
      </c>
      <c r="E396" s="1376" t="s">
        <v>2813</v>
      </c>
      <c r="F396" s="1376" t="s">
        <v>2808</v>
      </c>
      <c r="G396" s="545">
        <v>12.5</v>
      </c>
    </row>
    <row r="397" spans="1:7">
      <c r="A397" s="1363">
        <v>393</v>
      </c>
      <c r="B397" s="1375" t="s">
        <v>1435</v>
      </c>
      <c r="C397" s="1376" t="s">
        <v>1506</v>
      </c>
      <c r="D397" s="1377">
        <v>119</v>
      </c>
      <c r="E397" s="1376" t="s">
        <v>2813</v>
      </c>
      <c r="F397" s="1376" t="s">
        <v>2943</v>
      </c>
      <c r="G397" s="545">
        <v>12.5</v>
      </c>
    </row>
    <row r="398" spans="1:7">
      <c r="A398" s="1363">
        <v>394</v>
      </c>
      <c r="B398" s="1375" t="s">
        <v>1431</v>
      </c>
      <c r="C398" s="1376" t="s">
        <v>1506</v>
      </c>
      <c r="D398" s="1377">
        <v>115</v>
      </c>
      <c r="E398" s="1376" t="s">
        <v>2813</v>
      </c>
      <c r="F398" s="1376" t="s">
        <v>2944</v>
      </c>
      <c r="G398" s="545">
        <v>12.5</v>
      </c>
    </row>
    <row r="399" spans="1:7">
      <c r="A399" s="1363">
        <v>395</v>
      </c>
      <c r="B399" s="1375" t="s">
        <v>1416</v>
      </c>
      <c r="C399" s="1376" t="s">
        <v>1506</v>
      </c>
      <c r="D399" s="1377">
        <v>100</v>
      </c>
      <c r="E399" s="1376" t="s">
        <v>2813</v>
      </c>
      <c r="F399" s="1376" t="s">
        <v>2945</v>
      </c>
      <c r="G399" s="545">
        <v>12.5</v>
      </c>
    </row>
    <row r="400" spans="1:7">
      <c r="A400" s="1363">
        <v>396</v>
      </c>
      <c r="B400" s="1375" t="s">
        <v>1426</v>
      </c>
      <c r="C400" s="1376" t="s">
        <v>1506</v>
      </c>
      <c r="D400" s="1377">
        <v>110</v>
      </c>
      <c r="E400" s="1376" t="s">
        <v>2813</v>
      </c>
      <c r="F400" s="1376" t="s">
        <v>2941</v>
      </c>
      <c r="G400" s="545">
        <v>12</v>
      </c>
    </row>
    <row r="401" spans="1:7">
      <c r="A401" s="1363">
        <v>397</v>
      </c>
      <c r="B401" s="1375" t="s">
        <v>1422</v>
      </c>
      <c r="C401" s="1376" t="s">
        <v>1506</v>
      </c>
      <c r="D401" s="1377">
        <v>106</v>
      </c>
      <c r="E401" s="1376" t="s">
        <v>2813</v>
      </c>
      <c r="F401" s="1376" t="s">
        <v>2942</v>
      </c>
      <c r="G401" s="545">
        <v>12</v>
      </c>
    </row>
    <row r="402" spans="1:7">
      <c r="A402" s="1363">
        <v>398</v>
      </c>
      <c r="B402" s="1415" t="s">
        <v>1411</v>
      </c>
      <c r="C402" s="1376" t="s">
        <v>1506</v>
      </c>
      <c r="D402" s="1416">
        <v>60</v>
      </c>
      <c r="E402" s="1376" t="s">
        <v>2813</v>
      </c>
      <c r="F402" s="1376" t="s">
        <v>2808</v>
      </c>
      <c r="G402" s="545">
        <v>12</v>
      </c>
    </row>
    <row r="403" spans="1:7">
      <c r="A403" s="1363">
        <v>399</v>
      </c>
      <c r="B403" s="1375" t="s">
        <v>1434</v>
      </c>
      <c r="C403" s="1376" t="s">
        <v>1506</v>
      </c>
      <c r="D403" s="1377">
        <v>118</v>
      </c>
      <c r="E403" s="1376" t="s">
        <v>2813</v>
      </c>
      <c r="F403" s="1376" t="s">
        <v>2943</v>
      </c>
      <c r="G403" s="545">
        <v>12</v>
      </c>
    </row>
    <row r="404" spans="1:7">
      <c r="A404" s="1363">
        <v>400</v>
      </c>
      <c r="B404" s="1375" t="s">
        <v>1430</v>
      </c>
      <c r="C404" s="1376" t="s">
        <v>1506</v>
      </c>
      <c r="D404" s="1377">
        <v>114</v>
      </c>
      <c r="E404" s="1376" t="s">
        <v>2813</v>
      </c>
      <c r="F404" s="1376" t="s">
        <v>2944</v>
      </c>
      <c r="G404" s="545">
        <v>12</v>
      </c>
    </row>
    <row r="405" spans="1:7">
      <c r="A405" s="1363">
        <v>401</v>
      </c>
      <c r="B405" s="1375" t="s">
        <v>1415</v>
      </c>
      <c r="C405" s="1376" t="s">
        <v>1506</v>
      </c>
      <c r="D405" s="1377">
        <v>99</v>
      </c>
      <c r="E405" s="1376" t="s">
        <v>2813</v>
      </c>
      <c r="F405" s="1376" t="s">
        <v>2945</v>
      </c>
      <c r="G405" s="545">
        <v>10</v>
      </c>
    </row>
    <row r="406" spans="1:7">
      <c r="A406" s="1363">
        <v>402</v>
      </c>
      <c r="B406" s="1415" t="s">
        <v>2843</v>
      </c>
      <c r="C406" s="1376" t="s">
        <v>1506</v>
      </c>
      <c r="D406" s="1416">
        <v>50</v>
      </c>
      <c r="E406" s="1376" t="s">
        <v>2813</v>
      </c>
      <c r="F406" s="1376" t="s">
        <v>2808</v>
      </c>
      <c r="G406" s="545">
        <v>10</v>
      </c>
    </row>
    <row r="407" spans="1:7">
      <c r="A407" s="1363">
        <v>403</v>
      </c>
      <c r="B407" s="1375" t="s">
        <v>2839</v>
      </c>
      <c r="C407" s="1376" t="s">
        <v>1506</v>
      </c>
      <c r="D407" s="1377">
        <v>123</v>
      </c>
      <c r="E407" s="1376" t="s">
        <v>2813</v>
      </c>
      <c r="F407" s="1376" t="s">
        <v>2946</v>
      </c>
      <c r="G407" s="545">
        <v>10</v>
      </c>
    </row>
    <row r="408" spans="1:7">
      <c r="A408" s="1363">
        <v>404</v>
      </c>
      <c r="B408" s="1375" t="s">
        <v>2838</v>
      </c>
      <c r="C408" s="1376" t="s">
        <v>1506</v>
      </c>
      <c r="D408" s="1377">
        <v>122</v>
      </c>
      <c r="E408" s="1376" t="s">
        <v>2813</v>
      </c>
      <c r="F408" s="1376" t="s">
        <v>2947</v>
      </c>
      <c r="G408" s="545">
        <v>10</v>
      </c>
    </row>
    <row r="409" spans="1:7">
      <c r="A409" s="1363">
        <v>405</v>
      </c>
      <c r="B409" s="1375" t="s">
        <v>2837</v>
      </c>
      <c r="C409" s="1376" t="s">
        <v>1506</v>
      </c>
      <c r="D409" s="1377">
        <v>103</v>
      </c>
      <c r="E409" s="1376" t="s">
        <v>2813</v>
      </c>
      <c r="F409" s="1376" t="s">
        <v>2940</v>
      </c>
      <c r="G409" s="545">
        <v>10</v>
      </c>
    </row>
    <row r="410" spans="1:7">
      <c r="A410" s="1363">
        <v>406</v>
      </c>
      <c r="B410" s="1415" t="s">
        <v>2896</v>
      </c>
      <c r="C410" s="1376" t="s">
        <v>1506</v>
      </c>
      <c r="D410" s="1416">
        <v>50</v>
      </c>
      <c r="E410" s="1376" t="s">
        <v>2813</v>
      </c>
      <c r="F410" s="1376" t="s">
        <v>2945</v>
      </c>
      <c r="G410" s="545">
        <v>10</v>
      </c>
    </row>
    <row r="411" spans="1:7">
      <c r="A411" s="1363">
        <v>407</v>
      </c>
      <c r="B411" s="1415" t="s">
        <v>2853</v>
      </c>
      <c r="C411" s="1376" t="s">
        <v>1506</v>
      </c>
      <c r="D411" s="1416">
        <v>43</v>
      </c>
      <c r="E411" s="1376" t="s">
        <v>2813</v>
      </c>
      <c r="F411" s="1376" t="s">
        <v>2808</v>
      </c>
      <c r="G411" s="545">
        <v>8.5</v>
      </c>
    </row>
    <row r="412" spans="1:7">
      <c r="A412" s="1363">
        <v>408</v>
      </c>
      <c r="B412" s="1375" t="s">
        <v>2840</v>
      </c>
      <c r="C412" s="1376" t="s">
        <v>1506</v>
      </c>
      <c r="D412" s="1377">
        <v>123</v>
      </c>
      <c r="E412" s="1376" t="s">
        <v>2813</v>
      </c>
      <c r="F412" s="1376" t="s">
        <v>2946</v>
      </c>
      <c r="G412" s="545">
        <v>8.5</v>
      </c>
    </row>
    <row r="413" spans="1:7">
      <c r="A413" s="1363">
        <v>409</v>
      </c>
      <c r="B413" s="1375" t="s">
        <v>2841</v>
      </c>
      <c r="C413" s="1376" t="s">
        <v>1506</v>
      </c>
      <c r="D413" s="1377">
        <v>122</v>
      </c>
      <c r="E413" s="1376" t="s">
        <v>2813</v>
      </c>
      <c r="F413" s="1376" t="s">
        <v>2947</v>
      </c>
      <c r="G413" s="545">
        <v>8.5</v>
      </c>
    </row>
    <row r="414" spans="1:7">
      <c r="A414" s="1363">
        <v>410</v>
      </c>
      <c r="B414" s="1375" t="s">
        <v>2842</v>
      </c>
      <c r="C414" s="1376" t="s">
        <v>1506</v>
      </c>
      <c r="D414" s="1377">
        <v>103</v>
      </c>
      <c r="E414" s="1376" t="s">
        <v>2813</v>
      </c>
      <c r="F414" s="1376" t="s">
        <v>2940</v>
      </c>
      <c r="G414" s="545">
        <v>8.5</v>
      </c>
    </row>
    <row r="415" spans="1:7">
      <c r="A415" s="1363">
        <v>411</v>
      </c>
      <c r="B415" s="1415" t="s">
        <v>2895</v>
      </c>
      <c r="C415" s="1376" t="s">
        <v>1506</v>
      </c>
      <c r="D415" s="1416">
        <v>50</v>
      </c>
      <c r="E415" s="1376" t="s">
        <v>2813</v>
      </c>
      <c r="F415" s="1376" t="s">
        <v>2945</v>
      </c>
      <c r="G415" s="545">
        <v>8.5</v>
      </c>
    </row>
    <row r="416" spans="1:7">
      <c r="A416" s="1363">
        <v>412</v>
      </c>
      <c r="B416" s="1375" t="s">
        <v>1439</v>
      </c>
      <c r="C416" s="1376" t="s">
        <v>1506</v>
      </c>
      <c r="D416" s="1377">
        <v>123</v>
      </c>
      <c r="E416" s="1376" t="s">
        <v>2813</v>
      </c>
      <c r="F416" s="1376" t="s">
        <v>2946</v>
      </c>
      <c r="G416" s="545">
        <v>8</v>
      </c>
    </row>
    <row r="417" spans="1:7">
      <c r="A417" s="1363">
        <v>413</v>
      </c>
      <c r="B417" s="1375" t="s">
        <v>1438</v>
      </c>
      <c r="C417" s="1376" t="s">
        <v>1506</v>
      </c>
      <c r="D417" s="1377">
        <v>122</v>
      </c>
      <c r="E417" s="1376" t="s">
        <v>2813</v>
      </c>
      <c r="F417" s="1376" t="s">
        <v>2947</v>
      </c>
      <c r="G417" s="545">
        <v>8</v>
      </c>
    </row>
    <row r="418" spans="1:7">
      <c r="A418" s="1363">
        <v>414</v>
      </c>
      <c r="B418" s="1415" t="s">
        <v>1419</v>
      </c>
      <c r="C418" s="1376" t="s">
        <v>1506</v>
      </c>
      <c r="D418" s="1416">
        <v>40</v>
      </c>
      <c r="E418" s="1376" t="s">
        <v>2813</v>
      </c>
      <c r="F418" s="1376" t="s">
        <v>2940</v>
      </c>
      <c r="G418" s="545">
        <v>8</v>
      </c>
    </row>
    <row r="419" spans="1:7">
      <c r="A419" s="1363">
        <v>415</v>
      </c>
      <c r="B419" s="1375" t="s">
        <v>1421</v>
      </c>
      <c r="C419" s="1376" t="s">
        <v>1506</v>
      </c>
      <c r="D419" s="1377">
        <v>105</v>
      </c>
      <c r="E419" s="1376" t="s">
        <v>2813</v>
      </c>
      <c r="F419" s="1376" t="s">
        <v>2948</v>
      </c>
      <c r="G419" s="545">
        <v>8</v>
      </c>
    </row>
    <row r="420" spans="1:7">
      <c r="A420" s="1363">
        <v>416</v>
      </c>
      <c r="B420" s="1375" t="s">
        <v>1420</v>
      </c>
      <c r="C420" s="1376" t="s">
        <v>1506</v>
      </c>
      <c r="D420" s="1377">
        <v>104</v>
      </c>
      <c r="E420" s="1376" t="s">
        <v>2813</v>
      </c>
      <c r="F420" s="1376" t="s">
        <v>2949</v>
      </c>
      <c r="G420" s="545">
        <v>8</v>
      </c>
    </row>
    <row r="421" spans="1:7">
      <c r="A421" s="1363">
        <v>417</v>
      </c>
      <c r="B421" s="1375" t="s">
        <v>1410</v>
      </c>
      <c r="C421" s="1376" t="s">
        <v>1506</v>
      </c>
      <c r="D421" s="1377">
        <v>94</v>
      </c>
      <c r="E421" s="1376" t="s">
        <v>2813</v>
      </c>
      <c r="F421" s="1376" t="s">
        <v>2950</v>
      </c>
      <c r="G421" s="545" t="e">
        <f>VLOOKUP(B:B,Weight_Table!A:B,2,FALSE)</f>
        <v>#N/A</v>
      </c>
    </row>
    <row r="422" spans="1:7">
      <c r="A422" s="1363">
        <v>418</v>
      </c>
      <c r="B422" s="1415" t="s">
        <v>1380</v>
      </c>
      <c r="C422" s="1376" t="s">
        <v>1503</v>
      </c>
      <c r="D422" s="1416">
        <v>140</v>
      </c>
      <c r="E422" s="1376" t="s">
        <v>2812</v>
      </c>
      <c r="F422" s="1376" t="s">
        <v>2945</v>
      </c>
      <c r="G422" s="545">
        <v>28</v>
      </c>
    </row>
    <row r="423" spans="1:7">
      <c r="A423" s="1363">
        <v>419</v>
      </c>
      <c r="B423" s="1375" t="s">
        <v>2858</v>
      </c>
      <c r="C423" s="1376" t="s">
        <v>1503</v>
      </c>
      <c r="D423" s="1377">
        <v>71</v>
      </c>
      <c r="E423" s="1376" t="s">
        <v>2811</v>
      </c>
      <c r="F423" s="1376" t="s">
        <v>2951</v>
      </c>
      <c r="G423" s="545">
        <v>28</v>
      </c>
    </row>
    <row r="424" spans="1:7">
      <c r="A424" s="1363">
        <v>420</v>
      </c>
      <c r="B424" s="1375" t="s">
        <v>2859</v>
      </c>
      <c r="C424" s="1376" t="s">
        <v>1503</v>
      </c>
      <c r="D424" s="1377">
        <v>58</v>
      </c>
      <c r="E424" s="1376" t="s">
        <v>2811</v>
      </c>
      <c r="F424" s="1376" t="s">
        <v>2952</v>
      </c>
      <c r="G424" s="545">
        <v>28</v>
      </c>
    </row>
    <row r="425" spans="1:7">
      <c r="A425" s="1363">
        <v>420</v>
      </c>
      <c r="B425" s="1415" t="s">
        <v>2966</v>
      </c>
      <c r="C425" s="1376" t="s">
        <v>1503</v>
      </c>
      <c r="D425" s="1416">
        <v>140</v>
      </c>
      <c r="E425" s="1376" t="s">
        <v>2811</v>
      </c>
      <c r="F425" s="1376" t="s">
        <v>2945</v>
      </c>
      <c r="G425" s="545">
        <v>28</v>
      </c>
    </row>
    <row r="426" spans="1:7">
      <c r="A426" s="1363">
        <v>421</v>
      </c>
      <c r="B426" s="1375" t="s">
        <v>2860</v>
      </c>
      <c r="C426" s="1376" t="s">
        <v>1503</v>
      </c>
      <c r="D426" s="1377">
        <v>79</v>
      </c>
      <c r="E426" s="1376" t="s">
        <v>2811</v>
      </c>
      <c r="F426" s="1376" t="s">
        <v>2953</v>
      </c>
      <c r="G426" s="545">
        <v>28</v>
      </c>
    </row>
    <row r="427" spans="1:7">
      <c r="A427" s="1363">
        <v>422</v>
      </c>
      <c r="B427" s="1375" t="s">
        <v>2861</v>
      </c>
      <c r="C427" s="1376" t="s">
        <v>1503</v>
      </c>
      <c r="D427" s="1377">
        <v>75</v>
      </c>
      <c r="E427" s="1376" t="s">
        <v>2811</v>
      </c>
      <c r="F427" s="1376" t="s">
        <v>2954</v>
      </c>
      <c r="G427" s="545">
        <v>28</v>
      </c>
    </row>
    <row r="428" spans="1:7">
      <c r="A428" s="1363">
        <v>423</v>
      </c>
      <c r="B428" s="1375" t="s">
        <v>2854</v>
      </c>
      <c r="C428" s="1376" t="s">
        <v>1503</v>
      </c>
      <c r="D428" s="1377">
        <v>71</v>
      </c>
      <c r="E428" s="1376" t="s">
        <v>2811</v>
      </c>
      <c r="F428" s="1376" t="s">
        <v>2951</v>
      </c>
      <c r="G428" s="545">
        <v>27</v>
      </c>
    </row>
    <row r="429" spans="1:7">
      <c r="A429" s="1363">
        <v>424</v>
      </c>
      <c r="B429" s="1415" t="s">
        <v>1379</v>
      </c>
      <c r="C429" s="1376" t="s">
        <v>1503</v>
      </c>
      <c r="D429" s="1416">
        <v>135</v>
      </c>
      <c r="E429" s="1376" t="s">
        <v>2811</v>
      </c>
      <c r="F429" s="1376" t="s">
        <v>2945</v>
      </c>
      <c r="G429" s="545">
        <v>27</v>
      </c>
    </row>
    <row r="430" spans="1:7">
      <c r="A430" s="1363">
        <v>425</v>
      </c>
      <c r="B430" s="1375" t="s">
        <v>2854</v>
      </c>
      <c r="C430" s="1376" t="s">
        <v>1503</v>
      </c>
      <c r="D430" s="1377">
        <v>71</v>
      </c>
      <c r="E430" s="1376" t="s">
        <v>2811</v>
      </c>
      <c r="F430" s="1376" t="s">
        <v>2951</v>
      </c>
      <c r="G430" s="545">
        <v>27</v>
      </c>
    </row>
    <row r="431" spans="1:7">
      <c r="A431" s="1363">
        <v>426</v>
      </c>
      <c r="B431" s="1375" t="s">
        <v>2855</v>
      </c>
      <c r="C431" s="1376" t="s">
        <v>1503</v>
      </c>
      <c r="D431" s="1377">
        <v>58</v>
      </c>
      <c r="E431" s="1376" t="s">
        <v>2811</v>
      </c>
      <c r="F431" s="1376" t="s">
        <v>2952</v>
      </c>
      <c r="G431" s="545">
        <v>27</v>
      </c>
    </row>
    <row r="432" spans="1:7">
      <c r="A432" s="1363">
        <v>427</v>
      </c>
      <c r="B432" s="1375" t="s">
        <v>2856</v>
      </c>
      <c r="C432" s="1376" t="s">
        <v>1503</v>
      </c>
      <c r="D432" s="1377">
        <v>79</v>
      </c>
      <c r="E432" s="1376" t="s">
        <v>2811</v>
      </c>
      <c r="F432" s="1376" t="s">
        <v>2953</v>
      </c>
      <c r="G432" s="545">
        <v>27</v>
      </c>
    </row>
    <row r="433" spans="1:7">
      <c r="A433" s="1363">
        <v>428</v>
      </c>
      <c r="B433" s="1375" t="s">
        <v>2857</v>
      </c>
      <c r="C433" s="1376" t="s">
        <v>1503</v>
      </c>
      <c r="D433" s="1377">
        <v>75</v>
      </c>
      <c r="E433" s="1376" t="s">
        <v>2811</v>
      </c>
      <c r="F433" s="1376" t="s">
        <v>2954</v>
      </c>
      <c r="G433" s="545">
        <v>27</v>
      </c>
    </row>
    <row r="434" spans="1:7">
      <c r="A434" s="1363">
        <v>429</v>
      </c>
      <c r="B434" s="1375" t="s">
        <v>1387</v>
      </c>
      <c r="C434" s="1376" t="s">
        <v>1503</v>
      </c>
      <c r="D434" s="1377">
        <v>71</v>
      </c>
      <c r="E434" s="1376" t="s">
        <v>2811</v>
      </c>
      <c r="F434" s="1376" t="s">
        <v>2951</v>
      </c>
      <c r="G434" s="545">
        <v>26</v>
      </c>
    </row>
    <row r="435" spans="1:7">
      <c r="A435" s="1363">
        <v>430</v>
      </c>
      <c r="B435" s="1415" t="s">
        <v>1374</v>
      </c>
      <c r="C435" s="1376" t="s">
        <v>1503</v>
      </c>
      <c r="D435" s="1416">
        <v>130</v>
      </c>
      <c r="E435" s="1376" t="s">
        <v>2811</v>
      </c>
      <c r="F435" s="1376" t="s">
        <v>2952</v>
      </c>
      <c r="G435" s="545">
        <v>26</v>
      </c>
    </row>
    <row r="436" spans="1:7">
      <c r="A436" s="1363">
        <v>431</v>
      </c>
      <c r="B436" s="1375" t="s">
        <v>2963</v>
      </c>
      <c r="C436" s="1376" t="s">
        <v>1503</v>
      </c>
      <c r="D436" s="1377">
        <v>79</v>
      </c>
      <c r="E436" s="1376" t="s">
        <v>2811</v>
      </c>
      <c r="F436" s="1376" t="s">
        <v>2955</v>
      </c>
      <c r="G436" s="545">
        <v>26</v>
      </c>
    </row>
    <row r="437" spans="1:7">
      <c r="A437" s="1363">
        <v>432</v>
      </c>
      <c r="B437" s="1375" t="s">
        <v>2964</v>
      </c>
      <c r="C437" s="1376" t="s">
        <v>1503</v>
      </c>
      <c r="D437" s="1377">
        <v>75</v>
      </c>
      <c r="E437" s="1376" t="s">
        <v>2811</v>
      </c>
      <c r="F437" s="1376" t="s">
        <v>2965</v>
      </c>
      <c r="G437" s="545">
        <v>26</v>
      </c>
    </row>
    <row r="438" spans="1:7">
      <c r="A438" s="1363">
        <v>431</v>
      </c>
      <c r="B438" s="1375" t="s">
        <v>1395</v>
      </c>
      <c r="C438" s="1376" t="s">
        <v>1503</v>
      </c>
      <c r="D438" s="1377">
        <v>79</v>
      </c>
      <c r="E438" s="1376" t="s">
        <v>2811</v>
      </c>
      <c r="F438" s="1376" t="s">
        <v>2953</v>
      </c>
      <c r="G438" s="545">
        <v>26</v>
      </c>
    </row>
    <row r="439" spans="1:7">
      <c r="A439" s="1363">
        <v>432</v>
      </c>
      <c r="B439" s="1375" t="s">
        <v>1391</v>
      </c>
      <c r="C439" s="1376" t="s">
        <v>1503</v>
      </c>
      <c r="D439" s="1377">
        <v>75</v>
      </c>
      <c r="E439" s="1376" t="s">
        <v>2811</v>
      </c>
      <c r="F439" s="1376" t="s">
        <v>2954</v>
      </c>
      <c r="G439" s="545">
        <v>26</v>
      </c>
    </row>
    <row r="440" spans="1:7">
      <c r="A440" s="1363">
        <v>433</v>
      </c>
      <c r="B440" s="1415" t="s">
        <v>1378</v>
      </c>
      <c r="C440" s="1376" t="s">
        <v>1503</v>
      </c>
      <c r="D440" s="1416">
        <v>130</v>
      </c>
      <c r="E440" s="1376" t="s">
        <v>2811</v>
      </c>
      <c r="F440" s="1376" t="s">
        <v>2945</v>
      </c>
      <c r="G440" s="545">
        <v>26</v>
      </c>
    </row>
    <row r="441" spans="1:7">
      <c r="A441" s="1363">
        <v>434</v>
      </c>
      <c r="B441" s="1375" t="s">
        <v>1386</v>
      </c>
      <c r="C441" s="1376" t="s">
        <v>1503</v>
      </c>
      <c r="D441" s="1377">
        <v>70</v>
      </c>
      <c r="E441" s="1376" t="s">
        <v>2811</v>
      </c>
      <c r="F441" s="1376" t="s">
        <v>2951</v>
      </c>
      <c r="G441" s="545">
        <v>25</v>
      </c>
    </row>
    <row r="442" spans="1:7">
      <c r="A442" s="1363">
        <v>435</v>
      </c>
      <c r="B442" s="1415" t="s">
        <v>1373</v>
      </c>
      <c r="C442" s="1376" t="s">
        <v>1503</v>
      </c>
      <c r="D442" s="1416">
        <v>125</v>
      </c>
      <c r="E442" s="1376" t="s">
        <v>2811</v>
      </c>
      <c r="F442" s="1376" t="s">
        <v>2952</v>
      </c>
      <c r="G442" s="545">
        <v>25</v>
      </c>
    </row>
    <row r="443" spans="1:7">
      <c r="A443" s="1363">
        <v>436</v>
      </c>
      <c r="B443" s="1375" t="s">
        <v>2862</v>
      </c>
      <c r="C443" s="1376" t="s">
        <v>1503</v>
      </c>
      <c r="D443" s="1377">
        <v>78</v>
      </c>
      <c r="E443" s="1376" t="s">
        <v>2811</v>
      </c>
      <c r="F443" s="1376" t="s">
        <v>2955</v>
      </c>
      <c r="G443" s="545">
        <v>25</v>
      </c>
    </row>
    <row r="444" spans="1:7">
      <c r="A444" s="1363">
        <v>437</v>
      </c>
      <c r="B444" s="1375" t="s">
        <v>2863</v>
      </c>
      <c r="C444" s="1376" t="s">
        <v>1503</v>
      </c>
      <c r="D444" s="1377">
        <v>74</v>
      </c>
      <c r="E444" s="1376" t="s">
        <v>2811</v>
      </c>
      <c r="F444" s="1376" t="s">
        <v>2956</v>
      </c>
      <c r="G444" s="545">
        <v>25</v>
      </c>
    </row>
    <row r="445" spans="1:7">
      <c r="A445" s="1363">
        <v>438</v>
      </c>
      <c r="B445" s="1415" t="s">
        <v>1394</v>
      </c>
      <c r="C445" s="1376" t="s">
        <v>1503</v>
      </c>
      <c r="D445" s="1416">
        <v>125</v>
      </c>
      <c r="E445" s="1376" t="s">
        <v>2811</v>
      </c>
      <c r="F445" s="1376" t="s">
        <v>2953</v>
      </c>
      <c r="G445" s="545">
        <v>25</v>
      </c>
    </row>
    <row r="446" spans="1:7">
      <c r="A446" s="1363">
        <v>439</v>
      </c>
      <c r="B446" s="1415" t="s">
        <v>1390</v>
      </c>
      <c r="C446" s="1376" t="s">
        <v>1503</v>
      </c>
      <c r="D446" s="1416">
        <v>125</v>
      </c>
      <c r="E446" s="1376" t="s">
        <v>2811</v>
      </c>
      <c r="F446" s="1376" t="s">
        <v>2954</v>
      </c>
      <c r="G446" s="545">
        <v>25</v>
      </c>
    </row>
    <row r="447" spans="1:7">
      <c r="A447" s="1363">
        <v>440</v>
      </c>
      <c r="B447" s="1415" t="s">
        <v>1377</v>
      </c>
      <c r="C447" s="1376" t="s">
        <v>1503</v>
      </c>
      <c r="D447" s="1416">
        <v>125</v>
      </c>
      <c r="E447" s="1376" t="s">
        <v>2811</v>
      </c>
      <c r="F447" s="1376" t="s">
        <v>2945</v>
      </c>
      <c r="G447" s="545">
        <v>25</v>
      </c>
    </row>
    <row r="448" spans="1:7">
      <c r="A448" s="1363">
        <v>441</v>
      </c>
      <c r="B448" s="1375" t="s">
        <v>1385</v>
      </c>
      <c r="C448" s="1376" t="s">
        <v>1503</v>
      </c>
      <c r="D448" s="1377">
        <v>69</v>
      </c>
      <c r="E448" s="1376" t="s">
        <v>2811</v>
      </c>
      <c r="F448" s="1376" t="s">
        <v>2951</v>
      </c>
      <c r="G448" s="545">
        <v>23</v>
      </c>
    </row>
    <row r="449" spans="1:7">
      <c r="A449" s="1363">
        <v>442</v>
      </c>
      <c r="B449" s="1415" t="s">
        <v>1372</v>
      </c>
      <c r="C449" s="1376" t="s">
        <v>1503</v>
      </c>
      <c r="D449" s="1416">
        <v>115</v>
      </c>
      <c r="E449" s="1376" t="s">
        <v>2811</v>
      </c>
      <c r="F449" s="1376" t="s">
        <v>2952</v>
      </c>
      <c r="G449" s="545">
        <v>23</v>
      </c>
    </row>
    <row r="450" spans="1:7">
      <c r="A450" s="1363">
        <v>443</v>
      </c>
      <c r="B450" s="1375" t="s">
        <v>2845</v>
      </c>
      <c r="C450" s="1376" t="s">
        <v>1503</v>
      </c>
      <c r="D450" s="1377">
        <v>56</v>
      </c>
      <c r="E450" s="1376" t="s">
        <v>2811</v>
      </c>
      <c r="F450" s="1376" t="s">
        <v>2957</v>
      </c>
      <c r="G450" s="545">
        <v>23</v>
      </c>
    </row>
    <row r="451" spans="1:7">
      <c r="A451" s="1363">
        <v>444</v>
      </c>
      <c r="B451" s="1375" t="s">
        <v>2844</v>
      </c>
      <c r="C451" s="1376" t="s">
        <v>1503</v>
      </c>
      <c r="D451" s="1377">
        <v>56</v>
      </c>
      <c r="E451" s="1376" t="s">
        <v>2811</v>
      </c>
      <c r="F451" s="1376" t="s">
        <v>2958</v>
      </c>
      <c r="G451" s="545">
        <v>23</v>
      </c>
    </row>
    <row r="452" spans="1:7">
      <c r="A452" s="1363">
        <v>445</v>
      </c>
      <c r="B452" s="1375" t="s">
        <v>1393</v>
      </c>
      <c r="C452" s="1376" t="s">
        <v>1503</v>
      </c>
      <c r="D452" s="1377">
        <v>77</v>
      </c>
      <c r="E452" s="1376" t="s">
        <v>2811</v>
      </c>
      <c r="F452" s="1376" t="s">
        <v>2953</v>
      </c>
      <c r="G452" s="545">
        <v>23</v>
      </c>
    </row>
    <row r="453" spans="1:7">
      <c r="A453" s="1363">
        <v>446</v>
      </c>
      <c r="B453" s="1375" t="s">
        <v>1389</v>
      </c>
      <c r="C453" s="1376" t="s">
        <v>1503</v>
      </c>
      <c r="D453" s="1377">
        <v>73</v>
      </c>
      <c r="E453" s="1376" t="s">
        <v>2811</v>
      </c>
      <c r="F453" s="1376" t="s">
        <v>2954</v>
      </c>
      <c r="G453" s="545">
        <v>23</v>
      </c>
    </row>
    <row r="454" spans="1:7">
      <c r="A454" s="1363">
        <v>447</v>
      </c>
      <c r="B454" s="1415" t="s">
        <v>1376</v>
      </c>
      <c r="C454" s="1376" t="s">
        <v>1503</v>
      </c>
      <c r="D454" s="1416">
        <v>115</v>
      </c>
      <c r="E454" s="1376" t="s">
        <v>2811</v>
      </c>
      <c r="F454" s="1376" t="s">
        <v>2945</v>
      </c>
      <c r="G454" s="545">
        <v>23</v>
      </c>
    </row>
    <row r="455" spans="1:7">
      <c r="A455" s="1363">
        <v>448</v>
      </c>
      <c r="B455" s="1375" t="s">
        <v>1384</v>
      </c>
      <c r="C455" s="1376" t="s">
        <v>1503</v>
      </c>
      <c r="D455" s="1377">
        <v>68</v>
      </c>
      <c r="E455" s="1376" t="s">
        <v>2811</v>
      </c>
      <c r="F455" s="1376" t="s">
        <v>2951</v>
      </c>
      <c r="G455" s="545">
        <v>21</v>
      </c>
    </row>
    <row r="456" spans="1:7">
      <c r="A456" s="1363">
        <v>449</v>
      </c>
      <c r="B456" s="1415" t="s">
        <v>1371</v>
      </c>
      <c r="C456" s="1376" t="s">
        <v>1503</v>
      </c>
      <c r="D456" s="1416">
        <v>105</v>
      </c>
      <c r="E456" s="1376" t="s">
        <v>2811</v>
      </c>
      <c r="F456" s="1376" t="s">
        <v>2952</v>
      </c>
      <c r="G456" s="545">
        <v>21</v>
      </c>
    </row>
    <row r="457" spans="1:7">
      <c r="A457" s="1363">
        <v>450</v>
      </c>
      <c r="B457" s="1415" t="s">
        <v>2882</v>
      </c>
      <c r="C457" s="1376" t="s">
        <v>1503</v>
      </c>
      <c r="D457" s="1416">
        <v>105</v>
      </c>
      <c r="E457" s="1376" t="s">
        <v>2811</v>
      </c>
      <c r="F457" s="1376" t="s">
        <v>2957</v>
      </c>
      <c r="G457" s="545">
        <v>21</v>
      </c>
    </row>
    <row r="458" spans="1:7">
      <c r="A458" s="1363">
        <v>451</v>
      </c>
      <c r="B458" s="1415" t="s">
        <v>2883</v>
      </c>
      <c r="C458" s="1376" t="s">
        <v>1503</v>
      </c>
      <c r="D458" s="1416">
        <v>105</v>
      </c>
      <c r="E458" s="1376" t="s">
        <v>2811</v>
      </c>
      <c r="F458" s="1376" t="s">
        <v>2958</v>
      </c>
      <c r="G458" s="545">
        <v>21</v>
      </c>
    </row>
    <row r="459" spans="1:7">
      <c r="A459" s="1363">
        <v>452</v>
      </c>
      <c r="B459" s="1415" t="s">
        <v>1392</v>
      </c>
      <c r="C459" s="1376" t="s">
        <v>1503</v>
      </c>
      <c r="D459" s="1416">
        <v>105</v>
      </c>
      <c r="E459" s="1376" t="s">
        <v>2811</v>
      </c>
      <c r="F459" s="1376" t="s">
        <v>2953</v>
      </c>
      <c r="G459" s="545">
        <v>21</v>
      </c>
    </row>
    <row r="460" spans="1:7">
      <c r="A460" s="1363">
        <v>453</v>
      </c>
      <c r="B460" s="1415" t="s">
        <v>1388</v>
      </c>
      <c r="C460" s="1376" t="s">
        <v>1503</v>
      </c>
      <c r="D460" s="1416">
        <v>105</v>
      </c>
      <c r="E460" s="1376" t="s">
        <v>2811</v>
      </c>
      <c r="F460" s="1376" t="s">
        <v>2954</v>
      </c>
      <c r="G460" s="545">
        <v>21</v>
      </c>
    </row>
    <row r="461" spans="1:7">
      <c r="A461" s="1363">
        <v>454</v>
      </c>
      <c r="B461" s="1415" t="s">
        <v>1375</v>
      </c>
      <c r="C461" s="1376" t="s">
        <v>1503</v>
      </c>
      <c r="D461" s="1416">
        <v>105</v>
      </c>
      <c r="E461" s="1376" t="s">
        <v>2811</v>
      </c>
      <c r="F461" s="1376" t="s">
        <v>2945</v>
      </c>
      <c r="G461" s="545">
        <v>21</v>
      </c>
    </row>
    <row r="462" spans="1:7">
      <c r="A462" s="1363">
        <v>455</v>
      </c>
      <c r="B462" s="1375" t="s">
        <v>1397</v>
      </c>
      <c r="C462" s="1376" t="s">
        <v>1503</v>
      </c>
      <c r="D462" s="1377">
        <v>81</v>
      </c>
      <c r="E462" s="1376" t="s">
        <v>2811</v>
      </c>
      <c r="F462" s="1376" t="s">
        <v>2946</v>
      </c>
      <c r="G462" s="545">
        <v>16</v>
      </c>
    </row>
    <row r="463" spans="1:7">
      <c r="A463" s="1363">
        <v>456</v>
      </c>
      <c r="B463" s="1375" t="s">
        <v>1396</v>
      </c>
      <c r="C463" s="1376" t="s">
        <v>1503</v>
      </c>
      <c r="D463" s="1377">
        <v>80</v>
      </c>
      <c r="E463" s="1376" t="s">
        <v>2811</v>
      </c>
      <c r="F463" s="1376" t="s">
        <v>2947</v>
      </c>
      <c r="G463" s="545">
        <v>16</v>
      </c>
    </row>
    <row r="464" spans="1:7">
      <c r="A464" s="1363">
        <v>457</v>
      </c>
      <c r="B464" s="1375" t="s">
        <v>1381</v>
      </c>
      <c r="C464" s="1376" t="s">
        <v>1503</v>
      </c>
      <c r="D464" s="1377">
        <v>65</v>
      </c>
      <c r="E464" s="1376" t="s">
        <v>2811</v>
      </c>
      <c r="F464" s="1376" t="s">
        <v>2940</v>
      </c>
      <c r="G464" s="545">
        <v>16</v>
      </c>
    </row>
    <row r="465" spans="1:7">
      <c r="A465" s="1363">
        <v>458</v>
      </c>
      <c r="B465" s="1375" t="s">
        <v>1383</v>
      </c>
      <c r="C465" s="1376" t="s">
        <v>1503</v>
      </c>
      <c r="D465" s="1377">
        <v>67</v>
      </c>
      <c r="E465" s="1376" t="s">
        <v>2811</v>
      </c>
      <c r="F465" s="1376" t="s">
        <v>2948</v>
      </c>
      <c r="G465" s="545">
        <v>16</v>
      </c>
    </row>
    <row r="466" spans="1:7">
      <c r="A466" s="1363">
        <v>459</v>
      </c>
      <c r="B466" s="1375" t="s">
        <v>1382</v>
      </c>
      <c r="C466" s="1376" t="s">
        <v>1503</v>
      </c>
      <c r="D466" s="1377">
        <v>66</v>
      </c>
      <c r="E466" s="1376" t="s">
        <v>2811</v>
      </c>
      <c r="F466" s="1376" t="s">
        <v>2949</v>
      </c>
      <c r="G466" s="545">
        <v>16</v>
      </c>
    </row>
    <row r="467" spans="1:7">
      <c r="A467" s="1363">
        <v>460</v>
      </c>
      <c r="B467" s="1415" t="s">
        <v>1370</v>
      </c>
      <c r="C467" s="1376" t="s">
        <v>1503</v>
      </c>
      <c r="D467" s="1416">
        <v>80</v>
      </c>
      <c r="E467" s="1376" t="s">
        <v>2811</v>
      </c>
      <c r="F467" s="1376" t="s">
        <v>2950</v>
      </c>
      <c r="G467" s="545">
        <v>16</v>
      </c>
    </row>
    <row r="468" spans="1:7">
      <c r="A468" s="1363">
        <v>461</v>
      </c>
      <c r="B468" s="1415" t="s">
        <v>2835</v>
      </c>
      <c r="C468" s="1378" t="s">
        <v>1498</v>
      </c>
      <c r="D468" s="1416">
        <v>100</v>
      </c>
      <c r="E468" s="1378" t="s">
        <v>2815</v>
      </c>
      <c r="F468" s="1378" t="s">
        <v>2959</v>
      </c>
      <c r="G468" s="545"/>
    </row>
    <row r="469" spans="1:7">
      <c r="A469" s="1363">
        <v>462</v>
      </c>
      <c r="B469" s="1415" t="s">
        <v>2836</v>
      </c>
      <c r="C469" s="1378" t="s">
        <v>1497</v>
      </c>
      <c r="D469" s="1416">
        <v>50</v>
      </c>
      <c r="E469" s="1378" t="s">
        <v>2816</v>
      </c>
      <c r="F469" s="1378" t="s">
        <v>2960</v>
      </c>
      <c r="G469" s="545" t="e">
        <f>VLOOKUP(B:B,Weight_Table!A:B,2,FALSE)</f>
        <v>#N/A</v>
      </c>
    </row>
    <row r="470" spans="1:7">
      <c r="A470" s="1363">
        <v>463</v>
      </c>
      <c r="B470" s="1415" t="s">
        <v>1327</v>
      </c>
      <c r="C470" s="1378" t="s">
        <v>1496</v>
      </c>
      <c r="D470" s="1416">
        <v>55</v>
      </c>
      <c r="E470" s="1378" t="s">
        <v>2811</v>
      </c>
      <c r="F470" s="1378" t="s">
        <v>2828</v>
      </c>
      <c r="G470" s="545">
        <v>9</v>
      </c>
    </row>
    <row r="471" spans="1:7">
      <c r="A471" s="1363">
        <v>464</v>
      </c>
      <c r="B471" s="1415" t="s">
        <v>1493</v>
      </c>
      <c r="C471" s="1378" t="s">
        <v>1516</v>
      </c>
      <c r="D471" s="1416">
        <v>150</v>
      </c>
      <c r="E471" s="1378" t="s">
        <v>2817</v>
      </c>
      <c r="F471" s="1378" t="s">
        <v>2820</v>
      </c>
      <c r="G471" s="545" t="e">
        <f>VLOOKUP(B:B,Weight_Table!A:B,2,FALSE)</f>
        <v>#N/A</v>
      </c>
    </row>
    <row r="472" spans="1:7">
      <c r="A472" s="1363">
        <v>465</v>
      </c>
      <c r="B472" s="1375" t="s">
        <v>1494</v>
      </c>
      <c r="C472" s="1378" t="s">
        <v>1517</v>
      </c>
      <c r="D472" s="1377">
        <v>182</v>
      </c>
      <c r="E472" s="1378" t="s">
        <v>2818</v>
      </c>
      <c r="F472" s="1378" t="s">
        <v>2820</v>
      </c>
      <c r="G472" s="545" t="e">
        <f>VLOOKUP(B:B,Weight_Table!A:B,2,FALSE)</f>
        <v>#N/A</v>
      </c>
    </row>
    <row r="473" spans="1:7">
      <c r="A473" s="1363">
        <v>466</v>
      </c>
      <c r="B473" s="1415" t="s">
        <v>1492</v>
      </c>
      <c r="C473" s="1378" t="s">
        <v>1514</v>
      </c>
      <c r="D473" s="1416">
        <v>115</v>
      </c>
      <c r="E473" s="1378" t="s">
        <v>2819</v>
      </c>
      <c r="F473" s="1378" t="s">
        <v>2820</v>
      </c>
      <c r="G473" s="545" t="e">
        <f>VLOOKUP(B:B,Weight_Table!A:B,2,FALSE)</f>
        <v>#N/A</v>
      </c>
    </row>
    <row r="474" spans="1:7">
      <c r="A474" s="1363">
        <v>467</v>
      </c>
      <c r="B474" s="1375" t="s">
        <v>1324</v>
      </c>
      <c r="C474" s="1378" t="s">
        <v>1515</v>
      </c>
      <c r="D474" s="1377">
        <v>180</v>
      </c>
      <c r="E474" s="1378" t="s">
        <v>2821</v>
      </c>
      <c r="F474" s="1378" t="s">
        <v>2820</v>
      </c>
      <c r="G474" s="545" t="e">
        <f>VLOOKUP(B:B,Weight_Table!A:B,2,FALSE)</f>
        <v>#N/A</v>
      </c>
    </row>
    <row r="475" spans="1:7">
      <c r="A475" s="1363">
        <v>468</v>
      </c>
      <c r="B475" s="1375" t="s">
        <v>2881</v>
      </c>
      <c r="C475" s="1378" t="s">
        <v>1512</v>
      </c>
      <c r="D475" s="1377">
        <v>173</v>
      </c>
      <c r="E475" s="1378" t="s">
        <v>2822</v>
      </c>
      <c r="F475" s="1378" t="s">
        <v>2820</v>
      </c>
      <c r="G475" s="545" t="e">
        <f>VLOOKUP(B:B,Weight_Table!A:B,2,FALSE)</f>
        <v>#N/A</v>
      </c>
    </row>
    <row r="476" spans="1:7">
      <c r="A476" s="1363">
        <v>469</v>
      </c>
      <c r="B476" s="1375" t="s">
        <v>2880</v>
      </c>
      <c r="C476" s="1378" t="s">
        <v>1512</v>
      </c>
      <c r="D476" s="1377">
        <v>172</v>
      </c>
      <c r="E476" s="1378" t="s">
        <v>2822</v>
      </c>
      <c r="F476" s="1378" t="s">
        <v>2820</v>
      </c>
      <c r="G476" s="545" t="e">
        <f>VLOOKUP(B:B,Weight_Table!A:B,2,FALSE)</f>
        <v>#N/A</v>
      </c>
    </row>
    <row r="477" spans="1:7">
      <c r="A477" s="1363">
        <v>470</v>
      </c>
      <c r="B477" s="1375" t="s">
        <v>1487</v>
      </c>
      <c r="C477" s="1378" t="s">
        <v>1512</v>
      </c>
      <c r="D477" s="1377">
        <v>173</v>
      </c>
      <c r="E477" s="1378" t="s">
        <v>2822</v>
      </c>
      <c r="F477" s="1378" t="s">
        <v>2820</v>
      </c>
      <c r="G477" s="545" t="e">
        <f>VLOOKUP(B:B,Weight_Table!A:B,2,FALSE)</f>
        <v>#N/A</v>
      </c>
    </row>
    <row r="478" spans="1:7">
      <c r="A478" s="1363">
        <v>471</v>
      </c>
      <c r="B478" s="1375" t="s">
        <v>1486</v>
      </c>
      <c r="C478" s="1378" t="s">
        <v>1512</v>
      </c>
      <c r="D478" s="1377">
        <v>172</v>
      </c>
      <c r="E478" s="1378" t="s">
        <v>2822</v>
      </c>
      <c r="F478" s="1378" t="s">
        <v>2820</v>
      </c>
      <c r="G478" s="545" t="e">
        <f>VLOOKUP(B:B,Weight_Table!A:B,2,FALSE)</f>
        <v>#N/A</v>
      </c>
    </row>
    <row r="479" spans="1:7">
      <c r="A479" s="1363">
        <v>472</v>
      </c>
      <c r="B479" s="1375" t="s">
        <v>1485</v>
      </c>
      <c r="C479" s="1378" t="s">
        <v>1512</v>
      </c>
      <c r="D479" s="1377">
        <v>171</v>
      </c>
      <c r="E479" s="1378" t="s">
        <v>2822</v>
      </c>
      <c r="F479" s="1378" t="s">
        <v>2820</v>
      </c>
      <c r="G479" s="545" t="e">
        <f>VLOOKUP(B:B,Weight_Table!A:B,2,FALSE)</f>
        <v>#N/A</v>
      </c>
    </row>
    <row r="480" spans="1:7">
      <c r="A480" s="1363">
        <v>473</v>
      </c>
      <c r="B480" s="1375" t="s">
        <v>1484</v>
      </c>
      <c r="C480" s="1378" t="s">
        <v>1512</v>
      </c>
      <c r="D480" s="1377">
        <v>170</v>
      </c>
      <c r="E480" s="1378" t="s">
        <v>2822</v>
      </c>
      <c r="F480" s="1378" t="s">
        <v>2820</v>
      </c>
      <c r="G480" s="545" t="e">
        <f>VLOOKUP(B:B,Weight_Table!A:B,2,FALSE)</f>
        <v>#N/A</v>
      </c>
    </row>
    <row r="481" spans="1:7">
      <c r="A481" s="1363">
        <v>474</v>
      </c>
      <c r="B481" s="1375" t="s">
        <v>1490</v>
      </c>
      <c r="C481" s="1378" t="s">
        <v>1512</v>
      </c>
      <c r="D481" s="1377">
        <v>177</v>
      </c>
      <c r="E481" s="1378" t="s">
        <v>2822</v>
      </c>
      <c r="F481" s="1378" t="s">
        <v>2820</v>
      </c>
      <c r="G481" s="545" t="e">
        <f>VLOOKUP(B:B,Weight_Table!A:B,2,FALSE)</f>
        <v>#N/A</v>
      </c>
    </row>
    <row r="482" spans="1:7">
      <c r="A482" s="1363">
        <v>475</v>
      </c>
      <c r="B482" s="1375" t="s">
        <v>1489</v>
      </c>
      <c r="C482" s="1378" t="s">
        <v>1512</v>
      </c>
      <c r="D482" s="1377">
        <v>176</v>
      </c>
      <c r="E482" s="1378" t="s">
        <v>2822</v>
      </c>
      <c r="F482" s="1378" t="s">
        <v>2820</v>
      </c>
      <c r="G482" s="545" t="e">
        <f>VLOOKUP(B:B,Weight_Table!A:B,2,FALSE)</f>
        <v>#N/A</v>
      </c>
    </row>
    <row r="483" spans="1:7">
      <c r="A483" s="1363">
        <v>476</v>
      </c>
      <c r="B483" s="1375" t="s">
        <v>1488</v>
      </c>
      <c r="C483" s="1378" t="s">
        <v>1512</v>
      </c>
      <c r="D483" s="1377">
        <v>175</v>
      </c>
      <c r="E483" s="1378" t="s">
        <v>2822</v>
      </c>
      <c r="F483" s="1378" t="s">
        <v>2820</v>
      </c>
      <c r="G483" s="545" t="e">
        <f>VLOOKUP(B:B,Weight_Table!A:B,2,FALSE)</f>
        <v>#N/A</v>
      </c>
    </row>
    <row r="484" spans="1:7">
      <c r="A484" s="1363">
        <v>477</v>
      </c>
      <c r="B484" s="1375" t="s">
        <v>2897</v>
      </c>
      <c r="C484" s="1378" t="s">
        <v>1512</v>
      </c>
      <c r="D484" s="1377">
        <v>174</v>
      </c>
      <c r="E484" s="1378" t="s">
        <v>2822</v>
      </c>
      <c r="F484" s="1378" t="s">
        <v>2820</v>
      </c>
      <c r="G484" s="545" t="e">
        <f>VLOOKUP(B:B,Weight_Table!A:B,2,FALSE)</f>
        <v>#N/A</v>
      </c>
    </row>
    <row r="485" spans="1:7">
      <c r="A485" s="1363">
        <v>478</v>
      </c>
      <c r="B485" s="1375" t="s">
        <v>2886</v>
      </c>
      <c r="C485" s="1378" t="s">
        <v>1512</v>
      </c>
      <c r="D485" s="1377">
        <v>174</v>
      </c>
      <c r="E485" s="1378" t="s">
        <v>2894</v>
      </c>
      <c r="F485" s="1378" t="s">
        <v>2820</v>
      </c>
      <c r="G485" s="545" t="e">
        <f>VLOOKUP(B:B,Weight_Table!A:B,2,FALSE)</f>
        <v>#N/A</v>
      </c>
    </row>
    <row r="486" spans="1:7">
      <c r="A486" s="1363">
        <v>479</v>
      </c>
      <c r="B486" s="1375" t="s">
        <v>2878</v>
      </c>
      <c r="C486" s="1378" t="s">
        <v>1511</v>
      </c>
      <c r="D486" s="1377">
        <v>169</v>
      </c>
      <c r="E486" s="1378" t="s">
        <v>2823</v>
      </c>
      <c r="F486" s="1378" t="s">
        <v>2820</v>
      </c>
      <c r="G486" s="545" t="e">
        <f>VLOOKUP(B:B,Weight_Table!A:B,2,FALSE)</f>
        <v>#N/A</v>
      </c>
    </row>
    <row r="487" spans="1:7">
      <c r="A487" s="1363">
        <v>480</v>
      </c>
      <c r="B487" s="1375" t="s">
        <v>2879</v>
      </c>
      <c r="C487" s="1378" t="s">
        <v>1510</v>
      </c>
      <c r="D487" s="1377">
        <v>168</v>
      </c>
      <c r="E487" s="1378" t="s">
        <v>2824</v>
      </c>
      <c r="F487" s="1378" t="s">
        <v>2820</v>
      </c>
      <c r="G487" s="545" t="e">
        <f>VLOOKUP(B:B,Weight_Table!A:B,2,FALSE)</f>
        <v>#N/A</v>
      </c>
    </row>
    <row r="488" spans="1:7">
      <c r="A488" s="1363">
        <v>481</v>
      </c>
      <c r="B488" s="1375" t="s">
        <v>2884</v>
      </c>
      <c r="C488" s="1378" t="s">
        <v>1509</v>
      </c>
      <c r="D488" s="1377">
        <v>167</v>
      </c>
      <c r="E488" s="1378" t="s">
        <v>2825</v>
      </c>
      <c r="F488" s="1378" t="s">
        <v>2820</v>
      </c>
      <c r="G488" s="545" t="e">
        <f>VLOOKUP(B:B,Weight_Table!A:B,2,FALSE)</f>
        <v>#N/A</v>
      </c>
    </row>
    <row r="489" spans="1:7">
      <c r="A489" s="1363">
        <v>482</v>
      </c>
      <c r="B489" s="1375" t="s">
        <v>2885</v>
      </c>
      <c r="C489" s="1378" t="s">
        <v>1509</v>
      </c>
      <c r="D489" s="1377">
        <v>167</v>
      </c>
      <c r="E489" s="1378" t="s">
        <v>2825</v>
      </c>
      <c r="F489" s="1378" t="s">
        <v>2820</v>
      </c>
      <c r="G489" s="545">
        <v>27</v>
      </c>
    </row>
    <row r="490" spans="1:7">
      <c r="A490" s="1363">
        <v>483</v>
      </c>
      <c r="B490" s="1375" t="s">
        <v>1483</v>
      </c>
      <c r="C490" s="1378" t="s">
        <v>1509</v>
      </c>
      <c r="D490" s="1377">
        <v>167</v>
      </c>
      <c r="E490" s="1378" t="s">
        <v>2825</v>
      </c>
      <c r="F490" s="1378" t="s">
        <v>2820</v>
      </c>
      <c r="G490" s="545">
        <v>25</v>
      </c>
    </row>
    <row r="491" spans="1:7">
      <c r="A491" s="1363">
        <v>484</v>
      </c>
      <c r="B491" s="1415" t="s">
        <v>1482</v>
      </c>
      <c r="C491" s="1378" t="s">
        <v>1509</v>
      </c>
      <c r="D491" s="1416">
        <v>115</v>
      </c>
      <c r="E491" s="1378" t="s">
        <v>2825</v>
      </c>
      <c r="F491" s="1378" t="s">
        <v>2820</v>
      </c>
      <c r="G491" s="545">
        <v>24</v>
      </c>
    </row>
    <row r="492" spans="1:7">
      <c r="A492" s="1363">
        <v>485</v>
      </c>
      <c r="B492" s="1375" t="s">
        <v>1481</v>
      </c>
      <c r="C492" s="1378" t="s">
        <v>1509</v>
      </c>
      <c r="D492" s="1377">
        <v>165</v>
      </c>
      <c r="E492" s="1378" t="s">
        <v>2825</v>
      </c>
      <c r="F492" s="1378" t="s">
        <v>2820</v>
      </c>
      <c r="G492" s="545">
        <v>23</v>
      </c>
    </row>
    <row r="493" spans="1:7">
      <c r="A493" s="1363">
        <v>486</v>
      </c>
      <c r="B493" s="1415" t="s">
        <v>1480</v>
      </c>
      <c r="C493" s="1378" t="s">
        <v>1509</v>
      </c>
      <c r="D493" s="1416">
        <v>105</v>
      </c>
      <c r="E493" s="1378" t="s">
        <v>2825</v>
      </c>
      <c r="F493" s="1378" t="s">
        <v>2820</v>
      </c>
      <c r="G493" s="545">
        <v>22</v>
      </c>
    </row>
    <row r="494" spans="1:7">
      <c r="A494" s="1363">
        <v>487</v>
      </c>
      <c r="B494" s="1375" t="s">
        <v>1491</v>
      </c>
      <c r="C494" s="1378" t="s">
        <v>1513</v>
      </c>
      <c r="D494" s="1377">
        <v>178</v>
      </c>
      <c r="E494" s="1378" t="s">
        <v>2826</v>
      </c>
      <c r="F494" s="1378" t="s">
        <v>2820</v>
      </c>
      <c r="G494" s="545">
        <v>17</v>
      </c>
    </row>
    <row r="495" spans="1:7">
      <c r="A495" s="1363">
        <v>488</v>
      </c>
      <c r="B495" s="1375" t="s">
        <v>1479</v>
      </c>
      <c r="C495" s="1378" t="s">
        <v>1509</v>
      </c>
      <c r="D495" s="1377">
        <v>163</v>
      </c>
      <c r="E495" s="1378" t="s">
        <v>2825</v>
      </c>
      <c r="F495" s="1378" t="s">
        <v>2820</v>
      </c>
      <c r="G495" s="545">
        <v>17</v>
      </c>
    </row>
    <row r="496" spans="1:7">
      <c r="A496" s="1363">
        <v>489</v>
      </c>
      <c r="B496" s="1375" t="s">
        <v>1478</v>
      </c>
      <c r="C496" s="1378" t="s">
        <v>1509</v>
      </c>
      <c r="D496" s="1377">
        <v>162</v>
      </c>
      <c r="E496" s="1378" t="s">
        <v>2825</v>
      </c>
      <c r="F496" s="1378" t="s">
        <v>2820</v>
      </c>
      <c r="G496" s="545">
        <v>17</v>
      </c>
    </row>
    <row r="497" spans="1:7">
      <c r="A497" s="1363">
        <v>490</v>
      </c>
      <c r="B497" s="1415" t="s">
        <v>1326</v>
      </c>
      <c r="C497" s="1379" t="s">
        <v>1495</v>
      </c>
      <c r="D497" s="1416">
        <v>80</v>
      </c>
      <c r="E497" s="1379" t="s">
        <v>2827</v>
      </c>
      <c r="F497" s="1379" t="s">
        <v>2438</v>
      </c>
      <c r="G497" s="545">
        <v>15</v>
      </c>
    </row>
    <row r="498" spans="1:7">
      <c r="A498" s="1363">
        <v>491</v>
      </c>
      <c r="B498" s="1415" t="s">
        <v>2898</v>
      </c>
      <c r="C498" s="1376" t="s">
        <v>1502</v>
      </c>
      <c r="D498" s="1416">
        <v>140</v>
      </c>
      <c r="E498" s="1376" t="s">
        <v>2827</v>
      </c>
      <c r="F498" s="1376" t="s">
        <v>2829</v>
      </c>
      <c r="G498" s="545" t="e">
        <f>VLOOKUP(B:B,Weight_Table!A:B,2,FALSE)</f>
        <v>#N/A</v>
      </c>
    </row>
    <row r="499" spans="1:7">
      <c r="A499" s="1363">
        <v>492</v>
      </c>
      <c r="B499" s="1415" t="s">
        <v>2899</v>
      </c>
      <c r="C499" s="1376" t="s">
        <v>1502</v>
      </c>
      <c r="D499" s="1416">
        <v>135</v>
      </c>
      <c r="E499" s="1376" t="s">
        <v>2827</v>
      </c>
      <c r="F499" s="1376" t="s">
        <v>2829</v>
      </c>
      <c r="G499" s="545" t="e">
        <f>VLOOKUP(B:B,Weight_Table!A:B,2,FALSE)</f>
        <v>#N/A</v>
      </c>
    </row>
    <row r="500" spans="1:7">
      <c r="A500" s="1363">
        <v>493</v>
      </c>
      <c r="B500" s="1415" t="s">
        <v>1543</v>
      </c>
      <c r="C500" s="1376" t="s">
        <v>1502</v>
      </c>
      <c r="D500" s="1416">
        <v>130</v>
      </c>
      <c r="E500" s="1376" t="s">
        <v>2827</v>
      </c>
      <c r="F500" s="1376" t="s">
        <v>2829</v>
      </c>
      <c r="G500" s="545">
        <v>27</v>
      </c>
    </row>
    <row r="501" spans="1:7">
      <c r="A501" s="1363">
        <v>494</v>
      </c>
      <c r="B501" s="1415" t="s">
        <v>1542</v>
      </c>
      <c r="C501" s="1376" t="s">
        <v>1502</v>
      </c>
      <c r="D501" s="1416">
        <v>125</v>
      </c>
      <c r="E501" s="1376" t="s">
        <v>2827</v>
      </c>
      <c r="F501" s="1376" t="s">
        <v>2829</v>
      </c>
      <c r="G501" s="545">
        <v>25</v>
      </c>
    </row>
    <row r="502" spans="1:7">
      <c r="A502" s="1363">
        <v>495</v>
      </c>
      <c r="B502" s="1415" t="s">
        <v>1541</v>
      </c>
      <c r="C502" s="1376" t="s">
        <v>1502</v>
      </c>
      <c r="D502" s="1416">
        <v>115</v>
      </c>
      <c r="E502" s="1376" t="s">
        <v>2827</v>
      </c>
      <c r="F502" s="1376" t="s">
        <v>2829</v>
      </c>
      <c r="G502" s="545">
        <v>23</v>
      </c>
    </row>
    <row r="503" spans="1:7">
      <c r="A503" s="1363">
        <v>496</v>
      </c>
      <c r="B503" s="1415" t="s">
        <v>1540</v>
      </c>
      <c r="C503" s="1376" t="s">
        <v>1502</v>
      </c>
      <c r="D503" s="1416">
        <v>105</v>
      </c>
      <c r="E503" s="1376" t="s">
        <v>2827</v>
      </c>
      <c r="F503" s="1376" t="s">
        <v>2829</v>
      </c>
      <c r="G503" s="545">
        <v>21</v>
      </c>
    </row>
    <row r="504" spans="1:7">
      <c r="A504" s="1363">
        <v>497</v>
      </c>
      <c r="B504" s="1415" t="s">
        <v>3168</v>
      </c>
      <c r="C504" s="1376" t="s">
        <v>1502</v>
      </c>
      <c r="D504" s="1416">
        <v>95</v>
      </c>
      <c r="E504" s="1376" t="s">
        <v>2827</v>
      </c>
      <c r="F504" s="1376" t="s">
        <v>2829</v>
      </c>
      <c r="G504" s="545">
        <v>19</v>
      </c>
    </row>
    <row r="505" spans="1:7">
      <c r="A505" s="1363">
        <v>498</v>
      </c>
      <c r="B505" s="1415" t="s">
        <v>1539</v>
      </c>
      <c r="C505" s="1376" t="s">
        <v>1502</v>
      </c>
      <c r="D505" s="1416">
        <v>90</v>
      </c>
      <c r="E505" s="1376" t="s">
        <v>2827</v>
      </c>
      <c r="F505" s="1376" t="s">
        <v>2829</v>
      </c>
      <c r="G505" s="545">
        <v>18</v>
      </c>
    </row>
    <row r="506" spans="1:7">
      <c r="A506" s="1363">
        <v>499</v>
      </c>
      <c r="B506" s="1415" t="s">
        <v>1538</v>
      </c>
      <c r="C506" s="1376" t="s">
        <v>1502</v>
      </c>
      <c r="D506" s="1416">
        <v>85</v>
      </c>
      <c r="E506" s="1376" t="s">
        <v>2827</v>
      </c>
      <c r="F506" s="1376" t="s">
        <v>2829</v>
      </c>
      <c r="G506" s="545">
        <v>17</v>
      </c>
    </row>
    <row r="507" spans="1:7">
      <c r="A507" s="1363">
        <v>500</v>
      </c>
      <c r="B507" s="1375" t="s">
        <v>2877</v>
      </c>
      <c r="C507" s="1378" t="s">
        <v>1501</v>
      </c>
      <c r="D507" s="1377">
        <v>46</v>
      </c>
      <c r="E507" s="1378" t="s">
        <v>2810</v>
      </c>
      <c r="F507" s="1378" t="s">
        <v>2830</v>
      </c>
      <c r="G507" s="545" t="e">
        <f>VLOOKUP(B:B,Weight_Table!A:B,2,FALSE)</f>
        <v>#N/A</v>
      </c>
    </row>
    <row r="508" spans="1:7">
      <c r="A508" s="1363">
        <v>501</v>
      </c>
      <c r="B508" s="1375" t="s">
        <v>2876</v>
      </c>
      <c r="C508" s="1378" t="s">
        <v>1501</v>
      </c>
      <c r="D508" s="1377">
        <v>45</v>
      </c>
      <c r="E508" s="1378" t="s">
        <v>2810</v>
      </c>
      <c r="F508" s="1378" t="s">
        <v>2830</v>
      </c>
      <c r="G508" s="545" t="e">
        <f>VLOOKUP(B:B,Weight_Table!A:B,2,FALSE)</f>
        <v>#N/A</v>
      </c>
    </row>
    <row r="509" spans="1:7">
      <c r="A509" s="1363">
        <v>502</v>
      </c>
      <c r="B509" s="1415" t="s">
        <v>1369</v>
      </c>
      <c r="C509" s="1378" t="s">
        <v>1501</v>
      </c>
      <c r="D509" s="1416">
        <v>100</v>
      </c>
      <c r="E509" s="1378" t="s">
        <v>2810</v>
      </c>
      <c r="F509" s="1378" t="s">
        <v>2830</v>
      </c>
      <c r="G509" s="545" t="e">
        <f>VLOOKUP(B:B,Weight_Table!A:B,2,FALSE)</f>
        <v>#N/A</v>
      </c>
    </row>
    <row r="510" spans="1:7">
      <c r="A510" s="1363">
        <v>503</v>
      </c>
      <c r="B510" s="1375" t="s">
        <v>1368</v>
      </c>
      <c r="C510" s="1378" t="s">
        <v>1501</v>
      </c>
      <c r="D510" s="1377">
        <v>45</v>
      </c>
      <c r="E510" s="1378" t="s">
        <v>2810</v>
      </c>
      <c r="F510" s="1378" t="s">
        <v>2830</v>
      </c>
      <c r="G510" s="545" t="e">
        <f>VLOOKUP(B:B,Weight_Table!A:B,2,FALSE)</f>
        <v>#N/A</v>
      </c>
    </row>
    <row r="511" spans="1:7">
      <c r="A511" s="1363">
        <v>504</v>
      </c>
      <c r="B511" s="1375" t="s">
        <v>1367</v>
      </c>
      <c r="C511" s="1378" t="s">
        <v>1501</v>
      </c>
      <c r="D511" s="1377">
        <v>44</v>
      </c>
      <c r="E511" s="1378" t="s">
        <v>2810</v>
      </c>
      <c r="F511" s="1378" t="s">
        <v>2830</v>
      </c>
      <c r="G511" s="545" t="e">
        <f>VLOOKUP(B:B,Weight_Table!A:B,2,FALSE)</f>
        <v>#N/A</v>
      </c>
    </row>
    <row r="512" spans="1:7">
      <c r="A512" s="1363">
        <v>505</v>
      </c>
      <c r="B512" s="1375" t="s">
        <v>1366</v>
      </c>
      <c r="C512" s="1378" t="s">
        <v>1501</v>
      </c>
      <c r="D512" s="1377">
        <v>43</v>
      </c>
      <c r="E512" s="1378" t="s">
        <v>2810</v>
      </c>
      <c r="F512" s="1378" t="s">
        <v>2830</v>
      </c>
      <c r="G512" s="545" t="e">
        <f>VLOOKUP(B:B,Weight_Table!A:B,2,FALSE)</f>
        <v>#N/A</v>
      </c>
    </row>
    <row r="513" spans="1:7">
      <c r="A513" s="1363">
        <v>506</v>
      </c>
      <c r="B513" s="1375" t="s">
        <v>1365</v>
      </c>
      <c r="C513" s="1378" t="s">
        <v>1501</v>
      </c>
      <c r="D513" s="1377">
        <v>42</v>
      </c>
      <c r="E513" s="1378" t="s">
        <v>2810</v>
      </c>
      <c r="F513" s="1378" t="s">
        <v>2830</v>
      </c>
      <c r="G513" s="545" t="e">
        <f>VLOOKUP(B:B,Weight_Table!A:B,2,FALSE)</f>
        <v>#N/A</v>
      </c>
    </row>
    <row r="514" spans="1:7">
      <c r="A514" s="1363">
        <v>507</v>
      </c>
      <c r="B514" s="1375" t="s">
        <v>1364</v>
      </c>
      <c r="C514" s="1378" t="s">
        <v>1501</v>
      </c>
      <c r="D514" s="1377">
        <v>41</v>
      </c>
      <c r="E514" s="1378" t="s">
        <v>2810</v>
      </c>
      <c r="F514" s="1378" t="s">
        <v>2830</v>
      </c>
      <c r="G514" s="545" t="e">
        <f>VLOOKUP(B:B,Weight_Table!A:B,2,FALSE)</f>
        <v>#N/A</v>
      </c>
    </row>
    <row r="515" spans="1:7">
      <c r="A515" s="1363">
        <v>508</v>
      </c>
      <c r="B515" s="1375" t="s">
        <v>1363</v>
      </c>
      <c r="C515" s="1378" t="s">
        <v>1501</v>
      </c>
      <c r="D515" s="1377">
        <v>40</v>
      </c>
      <c r="E515" s="1378" t="s">
        <v>2810</v>
      </c>
      <c r="F515" s="1378" t="s">
        <v>2830</v>
      </c>
      <c r="G515" s="545" t="e">
        <f>VLOOKUP(B:B,Weight_Table!A:B,2,FALSE)</f>
        <v>#N/A</v>
      </c>
    </row>
    <row r="516" spans="1:7">
      <c r="A516" s="1363">
        <v>509</v>
      </c>
      <c r="B516" s="1375" t="s">
        <v>2852</v>
      </c>
      <c r="C516" s="1378" t="s">
        <v>1500</v>
      </c>
      <c r="D516" s="1377">
        <v>32</v>
      </c>
      <c r="E516" s="1378" t="s">
        <v>2814</v>
      </c>
      <c r="F516" s="1378" t="s">
        <v>2830</v>
      </c>
      <c r="G516" s="545" t="e">
        <f>VLOOKUP(B:B,Weight_Table!A:B,2,FALSE)</f>
        <v>#N/A</v>
      </c>
    </row>
    <row r="517" spans="1:7">
      <c r="A517" s="1363">
        <v>510</v>
      </c>
      <c r="B517" s="1375" t="s">
        <v>2849</v>
      </c>
      <c r="C517" s="1378" t="s">
        <v>1500</v>
      </c>
      <c r="D517" s="1377">
        <v>32</v>
      </c>
      <c r="E517" s="1378" t="s">
        <v>2814</v>
      </c>
      <c r="F517" s="1378" t="s">
        <v>2830</v>
      </c>
      <c r="G517" s="545" t="e">
        <f>VLOOKUP(B:B,Weight_Table!A:B,2,FALSE)</f>
        <v>#N/A</v>
      </c>
    </row>
    <row r="518" spans="1:7">
      <c r="A518" s="1363">
        <v>511</v>
      </c>
      <c r="B518" s="1415" t="s">
        <v>2850</v>
      </c>
      <c r="C518" s="1378" t="s">
        <v>1500</v>
      </c>
      <c r="D518" s="1416">
        <v>80</v>
      </c>
      <c r="E518" s="1378" t="s">
        <v>2814</v>
      </c>
      <c r="F518" s="1378" t="s">
        <v>2830</v>
      </c>
      <c r="G518" s="545" t="e">
        <f>VLOOKUP(B:B,Weight_Table!A:B,2,FALSE)</f>
        <v>#N/A</v>
      </c>
    </row>
    <row r="519" spans="1:7">
      <c r="A519" s="1363">
        <v>512</v>
      </c>
      <c r="B519" s="1375" t="s">
        <v>2851</v>
      </c>
      <c r="C519" s="1378" t="s">
        <v>1500</v>
      </c>
      <c r="D519" s="1377">
        <v>39</v>
      </c>
      <c r="E519" s="1378" t="s">
        <v>2814</v>
      </c>
      <c r="F519" s="1378" t="s">
        <v>2830</v>
      </c>
      <c r="G519" s="545" t="e">
        <f>VLOOKUP(B:B,Weight_Table!A:B,2,FALSE)</f>
        <v>#N/A</v>
      </c>
    </row>
    <row r="520" spans="1:7">
      <c r="A520" s="1363">
        <v>513</v>
      </c>
      <c r="B520" s="1375" t="s">
        <v>2852</v>
      </c>
      <c r="C520" s="1378" t="s">
        <v>1500</v>
      </c>
      <c r="D520" s="1377">
        <v>39</v>
      </c>
      <c r="E520" s="1378" t="s">
        <v>2814</v>
      </c>
      <c r="F520" s="1378" t="s">
        <v>2961</v>
      </c>
      <c r="G520" s="545" t="e">
        <f>VLOOKUP(B:B,Weight_Table!A:B,2,FALSE)</f>
        <v>#N/A</v>
      </c>
    </row>
    <row r="521" spans="1:7">
      <c r="A521" s="1363">
        <v>514</v>
      </c>
      <c r="B521" s="1375" t="s">
        <v>2846</v>
      </c>
      <c r="C521" s="1378" t="s">
        <v>1500</v>
      </c>
      <c r="D521" s="1377">
        <v>32</v>
      </c>
      <c r="E521" s="1378" t="s">
        <v>2814</v>
      </c>
      <c r="F521" s="1378" t="s">
        <v>2830</v>
      </c>
      <c r="G521" s="545" t="e">
        <f>VLOOKUP(B:B,Weight_Table!A:B,2,FALSE)</f>
        <v>#N/A</v>
      </c>
    </row>
    <row r="522" spans="1:7">
      <c r="A522" s="1363">
        <v>515</v>
      </c>
      <c r="B522" s="1375" t="s">
        <v>2847</v>
      </c>
      <c r="C522" s="1378" t="s">
        <v>1500</v>
      </c>
      <c r="D522" s="1377">
        <v>25</v>
      </c>
      <c r="E522" s="1378" t="s">
        <v>2814</v>
      </c>
      <c r="F522" s="1378" t="s">
        <v>2830</v>
      </c>
      <c r="G522" s="545" t="e">
        <f>VLOOKUP(B:B,Weight_Table!A:B,2,FALSE)</f>
        <v>#N/A</v>
      </c>
    </row>
    <row r="523" spans="1:7">
      <c r="A523" s="1363">
        <v>516</v>
      </c>
      <c r="B523" s="1375" t="s">
        <v>2848</v>
      </c>
      <c r="C523" s="1378" t="s">
        <v>1500</v>
      </c>
      <c r="D523" s="1377">
        <v>39</v>
      </c>
      <c r="E523" s="1378" t="s">
        <v>2814</v>
      </c>
      <c r="F523" s="1378" t="s">
        <v>2830</v>
      </c>
      <c r="G523" s="545" t="e">
        <f>VLOOKUP(B:B,Weight_Table!A:B,2,FALSE)</f>
        <v>#N/A</v>
      </c>
    </row>
    <row r="524" spans="1:7">
      <c r="A524" s="1363">
        <v>517</v>
      </c>
      <c r="B524" s="1375" t="s">
        <v>2893</v>
      </c>
      <c r="C524" s="1378" t="s">
        <v>1500</v>
      </c>
      <c r="D524" s="1377">
        <v>39</v>
      </c>
      <c r="E524" s="1378" t="s">
        <v>2814</v>
      </c>
      <c r="F524" s="1378" t="s">
        <v>2961</v>
      </c>
      <c r="G524" s="545" t="e">
        <f>VLOOKUP(B:B,Weight_Table!A:B,2,FALSE)</f>
        <v>#N/A</v>
      </c>
    </row>
    <row r="525" spans="1:7">
      <c r="A525" s="1363">
        <v>518</v>
      </c>
      <c r="B525" s="1375" t="s">
        <v>1355</v>
      </c>
      <c r="C525" s="1378" t="s">
        <v>1500</v>
      </c>
      <c r="D525" s="1377">
        <v>32</v>
      </c>
      <c r="E525" s="1378" t="s">
        <v>2814</v>
      </c>
      <c r="F525" s="1378" t="s">
        <v>2830</v>
      </c>
      <c r="G525" s="545" t="e">
        <f>VLOOKUP(B:B,Weight_Table!A:B,2,FALSE)</f>
        <v>#N/A</v>
      </c>
    </row>
    <row r="526" spans="1:7">
      <c r="A526" s="1363">
        <v>519</v>
      </c>
      <c r="B526" s="1415" t="s">
        <v>1348</v>
      </c>
      <c r="C526" s="1378" t="s">
        <v>1500</v>
      </c>
      <c r="D526" s="1416">
        <v>70</v>
      </c>
      <c r="E526" s="1378" t="s">
        <v>2814</v>
      </c>
      <c r="F526" s="1378" t="s">
        <v>2830</v>
      </c>
      <c r="G526" s="545" t="e">
        <f>VLOOKUP(B:B,Weight_Table!A:B,2,FALSE)</f>
        <v>#N/A</v>
      </c>
    </row>
    <row r="527" spans="1:7">
      <c r="A527" s="1363">
        <v>520</v>
      </c>
      <c r="B527" s="1375" t="s">
        <v>1362</v>
      </c>
      <c r="C527" s="1378" t="s">
        <v>1500</v>
      </c>
      <c r="D527" s="1377">
        <v>39</v>
      </c>
      <c r="E527" s="1378" t="s">
        <v>2814</v>
      </c>
      <c r="F527" s="1378" t="s">
        <v>2830</v>
      </c>
      <c r="G527" s="545" t="e">
        <f>VLOOKUP(B:B,Weight_Table!A:B,2,FALSE)</f>
        <v>#N/A</v>
      </c>
    </row>
    <row r="528" spans="1:7">
      <c r="A528" s="1363">
        <v>521</v>
      </c>
      <c r="B528" s="1375" t="s">
        <v>2892</v>
      </c>
      <c r="C528" s="1378" t="s">
        <v>1500</v>
      </c>
      <c r="D528" s="1377">
        <v>39</v>
      </c>
      <c r="E528" s="1378" t="s">
        <v>2814</v>
      </c>
      <c r="F528" s="1378" t="s">
        <v>2961</v>
      </c>
      <c r="G528" s="545" t="e">
        <f>VLOOKUP(B:B,Weight_Table!A:B,2,FALSE)</f>
        <v>#N/A</v>
      </c>
    </row>
    <row r="529" spans="1:7">
      <c r="A529" s="1363">
        <v>522</v>
      </c>
      <c r="B529" s="1375" t="s">
        <v>1354</v>
      </c>
      <c r="C529" s="1378" t="s">
        <v>1500</v>
      </c>
      <c r="D529" s="1377">
        <v>31</v>
      </c>
      <c r="E529" s="1378" t="s">
        <v>2814</v>
      </c>
      <c r="F529" s="1378" t="s">
        <v>2830</v>
      </c>
      <c r="G529" s="545" t="e">
        <f>VLOOKUP(B:B,Weight_Table!A:B,2,FALSE)</f>
        <v>#N/A</v>
      </c>
    </row>
    <row r="530" spans="1:7">
      <c r="A530" s="1363">
        <v>523</v>
      </c>
      <c r="B530" s="1375" t="s">
        <v>1347</v>
      </c>
      <c r="C530" s="1378" t="s">
        <v>1500</v>
      </c>
      <c r="D530" s="1377">
        <v>24</v>
      </c>
      <c r="E530" s="1378" t="s">
        <v>2814</v>
      </c>
      <c r="F530" s="1378" t="s">
        <v>2830</v>
      </c>
      <c r="G530" s="545" t="e">
        <f>VLOOKUP(B:B,Weight_Table!A:B,2,FALSE)</f>
        <v>#N/A</v>
      </c>
    </row>
    <row r="531" spans="1:7">
      <c r="A531" s="1363">
        <v>524</v>
      </c>
      <c r="B531" s="1375" t="s">
        <v>1361</v>
      </c>
      <c r="C531" s="1378" t="s">
        <v>1500</v>
      </c>
      <c r="D531" s="1377">
        <v>38</v>
      </c>
      <c r="E531" s="1378" t="s">
        <v>2814</v>
      </c>
      <c r="F531" s="1378" t="s">
        <v>2830</v>
      </c>
      <c r="G531" s="545" t="e">
        <f>VLOOKUP(B:B,Weight_Table!A:B,2,FALSE)</f>
        <v>#N/A</v>
      </c>
    </row>
    <row r="532" spans="1:7">
      <c r="A532" s="1363">
        <v>525</v>
      </c>
      <c r="B532" s="1375" t="s">
        <v>2892</v>
      </c>
      <c r="C532" s="1378" t="s">
        <v>1500</v>
      </c>
      <c r="D532" s="1377">
        <v>33</v>
      </c>
      <c r="E532" s="1378" t="s">
        <v>2814</v>
      </c>
      <c r="F532" s="1378" t="s">
        <v>2961</v>
      </c>
      <c r="G532" s="545" t="e">
        <f>VLOOKUP(B:B,Weight_Table!A:B,2,FALSE)</f>
        <v>#N/A</v>
      </c>
    </row>
    <row r="533" spans="1:7">
      <c r="A533" s="1363">
        <v>526</v>
      </c>
      <c r="B533" s="1375" t="s">
        <v>1353</v>
      </c>
      <c r="C533" s="1378" t="s">
        <v>1500</v>
      </c>
      <c r="D533" s="1377">
        <v>30</v>
      </c>
      <c r="E533" s="1378" t="s">
        <v>2814</v>
      </c>
      <c r="F533" s="1378" t="s">
        <v>2830</v>
      </c>
      <c r="G533" s="545" t="e">
        <f>VLOOKUP(B:B,Weight_Table!A:B,2,FALSE)</f>
        <v>#N/A</v>
      </c>
    </row>
    <row r="534" spans="1:7">
      <c r="A534" s="1363">
        <v>527</v>
      </c>
      <c r="B534" s="1375" t="s">
        <v>1346</v>
      </c>
      <c r="C534" s="1378" t="s">
        <v>1500</v>
      </c>
      <c r="D534" s="1377">
        <v>23</v>
      </c>
      <c r="E534" s="1378" t="s">
        <v>2814</v>
      </c>
      <c r="F534" s="1378" t="s">
        <v>2830</v>
      </c>
      <c r="G534" s="545" t="e">
        <f>VLOOKUP(B:B,Weight_Table!A:B,2,FALSE)</f>
        <v>#N/A</v>
      </c>
    </row>
    <row r="535" spans="1:7">
      <c r="A535" s="1363">
        <v>528</v>
      </c>
      <c r="B535" s="1375" t="s">
        <v>1360</v>
      </c>
      <c r="C535" s="1378" t="s">
        <v>1500</v>
      </c>
      <c r="D535" s="1377">
        <v>37</v>
      </c>
      <c r="E535" s="1378" t="s">
        <v>2814</v>
      </c>
      <c r="F535" s="1378" t="s">
        <v>2830</v>
      </c>
      <c r="G535" s="545" t="e">
        <f>VLOOKUP(B:B,Weight_Table!A:B,2,FALSE)</f>
        <v>#N/A</v>
      </c>
    </row>
    <row r="536" spans="1:7">
      <c r="A536" s="1363">
        <v>529</v>
      </c>
      <c r="B536" s="1375" t="s">
        <v>2891</v>
      </c>
      <c r="C536" s="1378" t="s">
        <v>1500</v>
      </c>
      <c r="D536" s="1377">
        <v>33</v>
      </c>
      <c r="E536" s="1378" t="s">
        <v>2814</v>
      </c>
      <c r="F536" s="1378" t="s">
        <v>2961</v>
      </c>
      <c r="G536" s="545" t="e">
        <f>VLOOKUP(B:B,Weight_Table!A:B,2,FALSE)</f>
        <v>#N/A</v>
      </c>
    </row>
    <row r="537" spans="1:7">
      <c r="A537" s="1363">
        <v>530</v>
      </c>
      <c r="B537" s="1375" t="s">
        <v>1352</v>
      </c>
      <c r="C537" s="1378" t="s">
        <v>1500</v>
      </c>
      <c r="D537" s="1377">
        <v>29</v>
      </c>
      <c r="E537" s="1378" t="s">
        <v>2814</v>
      </c>
      <c r="F537" s="1378" t="s">
        <v>2830</v>
      </c>
      <c r="G537" s="545" t="e">
        <f>VLOOKUP(B:B,Weight_Table!A:B,2,FALSE)</f>
        <v>#N/A</v>
      </c>
    </row>
    <row r="538" spans="1:7">
      <c r="A538" s="1363">
        <v>531</v>
      </c>
      <c r="B538" s="1415" t="s">
        <v>1345</v>
      </c>
      <c r="C538" s="1378" t="s">
        <v>1500</v>
      </c>
      <c r="D538" s="1416">
        <v>60</v>
      </c>
      <c r="E538" s="1378" t="s">
        <v>2814</v>
      </c>
      <c r="F538" s="1378" t="s">
        <v>2830</v>
      </c>
      <c r="G538" s="545" t="e">
        <f>VLOOKUP(B:B,Weight_Table!A:B,2,FALSE)</f>
        <v>#N/A</v>
      </c>
    </row>
    <row r="539" spans="1:7">
      <c r="A539" s="1363">
        <v>532</v>
      </c>
      <c r="B539" s="1375" t="s">
        <v>1359</v>
      </c>
      <c r="C539" s="1378" t="s">
        <v>1500</v>
      </c>
      <c r="D539" s="1377">
        <v>36</v>
      </c>
      <c r="E539" s="1378" t="s">
        <v>2814</v>
      </c>
      <c r="F539" s="1378" t="s">
        <v>2830</v>
      </c>
      <c r="G539" s="545" t="e">
        <f>VLOOKUP(B:B,Weight_Table!A:B,2,FALSE)</f>
        <v>#N/A</v>
      </c>
    </row>
    <row r="540" spans="1:7">
      <c r="A540" s="1363">
        <v>533</v>
      </c>
      <c r="B540" s="1375" t="s">
        <v>2890</v>
      </c>
      <c r="C540" s="1378" t="s">
        <v>1500</v>
      </c>
      <c r="D540" s="1377">
        <v>33</v>
      </c>
      <c r="E540" s="1378" t="s">
        <v>2814</v>
      </c>
      <c r="F540" s="1378" t="s">
        <v>2961</v>
      </c>
      <c r="G540" s="545" t="e">
        <f>VLOOKUP(B:B,Weight_Table!A:B,2,FALSE)</f>
        <v>#N/A</v>
      </c>
    </row>
    <row r="541" spans="1:7">
      <c r="A541" s="1363">
        <v>534</v>
      </c>
      <c r="B541" s="1375" t="s">
        <v>1351</v>
      </c>
      <c r="C541" s="1378" t="s">
        <v>1500</v>
      </c>
      <c r="D541" s="1377">
        <v>28</v>
      </c>
      <c r="E541" s="1378" t="s">
        <v>2814</v>
      </c>
      <c r="F541" s="1378" t="s">
        <v>2830</v>
      </c>
      <c r="G541" s="545" t="e">
        <f>VLOOKUP(B:B,Weight_Table!A:B,2,FALSE)</f>
        <v>#N/A</v>
      </c>
    </row>
    <row r="542" spans="1:7">
      <c r="A542" s="1363">
        <v>535</v>
      </c>
      <c r="B542" s="1375" t="s">
        <v>1344</v>
      </c>
      <c r="C542" s="1378" t="s">
        <v>1500</v>
      </c>
      <c r="D542" s="1377">
        <v>21</v>
      </c>
      <c r="E542" s="1378" t="s">
        <v>2814</v>
      </c>
      <c r="F542" s="1378" t="s">
        <v>2830</v>
      </c>
      <c r="G542" s="545" t="e">
        <f>VLOOKUP(B:B,Weight_Table!A:B,2,FALSE)</f>
        <v>#N/A</v>
      </c>
    </row>
    <row r="543" spans="1:7">
      <c r="A543" s="1363">
        <v>536</v>
      </c>
      <c r="B543" s="1375" t="s">
        <v>1358</v>
      </c>
      <c r="C543" s="1378" t="s">
        <v>1500</v>
      </c>
      <c r="D543" s="1377">
        <v>35</v>
      </c>
      <c r="E543" s="1378" t="s">
        <v>2814</v>
      </c>
      <c r="F543" s="1378" t="s">
        <v>2830</v>
      </c>
      <c r="G543" s="545" t="e">
        <f>VLOOKUP(B:B,Weight_Table!A:B,2,FALSE)</f>
        <v>#N/A</v>
      </c>
    </row>
    <row r="544" spans="1:7">
      <c r="A544" s="1363">
        <v>537</v>
      </c>
      <c r="B544" s="1375" t="s">
        <v>2889</v>
      </c>
      <c r="C544" s="1378" t="s">
        <v>1500</v>
      </c>
      <c r="D544" s="1377">
        <v>33</v>
      </c>
      <c r="E544" s="1378" t="s">
        <v>2814</v>
      </c>
      <c r="F544" s="1378" t="s">
        <v>2961</v>
      </c>
      <c r="G544" s="545" t="e">
        <f>VLOOKUP(B:B,Weight_Table!A:B,2,FALSE)</f>
        <v>#N/A</v>
      </c>
    </row>
    <row r="545" spans="1:7">
      <c r="A545" s="1363">
        <v>538</v>
      </c>
      <c r="B545" s="1375" t="s">
        <v>1350</v>
      </c>
      <c r="C545" s="1378" t="s">
        <v>1500</v>
      </c>
      <c r="D545" s="1377">
        <v>27</v>
      </c>
      <c r="E545" s="1378" t="s">
        <v>2814</v>
      </c>
      <c r="F545" s="1378" t="s">
        <v>2830</v>
      </c>
      <c r="G545" s="545" t="e">
        <f>VLOOKUP(B:B,Weight_Table!A:B,2,FALSE)</f>
        <v>#N/A</v>
      </c>
    </row>
    <row r="546" spans="1:7">
      <c r="A546" s="1363">
        <v>539</v>
      </c>
      <c r="B546" s="1375" t="s">
        <v>1343</v>
      </c>
      <c r="C546" s="1378" t="s">
        <v>1500</v>
      </c>
      <c r="D546" s="1377">
        <v>20</v>
      </c>
      <c r="E546" s="1378" t="s">
        <v>2814</v>
      </c>
      <c r="F546" s="1378" t="s">
        <v>2830</v>
      </c>
      <c r="G546" s="545" t="e">
        <f>VLOOKUP(B:B,Weight_Table!A:B,2,FALSE)</f>
        <v>#N/A</v>
      </c>
    </row>
    <row r="547" spans="1:7">
      <c r="A547" s="1363">
        <v>540</v>
      </c>
      <c r="B547" s="1375" t="s">
        <v>1357</v>
      </c>
      <c r="C547" s="1378" t="s">
        <v>1500</v>
      </c>
      <c r="D547" s="1377">
        <v>34</v>
      </c>
      <c r="E547" s="1378" t="s">
        <v>2814</v>
      </c>
      <c r="F547" s="1378" t="s">
        <v>2830</v>
      </c>
      <c r="G547" s="545" t="e">
        <f>VLOOKUP(B:B,Weight_Table!A:B,2,FALSE)</f>
        <v>#N/A</v>
      </c>
    </row>
    <row r="548" spans="1:7">
      <c r="A548" s="1363">
        <v>541</v>
      </c>
      <c r="B548" s="1375" t="s">
        <v>2888</v>
      </c>
      <c r="C548" s="1378" t="s">
        <v>1500</v>
      </c>
      <c r="D548" s="1377">
        <v>33</v>
      </c>
      <c r="E548" s="1378" t="s">
        <v>2814</v>
      </c>
      <c r="F548" s="1378" t="s">
        <v>2961</v>
      </c>
      <c r="G548" s="545" t="e">
        <f>VLOOKUP(B:B,Weight_Table!A:B,2,FALSE)</f>
        <v>#N/A</v>
      </c>
    </row>
    <row r="549" spans="1:7">
      <c r="A549" s="1363">
        <v>542</v>
      </c>
      <c r="B549" s="1375" t="s">
        <v>1349</v>
      </c>
      <c r="C549" s="1378" t="s">
        <v>1500</v>
      </c>
      <c r="D549" s="1377">
        <v>26</v>
      </c>
      <c r="E549" s="1378" t="s">
        <v>2814</v>
      </c>
      <c r="F549" s="1378" t="s">
        <v>2830</v>
      </c>
      <c r="G549" s="545" t="e">
        <f>VLOOKUP(B:B,Weight_Table!A:B,2,FALSE)</f>
        <v>#N/A</v>
      </c>
    </row>
    <row r="550" spans="1:7">
      <c r="A550" s="1363">
        <v>543</v>
      </c>
      <c r="B550" s="1375" t="s">
        <v>1342</v>
      </c>
      <c r="C550" s="1378" t="s">
        <v>1500</v>
      </c>
      <c r="D550" s="1377">
        <v>19</v>
      </c>
      <c r="E550" s="1378" t="s">
        <v>2814</v>
      </c>
      <c r="F550" s="1378" t="s">
        <v>2830</v>
      </c>
      <c r="G550" s="545" t="e">
        <f>VLOOKUP(B:B,Weight_Table!A:B,2,FALSE)</f>
        <v>#N/A</v>
      </c>
    </row>
    <row r="551" spans="1:7">
      <c r="A551" s="1363">
        <v>544</v>
      </c>
      <c r="B551" s="1375" t="s">
        <v>1356</v>
      </c>
      <c r="C551" s="1378" t="s">
        <v>1500</v>
      </c>
      <c r="D551" s="1377">
        <v>33</v>
      </c>
      <c r="E551" s="1378" t="s">
        <v>2814</v>
      </c>
      <c r="F551" s="1378" t="s">
        <v>2830</v>
      </c>
      <c r="G551" s="545" t="e">
        <f>VLOOKUP(B:B,Weight_Table!A:B,2,FALSE)</f>
        <v>#N/A</v>
      </c>
    </row>
    <row r="552" spans="1:7">
      <c r="A552" s="1363">
        <v>545</v>
      </c>
      <c r="B552" s="1375" t="s">
        <v>2887</v>
      </c>
      <c r="C552" s="1378" t="s">
        <v>1500</v>
      </c>
      <c r="D552" s="1377">
        <v>33</v>
      </c>
      <c r="E552" s="1378" t="s">
        <v>2814</v>
      </c>
      <c r="F552" s="1378" t="s">
        <v>2961</v>
      </c>
      <c r="G552" s="545" t="e">
        <f>VLOOKUP(B:B,Weight_Table!A:B,2,FALSE)</f>
        <v>#N/A</v>
      </c>
    </row>
    <row r="553" spans="1:7">
      <c r="A553" s="1363">
        <v>546</v>
      </c>
      <c r="B553" s="1375" t="s">
        <v>2831</v>
      </c>
      <c r="C553" s="1378" t="s">
        <v>1499</v>
      </c>
      <c r="D553" s="1377">
        <v>18</v>
      </c>
      <c r="E553" s="1378" t="s">
        <v>2827</v>
      </c>
      <c r="F553" s="1378" t="s">
        <v>2830</v>
      </c>
      <c r="G553" s="545">
        <v>28</v>
      </c>
    </row>
    <row r="554" spans="1:7">
      <c r="A554" s="1363">
        <v>547</v>
      </c>
      <c r="B554" s="1415" t="s">
        <v>2832</v>
      </c>
      <c r="C554" s="1378" t="s">
        <v>1499</v>
      </c>
      <c r="D554" s="1416">
        <v>140</v>
      </c>
      <c r="E554" s="1378" t="s">
        <v>2827</v>
      </c>
      <c r="F554" s="1378" t="s">
        <v>2830</v>
      </c>
      <c r="G554" s="545">
        <v>28</v>
      </c>
    </row>
    <row r="555" spans="1:7">
      <c r="A555" s="1363">
        <v>548</v>
      </c>
      <c r="B555" s="1375" t="s">
        <v>2833</v>
      </c>
      <c r="C555" s="1378" t="s">
        <v>1499</v>
      </c>
      <c r="D555" s="1377">
        <v>18</v>
      </c>
      <c r="E555" s="1378" t="s">
        <v>2827</v>
      </c>
      <c r="F555" s="1378" t="s">
        <v>2962</v>
      </c>
      <c r="G555" s="545">
        <v>26</v>
      </c>
    </row>
    <row r="556" spans="1:7">
      <c r="A556" s="1363">
        <v>549</v>
      </c>
      <c r="B556" s="1415" t="s">
        <v>2834</v>
      </c>
      <c r="C556" s="1378" t="s">
        <v>1499</v>
      </c>
      <c r="D556" s="1416">
        <v>130</v>
      </c>
      <c r="E556" s="1378" t="s">
        <v>2827</v>
      </c>
      <c r="F556" s="1378" t="s">
        <v>2830</v>
      </c>
      <c r="G556" s="545">
        <v>26</v>
      </c>
    </row>
    <row r="557" spans="1:7">
      <c r="A557" s="1363">
        <v>550</v>
      </c>
      <c r="B557" s="1415" t="s">
        <v>1341</v>
      </c>
      <c r="C557" s="1378" t="s">
        <v>1499</v>
      </c>
      <c r="D557" s="1416">
        <v>125</v>
      </c>
      <c r="E557" s="1378" t="s">
        <v>2827</v>
      </c>
      <c r="F557" s="1378" t="s">
        <v>2830</v>
      </c>
      <c r="G557" s="545">
        <v>25</v>
      </c>
    </row>
    <row r="558" spans="1:7">
      <c r="A558" s="1363">
        <v>551</v>
      </c>
      <c r="B558" s="1415" t="s">
        <v>1334</v>
      </c>
      <c r="C558" s="1378" t="s">
        <v>1499</v>
      </c>
      <c r="D558" s="1416">
        <v>125</v>
      </c>
      <c r="E558" s="1378" t="s">
        <v>2827</v>
      </c>
      <c r="F558" s="1378" t="s">
        <v>2830</v>
      </c>
      <c r="G558" s="545">
        <v>25</v>
      </c>
    </row>
    <row r="559" spans="1:7">
      <c r="A559" s="1363">
        <v>552</v>
      </c>
      <c r="B559" s="1415" t="s">
        <v>1340</v>
      </c>
      <c r="C559" s="1378" t="s">
        <v>1499</v>
      </c>
      <c r="D559" s="1416">
        <v>115</v>
      </c>
      <c r="E559" s="1378" t="s">
        <v>2827</v>
      </c>
      <c r="F559" s="1378" t="s">
        <v>2962</v>
      </c>
      <c r="G559" s="545">
        <v>23</v>
      </c>
    </row>
    <row r="560" spans="1:7">
      <c r="A560" s="1363">
        <v>553</v>
      </c>
      <c r="B560" s="1415" t="s">
        <v>1333</v>
      </c>
      <c r="C560" s="1378" t="s">
        <v>1499</v>
      </c>
      <c r="D560" s="1416">
        <v>115</v>
      </c>
      <c r="E560" s="1378" t="s">
        <v>2827</v>
      </c>
      <c r="F560" s="1378" t="s">
        <v>2830</v>
      </c>
      <c r="G560" s="545">
        <v>23</v>
      </c>
    </row>
    <row r="561" spans="1:7">
      <c r="A561" s="1363">
        <v>554</v>
      </c>
      <c r="B561" s="1375" t="s">
        <v>1339</v>
      </c>
      <c r="C561" s="1378" t="s">
        <v>1499</v>
      </c>
      <c r="D561" s="1377">
        <v>16</v>
      </c>
      <c r="E561" s="1378" t="s">
        <v>2827</v>
      </c>
      <c r="F561" s="1378" t="s">
        <v>2962</v>
      </c>
      <c r="G561" s="545">
        <v>21</v>
      </c>
    </row>
    <row r="562" spans="1:7">
      <c r="A562" s="1363">
        <v>555</v>
      </c>
      <c r="B562" s="1415" t="s">
        <v>1332</v>
      </c>
      <c r="C562" s="1378" t="s">
        <v>1499</v>
      </c>
      <c r="D562" s="1416">
        <v>105</v>
      </c>
      <c r="E562" s="1378" t="s">
        <v>2827</v>
      </c>
      <c r="F562" s="1378" t="s">
        <v>2830</v>
      </c>
      <c r="G562" s="545">
        <v>21</v>
      </c>
    </row>
    <row r="563" spans="1:7">
      <c r="A563" s="1363">
        <v>556</v>
      </c>
      <c r="B563" s="1415" t="s">
        <v>1338</v>
      </c>
      <c r="C563" s="1378" t="s">
        <v>1499</v>
      </c>
      <c r="D563" s="1416">
        <v>100</v>
      </c>
      <c r="E563" s="1378" t="s">
        <v>2827</v>
      </c>
      <c r="F563" s="1378" t="s">
        <v>2830</v>
      </c>
      <c r="G563" s="545">
        <v>20</v>
      </c>
    </row>
    <row r="564" spans="1:7">
      <c r="A564" s="1363">
        <v>557</v>
      </c>
      <c r="B564" s="1415" t="s">
        <v>1331</v>
      </c>
      <c r="C564" s="1378" t="s">
        <v>1499</v>
      </c>
      <c r="D564" s="1416">
        <v>100</v>
      </c>
      <c r="E564" s="1378" t="s">
        <v>2827</v>
      </c>
      <c r="F564" s="1378" t="s">
        <v>2830</v>
      </c>
      <c r="G564" s="545">
        <v>20</v>
      </c>
    </row>
    <row r="565" spans="1:7">
      <c r="A565" s="1363">
        <v>558</v>
      </c>
      <c r="B565" s="1375" t="s">
        <v>1337</v>
      </c>
      <c r="C565" s="1378" t="s">
        <v>1499</v>
      </c>
      <c r="D565" s="1416">
        <v>100</v>
      </c>
      <c r="E565" s="1378" t="s">
        <v>2827</v>
      </c>
      <c r="F565" s="1378" t="s">
        <v>2962</v>
      </c>
      <c r="G565" s="545">
        <v>18.5</v>
      </c>
    </row>
    <row r="566" spans="1:7">
      <c r="A566" s="1363">
        <v>559</v>
      </c>
      <c r="B566" s="1415" t="s">
        <v>1330</v>
      </c>
      <c r="C566" s="1378" t="s">
        <v>1499</v>
      </c>
      <c r="D566" s="1416">
        <v>95</v>
      </c>
      <c r="E566" s="1378" t="s">
        <v>2827</v>
      </c>
      <c r="F566" s="1378" t="s">
        <v>2830</v>
      </c>
      <c r="G566" s="545">
        <v>18.5</v>
      </c>
    </row>
    <row r="567" spans="1:7">
      <c r="A567" s="1363">
        <v>560</v>
      </c>
      <c r="B567" s="1375" t="s">
        <v>1336</v>
      </c>
      <c r="C567" s="1378" t="s">
        <v>1499</v>
      </c>
      <c r="D567" s="1377">
        <v>13</v>
      </c>
      <c r="E567" s="1378" t="s">
        <v>2827</v>
      </c>
      <c r="F567" s="1378" t="s">
        <v>2962</v>
      </c>
      <c r="G567" s="545">
        <v>17</v>
      </c>
    </row>
    <row r="568" spans="1:7">
      <c r="A568" s="1363">
        <v>561</v>
      </c>
      <c r="B568" s="1415" t="s">
        <v>1329</v>
      </c>
      <c r="C568" s="1378" t="s">
        <v>1499</v>
      </c>
      <c r="D568" s="1416">
        <v>85</v>
      </c>
      <c r="E568" s="1378" t="s">
        <v>2827</v>
      </c>
      <c r="F568" s="1378" t="s">
        <v>2830</v>
      </c>
      <c r="G568" s="545">
        <v>17</v>
      </c>
    </row>
    <row r="569" spans="1:7">
      <c r="A569" s="1363">
        <v>562</v>
      </c>
      <c r="B569" s="1375" t="s">
        <v>1335</v>
      </c>
      <c r="C569" s="1378" t="s">
        <v>1499</v>
      </c>
      <c r="D569" s="1377">
        <v>12</v>
      </c>
      <c r="E569" s="1378" t="s">
        <v>2827</v>
      </c>
      <c r="F569" s="1378" t="s">
        <v>2962</v>
      </c>
      <c r="G569" s="545">
        <v>14.5</v>
      </c>
    </row>
    <row r="570" spans="1:7">
      <c r="A570" s="1363">
        <v>563</v>
      </c>
      <c r="B570" s="1415" t="s">
        <v>1328</v>
      </c>
      <c r="C570" s="1378" t="s">
        <v>1499</v>
      </c>
      <c r="D570" s="1416">
        <v>75</v>
      </c>
      <c r="E570" s="1378" t="s">
        <v>2827</v>
      </c>
      <c r="F570" s="1378" t="s">
        <v>2830</v>
      </c>
      <c r="G570" s="545">
        <v>14.5</v>
      </c>
    </row>
    <row r="571" spans="1:7" ht="14.25">
      <c r="A571" s="1363">
        <v>564</v>
      </c>
      <c r="B571" s="1364" t="s">
        <v>987</v>
      </c>
      <c r="C571" s="1365" t="s">
        <v>984</v>
      </c>
      <c r="D571" s="1368">
        <v>0.5</v>
      </c>
      <c r="E571" s="1367" t="s">
        <v>988</v>
      </c>
      <c r="F571" s="1365" t="s">
        <v>986</v>
      </c>
      <c r="G571" s="545">
        <v>1.039E-2</v>
      </c>
    </row>
    <row r="572" spans="1:7" ht="14.25">
      <c r="A572" s="1363">
        <v>565</v>
      </c>
      <c r="B572" s="1364" t="s">
        <v>983</v>
      </c>
      <c r="C572" s="1365" t="s">
        <v>984</v>
      </c>
      <c r="D572" s="1368">
        <v>50</v>
      </c>
      <c r="E572" s="1367" t="s">
        <v>985</v>
      </c>
      <c r="F572" s="1365" t="s">
        <v>986</v>
      </c>
      <c r="G572" s="545">
        <v>5.3749999999999996E-3</v>
      </c>
    </row>
    <row r="573" spans="1:7" ht="14.25">
      <c r="A573" s="1363">
        <v>566</v>
      </c>
      <c r="B573" s="1399" t="s">
        <v>1528</v>
      </c>
      <c r="C573" s="1365" t="s">
        <v>337</v>
      </c>
      <c r="D573" s="1400">
        <v>1.1000000000000001</v>
      </c>
      <c r="E573" s="1367" t="s">
        <v>70</v>
      </c>
      <c r="F573" s="1370" t="s">
        <v>1531</v>
      </c>
      <c r="G573" s="545">
        <v>1.5599999999999999E-2</v>
      </c>
    </row>
    <row r="574" spans="1:7" ht="25.5">
      <c r="A574" s="1363">
        <v>567</v>
      </c>
      <c r="B574" s="1364" t="s">
        <v>1529</v>
      </c>
      <c r="C574" s="1370" t="s">
        <v>337</v>
      </c>
      <c r="D574" s="1368">
        <v>1.1000000000000001</v>
      </c>
      <c r="E574" s="1367" t="s">
        <v>1535</v>
      </c>
      <c r="F574" s="1370" t="s">
        <v>1530</v>
      </c>
      <c r="G574" s="545">
        <v>10</v>
      </c>
    </row>
    <row r="575" spans="1:7" ht="25.5">
      <c r="A575" s="1363">
        <v>568</v>
      </c>
      <c r="B575" s="1399" t="s">
        <v>1536</v>
      </c>
      <c r="C575" s="1370" t="s">
        <v>715</v>
      </c>
      <c r="D575" s="1400">
        <v>1.1000000000000001</v>
      </c>
      <c r="E575" s="1367" t="s">
        <v>716</v>
      </c>
      <c r="F575" s="1370" t="s">
        <v>1532</v>
      </c>
      <c r="G575" s="545">
        <v>1.5599999999999999E-2</v>
      </c>
    </row>
    <row r="576" spans="1:7" ht="25.5">
      <c r="A576" s="1363">
        <v>569</v>
      </c>
      <c r="B576" s="1364" t="s">
        <v>1537</v>
      </c>
      <c r="C576" s="1370" t="s">
        <v>337</v>
      </c>
      <c r="D576" s="1368">
        <v>1.1000000000000001</v>
      </c>
      <c r="E576" s="1367" t="s">
        <v>1534</v>
      </c>
      <c r="F576" s="1370" t="s">
        <v>1533</v>
      </c>
      <c r="G576" s="545">
        <v>1.5599999999999999E-2</v>
      </c>
    </row>
    <row r="577" spans="1:7" ht="14.25">
      <c r="A577" s="1363">
        <v>570</v>
      </c>
      <c r="B577" s="1399" t="s">
        <v>589</v>
      </c>
      <c r="C577" s="1365" t="s">
        <v>336</v>
      </c>
      <c r="D577" s="1400">
        <v>1.2</v>
      </c>
      <c r="E577" s="1367" t="s">
        <v>590</v>
      </c>
      <c r="F577" s="1365" t="s">
        <v>588</v>
      </c>
      <c r="G577" s="958">
        <f>60*70*3*7.87/1000000</f>
        <v>9.9162E-2</v>
      </c>
    </row>
    <row r="578" spans="1:7" ht="14.25">
      <c r="A578" s="1363">
        <v>571</v>
      </c>
      <c r="B578" s="1364" t="s">
        <v>81</v>
      </c>
      <c r="C578" s="1365" t="s">
        <v>336</v>
      </c>
      <c r="D578" s="1368">
        <v>1.2</v>
      </c>
      <c r="E578" s="1367" t="s">
        <v>587</v>
      </c>
      <c r="F578" s="1365" t="s">
        <v>588</v>
      </c>
      <c r="G578" s="958">
        <f>60*70*1.5*7.87/1000000</f>
        <v>4.9581E-2</v>
      </c>
    </row>
    <row r="579" spans="1:7" ht="14.25">
      <c r="A579" s="1363">
        <v>572</v>
      </c>
      <c r="B579" s="1399" t="s">
        <v>994</v>
      </c>
      <c r="C579" s="1365" t="s">
        <v>995</v>
      </c>
      <c r="D579" s="1400">
        <v>15</v>
      </c>
      <c r="E579" s="1367" t="s">
        <v>993</v>
      </c>
      <c r="F579" s="1365" t="s">
        <v>996</v>
      </c>
      <c r="G579" s="545" t="e">
        <f>VLOOKUP(B:B,Weight_Table!A:B,2,FALSE)</f>
        <v>#N/A</v>
      </c>
    </row>
  </sheetData>
  <phoneticPr fontId="15" type="noConversion"/>
  <printOptions verticalCentered="1"/>
  <pageMargins left="0.59055118110236227" right="1.3385826771653544" top="0.78740157480314965" bottom="0.19685039370078741" header="0.15748031496062992" footer="0.15748031496062992"/>
  <pageSetup paperSize="9" scale="92" fitToHeight="0" orientation="landscape" verticalDpi="200" r:id="rId1"/>
  <rowBreaks count="1" manualBreakCount="1">
    <brk id="268" max="6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A981-DD4D-4060-B30C-8991B7B55326}">
  <sheetPr codeName="Sheet23"/>
  <dimension ref="A1:H1004"/>
  <sheetViews>
    <sheetView view="pageBreakPreview" zoomScale="50" zoomScaleNormal="100" zoomScaleSheetLayoutView="50" workbookViewId="0">
      <selection activeCell="G280" sqref="G280"/>
    </sheetView>
  </sheetViews>
  <sheetFormatPr defaultRowHeight="16.5"/>
  <cols>
    <col min="1" max="1" width="45.125" customWidth="1"/>
    <col min="2" max="2" width="42.25" customWidth="1"/>
    <col min="3" max="3" width="39.125" customWidth="1"/>
    <col min="4" max="4" width="20.375" customWidth="1"/>
    <col min="5" max="5" width="15.875" customWidth="1"/>
    <col min="6" max="7" width="18.75" customWidth="1"/>
    <col min="8" max="8" width="41.375" bestFit="1" customWidth="1"/>
    <col min="9" max="9" width="33.375" bestFit="1" customWidth="1"/>
    <col min="10" max="10" width="27.875" bestFit="1" customWidth="1"/>
    <col min="11" max="11" width="21.75" bestFit="1" customWidth="1"/>
    <col min="12" max="12" width="9.25" bestFit="1" customWidth="1"/>
    <col min="13" max="14" width="24.25" bestFit="1" customWidth="1"/>
  </cols>
  <sheetData>
    <row r="1" spans="1:8">
      <c r="A1" s="133"/>
      <c r="B1" s="1358"/>
      <c r="C1" s="133"/>
      <c r="D1" s="133"/>
      <c r="E1" s="133"/>
      <c r="F1" s="133"/>
      <c r="G1" s="133"/>
      <c r="H1">
        <f>PACKING!C63</f>
        <v>2</v>
      </c>
    </row>
    <row r="2" spans="1:8" ht="34.15" customHeight="1" thickBot="1">
      <c r="A2" s="133"/>
      <c r="B2" s="1358"/>
      <c r="C2" s="133"/>
      <c r="D2" s="133"/>
      <c r="E2" s="133"/>
      <c r="F2" s="133"/>
      <c r="G2" s="133"/>
    </row>
    <row r="3" spans="1:8" ht="75" customHeight="1" thickBot="1">
      <c r="A3" s="1300"/>
      <c r="B3" s="1299" t="str">
        <f>BASIC_TOOL!$B$6</f>
        <v>A Project</v>
      </c>
      <c r="C3" s="1304" t="s">
        <v>2756</v>
      </c>
      <c r="D3" s="1309" t="e">
        <f ca="1">_xlfn.IFS(PACKING!D65="M", "1X1.5M",PACKING!D65="L", "1X2M",PACKING!D65="S", "1X1M")</f>
        <v>#NAME?</v>
      </c>
      <c r="E3" s="1296">
        <f>PACKING!D94</f>
        <v>1</v>
      </c>
      <c r="F3" s="1295" t="s">
        <v>2755</v>
      </c>
      <c r="G3" s="1294">
        <f>PACKING!$C$93</f>
        <v>2</v>
      </c>
    </row>
    <row r="4" spans="1:8" ht="80.45" customHeight="1">
      <c r="A4" s="1290" t="s">
        <v>2754</v>
      </c>
      <c r="B4" s="1290" t="str">
        <f>BASIC_TOOL!$B$7</f>
        <v>DAMMAM, KSA</v>
      </c>
      <c r="C4" s="1293" t="str">
        <f>BASIC_TOOL!$C$14</f>
        <v>Non-Insulated</v>
      </c>
      <c r="D4" s="1694" t="str">
        <f>'PRINTOUT(BOM)'!A96</f>
        <v>▣ Size : 10mW x (5)mL x3mH =150 [TON]/ 1[SET]</v>
      </c>
      <c r="E4" s="1695"/>
      <c r="F4" s="1695"/>
      <c r="G4" s="1696"/>
    </row>
    <row r="5" spans="1:8" ht="52.15" customHeight="1">
      <c r="A5" s="1290" t="s">
        <v>2753</v>
      </c>
      <c r="B5" s="1292">
        <f>BASIC_TOOL!$F$7</f>
        <v>44343</v>
      </c>
      <c r="C5" s="1291" t="s">
        <v>2752</v>
      </c>
      <c r="D5" s="1691" t="str">
        <f>BASIC_TOOL!$D$6</f>
        <v>ABC</v>
      </c>
      <c r="E5" s="1691"/>
      <c r="F5" s="1691" t="s">
        <v>2751</v>
      </c>
      <c r="G5" s="1697"/>
    </row>
    <row r="6" spans="1:8" ht="61.15" customHeight="1">
      <c r="A6" s="1290" t="s">
        <v>176</v>
      </c>
      <c r="B6" s="1359" t="s">
        <v>177</v>
      </c>
      <c r="C6" s="1335" t="s">
        <v>2750</v>
      </c>
      <c r="D6" s="1691" t="s">
        <v>239</v>
      </c>
      <c r="E6" s="1691"/>
      <c r="F6" s="1288" t="s">
        <v>2749</v>
      </c>
      <c r="G6" s="1287" t="s">
        <v>2748</v>
      </c>
    </row>
    <row r="7" spans="1:8" ht="53.45" customHeight="1">
      <c r="A7" s="1284" t="str">
        <f>IF(B7="","",(VLOOKUP(B:B,'0.39'!B:F,5,FALSE)))</f>
        <v>Side Top</v>
      </c>
      <c r="B7" s="1360" t="str">
        <f>PACKING!C97</f>
        <v>SL20T</v>
      </c>
      <c r="C7" s="1283" t="str">
        <f>IFERROR((VLOOKUP(B:B,'0.39'!B:F,4,FALSE)),"")</f>
        <v>1x2m</v>
      </c>
      <c r="D7" s="1331">
        <f>PACKING!D67</f>
        <v>25</v>
      </c>
      <c r="E7" s="1286" t="s">
        <v>2747</v>
      </c>
      <c r="F7" s="1285"/>
      <c r="G7" s="1281"/>
    </row>
    <row r="8" spans="1:8" ht="53.45" customHeight="1">
      <c r="A8" s="1284" t="str">
        <f>IF(B8="","",(VLOOKUP(B:B,'0.39'!B:F,5,FALSE)))</f>
        <v/>
      </c>
      <c r="B8" s="1360" t="str">
        <f>PACKING!C98</f>
        <v/>
      </c>
      <c r="C8" s="1283" t="str">
        <f>IFERROR((VLOOKUP(B:B,'0.39'!B:F,4,FALSE)),"")</f>
        <v/>
      </c>
      <c r="D8" s="1331" t="str">
        <f>PACKING!D68</f>
        <v/>
      </c>
      <c r="E8" s="1337" t="s">
        <v>2747</v>
      </c>
      <c r="F8" s="1285"/>
      <c r="G8" s="1281"/>
    </row>
    <row r="9" spans="1:8" ht="53.45" customHeight="1">
      <c r="A9" s="1284" t="str">
        <f>IF(B9="","",(VLOOKUP(B:B,'0.39'!B:F,5,FALSE)))</f>
        <v/>
      </c>
      <c r="B9" s="1360" t="str">
        <f>PACKING!C99</f>
        <v/>
      </c>
      <c r="C9" s="1283" t="str">
        <f>IFERROR((VLOOKUP(B:B,'0.39'!B:F,4,FALSE)),"")</f>
        <v/>
      </c>
      <c r="D9" s="1331" t="str">
        <f>PACKING!D69</f>
        <v/>
      </c>
      <c r="E9" s="1286" t="s">
        <v>2747</v>
      </c>
      <c r="F9" s="1285"/>
      <c r="G9" s="1281"/>
    </row>
    <row r="10" spans="1:8" ht="53.45" customHeight="1">
      <c r="A10" s="1284" t="str">
        <f>IF(B10="","",(VLOOKUP(B:B,'0.39'!B:F,5,FALSE)))</f>
        <v/>
      </c>
      <c r="B10" s="1360" t="str">
        <f>PACKING!C100</f>
        <v/>
      </c>
      <c r="C10" s="1283" t="str">
        <f>IFERROR((VLOOKUP(B:B,'0.39'!B:F,4,FALSE)),"")</f>
        <v/>
      </c>
      <c r="D10" s="1331" t="str">
        <f>PACKING!D70</f>
        <v/>
      </c>
      <c r="E10" s="1286" t="s">
        <v>2747</v>
      </c>
      <c r="F10" s="1282"/>
      <c r="G10" s="1281"/>
    </row>
    <row r="11" spans="1:8" ht="53.45" customHeight="1">
      <c r="A11" s="1284" t="str">
        <f>IF(B11="","",(VLOOKUP(B:B,'0.39'!B:F,5,FALSE)))</f>
        <v/>
      </c>
      <c r="B11" s="1360" t="str">
        <f>PACKING!C101</f>
        <v/>
      </c>
      <c r="C11" s="1283" t="str">
        <f>IFERROR((VLOOKUP(B:B,'0.39'!B:F,4,FALSE)),"")</f>
        <v/>
      </c>
      <c r="D11" s="1331" t="str">
        <f>PACKING!D71</f>
        <v/>
      </c>
      <c r="E11" s="1286" t="s">
        <v>2747</v>
      </c>
      <c r="F11" s="1282"/>
      <c r="G11" s="1281"/>
    </row>
    <row r="12" spans="1:8" ht="53.45" customHeight="1">
      <c r="A12" s="1284" t="str">
        <f>IF(B12="","",(VLOOKUP(B:B,'0.39'!B:F,5,FALSE)))</f>
        <v/>
      </c>
      <c r="B12" s="1360" t="str">
        <f>PACKING!C102</f>
        <v/>
      </c>
      <c r="C12" s="1283" t="str">
        <f>IFERROR((VLOOKUP(B:B,'0.39'!B:F,4,FALSE)),"")</f>
        <v/>
      </c>
      <c r="D12" s="1331" t="str">
        <f>PACKING!D72</f>
        <v/>
      </c>
      <c r="E12" s="1337" t="s">
        <v>2747</v>
      </c>
      <c r="F12" s="1282"/>
      <c r="G12" s="1281"/>
    </row>
    <row r="13" spans="1:8" ht="53.45" customHeight="1">
      <c r="A13" s="1284" t="str">
        <f>IF(B13="","",(VLOOKUP(B:B,'0.39'!B:F,5,FALSE)))</f>
        <v/>
      </c>
      <c r="B13" s="1360" t="str">
        <f>PACKING!C103</f>
        <v/>
      </c>
      <c r="C13" s="1283" t="str">
        <f>IFERROR((VLOOKUP(B:B,'0.39'!B:F,4,FALSE)),"")</f>
        <v/>
      </c>
      <c r="D13" s="1331" t="str">
        <f>PACKING!D73</f>
        <v/>
      </c>
      <c r="E13" s="1337" t="s">
        <v>2747</v>
      </c>
      <c r="F13" s="1282"/>
      <c r="G13" s="1281"/>
    </row>
    <row r="14" spans="1:8" ht="53.45" customHeight="1">
      <c r="A14" s="1284" t="str">
        <f>IF(B14="","",(VLOOKUP(B:B,'0.39'!B:F,5,FALSE)))</f>
        <v/>
      </c>
      <c r="B14" s="1360" t="str">
        <f>PACKING!C104</f>
        <v/>
      </c>
      <c r="C14" s="1283" t="str">
        <f>IFERROR((VLOOKUP(B:B,'0.39'!B:F,4,FALSE)),"")</f>
        <v/>
      </c>
      <c r="D14" s="1331" t="str">
        <f>PACKING!D74</f>
        <v/>
      </c>
      <c r="E14" s="1337" t="s">
        <v>2747</v>
      </c>
      <c r="F14" s="1282"/>
      <c r="G14" s="1281"/>
    </row>
    <row r="15" spans="1:8" ht="53.45" customHeight="1">
      <c r="A15" s="1284" t="str">
        <f>IF(B15="","",(VLOOKUP(B:B,'0.39'!B:F,5,FALSE)))</f>
        <v/>
      </c>
      <c r="B15" s="1360" t="str">
        <f>PACKING!C105</f>
        <v/>
      </c>
      <c r="C15" s="1283" t="str">
        <f>IFERROR((VLOOKUP(B:B,'0.39'!B:F,4,FALSE)),"")</f>
        <v/>
      </c>
      <c r="D15" s="1331" t="str">
        <f>PACKING!D75</f>
        <v/>
      </c>
      <c r="E15" s="1337" t="s">
        <v>2747</v>
      </c>
      <c r="F15" s="1285"/>
      <c r="G15" s="1281"/>
    </row>
    <row r="16" spans="1:8" ht="53.45" customHeight="1">
      <c r="A16" s="1284" t="str">
        <f>IF(B16="","",(VLOOKUP(B:B,'0.39'!B:F,5,FALSE)))</f>
        <v/>
      </c>
      <c r="B16" s="1360" t="str">
        <f>PACKING!C106</f>
        <v/>
      </c>
      <c r="C16" s="1283" t="str">
        <f>IFERROR((VLOOKUP(B:B,'0.39'!B:F,4,FALSE)),"")</f>
        <v/>
      </c>
      <c r="D16" s="1331" t="str">
        <f>PACKING!D76</f>
        <v/>
      </c>
      <c r="E16" s="1337" t="s">
        <v>2747</v>
      </c>
      <c r="F16" s="1282"/>
      <c r="G16" s="1281"/>
    </row>
    <row r="17" spans="1:7" ht="53.45" customHeight="1">
      <c r="A17" s="1284" t="str">
        <f>IF(B17="","",(VLOOKUP(B:B,'0.39'!B:F,5,FALSE)))</f>
        <v/>
      </c>
      <c r="B17" s="1360" t="str">
        <f>PACKING!C107</f>
        <v/>
      </c>
      <c r="C17" s="1283" t="str">
        <f>IFERROR((VLOOKUP(B:B,'0.39'!B:F,4,FALSE)),"")</f>
        <v/>
      </c>
      <c r="D17" s="1331" t="str">
        <f>PACKING!D77</f>
        <v/>
      </c>
      <c r="E17" s="1337" t="s">
        <v>2747</v>
      </c>
      <c r="F17" s="1282"/>
      <c r="G17" s="1281"/>
    </row>
    <row r="18" spans="1:7" ht="57.6" customHeight="1" thickBot="1">
      <c r="A18" s="1692" t="s">
        <v>204</v>
      </c>
      <c r="B18" s="1693"/>
      <c r="C18" s="1693"/>
      <c r="D18" s="1280">
        <f>SUM(D7:D17)</f>
        <v>25</v>
      </c>
      <c r="E18" s="1336" t="s">
        <v>2747</v>
      </c>
      <c r="F18" s="1279" t="s">
        <v>2746</v>
      </c>
      <c r="G18" s="1278" t="s">
        <v>2746</v>
      </c>
    </row>
    <row r="19" spans="1:7" ht="35.25" thickBot="1">
      <c r="A19" s="1302"/>
      <c r="B19" s="1361"/>
      <c r="C19" s="1302"/>
      <c r="D19" s="1303"/>
      <c r="E19" s="1302"/>
      <c r="F19" s="1301"/>
      <c r="G19" s="1301"/>
    </row>
    <row r="20" spans="1:7" ht="75.599999999999994" customHeight="1" thickBot="1">
      <c r="A20" s="1300"/>
      <c r="B20" s="1299" t="str">
        <f>BASIC_TOOL!$B$6</f>
        <v>A Project</v>
      </c>
      <c r="C20" s="1317" t="s">
        <v>2756</v>
      </c>
      <c r="D20" s="1308" t="e">
        <f ca="1">_xlfn.IFS(PACKING!F65="M", "1X1.5M",PACKING!F65="L", "1X2M",PACKING!F65="S", "1X1M")</f>
        <v>#NAME?</v>
      </c>
      <c r="E20" s="1296">
        <f>PACKING!F94</f>
        <v>2</v>
      </c>
      <c r="F20" s="1295" t="s">
        <v>2755</v>
      </c>
      <c r="G20" s="1294">
        <f>PACKING!$C$93</f>
        <v>2</v>
      </c>
    </row>
    <row r="21" spans="1:7" ht="87.6" customHeight="1">
      <c r="A21" s="1290" t="s">
        <v>2754</v>
      </c>
      <c r="B21" s="1290" t="str">
        <f>BASIC_TOOL!$B$7</f>
        <v>DAMMAM, KSA</v>
      </c>
      <c r="C21" s="1293" t="str">
        <f>BASIC_TOOL!$C$14</f>
        <v>Non-Insulated</v>
      </c>
      <c r="D21" s="1694" t="str">
        <f>'PRINTOUT(BOM)'!A96</f>
        <v>▣ Size : 10mW x (5)mL x3mH =150 [TON]/ 1[SET]</v>
      </c>
      <c r="E21" s="1695"/>
      <c r="F21" s="1695"/>
      <c r="G21" s="1696"/>
    </row>
    <row r="22" spans="1:7" ht="63.6" customHeight="1">
      <c r="A22" s="1290" t="s">
        <v>2753</v>
      </c>
      <c r="B22" s="1292">
        <f>BASIC_TOOL!$F$7</f>
        <v>44343</v>
      </c>
      <c r="C22" s="1291" t="s">
        <v>2752</v>
      </c>
      <c r="D22" s="1691" t="str">
        <f>BASIC_TOOL!$D$6</f>
        <v>ABC</v>
      </c>
      <c r="E22" s="1691"/>
      <c r="F22" s="1691" t="s">
        <v>2751</v>
      </c>
      <c r="G22" s="1697"/>
    </row>
    <row r="23" spans="1:7" ht="60">
      <c r="A23" s="1290" t="s">
        <v>176</v>
      </c>
      <c r="B23" s="1359" t="s">
        <v>177</v>
      </c>
      <c r="C23" s="1335" t="s">
        <v>2750</v>
      </c>
      <c r="D23" s="1691" t="s">
        <v>239</v>
      </c>
      <c r="E23" s="1691"/>
      <c r="F23" s="1288" t="s">
        <v>2749</v>
      </c>
      <c r="G23" s="1287" t="s">
        <v>2748</v>
      </c>
    </row>
    <row r="24" spans="1:7" ht="52.9" customHeight="1">
      <c r="A24" s="1284" t="str">
        <f>IFERROR(VLOOKUP(B:B,'0.39'!B:F,5,FALSE),"")</f>
        <v>Side Top</v>
      </c>
      <c r="B24" s="1360" t="str">
        <f>PACKING!E97</f>
        <v>SL20T</v>
      </c>
      <c r="C24" s="1283" t="str">
        <f>IFERROR((VLOOKUP(B:B,'0.39'!B:F,4,FALSE)),"")</f>
        <v>1x2m</v>
      </c>
      <c r="D24" s="1331">
        <f>PACKING!F67</f>
        <v>25</v>
      </c>
      <c r="E24" s="1286" t="s">
        <v>2747</v>
      </c>
      <c r="F24" s="1285"/>
      <c r="G24" s="1281"/>
    </row>
    <row r="25" spans="1:7" ht="52.9" customHeight="1">
      <c r="A25" s="1284" t="str">
        <f>IFERROR(VLOOKUP(B:B,'0.39'!B:F,5,FALSE),"")</f>
        <v>Side_Mid</v>
      </c>
      <c r="B25" s="1360" t="str">
        <f>PACKING!E98</f>
        <v>SF30M</v>
      </c>
      <c r="C25" s="1283" t="str">
        <f>IFERROR((VLOOKUP(B:B,'0.39'!B:F,4,FALSE)),"")</f>
        <v>1 x 1M</v>
      </c>
      <c r="D25" s="1331" t="str">
        <f>PACKING!F68</f>
        <v/>
      </c>
      <c r="E25" s="1337" t="s">
        <v>2747</v>
      </c>
      <c r="F25" s="1285"/>
      <c r="G25" s="1281"/>
    </row>
    <row r="26" spans="1:7" ht="52.9" customHeight="1">
      <c r="A26" s="1284" t="str">
        <f>IFERROR(VLOOKUP(B:B,'0.39'!B:F,5,FALSE),"")</f>
        <v>Side_Low</v>
      </c>
      <c r="B26" s="1360" t="str">
        <f>PACKING!E99</f>
        <v>SF40L</v>
      </c>
      <c r="C26" s="1283" t="str">
        <f>IFERROR((VLOOKUP(B:B,'0.39'!B:F,4,FALSE)),"")</f>
        <v>1 x 1M</v>
      </c>
      <c r="D26" s="1331" t="str">
        <f>PACKING!F69</f>
        <v/>
      </c>
      <c r="E26" s="1286" t="s">
        <v>2747</v>
      </c>
      <c r="F26" s="1285"/>
      <c r="G26" s="1281"/>
    </row>
    <row r="27" spans="1:7" ht="52.9" customHeight="1">
      <c r="A27" s="1284" t="str">
        <f>IFERROR(VLOOKUP(B:B,'0.39'!B:F,5,FALSE),"")</f>
        <v/>
      </c>
      <c r="B27" s="1360" t="str">
        <f>PACKING!E100</f>
        <v/>
      </c>
      <c r="C27" s="1283" t="str">
        <f>IFERROR((VLOOKUP(B:B,'0.39'!B:F,4,FALSE)),"")</f>
        <v/>
      </c>
      <c r="D27" s="1331" t="str">
        <f>PACKING!F70</f>
        <v/>
      </c>
      <c r="E27" s="1286" t="s">
        <v>2747</v>
      </c>
      <c r="F27" s="1282"/>
      <c r="G27" s="1281"/>
    </row>
    <row r="28" spans="1:7" ht="52.9" customHeight="1">
      <c r="A28" s="1284" t="str">
        <f>IFERROR(VLOOKUP(B:B,'0.39'!B:F,5,FALSE),"")</f>
        <v/>
      </c>
      <c r="B28" s="1360" t="str">
        <f>PACKING!E101</f>
        <v/>
      </c>
      <c r="C28" s="1283" t="str">
        <f>IFERROR((VLOOKUP(B:B,'0.39'!B:F,4,FALSE)),"")</f>
        <v/>
      </c>
      <c r="D28" s="1331" t="str">
        <f>PACKING!F71</f>
        <v/>
      </c>
      <c r="E28" s="1286" t="s">
        <v>2747</v>
      </c>
      <c r="F28" s="1282"/>
      <c r="G28" s="1281"/>
    </row>
    <row r="29" spans="1:7" ht="52.9" customHeight="1">
      <c r="A29" s="1284" t="str">
        <f>IFERROR(VLOOKUP(B:B,'0.39'!B:F,5,FALSE),"")</f>
        <v/>
      </c>
      <c r="B29" s="1360" t="str">
        <f>PACKING!E102</f>
        <v/>
      </c>
      <c r="C29" s="1283" t="str">
        <f>IFERROR((VLOOKUP(B:B,'0.39'!B:F,4,FALSE)),"")</f>
        <v/>
      </c>
      <c r="D29" s="1331" t="str">
        <f>PACKING!F72</f>
        <v/>
      </c>
      <c r="E29" s="1337" t="s">
        <v>2747</v>
      </c>
      <c r="F29" s="1282"/>
      <c r="G29" s="1281"/>
    </row>
    <row r="30" spans="1:7" ht="52.9" customHeight="1">
      <c r="A30" s="1284" t="str">
        <f>IFERROR(VLOOKUP(B:B,'0.39'!B:F,5,FALSE),"")</f>
        <v/>
      </c>
      <c r="B30" s="1360" t="str">
        <f>PACKING!E103</f>
        <v/>
      </c>
      <c r="C30" s="1283" t="str">
        <f>IFERROR((VLOOKUP(B:B,'0.39'!B:F,4,FALSE)),"")</f>
        <v/>
      </c>
      <c r="D30" s="1331" t="str">
        <f>PACKING!F73</f>
        <v/>
      </c>
      <c r="E30" s="1337" t="s">
        <v>2747</v>
      </c>
      <c r="F30" s="1282"/>
      <c r="G30" s="1281"/>
    </row>
    <row r="31" spans="1:7" ht="52.9" customHeight="1">
      <c r="A31" s="1284" t="str">
        <f>IFERROR(VLOOKUP(B:B,'0.39'!B:F,5,FALSE),"")</f>
        <v/>
      </c>
      <c r="B31" s="1360" t="str">
        <f>PACKING!E104</f>
        <v/>
      </c>
      <c r="C31" s="1283" t="str">
        <f>IFERROR((VLOOKUP(B:B,'0.39'!B:F,4,FALSE)),"")</f>
        <v/>
      </c>
      <c r="D31" s="1331" t="str">
        <f>PACKING!F74</f>
        <v/>
      </c>
      <c r="E31" s="1337" t="s">
        <v>2747</v>
      </c>
      <c r="F31" s="1282"/>
      <c r="G31" s="1281"/>
    </row>
    <row r="32" spans="1:7" ht="52.9" customHeight="1">
      <c r="A32" s="1284" t="str">
        <f>IFERROR(VLOOKUP(B:B,'0.39'!B:F,5,FALSE),"")</f>
        <v/>
      </c>
      <c r="B32" s="1360" t="str">
        <f>PACKING!E105</f>
        <v/>
      </c>
      <c r="C32" s="1283" t="str">
        <f>IFERROR((VLOOKUP(B:B,'0.39'!B:F,4,FALSE)),"")</f>
        <v/>
      </c>
      <c r="D32" s="1331" t="str">
        <f>PACKING!F75</f>
        <v/>
      </c>
      <c r="E32" s="1337" t="s">
        <v>2747</v>
      </c>
      <c r="F32" s="1285"/>
      <c r="G32" s="1281"/>
    </row>
    <row r="33" spans="1:7" ht="52.9" customHeight="1">
      <c r="A33" s="1284" t="str">
        <f>IFERROR(VLOOKUP(B:B,'0.39'!B:F,5,FALSE),"")</f>
        <v/>
      </c>
      <c r="B33" s="1360" t="str">
        <f>PACKING!E106</f>
        <v/>
      </c>
      <c r="C33" s="1283" t="str">
        <f>IFERROR((VLOOKUP(B:B,'0.39'!B:F,4,FALSE)),"")</f>
        <v/>
      </c>
      <c r="D33" s="1331" t="str">
        <f>PACKING!F76</f>
        <v/>
      </c>
      <c r="E33" s="1337" t="s">
        <v>2747</v>
      </c>
      <c r="F33" s="1282"/>
      <c r="G33" s="1281"/>
    </row>
    <row r="34" spans="1:7" ht="52.9" customHeight="1">
      <c r="A34" s="1284" t="str">
        <f>IFERROR(VLOOKUP(B:B,'0.39'!B:F,5,FALSE),"")</f>
        <v/>
      </c>
      <c r="B34" s="1360" t="str">
        <f>PACKING!E107</f>
        <v/>
      </c>
      <c r="C34" s="1283" t="str">
        <f>IFERROR((VLOOKUP(B:B,'0.39'!B:F,4,FALSE)),"")</f>
        <v/>
      </c>
      <c r="D34" s="1331" t="str">
        <f>PACKING!F77</f>
        <v/>
      </c>
      <c r="E34" s="1337" t="s">
        <v>2747</v>
      </c>
      <c r="F34" s="1282"/>
      <c r="G34" s="1281"/>
    </row>
    <row r="35" spans="1:7" ht="79.150000000000006" customHeight="1" thickBot="1">
      <c r="A35" s="1692" t="s">
        <v>204</v>
      </c>
      <c r="B35" s="1693"/>
      <c r="C35" s="1693"/>
      <c r="D35" s="1280">
        <f>SUM(D24:D34)</f>
        <v>25</v>
      </c>
      <c r="E35" s="1336" t="s">
        <v>2747</v>
      </c>
      <c r="F35" s="1279" t="s">
        <v>2746</v>
      </c>
      <c r="G35" s="1278" t="s">
        <v>2746</v>
      </c>
    </row>
    <row r="36" spans="1:7" ht="35.25" thickBot="1">
      <c r="A36" s="1302"/>
      <c r="B36" s="1361"/>
      <c r="C36" s="1302"/>
      <c r="D36" s="1303"/>
      <c r="E36" s="1302"/>
      <c r="F36" s="1301"/>
      <c r="G36" s="1301"/>
    </row>
    <row r="37" spans="1:7" ht="75.599999999999994" customHeight="1">
      <c r="A37" s="1300"/>
      <c r="B37" s="1299" t="str">
        <f>BASIC_TOOL!$B$6</f>
        <v>A Project</v>
      </c>
      <c r="C37" s="1304" t="s">
        <v>2756</v>
      </c>
      <c r="D37" s="1308" t="e">
        <f ca="1">_xlfn.IFS(PACKING!H65="M", "1X1.5M",PACKING!H65="L", "1X2M",PACKING!H65="S", "1X1M")</f>
        <v>#NAME?</v>
      </c>
      <c r="E37" s="1307">
        <f>PACKING!H94</f>
        <v>3</v>
      </c>
      <c r="F37" s="1306" t="s">
        <v>2755</v>
      </c>
      <c r="G37" s="1305">
        <f>PACKING!$C$63</f>
        <v>2</v>
      </c>
    </row>
    <row r="38" spans="1:7" ht="87.6" customHeight="1">
      <c r="A38" s="1290" t="s">
        <v>2754</v>
      </c>
      <c r="B38" s="1290" t="str">
        <f>BASIC_TOOL!$B$7</f>
        <v>DAMMAM, KSA</v>
      </c>
      <c r="C38" s="1293" t="str">
        <f>BASIC_TOOL!$C$14</f>
        <v>Non-Insulated</v>
      </c>
      <c r="D38" s="1694" t="str">
        <f>'PRINTOUT(BOM)'!A96</f>
        <v>▣ Size : 10mW x (5)mL x3mH =150 [TON]/ 1[SET]</v>
      </c>
      <c r="E38" s="1695"/>
      <c r="F38" s="1695"/>
      <c r="G38" s="1696"/>
    </row>
    <row r="39" spans="1:7" ht="63.6" customHeight="1">
      <c r="A39" s="1290" t="s">
        <v>2753</v>
      </c>
      <c r="B39" s="1292">
        <f>BASIC_TOOL!$F$7</f>
        <v>44343</v>
      </c>
      <c r="C39" s="1291" t="s">
        <v>2752</v>
      </c>
      <c r="D39" s="1691" t="str">
        <f>BASIC_TOOL!$D$6</f>
        <v>ABC</v>
      </c>
      <c r="E39" s="1691"/>
      <c r="F39" s="1691" t="s">
        <v>2751</v>
      </c>
      <c r="G39" s="1697"/>
    </row>
    <row r="40" spans="1:7" ht="60">
      <c r="A40" s="1290" t="s">
        <v>176</v>
      </c>
      <c r="B40" s="1359" t="s">
        <v>177</v>
      </c>
      <c r="C40" s="1335" t="s">
        <v>2750</v>
      </c>
      <c r="D40" s="1691" t="s">
        <v>239</v>
      </c>
      <c r="E40" s="1691"/>
      <c r="F40" s="1288" t="s">
        <v>2749</v>
      </c>
      <c r="G40" s="1287" t="s">
        <v>2748</v>
      </c>
    </row>
    <row r="41" spans="1:7" ht="52.9" customHeight="1">
      <c r="A41" s="1284" t="str">
        <f>IFERROR(VLOOKUP(B:B,'0.39'!B:F,5,FALSE),"")</f>
        <v>Base</v>
      </c>
      <c r="B41" s="1360" t="str">
        <f>PACKING!G97</f>
        <v>BF40M</v>
      </c>
      <c r="C41" s="1283" t="str">
        <f>IFERROR((VLOOKUP(B:B,'0.39'!B:F,4,FALSE)),"")</f>
        <v>1x1M</v>
      </c>
      <c r="D41" s="1331">
        <f>PACKING!H67</f>
        <v>-20</v>
      </c>
      <c r="E41" s="1286" t="s">
        <v>2747</v>
      </c>
      <c r="F41" s="1285"/>
      <c r="G41" s="1281"/>
    </row>
    <row r="42" spans="1:7" ht="52.9" customHeight="1">
      <c r="A42" s="1284" t="str">
        <f>IFERROR(VLOOKUP(B:B,'0.39'!B:F,5,FALSE),"")</f>
        <v>Nozzle_Drain</v>
      </c>
      <c r="B42" s="1360" t="str">
        <f>PACKING!G98</f>
        <v>DN40M</v>
      </c>
      <c r="C42" s="1283" t="str">
        <f>IFERROR((VLOOKUP(B:B,'0.39'!B:F,4,FALSE)),"")</f>
        <v>1x1M</v>
      </c>
      <c r="D42" s="1331" t="str">
        <f>PACKING!H68</f>
        <v/>
      </c>
      <c r="E42" s="1337" t="s">
        <v>2747</v>
      </c>
      <c r="F42" s="1285"/>
      <c r="G42" s="1281"/>
    </row>
    <row r="43" spans="1:7" ht="52.9" customHeight="1">
      <c r="A43" s="1284" t="str">
        <f>IFERROR(VLOOKUP(B:B,'0.39'!B:F,5,FALSE),"")</f>
        <v>Side_Low</v>
      </c>
      <c r="B43" s="1360" t="str">
        <f>PACKING!G99</f>
        <v>SF40L</v>
      </c>
      <c r="C43" s="1283" t="str">
        <f>IFERROR((VLOOKUP(B:B,'0.39'!B:F,4,FALSE)),"")</f>
        <v>1 x 1M</v>
      </c>
      <c r="D43" s="1331" t="str">
        <f>PACKING!H69</f>
        <v/>
      </c>
      <c r="E43" s="1286" t="s">
        <v>2747</v>
      </c>
      <c r="F43" s="1285"/>
      <c r="G43" s="1281"/>
    </row>
    <row r="44" spans="1:7" ht="52.9" customHeight="1">
      <c r="A44" s="1284" t="str">
        <f>IFERROR(VLOOKUP(B:B,'0.39'!B:F,5,FALSE),"")</f>
        <v/>
      </c>
      <c r="B44" s="1360" t="str">
        <f>PACKING!G100</f>
        <v/>
      </c>
      <c r="C44" s="1283" t="str">
        <f>IFERROR((VLOOKUP(B:B,'0.39'!B:F,4,FALSE)),"")</f>
        <v/>
      </c>
      <c r="D44" s="1331" t="str">
        <f>PACKING!H70</f>
        <v/>
      </c>
      <c r="E44" s="1286" t="s">
        <v>2747</v>
      </c>
      <c r="F44" s="1282"/>
      <c r="G44" s="1281"/>
    </row>
    <row r="45" spans="1:7" ht="52.9" customHeight="1">
      <c r="A45" s="1284" t="str">
        <f>IFERROR(VLOOKUP(B:B,'0.39'!B:F,5,FALSE),"")</f>
        <v/>
      </c>
      <c r="B45" s="1360" t="str">
        <f>PACKING!G101</f>
        <v/>
      </c>
      <c r="C45" s="1283" t="str">
        <f>IFERROR((VLOOKUP(B:B,'0.39'!B:F,4,FALSE)),"")</f>
        <v/>
      </c>
      <c r="D45" s="1331" t="str">
        <f>PACKING!H71</f>
        <v/>
      </c>
      <c r="E45" s="1286" t="s">
        <v>2747</v>
      </c>
      <c r="F45" s="1282"/>
      <c r="G45" s="1281"/>
    </row>
    <row r="46" spans="1:7" ht="52.9" customHeight="1">
      <c r="A46" s="1284" t="str">
        <f>IFERROR(VLOOKUP(B:B,'0.39'!B:F,5,FALSE),"")</f>
        <v/>
      </c>
      <c r="B46" s="1360" t="str">
        <f>PACKING!G102</f>
        <v/>
      </c>
      <c r="C46" s="1283" t="str">
        <f>IFERROR((VLOOKUP(B:B,'0.39'!B:F,4,FALSE)),"")</f>
        <v/>
      </c>
      <c r="D46" s="1331" t="str">
        <f>PACKING!H72</f>
        <v/>
      </c>
      <c r="E46" s="1337" t="s">
        <v>2747</v>
      </c>
      <c r="F46" s="1282"/>
      <c r="G46" s="1281"/>
    </row>
    <row r="47" spans="1:7" ht="52.9" customHeight="1">
      <c r="A47" s="1284" t="str">
        <f>IFERROR(VLOOKUP(B:B,'0.39'!B:F,5,FALSE),"")</f>
        <v/>
      </c>
      <c r="B47" s="1360" t="str">
        <f>PACKING!G103</f>
        <v/>
      </c>
      <c r="C47" s="1283" t="str">
        <f>IFERROR((VLOOKUP(B:B,'0.39'!B:F,4,FALSE)),"")</f>
        <v/>
      </c>
      <c r="D47" s="1331" t="str">
        <f>PACKING!H73</f>
        <v/>
      </c>
      <c r="E47" s="1337" t="s">
        <v>2747</v>
      </c>
      <c r="F47" s="1282"/>
      <c r="G47" s="1281"/>
    </row>
    <row r="48" spans="1:7" ht="52.9" customHeight="1">
      <c r="A48" s="1284" t="str">
        <f>IFERROR(VLOOKUP(B:B,'0.39'!B:F,5,FALSE),"")</f>
        <v/>
      </c>
      <c r="B48" s="1360" t="str">
        <f>PACKING!G104</f>
        <v/>
      </c>
      <c r="C48" s="1283" t="str">
        <f>IFERROR((VLOOKUP(B:B,'0.39'!B:F,4,FALSE)),"")</f>
        <v/>
      </c>
      <c r="D48" s="1331" t="str">
        <f>PACKING!H74</f>
        <v/>
      </c>
      <c r="E48" s="1337" t="s">
        <v>2747</v>
      </c>
      <c r="F48" s="1282"/>
      <c r="G48" s="1281"/>
    </row>
    <row r="49" spans="1:7" ht="52.9" customHeight="1">
      <c r="A49" s="1284" t="str">
        <f>IFERROR(VLOOKUP(B:B,'0.39'!B:F,5,FALSE),"")</f>
        <v/>
      </c>
      <c r="B49" s="1360" t="str">
        <f>PACKING!G105</f>
        <v/>
      </c>
      <c r="C49" s="1283" t="str">
        <f>IFERROR((VLOOKUP(B:B,'0.39'!B:F,4,FALSE)),"")</f>
        <v/>
      </c>
      <c r="D49" s="1331" t="str">
        <f>PACKING!H75</f>
        <v/>
      </c>
      <c r="E49" s="1337" t="s">
        <v>2747</v>
      </c>
      <c r="F49" s="1285"/>
      <c r="G49" s="1281"/>
    </row>
    <row r="50" spans="1:7" ht="52.9" customHeight="1">
      <c r="A50" s="1284" t="str">
        <f>IFERROR(VLOOKUP(B:B,'0.39'!B:F,5,FALSE),"")</f>
        <v/>
      </c>
      <c r="B50" s="1360" t="str">
        <f>PACKING!G106</f>
        <v/>
      </c>
      <c r="C50" s="1283" t="str">
        <f>IFERROR((VLOOKUP(B:B,'0.39'!B:F,4,FALSE)),"")</f>
        <v/>
      </c>
      <c r="D50" s="1331" t="str">
        <f>PACKING!H76</f>
        <v/>
      </c>
      <c r="E50" s="1337" t="s">
        <v>2747</v>
      </c>
      <c r="F50" s="1282"/>
      <c r="G50" s="1281"/>
    </row>
    <row r="51" spans="1:7" ht="52.9" customHeight="1">
      <c r="A51" s="1284" t="str">
        <f>IFERROR(VLOOKUP(B:B,'0.39'!B:F,5,FALSE),"")</f>
        <v/>
      </c>
      <c r="B51" s="1360" t="str">
        <f>PACKING!G107</f>
        <v/>
      </c>
      <c r="C51" s="1283" t="str">
        <f>IFERROR((VLOOKUP(B:B,'0.39'!B:F,4,FALSE)),"")</f>
        <v/>
      </c>
      <c r="D51" s="1331" t="str">
        <f>PACKING!H77</f>
        <v/>
      </c>
      <c r="E51" s="1337" t="s">
        <v>2747</v>
      </c>
      <c r="F51" s="1282"/>
      <c r="G51" s="1281"/>
    </row>
    <row r="52" spans="1:7" ht="79.150000000000006" customHeight="1" thickBot="1">
      <c r="A52" s="1692" t="s">
        <v>204</v>
      </c>
      <c r="B52" s="1693"/>
      <c r="C52" s="1693"/>
      <c r="D52" s="1280">
        <f>SUM(D41:D51)</f>
        <v>-20</v>
      </c>
      <c r="E52" s="1336" t="s">
        <v>2747</v>
      </c>
      <c r="F52" s="1279" t="s">
        <v>2746</v>
      </c>
      <c r="G52" s="1278" t="s">
        <v>2746</v>
      </c>
    </row>
    <row r="53" spans="1:7" ht="35.25" thickBot="1">
      <c r="A53" s="1302"/>
      <c r="B53" s="1361"/>
      <c r="C53" s="1302"/>
      <c r="D53" s="1303"/>
      <c r="E53" s="1302"/>
      <c r="F53" s="1301"/>
      <c r="G53" s="1301"/>
    </row>
    <row r="54" spans="1:7" ht="75.599999999999994" customHeight="1" thickBot="1">
      <c r="A54" s="1300"/>
      <c r="B54" s="1299" t="str">
        <f>BASIC_TOOL!$B$6</f>
        <v>A Project</v>
      </c>
      <c r="C54" s="1304" t="s">
        <v>2756</v>
      </c>
      <c r="D54" s="1308" t="e">
        <f ca="1">_xlfn.IFS(PACKING!J65="M", "1X1.5M",PACKING!J65="L", "1X2M",PACKING!J65="S", "1X1M")</f>
        <v>#NAME?</v>
      </c>
      <c r="E54" s="1296">
        <f>PACKING!J94</f>
        <v>4</v>
      </c>
      <c r="F54" s="1295" t="s">
        <v>2755</v>
      </c>
      <c r="G54" s="1294">
        <f>PACKING!$C$63</f>
        <v>2</v>
      </c>
    </row>
    <row r="55" spans="1:7" ht="87.6" customHeight="1">
      <c r="A55" s="1290" t="s">
        <v>2754</v>
      </c>
      <c r="B55" s="1290" t="str">
        <f>BASIC_TOOL!$B$7</f>
        <v>DAMMAM, KSA</v>
      </c>
      <c r="C55" s="1293" t="str">
        <f>BASIC_TOOL!$C$14</f>
        <v>Non-Insulated</v>
      </c>
      <c r="D55" s="1694" t="str">
        <f>'PRINTOUT(BOM)'!A96</f>
        <v>▣ Size : 10mW x (5)mL x3mH =150 [TON]/ 1[SET]</v>
      </c>
      <c r="E55" s="1695"/>
      <c r="F55" s="1695"/>
      <c r="G55" s="1696"/>
    </row>
    <row r="56" spans="1:7" ht="63.6" customHeight="1">
      <c r="A56" s="1290" t="s">
        <v>2753</v>
      </c>
      <c r="B56" s="1292">
        <f>BASIC_TOOL!$F$7</f>
        <v>44343</v>
      </c>
      <c r="C56" s="1291" t="s">
        <v>2752</v>
      </c>
      <c r="D56" s="1691" t="str">
        <f>BASIC_TOOL!$D$6</f>
        <v>ABC</v>
      </c>
      <c r="E56" s="1691"/>
      <c r="F56" s="1691" t="s">
        <v>2751</v>
      </c>
      <c r="G56" s="1697"/>
    </row>
    <row r="57" spans="1:7" ht="60">
      <c r="A57" s="1290" t="s">
        <v>176</v>
      </c>
      <c r="B57" s="1359" t="s">
        <v>177</v>
      </c>
      <c r="C57" s="1335" t="s">
        <v>2750</v>
      </c>
      <c r="D57" s="1691" t="s">
        <v>239</v>
      </c>
      <c r="E57" s="1691"/>
      <c r="F57" s="1288" t="s">
        <v>2749</v>
      </c>
      <c r="G57" s="1287" t="s">
        <v>2748</v>
      </c>
    </row>
    <row r="58" spans="1:7" ht="52.9" customHeight="1">
      <c r="A58" s="1284" t="str">
        <f>IFERROR(VLOOKUP(B:B,'0.39'!B:F,5,FALSE),"")</f>
        <v>Base</v>
      </c>
      <c r="B58" s="1360" t="str">
        <f>PACKING!I97</f>
        <v>BF40M</v>
      </c>
      <c r="C58" s="1283" t="str">
        <f>IFERROR((VLOOKUP(B:B,'0.39'!B:F,4,FALSE)),"")</f>
        <v>1x1M</v>
      </c>
      <c r="D58" s="1331" t="str">
        <f>PACKING!J67</f>
        <v/>
      </c>
      <c r="E58" s="1286" t="s">
        <v>2747</v>
      </c>
      <c r="F58" s="1285"/>
      <c r="G58" s="1281"/>
    </row>
    <row r="59" spans="1:7" ht="52.9" customHeight="1">
      <c r="A59" s="1284" t="str">
        <f>IFERROR(VLOOKUP(B:B,'0.39'!B:F,5,FALSE),"")</f>
        <v/>
      </c>
      <c r="B59" s="1360" t="str">
        <f>PACKING!I98</f>
        <v/>
      </c>
      <c r="C59" s="1283" t="str">
        <f>IFERROR((VLOOKUP(B:B,'0.39'!B:F,4,FALSE)),"")</f>
        <v/>
      </c>
      <c r="D59" s="1331" t="str">
        <f>PACKING!J68</f>
        <v/>
      </c>
      <c r="E59" s="1337" t="s">
        <v>2747</v>
      </c>
      <c r="F59" s="1285"/>
      <c r="G59" s="1281"/>
    </row>
    <row r="60" spans="1:7" ht="52.9" customHeight="1">
      <c r="A60" s="1284" t="str">
        <f>IFERROR(VLOOKUP(B:B,'0.39'!B:F,5,FALSE),"")</f>
        <v/>
      </c>
      <c r="B60" s="1360" t="str">
        <f>PACKING!I99</f>
        <v/>
      </c>
      <c r="C60" s="1283" t="str">
        <f>IFERROR((VLOOKUP(B:B,'0.39'!B:F,4,FALSE)),"")</f>
        <v/>
      </c>
      <c r="D60" s="1331" t="str">
        <f>PACKING!J69</f>
        <v/>
      </c>
      <c r="E60" s="1286" t="s">
        <v>2747</v>
      </c>
      <c r="F60" s="1285"/>
      <c r="G60" s="1281"/>
    </row>
    <row r="61" spans="1:7" ht="52.9" customHeight="1">
      <c r="A61" s="1284" t="str">
        <f>IFERROR(VLOOKUP(B:B,'0.39'!B:F,5,FALSE),"")</f>
        <v/>
      </c>
      <c r="B61" s="1360" t="str">
        <f>PACKING!I100</f>
        <v/>
      </c>
      <c r="C61" s="1283" t="str">
        <f>IFERROR((VLOOKUP(B:B,'0.39'!B:F,4,FALSE)),"")</f>
        <v/>
      </c>
      <c r="D61" s="1331" t="str">
        <f>PACKING!J70</f>
        <v/>
      </c>
      <c r="E61" s="1286" t="s">
        <v>2747</v>
      </c>
      <c r="F61" s="1282"/>
      <c r="G61" s="1281"/>
    </row>
    <row r="62" spans="1:7" ht="52.9" customHeight="1">
      <c r="A62" s="1284" t="str">
        <f>IFERROR(VLOOKUP(B:B,'0.39'!B:F,5,FALSE),"")</f>
        <v/>
      </c>
      <c r="B62" s="1360" t="str">
        <f>PACKING!I101</f>
        <v/>
      </c>
      <c r="C62" s="1283" t="str">
        <f>IFERROR((VLOOKUP(B:B,'0.39'!B:F,4,FALSE)),"")</f>
        <v/>
      </c>
      <c r="D62" s="1331" t="str">
        <f>PACKING!J71</f>
        <v/>
      </c>
      <c r="E62" s="1286" t="s">
        <v>2747</v>
      </c>
      <c r="F62" s="1282"/>
      <c r="G62" s="1281"/>
    </row>
    <row r="63" spans="1:7" ht="52.9" customHeight="1">
      <c r="A63" s="1284" t="str">
        <f>IFERROR(VLOOKUP(B:B,'0.39'!B:F,5,FALSE),"")</f>
        <v/>
      </c>
      <c r="B63" s="1360" t="str">
        <f>PACKING!I102</f>
        <v/>
      </c>
      <c r="C63" s="1283" t="str">
        <f>IFERROR((VLOOKUP(B:B,'0.39'!B:F,4,FALSE)),"")</f>
        <v/>
      </c>
      <c r="D63" s="1331" t="str">
        <f>PACKING!J72</f>
        <v/>
      </c>
      <c r="E63" s="1337" t="s">
        <v>2747</v>
      </c>
      <c r="F63" s="1282"/>
      <c r="G63" s="1281"/>
    </row>
    <row r="64" spans="1:7" ht="52.9" customHeight="1">
      <c r="A64" s="1284" t="str">
        <f>IFERROR(VLOOKUP(B:B,'0.39'!B:F,5,FALSE),"")</f>
        <v/>
      </c>
      <c r="B64" s="1360" t="str">
        <f>PACKING!I103</f>
        <v/>
      </c>
      <c r="C64" s="1283" t="str">
        <f>IFERROR((VLOOKUP(B:B,'0.39'!B:F,4,FALSE)),"")</f>
        <v/>
      </c>
      <c r="D64" s="1331" t="str">
        <f>PACKING!J73</f>
        <v/>
      </c>
      <c r="E64" s="1337" t="s">
        <v>2747</v>
      </c>
      <c r="F64" s="1282"/>
      <c r="G64" s="1281"/>
    </row>
    <row r="65" spans="1:7" ht="52.9" customHeight="1">
      <c r="A65" s="1284" t="str">
        <f>IFERROR(VLOOKUP(B:B,'0.39'!B:F,5,FALSE),"")</f>
        <v/>
      </c>
      <c r="B65" s="1360" t="str">
        <f>PACKING!I104</f>
        <v/>
      </c>
      <c r="C65" s="1283" t="str">
        <f>IFERROR((VLOOKUP(B:B,'0.39'!B:F,4,FALSE)),"")</f>
        <v/>
      </c>
      <c r="D65" s="1331" t="str">
        <f>PACKING!J74</f>
        <v/>
      </c>
      <c r="E65" s="1337" t="s">
        <v>2747</v>
      </c>
      <c r="F65" s="1282"/>
      <c r="G65" s="1281"/>
    </row>
    <row r="66" spans="1:7" ht="52.9" customHeight="1">
      <c r="A66" s="1284" t="str">
        <f>IFERROR(VLOOKUP(B:B,'0.39'!B:F,5,FALSE),"")</f>
        <v/>
      </c>
      <c r="B66" s="1360" t="str">
        <f>PACKING!I105</f>
        <v/>
      </c>
      <c r="C66" s="1283" t="str">
        <f>IFERROR((VLOOKUP(B:B,'0.39'!B:F,4,FALSE)),"")</f>
        <v/>
      </c>
      <c r="D66" s="1331" t="str">
        <f>PACKING!J75</f>
        <v/>
      </c>
      <c r="E66" s="1337" t="s">
        <v>2747</v>
      </c>
      <c r="F66" s="1285"/>
      <c r="G66" s="1281"/>
    </row>
    <row r="67" spans="1:7" ht="52.9" customHeight="1">
      <c r="A67" s="1284" t="str">
        <f>IFERROR(VLOOKUP(B:B,'0.39'!B:F,5,FALSE),"")</f>
        <v/>
      </c>
      <c r="B67" s="1360" t="str">
        <f>PACKING!I106</f>
        <v/>
      </c>
      <c r="C67" s="1283" t="str">
        <f>IFERROR((VLOOKUP(B:B,'0.39'!B:F,4,FALSE)),"")</f>
        <v/>
      </c>
      <c r="D67" s="1331" t="str">
        <f>PACKING!J76</f>
        <v/>
      </c>
      <c r="E67" s="1337" t="s">
        <v>2747</v>
      </c>
      <c r="F67" s="1282"/>
      <c r="G67" s="1281"/>
    </row>
    <row r="68" spans="1:7" ht="52.9" customHeight="1">
      <c r="A68" s="1284" t="str">
        <f>IFERROR(VLOOKUP(B:B,'0.39'!B:F,5,FALSE),"")</f>
        <v/>
      </c>
      <c r="B68" s="1360" t="str">
        <f>PACKING!I107</f>
        <v/>
      </c>
      <c r="C68" s="1283" t="str">
        <f>IFERROR((VLOOKUP(B:B,'0.39'!B:F,4,FALSE)),"")</f>
        <v/>
      </c>
      <c r="D68" s="1331" t="str">
        <f>PACKING!J77</f>
        <v/>
      </c>
      <c r="E68" s="1337" t="s">
        <v>2747</v>
      </c>
      <c r="F68" s="1282"/>
      <c r="G68" s="1281"/>
    </row>
    <row r="69" spans="1:7" ht="79.150000000000006" customHeight="1" thickBot="1">
      <c r="A69" s="1692" t="s">
        <v>204</v>
      </c>
      <c r="B69" s="1693"/>
      <c r="C69" s="1693"/>
      <c r="D69" s="1280">
        <f>SUM(D58:D68)</f>
        <v>0</v>
      </c>
      <c r="E69" s="1336" t="s">
        <v>2747</v>
      </c>
      <c r="F69" s="1279" t="s">
        <v>2746</v>
      </c>
      <c r="G69" s="1278" t="s">
        <v>2746</v>
      </c>
    </row>
    <row r="70" spans="1:7" ht="35.25" thickBot="1">
      <c r="A70" s="1302"/>
      <c r="B70" s="1361"/>
      <c r="C70" s="1302"/>
      <c r="D70" s="1303"/>
      <c r="E70" s="1302"/>
      <c r="F70" s="1301"/>
      <c r="G70" s="1301"/>
    </row>
    <row r="71" spans="1:7" ht="75.599999999999994" customHeight="1" thickBot="1">
      <c r="A71" s="1316"/>
      <c r="B71" s="1289" t="str">
        <f>BASIC_TOOL!$B$6</f>
        <v>A Project</v>
      </c>
      <c r="C71" s="1291" t="s">
        <v>2756</v>
      </c>
      <c r="D71" s="1315" t="e">
        <f ca="1">_xlfn.IFS(PACKING!L65="M", "1X1.5M",PACKING!L65="L", "1X2M",PACKING!L65="S", "1X1M")</f>
        <v>#NAME?</v>
      </c>
      <c r="E71" s="1314">
        <f>PACKING!L94</f>
        <v>5</v>
      </c>
      <c r="F71" s="1313" t="s">
        <v>2755</v>
      </c>
      <c r="G71" s="1294">
        <f>PACKING!$C$93</f>
        <v>2</v>
      </c>
    </row>
    <row r="72" spans="1:7" ht="87.6" customHeight="1">
      <c r="A72" s="1289" t="s">
        <v>2754</v>
      </c>
      <c r="B72" s="1289" t="str">
        <f>BASIC_TOOL!$B$7</f>
        <v>DAMMAM, KSA</v>
      </c>
      <c r="C72" s="1289" t="str">
        <f>BASIC_TOOL!$C$14</f>
        <v>Non-Insulated</v>
      </c>
      <c r="D72" s="1694" t="str">
        <f>'PRINTOUT(BOM)'!A96</f>
        <v>▣ Size : 10mW x (5)mL x3mH =150 [TON]/ 1[SET]</v>
      </c>
      <c r="E72" s="1695"/>
      <c r="F72" s="1695"/>
      <c r="G72" s="1696"/>
    </row>
    <row r="73" spans="1:7" ht="63.6" customHeight="1">
      <c r="A73" s="1289" t="s">
        <v>2753</v>
      </c>
      <c r="B73" s="1292">
        <f>BASIC_TOOL!$F$7</f>
        <v>44343</v>
      </c>
      <c r="C73" s="1291" t="s">
        <v>2752</v>
      </c>
      <c r="D73" s="1691" t="str">
        <f>BASIC_TOOL!$D$6</f>
        <v>ABC</v>
      </c>
      <c r="E73" s="1691"/>
      <c r="F73" s="1691" t="s">
        <v>2751</v>
      </c>
      <c r="G73" s="1691"/>
    </row>
    <row r="74" spans="1:7" ht="60">
      <c r="A74" s="1289" t="s">
        <v>176</v>
      </c>
      <c r="B74" s="1359" t="s">
        <v>177</v>
      </c>
      <c r="C74" s="1335" t="s">
        <v>2750</v>
      </c>
      <c r="D74" s="1691" t="s">
        <v>239</v>
      </c>
      <c r="E74" s="1691"/>
      <c r="F74" s="1288" t="s">
        <v>2749</v>
      </c>
      <c r="G74" s="1288" t="s">
        <v>2748</v>
      </c>
    </row>
    <row r="75" spans="1:7" ht="52.9" customHeight="1">
      <c r="A75" s="1284" t="str">
        <f>IFERROR(VLOOKUP(B:B,'0.39'!B:F,5,FALSE),"")</f>
        <v xml:space="preserve">Roof </v>
      </c>
      <c r="B75" s="1360" t="str">
        <f>PACKING!K97</f>
        <v>RF00M</v>
      </c>
      <c r="C75" s="1283" t="str">
        <f>IFERROR((VLOOKUP(B:B,'0.39'!B:F,4,FALSE)),"")</f>
        <v>1 x 1M</v>
      </c>
      <c r="D75" s="1331" t="str">
        <f>PACKING!L67</f>
        <v/>
      </c>
      <c r="E75" s="1286" t="s">
        <v>2747</v>
      </c>
      <c r="F75" s="1285"/>
      <c r="G75" s="1282"/>
    </row>
    <row r="76" spans="1:7" ht="52.9" customHeight="1">
      <c r="A76" s="1284" t="str">
        <f>IFERROR(VLOOKUP(B:B,'0.39'!B:F,5,FALSE),"")</f>
        <v>Base</v>
      </c>
      <c r="B76" s="1360" t="str">
        <f>PACKING!K98</f>
        <v>BF40M</v>
      </c>
      <c r="C76" s="1283" t="str">
        <f>IFERROR((VLOOKUP(B:B,'0.39'!B:F,4,FALSE)),"")</f>
        <v>1x1M</v>
      </c>
      <c r="D76" s="1331" t="str">
        <f>PACKING!L68</f>
        <v/>
      </c>
      <c r="E76" s="1337" t="s">
        <v>2747</v>
      </c>
      <c r="F76" s="1285"/>
      <c r="G76" s="1282"/>
    </row>
    <row r="77" spans="1:7" ht="52.9" customHeight="1">
      <c r="A77" s="1284" t="str">
        <f>IFERROR(VLOOKUP(B:B,'0.39'!B:F,5,FALSE),"")</f>
        <v/>
      </c>
      <c r="B77" s="1360" t="str">
        <f>PACKING!K99</f>
        <v/>
      </c>
      <c r="C77" s="1283" t="str">
        <f>IFERROR((VLOOKUP(B:B,'0.39'!B:F,4,FALSE)),"")</f>
        <v/>
      </c>
      <c r="D77" s="1331" t="str">
        <f>PACKING!L69</f>
        <v/>
      </c>
      <c r="E77" s="1286" t="s">
        <v>2747</v>
      </c>
      <c r="F77" s="1285"/>
      <c r="G77" s="1282"/>
    </row>
    <row r="78" spans="1:7" ht="52.9" customHeight="1">
      <c r="A78" s="1284" t="str">
        <f>IFERROR(VLOOKUP(B:B,'0.39'!B:F,5,FALSE),"")</f>
        <v/>
      </c>
      <c r="B78" s="1360" t="str">
        <f>PACKING!K100</f>
        <v/>
      </c>
      <c r="C78" s="1283" t="str">
        <f>IFERROR((VLOOKUP(B:B,'0.39'!B:F,4,FALSE)),"")</f>
        <v/>
      </c>
      <c r="D78" s="1331" t="str">
        <f>PACKING!L70</f>
        <v/>
      </c>
      <c r="E78" s="1286" t="s">
        <v>2747</v>
      </c>
      <c r="F78" s="1282"/>
      <c r="G78" s="1282"/>
    </row>
    <row r="79" spans="1:7" ht="52.9" customHeight="1">
      <c r="A79" s="1284" t="str">
        <f>IFERROR(VLOOKUP(B:B,'0.39'!B:F,5,FALSE),"")</f>
        <v/>
      </c>
      <c r="B79" s="1360" t="str">
        <f>PACKING!K101</f>
        <v/>
      </c>
      <c r="C79" s="1283" t="str">
        <f>IFERROR((VLOOKUP(B:B,'0.39'!B:F,4,FALSE)),"")</f>
        <v/>
      </c>
      <c r="D79" s="1331" t="str">
        <f>PACKING!L71</f>
        <v/>
      </c>
      <c r="E79" s="1286" t="s">
        <v>2747</v>
      </c>
      <c r="F79" s="1282"/>
      <c r="G79" s="1282"/>
    </row>
    <row r="80" spans="1:7" ht="52.9" customHeight="1">
      <c r="A80" s="1284" t="str">
        <f>IFERROR(VLOOKUP(B:B,'0.39'!B:F,5,FALSE),"")</f>
        <v/>
      </c>
      <c r="B80" s="1360" t="str">
        <f>PACKING!K102</f>
        <v/>
      </c>
      <c r="C80" s="1283" t="str">
        <f>IFERROR((VLOOKUP(B:B,'0.39'!B:F,4,FALSE)),"")</f>
        <v/>
      </c>
      <c r="D80" s="1331" t="str">
        <f>PACKING!L72</f>
        <v/>
      </c>
      <c r="E80" s="1337" t="s">
        <v>2747</v>
      </c>
      <c r="F80" s="1282"/>
      <c r="G80" s="1282"/>
    </row>
    <row r="81" spans="1:7" ht="52.9" customHeight="1">
      <c r="A81" s="1284" t="str">
        <f>IFERROR(VLOOKUP(B:B,'0.39'!B:F,5,FALSE),"")</f>
        <v/>
      </c>
      <c r="B81" s="1360" t="str">
        <f>PACKING!K103</f>
        <v/>
      </c>
      <c r="C81" s="1283" t="str">
        <f>IFERROR((VLOOKUP(B:B,'0.39'!B:F,4,FALSE)),"")</f>
        <v/>
      </c>
      <c r="D81" s="1331" t="str">
        <f>PACKING!L73</f>
        <v/>
      </c>
      <c r="E81" s="1337" t="s">
        <v>2747</v>
      </c>
      <c r="F81" s="1282"/>
      <c r="G81" s="1282"/>
    </row>
    <row r="82" spans="1:7" ht="52.9" customHeight="1">
      <c r="A82" s="1284" t="str">
        <f>IFERROR(VLOOKUP(B:B,'0.39'!B:F,5,FALSE),"")</f>
        <v/>
      </c>
      <c r="B82" s="1360" t="str">
        <f>PACKING!K104</f>
        <v/>
      </c>
      <c r="C82" s="1283" t="str">
        <f>IFERROR((VLOOKUP(B:B,'0.39'!B:F,4,FALSE)),"")</f>
        <v/>
      </c>
      <c r="D82" s="1331" t="str">
        <f>PACKING!L74</f>
        <v/>
      </c>
      <c r="E82" s="1337" t="s">
        <v>2747</v>
      </c>
      <c r="F82" s="1282"/>
      <c r="G82" s="1282"/>
    </row>
    <row r="83" spans="1:7" ht="52.9" customHeight="1">
      <c r="A83" s="1284" t="str">
        <f>IFERROR(VLOOKUP(B:B,'0.39'!B:F,5,FALSE),"")</f>
        <v/>
      </c>
      <c r="B83" s="1360" t="str">
        <f>PACKING!K105</f>
        <v/>
      </c>
      <c r="C83" s="1283" t="str">
        <f>IFERROR((VLOOKUP(B:B,'0.39'!B:F,4,FALSE)),"")</f>
        <v/>
      </c>
      <c r="D83" s="1331" t="str">
        <f>PACKING!L75</f>
        <v/>
      </c>
      <c r="E83" s="1337" t="s">
        <v>2747</v>
      </c>
      <c r="F83" s="1285"/>
      <c r="G83" s="1282"/>
    </row>
    <row r="84" spans="1:7" ht="52.9" customHeight="1">
      <c r="A84" s="1284" t="str">
        <f>IFERROR(VLOOKUP(B:B,'0.39'!B:F,5,FALSE),"")</f>
        <v/>
      </c>
      <c r="B84" s="1360" t="str">
        <f>PACKING!K106</f>
        <v/>
      </c>
      <c r="C84" s="1283" t="str">
        <f>IFERROR((VLOOKUP(B:B,'0.39'!B:F,4,FALSE)),"")</f>
        <v/>
      </c>
      <c r="D84" s="1331" t="str">
        <f>PACKING!L76</f>
        <v/>
      </c>
      <c r="E84" s="1337" t="s">
        <v>2747</v>
      </c>
      <c r="F84" s="1282"/>
      <c r="G84" s="1282"/>
    </row>
    <row r="85" spans="1:7" ht="52.9" customHeight="1">
      <c r="A85" s="1284" t="str">
        <f>IFERROR(VLOOKUP(B:B,'0.39'!B:F,5,FALSE),"")</f>
        <v/>
      </c>
      <c r="B85" s="1360" t="str">
        <f>PACKING!K107</f>
        <v/>
      </c>
      <c r="C85" s="1283" t="str">
        <f>IFERROR((VLOOKUP(B:B,'0.39'!B:F,4,FALSE)),"")</f>
        <v/>
      </c>
      <c r="D85" s="1331" t="str">
        <f>PACKING!L77</f>
        <v/>
      </c>
      <c r="E85" s="1337" t="s">
        <v>2747</v>
      </c>
      <c r="F85" s="1282"/>
      <c r="G85" s="1282"/>
    </row>
    <row r="86" spans="1:7" ht="79.150000000000006" customHeight="1">
      <c r="A86" s="1698" t="s">
        <v>204</v>
      </c>
      <c r="B86" s="1698"/>
      <c r="C86" s="1698"/>
      <c r="D86" s="1285">
        <f>SUM(D75:D85)</f>
        <v>0</v>
      </c>
      <c r="E86" s="1337" t="s">
        <v>2747</v>
      </c>
      <c r="F86" s="1312" t="s">
        <v>2746</v>
      </c>
      <c r="G86" s="1312" t="s">
        <v>2746</v>
      </c>
    </row>
    <row r="87" spans="1:7" ht="35.25" thickBot="1">
      <c r="A87" s="1302"/>
      <c r="B87" s="1361"/>
      <c r="C87" s="1302"/>
      <c r="D87" s="1303"/>
      <c r="E87" s="1302"/>
      <c r="F87" s="1301"/>
      <c r="G87" s="1301"/>
    </row>
    <row r="88" spans="1:7" ht="75.599999999999994" customHeight="1" thickBot="1">
      <c r="A88" s="1300"/>
      <c r="B88" s="1299" t="str">
        <f>BASIC_TOOL!$B$6</f>
        <v>A Project</v>
      </c>
      <c r="C88" s="1304" t="s">
        <v>2756</v>
      </c>
      <c r="D88" s="1298" t="e">
        <f ca="1">_xlfn.IFS(PACKING!N65="M", "1X1.5M",PACKING!N65="L", "1X2M",PACKING!N65="S", "1X1M")</f>
        <v>#NAME?</v>
      </c>
      <c r="E88" s="1311">
        <f>PACKING!N94</f>
        <v>6</v>
      </c>
      <c r="F88" s="1310" t="s">
        <v>2755</v>
      </c>
      <c r="G88" s="1294">
        <f>PACKING!$C$93</f>
        <v>2</v>
      </c>
    </row>
    <row r="89" spans="1:7" ht="87.6" customHeight="1">
      <c r="A89" s="1290" t="s">
        <v>2754</v>
      </c>
      <c r="B89" s="1289" t="str">
        <f>BASIC_TOOL!$B$7</f>
        <v>DAMMAM, KSA</v>
      </c>
      <c r="C89" s="1289" t="str">
        <f>BASIC_TOOL!$C$14</f>
        <v>Non-Insulated</v>
      </c>
      <c r="D89" s="1694" t="str">
        <f>'PRINTOUT(BOM)'!A96</f>
        <v>▣ Size : 10mW x (5)mL x3mH =150 [TON]/ 1[SET]</v>
      </c>
      <c r="E89" s="1695"/>
      <c r="F89" s="1695"/>
      <c r="G89" s="1696"/>
    </row>
    <row r="90" spans="1:7" ht="63.6" customHeight="1">
      <c r="A90" s="1290" t="s">
        <v>2753</v>
      </c>
      <c r="B90" s="1292">
        <f>BASIC_TOOL!$F$7</f>
        <v>44343</v>
      </c>
      <c r="C90" s="1291" t="s">
        <v>2752</v>
      </c>
      <c r="D90" s="1691" t="str">
        <f>BASIC_TOOL!$D$6</f>
        <v>ABC</v>
      </c>
      <c r="E90" s="1691"/>
      <c r="F90" s="1691" t="s">
        <v>2751</v>
      </c>
      <c r="G90" s="1697"/>
    </row>
    <row r="91" spans="1:7" ht="60">
      <c r="A91" s="1290" t="s">
        <v>176</v>
      </c>
      <c r="B91" s="1359" t="s">
        <v>177</v>
      </c>
      <c r="C91" s="1335" t="s">
        <v>2750</v>
      </c>
      <c r="D91" s="1691" t="s">
        <v>239</v>
      </c>
      <c r="E91" s="1691"/>
      <c r="F91" s="1288" t="s">
        <v>2749</v>
      </c>
      <c r="G91" s="1287" t="s">
        <v>2748</v>
      </c>
    </row>
    <row r="92" spans="1:7" ht="52.9" customHeight="1">
      <c r="A92" s="1284" t="str">
        <f>IFERROR(VLOOKUP(B:B,'0.39'!B:F,5,FALSE),"")</f>
        <v xml:space="preserve">Roof </v>
      </c>
      <c r="B92" s="1360" t="str">
        <f>PACKING!M97</f>
        <v>RF00M</v>
      </c>
      <c r="C92" s="1283" t="str">
        <f>IFERROR((VLOOKUP(B:B,'0.39'!B:F,4,FALSE)),"")</f>
        <v>1 x 1M</v>
      </c>
      <c r="D92" s="1331" t="str">
        <f>PACKING!N67</f>
        <v/>
      </c>
      <c r="E92" s="1286" t="s">
        <v>2747</v>
      </c>
      <c r="F92" s="1285"/>
      <c r="G92" s="1281"/>
    </row>
    <row r="93" spans="1:7" ht="52.9" customHeight="1">
      <c r="A93" s="1284" t="str">
        <f>IFERROR(VLOOKUP(B:B,'0.39'!B:F,5,FALSE),"")</f>
        <v/>
      </c>
      <c r="B93" s="1360" t="str">
        <f>PACKING!M98</f>
        <v/>
      </c>
      <c r="C93" s="1283" t="str">
        <f>IFERROR((VLOOKUP(B:B,'0.39'!B:F,4,FALSE)),"")</f>
        <v/>
      </c>
      <c r="D93" s="1331" t="str">
        <f>PACKING!N68</f>
        <v/>
      </c>
      <c r="E93" s="1337" t="s">
        <v>2747</v>
      </c>
      <c r="F93" s="1285"/>
      <c r="G93" s="1281"/>
    </row>
    <row r="94" spans="1:7" ht="52.9" customHeight="1">
      <c r="A94" s="1284" t="str">
        <f>IFERROR(VLOOKUP(B:B,'0.39'!B:F,5,FALSE),"")</f>
        <v/>
      </c>
      <c r="B94" s="1360" t="str">
        <f>PACKING!M99</f>
        <v/>
      </c>
      <c r="C94" s="1283" t="str">
        <f>IFERROR((VLOOKUP(B:B,'0.39'!B:F,4,FALSE)),"")</f>
        <v/>
      </c>
      <c r="D94" s="1331" t="str">
        <f>PACKING!N69</f>
        <v/>
      </c>
      <c r="E94" s="1286" t="s">
        <v>2747</v>
      </c>
      <c r="F94" s="1285"/>
      <c r="G94" s="1281"/>
    </row>
    <row r="95" spans="1:7" ht="52.9" customHeight="1">
      <c r="A95" s="1284" t="str">
        <f>IFERROR(VLOOKUP(B:B,'0.39'!B:F,5,FALSE),"")</f>
        <v/>
      </c>
      <c r="B95" s="1360" t="str">
        <f>PACKING!M100</f>
        <v/>
      </c>
      <c r="C95" s="1283" t="str">
        <f>IFERROR((VLOOKUP(B:B,'0.39'!B:F,4,FALSE)),"")</f>
        <v/>
      </c>
      <c r="D95" s="1331" t="str">
        <f>PACKING!N70</f>
        <v/>
      </c>
      <c r="E95" s="1286" t="s">
        <v>2747</v>
      </c>
      <c r="F95" s="1282"/>
      <c r="G95" s="1281"/>
    </row>
    <row r="96" spans="1:7" ht="52.9" customHeight="1">
      <c r="A96" s="1284" t="str">
        <f>IFERROR(VLOOKUP(B:B,'0.39'!B:F,5,FALSE),"")</f>
        <v/>
      </c>
      <c r="B96" s="1360" t="str">
        <f>PACKING!M101</f>
        <v/>
      </c>
      <c r="C96" s="1283" t="str">
        <f>IFERROR((VLOOKUP(B:B,'0.39'!B:F,4,FALSE)),"")</f>
        <v/>
      </c>
      <c r="D96" s="1331" t="str">
        <f>PACKING!N71</f>
        <v/>
      </c>
      <c r="E96" s="1286" t="s">
        <v>2747</v>
      </c>
      <c r="F96" s="1282"/>
      <c r="G96" s="1281"/>
    </row>
    <row r="97" spans="1:7" ht="52.9" customHeight="1">
      <c r="A97" s="1284" t="str">
        <f>IFERROR(VLOOKUP(B:B,'0.39'!B:F,5,FALSE),"")</f>
        <v/>
      </c>
      <c r="B97" s="1360" t="str">
        <f>PACKING!M102</f>
        <v/>
      </c>
      <c r="C97" s="1283" t="str">
        <f>IFERROR((VLOOKUP(B:B,'0.39'!B:F,4,FALSE)),"")</f>
        <v/>
      </c>
      <c r="D97" s="1331" t="str">
        <f>PACKING!N72</f>
        <v/>
      </c>
      <c r="E97" s="1337" t="s">
        <v>2747</v>
      </c>
      <c r="F97" s="1282"/>
      <c r="G97" s="1281"/>
    </row>
    <row r="98" spans="1:7" ht="52.9" customHeight="1">
      <c r="A98" s="1284" t="str">
        <f>IFERROR(VLOOKUP(B:B,'0.39'!B:F,5,FALSE),"")</f>
        <v/>
      </c>
      <c r="B98" s="1360" t="str">
        <f>PACKING!M103</f>
        <v/>
      </c>
      <c r="C98" s="1283" t="str">
        <f>IFERROR((VLOOKUP(B:B,'0.39'!B:F,4,FALSE)),"")</f>
        <v/>
      </c>
      <c r="D98" s="1331" t="str">
        <f>PACKING!N73</f>
        <v/>
      </c>
      <c r="E98" s="1337" t="s">
        <v>2747</v>
      </c>
      <c r="F98" s="1282"/>
      <c r="G98" s="1281"/>
    </row>
    <row r="99" spans="1:7" ht="52.9" customHeight="1">
      <c r="A99" s="1284" t="str">
        <f>IFERROR(VLOOKUP(B:B,'0.39'!B:F,5,FALSE),"")</f>
        <v/>
      </c>
      <c r="B99" s="1360" t="str">
        <f>PACKING!M104</f>
        <v/>
      </c>
      <c r="C99" s="1283" t="str">
        <f>IFERROR((VLOOKUP(B:B,'0.39'!B:F,4,FALSE)),"")</f>
        <v/>
      </c>
      <c r="D99" s="1331" t="str">
        <f>PACKING!N74</f>
        <v/>
      </c>
      <c r="E99" s="1337" t="s">
        <v>2747</v>
      </c>
      <c r="F99" s="1282"/>
      <c r="G99" s="1281"/>
    </row>
    <row r="100" spans="1:7" ht="52.9" customHeight="1">
      <c r="A100" s="1284" t="str">
        <f>IFERROR(VLOOKUP(B:B,'0.39'!B:F,5,FALSE),"")</f>
        <v/>
      </c>
      <c r="B100" s="1360" t="str">
        <f>PACKING!M105</f>
        <v/>
      </c>
      <c r="C100" s="1283" t="str">
        <f>IFERROR((VLOOKUP(B:B,'0.39'!B:F,4,FALSE)),"")</f>
        <v/>
      </c>
      <c r="D100" s="1331" t="str">
        <f>PACKING!N75</f>
        <v/>
      </c>
      <c r="E100" s="1337" t="s">
        <v>2747</v>
      </c>
      <c r="F100" s="1285"/>
      <c r="G100" s="1281"/>
    </row>
    <row r="101" spans="1:7" ht="52.9" customHeight="1">
      <c r="A101" s="1284" t="str">
        <f>IFERROR(VLOOKUP(B:B,'0.39'!B:F,5,FALSE),"")</f>
        <v/>
      </c>
      <c r="B101" s="1360" t="str">
        <f>PACKING!M106</f>
        <v/>
      </c>
      <c r="C101" s="1283" t="str">
        <f>IFERROR((VLOOKUP(B:B,'0.39'!B:F,4,FALSE)),"")</f>
        <v/>
      </c>
      <c r="D101" s="1331" t="str">
        <f>PACKING!N76</f>
        <v/>
      </c>
      <c r="E101" s="1337" t="s">
        <v>2747</v>
      </c>
      <c r="F101" s="1282"/>
      <c r="G101" s="1281"/>
    </row>
    <row r="102" spans="1:7" ht="52.9" customHeight="1">
      <c r="A102" s="1284" t="str">
        <f>IFERROR(VLOOKUP(B:B,'0.39'!B:F,5,FALSE),"")</f>
        <v/>
      </c>
      <c r="B102" s="1360" t="str">
        <f>PACKING!M107</f>
        <v/>
      </c>
      <c r="C102" s="1283" t="str">
        <f>IFERROR((VLOOKUP(B:B,'0.39'!B:F,4,FALSE)),"")</f>
        <v/>
      </c>
      <c r="D102" s="1331" t="str">
        <f>PACKING!N77</f>
        <v/>
      </c>
      <c r="E102" s="1337" t="s">
        <v>2747</v>
      </c>
      <c r="F102" s="1282"/>
      <c r="G102" s="1281"/>
    </row>
    <row r="103" spans="1:7" ht="79.150000000000006" customHeight="1" thickBot="1">
      <c r="A103" s="1692" t="s">
        <v>204</v>
      </c>
      <c r="B103" s="1693"/>
      <c r="C103" s="1693"/>
      <c r="D103" s="1280">
        <f>SUM(D92:D102)</f>
        <v>0</v>
      </c>
      <c r="E103" s="1336" t="s">
        <v>2747</v>
      </c>
      <c r="F103" s="1279" t="s">
        <v>2746</v>
      </c>
      <c r="G103" s="1278" t="s">
        <v>2746</v>
      </c>
    </row>
    <row r="104" spans="1:7" ht="34.15" customHeight="1" thickBot="1">
      <c r="A104" s="133"/>
      <c r="B104" s="1358"/>
      <c r="C104" s="133"/>
      <c r="D104" s="133"/>
      <c r="E104" s="133"/>
      <c r="F104" s="133"/>
      <c r="G104" s="133"/>
    </row>
    <row r="105" spans="1:7" ht="75" customHeight="1" thickBot="1">
      <c r="A105" s="1300"/>
      <c r="B105" s="1299" t="str">
        <f>BASIC_TOOL!$B$6</f>
        <v>A Project</v>
      </c>
      <c r="C105" s="1304" t="s">
        <v>2756</v>
      </c>
      <c r="D105" s="1309" t="e">
        <f ca="1">_xlfn.IFS(PACKING!P65="M", "1X1.5M",PACKING!P65="L", "1X2M",PACKING!P65="S", "1X1M")</f>
        <v>#NAME?</v>
      </c>
      <c r="E105" s="1296">
        <f>PACKING!P94</f>
        <v>7</v>
      </c>
      <c r="F105" s="1295" t="s">
        <v>2755</v>
      </c>
      <c r="G105" s="1294">
        <f>PACKING!$C$93</f>
        <v>2</v>
      </c>
    </row>
    <row r="106" spans="1:7" ht="80.45" customHeight="1">
      <c r="A106" s="1290" t="s">
        <v>2754</v>
      </c>
      <c r="B106" s="1290" t="str">
        <f>BASIC_TOOL!$B$7</f>
        <v>DAMMAM, KSA</v>
      </c>
      <c r="C106" s="1293" t="str">
        <f>BASIC_TOOL!$C$14</f>
        <v>Non-Insulated</v>
      </c>
      <c r="D106" s="1694" t="str">
        <f>'PRINTOUT(BOM)'!A96</f>
        <v>▣ Size : 10mW x (5)mL x3mH =150 [TON]/ 1[SET]</v>
      </c>
      <c r="E106" s="1695"/>
      <c r="F106" s="1695"/>
      <c r="G106" s="1696"/>
    </row>
    <row r="107" spans="1:7" ht="52.15" customHeight="1">
      <c r="A107" s="1290" t="s">
        <v>2753</v>
      </c>
      <c r="B107" s="1292">
        <f>BASIC_TOOL!$F$7</f>
        <v>44343</v>
      </c>
      <c r="C107" s="1291" t="s">
        <v>2752</v>
      </c>
      <c r="D107" s="1691" t="str">
        <f>BASIC_TOOL!$D$6</f>
        <v>ABC</v>
      </c>
      <c r="E107" s="1691"/>
      <c r="F107" s="1691" t="s">
        <v>2751</v>
      </c>
      <c r="G107" s="1697"/>
    </row>
    <row r="108" spans="1:7" ht="61.15" customHeight="1">
      <c r="A108" s="1290" t="s">
        <v>176</v>
      </c>
      <c r="B108" s="1359" t="s">
        <v>177</v>
      </c>
      <c r="C108" s="1335" t="s">
        <v>2750</v>
      </c>
      <c r="D108" s="1691" t="s">
        <v>239</v>
      </c>
      <c r="E108" s="1691"/>
      <c r="F108" s="1288" t="s">
        <v>2749</v>
      </c>
      <c r="G108" s="1287" t="s">
        <v>2748</v>
      </c>
    </row>
    <row r="109" spans="1:7" ht="53.45" customHeight="1">
      <c r="A109" s="1284" t="str">
        <f>IFERROR(VLOOKUP(B:B,'0.39'!B:F,5,FALSE),"")</f>
        <v xml:space="preserve">Roof </v>
      </c>
      <c r="B109" s="1360" t="str">
        <f>PACKING!O97</f>
        <v>RF00M</v>
      </c>
      <c r="C109" s="1283" t="str">
        <f>IFERROR((VLOOKUP(B:B,'0.39'!B:F,4,FALSE)),"")</f>
        <v>1 x 1M</v>
      </c>
      <c r="D109" s="1331" t="str">
        <f>PACKING!P67</f>
        <v/>
      </c>
      <c r="E109" s="1286" t="s">
        <v>2747</v>
      </c>
      <c r="F109" s="1285"/>
      <c r="G109" s="1281"/>
    </row>
    <row r="110" spans="1:7" ht="53.45" customHeight="1">
      <c r="A110" s="1284" t="str">
        <f>IFERROR(VLOOKUP(B:B,'0.39'!B:F,5,FALSE),"")</f>
        <v/>
      </c>
      <c r="B110" s="1360" t="str">
        <f>PACKING!O98</f>
        <v/>
      </c>
      <c r="C110" s="1283" t="str">
        <f>IFERROR((VLOOKUP(B:B,'0.39'!B:F,4,FALSE)),"")</f>
        <v/>
      </c>
      <c r="D110" s="1331" t="str">
        <f>PACKING!P68</f>
        <v/>
      </c>
      <c r="E110" s="1337" t="s">
        <v>2747</v>
      </c>
      <c r="F110" s="1285"/>
      <c r="G110" s="1281"/>
    </row>
    <row r="111" spans="1:7" ht="53.45" customHeight="1">
      <c r="A111" s="1284" t="str">
        <f>IFERROR(VLOOKUP(B:B,'0.39'!B:F,5,FALSE),"")</f>
        <v/>
      </c>
      <c r="B111" s="1360" t="str">
        <f>PACKING!O99</f>
        <v/>
      </c>
      <c r="C111" s="1283" t="str">
        <f>IFERROR((VLOOKUP(B:B,'0.39'!B:F,4,FALSE)),"")</f>
        <v/>
      </c>
      <c r="D111" s="1331" t="str">
        <f>PACKING!P69</f>
        <v/>
      </c>
      <c r="E111" s="1286" t="s">
        <v>2747</v>
      </c>
      <c r="F111" s="1285"/>
      <c r="G111" s="1281"/>
    </row>
    <row r="112" spans="1:7" ht="53.45" customHeight="1">
      <c r="A112" s="1284" t="str">
        <f>IFERROR(VLOOKUP(B:B,'0.39'!B:F,5,FALSE),"")</f>
        <v/>
      </c>
      <c r="B112" s="1360" t="str">
        <f>PACKING!O100</f>
        <v/>
      </c>
      <c r="C112" s="1283" t="str">
        <f>IFERROR((VLOOKUP(B:B,'0.39'!B:F,4,FALSE)),"")</f>
        <v/>
      </c>
      <c r="D112" s="1331" t="str">
        <f>PACKING!P70</f>
        <v/>
      </c>
      <c r="E112" s="1286" t="s">
        <v>2747</v>
      </c>
      <c r="F112" s="1282"/>
      <c r="G112" s="1281"/>
    </row>
    <row r="113" spans="1:7" ht="53.45" customHeight="1">
      <c r="A113" s="1284" t="str">
        <f>IFERROR(VLOOKUP(B:B,'0.39'!B:F,5,FALSE),"")</f>
        <v/>
      </c>
      <c r="B113" s="1360" t="str">
        <f>PACKING!O101</f>
        <v/>
      </c>
      <c r="C113" s="1283" t="str">
        <f>IFERROR((VLOOKUP(B:B,'0.39'!B:F,4,FALSE)),"")</f>
        <v/>
      </c>
      <c r="D113" s="1331" t="str">
        <f>PACKING!P71</f>
        <v/>
      </c>
      <c r="E113" s="1286" t="s">
        <v>2747</v>
      </c>
      <c r="F113" s="1282"/>
      <c r="G113" s="1281"/>
    </row>
    <row r="114" spans="1:7" ht="53.45" customHeight="1">
      <c r="A114" s="1284" t="str">
        <f>IFERROR(VLOOKUP(B:B,'0.39'!B:F,5,FALSE),"")</f>
        <v/>
      </c>
      <c r="B114" s="1360" t="str">
        <f>PACKING!O102</f>
        <v/>
      </c>
      <c r="C114" s="1283" t="str">
        <f>IFERROR((VLOOKUP(B:B,'0.39'!B:F,4,FALSE)),"")</f>
        <v/>
      </c>
      <c r="D114" s="1331" t="str">
        <f>PACKING!P72</f>
        <v/>
      </c>
      <c r="E114" s="1337" t="s">
        <v>2747</v>
      </c>
      <c r="F114" s="1282"/>
      <c r="G114" s="1281"/>
    </row>
    <row r="115" spans="1:7" ht="53.45" customHeight="1">
      <c r="A115" s="1284" t="str">
        <f>IFERROR(VLOOKUP(B:B,'0.39'!B:F,5,FALSE),"")</f>
        <v/>
      </c>
      <c r="B115" s="1360" t="str">
        <f>PACKING!O103</f>
        <v/>
      </c>
      <c r="C115" s="1283" t="str">
        <f>IFERROR((VLOOKUP(B:B,'0.39'!B:F,4,FALSE)),"")</f>
        <v/>
      </c>
      <c r="D115" s="1331" t="str">
        <f>PACKING!P73</f>
        <v/>
      </c>
      <c r="E115" s="1337" t="s">
        <v>2747</v>
      </c>
      <c r="F115" s="1282"/>
      <c r="G115" s="1281"/>
    </row>
    <row r="116" spans="1:7" ht="53.45" customHeight="1">
      <c r="A116" s="1284" t="str">
        <f>IFERROR(VLOOKUP(B:B,'0.39'!B:F,5,FALSE),"")</f>
        <v/>
      </c>
      <c r="B116" s="1360" t="str">
        <f>PACKING!O104</f>
        <v/>
      </c>
      <c r="C116" s="1283" t="str">
        <f>IFERROR((VLOOKUP(B:B,'0.39'!B:F,4,FALSE)),"")</f>
        <v/>
      </c>
      <c r="D116" s="1331" t="str">
        <f>PACKING!P74</f>
        <v/>
      </c>
      <c r="E116" s="1337" t="s">
        <v>2747</v>
      </c>
      <c r="F116" s="1282"/>
      <c r="G116" s="1281"/>
    </row>
    <row r="117" spans="1:7" ht="53.45" customHeight="1">
      <c r="A117" s="1284" t="str">
        <f>IFERROR(VLOOKUP(B:B,'0.39'!B:F,5,FALSE),"")</f>
        <v/>
      </c>
      <c r="B117" s="1360" t="str">
        <f>PACKING!O105</f>
        <v/>
      </c>
      <c r="C117" s="1283" t="str">
        <f>IFERROR((VLOOKUP(B:B,'0.39'!B:F,4,FALSE)),"")</f>
        <v/>
      </c>
      <c r="D117" s="1331" t="str">
        <f>PACKING!P75</f>
        <v/>
      </c>
      <c r="E117" s="1337" t="s">
        <v>2747</v>
      </c>
      <c r="F117" s="1285"/>
      <c r="G117" s="1281"/>
    </row>
    <row r="118" spans="1:7" ht="53.45" customHeight="1">
      <c r="A118" s="1284" t="str">
        <f>IFERROR(VLOOKUP(B:B,'0.39'!B:F,5,FALSE),"")</f>
        <v/>
      </c>
      <c r="B118" s="1360" t="str">
        <f>PACKING!O106</f>
        <v/>
      </c>
      <c r="C118" s="1283" t="str">
        <f>IFERROR((VLOOKUP(B:B,'0.39'!B:F,4,FALSE)),"")</f>
        <v/>
      </c>
      <c r="D118" s="1331" t="str">
        <f>PACKING!P76</f>
        <v/>
      </c>
      <c r="E118" s="1337" t="s">
        <v>2747</v>
      </c>
      <c r="F118" s="1282"/>
      <c r="G118" s="1281"/>
    </row>
    <row r="119" spans="1:7" ht="53.45" customHeight="1">
      <c r="A119" s="1284" t="str">
        <f>IFERROR(VLOOKUP(B:B,'0.39'!B:F,5,FALSE),"")</f>
        <v/>
      </c>
      <c r="B119" s="1360" t="str">
        <f>PACKING!O107</f>
        <v/>
      </c>
      <c r="C119" s="1283" t="str">
        <f>IFERROR((VLOOKUP(B:B,'0.39'!B:F,4,FALSE)),"")</f>
        <v/>
      </c>
      <c r="D119" s="1331" t="str">
        <f>PACKING!P77</f>
        <v/>
      </c>
      <c r="E119" s="1337" t="s">
        <v>2747</v>
      </c>
      <c r="F119" s="1282"/>
      <c r="G119" s="1281"/>
    </row>
    <row r="120" spans="1:7" ht="57.6" customHeight="1" thickBot="1">
      <c r="A120" s="1692" t="s">
        <v>204</v>
      </c>
      <c r="B120" s="1693"/>
      <c r="C120" s="1693"/>
      <c r="D120" s="1280">
        <f>SUM(D109:D119)</f>
        <v>0</v>
      </c>
      <c r="E120" s="1336" t="s">
        <v>2747</v>
      </c>
      <c r="F120" s="1279" t="s">
        <v>2746</v>
      </c>
      <c r="G120" s="1278" t="s">
        <v>2746</v>
      </c>
    </row>
    <row r="121" spans="1:7" ht="35.25" thickBot="1">
      <c r="A121" s="1302"/>
      <c r="B121" s="1361"/>
      <c r="C121" s="1302"/>
      <c r="D121" s="1303"/>
      <c r="E121" s="1302"/>
      <c r="F121" s="1301"/>
      <c r="G121" s="1301"/>
    </row>
    <row r="122" spans="1:7" ht="75.599999999999994" customHeight="1" thickBot="1">
      <c r="A122" s="1300"/>
      <c r="B122" s="1299" t="str">
        <f>BASIC_TOOL!$B$6</f>
        <v>A Project</v>
      </c>
      <c r="C122" s="1304" t="s">
        <v>2756</v>
      </c>
      <c r="D122" s="1297" t="e">
        <f ca="1">_xlfn.IFS(PACKING!R65="M", "1X1.5M",PACKING!R65="L", "1X2M",PACKING!R65="S", "1X1M")</f>
        <v>#NAME?</v>
      </c>
      <c r="E122" s="1311">
        <f>PACKING!R94</f>
        <v>8</v>
      </c>
      <c r="F122" s="1310" t="s">
        <v>2755</v>
      </c>
      <c r="G122" s="1294">
        <f>PACKING!$C$93</f>
        <v>2</v>
      </c>
    </row>
    <row r="123" spans="1:7" ht="87.6" customHeight="1">
      <c r="A123" s="1290" t="s">
        <v>2754</v>
      </c>
      <c r="B123" s="1290" t="str">
        <f>BASIC_TOOL!$B$7</f>
        <v>DAMMAM, KSA</v>
      </c>
      <c r="C123" s="1293" t="str">
        <f>BASIC_TOOL!$C$14</f>
        <v>Non-Insulated</v>
      </c>
      <c r="D123" s="1694" t="str">
        <f>'PRINTOUT(BOM)'!A96</f>
        <v>▣ Size : 10mW x (5)mL x3mH =150 [TON]/ 1[SET]</v>
      </c>
      <c r="E123" s="1695"/>
      <c r="F123" s="1695"/>
      <c r="G123" s="1696"/>
    </row>
    <row r="124" spans="1:7" ht="63.6" customHeight="1">
      <c r="A124" s="1290" t="s">
        <v>2753</v>
      </c>
      <c r="B124" s="1292">
        <f>BASIC_TOOL!$F$7</f>
        <v>44343</v>
      </c>
      <c r="C124" s="1291" t="s">
        <v>2752</v>
      </c>
      <c r="D124" s="1691" t="str">
        <f>BASIC_TOOL!$D$6</f>
        <v>ABC</v>
      </c>
      <c r="E124" s="1691"/>
      <c r="F124" s="1691" t="s">
        <v>2751</v>
      </c>
      <c r="G124" s="1697"/>
    </row>
    <row r="125" spans="1:7" ht="60">
      <c r="A125" s="1290" t="s">
        <v>176</v>
      </c>
      <c r="B125" s="1359" t="s">
        <v>177</v>
      </c>
      <c r="C125" s="1335" t="s">
        <v>2750</v>
      </c>
      <c r="D125" s="1691" t="s">
        <v>239</v>
      </c>
      <c r="E125" s="1691"/>
      <c r="F125" s="1288" t="s">
        <v>2749</v>
      </c>
      <c r="G125" s="1287" t="s">
        <v>2748</v>
      </c>
    </row>
    <row r="126" spans="1:7" ht="52.9" customHeight="1">
      <c r="A126" s="1284" t="str">
        <f>IFERROR(VLOOKUP(B:B,'0.39'!B:F,5,FALSE),"")</f>
        <v>Manhole</v>
      </c>
      <c r="B126" s="1360" t="str">
        <f>PACKING!Q97</f>
        <v>MF00M</v>
      </c>
      <c r="C126" s="1283" t="str">
        <f>IFERROR((VLOOKUP(B:B,'0.39'!B:F,4,FALSE)),"")</f>
        <v>1x1M</v>
      </c>
      <c r="D126" s="1331" t="str">
        <f>PACKING!R67</f>
        <v/>
      </c>
      <c r="E126" s="1286" t="s">
        <v>2747</v>
      </c>
      <c r="F126" s="1285"/>
      <c r="G126" s="1281"/>
    </row>
    <row r="127" spans="1:7" ht="52.9" customHeight="1">
      <c r="A127" s="1284" t="str">
        <f>IFERROR(VLOOKUP(B:B,'0.39'!B:F,5,FALSE),"")</f>
        <v xml:space="preserve">Roof </v>
      </c>
      <c r="B127" s="1360" t="str">
        <f>PACKING!Q98</f>
        <v>RF00M</v>
      </c>
      <c r="C127" s="1283" t="str">
        <f>IFERROR((VLOOKUP(B:B,'0.39'!B:F,4,FALSE)),"")</f>
        <v>1 x 1M</v>
      </c>
      <c r="D127" s="1331" t="str">
        <f>PACKING!R68</f>
        <v/>
      </c>
      <c r="E127" s="1337" t="s">
        <v>2747</v>
      </c>
      <c r="F127" s="1285"/>
      <c r="G127" s="1281"/>
    </row>
    <row r="128" spans="1:7" ht="52.9" customHeight="1">
      <c r="A128" s="1284" t="str">
        <f>IFERROR(VLOOKUP(B:B,'0.39'!B:F,5,FALSE),"")</f>
        <v/>
      </c>
      <c r="B128" s="1360" t="str">
        <f>PACKING!Q99</f>
        <v/>
      </c>
      <c r="C128" s="1283" t="str">
        <f>IFERROR((VLOOKUP(B:B,'0.39'!B:F,4,FALSE)),"")</f>
        <v/>
      </c>
      <c r="D128" s="1331" t="str">
        <f>PACKING!R69</f>
        <v/>
      </c>
      <c r="E128" s="1286" t="s">
        <v>2747</v>
      </c>
      <c r="F128" s="1285"/>
      <c r="G128" s="1281"/>
    </row>
    <row r="129" spans="1:7" ht="52.9" customHeight="1">
      <c r="A129" s="1284" t="str">
        <f>IFERROR(VLOOKUP(B:B,'0.39'!B:F,5,FALSE),"")</f>
        <v/>
      </c>
      <c r="B129" s="1360" t="str">
        <f>PACKING!Q100</f>
        <v/>
      </c>
      <c r="C129" s="1283" t="str">
        <f>IFERROR((VLOOKUP(B:B,'0.39'!B:F,4,FALSE)),"")</f>
        <v/>
      </c>
      <c r="D129" s="1331" t="str">
        <f>PACKING!R70</f>
        <v/>
      </c>
      <c r="E129" s="1286" t="s">
        <v>2747</v>
      </c>
      <c r="F129" s="1282"/>
      <c r="G129" s="1281"/>
    </row>
    <row r="130" spans="1:7" ht="52.9" customHeight="1">
      <c r="A130" s="1284" t="str">
        <f>IFERROR(VLOOKUP(B:B,'0.39'!B:F,5,FALSE),"")</f>
        <v/>
      </c>
      <c r="B130" s="1360" t="str">
        <f>PACKING!Q101</f>
        <v/>
      </c>
      <c r="C130" s="1283" t="str">
        <f>IFERROR((VLOOKUP(B:B,'0.39'!B:F,4,FALSE)),"")</f>
        <v/>
      </c>
      <c r="D130" s="1331" t="str">
        <f>PACKING!R71</f>
        <v/>
      </c>
      <c r="E130" s="1286" t="s">
        <v>2747</v>
      </c>
      <c r="F130" s="1282"/>
      <c r="G130" s="1281"/>
    </row>
    <row r="131" spans="1:7" ht="52.9" customHeight="1">
      <c r="A131" s="1284" t="str">
        <f>IFERROR(VLOOKUP(B:B,'0.39'!B:F,5,FALSE),"")</f>
        <v/>
      </c>
      <c r="B131" s="1360" t="str">
        <f>PACKING!Q102</f>
        <v/>
      </c>
      <c r="C131" s="1283" t="str">
        <f>IFERROR((VLOOKUP(B:B,'0.39'!B:F,4,FALSE)),"")</f>
        <v/>
      </c>
      <c r="D131" s="1331" t="str">
        <f>PACKING!R72</f>
        <v/>
      </c>
      <c r="E131" s="1337" t="s">
        <v>2747</v>
      </c>
      <c r="F131" s="1282"/>
      <c r="G131" s="1281"/>
    </row>
    <row r="132" spans="1:7" ht="52.9" customHeight="1">
      <c r="A132" s="1284" t="str">
        <f>IFERROR(VLOOKUP(B:B,'0.39'!B:F,5,FALSE),"")</f>
        <v/>
      </c>
      <c r="B132" s="1360" t="str">
        <f>PACKING!Q103</f>
        <v/>
      </c>
      <c r="C132" s="1283" t="str">
        <f>IFERROR((VLOOKUP(B:B,'0.39'!B:F,4,FALSE)),"")</f>
        <v/>
      </c>
      <c r="D132" s="1331" t="str">
        <f>PACKING!R73</f>
        <v/>
      </c>
      <c r="E132" s="1337" t="s">
        <v>2747</v>
      </c>
      <c r="F132" s="1282"/>
      <c r="G132" s="1281"/>
    </row>
    <row r="133" spans="1:7" ht="52.9" customHeight="1">
      <c r="A133" s="1284" t="str">
        <f>IFERROR(VLOOKUP(B:B,'0.39'!B:F,5,FALSE),"")</f>
        <v/>
      </c>
      <c r="B133" s="1360" t="str">
        <f>PACKING!Q104</f>
        <v/>
      </c>
      <c r="C133" s="1283" t="str">
        <f>IFERROR((VLOOKUP(B:B,'0.39'!B:F,4,FALSE)),"")</f>
        <v/>
      </c>
      <c r="D133" s="1331" t="str">
        <f>PACKING!R74</f>
        <v/>
      </c>
      <c r="E133" s="1337" t="s">
        <v>2747</v>
      </c>
      <c r="F133" s="1282"/>
      <c r="G133" s="1281"/>
    </row>
    <row r="134" spans="1:7" ht="52.9" customHeight="1">
      <c r="A134" s="1284" t="str">
        <f>IFERROR(VLOOKUP(B:B,'0.39'!B:F,5,FALSE),"")</f>
        <v/>
      </c>
      <c r="B134" s="1360" t="str">
        <f>PACKING!Q105</f>
        <v/>
      </c>
      <c r="C134" s="1283" t="str">
        <f>IFERROR((VLOOKUP(B:B,'0.39'!B:F,4,FALSE)),"")</f>
        <v/>
      </c>
      <c r="D134" s="1331" t="str">
        <f>PACKING!R75</f>
        <v/>
      </c>
      <c r="E134" s="1337" t="s">
        <v>2747</v>
      </c>
      <c r="F134" s="1285"/>
      <c r="G134" s="1281"/>
    </row>
    <row r="135" spans="1:7" ht="52.9" customHeight="1">
      <c r="A135" s="1284" t="str">
        <f>IFERROR(VLOOKUP(B:B,'0.39'!B:F,5,FALSE),"")</f>
        <v/>
      </c>
      <c r="B135" s="1360" t="str">
        <f>PACKING!Q106</f>
        <v/>
      </c>
      <c r="C135" s="1283" t="str">
        <f>IFERROR((VLOOKUP(B:B,'0.39'!B:F,4,FALSE)),"")</f>
        <v/>
      </c>
      <c r="D135" s="1331" t="str">
        <f>PACKING!R76</f>
        <v/>
      </c>
      <c r="E135" s="1337" t="s">
        <v>2747</v>
      </c>
      <c r="F135" s="1282"/>
      <c r="G135" s="1281"/>
    </row>
    <row r="136" spans="1:7" ht="52.9" customHeight="1">
      <c r="A136" s="1284" t="str">
        <f>IFERROR(VLOOKUP(B:B,'0.39'!B:F,5,FALSE),"")</f>
        <v/>
      </c>
      <c r="B136" s="1360" t="str">
        <f>PACKING!Q107</f>
        <v/>
      </c>
      <c r="C136" s="1283" t="str">
        <f>IFERROR((VLOOKUP(B:B,'0.39'!B:F,4,FALSE)),"")</f>
        <v/>
      </c>
      <c r="D136" s="1331" t="str">
        <f>PACKING!R77</f>
        <v/>
      </c>
      <c r="E136" s="1337" t="s">
        <v>2747</v>
      </c>
      <c r="F136" s="1282"/>
      <c r="G136" s="1281"/>
    </row>
    <row r="137" spans="1:7" ht="79.150000000000006" customHeight="1" thickBot="1">
      <c r="A137" s="1692" t="s">
        <v>204</v>
      </c>
      <c r="B137" s="1693"/>
      <c r="C137" s="1693"/>
      <c r="D137" s="1280">
        <f>SUM(D126:D136)</f>
        <v>0</v>
      </c>
      <c r="E137" s="1336" t="s">
        <v>2747</v>
      </c>
      <c r="F137" s="1279" t="s">
        <v>2746</v>
      </c>
      <c r="G137" s="1278" t="s">
        <v>2746</v>
      </c>
    </row>
    <row r="138" spans="1:7" ht="35.25" thickBot="1">
      <c r="A138" s="1302"/>
      <c r="B138" s="1361"/>
      <c r="C138" s="1302"/>
      <c r="D138" s="1303"/>
      <c r="E138" s="1302"/>
      <c r="F138" s="1301"/>
      <c r="G138" s="1301"/>
    </row>
    <row r="139" spans="1:7" ht="75.599999999999994" customHeight="1" thickBot="1">
      <c r="A139" s="1300"/>
      <c r="B139" s="1299" t="str">
        <f>BASIC_TOOL!$B$6</f>
        <v>A Project</v>
      </c>
      <c r="C139" s="1304" t="s">
        <v>2756</v>
      </c>
      <c r="D139" s="1308" t="e">
        <f ca="1">_xlfn.IFS(PACKING!T65="M", "1X1.5M",PACKING!T65="L", "1X2M",PACKING!T65="S", "1X1M")</f>
        <v>#NAME?</v>
      </c>
      <c r="E139" s="1307">
        <f>PACKING!T94</f>
        <v>9</v>
      </c>
      <c r="F139" s="1306" t="s">
        <v>2755</v>
      </c>
      <c r="G139" s="1294">
        <f>PACKING!$C$93</f>
        <v>2</v>
      </c>
    </row>
    <row r="140" spans="1:7" ht="87.6" customHeight="1">
      <c r="A140" s="1290" t="s">
        <v>2754</v>
      </c>
      <c r="B140" s="1290" t="str">
        <f>BASIC_TOOL!$B$7</f>
        <v>DAMMAM, KSA</v>
      </c>
      <c r="C140" s="1293" t="str">
        <f>BASIC_TOOL!$C$14</f>
        <v>Non-Insulated</v>
      </c>
      <c r="D140" s="1694" t="str">
        <f>'PRINTOUT(BOM)'!A96</f>
        <v>▣ Size : 10mW x (5)mL x3mH =150 [TON]/ 1[SET]</v>
      </c>
      <c r="E140" s="1695"/>
      <c r="F140" s="1695"/>
      <c r="G140" s="1696"/>
    </row>
    <row r="141" spans="1:7" ht="63.6" customHeight="1">
      <c r="A141" s="1290" t="s">
        <v>2753</v>
      </c>
      <c r="B141" s="1292">
        <f>BASIC_TOOL!$F$7</f>
        <v>44343</v>
      </c>
      <c r="C141" s="1291" t="s">
        <v>2752</v>
      </c>
      <c r="D141" s="1691" t="str">
        <f>BASIC_TOOL!$D$6</f>
        <v>ABC</v>
      </c>
      <c r="E141" s="1691"/>
      <c r="F141" s="1691" t="s">
        <v>2751</v>
      </c>
      <c r="G141" s="1697"/>
    </row>
    <row r="142" spans="1:7" ht="60">
      <c r="A142" s="1290" t="s">
        <v>176</v>
      </c>
      <c r="B142" s="1359" t="s">
        <v>177</v>
      </c>
      <c r="C142" s="1335" t="s">
        <v>2750</v>
      </c>
      <c r="D142" s="1691" t="s">
        <v>239</v>
      </c>
      <c r="E142" s="1691"/>
      <c r="F142" s="1288" t="s">
        <v>2749</v>
      </c>
      <c r="G142" s="1287" t="s">
        <v>2748</v>
      </c>
    </row>
    <row r="143" spans="1:7" ht="52.9" customHeight="1">
      <c r="A143" s="1284" t="str">
        <f>IFERROR(VLOOKUP(B:B,'0.39'!B:F,5,FALSE),"")</f>
        <v/>
      </c>
      <c r="B143" s="1360" t="str">
        <f>PACKING!S97</f>
        <v/>
      </c>
      <c r="C143" s="1283" t="str">
        <f>IFERROR((VLOOKUP(B:B,'0.39'!B:F,4,FALSE)),"")</f>
        <v/>
      </c>
      <c r="D143" s="1331" t="str">
        <f>PACKING!T67</f>
        <v/>
      </c>
      <c r="E143" s="1286" t="s">
        <v>2747</v>
      </c>
      <c r="F143" s="1285"/>
      <c r="G143" s="1281"/>
    </row>
    <row r="144" spans="1:7" ht="52.9" customHeight="1">
      <c r="A144" s="1284" t="str">
        <f>IFERROR(VLOOKUP(B:B,'0.39'!B:F,5,FALSE),"")</f>
        <v/>
      </c>
      <c r="B144" s="1360" t="str">
        <f>PACKING!S98</f>
        <v/>
      </c>
      <c r="C144" s="1283" t="str">
        <f>IFERROR((VLOOKUP(B:B,'0.39'!B:F,4,FALSE)),"")</f>
        <v/>
      </c>
      <c r="D144" s="1331" t="str">
        <f>PACKING!T68</f>
        <v/>
      </c>
      <c r="E144" s="1337" t="s">
        <v>2747</v>
      </c>
      <c r="F144" s="1285"/>
      <c r="G144" s="1281"/>
    </row>
    <row r="145" spans="1:7" ht="52.9" customHeight="1">
      <c r="A145" s="1284" t="str">
        <f>IFERROR(VLOOKUP(B:B,'0.39'!B:F,5,FALSE),"")</f>
        <v/>
      </c>
      <c r="B145" s="1360" t="str">
        <f>PACKING!S99</f>
        <v/>
      </c>
      <c r="C145" s="1283" t="str">
        <f>IFERROR((VLOOKUP(B:B,'0.39'!B:F,4,FALSE)),"")</f>
        <v/>
      </c>
      <c r="D145" s="1331" t="str">
        <f>PACKING!T69</f>
        <v/>
      </c>
      <c r="E145" s="1286" t="s">
        <v>2747</v>
      </c>
      <c r="F145" s="1285"/>
      <c r="G145" s="1281"/>
    </row>
    <row r="146" spans="1:7" ht="52.9" customHeight="1">
      <c r="A146" s="1284" t="str">
        <f>IFERROR(VLOOKUP(B:B,'0.39'!B:F,5,FALSE),"")</f>
        <v/>
      </c>
      <c r="B146" s="1360" t="str">
        <f>PACKING!S100</f>
        <v/>
      </c>
      <c r="C146" s="1283" t="str">
        <f>IFERROR((VLOOKUP(B:B,'0.39'!B:F,4,FALSE)),"")</f>
        <v/>
      </c>
      <c r="D146" s="1331" t="str">
        <f>PACKING!T70</f>
        <v/>
      </c>
      <c r="E146" s="1286" t="s">
        <v>2747</v>
      </c>
      <c r="F146" s="1282"/>
      <c r="G146" s="1281"/>
    </row>
    <row r="147" spans="1:7" ht="52.9" customHeight="1">
      <c r="A147" s="1284" t="str">
        <f>IFERROR(VLOOKUP(B:B,'0.39'!B:F,5,FALSE),"")</f>
        <v/>
      </c>
      <c r="B147" s="1360" t="str">
        <f>PACKING!S101</f>
        <v/>
      </c>
      <c r="C147" s="1283" t="str">
        <f>IFERROR((VLOOKUP(B:B,'0.39'!B:F,4,FALSE)),"")</f>
        <v/>
      </c>
      <c r="D147" s="1331" t="str">
        <f>PACKING!T71</f>
        <v/>
      </c>
      <c r="E147" s="1286" t="s">
        <v>2747</v>
      </c>
      <c r="F147" s="1282"/>
      <c r="G147" s="1281"/>
    </row>
    <row r="148" spans="1:7" ht="52.9" customHeight="1">
      <c r="A148" s="1284" t="str">
        <f>IFERROR(VLOOKUP(B:B,'0.39'!B:F,5,FALSE),"")</f>
        <v/>
      </c>
      <c r="B148" s="1360" t="str">
        <f>PACKING!S102</f>
        <v/>
      </c>
      <c r="C148" s="1283" t="str">
        <f>IFERROR((VLOOKUP(B:B,'0.39'!B:F,4,FALSE)),"")</f>
        <v/>
      </c>
      <c r="D148" s="1331" t="str">
        <f>PACKING!T72</f>
        <v/>
      </c>
      <c r="E148" s="1337" t="s">
        <v>2747</v>
      </c>
      <c r="F148" s="1282"/>
      <c r="G148" s="1281"/>
    </row>
    <row r="149" spans="1:7" ht="52.9" customHeight="1">
      <c r="A149" s="1284" t="str">
        <f>IFERROR(VLOOKUP(B:B,'0.39'!B:F,5,FALSE),"")</f>
        <v/>
      </c>
      <c r="B149" s="1360" t="str">
        <f>PACKING!S103</f>
        <v/>
      </c>
      <c r="C149" s="1283" t="str">
        <f>IFERROR((VLOOKUP(B:B,'0.39'!B:F,4,FALSE)),"")</f>
        <v/>
      </c>
      <c r="D149" s="1331" t="str">
        <f>PACKING!T73</f>
        <v/>
      </c>
      <c r="E149" s="1337" t="s">
        <v>2747</v>
      </c>
      <c r="F149" s="1282"/>
      <c r="G149" s="1281"/>
    </row>
    <row r="150" spans="1:7" ht="52.9" customHeight="1">
      <c r="A150" s="1284" t="str">
        <f>IFERROR(VLOOKUP(B:B,'0.39'!B:F,5,FALSE),"")</f>
        <v/>
      </c>
      <c r="B150" s="1360" t="str">
        <f>PACKING!S104</f>
        <v/>
      </c>
      <c r="C150" s="1283" t="str">
        <f>IFERROR((VLOOKUP(B:B,'0.39'!B:F,4,FALSE)),"")</f>
        <v/>
      </c>
      <c r="D150" s="1331" t="str">
        <f>PACKING!T74</f>
        <v/>
      </c>
      <c r="E150" s="1337" t="s">
        <v>2747</v>
      </c>
      <c r="F150" s="1282"/>
      <c r="G150" s="1281"/>
    </row>
    <row r="151" spans="1:7" ht="52.9" customHeight="1">
      <c r="A151" s="1284" t="str">
        <f>IFERROR(VLOOKUP(B:B,'0.39'!B:F,5,FALSE),"")</f>
        <v/>
      </c>
      <c r="B151" s="1360" t="str">
        <f>PACKING!S105</f>
        <v/>
      </c>
      <c r="C151" s="1283" t="str">
        <f>IFERROR((VLOOKUP(B:B,'0.39'!B:F,4,FALSE)),"")</f>
        <v/>
      </c>
      <c r="D151" s="1331" t="str">
        <f>PACKING!T75</f>
        <v/>
      </c>
      <c r="E151" s="1337" t="s">
        <v>2747</v>
      </c>
      <c r="F151" s="1285"/>
      <c r="G151" s="1281"/>
    </row>
    <row r="152" spans="1:7" ht="52.9" customHeight="1">
      <c r="A152" s="1284" t="str">
        <f>IFERROR(VLOOKUP(B:B,'0.39'!B:F,5,FALSE),"")</f>
        <v/>
      </c>
      <c r="B152" s="1360" t="str">
        <f>PACKING!S106</f>
        <v/>
      </c>
      <c r="C152" s="1283" t="str">
        <f>IFERROR((VLOOKUP(B:B,'0.39'!B:F,4,FALSE)),"")</f>
        <v/>
      </c>
      <c r="D152" s="1331" t="str">
        <f>PACKING!T76</f>
        <v/>
      </c>
      <c r="E152" s="1337" t="s">
        <v>2747</v>
      </c>
      <c r="F152" s="1282"/>
      <c r="G152" s="1281"/>
    </row>
    <row r="153" spans="1:7" ht="52.9" customHeight="1">
      <c r="A153" s="1284" t="str">
        <f>IFERROR(VLOOKUP(B:B,'0.39'!B:F,5,FALSE),"")</f>
        <v/>
      </c>
      <c r="B153" s="1360" t="str">
        <f>PACKING!S107</f>
        <v/>
      </c>
      <c r="C153" s="1283" t="str">
        <f>IFERROR((VLOOKUP(B:B,'0.39'!B:F,4,FALSE)),"")</f>
        <v/>
      </c>
      <c r="D153" s="1331" t="str">
        <f>PACKING!T77</f>
        <v/>
      </c>
      <c r="E153" s="1337" t="s">
        <v>2747</v>
      </c>
      <c r="F153" s="1282"/>
      <c r="G153" s="1281"/>
    </row>
    <row r="154" spans="1:7" ht="79.150000000000006" customHeight="1" thickBot="1">
      <c r="A154" s="1692" t="s">
        <v>204</v>
      </c>
      <c r="B154" s="1693"/>
      <c r="C154" s="1693"/>
      <c r="D154" s="1280">
        <f>SUM(D143:D153)</f>
        <v>0</v>
      </c>
      <c r="E154" s="1336" t="s">
        <v>2747</v>
      </c>
      <c r="F154" s="1279" t="s">
        <v>2746</v>
      </c>
      <c r="G154" s="1278" t="s">
        <v>2746</v>
      </c>
    </row>
    <row r="155" spans="1:7" ht="35.25" thickBot="1">
      <c r="A155" s="1302"/>
      <c r="B155" s="1361"/>
      <c r="C155" s="1302"/>
      <c r="D155" s="1303"/>
      <c r="E155" s="1302"/>
      <c r="F155" s="1301"/>
      <c r="G155" s="1301"/>
    </row>
    <row r="156" spans="1:7" ht="75.599999999999994" customHeight="1" thickBot="1">
      <c r="A156" s="1300"/>
      <c r="B156" s="1299" t="str">
        <f>BASIC_TOOL!$B$6</f>
        <v>A Project</v>
      </c>
      <c r="C156" s="1304" t="s">
        <v>2756</v>
      </c>
      <c r="D156" s="1297" t="e">
        <f ca="1">_xlfn.IFS(PACKING!V65="M", "1X1.5M",PACKING!V65="L", "1X2M",PACKING!V65="S", "1X1M")</f>
        <v>#NAME?</v>
      </c>
      <c r="E156" s="1296">
        <f>PACKING!V94</f>
        <v>10</v>
      </c>
      <c r="F156" s="1295" t="s">
        <v>2755</v>
      </c>
      <c r="G156" s="1294">
        <f>PACKING!$C$93</f>
        <v>2</v>
      </c>
    </row>
    <row r="157" spans="1:7" ht="87.6" customHeight="1">
      <c r="A157" s="1290" t="s">
        <v>2754</v>
      </c>
      <c r="B157" s="1290" t="str">
        <f>BASIC_TOOL!$B$7</f>
        <v>DAMMAM, KSA</v>
      </c>
      <c r="C157" s="1293" t="str">
        <f>BASIC_TOOL!$C$14</f>
        <v>Non-Insulated</v>
      </c>
      <c r="D157" s="1694" t="str">
        <f>'PRINTOUT(BOM)'!A96</f>
        <v>▣ Size : 10mW x (5)mL x3mH =150 [TON]/ 1[SET]</v>
      </c>
      <c r="E157" s="1695"/>
      <c r="F157" s="1695"/>
      <c r="G157" s="1696"/>
    </row>
    <row r="158" spans="1:7" ht="63.6" customHeight="1">
      <c r="A158" s="1290" t="s">
        <v>2753</v>
      </c>
      <c r="B158" s="1292">
        <f>BASIC_TOOL!$F$7</f>
        <v>44343</v>
      </c>
      <c r="C158" s="1291" t="s">
        <v>2752</v>
      </c>
      <c r="D158" s="1691" t="str">
        <f>BASIC_TOOL!$D$6</f>
        <v>ABC</v>
      </c>
      <c r="E158" s="1691"/>
      <c r="F158" s="1691" t="s">
        <v>2751</v>
      </c>
      <c r="G158" s="1697"/>
    </row>
    <row r="159" spans="1:7" ht="60">
      <c r="A159" s="1290" t="s">
        <v>176</v>
      </c>
      <c r="B159" s="1359" t="s">
        <v>177</v>
      </c>
      <c r="C159" s="1335" t="s">
        <v>2750</v>
      </c>
      <c r="D159" s="1691" t="s">
        <v>239</v>
      </c>
      <c r="E159" s="1691"/>
      <c r="F159" s="1288" t="s">
        <v>2749</v>
      </c>
      <c r="G159" s="1287" t="s">
        <v>2748</v>
      </c>
    </row>
    <row r="160" spans="1:7" ht="52.9" customHeight="1">
      <c r="A160" s="1284" t="str">
        <f>IFERROR(VLOOKUP(B:B,'0.39'!B:F,5,FALSE),"")</f>
        <v/>
      </c>
      <c r="B160" s="1360" t="str">
        <f>PACKING!U97</f>
        <v/>
      </c>
      <c r="C160" s="1283" t="str">
        <f>IFERROR((VLOOKUP(B:B,'0.39'!B:F,4,FALSE)),"")</f>
        <v/>
      </c>
      <c r="D160" s="1331" t="str">
        <f>PACKING!V67</f>
        <v/>
      </c>
      <c r="E160" s="1286" t="s">
        <v>2747</v>
      </c>
      <c r="F160" s="1285"/>
      <c r="G160" s="1281"/>
    </row>
    <row r="161" spans="1:7" ht="52.9" customHeight="1">
      <c r="A161" s="1284" t="str">
        <f>IFERROR(VLOOKUP(B:B,'0.39'!B:F,5,FALSE),"")</f>
        <v/>
      </c>
      <c r="B161" s="1360" t="str">
        <f>PACKING!U98</f>
        <v/>
      </c>
      <c r="C161" s="1283" t="str">
        <f>IFERROR((VLOOKUP(B:B,'0.39'!B:F,4,FALSE)),"")</f>
        <v/>
      </c>
      <c r="D161" s="1331" t="str">
        <f>PACKING!V68</f>
        <v/>
      </c>
      <c r="E161" s="1337" t="s">
        <v>2747</v>
      </c>
      <c r="F161" s="1285"/>
      <c r="G161" s="1281"/>
    </row>
    <row r="162" spans="1:7" ht="52.9" customHeight="1">
      <c r="A162" s="1284" t="str">
        <f>IFERROR(VLOOKUP(B:B,'0.39'!B:F,5,FALSE),"")</f>
        <v/>
      </c>
      <c r="B162" s="1360" t="str">
        <f>PACKING!U99</f>
        <v/>
      </c>
      <c r="C162" s="1283" t="str">
        <f>IFERROR((VLOOKUP(B:B,'0.39'!B:F,4,FALSE)),"")</f>
        <v/>
      </c>
      <c r="D162" s="1331" t="str">
        <f>PACKING!V69</f>
        <v/>
      </c>
      <c r="E162" s="1286" t="s">
        <v>2747</v>
      </c>
      <c r="F162" s="1285"/>
      <c r="G162" s="1281"/>
    </row>
    <row r="163" spans="1:7" ht="52.9" customHeight="1">
      <c r="A163" s="1284" t="str">
        <f>IFERROR(VLOOKUP(B:B,'0.39'!B:F,5,FALSE),"")</f>
        <v/>
      </c>
      <c r="B163" s="1360" t="str">
        <f>PACKING!U100</f>
        <v/>
      </c>
      <c r="C163" s="1283" t="str">
        <f>IFERROR((VLOOKUP(B:B,'0.39'!B:F,4,FALSE)),"")</f>
        <v/>
      </c>
      <c r="D163" s="1331" t="str">
        <f>PACKING!V70</f>
        <v/>
      </c>
      <c r="E163" s="1286" t="s">
        <v>2747</v>
      </c>
      <c r="F163" s="1282"/>
      <c r="G163" s="1281"/>
    </row>
    <row r="164" spans="1:7" ht="52.9" customHeight="1">
      <c r="A164" s="1284" t="str">
        <f>IFERROR(VLOOKUP(B:B,'0.39'!B:F,5,FALSE),"")</f>
        <v/>
      </c>
      <c r="B164" s="1360" t="str">
        <f>PACKING!U101</f>
        <v/>
      </c>
      <c r="C164" s="1283" t="str">
        <f>IFERROR((VLOOKUP(B:B,'0.39'!B:F,4,FALSE)),"")</f>
        <v/>
      </c>
      <c r="D164" s="1331" t="str">
        <f>PACKING!V71</f>
        <v/>
      </c>
      <c r="E164" s="1286" t="s">
        <v>2747</v>
      </c>
      <c r="F164" s="1282"/>
      <c r="G164" s="1281"/>
    </row>
    <row r="165" spans="1:7" ht="52.9" customHeight="1">
      <c r="A165" s="1284" t="str">
        <f>IFERROR(VLOOKUP(B:B,'0.39'!B:F,5,FALSE),"")</f>
        <v/>
      </c>
      <c r="B165" s="1360" t="str">
        <f>PACKING!U102</f>
        <v/>
      </c>
      <c r="C165" s="1283" t="str">
        <f>IFERROR((VLOOKUP(B:B,'0.39'!B:F,4,FALSE)),"")</f>
        <v/>
      </c>
      <c r="D165" s="1331" t="str">
        <f>PACKING!V72</f>
        <v/>
      </c>
      <c r="E165" s="1337" t="s">
        <v>2747</v>
      </c>
      <c r="F165" s="1282"/>
      <c r="G165" s="1281"/>
    </row>
    <row r="166" spans="1:7" ht="52.9" customHeight="1">
      <c r="A166" s="1284" t="str">
        <f>IFERROR(VLOOKUP(B:B,'0.39'!B:F,5,FALSE),"")</f>
        <v/>
      </c>
      <c r="B166" s="1360" t="str">
        <f>PACKING!U103</f>
        <v/>
      </c>
      <c r="C166" s="1283" t="str">
        <f>IFERROR((VLOOKUP(B:B,'0.39'!B:F,4,FALSE)),"")</f>
        <v/>
      </c>
      <c r="D166" s="1331" t="str">
        <f>PACKING!V73</f>
        <v/>
      </c>
      <c r="E166" s="1337" t="s">
        <v>2747</v>
      </c>
      <c r="F166" s="1282"/>
      <c r="G166" s="1281"/>
    </row>
    <row r="167" spans="1:7" ht="52.9" customHeight="1">
      <c r="A167" s="1284" t="str">
        <f>IFERROR(VLOOKUP(B:B,'0.39'!B:F,5,FALSE),"")</f>
        <v/>
      </c>
      <c r="B167" s="1360" t="str">
        <f>PACKING!U104</f>
        <v/>
      </c>
      <c r="C167" s="1283" t="str">
        <f>IFERROR((VLOOKUP(B:B,'0.39'!B:F,4,FALSE)),"")</f>
        <v/>
      </c>
      <c r="D167" s="1331" t="str">
        <f>PACKING!V74</f>
        <v/>
      </c>
      <c r="E167" s="1337" t="s">
        <v>2747</v>
      </c>
      <c r="F167" s="1282"/>
      <c r="G167" s="1281"/>
    </row>
    <row r="168" spans="1:7" ht="52.9" customHeight="1">
      <c r="A168" s="1284" t="str">
        <f>IFERROR(VLOOKUP(B:B,'0.39'!B:F,5,FALSE),"")</f>
        <v/>
      </c>
      <c r="B168" s="1360" t="str">
        <f>PACKING!U105</f>
        <v/>
      </c>
      <c r="C168" s="1283" t="str">
        <f>IFERROR((VLOOKUP(B:B,'0.39'!B:F,4,FALSE)),"")</f>
        <v/>
      </c>
      <c r="D168" s="1331" t="str">
        <f>PACKING!V75</f>
        <v/>
      </c>
      <c r="E168" s="1337" t="s">
        <v>2747</v>
      </c>
      <c r="F168" s="1285"/>
      <c r="G168" s="1281"/>
    </row>
    <row r="169" spans="1:7" ht="52.9" customHeight="1">
      <c r="A169" s="1284" t="str">
        <f>IFERROR(VLOOKUP(B:B,'0.39'!B:F,5,FALSE),"")</f>
        <v/>
      </c>
      <c r="B169" s="1360" t="str">
        <f>PACKING!U106</f>
        <v/>
      </c>
      <c r="C169" s="1283" t="str">
        <f>IFERROR((VLOOKUP(B:B,'0.39'!B:F,4,FALSE)),"")</f>
        <v/>
      </c>
      <c r="D169" s="1331" t="str">
        <f>PACKING!V76</f>
        <v/>
      </c>
      <c r="E169" s="1337" t="s">
        <v>2747</v>
      </c>
      <c r="F169" s="1282"/>
      <c r="G169" s="1281"/>
    </row>
    <row r="170" spans="1:7" ht="52.9" customHeight="1">
      <c r="A170" s="1284" t="str">
        <f>IFERROR(VLOOKUP(B:B,'0.39'!B:F,5,FALSE),"")</f>
        <v/>
      </c>
      <c r="B170" s="1360" t="str">
        <f>PACKING!U107</f>
        <v/>
      </c>
      <c r="C170" s="1283" t="str">
        <f>IFERROR((VLOOKUP(B:B,'0.39'!B:F,4,FALSE)),"")</f>
        <v/>
      </c>
      <c r="D170" s="1331" t="str">
        <f>PACKING!V77</f>
        <v/>
      </c>
      <c r="E170" s="1337" t="s">
        <v>2747</v>
      </c>
      <c r="F170" s="1282"/>
      <c r="G170" s="1281"/>
    </row>
    <row r="171" spans="1:7" ht="79.150000000000006" customHeight="1" thickBot="1">
      <c r="A171" s="1692" t="s">
        <v>204</v>
      </c>
      <c r="B171" s="1693"/>
      <c r="C171" s="1693"/>
      <c r="D171" s="1280">
        <f>SUM(D160:D170)</f>
        <v>0</v>
      </c>
      <c r="E171" s="1336" t="s">
        <v>2747</v>
      </c>
      <c r="F171" s="1279" t="s">
        <v>2746</v>
      </c>
      <c r="G171" s="1278" t="s">
        <v>2746</v>
      </c>
    </row>
    <row r="172" spans="1:7" ht="35.25" thickBot="1">
      <c r="A172" s="1302"/>
      <c r="B172" s="1361"/>
      <c r="C172" s="1302"/>
      <c r="D172" s="1303"/>
      <c r="E172" s="1302"/>
      <c r="F172" s="1301"/>
      <c r="G172" s="1301"/>
    </row>
    <row r="173" spans="1:7" ht="75.599999999999994" customHeight="1" thickBot="1">
      <c r="A173" s="1300"/>
      <c r="B173" s="1299" t="str">
        <f>BASIC_TOOL!$B$6</f>
        <v>A Project</v>
      </c>
      <c r="C173" s="1304" t="s">
        <v>2756</v>
      </c>
      <c r="D173" s="1297" t="e">
        <f ca="1">_xlfn.IFS(PACKING!X65="M", "1X1.5M",PACKING!X65="L", "1X2M",PACKING!X65="S", "1X1M")</f>
        <v>#NAME?</v>
      </c>
      <c r="E173" s="1296">
        <f>PACKING!X94</f>
        <v>11</v>
      </c>
      <c r="F173" s="1295" t="s">
        <v>2755</v>
      </c>
      <c r="G173" s="1294">
        <f>PACKING!$C$93</f>
        <v>2</v>
      </c>
    </row>
    <row r="174" spans="1:7" ht="87.6" customHeight="1">
      <c r="A174" s="1290" t="s">
        <v>2754</v>
      </c>
      <c r="B174" s="1290" t="str">
        <f>BASIC_TOOL!$B$7</f>
        <v>DAMMAM, KSA</v>
      </c>
      <c r="C174" s="1293" t="str">
        <f>BASIC_TOOL!$C$14</f>
        <v>Non-Insulated</v>
      </c>
      <c r="D174" s="1694" t="str">
        <f>'PRINTOUT(BOM)'!A96</f>
        <v>▣ Size : 10mW x (5)mL x3mH =150 [TON]/ 1[SET]</v>
      </c>
      <c r="E174" s="1695"/>
      <c r="F174" s="1695"/>
      <c r="G174" s="1696"/>
    </row>
    <row r="175" spans="1:7" ht="63.6" customHeight="1">
      <c r="A175" s="1290" t="s">
        <v>2753</v>
      </c>
      <c r="B175" s="1292">
        <f>BASIC_TOOL!$F$7</f>
        <v>44343</v>
      </c>
      <c r="C175" s="1291" t="s">
        <v>2752</v>
      </c>
      <c r="D175" s="1691" t="str">
        <f>BASIC_TOOL!$D$6</f>
        <v>ABC</v>
      </c>
      <c r="E175" s="1691"/>
      <c r="F175" s="1691" t="s">
        <v>2751</v>
      </c>
      <c r="G175" s="1697"/>
    </row>
    <row r="176" spans="1:7" ht="60">
      <c r="A176" s="1290" t="s">
        <v>176</v>
      </c>
      <c r="B176" s="1359" t="s">
        <v>177</v>
      </c>
      <c r="C176" s="1335" t="s">
        <v>2750</v>
      </c>
      <c r="D176" s="1691" t="s">
        <v>239</v>
      </c>
      <c r="E176" s="1691"/>
      <c r="F176" s="1288" t="s">
        <v>2749</v>
      </c>
      <c r="G176" s="1287" t="s">
        <v>2748</v>
      </c>
    </row>
    <row r="177" spans="1:7" ht="52.9" customHeight="1">
      <c r="A177" s="1284" t="str">
        <f>IFERROR(VLOOKUP(B:B,'0.39'!B:F,5,FALSE),"")</f>
        <v/>
      </c>
      <c r="B177" s="1360" t="str">
        <f>PACKING!W97</f>
        <v/>
      </c>
      <c r="C177" s="1283" t="str">
        <f>IFERROR((VLOOKUP(B:B,'0.39'!B:F,4,FALSE)),"")</f>
        <v/>
      </c>
      <c r="D177" s="1331" t="str">
        <f>PACKING!X67</f>
        <v/>
      </c>
      <c r="E177" s="1286" t="s">
        <v>2747</v>
      </c>
      <c r="F177" s="1285"/>
      <c r="G177" s="1281"/>
    </row>
    <row r="178" spans="1:7" ht="52.9" customHeight="1">
      <c r="A178" s="1284" t="str">
        <f>IFERROR(VLOOKUP(B:B,'0.39'!B:F,5,FALSE),"")</f>
        <v/>
      </c>
      <c r="B178" s="1360" t="str">
        <f>PACKING!W98</f>
        <v/>
      </c>
      <c r="C178" s="1283" t="str">
        <f>IFERROR((VLOOKUP(B:B,'0.39'!B:F,4,FALSE)),"")</f>
        <v/>
      </c>
      <c r="D178" s="1331" t="str">
        <f>PACKING!X68</f>
        <v/>
      </c>
      <c r="E178" s="1337" t="s">
        <v>2747</v>
      </c>
      <c r="F178" s="1285"/>
      <c r="G178" s="1281"/>
    </row>
    <row r="179" spans="1:7" ht="52.9" customHeight="1">
      <c r="A179" s="1284" t="str">
        <f>IFERROR(VLOOKUP(B:B,'0.39'!B:F,5,FALSE),"")</f>
        <v/>
      </c>
      <c r="B179" s="1360" t="str">
        <f>PACKING!W99</f>
        <v/>
      </c>
      <c r="C179" s="1283" t="str">
        <f>IFERROR((VLOOKUP(B:B,'0.39'!B:F,4,FALSE)),"")</f>
        <v/>
      </c>
      <c r="D179" s="1331" t="str">
        <f>PACKING!X69</f>
        <v/>
      </c>
      <c r="E179" s="1286" t="s">
        <v>2747</v>
      </c>
      <c r="F179" s="1285"/>
      <c r="G179" s="1281"/>
    </row>
    <row r="180" spans="1:7" ht="52.9" customHeight="1">
      <c r="A180" s="1284" t="str">
        <f>IFERROR(VLOOKUP(B:B,'0.39'!B:F,5,FALSE),"")</f>
        <v/>
      </c>
      <c r="B180" s="1360" t="str">
        <f>PACKING!W100</f>
        <v/>
      </c>
      <c r="C180" s="1283" t="str">
        <f>IFERROR((VLOOKUP(B:B,'0.39'!B:F,4,FALSE)),"")</f>
        <v/>
      </c>
      <c r="D180" s="1331" t="str">
        <f>PACKING!X70</f>
        <v/>
      </c>
      <c r="E180" s="1286" t="s">
        <v>2747</v>
      </c>
      <c r="F180" s="1282"/>
      <c r="G180" s="1281"/>
    </row>
    <row r="181" spans="1:7" ht="52.9" customHeight="1">
      <c r="A181" s="1284" t="str">
        <f>IFERROR(VLOOKUP(B:B,'0.39'!B:F,5,FALSE),"")</f>
        <v/>
      </c>
      <c r="B181" s="1360" t="str">
        <f>PACKING!W101</f>
        <v/>
      </c>
      <c r="C181" s="1283" t="str">
        <f>IFERROR((VLOOKUP(B:B,'0.39'!B:F,4,FALSE)),"")</f>
        <v/>
      </c>
      <c r="D181" s="1331" t="str">
        <f>PACKING!X71</f>
        <v/>
      </c>
      <c r="E181" s="1286" t="s">
        <v>2747</v>
      </c>
      <c r="F181" s="1282"/>
      <c r="G181" s="1281"/>
    </row>
    <row r="182" spans="1:7" ht="52.9" customHeight="1">
      <c r="A182" s="1284" t="str">
        <f>IFERROR(VLOOKUP(B:B,'0.39'!B:F,5,FALSE),"")</f>
        <v/>
      </c>
      <c r="B182" s="1360" t="str">
        <f>PACKING!W102</f>
        <v/>
      </c>
      <c r="C182" s="1283" t="str">
        <f>IFERROR((VLOOKUP(B:B,'0.39'!B:F,4,FALSE)),"")</f>
        <v/>
      </c>
      <c r="D182" s="1331" t="str">
        <f>PACKING!X72</f>
        <v/>
      </c>
      <c r="E182" s="1337" t="s">
        <v>2747</v>
      </c>
      <c r="F182" s="1282"/>
      <c r="G182" s="1281"/>
    </row>
    <row r="183" spans="1:7" ht="52.9" customHeight="1">
      <c r="A183" s="1284" t="str">
        <f>IFERROR(VLOOKUP(B:B,'0.39'!B:F,5,FALSE),"")</f>
        <v/>
      </c>
      <c r="B183" s="1360" t="str">
        <f>PACKING!W103</f>
        <v/>
      </c>
      <c r="C183" s="1283" t="str">
        <f>IFERROR((VLOOKUP(B:B,'0.39'!B:F,4,FALSE)),"")</f>
        <v/>
      </c>
      <c r="D183" s="1331" t="str">
        <f>PACKING!X73</f>
        <v/>
      </c>
      <c r="E183" s="1337" t="s">
        <v>2747</v>
      </c>
      <c r="F183" s="1282"/>
      <c r="G183" s="1281"/>
    </row>
    <row r="184" spans="1:7" ht="52.9" customHeight="1">
      <c r="A184" s="1284" t="str">
        <f>IFERROR(VLOOKUP(B:B,'0.39'!B:F,5,FALSE),"")</f>
        <v/>
      </c>
      <c r="B184" s="1360" t="str">
        <f>PACKING!W104</f>
        <v/>
      </c>
      <c r="C184" s="1283" t="str">
        <f>IFERROR((VLOOKUP(B:B,'0.39'!B:F,4,FALSE)),"")</f>
        <v/>
      </c>
      <c r="D184" s="1331" t="str">
        <f>PACKING!X74</f>
        <v/>
      </c>
      <c r="E184" s="1337" t="s">
        <v>2747</v>
      </c>
      <c r="F184" s="1282"/>
      <c r="G184" s="1281"/>
    </row>
    <row r="185" spans="1:7" ht="52.9" customHeight="1">
      <c r="A185" s="1284" t="str">
        <f>IFERROR(VLOOKUP(B:B,'0.39'!B:F,5,FALSE),"")</f>
        <v/>
      </c>
      <c r="B185" s="1360" t="str">
        <f>PACKING!W105</f>
        <v/>
      </c>
      <c r="C185" s="1283" t="str">
        <f>IFERROR((VLOOKUP(B:B,'0.39'!B:F,4,FALSE)),"")</f>
        <v/>
      </c>
      <c r="D185" s="1331" t="str">
        <f>PACKING!X75</f>
        <v/>
      </c>
      <c r="E185" s="1337" t="s">
        <v>2747</v>
      </c>
      <c r="F185" s="1285"/>
      <c r="G185" s="1281"/>
    </row>
    <row r="186" spans="1:7" ht="52.9" customHeight="1">
      <c r="A186" s="1284" t="str">
        <f>IFERROR(VLOOKUP(B:B,'0.39'!B:F,5,FALSE),"")</f>
        <v/>
      </c>
      <c r="B186" s="1360" t="str">
        <f>PACKING!W106</f>
        <v/>
      </c>
      <c r="C186" s="1283" t="str">
        <f>IFERROR((VLOOKUP(B:B,'0.39'!B:F,4,FALSE)),"")</f>
        <v/>
      </c>
      <c r="D186" s="1331" t="str">
        <f>PACKING!X76</f>
        <v/>
      </c>
      <c r="E186" s="1337" t="s">
        <v>2747</v>
      </c>
      <c r="F186" s="1282"/>
      <c r="G186" s="1281"/>
    </row>
    <row r="187" spans="1:7" ht="52.9" customHeight="1">
      <c r="A187" s="1284" t="str">
        <f>IFERROR(VLOOKUP(B:B,'0.39'!B:F,5,FALSE),"")</f>
        <v/>
      </c>
      <c r="B187" s="1360" t="str">
        <f>PACKING!W107</f>
        <v/>
      </c>
      <c r="C187" s="1283" t="str">
        <f>IFERROR((VLOOKUP(B:B,'0.39'!B:F,4,FALSE)),"")</f>
        <v/>
      </c>
      <c r="D187" s="1331" t="str">
        <f>PACKING!X77</f>
        <v/>
      </c>
      <c r="E187" s="1337" t="s">
        <v>2747</v>
      </c>
      <c r="F187" s="1282"/>
      <c r="G187" s="1281"/>
    </row>
    <row r="188" spans="1:7" ht="79.150000000000006" customHeight="1" thickBot="1">
      <c r="A188" s="1692" t="s">
        <v>204</v>
      </c>
      <c r="B188" s="1693"/>
      <c r="C188" s="1693"/>
      <c r="D188" s="1280">
        <f>SUM(D177:D187)</f>
        <v>0</v>
      </c>
      <c r="E188" s="1336" t="s">
        <v>2747</v>
      </c>
      <c r="F188" s="1279" t="s">
        <v>2746</v>
      </c>
      <c r="G188" s="1278" t="s">
        <v>2746</v>
      </c>
    </row>
    <row r="189" spans="1:7" ht="35.25" thickBot="1">
      <c r="A189" s="1302"/>
      <c r="B189" s="1361"/>
      <c r="C189" s="1302"/>
      <c r="D189" s="1303"/>
      <c r="E189" s="1302"/>
      <c r="F189" s="1301"/>
      <c r="G189" s="1301"/>
    </row>
    <row r="190" spans="1:7" ht="75.599999999999994" customHeight="1" thickBot="1">
      <c r="A190" s="1300"/>
      <c r="B190" s="1299" t="str">
        <f>BASIC_TOOL!$B$6</f>
        <v>A Project</v>
      </c>
      <c r="C190" s="1304" t="s">
        <v>2756</v>
      </c>
      <c r="D190" s="1297" t="e">
        <f ca="1">_xlfn.IFS(PACKING!Z65="M", "1X1.5M",PACKING!Z65="L", "1X2M",PACKING!Z65="S", "1X1M")</f>
        <v>#NAME?</v>
      </c>
      <c r="E190" s="1296">
        <f>PACKING!Z94</f>
        <v>12</v>
      </c>
      <c r="F190" s="1295" t="s">
        <v>2755</v>
      </c>
      <c r="G190" s="1294">
        <f>PACKING!$C$93</f>
        <v>2</v>
      </c>
    </row>
    <row r="191" spans="1:7" ht="87.6" customHeight="1">
      <c r="A191" s="1290" t="s">
        <v>2754</v>
      </c>
      <c r="B191" s="1290" t="str">
        <f>BASIC_TOOL!$B$7</f>
        <v>DAMMAM, KSA</v>
      </c>
      <c r="C191" s="1293" t="str">
        <f>BASIC_TOOL!$C$14</f>
        <v>Non-Insulated</v>
      </c>
      <c r="D191" s="1694" t="str">
        <f>'PRINTOUT(BOM)'!A96</f>
        <v>▣ Size : 10mW x (5)mL x3mH =150 [TON]/ 1[SET]</v>
      </c>
      <c r="E191" s="1695"/>
      <c r="F191" s="1695"/>
      <c r="G191" s="1696"/>
    </row>
    <row r="192" spans="1:7" ht="63.6" customHeight="1">
      <c r="A192" s="1290" t="s">
        <v>2753</v>
      </c>
      <c r="B192" s="1292">
        <f>BASIC_TOOL!$F$7</f>
        <v>44343</v>
      </c>
      <c r="C192" s="1291" t="s">
        <v>2752</v>
      </c>
      <c r="D192" s="1691" t="str">
        <f>BASIC_TOOL!$D$6</f>
        <v>ABC</v>
      </c>
      <c r="E192" s="1691"/>
      <c r="F192" s="1691" t="s">
        <v>2751</v>
      </c>
      <c r="G192" s="1697"/>
    </row>
    <row r="193" spans="1:7" ht="60">
      <c r="A193" s="1290" t="s">
        <v>176</v>
      </c>
      <c r="B193" s="1359" t="s">
        <v>177</v>
      </c>
      <c r="C193" s="1335" t="s">
        <v>2750</v>
      </c>
      <c r="D193" s="1691" t="s">
        <v>239</v>
      </c>
      <c r="E193" s="1691"/>
      <c r="F193" s="1288" t="s">
        <v>2749</v>
      </c>
      <c r="G193" s="1287" t="s">
        <v>2748</v>
      </c>
    </row>
    <row r="194" spans="1:7" ht="52.9" customHeight="1">
      <c r="A194" s="1284" t="str">
        <f>IFERROR(VLOOKUP(B:B,'0.39'!B:F,5,FALSE),"")</f>
        <v/>
      </c>
      <c r="B194" s="1360" t="str">
        <f>PACKING!Y97</f>
        <v/>
      </c>
      <c r="C194" s="1283" t="str">
        <f>IFERROR((VLOOKUP(B:B,'0.39'!B:F,4,FALSE)),"")</f>
        <v/>
      </c>
      <c r="D194" s="1331" t="str">
        <f>PACKING!Z67</f>
        <v/>
      </c>
      <c r="E194" s="1286" t="s">
        <v>2747</v>
      </c>
      <c r="F194" s="1285"/>
      <c r="G194" s="1281"/>
    </row>
    <row r="195" spans="1:7" ht="52.9" customHeight="1">
      <c r="A195" s="1284" t="str">
        <f>IFERROR(VLOOKUP(B:B,'0.39'!B:F,5,FALSE),"")</f>
        <v/>
      </c>
      <c r="B195" s="1360" t="str">
        <f>PACKING!Y98</f>
        <v/>
      </c>
      <c r="C195" s="1283" t="str">
        <f>IFERROR((VLOOKUP(B:B,'0.39'!B:F,4,FALSE)),"")</f>
        <v/>
      </c>
      <c r="D195" s="1331" t="str">
        <f>PACKING!Z68</f>
        <v/>
      </c>
      <c r="E195" s="1337" t="s">
        <v>2747</v>
      </c>
      <c r="F195" s="1285"/>
      <c r="G195" s="1281"/>
    </row>
    <row r="196" spans="1:7" ht="52.9" customHeight="1">
      <c r="A196" s="1284" t="str">
        <f>IFERROR(VLOOKUP(B:B,'0.39'!B:F,5,FALSE),"")</f>
        <v/>
      </c>
      <c r="B196" s="1360" t="str">
        <f>PACKING!Y99</f>
        <v/>
      </c>
      <c r="C196" s="1283" t="str">
        <f>IFERROR((VLOOKUP(B:B,'0.39'!B:F,4,FALSE)),"")</f>
        <v/>
      </c>
      <c r="D196" s="1331" t="str">
        <f>PACKING!Z69</f>
        <v/>
      </c>
      <c r="E196" s="1286" t="s">
        <v>2747</v>
      </c>
      <c r="F196" s="1285"/>
      <c r="G196" s="1281"/>
    </row>
    <row r="197" spans="1:7" ht="52.9" customHeight="1">
      <c r="A197" s="1284" t="str">
        <f>IFERROR(VLOOKUP(B:B,'0.39'!B:F,5,FALSE),"")</f>
        <v/>
      </c>
      <c r="B197" s="1360" t="str">
        <f>PACKING!Y100</f>
        <v/>
      </c>
      <c r="C197" s="1283" t="str">
        <f>IFERROR((VLOOKUP(B:B,'0.39'!B:F,4,FALSE)),"")</f>
        <v/>
      </c>
      <c r="D197" s="1331" t="str">
        <f>PACKING!Z70</f>
        <v/>
      </c>
      <c r="E197" s="1286" t="s">
        <v>2747</v>
      </c>
      <c r="F197" s="1282"/>
      <c r="G197" s="1281"/>
    </row>
    <row r="198" spans="1:7" ht="52.9" customHeight="1">
      <c r="A198" s="1284" t="str">
        <f>IFERROR(VLOOKUP(B:B,'0.39'!B:F,5,FALSE),"")</f>
        <v/>
      </c>
      <c r="B198" s="1360" t="str">
        <f>PACKING!Y101</f>
        <v/>
      </c>
      <c r="C198" s="1283" t="str">
        <f>IFERROR((VLOOKUP(B:B,'0.39'!B:F,4,FALSE)),"")</f>
        <v/>
      </c>
      <c r="D198" s="1331" t="str">
        <f>PACKING!Z71</f>
        <v/>
      </c>
      <c r="E198" s="1286" t="s">
        <v>2747</v>
      </c>
      <c r="F198" s="1282"/>
      <c r="G198" s="1281"/>
    </row>
    <row r="199" spans="1:7" ht="52.9" customHeight="1">
      <c r="A199" s="1284" t="str">
        <f>IFERROR(VLOOKUP(B:B,'0.39'!B:F,5,FALSE),"")</f>
        <v/>
      </c>
      <c r="B199" s="1360" t="str">
        <f>PACKING!Y102</f>
        <v/>
      </c>
      <c r="C199" s="1283" t="str">
        <f>IFERROR((VLOOKUP(B:B,'0.39'!B:F,4,FALSE)),"")</f>
        <v/>
      </c>
      <c r="D199" s="1331" t="str">
        <f>PACKING!Z72</f>
        <v/>
      </c>
      <c r="E199" s="1337" t="s">
        <v>2747</v>
      </c>
      <c r="F199" s="1282"/>
      <c r="G199" s="1281"/>
    </row>
    <row r="200" spans="1:7" ht="52.9" customHeight="1">
      <c r="A200" s="1284" t="str">
        <f>IFERROR(VLOOKUP(B:B,'0.39'!B:F,5,FALSE),"")</f>
        <v/>
      </c>
      <c r="B200" s="1360" t="str">
        <f>PACKING!Y103</f>
        <v/>
      </c>
      <c r="C200" s="1283" t="str">
        <f>IFERROR((VLOOKUP(B:B,'0.39'!B:F,4,FALSE)),"")</f>
        <v/>
      </c>
      <c r="D200" s="1331" t="str">
        <f>PACKING!Z73</f>
        <v/>
      </c>
      <c r="E200" s="1337" t="s">
        <v>2747</v>
      </c>
      <c r="F200" s="1282"/>
      <c r="G200" s="1281"/>
    </row>
    <row r="201" spans="1:7" ht="52.9" customHeight="1">
      <c r="A201" s="1284" t="str">
        <f>IFERROR(VLOOKUP(B:B,'0.39'!B:F,5,FALSE),"")</f>
        <v/>
      </c>
      <c r="B201" s="1360" t="str">
        <f>PACKING!Y104</f>
        <v/>
      </c>
      <c r="C201" s="1283" t="str">
        <f>IFERROR((VLOOKUP(B:B,'0.39'!B:F,4,FALSE)),"")</f>
        <v/>
      </c>
      <c r="D201" s="1331" t="str">
        <f>PACKING!Z74</f>
        <v/>
      </c>
      <c r="E201" s="1337" t="s">
        <v>2747</v>
      </c>
      <c r="F201" s="1282"/>
      <c r="G201" s="1281"/>
    </row>
    <row r="202" spans="1:7" ht="52.9" customHeight="1">
      <c r="A202" s="1284" t="str">
        <f>IFERROR(VLOOKUP(B:B,'0.39'!B:F,5,FALSE),"")</f>
        <v/>
      </c>
      <c r="B202" s="1360" t="str">
        <f>PACKING!Y105</f>
        <v/>
      </c>
      <c r="C202" s="1283" t="str">
        <f>IFERROR((VLOOKUP(B:B,'0.39'!B:F,4,FALSE)),"")</f>
        <v/>
      </c>
      <c r="D202" s="1331" t="str">
        <f>PACKING!Z75</f>
        <v/>
      </c>
      <c r="E202" s="1337" t="s">
        <v>2747</v>
      </c>
      <c r="F202" s="1285"/>
      <c r="G202" s="1281"/>
    </row>
    <row r="203" spans="1:7" ht="52.9" customHeight="1">
      <c r="A203" s="1284" t="str">
        <f>IFERROR(VLOOKUP(B:B,'0.39'!B:F,5,FALSE),"")</f>
        <v/>
      </c>
      <c r="B203" s="1360" t="str">
        <f>PACKING!Y106</f>
        <v/>
      </c>
      <c r="C203" s="1283" t="str">
        <f>IFERROR((VLOOKUP(B:B,'0.39'!B:F,4,FALSE)),"")</f>
        <v/>
      </c>
      <c r="D203" s="1331" t="str">
        <f>PACKING!Z76</f>
        <v/>
      </c>
      <c r="E203" s="1337" t="s">
        <v>2747</v>
      </c>
      <c r="F203" s="1282"/>
      <c r="G203" s="1281"/>
    </row>
    <row r="204" spans="1:7" ht="52.9" customHeight="1">
      <c r="A204" s="1284" t="str">
        <f>IFERROR(VLOOKUP(B:B,'0.39'!B:F,5,FALSE),"")</f>
        <v/>
      </c>
      <c r="B204" s="1360" t="str">
        <f>PACKING!Y107</f>
        <v/>
      </c>
      <c r="C204" s="1283" t="str">
        <f>IFERROR((VLOOKUP(B:B,'0.39'!B:F,4,FALSE)),"")</f>
        <v/>
      </c>
      <c r="D204" s="1331" t="str">
        <f>PACKING!Z77</f>
        <v/>
      </c>
      <c r="E204" s="1337" t="s">
        <v>2747</v>
      </c>
      <c r="F204" s="1282"/>
      <c r="G204" s="1281"/>
    </row>
    <row r="205" spans="1:7" ht="79.150000000000006" customHeight="1" thickBot="1">
      <c r="A205" s="1692" t="s">
        <v>204</v>
      </c>
      <c r="B205" s="1693"/>
      <c r="C205" s="1693"/>
      <c r="D205" s="1280">
        <f>SUM(D194:D204)</f>
        <v>0</v>
      </c>
      <c r="E205" s="1336" t="s">
        <v>2747</v>
      </c>
      <c r="F205" s="1279" t="s">
        <v>2746</v>
      </c>
      <c r="G205" s="1278" t="s">
        <v>2746</v>
      </c>
    </row>
    <row r="206" spans="1:7" ht="34.15" customHeight="1" thickBot="1">
      <c r="A206" s="133"/>
      <c r="B206" s="1358"/>
      <c r="C206" s="133"/>
      <c r="D206" s="133"/>
      <c r="E206" s="133"/>
      <c r="F206" s="133"/>
      <c r="G206" s="133"/>
    </row>
    <row r="207" spans="1:7" ht="75" customHeight="1" thickBot="1">
      <c r="A207" s="1300"/>
      <c r="B207" s="1299" t="str">
        <f>BASIC_TOOL!$B$6</f>
        <v>A Project</v>
      </c>
      <c r="C207" s="1304" t="s">
        <v>2756</v>
      </c>
      <c r="D207" s="1309" t="e">
        <f ca="1">_xlfn.IFS(PACKING!AB65="M", "1X1.5M",PACKING!AB65="L", "1X2M",PACKING!AB65="S", "1X1M")</f>
        <v>#NAME?</v>
      </c>
      <c r="E207" s="1296">
        <f>PACKING!AB94</f>
        <v>13</v>
      </c>
      <c r="F207" s="1295" t="s">
        <v>2755</v>
      </c>
      <c r="G207" s="1294">
        <f>PACKING!$C$93</f>
        <v>2</v>
      </c>
    </row>
    <row r="208" spans="1:7" ht="80.45" customHeight="1">
      <c r="A208" s="1290" t="s">
        <v>2754</v>
      </c>
      <c r="B208" s="1290" t="str">
        <f>BASIC_TOOL!$B$7</f>
        <v>DAMMAM, KSA</v>
      </c>
      <c r="C208" s="1293" t="str">
        <f>BASIC_TOOL!$C$14</f>
        <v>Non-Insulated</v>
      </c>
      <c r="D208" s="1694" t="str">
        <f>'PRINTOUT(BOM)'!A96</f>
        <v>▣ Size : 10mW x (5)mL x3mH =150 [TON]/ 1[SET]</v>
      </c>
      <c r="E208" s="1695"/>
      <c r="F208" s="1695"/>
      <c r="G208" s="1696"/>
    </row>
    <row r="209" spans="1:7" ht="52.15" customHeight="1">
      <c r="A209" s="1290" t="s">
        <v>2753</v>
      </c>
      <c r="B209" s="1292">
        <f>BASIC_TOOL!$F$7</f>
        <v>44343</v>
      </c>
      <c r="C209" s="1291" t="s">
        <v>2752</v>
      </c>
      <c r="D209" s="1691" t="str">
        <f>BASIC_TOOL!$D$6</f>
        <v>ABC</v>
      </c>
      <c r="E209" s="1691"/>
      <c r="F209" s="1691" t="s">
        <v>2751</v>
      </c>
      <c r="G209" s="1697"/>
    </row>
    <row r="210" spans="1:7" ht="61.15" customHeight="1">
      <c r="A210" s="1290" t="s">
        <v>176</v>
      </c>
      <c r="B210" s="1359" t="s">
        <v>177</v>
      </c>
      <c r="C210" s="1335" t="s">
        <v>2750</v>
      </c>
      <c r="D210" s="1691" t="s">
        <v>239</v>
      </c>
      <c r="E210" s="1691"/>
      <c r="F210" s="1288" t="s">
        <v>2749</v>
      </c>
      <c r="G210" s="1287" t="s">
        <v>2748</v>
      </c>
    </row>
    <row r="211" spans="1:7" ht="53.45" customHeight="1">
      <c r="A211" s="1284" t="str">
        <f>IFERROR(VLOOKUP(B:B,'0.39'!B:F,5,FALSE),"")</f>
        <v/>
      </c>
      <c r="B211" s="1360" t="str">
        <f>PACKING!AA97</f>
        <v/>
      </c>
      <c r="C211" s="1283" t="str">
        <f>IFERROR((VLOOKUP(B:B,'0.39'!B:F,4,FALSE)),"")</f>
        <v/>
      </c>
      <c r="D211" s="1331" t="str">
        <f>PACKING!AB67</f>
        <v/>
      </c>
      <c r="E211" s="1286" t="s">
        <v>2747</v>
      </c>
      <c r="F211" s="1285"/>
      <c r="G211" s="1281"/>
    </row>
    <row r="212" spans="1:7" ht="53.45" customHeight="1">
      <c r="A212" s="1284" t="str">
        <f>IFERROR(VLOOKUP(B:B,'0.39'!B:F,5,FALSE),"")</f>
        <v/>
      </c>
      <c r="B212" s="1360" t="str">
        <f>PACKING!AA98</f>
        <v/>
      </c>
      <c r="C212" s="1283" t="str">
        <f>IFERROR((VLOOKUP(B:B,'0.39'!B:F,4,FALSE)),"")</f>
        <v/>
      </c>
      <c r="D212" s="1331" t="str">
        <f>PACKING!AB68</f>
        <v/>
      </c>
      <c r="E212" s="1337" t="s">
        <v>2747</v>
      </c>
      <c r="F212" s="1285"/>
      <c r="G212" s="1281"/>
    </row>
    <row r="213" spans="1:7" ht="53.45" customHeight="1">
      <c r="A213" s="1284" t="str">
        <f>IFERROR(VLOOKUP(B:B,'0.39'!B:F,5,FALSE),"")</f>
        <v/>
      </c>
      <c r="B213" s="1360" t="str">
        <f>PACKING!AA99</f>
        <v/>
      </c>
      <c r="C213" s="1283" t="str">
        <f>IFERROR((VLOOKUP(B:B,'0.39'!B:F,4,FALSE)),"")</f>
        <v/>
      </c>
      <c r="D213" s="1331" t="str">
        <f>PACKING!AB69</f>
        <v/>
      </c>
      <c r="E213" s="1286" t="s">
        <v>2747</v>
      </c>
      <c r="F213" s="1285"/>
      <c r="G213" s="1281"/>
    </row>
    <row r="214" spans="1:7" ht="53.45" customHeight="1">
      <c r="A214" s="1284" t="str">
        <f>IFERROR(VLOOKUP(B:B,'0.39'!B:F,5,FALSE),"")</f>
        <v/>
      </c>
      <c r="B214" s="1360" t="str">
        <f>PACKING!AA100</f>
        <v/>
      </c>
      <c r="C214" s="1283" t="str">
        <f>IFERROR((VLOOKUP(B:B,'0.39'!B:F,4,FALSE)),"")</f>
        <v/>
      </c>
      <c r="D214" s="1331" t="str">
        <f>PACKING!AB70</f>
        <v/>
      </c>
      <c r="E214" s="1286" t="s">
        <v>2747</v>
      </c>
      <c r="F214" s="1282"/>
      <c r="G214" s="1281"/>
    </row>
    <row r="215" spans="1:7" ht="53.45" customHeight="1">
      <c r="A215" s="1284" t="str">
        <f>IFERROR(VLOOKUP(B:B,'0.39'!B:F,5,FALSE),"")</f>
        <v/>
      </c>
      <c r="B215" s="1360" t="str">
        <f>PACKING!AA101</f>
        <v/>
      </c>
      <c r="C215" s="1283" t="str">
        <f>IFERROR((VLOOKUP(B:B,'0.39'!B:F,4,FALSE)),"")</f>
        <v/>
      </c>
      <c r="D215" s="1331" t="str">
        <f>PACKING!AB71</f>
        <v/>
      </c>
      <c r="E215" s="1286" t="s">
        <v>2747</v>
      </c>
      <c r="F215" s="1282"/>
      <c r="G215" s="1281"/>
    </row>
    <row r="216" spans="1:7" ht="53.45" customHeight="1">
      <c r="A216" s="1284" t="str">
        <f>IFERROR(VLOOKUP(B:B,'0.39'!B:F,5,FALSE),"")</f>
        <v/>
      </c>
      <c r="B216" s="1360" t="str">
        <f>PACKING!AA102</f>
        <v/>
      </c>
      <c r="C216" s="1283" t="str">
        <f>IFERROR((VLOOKUP(B:B,'0.39'!B:F,4,FALSE)),"")</f>
        <v/>
      </c>
      <c r="D216" s="1331" t="str">
        <f>PACKING!AB72</f>
        <v/>
      </c>
      <c r="E216" s="1337" t="s">
        <v>2747</v>
      </c>
      <c r="F216" s="1282"/>
      <c r="G216" s="1281"/>
    </row>
    <row r="217" spans="1:7" ht="53.45" customHeight="1">
      <c r="A217" s="1284" t="str">
        <f>IFERROR(VLOOKUP(B:B,'0.39'!B:F,5,FALSE),"")</f>
        <v/>
      </c>
      <c r="B217" s="1360" t="str">
        <f>PACKING!AA103</f>
        <v/>
      </c>
      <c r="C217" s="1283" t="str">
        <f>IFERROR((VLOOKUP(B:B,'0.39'!B:F,4,FALSE)),"")</f>
        <v/>
      </c>
      <c r="D217" s="1331" t="str">
        <f>PACKING!AB73</f>
        <v/>
      </c>
      <c r="E217" s="1337" t="s">
        <v>2747</v>
      </c>
      <c r="F217" s="1282"/>
      <c r="G217" s="1281"/>
    </row>
    <row r="218" spans="1:7" ht="53.45" customHeight="1">
      <c r="A218" s="1284" t="str">
        <f>IFERROR(VLOOKUP(B:B,'0.39'!B:F,5,FALSE),"")</f>
        <v/>
      </c>
      <c r="B218" s="1360" t="str">
        <f>PACKING!AA104</f>
        <v/>
      </c>
      <c r="C218" s="1283" t="str">
        <f>IFERROR((VLOOKUP(B:B,'0.39'!B:F,4,FALSE)),"")</f>
        <v/>
      </c>
      <c r="D218" s="1331" t="str">
        <f>PACKING!AB74</f>
        <v/>
      </c>
      <c r="E218" s="1337" t="s">
        <v>2747</v>
      </c>
      <c r="F218" s="1282"/>
      <c r="G218" s="1281"/>
    </row>
    <row r="219" spans="1:7" ht="53.45" customHeight="1">
      <c r="A219" s="1284" t="str">
        <f>IFERROR(VLOOKUP(B:B,'0.39'!B:F,5,FALSE),"")</f>
        <v/>
      </c>
      <c r="B219" s="1360" t="str">
        <f>PACKING!AA105</f>
        <v/>
      </c>
      <c r="C219" s="1283" t="str">
        <f>IFERROR((VLOOKUP(B:B,'0.39'!B:F,4,FALSE)),"")</f>
        <v/>
      </c>
      <c r="D219" s="1331" t="str">
        <f>PACKING!AB75</f>
        <v/>
      </c>
      <c r="E219" s="1337" t="s">
        <v>2747</v>
      </c>
      <c r="F219" s="1285"/>
      <c r="G219" s="1281"/>
    </row>
    <row r="220" spans="1:7" ht="53.45" customHeight="1">
      <c r="A220" s="1284" t="str">
        <f>IFERROR(VLOOKUP(B:B,'0.39'!B:F,5,FALSE),"")</f>
        <v/>
      </c>
      <c r="B220" s="1360" t="str">
        <f>PACKING!AA106</f>
        <v/>
      </c>
      <c r="C220" s="1283" t="str">
        <f>IFERROR((VLOOKUP(B:B,'0.39'!B:F,4,FALSE)),"")</f>
        <v/>
      </c>
      <c r="D220" s="1331" t="str">
        <f>PACKING!AB76</f>
        <v/>
      </c>
      <c r="E220" s="1337" t="s">
        <v>2747</v>
      </c>
      <c r="F220" s="1282"/>
      <c r="G220" s="1281"/>
    </row>
    <row r="221" spans="1:7" ht="53.45" customHeight="1">
      <c r="A221" s="1284" t="str">
        <f>IFERROR(VLOOKUP(B:B,'0.39'!B:F,5,FALSE),"")</f>
        <v/>
      </c>
      <c r="B221" s="1360" t="str">
        <f>PACKING!AA107</f>
        <v/>
      </c>
      <c r="C221" s="1283" t="str">
        <f>IFERROR((VLOOKUP(B:B,'0.39'!B:F,4,FALSE)),"")</f>
        <v/>
      </c>
      <c r="D221" s="1331" t="str">
        <f>PACKING!AB77</f>
        <v/>
      </c>
      <c r="E221" s="1337" t="s">
        <v>2747</v>
      </c>
      <c r="F221" s="1282"/>
      <c r="G221" s="1281"/>
    </row>
    <row r="222" spans="1:7" ht="57.6" customHeight="1" thickBot="1">
      <c r="A222" s="1692" t="s">
        <v>204</v>
      </c>
      <c r="B222" s="1693"/>
      <c r="C222" s="1693"/>
      <c r="D222" s="1280">
        <f>SUM(D211:D221)</f>
        <v>0</v>
      </c>
      <c r="E222" s="1336" t="s">
        <v>2747</v>
      </c>
      <c r="F222" s="1279" t="s">
        <v>2746</v>
      </c>
      <c r="G222" s="1278" t="s">
        <v>2746</v>
      </c>
    </row>
    <row r="223" spans="1:7" ht="35.25" thickBot="1">
      <c r="A223" s="1302"/>
      <c r="B223" s="1361"/>
      <c r="C223" s="1302"/>
      <c r="D223" s="1303"/>
      <c r="E223" s="1302"/>
      <c r="F223" s="1301"/>
      <c r="G223" s="1301"/>
    </row>
    <row r="224" spans="1:7" ht="75.599999999999994" customHeight="1" thickBot="1">
      <c r="A224" s="1300"/>
      <c r="B224" s="1299" t="str">
        <f>BASIC_TOOL!$B$6</f>
        <v>A Project</v>
      </c>
      <c r="C224" s="1304" t="s">
        <v>2756</v>
      </c>
      <c r="D224" s="1297" t="e">
        <f ca="1">_xlfn.IFS(PACKING!AD65="M", "1X1.5M",PACKING!AD65="L", "1X2M",PACKING!AD65="S", "1X1M")</f>
        <v>#NAME?</v>
      </c>
      <c r="E224" s="1296">
        <f>PACKING!AD94</f>
        <v>14</v>
      </c>
      <c r="F224" s="1295" t="s">
        <v>2755</v>
      </c>
      <c r="G224" s="1294">
        <f>PACKING!$C$93</f>
        <v>2</v>
      </c>
    </row>
    <row r="225" spans="1:7" ht="87.6" customHeight="1">
      <c r="A225" s="1290" t="s">
        <v>2754</v>
      </c>
      <c r="B225" s="1290" t="str">
        <f>BASIC_TOOL!$B$7</f>
        <v>DAMMAM, KSA</v>
      </c>
      <c r="C225" s="1293" t="str">
        <f>BASIC_TOOL!$C$14</f>
        <v>Non-Insulated</v>
      </c>
      <c r="D225" s="1694" t="str">
        <f>'PRINTOUT(BOM)'!A96</f>
        <v>▣ Size : 10mW x (5)mL x3mH =150 [TON]/ 1[SET]</v>
      </c>
      <c r="E225" s="1695"/>
      <c r="F225" s="1695"/>
      <c r="G225" s="1696"/>
    </row>
    <row r="226" spans="1:7" ht="63.6" customHeight="1">
      <c r="A226" s="1290" t="s">
        <v>2753</v>
      </c>
      <c r="B226" s="1292">
        <f>BASIC_TOOL!$F$7</f>
        <v>44343</v>
      </c>
      <c r="C226" s="1291" t="s">
        <v>2752</v>
      </c>
      <c r="D226" s="1691" t="str">
        <f>BASIC_TOOL!$D$6</f>
        <v>ABC</v>
      </c>
      <c r="E226" s="1691"/>
      <c r="F226" s="1691" t="s">
        <v>2751</v>
      </c>
      <c r="G226" s="1697"/>
    </row>
    <row r="227" spans="1:7" ht="60">
      <c r="A227" s="1290" t="s">
        <v>176</v>
      </c>
      <c r="B227" s="1359" t="s">
        <v>177</v>
      </c>
      <c r="C227" s="1335" t="s">
        <v>2750</v>
      </c>
      <c r="D227" s="1691" t="s">
        <v>239</v>
      </c>
      <c r="E227" s="1691"/>
      <c r="F227" s="1288" t="s">
        <v>2749</v>
      </c>
      <c r="G227" s="1287" t="s">
        <v>2748</v>
      </c>
    </row>
    <row r="228" spans="1:7" ht="52.9" customHeight="1">
      <c r="A228" s="1284" t="str">
        <f>IFERROR(VLOOKUP(B:B,'0.39'!B:F,5,FALSE),"")</f>
        <v/>
      </c>
      <c r="B228" s="1360" t="str">
        <f>PACKING!AC97</f>
        <v/>
      </c>
      <c r="C228" s="1283" t="str">
        <f>IFERROR((VLOOKUP(B:B,'0.39'!B:F,4,FALSE)),"")</f>
        <v/>
      </c>
      <c r="D228" s="1331" t="str">
        <f>PACKING!AD67</f>
        <v/>
      </c>
      <c r="E228" s="1286" t="s">
        <v>2747</v>
      </c>
      <c r="F228" s="1285"/>
      <c r="G228" s="1281"/>
    </row>
    <row r="229" spans="1:7" ht="52.9" customHeight="1">
      <c r="A229" s="1284" t="str">
        <f>IFERROR(VLOOKUP(B:B,'0.39'!B:F,5,FALSE),"")</f>
        <v/>
      </c>
      <c r="B229" s="1360" t="str">
        <f>PACKING!AC98</f>
        <v/>
      </c>
      <c r="C229" s="1283" t="str">
        <f>IFERROR((VLOOKUP(B:B,'0.39'!B:F,4,FALSE)),"")</f>
        <v/>
      </c>
      <c r="D229" s="1331" t="str">
        <f>PACKING!AD68</f>
        <v/>
      </c>
      <c r="E229" s="1337" t="s">
        <v>2747</v>
      </c>
      <c r="F229" s="1285"/>
      <c r="G229" s="1281"/>
    </row>
    <row r="230" spans="1:7" ht="52.9" customHeight="1">
      <c r="A230" s="1284" t="str">
        <f>IFERROR(VLOOKUP(B:B,'0.39'!B:F,5,FALSE),"")</f>
        <v/>
      </c>
      <c r="B230" s="1360" t="str">
        <f>PACKING!AC99</f>
        <v/>
      </c>
      <c r="C230" s="1283" t="str">
        <f>IFERROR((VLOOKUP(B:B,'0.39'!B:F,4,FALSE)),"")</f>
        <v/>
      </c>
      <c r="D230" s="1331" t="str">
        <f>PACKING!AD69</f>
        <v/>
      </c>
      <c r="E230" s="1286" t="s">
        <v>2747</v>
      </c>
      <c r="F230" s="1285"/>
      <c r="G230" s="1281"/>
    </row>
    <row r="231" spans="1:7" ht="52.9" customHeight="1">
      <c r="A231" s="1284" t="str">
        <f>IFERROR(VLOOKUP(B:B,'0.39'!B:F,5,FALSE),"")</f>
        <v/>
      </c>
      <c r="B231" s="1360" t="str">
        <f>PACKING!AC100</f>
        <v/>
      </c>
      <c r="C231" s="1283" t="str">
        <f>IFERROR((VLOOKUP(B:B,'0.39'!B:F,4,FALSE)),"")</f>
        <v/>
      </c>
      <c r="D231" s="1331" t="str">
        <f>PACKING!AD70</f>
        <v/>
      </c>
      <c r="E231" s="1286" t="s">
        <v>2747</v>
      </c>
      <c r="F231" s="1282"/>
      <c r="G231" s="1281"/>
    </row>
    <row r="232" spans="1:7" ht="52.9" customHeight="1">
      <c r="A232" s="1284" t="str">
        <f>IFERROR(VLOOKUP(B:B,'0.39'!B:F,5,FALSE),"")</f>
        <v/>
      </c>
      <c r="B232" s="1360" t="str">
        <f>PACKING!AC101</f>
        <v/>
      </c>
      <c r="C232" s="1283" t="str">
        <f>IFERROR((VLOOKUP(B:B,'0.39'!B:F,4,FALSE)),"")</f>
        <v/>
      </c>
      <c r="D232" s="1331" t="str">
        <f>PACKING!AD71</f>
        <v/>
      </c>
      <c r="E232" s="1286" t="s">
        <v>2747</v>
      </c>
      <c r="F232" s="1282"/>
      <c r="G232" s="1281"/>
    </row>
    <row r="233" spans="1:7" ht="52.9" customHeight="1">
      <c r="A233" s="1284" t="str">
        <f>IFERROR(VLOOKUP(B:B,'0.39'!B:F,5,FALSE),"")</f>
        <v/>
      </c>
      <c r="B233" s="1360" t="str">
        <f>PACKING!AC102</f>
        <v/>
      </c>
      <c r="C233" s="1283" t="str">
        <f>IFERROR((VLOOKUP(B:B,'0.39'!B:F,4,FALSE)),"")</f>
        <v/>
      </c>
      <c r="D233" s="1331" t="str">
        <f>PACKING!AD72</f>
        <v/>
      </c>
      <c r="E233" s="1337" t="s">
        <v>2747</v>
      </c>
      <c r="F233" s="1282"/>
      <c r="G233" s="1281"/>
    </row>
    <row r="234" spans="1:7" ht="52.9" customHeight="1">
      <c r="A234" s="1284" t="str">
        <f>IFERROR(VLOOKUP(B:B,'0.39'!B:F,5,FALSE),"")</f>
        <v/>
      </c>
      <c r="B234" s="1360" t="str">
        <f>PACKING!AC103</f>
        <v/>
      </c>
      <c r="C234" s="1283" t="str">
        <f>IFERROR((VLOOKUP(B:B,'0.39'!B:F,4,FALSE)),"")</f>
        <v/>
      </c>
      <c r="D234" s="1331" t="str">
        <f>PACKING!AD73</f>
        <v/>
      </c>
      <c r="E234" s="1337" t="s">
        <v>2747</v>
      </c>
      <c r="F234" s="1282"/>
      <c r="G234" s="1281"/>
    </row>
    <row r="235" spans="1:7" ht="52.9" customHeight="1">
      <c r="A235" s="1284" t="str">
        <f>IFERROR(VLOOKUP(B:B,'0.39'!B:F,5,FALSE),"")</f>
        <v/>
      </c>
      <c r="B235" s="1360" t="str">
        <f>PACKING!AC104</f>
        <v/>
      </c>
      <c r="C235" s="1283" t="str">
        <f>IFERROR((VLOOKUP(B:B,'0.39'!B:F,4,FALSE)),"")</f>
        <v/>
      </c>
      <c r="D235" s="1331" t="str">
        <f>PACKING!AD74</f>
        <v/>
      </c>
      <c r="E235" s="1337" t="s">
        <v>2747</v>
      </c>
      <c r="F235" s="1282"/>
      <c r="G235" s="1281"/>
    </row>
    <row r="236" spans="1:7" ht="52.9" customHeight="1">
      <c r="A236" s="1284" t="str">
        <f>IFERROR(VLOOKUP(B:B,'0.39'!B:F,5,FALSE),"")</f>
        <v/>
      </c>
      <c r="B236" s="1360" t="str">
        <f>PACKING!AC105</f>
        <v/>
      </c>
      <c r="C236" s="1283" t="str">
        <f>IFERROR((VLOOKUP(B:B,'0.39'!B:F,4,FALSE)),"")</f>
        <v/>
      </c>
      <c r="D236" s="1331" t="str">
        <f>PACKING!AD75</f>
        <v/>
      </c>
      <c r="E236" s="1337" t="s">
        <v>2747</v>
      </c>
      <c r="F236" s="1285"/>
      <c r="G236" s="1281"/>
    </row>
    <row r="237" spans="1:7" ht="52.9" customHeight="1">
      <c r="A237" s="1284" t="str">
        <f>IFERROR(VLOOKUP(B:B,'0.39'!B:F,5,FALSE),"")</f>
        <v/>
      </c>
      <c r="B237" s="1360" t="str">
        <f>PACKING!AC106</f>
        <v/>
      </c>
      <c r="C237" s="1283" t="str">
        <f>IFERROR((VLOOKUP(B:B,'0.39'!B:F,4,FALSE)),"")</f>
        <v/>
      </c>
      <c r="D237" s="1331" t="str">
        <f>PACKING!AD76</f>
        <v/>
      </c>
      <c r="E237" s="1337" t="s">
        <v>2747</v>
      </c>
      <c r="F237" s="1282"/>
      <c r="G237" s="1281"/>
    </row>
    <row r="238" spans="1:7" ht="52.9" customHeight="1">
      <c r="A238" s="1284" t="str">
        <f>IFERROR(VLOOKUP(B:B,'0.39'!B:F,5,FALSE),"")</f>
        <v/>
      </c>
      <c r="B238" s="1360" t="str">
        <f>PACKING!AC107</f>
        <v/>
      </c>
      <c r="C238" s="1283" t="str">
        <f>IFERROR((VLOOKUP(B:B,'0.39'!B:F,4,FALSE)),"")</f>
        <v/>
      </c>
      <c r="D238" s="1331" t="str">
        <f>PACKING!AD77</f>
        <v/>
      </c>
      <c r="E238" s="1337" t="s">
        <v>2747</v>
      </c>
      <c r="F238" s="1282"/>
      <c r="G238" s="1281"/>
    </row>
    <row r="239" spans="1:7" ht="79.150000000000006" customHeight="1" thickBot="1">
      <c r="A239" s="1692" t="s">
        <v>204</v>
      </c>
      <c r="B239" s="1693"/>
      <c r="C239" s="1693"/>
      <c r="D239" s="1280">
        <f>SUM(D228:D238)</f>
        <v>0</v>
      </c>
      <c r="E239" s="1336" t="s">
        <v>2747</v>
      </c>
      <c r="F239" s="1279" t="s">
        <v>2746</v>
      </c>
      <c r="G239" s="1279" t="s">
        <v>2746</v>
      </c>
    </row>
    <row r="240" spans="1:7" ht="35.25" thickBot="1">
      <c r="A240" s="1302"/>
      <c r="B240" s="1361"/>
      <c r="C240" s="1302"/>
      <c r="D240" s="1303"/>
      <c r="E240" s="1302"/>
      <c r="F240" s="1301"/>
      <c r="G240" s="1301"/>
    </row>
    <row r="241" spans="1:7" ht="75.599999999999994" customHeight="1" thickBot="1">
      <c r="A241" s="1300"/>
      <c r="B241" s="1299" t="str">
        <f>BASIC_TOOL!$B$6</f>
        <v>A Project</v>
      </c>
      <c r="C241" s="1304" t="s">
        <v>2756</v>
      </c>
      <c r="D241" s="1308" t="e">
        <f ca="1">_xlfn.IFS(PACKING!AF65="M", "1X1.5M",PACKING!AF65="L", "1X2M",PACKING!AF65="S", "1X1M")</f>
        <v>#NAME?</v>
      </c>
      <c r="E241" s="1307">
        <f>PACKING!AF94</f>
        <v>15</v>
      </c>
      <c r="F241" s="1306" t="s">
        <v>2755</v>
      </c>
      <c r="G241" s="1294">
        <f>PACKING!$C$93</f>
        <v>2</v>
      </c>
    </row>
    <row r="242" spans="1:7" ht="87.6" customHeight="1">
      <c r="A242" s="1290" t="s">
        <v>2754</v>
      </c>
      <c r="B242" s="1290" t="str">
        <f>BASIC_TOOL!$B$7</f>
        <v>DAMMAM, KSA</v>
      </c>
      <c r="C242" s="1293" t="str">
        <f>BASIC_TOOL!$C$14</f>
        <v>Non-Insulated</v>
      </c>
      <c r="D242" s="1694" t="str">
        <f>'PRINTOUT(BOM)'!A96</f>
        <v>▣ Size : 10mW x (5)mL x3mH =150 [TON]/ 1[SET]</v>
      </c>
      <c r="E242" s="1695"/>
      <c r="F242" s="1695"/>
      <c r="G242" s="1696"/>
    </row>
    <row r="243" spans="1:7" ht="63.6" customHeight="1">
      <c r="A243" s="1290" t="s">
        <v>2753</v>
      </c>
      <c r="B243" s="1292">
        <f>BASIC_TOOL!$F$7</f>
        <v>44343</v>
      </c>
      <c r="C243" s="1291" t="s">
        <v>2752</v>
      </c>
      <c r="D243" s="1691" t="str">
        <f>BASIC_TOOL!$D$6</f>
        <v>ABC</v>
      </c>
      <c r="E243" s="1691"/>
      <c r="F243" s="1691" t="s">
        <v>2751</v>
      </c>
      <c r="G243" s="1697"/>
    </row>
    <row r="244" spans="1:7" ht="60">
      <c r="A244" s="1290" t="s">
        <v>176</v>
      </c>
      <c r="B244" s="1359" t="s">
        <v>177</v>
      </c>
      <c r="C244" s="1335" t="s">
        <v>2750</v>
      </c>
      <c r="D244" s="1691" t="s">
        <v>239</v>
      </c>
      <c r="E244" s="1691"/>
      <c r="F244" s="1288" t="s">
        <v>2749</v>
      </c>
      <c r="G244" s="1287" t="s">
        <v>2748</v>
      </c>
    </row>
    <row r="245" spans="1:7" ht="52.9" customHeight="1">
      <c r="A245" s="1284" t="str">
        <f>IFERROR(VLOOKUP(B:B,'0.39'!B:F,5,FALSE),"")</f>
        <v/>
      </c>
      <c r="B245" s="1360" t="str">
        <f>PACKING!AE97</f>
        <v/>
      </c>
      <c r="C245" s="1283" t="str">
        <f>IFERROR((VLOOKUP(B:B,'0.39'!B:F,4,FALSE)),"")</f>
        <v/>
      </c>
      <c r="D245" s="1331" t="str">
        <f>PACKING!AF67</f>
        <v/>
      </c>
      <c r="E245" s="1286" t="s">
        <v>2747</v>
      </c>
      <c r="F245" s="1285"/>
      <c r="G245" s="1281"/>
    </row>
    <row r="246" spans="1:7" ht="52.9" customHeight="1">
      <c r="A246" s="1284" t="str">
        <f>IFERROR(VLOOKUP(B:B,'0.39'!B:F,5,FALSE),"")</f>
        <v/>
      </c>
      <c r="B246" s="1360" t="str">
        <f>PACKING!AE98</f>
        <v/>
      </c>
      <c r="C246" s="1283" t="str">
        <f>IFERROR((VLOOKUP(B:B,'0.39'!B:F,4,FALSE)),"")</f>
        <v/>
      </c>
      <c r="D246" s="1331" t="str">
        <f>PACKING!AF68</f>
        <v/>
      </c>
      <c r="E246" s="1337" t="s">
        <v>2747</v>
      </c>
      <c r="F246" s="1285"/>
      <c r="G246" s="1281"/>
    </row>
    <row r="247" spans="1:7" ht="52.9" customHeight="1">
      <c r="A247" s="1284" t="str">
        <f>IFERROR(VLOOKUP(B:B,'0.39'!B:F,5,FALSE),"")</f>
        <v/>
      </c>
      <c r="B247" s="1360" t="str">
        <f>PACKING!AE99</f>
        <v/>
      </c>
      <c r="C247" s="1283" t="str">
        <f>IFERROR((VLOOKUP(B:B,'0.39'!B:F,4,FALSE)),"")</f>
        <v/>
      </c>
      <c r="D247" s="1331" t="str">
        <f>PACKING!AF69</f>
        <v/>
      </c>
      <c r="E247" s="1286" t="s">
        <v>2747</v>
      </c>
      <c r="F247" s="1285"/>
      <c r="G247" s="1281"/>
    </row>
    <row r="248" spans="1:7" ht="52.9" customHeight="1">
      <c r="A248" s="1284" t="str">
        <f>IFERROR(VLOOKUP(B:B,'0.39'!B:F,5,FALSE),"")</f>
        <v/>
      </c>
      <c r="B248" s="1360" t="str">
        <f>PACKING!AE100</f>
        <v/>
      </c>
      <c r="C248" s="1283" t="str">
        <f>IFERROR((VLOOKUP(B:B,'0.39'!B:F,4,FALSE)),"")</f>
        <v/>
      </c>
      <c r="D248" s="1331" t="str">
        <f>PACKING!AF70</f>
        <v/>
      </c>
      <c r="E248" s="1286" t="s">
        <v>2747</v>
      </c>
      <c r="F248" s="1282"/>
      <c r="G248" s="1281"/>
    </row>
    <row r="249" spans="1:7" ht="52.9" customHeight="1">
      <c r="A249" s="1284" t="str">
        <f>IFERROR(VLOOKUP(B:B,'0.39'!B:F,5,FALSE),"")</f>
        <v/>
      </c>
      <c r="B249" s="1360" t="str">
        <f>PACKING!AE101</f>
        <v/>
      </c>
      <c r="C249" s="1283" t="str">
        <f>IFERROR((VLOOKUP(B:B,'0.39'!B:F,4,FALSE)),"")</f>
        <v/>
      </c>
      <c r="D249" s="1331" t="str">
        <f>PACKING!AF71</f>
        <v/>
      </c>
      <c r="E249" s="1286" t="s">
        <v>2747</v>
      </c>
      <c r="F249" s="1282"/>
      <c r="G249" s="1281"/>
    </row>
    <row r="250" spans="1:7" ht="52.9" customHeight="1">
      <c r="A250" s="1284" t="str">
        <f>IFERROR(VLOOKUP(B:B,'0.39'!B:F,5,FALSE),"")</f>
        <v/>
      </c>
      <c r="B250" s="1360" t="str">
        <f>PACKING!AE102</f>
        <v/>
      </c>
      <c r="C250" s="1283" t="str">
        <f>IFERROR((VLOOKUP(B:B,'0.39'!B:F,4,FALSE)),"")</f>
        <v/>
      </c>
      <c r="D250" s="1331" t="str">
        <f>PACKING!AF72</f>
        <v/>
      </c>
      <c r="E250" s="1337" t="s">
        <v>2747</v>
      </c>
      <c r="F250" s="1282"/>
      <c r="G250" s="1281"/>
    </row>
    <row r="251" spans="1:7" ht="52.9" customHeight="1">
      <c r="A251" s="1284" t="str">
        <f>IFERROR(VLOOKUP(B:B,'0.39'!B:F,5,FALSE),"")</f>
        <v/>
      </c>
      <c r="B251" s="1360" t="str">
        <f>PACKING!AE103</f>
        <v/>
      </c>
      <c r="C251" s="1283" t="str">
        <f>IFERROR((VLOOKUP(B:B,'0.39'!B:F,4,FALSE)),"")</f>
        <v/>
      </c>
      <c r="D251" s="1331" t="str">
        <f>PACKING!AF73</f>
        <v/>
      </c>
      <c r="E251" s="1337" t="s">
        <v>2747</v>
      </c>
      <c r="F251" s="1282"/>
      <c r="G251" s="1281"/>
    </row>
    <row r="252" spans="1:7" ht="52.9" customHeight="1">
      <c r="A252" s="1284" t="str">
        <f>IFERROR(VLOOKUP(B:B,'0.39'!B:F,5,FALSE),"")</f>
        <v/>
      </c>
      <c r="B252" s="1360" t="str">
        <f>PACKING!AE104</f>
        <v/>
      </c>
      <c r="C252" s="1283" t="str">
        <f>IFERROR((VLOOKUP(B:B,'0.39'!B:F,4,FALSE)),"")</f>
        <v/>
      </c>
      <c r="D252" s="1331" t="str">
        <f>PACKING!AF74</f>
        <v/>
      </c>
      <c r="E252" s="1337" t="s">
        <v>2747</v>
      </c>
      <c r="F252" s="1282"/>
      <c r="G252" s="1281"/>
    </row>
    <row r="253" spans="1:7" ht="52.9" customHeight="1">
      <c r="A253" s="1284" t="str">
        <f>IFERROR(VLOOKUP(B:B,'0.39'!B:F,5,FALSE),"")</f>
        <v/>
      </c>
      <c r="B253" s="1360" t="str">
        <f>PACKING!AE105</f>
        <v/>
      </c>
      <c r="C253" s="1283" t="str">
        <f>IFERROR((VLOOKUP(B:B,'0.39'!B:F,4,FALSE)),"")</f>
        <v/>
      </c>
      <c r="D253" s="1331" t="str">
        <f>PACKING!AF75</f>
        <v/>
      </c>
      <c r="E253" s="1337" t="s">
        <v>2747</v>
      </c>
      <c r="F253" s="1285"/>
      <c r="G253" s="1281"/>
    </row>
    <row r="254" spans="1:7" ht="52.9" customHeight="1">
      <c r="A254" s="1284" t="str">
        <f>IFERROR(VLOOKUP(B:B,'0.39'!B:F,5,FALSE),"")</f>
        <v/>
      </c>
      <c r="B254" s="1360" t="str">
        <f>PACKING!AE106</f>
        <v/>
      </c>
      <c r="C254" s="1283" t="str">
        <f>IFERROR((VLOOKUP(B:B,'0.39'!B:F,4,FALSE)),"")</f>
        <v/>
      </c>
      <c r="D254" s="1331" t="str">
        <f>PACKING!AF76</f>
        <v/>
      </c>
      <c r="E254" s="1337" t="s">
        <v>2747</v>
      </c>
      <c r="F254" s="1282"/>
      <c r="G254" s="1281"/>
    </row>
    <row r="255" spans="1:7" ht="52.9" customHeight="1">
      <c r="A255" s="1284" t="str">
        <f>IFERROR(VLOOKUP(B:B,'0.39'!B:F,5,FALSE),"")</f>
        <v/>
      </c>
      <c r="B255" s="1360" t="str">
        <f>PACKING!AE107</f>
        <v/>
      </c>
      <c r="C255" s="1283" t="str">
        <f>IFERROR((VLOOKUP(B:B,'0.39'!B:F,4,FALSE)),"")</f>
        <v/>
      </c>
      <c r="D255" s="1331" t="str">
        <f>PACKING!AF77</f>
        <v/>
      </c>
      <c r="E255" s="1337" t="s">
        <v>2747</v>
      </c>
      <c r="F255" s="1282"/>
      <c r="G255" s="1281"/>
    </row>
    <row r="256" spans="1:7" ht="79.150000000000006" customHeight="1" thickBot="1">
      <c r="A256" s="1692" t="s">
        <v>204</v>
      </c>
      <c r="B256" s="1693"/>
      <c r="C256" s="1693"/>
      <c r="D256" s="1280">
        <f>SUM(D245:D255)</f>
        <v>0</v>
      </c>
      <c r="E256" s="1336" t="s">
        <v>2747</v>
      </c>
      <c r="F256" s="1279" t="s">
        <v>2746</v>
      </c>
      <c r="G256" s="1278" t="s">
        <v>2746</v>
      </c>
    </row>
    <row r="257" spans="1:7" ht="35.25" thickBot="1">
      <c r="A257" s="1302"/>
      <c r="B257" s="1361"/>
      <c r="C257" s="1302"/>
      <c r="D257" s="1303"/>
      <c r="E257" s="1302"/>
      <c r="F257" s="1301"/>
      <c r="G257" s="1301"/>
    </row>
    <row r="258" spans="1:7" ht="75.599999999999994" customHeight="1" thickBot="1">
      <c r="A258" s="1300"/>
      <c r="B258" s="1299" t="str">
        <f>BASIC_TOOL!$B$6</f>
        <v>A Project</v>
      </c>
      <c r="C258" s="1304" t="s">
        <v>2756</v>
      </c>
      <c r="D258" s="1297" t="e">
        <f ca="1">_xlfn.IFS(PACKING!AH65="M", "1X1.5M",PACKING!AH65="L", "1X2M",PACKING!AH65="S", "1X1M")</f>
        <v>#NAME?</v>
      </c>
      <c r="E258" s="1296">
        <f>PACKING!AH94</f>
        <v>16</v>
      </c>
      <c r="F258" s="1295" t="s">
        <v>2755</v>
      </c>
      <c r="G258" s="1294">
        <f>PACKING!$C$93</f>
        <v>2</v>
      </c>
    </row>
    <row r="259" spans="1:7" ht="87.6" customHeight="1">
      <c r="A259" s="1290" t="s">
        <v>2754</v>
      </c>
      <c r="B259" s="1290" t="str">
        <f>BASIC_TOOL!$B$7</f>
        <v>DAMMAM, KSA</v>
      </c>
      <c r="C259" s="1293" t="str">
        <f>BASIC_TOOL!$C$14</f>
        <v>Non-Insulated</v>
      </c>
      <c r="D259" s="1694" t="str">
        <f>'PRINTOUT(BOM)'!A96</f>
        <v>▣ Size : 10mW x (5)mL x3mH =150 [TON]/ 1[SET]</v>
      </c>
      <c r="E259" s="1695"/>
      <c r="F259" s="1695"/>
      <c r="G259" s="1696"/>
    </row>
    <row r="260" spans="1:7" ht="63.6" customHeight="1">
      <c r="A260" s="1290" t="s">
        <v>2753</v>
      </c>
      <c r="B260" s="1292">
        <f>BASIC_TOOL!$F$7</f>
        <v>44343</v>
      </c>
      <c r="C260" s="1291" t="s">
        <v>2752</v>
      </c>
      <c r="D260" s="1691" t="str">
        <f>BASIC_TOOL!$D$6</f>
        <v>ABC</v>
      </c>
      <c r="E260" s="1691"/>
      <c r="F260" s="1691" t="s">
        <v>2751</v>
      </c>
      <c r="G260" s="1697"/>
    </row>
    <row r="261" spans="1:7" ht="60">
      <c r="A261" s="1290" t="s">
        <v>176</v>
      </c>
      <c r="B261" s="1359" t="s">
        <v>177</v>
      </c>
      <c r="C261" s="1335" t="s">
        <v>2750</v>
      </c>
      <c r="D261" s="1691" t="s">
        <v>239</v>
      </c>
      <c r="E261" s="1691"/>
      <c r="F261" s="1288" t="s">
        <v>2749</v>
      </c>
      <c r="G261" s="1287" t="s">
        <v>2748</v>
      </c>
    </row>
    <row r="262" spans="1:7" ht="52.9" customHeight="1">
      <c r="A262" s="1284" t="str">
        <f>IFERROR(VLOOKUP(B:B,'0.39'!B:F,5,FALSE),"")</f>
        <v/>
      </c>
      <c r="B262" s="1360" t="str">
        <f>PACKING!AI97</f>
        <v/>
      </c>
      <c r="C262" s="1283" t="str">
        <f>IFERROR((VLOOKUP(B:B,'0.39'!B:F,4,FALSE)),"")</f>
        <v/>
      </c>
      <c r="D262" s="1331" t="str">
        <f>PACKING!AH67</f>
        <v/>
      </c>
      <c r="E262" s="1286" t="s">
        <v>2747</v>
      </c>
      <c r="F262" s="1285"/>
      <c r="G262" s="1281"/>
    </row>
    <row r="263" spans="1:7" ht="52.9" customHeight="1">
      <c r="A263" s="1284" t="str">
        <f>IFERROR(VLOOKUP(B:B,'0.39'!B:F,5,FALSE),"")</f>
        <v/>
      </c>
      <c r="B263" s="1360" t="str">
        <f>PACKING!AI98</f>
        <v/>
      </c>
      <c r="C263" s="1283" t="str">
        <f>IFERROR((VLOOKUP(B:B,'0.39'!B:F,4,FALSE)),"")</f>
        <v/>
      </c>
      <c r="D263" s="1331" t="str">
        <f>PACKING!AH68</f>
        <v/>
      </c>
      <c r="E263" s="1337" t="s">
        <v>2747</v>
      </c>
      <c r="F263" s="1285"/>
      <c r="G263" s="1281"/>
    </row>
    <row r="264" spans="1:7" ht="52.9" customHeight="1">
      <c r="A264" s="1284" t="str">
        <f>IFERROR(VLOOKUP(B:B,'0.39'!B:F,5,FALSE),"")</f>
        <v/>
      </c>
      <c r="B264" s="1360" t="str">
        <f>PACKING!AI99</f>
        <v/>
      </c>
      <c r="C264" s="1283" t="str">
        <f>IFERROR((VLOOKUP(B:B,'0.39'!B:F,4,FALSE)),"")</f>
        <v/>
      </c>
      <c r="D264" s="1331" t="str">
        <f>PACKING!AH69</f>
        <v/>
      </c>
      <c r="E264" s="1286" t="s">
        <v>2747</v>
      </c>
      <c r="F264" s="1285"/>
      <c r="G264" s="1281"/>
    </row>
    <row r="265" spans="1:7" ht="52.9" customHeight="1">
      <c r="A265" s="1284" t="str">
        <f>IFERROR(VLOOKUP(B:B,'0.39'!B:F,5,FALSE),"")</f>
        <v/>
      </c>
      <c r="B265" s="1360" t="str">
        <f>PACKING!AI100</f>
        <v/>
      </c>
      <c r="C265" s="1283" t="str">
        <f>IFERROR((VLOOKUP(B:B,'0.39'!B:F,4,FALSE)),"")</f>
        <v/>
      </c>
      <c r="D265" s="1331" t="str">
        <f>PACKING!AH70</f>
        <v/>
      </c>
      <c r="E265" s="1286" t="s">
        <v>2747</v>
      </c>
      <c r="F265" s="1282"/>
      <c r="G265" s="1281"/>
    </row>
    <row r="266" spans="1:7" ht="52.9" customHeight="1">
      <c r="A266" s="1284" t="str">
        <f>IFERROR(VLOOKUP(B:B,'0.39'!B:F,5,FALSE),"")</f>
        <v/>
      </c>
      <c r="B266" s="1360" t="str">
        <f>PACKING!AI101</f>
        <v/>
      </c>
      <c r="C266" s="1283" t="str">
        <f>IFERROR((VLOOKUP(B:B,'0.39'!B:F,4,FALSE)),"")</f>
        <v/>
      </c>
      <c r="D266" s="1331" t="str">
        <f>PACKING!AH71</f>
        <v/>
      </c>
      <c r="E266" s="1286" t="s">
        <v>2747</v>
      </c>
      <c r="F266" s="1282"/>
      <c r="G266" s="1281"/>
    </row>
    <row r="267" spans="1:7" ht="52.9" customHeight="1">
      <c r="A267" s="1284" t="str">
        <f>IFERROR(VLOOKUP(B:B,'0.39'!B:F,5,FALSE),"")</f>
        <v/>
      </c>
      <c r="B267" s="1360" t="str">
        <f>PACKING!AI102</f>
        <v/>
      </c>
      <c r="C267" s="1283" t="str">
        <f>IFERROR((VLOOKUP(B:B,'0.39'!B:F,4,FALSE)),"")</f>
        <v/>
      </c>
      <c r="D267" s="1331" t="str">
        <f>PACKING!AH72</f>
        <v/>
      </c>
      <c r="E267" s="1337" t="s">
        <v>2747</v>
      </c>
      <c r="F267" s="1282"/>
      <c r="G267" s="1281"/>
    </row>
    <row r="268" spans="1:7" ht="52.9" customHeight="1">
      <c r="A268" s="1284" t="str">
        <f>IFERROR(VLOOKUP(B:B,'0.39'!B:F,5,FALSE),"")</f>
        <v/>
      </c>
      <c r="B268" s="1360" t="str">
        <f>PACKING!AI103</f>
        <v/>
      </c>
      <c r="C268" s="1283" t="str">
        <f>IFERROR((VLOOKUP(B:B,'0.39'!B:F,4,FALSE)),"")</f>
        <v/>
      </c>
      <c r="D268" s="1331" t="str">
        <f>PACKING!AH73</f>
        <v/>
      </c>
      <c r="E268" s="1337" t="s">
        <v>2747</v>
      </c>
      <c r="F268" s="1282"/>
      <c r="G268" s="1281"/>
    </row>
    <row r="269" spans="1:7" ht="52.9" customHeight="1">
      <c r="A269" s="1284" t="str">
        <f>IFERROR(VLOOKUP(B:B,'0.39'!B:F,5,FALSE),"")</f>
        <v/>
      </c>
      <c r="B269" s="1360" t="str">
        <f>PACKING!AI104</f>
        <v/>
      </c>
      <c r="C269" s="1283" t="str">
        <f>IFERROR((VLOOKUP(B:B,'0.39'!B:F,4,FALSE)),"")</f>
        <v/>
      </c>
      <c r="D269" s="1331" t="str">
        <f>PACKING!AH74</f>
        <v/>
      </c>
      <c r="E269" s="1337" t="s">
        <v>2747</v>
      </c>
      <c r="F269" s="1282"/>
      <c r="G269" s="1281"/>
    </row>
    <row r="270" spans="1:7" ht="52.9" customHeight="1">
      <c r="A270" s="1284" t="str">
        <f>IFERROR(VLOOKUP(B:B,'0.39'!B:F,5,FALSE),"")</f>
        <v/>
      </c>
      <c r="B270" s="1360" t="str">
        <f>PACKING!AI105</f>
        <v/>
      </c>
      <c r="C270" s="1283" t="str">
        <f>IFERROR((VLOOKUP(B:B,'0.39'!B:F,4,FALSE)),"")</f>
        <v/>
      </c>
      <c r="D270" s="1331" t="str">
        <f>PACKING!AH75</f>
        <v/>
      </c>
      <c r="E270" s="1337" t="s">
        <v>2747</v>
      </c>
      <c r="F270" s="1285"/>
      <c r="G270" s="1281"/>
    </row>
    <row r="271" spans="1:7" ht="52.9" customHeight="1">
      <c r="A271" s="1284" t="str">
        <f>IFERROR(VLOOKUP(B:B,'0.39'!B:F,5,FALSE),"")</f>
        <v/>
      </c>
      <c r="B271" s="1360" t="str">
        <f>PACKING!AI106</f>
        <v/>
      </c>
      <c r="C271" s="1283" t="str">
        <f>IFERROR((VLOOKUP(B:B,'0.39'!B:F,4,FALSE)),"")</f>
        <v/>
      </c>
      <c r="D271" s="1331" t="str">
        <f>PACKING!AH76</f>
        <v/>
      </c>
      <c r="E271" s="1337" t="s">
        <v>2747</v>
      </c>
      <c r="F271" s="1282"/>
      <c r="G271" s="1281"/>
    </row>
    <row r="272" spans="1:7" ht="52.9" customHeight="1">
      <c r="A272" s="1284" t="str">
        <f>IFERROR(VLOOKUP(B:B,'0.39'!B:F,5,FALSE),"")</f>
        <v/>
      </c>
      <c r="B272" s="1360" t="str">
        <f>PACKING!AI107</f>
        <v/>
      </c>
      <c r="C272" s="1283" t="str">
        <f>IFERROR((VLOOKUP(B:B,'0.39'!B:F,4,FALSE)),"")</f>
        <v/>
      </c>
      <c r="D272" s="1331" t="str">
        <f>PACKING!AH77</f>
        <v/>
      </c>
      <c r="E272" s="1337" t="s">
        <v>2747</v>
      </c>
      <c r="F272" s="1282"/>
      <c r="G272" s="1281"/>
    </row>
    <row r="273" spans="1:7" ht="79.150000000000006" customHeight="1" thickBot="1">
      <c r="A273" s="1692" t="s">
        <v>204</v>
      </c>
      <c r="B273" s="1693"/>
      <c r="C273" s="1693"/>
      <c r="D273" s="1280">
        <f>SUM(D262:D272)</f>
        <v>0</v>
      </c>
      <c r="E273" s="1336" t="s">
        <v>2747</v>
      </c>
      <c r="F273" s="1279" t="s">
        <v>2746</v>
      </c>
      <c r="G273" s="1278" t="s">
        <v>2746</v>
      </c>
    </row>
    <row r="274" spans="1:7" ht="35.25" thickBot="1">
      <c r="A274" s="1302"/>
      <c r="B274" s="1361"/>
      <c r="C274" s="1302"/>
      <c r="D274" s="1303"/>
      <c r="E274" s="1302"/>
      <c r="F274" s="1301"/>
      <c r="G274" s="1301"/>
    </row>
    <row r="275" spans="1:7" ht="75.599999999999994" customHeight="1" thickBot="1">
      <c r="A275" s="1300"/>
      <c r="B275" s="1299" t="str">
        <f>BASIC_TOOL!$B$6</f>
        <v>A Project</v>
      </c>
      <c r="C275" s="1304" t="s">
        <v>2756</v>
      </c>
      <c r="D275" s="1297" t="e">
        <f ca="1">_xlfn.IFS(PACKING!AJ65="M", "1X1.5M",PACKING!AJ65="L", "1X2M",PACKING!AJ65="S", "1X1M")</f>
        <v>#NAME?</v>
      </c>
      <c r="E275" s="1296">
        <f>PACKING!AJ94</f>
        <v>17</v>
      </c>
      <c r="F275" s="1295" t="s">
        <v>2755</v>
      </c>
      <c r="G275" s="1294">
        <f>PACKING!$C$93</f>
        <v>2</v>
      </c>
    </row>
    <row r="276" spans="1:7" ht="87.6" customHeight="1">
      <c r="A276" s="1290" t="s">
        <v>2754</v>
      </c>
      <c r="B276" s="1290" t="str">
        <f>BASIC_TOOL!$B$7</f>
        <v>DAMMAM, KSA</v>
      </c>
      <c r="C276" s="1293" t="str">
        <f>BASIC_TOOL!$C$14</f>
        <v>Non-Insulated</v>
      </c>
      <c r="D276" s="1694" t="str">
        <f>'PRINTOUT(BOM)'!A96</f>
        <v>▣ Size : 10mW x (5)mL x3mH =150 [TON]/ 1[SET]</v>
      </c>
      <c r="E276" s="1695"/>
      <c r="F276" s="1695"/>
      <c r="G276" s="1696"/>
    </row>
    <row r="277" spans="1:7" ht="63.6" customHeight="1">
      <c r="A277" s="1290" t="s">
        <v>2753</v>
      </c>
      <c r="B277" s="1292">
        <f>BASIC_TOOL!$F$7</f>
        <v>44343</v>
      </c>
      <c r="C277" s="1291" t="s">
        <v>2752</v>
      </c>
      <c r="D277" s="1691" t="str">
        <f>BASIC_TOOL!$D$6</f>
        <v>ABC</v>
      </c>
      <c r="E277" s="1691"/>
      <c r="F277" s="1691" t="s">
        <v>2751</v>
      </c>
      <c r="G277" s="1697"/>
    </row>
    <row r="278" spans="1:7" ht="60">
      <c r="A278" s="1290" t="s">
        <v>176</v>
      </c>
      <c r="B278" s="1359" t="s">
        <v>177</v>
      </c>
      <c r="C278" s="1335" t="s">
        <v>2750</v>
      </c>
      <c r="D278" s="1691" t="s">
        <v>239</v>
      </c>
      <c r="E278" s="1691"/>
      <c r="F278" s="1288" t="s">
        <v>2749</v>
      </c>
      <c r="G278" s="1287" t="s">
        <v>2748</v>
      </c>
    </row>
    <row r="279" spans="1:7" ht="52.9" customHeight="1">
      <c r="A279" s="1284" t="str">
        <f>IFERROR(VLOOKUP(B:B,'0.39'!B:F,5,FALSE),"")</f>
        <v/>
      </c>
      <c r="B279" s="1360" t="str">
        <f>PACKING!AI97</f>
        <v/>
      </c>
      <c r="C279" s="1283" t="str">
        <f>IFERROR((VLOOKUP(B:B,'0.39'!B:F,4,FALSE)),"")</f>
        <v/>
      </c>
      <c r="D279" s="1331" t="str">
        <f>PACKING!AJ67</f>
        <v/>
      </c>
      <c r="E279" s="1286" t="s">
        <v>2747</v>
      </c>
      <c r="F279" s="1285"/>
      <c r="G279" s="1281"/>
    </row>
    <row r="280" spans="1:7" ht="52.9" customHeight="1">
      <c r="A280" s="1284" t="str">
        <f>IFERROR(VLOOKUP(B:B,'0.39'!B:F,5,FALSE),"")</f>
        <v/>
      </c>
      <c r="B280" s="1360" t="str">
        <f>PACKING!AI98</f>
        <v/>
      </c>
      <c r="C280" s="1283" t="str">
        <f>IFERROR((VLOOKUP(B:B,'0.39'!B:F,4,FALSE)),"")</f>
        <v/>
      </c>
      <c r="D280" s="1331" t="str">
        <f>PACKING!AJ68</f>
        <v/>
      </c>
      <c r="E280" s="1337" t="s">
        <v>2747</v>
      </c>
      <c r="F280" s="1285"/>
      <c r="G280" s="1281"/>
    </row>
    <row r="281" spans="1:7" ht="52.9" customHeight="1">
      <c r="A281" s="1284" t="str">
        <f>IFERROR(VLOOKUP(B:B,'0.39'!B:F,5,FALSE),"")</f>
        <v/>
      </c>
      <c r="B281" s="1360" t="str">
        <f>PACKING!AI99</f>
        <v/>
      </c>
      <c r="C281" s="1283" t="str">
        <f>IFERROR((VLOOKUP(B:B,'0.39'!B:F,4,FALSE)),"")</f>
        <v/>
      </c>
      <c r="D281" s="1331" t="str">
        <f>PACKING!AJ69</f>
        <v/>
      </c>
      <c r="E281" s="1286" t="s">
        <v>2747</v>
      </c>
      <c r="F281" s="1285"/>
      <c r="G281" s="1281"/>
    </row>
    <row r="282" spans="1:7" ht="52.9" customHeight="1">
      <c r="A282" s="1284" t="str">
        <f>IFERROR(VLOOKUP(B:B,'0.39'!B:F,5,FALSE),"")</f>
        <v/>
      </c>
      <c r="B282" s="1360" t="str">
        <f>PACKING!AI100</f>
        <v/>
      </c>
      <c r="C282" s="1283" t="str">
        <f>IFERROR((VLOOKUP(B:B,'0.39'!B:F,4,FALSE)),"")</f>
        <v/>
      </c>
      <c r="D282" s="1331" t="str">
        <f>PACKING!AJ70</f>
        <v/>
      </c>
      <c r="E282" s="1286" t="s">
        <v>2747</v>
      </c>
      <c r="F282" s="1282"/>
      <c r="G282" s="1281"/>
    </row>
    <row r="283" spans="1:7" ht="52.9" customHeight="1">
      <c r="A283" s="1284" t="str">
        <f>IFERROR(VLOOKUP(B:B,'0.39'!B:F,5,FALSE),"")</f>
        <v/>
      </c>
      <c r="B283" s="1360" t="str">
        <f>PACKING!AI101</f>
        <v/>
      </c>
      <c r="C283" s="1283" t="str">
        <f>IFERROR((VLOOKUP(B:B,'0.39'!B:F,4,FALSE)),"")</f>
        <v/>
      </c>
      <c r="D283" s="1331" t="str">
        <f>PACKING!AJ71</f>
        <v/>
      </c>
      <c r="E283" s="1286" t="s">
        <v>2747</v>
      </c>
      <c r="F283" s="1282"/>
      <c r="G283" s="1281"/>
    </row>
    <row r="284" spans="1:7" ht="52.9" customHeight="1">
      <c r="A284" s="1284" t="str">
        <f>IFERROR(VLOOKUP(B:B,'0.39'!B:F,5,FALSE),"")</f>
        <v/>
      </c>
      <c r="B284" s="1360" t="str">
        <f>PACKING!AI102</f>
        <v/>
      </c>
      <c r="C284" s="1283" t="str">
        <f>IFERROR((VLOOKUP(B:B,'0.39'!B:F,4,FALSE)),"")</f>
        <v/>
      </c>
      <c r="D284" s="1331" t="str">
        <f>PACKING!AJ72</f>
        <v/>
      </c>
      <c r="E284" s="1337" t="s">
        <v>2747</v>
      </c>
      <c r="F284" s="1282"/>
      <c r="G284" s="1281"/>
    </row>
    <row r="285" spans="1:7" ht="52.9" customHeight="1">
      <c r="A285" s="1284" t="str">
        <f>IFERROR(VLOOKUP(B:B,'0.39'!B:F,5,FALSE),"")</f>
        <v/>
      </c>
      <c r="B285" s="1360" t="str">
        <f>PACKING!AI103</f>
        <v/>
      </c>
      <c r="C285" s="1283" t="str">
        <f>IFERROR((VLOOKUP(B:B,'0.39'!B:F,4,FALSE)),"")</f>
        <v/>
      </c>
      <c r="D285" s="1331" t="str">
        <f>PACKING!AJ73</f>
        <v/>
      </c>
      <c r="E285" s="1337" t="s">
        <v>2747</v>
      </c>
      <c r="F285" s="1282"/>
      <c r="G285" s="1281"/>
    </row>
    <row r="286" spans="1:7" ht="52.9" customHeight="1">
      <c r="A286" s="1284" t="str">
        <f>IFERROR(VLOOKUP(B:B,'0.39'!B:F,5,FALSE),"")</f>
        <v/>
      </c>
      <c r="B286" s="1360" t="str">
        <f>PACKING!AI104</f>
        <v/>
      </c>
      <c r="C286" s="1283" t="str">
        <f>IFERROR((VLOOKUP(B:B,'0.39'!B:F,4,FALSE)),"")</f>
        <v/>
      </c>
      <c r="D286" s="1331" t="str">
        <f>PACKING!AJ74</f>
        <v/>
      </c>
      <c r="E286" s="1337" t="s">
        <v>2747</v>
      </c>
      <c r="F286" s="1282"/>
      <c r="G286" s="1281"/>
    </row>
    <row r="287" spans="1:7" ht="52.9" customHeight="1">
      <c r="A287" s="1284" t="str">
        <f>IFERROR(VLOOKUP(B:B,'0.39'!B:F,5,FALSE),"")</f>
        <v/>
      </c>
      <c r="B287" s="1360" t="str">
        <f>PACKING!AI105</f>
        <v/>
      </c>
      <c r="C287" s="1283" t="str">
        <f>IFERROR((VLOOKUP(B:B,'0.39'!B:F,4,FALSE)),"")</f>
        <v/>
      </c>
      <c r="D287" s="1331" t="str">
        <f>PACKING!AJ75</f>
        <v/>
      </c>
      <c r="E287" s="1337" t="s">
        <v>2747</v>
      </c>
      <c r="F287" s="1285"/>
      <c r="G287" s="1281"/>
    </row>
    <row r="288" spans="1:7" ht="52.9" customHeight="1">
      <c r="A288" s="1284" t="str">
        <f>IFERROR(VLOOKUP(B:B,'0.39'!B:F,5,FALSE),"")</f>
        <v/>
      </c>
      <c r="B288" s="1360" t="str">
        <f>PACKING!AI106</f>
        <v/>
      </c>
      <c r="C288" s="1283" t="str">
        <f>IFERROR((VLOOKUP(B:B,'0.39'!B:F,4,FALSE)),"")</f>
        <v/>
      </c>
      <c r="D288" s="1331" t="str">
        <f>PACKING!AJ76</f>
        <v/>
      </c>
      <c r="E288" s="1337" t="s">
        <v>2747</v>
      </c>
      <c r="F288" s="1282"/>
      <c r="G288" s="1281"/>
    </row>
    <row r="289" spans="1:7" ht="52.9" customHeight="1">
      <c r="A289" s="1284" t="str">
        <f>IFERROR(VLOOKUP(B:B,'0.39'!B:F,5,FALSE),"")</f>
        <v/>
      </c>
      <c r="B289" s="1360" t="str">
        <f>PACKING!AI107</f>
        <v/>
      </c>
      <c r="C289" s="1283" t="str">
        <f>IFERROR((VLOOKUP(B:B,'0.39'!B:F,4,FALSE)),"")</f>
        <v/>
      </c>
      <c r="D289" s="1331" t="str">
        <f>PACKING!AJ77</f>
        <v/>
      </c>
      <c r="E289" s="1337" t="s">
        <v>2747</v>
      </c>
      <c r="F289" s="1282"/>
      <c r="G289" s="1281"/>
    </row>
    <row r="290" spans="1:7" ht="79.150000000000006" customHeight="1" thickBot="1">
      <c r="A290" s="1692" t="s">
        <v>204</v>
      </c>
      <c r="B290" s="1693"/>
      <c r="C290" s="1693"/>
      <c r="D290" s="1280">
        <f>SUM(D279:D289)</f>
        <v>0</v>
      </c>
      <c r="E290" s="1336" t="s">
        <v>2747</v>
      </c>
      <c r="F290" s="1279" t="s">
        <v>2746</v>
      </c>
      <c r="G290" s="1278" t="s">
        <v>2746</v>
      </c>
    </row>
    <row r="291" spans="1:7" ht="35.25" thickBot="1">
      <c r="A291" s="1302"/>
      <c r="B291" s="1361"/>
      <c r="C291" s="1302"/>
      <c r="D291" s="1303"/>
      <c r="E291" s="1302"/>
      <c r="F291" s="1301"/>
      <c r="G291" s="1301"/>
    </row>
    <row r="292" spans="1:7" ht="75.599999999999994" customHeight="1" thickBot="1">
      <c r="A292" s="1300"/>
      <c r="B292" s="1299" t="str">
        <f>BASIC_TOOL!$B$6</f>
        <v>A Project</v>
      </c>
      <c r="C292" s="1304" t="s">
        <v>2756</v>
      </c>
      <c r="D292" s="1297" t="e">
        <f ca="1">_xlfn.IFS(PACKING!AL65="M", "1X1.5M",PACKING!AL65="L", "1X2M",PACKING!AL65="S", "1X1M")</f>
        <v>#NAME?</v>
      </c>
      <c r="E292" s="1296">
        <f>PACKING!AL94</f>
        <v>18</v>
      </c>
      <c r="F292" s="1295" t="s">
        <v>2755</v>
      </c>
      <c r="G292" s="1294">
        <f>PACKING!$C$93</f>
        <v>2</v>
      </c>
    </row>
    <row r="293" spans="1:7" ht="87.6" customHeight="1">
      <c r="A293" s="1290" t="s">
        <v>2754</v>
      </c>
      <c r="B293" s="1290" t="str">
        <f>BASIC_TOOL!$B$7</f>
        <v>DAMMAM, KSA</v>
      </c>
      <c r="C293" s="1293" t="str">
        <f>BASIC_TOOL!$C$14</f>
        <v>Non-Insulated</v>
      </c>
      <c r="D293" s="1694" t="str">
        <f>'PRINTOUT(BOM)'!A96</f>
        <v>▣ Size : 10mW x (5)mL x3mH =150 [TON]/ 1[SET]</v>
      </c>
      <c r="E293" s="1695"/>
      <c r="F293" s="1695"/>
      <c r="G293" s="1696"/>
    </row>
    <row r="294" spans="1:7" ht="63.6" customHeight="1">
      <c r="A294" s="1290" t="s">
        <v>2753</v>
      </c>
      <c r="B294" s="1292">
        <f>BASIC_TOOL!$F$7</f>
        <v>44343</v>
      </c>
      <c r="C294" s="1291" t="s">
        <v>2752</v>
      </c>
      <c r="D294" s="1691" t="str">
        <f>BASIC_TOOL!$D$6</f>
        <v>ABC</v>
      </c>
      <c r="E294" s="1691"/>
      <c r="F294" s="1691" t="s">
        <v>2751</v>
      </c>
      <c r="G294" s="1697"/>
    </row>
    <row r="295" spans="1:7" ht="60">
      <c r="A295" s="1290" t="s">
        <v>176</v>
      </c>
      <c r="B295" s="1359" t="s">
        <v>177</v>
      </c>
      <c r="C295" s="1335" t="s">
        <v>2750</v>
      </c>
      <c r="D295" s="1691" t="s">
        <v>239</v>
      </c>
      <c r="E295" s="1691"/>
      <c r="F295" s="1288" t="s">
        <v>2749</v>
      </c>
      <c r="G295" s="1287" t="s">
        <v>2748</v>
      </c>
    </row>
    <row r="296" spans="1:7" ht="52.9" customHeight="1">
      <c r="A296" s="1284" t="str">
        <f>IFERROR(VLOOKUP(B:B,'0.39'!B:F,5,FALSE),"")</f>
        <v/>
      </c>
      <c r="B296" s="1360" t="str">
        <f>PACKING!AK97</f>
        <v/>
      </c>
      <c r="C296" s="1283" t="str">
        <f>IFERROR((VLOOKUP(B:B,'0.39'!B:F,4,FALSE)),"")</f>
        <v/>
      </c>
      <c r="D296" s="1331" t="str">
        <f>PACKING!AL67</f>
        <v/>
      </c>
      <c r="E296" s="1286" t="s">
        <v>2747</v>
      </c>
      <c r="F296" s="1285"/>
      <c r="G296" s="1281"/>
    </row>
    <row r="297" spans="1:7" ht="52.9" customHeight="1">
      <c r="A297" s="1284" t="str">
        <f>IFERROR(VLOOKUP(B:B,'0.39'!B:F,5,FALSE),"")</f>
        <v/>
      </c>
      <c r="B297" s="1360" t="str">
        <f>PACKING!AK98</f>
        <v/>
      </c>
      <c r="C297" s="1283" t="str">
        <f>IFERROR((VLOOKUP(B:B,'0.39'!B:F,4,FALSE)),"")</f>
        <v/>
      </c>
      <c r="D297" s="1331" t="str">
        <f>PACKING!AL68</f>
        <v/>
      </c>
      <c r="E297" s="1337" t="s">
        <v>2747</v>
      </c>
      <c r="F297" s="1285"/>
      <c r="G297" s="1281"/>
    </row>
    <row r="298" spans="1:7" ht="52.9" customHeight="1">
      <c r="A298" s="1284" t="str">
        <f>IFERROR(VLOOKUP(B:B,'0.39'!B:F,5,FALSE),"")</f>
        <v/>
      </c>
      <c r="B298" s="1360" t="str">
        <f>PACKING!AK99</f>
        <v/>
      </c>
      <c r="C298" s="1283" t="str">
        <f>IFERROR((VLOOKUP(B:B,'0.39'!B:F,4,FALSE)),"")</f>
        <v/>
      </c>
      <c r="D298" s="1331" t="str">
        <f>PACKING!AL69</f>
        <v/>
      </c>
      <c r="E298" s="1286" t="s">
        <v>2747</v>
      </c>
      <c r="F298" s="1285"/>
      <c r="G298" s="1281"/>
    </row>
    <row r="299" spans="1:7" ht="52.9" customHeight="1">
      <c r="A299" s="1284" t="str">
        <f>IFERROR(VLOOKUP(B:B,'0.39'!B:F,5,FALSE),"")</f>
        <v/>
      </c>
      <c r="B299" s="1360" t="str">
        <f>PACKING!AK100</f>
        <v/>
      </c>
      <c r="C299" s="1283" t="str">
        <f>IFERROR((VLOOKUP(B:B,'0.39'!B:F,4,FALSE)),"")</f>
        <v/>
      </c>
      <c r="D299" s="1331" t="str">
        <f>PACKING!AL70</f>
        <v/>
      </c>
      <c r="E299" s="1286" t="s">
        <v>2747</v>
      </c>
      <c r="F299" s="1282"/>
      <c r="G299" s="1281"/>
    </row>
    <row r="300" spans="1:7" ht="52.9" customHeight="1">
      <c r="A300" s="1284" t="str">
        <f>IFERROR(VLOOKUP(B:B,'0.39'!B:F,5,FALSE),"")</f>
        <v/>
      </c>
      <c r="B300" s="1360" t="str">
        <f>PACKING!AK101</f>
        <v/>
      </c>
      <c r="C300" s="1283" t="str">
        <f>IFERROR((VLOOKUP(B:B,'0.39'!B:F,4,FALSE)),"")</f>
        <v/>
      </c>
      <c r="D300" s="1331" t="str">
        <f>PACKING!AL71</f>
        <v/>
      </c>
      <c r="E300" s="1286" t="s">
        <v>2747</v>
      </c>
      <c r="F300" s="1282"/>
      <c r="G300" s="1281"/>
    </row>
    <row r="301" spans="1:7" ht="52.9" customHeight="1">
      <c r="A301" s="1284" t="str">
        <f>IFERROR(VLOOKUP(B:B,'0.39'!B:F,5,FALSE),"")</f>
        <v/>
      </c>
      <c r="B301" s="1360" t="str">
        <f>PACKING!AK102</f>
        <v/>
      </c>
      <c r="C301" s="1283" t="str">
        <f>IFERROR((VLOOKUP(B:B,'0.39'!B:F,4,FALSE)),"")</f>
        <v/>
      </c>
      <c r="D301" s="1331" t="str">
        <f>PACKING!AL72</f>
        <v/>
      </c>
      <c r="E301" s="1337" t="s">
        <v>2747</v>
      </c>
      <c r="F301" s="1282"/>
      <c r="G301" s="1281"/>
    </row>
    <row r="302" spans="1:7" ht="52.9" customHeight="1">
      <c r="A302" s="1284" t="str">
        <f>IFERROR(VLOOKUP(B:B,'0.39'!B:F,5,FALSE),"")</f>
        <v/>
      </c>
      <c r="B302" s="1360" t="str">
        <f>PACKING!AK103</f>
        <v/>
      </c>
      <c r="C302" s="1283" t="str">
        <f>IFERROR((VLOOKUP(B:B,'0.39'!B:F,4,FALSE)),"")</f>
        <v/>
      </c>
      <c r="D302" s="1331" t="str">
        <f>PACKING!AL73</f>
        <v/>
      </c>
      <c r="E302" s="1337" t="s">
        <v>2747</v>
      </c>
      <c r="F302" s="1282"/>
      <c r="G302" s="1281"/>
    </row>
    <row r="303" spans="1:7" ht="52.9" customHeight="1">
      <c r="A303" s="1284" t="str">
        <f>IFERROR(VLOOKUP(B:B,'0.39'!B:F,5,FALSE),"")</f>
        <v/>
      </c>
      <c r="B303" s="1360" t="str">
        <f>PACKING!AK104</f>
        <v/>
      </c>
      <c r="C303" s="1283" t="str">
        <f>IFERROR((VLOOKUP(B:B,'0.39'!B:F,4,FALSE)),"")</f>
        <v/>
      </c>
      <c r="D303" s="1331" t="str">
        <f>PACKING!AL74</f>
        <v/>
      </c>
      <c r="E303" s="1337" t="s">
        <v>2747</v>
      </c>
      <c r="F303" s="1282"/>
      <c r="G303" s="1281"/>
    </row>
    <row r="304" spans="1:7" ht="52.9" customHeight="1">
      <c r="A304" s="1284" t="str">
        <f>IFERROR(VLOOKUP(B:B,'0.39'!B:F,5,FALSE),"")</f>
        <v/>
      </c>
      <c r="B304" s="1360" t="str">
        <f>PACKING!AK105</f>
        <v/>
      </c>
      <c r="C304" s="1283" t="str">
        <f>IFERROR((VLOOKUP(B:B,'0.39'!B:F,4,FALSE)),"")</f>
        <v/>
      </c>
      <c r="D304" s="1331" t="str">
        <f>PACKING!AL75</f>
        <v/>
      </c>
      <c r="E304" s="1337" t="s">
        <v>2747</v>
      </c>
      <c r="F304" s="1285"/>
      <c r="G304" s="1281"/>
    </row>
    <row r="305" spans="1:7" ht="52.9" customHeight="1">
      <c r="A305" s="1284" t="str">
        <f>IFERROR(VLOOKUP(B:B,'0.39'!B:F,5,FALSE),"")</f>
        <v/>
      </c>
      <c r="B305" s="1360" t="str">
        <f>PACKING!AK106</f>
        <v/>
      </c>
      <c r="C305" s="1283" t="str">
        <f>IFERROR((VLOOKUP(B:B,'0.39'!B:F,4,FALSE)),"")</f>
        <v/>
      </c>
      <c r="D305" s="1331" t="str">
        <f>PACKING!AL76</f>
        <v/>
      </c>
      <c r="E305" s="1337" t="s">
        <v>2747</v>
      </c>
      <c r="F305" s="1282"/>
      <c r="G305" s="1281"/>
    </row>
    <row r="306" spans="1:7" ht="52.9" customHeight="1">
      <c r="A306" s="1284" t="str">
        <f>IFERROR(VLOOKUP(B:B,'0.39'!B:F,5,FALSE),"")</f>
        <v/>
      </c>
      <c r="B306" s="1360" t="str">
        <f>PACKING!AK107</f>
        <v/>
      </c>
      <c r="C306" s="1283" t="str">
        <f>IFERROR((VLOOKUP(B:B,'0.39'!B:F,4,FALSE)),"")</f>
        <v/>
      </c>
      <c r="D306" s="1331" t="str">
        <f>PACKING!AL77</f>
        <v/>
      </c>
      <c r="E306" s="1337" t="s">
        <v>2747</v>
      </c>
      <c r="F306" s="1282"/>
      <c r="G306" s="1281"/>
    </row>
    <row r="307" spans="1:7" ht="79.150000000000006" customHeight="1" thickBot="1">
      <c r="A307" s="1692" t="s">
        <v>204</v>
      </c>
      <c r="B307" s="1693"/>
      <c r="C307" s="1693"/>
      <c r="D307" s="1280">
        <f>SUM(D296:D306)</f>
        <v>0</v>
      </c>
      <c r="E307" s="1336" t="s">
        <v>2747</v>
      </c>
      <c r="F307" s="1279" t="s">
        <v>2746</v>
      </c>
      <c r="G307" s="1278" t="s">
        <v>2746</v>
      </c>
    </row>
    <row r="308" spans="1:7" ht="34.15" customHeight="1" thickBot="1">
      <c r="A308" s="133"/>
      <c r="B308" s="1358"/>
      <c r="C308" s="133"/>
      <c r="D308" s="133"/>
      <c r="E308" s="133"/>
      <c r="F308" s="133"/>
      <c r="G308" s="133"/>
    </row>
    <row r="309" spans="1:7" ht="75" customHeight="1" thickBot="1">
      <c r="A309" s="1300"/>
      <c r="B309" s="1299" t="str">
        <f>BASIC_TOOL!$B$6</f>
        <v>A Project</v>
      </c>
      <c r="C309" s="1304" t="s">
        <v>2756</v>
      </c>
      <c r="D309" s="1309" t="e">
        <f ca="1">_xlfn.IFS(PACKING!AN65="M", "1X1.5M",PACKING!AN65="L", "1X2M",PACKING!AN65="S", "1X1M")</f>
        <v>#NAME?</v>
      </c>
      <c r="E309" s="1296">
        <f>PACKING!AN94</f>
        <v>19</v>
      </c>
      <c r="F309" s="1295" t="s">
        <v>2755</v>
      </c>
      <c r="G309" s="1294">
        <f>PACKING!$C$93</f>
        <v>2</v>
      </c>
    </row>
    <row r="310" spans="1:7" ht="80.45" customHeight="1">
      <c r="A310" s="1290" t="s">
        <v>2754</v>
      </c>
      <c r="B310" s="1290" t="str">
        <f>BASIC_TOOL!$B$7</f>
        <v>DAMMAM, KSA</v>
      </c>
      <c r="C310" s="1293" t="str">
        <f>BASIC_TOOL!$C$14</f>
        <v>Non-Insulated</v>
      </c>
      <c r="D310" s="1694" t="str">
        <f>'PRINTOUT(BOM)'!A96</f>
        <v>▣ Size : 10mW x (5)mL x3mH =150 [TON]/ 1[SET]</v>
      </c>
      <c r="E310" s="1695"/>
      <c r="F310" s="1695"/>
      <c r="G310" s="1696"/>
    </row>
    <row r="311" spans="1:7" ht="52.15" customHeight="1">
      <c r="A311" s="1290" t="s">
        <v>2753</v>
      </c>
      <c r="B311" s="1292">
        <f>BASIC_TOOL!$F$7</f>
        <v>44343</v>
      </c>
      <c r="C311" s="1291" t="s">
        <v>2752</v>
      </c>
      <c r="D311" s="1691" t="str">
        <f>BASIC_TOOL!$D$6</f>
        <v>ABC</v>
      </c>
      <c r="E311" s="1691"/>
      <c r="F311" s="1691" t="s">
        <v>2751</v>
      </c>
      <c r="G311" s="1697"/>
    </row>
    <row r="312" spans="1:7" ht="61.15" customHeight="1">
      <c r="A312" s="1290" t="s">
        <v>176</v>
      </c>
      <c r="B312" s="1359" t="s">
        <v>177</v>
      </c>
      <c r="C312" s="1335" t="s">
        <v>2750</v>
      </c>
      <c r="D312" s="1691" t="s">
        <v>239</v>
      </c>
      <c r="E312" s="1691"/>
      <c r="F312" s="1288" t="s">
        <v>2749</v>
      </c>
      <c r="G312" s="1287" t="s">
        <v>2748</v>
      </c>
    </row>
    <row r="313" spans="1:7" ht="53.45" customHeight="1">
      <c r="A313" s="1284" t="str">
        <f>IFERROR(VLOOKUP(B:B,'0.39'!B:F,5,FALSE),"")</f>
        <v/>
      </c>
      <c r="B313" s="1360" t="str">
        <f>PACKING!AM97</f>
        <v/>
      </c>
      <c r="C313" s="1283" t="str">
        <f>IFERROR((VLOOKUP(B:B,'0.39'!B:F,4,FALSE)),"")</f>
        <v/>
      </c>
      <c r="D313" s="1331" t="str">
        <f>PACKING!AN67</f>
        <v/>
      </c>
      <c r="E313" s="1286" t="s">
        <v>2747</v>
      </c>
      <c r="F313" s="1285"/>
      <c r="G313" s="1281"/>
    </row>
    <row r="314" spans="1:7" ht="53.45" customHeight="1">
      <c r="A314" s="1284" t="str">
        <f>IFERROR(VLOOKUP(B:B,'0.39'!B:F,5,FALSE),"")</f>
        <v/>
      </c>
      <c r="B314" s="1360" t="str">
        <f>PACKING!AM98</f>
        <v/>
      </c>
      <c r="C314" s="1283" t="str">
        <f>IFERROR((VLOOKUP(B:B,'0.39'!B:F,4,FALSE)),"")</f>
        <v/>
      </c>
      <c r="D314" s="1331" t="str">
        <f>PACKING!AN68</f>
        <v/>
      </c>
      <c r="E314" s="1337" t="s">
        <v>2747</v>
      </c>
      <c r="F314" s="1285"/>
      <c r="G314" s="1281"/>
    </row>
    <row r="315" spans="1:7" ht="53.45" customHeight="1">
      <c r="A315" s="1284" t="str">
        <f>IFERROR(VLOOKUP(B:B,'0.39'!B:F,5,FALSE),"")</f>
        <v/>
      </c>
      <c r="B315" s="1360" t="str">
        <f>PACKING!AM99</f>
        <v/>
      </c>
      <c r="C315" s="1283" t="str">
        <f>IFERROR((VLOOKUP(B:B,'0.39'!B:F,4,FALSE)),"")</f>
        <v/>
      </c>
      <c r="D315" s="1331" t="str">
        <f>PACKING!AN69</f>
        <v/>
      </c>
      <c r="E315" s="1286" t="s">
        <v>2747</v>
      </c>
      <c r="F315" s="1285"/>
      <c r="G315" s="1281"/>
    </row>
    <row r="316" spans="1:7" ht="53.45" customHeight="1">
      <c r="A316" s="1284" t="str">
        <f>IFERROR(VLOOKUP(B:B,'0.39'!B:F,5,FALSE),"")</f>
        <v/>
      </c>
      <c r="B316" s="1360" t="str">
        <f>PACKING!AM100</f>
        <v/>
      </c>
      <c r="C316" s="1283" t="str">
        <f>IFERROR((VLOOKUP(B:B,'0.39'!B:F,4,FALSE)),"")</f>
        <v/>
      </c>
      <c r="D316" s="1331" t="str">
        <f>PACKING!AN70</f>
        <v/>
      </c>
      <c r="E316" s="1286" t="s">
        <v>2747</v>
      </c>
      <c r="F316" s="1282"/>
      <c r="G316" s="1281"/>
    </row>
    <row r="317" spans="1:7" ht="53.45" customHeight="1">
      <c r="A317" s="1284" t="str">
        <f>IFERROR(VLOOKUP(B:B,'0.39'!B:F,5,FALSE),"")</f>
        <v/>
      </c>
      <c r="B317" s="1360" t="str">
        <f>PACKING!AM101</f>
        <v/>
      </c>
      <c r="C317" s="1283" t="str">
        <f>IFERROR((VLOOKUP(B:B,'0.39'!B:F,4,FALSE)),"")</f>
        <v/>
      </c>
      <c r="D317" s="1331" t="str">
        <f>PACKING!AN71</f>
        <v/>
      </c>
      <c r="E317" s="1286" t="s">
        <v>2747</v>
      </c>
      <c r="F317" s="1282"/>
      <c r="G317" s="1281"/>
    </row>
    <row r="318" spans="1:7" ht="53.45" customHeight="1">
      <c r="A318" s="1284" t="str">
        <f>IFERROR(VLOOKUP(B:B,'0.39'!B:F,5,FALSE),"")</f>
        <v/>
      </c>
      <c r="B318" s="1360" t="str">
        <f>PACKING!AM102</f>
        <v/>
      </c>
      <c r="C318" s="1283" t="str">
        <f>IFERROR((VLOOKUP(B:B,'0.39'!B:F,4,FALSE)),"")</f>
        <v/>
      </c>
      <c r="D318" s="1331" t="str">
        <f>PACKING!AN72</f>
        <v/>
      </c>
      <c r="E318" s="1337" t="s">
        <v>2747</v>
      </c>
      <c r="F318" s="1282"/>
      <c r="G318" s="1281"/>
    </row>
    <row r="319" spans="1:7" ht="53.45" customHeight="1">
      <c r="A319" s="1284" t="str">
        <f>IFERROR(VLOOKUP(B:B,'0.39'!B:F,5,FALSE),"")</f>
        <v/>
      </c>
      <c r="B319" s="1360" t="str">
        <f>PACKING!AM103</f>
        <v/>
      </c>
      <c r="C319" s="1283" t="str">
        <f>IFERROR((VLOOKUP(B:B,'0.39'!B:F,4,FALSE)),"")</f>
        <v/>
      </c>
      <c r="D319" s="1331" t="str">
        <f>PACKING!AN73</f>
        <v/>
      </c>
      <c r="E319" s="1337" t="s">
        <v>2747</v>
      </c>
      <c r="F319" s="1282"/>
      <c r="G319" s="1281"/>
    </row>
    <row r="320" spans="1:7" ht="53.45" customHeight="1">
      <c r="A320" s="1284" t="str">
        <f>IFERROR(VLOOKUP(B:B,'0.39'!B:F,5,FALSE),"")</f>
        <v/>
      </c>
      <c r="B320" s="1360" t="str">
        <f>PACKING!AM104</f>
        <v/>
      </c>
      <c r="C320" s="1283" t="str">
        <f>IFERROR((VLOOKUP(B:B,'0.39'!B:F,4,FALSE)),"")</f>
        <v/>
      </c>
      <c r="D320" s="1331" t="str">
        <f>PACKING!AN74</f>
        <v/>
      </c>
      <c r="E320" s="1337" t="s">
        <v>2747</v>
      </c>
      <c r="F320" s="1282"/>
      <c r="G320" s="1281"/>
    </row>
    <row r="321" spans="1:7" ht="53.45" customHeight="1">
      <c r="A321" s="1284" t="str">
        <f>IFERROR(VLOOKUP(B:B,'0.39'!B:F,5,FALSE),"")</f>
        <v/>
      </c>
      <c r="B321" s="1360" t="str">
        <f>PACKING!AM105</f>
        <v/>
      </c>
      <c r="C321" s="1283" t="str">
        <f>IFERROR((VLOOKUP(B:B,'0.39'!B:F,4,FALSE)),"")</f>
        <v/>
      </c>
      <c r="D321" s="1331" t="str">
        <f>PACKING!AN75</f>
        <v/>
      </c>
      <c r="E321" s="1337" t="s">
        <v>2747</v>
      </c>
      <c r="F321" s="1285"/>
      <c r="G321" s="1281"/>
    </row>
    <row r="322" spans="1:7" ht="53.45" customHeight="1">
      <c r="A322" s="1284" t="str">
        <f>IFERROR(VLOOKUP(B:B,'0.39'!B:F,5,FALSE),"")</f>
        <v/>
      </c>
      <c r="B322" s="1360" t="str">
        <f>PACKING!AM106</f>
        <v/>
      </c>
      <c r="C322" s="1283" t="str">
        <f>IFERROR((VLOOKUP(B:B,'0.39'!B:F,4,FALSE)),"")</f>
        <v/>
      </c>
      <c r="D322" s="1331" t="str">
        <f>PACKING!AN76</f>
        <v/>
      </c>
      <c r="E322" s="1337" t="s">
        <v>2747</v>
      </c>
      <c r="F322" s="1282"/>
      <c r="G322" s="1281"/>
    </row>
    <row r="323" spans="1:7" ht="53.45" customHeight="1">
      <c r="A323" s="1284" t="str">
        <f>IFERROR(VLOOKUP(B:B,'0.39'!B:F,5,FALSE),"")</f>
        <v/>
      </c>
      <c r="B323" s="1360" t="str">
        <f>PACKING!AM107</f>
        <v/>
      </c>
      <c r="C323" s="1283" t="str">
        <f>IFERROR((VLOOKUP(B:B,'0.39'!B:F,4,FALSE)),"")</f>
        <v/>
      </c>
      <c r="D323" s="1331" t="str">
        <f>PACKING!AN77</f>
        <v/>
      </c>
      <c r="E323" s="1337" t="s">
        <v>2747</v>
      </c>
      <c r="F323" s="1282"/>
      <c r="G323" s="1281"/>
    </row>
    <row r="324" spans="1:7" ht="57.6" customHeight="1" thickBot="1">
      <c r="A324" s="1692" t="s">
        <v>204</v>
      </c>
      <c r="B324" s="1693"/>
      <c r="C324" s="1693"/>
      <c r="D324" s="1280">
        <f>SUM(D313:D323)</f>
        <v>0</v>
      </c>
      <c r="E324" s="1336" t="s">
        <v>2747</v>
      </c>
      <c r="F324" s="1279" t="s">
        <v>2746</v>
      </c>
      <c r="G324" s="1278" t="s">
        <v>2746</v>
      </c>
    </row>
    <row r="325" spans="1:7" ht="35.25" thickBot="1">
      <c r="A325" s="1302"/>
      <c r="B325" s="1361"/>
      <c r="C325" s="1302"/>
      <c r="D325" s="1303"/>
      <c r="E325" s="1302"/>
      <c r="F325" s="1301"/>
      <c r="G325" s="1301"/>
    </row>
    <row r="326" spans="1:7" ht="75.599999999999994" customHeight="1" thickBot="1">
      <c r="A326" s="1300"/>
      <c r="B326" s="1299" t="str">
        <f>BASIC_TOOL!$B$6</f>
        <v>A Project</v>
      </c>
      <c r="C326" s="1304" t="s">
        <v>2756</v>
      </c>
      <c r="D326" s="1297" t="e">
        <f ca="1">_xlfn.IFS(PACKING!AP65="M", "1X1.5M",PACKING!AP65="L", "1X2M",PACKING!AP65="S", "1X1M")</f>
        <v>#NAME?</v>
      </c>
      <c r="E326" s="1296">
        <f>PACKING!AP94</f>
        <v>20</v>
      </c>
      <c r="F326" s="1295" t="s">
        <v>2755</v>
      </c>
      <c r="G326" s="1294">
        <f>PACKING!$C$93</f>
        <v>2</v>
      </c>
    </row>
    <row r="327" spans="1:7" ht="87.6" customHeight="1">
      <c r="A327" s="1290" t="s">
        <v>2754</v>
      </c>
      <c r="B327" s="1290" t="str">
        <f>BASIC_TOOL!$B$7</f>
        <v>DAMMAM, KSA</v>
      </c>
      <c r="C327" s="1293" t="str">
        <f>BASIC_TOOL!$C$14</f>
        <v>Non-Insulated</v>
      </c>
      <c r="D327" s="1694" t="str">
        <f>'PRINTOUT(BOM)'!A96</f>
        <v>▣ Size : 10mW x (5)mL x3mH =150 [TON]/ 1[SET]</v>
      </c>
      <c r="E327" s="1695"/>
      <c r="F327" s="1695"/>
      <c r="G327" s="1696"/>
    </row>
    <row r="328" spans="1:7" ht="63.6" customHeight="1">
      <c r="A328" s="1290" t="s">
        <v>2753</v>
      </c>
      <c r="B328" s="1292">
        <f>BASIC_TOOL!$F$7</f>
        <v>44343</v>
      </c>
      <c r="C328" s="1291" t="s">
        <v>2752</v>
      </c>
      <c r="D328" s="1691" t="str">
        <f>BASIC_TOOL!$D$6</f>
        <v>ABC</v>
      </c>
      <c r="E328" s="1691"/>
      <c r="F328" s="1691" t="s">
        <v>2751</v>
      </c>
      <c r="G328" s="1697"/>
    </row>
    <row r="329" spans="1:7" ht="60">
      <c r="A329" s="1290" t="s">
        <v>176</v>
      </c>
      <c r="B329" s="1359" t="s">
        <v>177</v>
      </c>
      <c r="C329" s="1335" t="s">
        <v>2750</v>
      </c>
      <c r="D329" s="1691" t="s">
        <v>239</v>
      </c>
      <c r="E329" s="1691"/>
      <c r="F329" s="1288" t="s">
        <v>2749</v>
      </c>
      <c r="G329" s="1287" t="s">
        <v>2748</v>
      </c>
    </row>
    <row r="330" spans="1:7" ht="52.9" customHeight="1">
      <c r="A330" s="1284" t="str">
        <f>IFERROR(VLOOKUP(B:B,'0.39'!B:F,5,FALSE),"")</f>
        <v/>
      </c>
      <c r="B330" s="1360" t="str">
        <f>PACKING!AO97</f>
        <v/>
      </c>
      <c r="C330" s="1283" t="str">
        <f>IFERROR((VLOOKUP(B:B,'0.39'!B:F,4,FALSE)),"")</f>
        <v/>
      </c>
      <c r="D330" s="1331" t="str">
        <f>PACKING!AP67</f>
        <v/>
      </c>
      <c r="E330" s="1286" t="s">
        <v>2747</v>
      </c>
      <c r="F330" s="1285"/>
      <c r="G330" s="1281"/>
    </row>
    <row r="331" spans="1:7" ht="52.9" customHeight="1">
      <c r="A331" s="1284" t="str">
        <f>IFERROR(VLOOKUP(B:B,'0.39'!B:F,5,FALSE),"")</f>
        <v/>
      </c>
      <c r="B331" s="1360" t="str">
        <f>PACKING!AO98</f>
        <v/>
      </c>
      <c r="C331" s="1283" t="str">
        <f>IFERROR((VLOOKUP(B:B,'0.39'!B:F,4,FALSE)),"")</f>
        <v/>
      </c>
      <c r="D331" s="1331" t="str">
        <f>PACKING!AP68</f>
        <v/>
      </c>
      <c r="E331" s="1337" t="s">
        <v>2747</v>
      </c>
      <c r="F331" s="1285"/>
      <c r="G331" s="1281"/>
    </row>
    <row r="332" spans="1:7" ht="52.9" customHeight="1">
      <c r="A332" s="1284" t="str">
        <f>IFERROR(VLOOKUP(B:B,'0.39'!B:F,5,FALSE),"")</f>
        <v/>
      </c>
      <c r="B332" s="1360" t="str">
        <f>PACKING!AO99</f>
        <v/>
      </c>
      <c r="C332" s="1283" t="str">
        <f>IFERROR((VLOOKUP(B:B,'0.39'!B:F,4,FALSE)),"")</f>
        <v/>
      </c>
      <c r="D332" s="1331" t="str">
        <f>PACKING!AP69</f>
        <v/>
      </c>
      <c r="E332" s="1286" t="s">
        <v>2747</v>
      </c>
      <c r="F332" s="1285"/>
      <c r="G332" s="1281"/>
    </row>
    <row r="333" spans="1:7" ht="52.9" customHeight="1">
      <c r="A333" s="1284" t="str">
        <f>IFERROR(VLOOKUP(B:B,'0.39'!B:F,5,FALSE),"")</f>
        <v/>
      </c>
      <c r="B333" s="1360" t="str">
        <f>PACKING!AO100</f>
        <v/>
      </c>
      <c r="C333" s="1283" t="str">
        <f>IFERROR((VLOOKUP(B:B,'0.39'!B:F,4,FALSE)),"")</f>
        <v/>
      </c>
      <c r="D333" s="1331" t="str">
        <f>PACKING!AP70</f>
        <v/>
      </c>
      <c r="E333" s="1286" t="s">
        <v>2747</v>
      </c>
      <c r="F333" s="1282"/>
      <c r="G333" s="1281"/>
    </row>
    <row r="334" spans="1:7" ht="52.9" customHeight="1">
      <c r="A334" s="1284" t="str">
        <f>IFERROR(VLOOKUP(B:B,'0.39'!B:F,5,FALSE),"")</f>
        <v/>
      </c>
      <c r="B334" s="1360" t="str">
        <f>PACKING!AO101</f>
        <v/>
      </c>
      <c r="C334" s="1283" t="str">
        <f>IFERROR((VLOOKUP(B:B,'0.39'!B:F,4,FALSE)),"")</f>
        <v/>
      </c>
      <c r="D334" s="1331" t="str">
        <f>PACKING!AP71</f>
        <v/>
      </c>
      <c r="E334" s="1286" t="s">
        <v>2747</v>
      </c>
      <c r="F334" s="1282"/>
      <c r="G334" s="1281"/>
    </row>
    <row r="335" spans="1:7" ht="52.9" customHeight="1">
      <c r="A335" s="1284" t="str">
        <f>IFERROR(VLOOKUP(B:B,'0.39'!B:F,5,FALSE),"")</f>
        <v/>
      </c>
      <c r="B335" s="1360" t="str">
        <f>PACKING!AO102</f>
        <v/>
      </c>
      <c r="C335" s="1283" t="str">
        <f>IFERROR((VLOOKUP(B:B,'0.39'!B:F,4,FALSE)),"")</f>
        <v/>
      </c>
      <c r="D335" s="1331" t="str">
        <f>PACKING!AP72</f>
        <v/>
      </c>
      <c r="E335" s="1337" t="s">
        <v>2747</v>
      </c>
      <c r="F335" s="1282"/>
      <c r="G335" s="1281"/>
    </row>
    <row r="336" spans="1:7" ht="52.9" customHeight="1">
      <c r="A336" s="1284" t="str">
        <f>IFERROR(VLOOKUP(B:B,'0.39'!B:F,5,FALSE),"")</f>
        <v/>
      </c>
      <c r="B336" s="1360" t="str">
        <f>PACKING!AO103</f>
        <v/>
      </c>
      <c r="C336" s="1283" t="str">
        <f>IFERROR((VLOOKUP(B:B,'0.39'!B:F,4,FALSE)),"")</f>
        <v/>
      </c>
      <c r="D336" s="1331" t="str">
        <f>PACKING!AP73</f>
        <v/>
      </c>
      <c r="E336" s="1337" t="s">
        <v>2747</v>
      </c>
      <c r="F336" s="1282"/>
      <c r="G336" s="1281"/>
    </row>
    <row r="337" spans="1:7" ht="52.9" customHeight="1">
      <c r="A337" s="1284" t="str">
        <f>IFERROR(VLOOKUP(B:B,'0.39'!B:F,5,FALSE),"")</f>
        <v/>
      </c>
      <c r="B337" s="1360" t="str">
        <f>PACKING!AO104</f>
        <v/>
      </c>
      <c r="C337" s="1283" t="str">
        <f>IFERROR((VLOOKUP(B:B,'0.39'!B:F,4,FALSE)),"")</f>
        <v/>
      </c>
      <c r="D337" s="1331" t="str">
        <f>PACKING!AP74</f>
        <v/>
      </c>
      <c r="E337" s="1337" t="s">
        <v>2747</v>
      </c>
      <c r="F337" s="1282"/>
      <c r="G337" s="1281"/>
    </row>
    <row r="338" spans="1:7" ht="52.9" customHeight="1">
      <c r="A338" s="1284" t="str">
        <f>IFERROR(VLOOKUP(B:B,'0.39'!B:F,5,FALSE),"")</f>
        <v/>
      </c>
      <c r="B338" s="1360" t="str">
        <f>PACKING!AO105</f>
        <v/>
      </c>
      <c r="C338" s="1283" t="str">
        <f>IFERROR((VLOOKUP(B:B,'0.39'!B:F,4,FALSE)),"")</f>
        <v/>
      </c>
      <c r="D338" s="1331" t="str">
        <f>PACKING!AP75</f>
        <v/>
      </c>
      <c r="E338" s="1337" t="s">
        <v>2747</v>
      </c>
      <c r="F338" s="1285"/>
      <c r="G338" s="1281"/>
    </row>
    <row r="339" spans="1:7" ht="52.9" customHeight="1">
      <c r="A339" s="1284" t="str">
        <f>IFERROR(VLOOKUP(B:B,'0.39'!B:F,5,FALSE),"")</f>
        <v/>
      </c>
      <c r="B339" s="1360" t="str">
        <f>PACKING!AO106</f>
        <v/>
      </c>
      <c r="C339" s="1283" t="str">
        <f>IFERROR((VLOOKUP(B:B,'0.39'!B:F,4,FALSE)),"")</f>
        <v/>
      </c>
      <c r="D339" s="1331" t="str">
        <f>PACKING!AP76</f>
        <v/>
      </c>
      <c r="E339" s="1337" t="s">
        <v>2747</v>
      </c>
      <c r="F339" s="1282"/>
      <c r="G339" s="1281"/>
    </row>
    <row r="340" spans="1:7" ht="52.9" customHeight="1">
      <c r="A340" s="1284" t="str">
        <f>IFERROR(VLOOKUP(B:B,'0.39'!B:F,5,FALSE),"")</f>
        <v/>
      </c>
      <c r="B340" s="1360" t="str">
        <f>PACKING!AO107</f>
        <v/>
      </c>
      <c r="C340" s="1283" t="str">
        <f>IFERROR((VLOOKUP(B:B,'0.39'!B:F,4,FALSE)),"")</f>
        <v/>
      </c>
      <c r="D340" s="1331" t="str">
        <f>PACKING!AP77</f>
        <v/>
      </c>
      <c r="E340" s="1337" t="s">
        <v>2747</v>
      </c>
      <c r="F340" s="1282"/>
      <c r="G340" s="1281"/>
    </row>
    <row r="341" spans="1:7" ht="79.150000000000006" customHeight="1" thickBot="1">
      <c r="A341" s="1692" t="s">
        <v>204</v>
      </c>
      <c r="B341" s="1693"/>
      <c r="C341" s="1693"/>
      <c r="D341" s="1280">
        <f>SUM(D330:D340)</f>
        <v>0</v>
      </c>
      <c r="E341" s="1336" t="s">
        <v>2747</v>
      </c>
      <c r="F341" s="1279" t="s">
        <v>2746</v>
      </c>
      <c r="G341" s="1279" t="s">
        <v>2746</v>
      </c>
    </row>
    <row r="342" spans="1:7" ht="35.25" thickBot="1">
      <c r="A342" s="1302"/>
      <c r="B342" s="1361"/>
      <c r="C342" s="1302"/>
      <c r="D342" s="1303"/>
      <c r="E342" s="1302"/>
      <c r="F342" s="1301"/>
      <c r="G342" s="1301"/>
    </row>
    <row r="343" spans="1:7" ht="75.599999999999994" customHeight="1" thickBot="1">
      <c r="A343" s="1300"/>
      <c r="B343" s="1299" t="str">
        <f>BASIC_TOOL!$B$6</f>
        <v>A Project</v>
      </c>
      <c r="C343" s="1304" t="s">
        <v>2756</v>
      </c>
      <c r="D343" s="1308" t="e">
        <f ca="1">_xlfn.IFS(PACKING!AR65="M", "1X1.5M",PACKING!AR65="L", "1X2M",PACKING!AR65="S", "1X1M")</f>
        <v>#NAME?</v>
      </c>
      <c r="E343" s="1307">
        <f>PACKING!AR94</f>
        <v>21</v>
      </c>
      <c r="F343" s="1306" t="s">
        <v>2755</v>
      </c>
      <c r="G343" s="1294">
        <f>PACKING!$C$93</f>
        <v>2</v>
      </c>
    </row>
    <row r="344" spans="1:7" ht="87.6" customHeight="1">
      <c r="A344" s="1290" t="s">
        <v>2754</v>
      </c>
      <c r="B344" s="1290" t="str">
        <f>BASIC_TOOL!$B$7</f>
        <v>DAMMAM, KSA</v>
      </c>
      <c r="C344" s="1293" t="str">
        <f>BASIC_TOOL!$C$14</f>
        <v>Non-Insulated</v>
      </c>
      <c r="D344" s="1694" t="str">
        <f>'PRINTOUT(BOM)'!A96</f>
        <v>▣ Size : 10mW x (5)mL x3mH =150 [TON]/ 1[SET]</v>
      </c>
      <c r="E344" s="1695"/>
      <c r="F344" s="1695"/>
      <c r="G344" s="1696"/>
    </row>
    <row r="345" spans="1:7" ht="63.6" customHeight="1">
      <c r="A345" s="1290" t="s">
        <v>2753</v>
      </c>
      <c r="B345" s="1292">
        <f>BASIC_TOOL!$F$7</f>
        <v>44343</v>
      </c>
      <c r="C345" s="1291" t="s">
        <v>2752</v>
      </c>
      <c r="D345" s="1691" t="str">
        <f>BASIC_TOOL!$D$6</f>
        <v>ABC</v>
      </c>
      <c r="E345" s="1691"/>
      <c r="F345" s="1691" t="s">
        <v>2751</v>
      </c>
      <c r="G345" s="1697"/>
    </row>
    <row r="346" spans="1:7" ht="60">
      <c r="A346" s="1290" t="s">
        <v>176</v>
      </c>
      <c r="B346" s="1359" t="s">
        <v>177</v>
      </c>
      <c r="C346" s="1335" t="s">
        <v>2750</v>
      </c>
      <c r="D346" s="1691" t="s">
        <v>239</v>
      </c>
      <c r="E346" s="1691"/>
      <c r="F346" s="1288" t="s">
        <v>2749</v>
      </c>
      <c r="G346" s="1287" t="s">
        <v>2748</v>
      </c>
    </row>
    <row r="347" spans="1:7" ht="52.9" customHeight="1">
      <c r="A347" s="1284" t="str">
        <f>IFERROR(VLOOKUP(B:B,'0.39'!B:F,5,FALSE),"")</f>
        <v/>
      </c>
      <c r="B347" s="1360" t="str">
        <f>PACKING!AQ97</f>
        <v/>
      </c>
      <c r="C347" s="1283" t="str">
        <f>IFERROR((VLOOKUP(B:B,'0.39'!B:F,4,FALSE)),"")</f>
        <v/>
      </c>
      <c r="D347" s="1331" t="str">
        <f>PACKING!AR67</f>
        <v/>
      </c>
      <c r="E347" s="1286" t="s">
        <v>2747</v>
      </c>
      <c r="F347" s="1285"/>
      <c r="G347" s="1281"/>
    </row>
    <row r="348" spans="1:7" ht="52.9" customHeight="1">
      <c r="A348" s="1284" t="str">
        <f>IFERROR(VLOOKUP(B:B,'0.39'!B:F,5,FALSE),"")</f>
        <v/>
      </c>
      <c r="B348" s="1360" t="str">
        <f>PACKING!AQ98</f>
        <v/>
      </c>
      <c r="C348" s="1283" t="str">
        <f>IFERROR((VLOOKUP(B:B,'0.39'!B:F,4,FALSE)),"")</f>
        <v/>
      </c>
      <c r="D348" s="1331" t="str">
        <f>PACKING!AR68</f>
        <v/>
      </c>
      <c r="E348" s="1337" t="s">
        <v>2747</v>
      </c>
      <c r="F348" s="1285"/>
      <c r="G348" s="1281"/>
    </row>
    <row r="349" spans="1:7" ht="52.9" customHeight="1">
      <c r="A349" s="1284" t="str">
        <f>IFERROR(VLOOKUP(B:B,'0.39'!B:F,5,FALSE),"")</f>
        <v/>
      </c>
      <c r="B349" s="1360" t="str">
        <f>PACKING!AQ99</f>
        <v/>
      </c>
      <c r="C349" s="1283" t="str">
        <f>IFERROR((VLOOKUP(B:B,'0.39'!B:F,4,FALSE)),"")</f>
        <v/>
      </c>
      <c r="D349" s="1331" t="str">
        <f>PACKING!AR69</f>
        <v/>
      </c>
      <c r="E349" s="1286" t="s">
        <v>2747</v>
      </c>
      <c r="F349" s="1285"/>
      <c r="G349" s="1281"/>
    </row>
    <row r="350" spans="1:7" ht="52.9" customHeight="1">
      <c r="A350" s="1284" t="str">
        <f>IFERROR(VLOOKUP(B:B,'0.39'!B:F,5,FALSE),"")</f>
        <v/>
      </c>
      <c r="B350" s="1360" t="str">
        <f>PACKING!AQ100</f>
        <v/>
      </c>
      <c r="C350" s="1283" t="str">
        <f>IFERROR((VLOOKUP(B:B,'0.39'!B:F,4,FALSE)),"")</f>
        <v/>
      </c>
      <c r="D350" s="1331" t="str">
        <f>PACKING!AR70</f>
        <v/>
      </c>
      <c r="E350" s="1286" t="s">
        <v>2747</v>
      </c>
      <c r="F350" s="1282"/>
      <c r="G350" s="1281"/>
    </row>
    <row r="351" spans="1:7" ht="52.9" customHeight="1">
      <c r="A351" s="1284" t="str">
        <f>IFERROR(VLOOKUP(B:B,'0.39'!B:F,5,FALSE),"")</f>
        <v/>
      </c>
      <c r="B351" s="1360" t="str">
        <f>PACKING!AQ101</f>
        <v/>
      </c>
      <c r="C351" s="1283" t="str">
        <f>IFERROR((VLOOKUP(B:B,'0.39'!B:F,4,FALSE)),"")</f>
        <v/>
      </c>
      <c r="D351" s="1331" t="str">
        <f>PACKING!AR71</f>
        <v/>
      </c>
      <c r="E351" s="1286" t="s">
        <v>2747</v>
      </c>
      <c r="F351" s="1282"/>
      <c r="G351" s="1281"/>
    </row>
    <row r="352" spans="1:7" ht="52.9" customHeight="1">
      <c r="A352" s="1284" t="str">
        <f>IFERROR(VLOOKUP(B:B,'0.39'!B:F,5,FALSE),"")</f>
        <v/>
      </c>
      <c r="B352" s="1360" t="str">
        <f>PACKING!AQ102</f>
        <v/>
      </c>
      <c r="C352" s="1283" t="str">
        <f>IFERROR((VLOOKUP(B:B,'0.39'!B:F,4,FALSE)),"")</f>
        <v/>
      </c>
      <c r="D352" s="1331" t="str">
        <f>PACKING!AR72</f>
        <v/>
      </c>
      <c r="E352" s="1337" t="s">
        <v>2747</v>
      </c>
      <c r="F352" s="1282"/>
      <c r="G352" s="1281"/>
    </row>
    <row r="353" spans="1:7" ht="52.9" customHeight="1">
      <c r="A353" s="1284" t="str">
        <f>IFERROR(VLOOKUP(B:B,'0.39'!B:F,5,FALSE),"")</f>
        <v/>
      </c>
      <c r="B353" s="1360" t="str">
        <f>PACKING!AQ103</f>
        <v/>
      </c>
      <c r="C353" s="1283" t="str">
        <f>IFERROR((VLOOKUP(B:B,'0.39'!B:F,4,FALSE)),"")</f>
        <v/>
      </c>
      <c r="D353" s="1331" t="str">
        <f>PACKING!AR73</f>
        <v/>
      </c>
      <c r="E353" s="1337" t="s">
        <v>2747</v>
      </c>
      <c r="F353" s="1282"/>
      <c r="G353" s="1281"/>
    </row>
    <row r="354" spans="1:7" ht="52.9" customHeight="1">
      <c r="A354" s="1284" t="str">
        <f>IFERROR(VLOOKUP(B:B,'0.39'!B:F,5,FALSE),"")</f>
        <v/>
      </c>
      <c r="B354" s="1360" t="str">
        <f>PACKING!AQ104</f>
        <v/>
      </c>
      <c r="C354" s="1283" t="str">
        <f>IFERROR((VLOOKUP(B:B,'0.39'!B:F,4,FALSE)),"")</f>
        <v/>
      </c>
      <c r="D354" s="1331" t="str">
        <f>PACKING!AR74</f>
        <v/>
      </c>
      <c r="E354" s="1337" t="s">
        <v>2747</v>
      </c>
      <c r="F354" s="1282"/>
      <c r="G354" s="1281"/>
    </row>
    <row r="355" spans="1:7" ht="52.9" customHeight="1">
      <c r="A355" s="1284" t="str">
        <f>IFERROR(VLOOKUP(B:B,'0.39'!B:F,5,FALSE),"")</f>
        <v/>
      </c>
      <c r="B355" s="1360" t="str">
        <f>PACKING!AQ105</f>
        <v/>
      </c>
      <c r="C355" s="1283" t="str">
        <f>IFERROR((VLOOKUP(B:B,'0.39'!B:F,4,FALSE)),"")</f>
        <v/>
      </c>
      <c r="D355" s="1331" t="str">
        <f>PACKING!AR75</f>
        <v/>
      </c>
      <c r="E355" s="1337" t="s">
        <v>2747</v>
      </c>
      <c r="F355" s="1285"/>
      <c r="G355" s="1281"/>
    </row>
    <row r="356" spans="1:7" ht="52.9" customHeight="1">
      <c r="A356" s="1284" t="str">
        <f>IFERROR(VLOOKUP(B:B,'0.39'!B:F,5,FALSE),"")</f>
        <v/>
      </c>
      <c r="B356" s="1360" t="str">
        <f>PACKING!AQ106</f>
        <v/>
      </c>
      <c r="C356" s="1283" t="str">
        <f>IFERROR((VLOOKUP(B:B,'0.39'!B:F,4,FALSE)),"")</f>
        <v/>
      </c>
      <c r="D356" s="1331" t="str">
        <f>PACKING!AR76</f>
        <v/>
      </c>
      <c r="E356" s="1337" t="s">
        <v>2747</v>
      </c>
      <c r="F356" s="1282"/>
      <c r="G356" s="1281"/>
    </row>
    <row r="357" spans="1:7" ht="52.9" customHeight="1">
      <c r="A357" s="1284" t="str">
        <f>IFERROR(VLOOKUP(B:B,'0.39'!B:F,5,FALSE),"")</f>
        <v/>
      </c>
      <c r="B357" s="1360" t="str">
        <f>PACKING!AQ107</f>
        <v/>
      </c>
      <c r="C357" s="1283" t="str">
        <f>IFERROR((VLOOKUP(B:B,'0.39'!B:F,4,FALSE)),"")</f>
        <v/>
      </c>
      <c r="D357" s="1331" t="str">
        <f>PACKING!AR77</f>
        <v/>
      </c>
      <c r="E357" s="1337" t="s">
        <v>2747</v>
      </c>
      <c r="F357" s="1282"/>
      <c r="G357" s="1281"/>
    </row>
    <row r="358" spans="1:7" ht="79.150000000000006" customHeight="1" thickBot="1">
      <c r="A358" s="1692" t="s">
        <v>204</v>
      </c>
      <c r="B358" s="1693"/>
      <c r="C358" s="1693"/>
      <c r="D358" s="1280">
        <f>SUM(D347:D357)</f>
        <v>0</v>
      </c>
      <c r="E358" s="1336" t="s">
        <v>2747</v>
      </c>
      <c r="F358" s="1279" t="s">
        <v>2746</v>
      </c>
      <c r="G358" s="1278" t="s">
        <v>2746</v>
      </c>
    </row>
    <row r="359" spans="1:7" ht="35.25" thickBot="1">
      <c r="A359" s="1302"/>
      <c r="B359" s="1361"/>
      <c r="C359" s="1302"/>
      <c r="D359" s="1303"/>
      <c r="E359" s="1302"/>
      <c r="F359" s="1301"/>
      <c r="G359" s="1301"/>
    </row>
    <row r="360" spans="1:7" ht="75.599999999999994" customHeight="1" thickBot="1">
      <c r="A360" s="1300"/>
      <c r="B360" s="1299" t="str">
        <f>BASIC_TOOL!$B$6</f>
        <v>A Project</v>
      </c>
      <c r="C360" s="1304" t="s">
        <v>2756</v>
      </c>
      <c r="D360" s="1297" t="e">
        <f ca="1">_xlfn.IFS(PACKING!AT65="M", "1X1.5M",PACKING!AT65="L", "1X2M",PACKING!AT65="S", "1X1M")</f>
        <v>#NAME?</v>
      </c>
      <c r="E360" s="1296">
        <f>PACKING!AT94</f>
        <v>22</v>
      </c>
      <c r="F360" s="1295" t="s">
        <v>2755</v>
      </c>
      <c r="G360" s="1294">
        <f>PACKING!$C$63</f>
        <v>2</v>
      </c>
    </row>
    <row r="361" spans="1:7" ht="87.6" customHeight="1">
      <c r="A361" s="1290" t="s">
        <v>2754</v>
      </c>
      <c r="B361" s="1290" t="str">
        <f>BASIC_TOOL!$B$7</f>
        <v>DAMMAM, KSA</v>
      </c>
      <c r="C361" s="1293" t="str">
        <f>BASIC_TOOL!$C$14</f>
        <v>Non-Insulated</v>
      </c>
      <c r="D361" s="1694" t="str">
        <f>'PRINTOUT(BOM)'!A96</f>
        <v>▣ Size : 10mW x (5)mL x3mH =150 [TON]/ 1[SET]</v>
      </c>
      <c r="E361" s="1695"/>
      <c r="F361" s="1695"/>
      <c r="G361" s="1696"/>
    </row>
    <row r="362" spans="1:7" ht="63.6" customHeight="1">
      <c r="A362" s="1290" t="s">
        <v>2753</v>
      </c>
      <c r="B362" s="1292">
        <f>BASIC_TOOL!$F$7</f>
        <v>44343</v>
      </c>
      <c r="C362" s="1291" t="s">
        <v>2752</v>
      </c>
      <c r="D362" s="1691" t="str">
        <f>BASIC_TOOL!$D$6</f>
        <v>ABC</v>
      </c>
      <c r="E362" s="1691"/>
      <c r="F362" s="1691" t="s">
        <v>2751</v>
      </c>
      <c r="G362" s="1697"/>
    </row>
    <row r="363" spans="1:7" ht="60">
      <c r="A363" s="1290" t="s">
        <v>176</v>
      </c>
      <c r="B363" s="1359" t="s">
        <v>177</v>
      </c>
      <c r="C363" s="1335" t="s">
        <v>2750</v>
      </c>
      <c r="D363" s="1691" t="s">
        <v>239</v>
      </c>
      <c r="E363" s="1691"/>
      <c r="F363" s="1288" t="s">
        <v>2749</v>
      </c>
      <c r="G363" s="1287" t="s">
        <v>2748</v>
      </c>
    </row>
    <row r="364" spans="1:7" ht="52.9" customHeight="1">
      <c r="A364" s="1284" t="str">
        <f>IFERROR(VLOOKUP(B:B,'0.39'!B:F,5,FALSE),"")</f>
        <v/>
      </c>
      <c r="B364" s="1360" t="str">
        <f>PACKING!AS97</f>
        <v/>
      </c>
      <c r="C364" s="1283" t="str">
        <f>IFERROR((VLOOKUP(B:B,'0.39'!B:F,4,FALSE)),"")</f>
        <v/>
      </c>
      <c r="D364" s="1331" t="str">
        <f>PACKING!AT67</f>
        <v/>
      </c>
      <c r="E364" s="1286" t="s">
        <v>2747</v>
      </c>
      <c r="F364" s="1285"/>
      <c r="G364" s="1281"/>
    </row>
    <row r="365" spans="1:7" ht="52.9" customHeight="1">
      <c r="A365" s="1284" t="str">
        <f>IFERROR(VLOOKUP(B:B,'0.39'!B:F,5,FALSE),"")</f>
        <v/>
      </c>
      <c r="B365" s="1360" t="str">
        <f>PACKING!AS98</f>
        <v/>
      </c>
      <c r="C365" s="1283" t="str">
        <f>IFERROR((VLOOKUP(B:B,'0.39'!B:F,4,FALSE)),"")</f>
        <v/>
      </c>
      <c r="D365" s="1331" t="str">
        <f>PACKING!AT68</f>
        <v/>
      </c>
      <c r="E365" s="1337" t="s">
        <v>2747</v>
      </c>
      <c r="F365" s="1285"/>
      <c r="G365" s="1281"/>
    </row>
    <row r="366" spans="1:7" ht="52.9" customHeight="1">
      <c r="A366" s="1284" t="str">
        <f>IFERROR(VLOOKUP(B:B,'0.39'!B:F,5,FALSE),"")</f>
        <v/>
      </c>
      <c r="B366" s="1360" t="str">
        <f>PACKING!AS99</f>
        <v/>
      </c>
      <c r="C366" s="1283" t="str">
        <f>IFERROR((VLOOKUP(B:B,'0.39'!B:F,4,FALSE)),"")</f>
        <v/>
      </c>
      <c r="D366" s="1331" t="str">
        <f>PACKING!AT69</f>
        <v/>
      </c>
      <c r="E366" s="1286" t="s">
        <v>2747</v>
      </c>
      <c r="F366" s="1285"/>
      <c r="G366" s="1281"/>
    </row>
    <row r="367" spans="1:7" ht="52.9" customHeight="1">
      <c r="A367" s="1284" t="str">
        <f>IFERROR(VLOOKUP(B:B,'0.39'!B:F,5,FALSE),"")</f>
        <v/>
      </c>
      <c r="B367" s="1360" t="str">
        <f>PACKING!AS100</f>
        <v/>
      </c>
      <c r="C367" s="1283" t="str">
        <f>IFERROR((VLOOKUP(B:B,'0.39'!B:F,4,FALSE)),"")</f>
        <v/>
      </c>
      <c r="D367" s="1331" t="str">
        <f>PACKING!AT70</f>
        <v/>
      </c>
      <c r="E367" s="1286" t="s">
        <v>2747</v>
      </c>
      <c r="F367" s="1282"/>
      <c r="G367" s="1281"/>
    </row>
    <row r="368" spans="1:7" ht="52.9" customHeight="1">
      <c r="A368" s="1284" t="str">
        <f>IFERROR(VLOOKUP(B:B,'0.39'!B:F,5,FALSE),"")</f>
        <v/>
      </c>
      <c r="B368" s="1360" t="str">
        <f>PACKING!AS101</f>
        <v/>
      </c>
      <c r="C368" s="1283" t="str">
        <f>IFERROR((VLOOKUP(B:B,'0.39'!B:F,4,FALSE)),"")</f>
        <v/>
      </c>
      <c r="D368" s="1331" t="str">
        <f>PACKING!AT71</f>
        <v/>
      </c>
      <c r="E368" s="1286" t="s">
        <v>2747</v>
      </c>
      <c r="F368" s="1282"/>
      <c r="G368" s="1281"/>
    </row>
    <row r="369" spans="1:7" ht="52.9" customHeight="1">
      <c r="A369" s="1284" t="str">
        <f>IFERROR(VLOOKUP(B:B,'0.39'!B:F,5,FALSE),"")</f>
        <v/>
      </c>
      <c r="B369" s="1360" t="str">
        <f>PACKING!AS102</f>
        <v/>
      </c>
      <c r="C369" s="1283" t="str">
        <f>IFERROR((VLOOKUP(B:B,'0.39'!B:F,4,FALSE)),"")</f>
        <v/>
      </c>
      <c r="D369" s="1331" t="str">
        <f>PACKING!AT72</f>
        <v/>
      </c>
      <c r="E369" s="1337" t="s">
        <v>2747</v>
      </c>
      <c r="F369" s="1282"/>
      <c r="G369" s="1281"/>
    </row>
    <row r="370" spans="1:7" ht="52.9" customHeight="1">
      <c r="A370" s="1284" t="str">
        <f>IFERROR(VLOOKUP(B:B,'0.39'!B:F,5,FALSE),"")</f>
        <v/>
      </c>
      <c r="B370" s="1360" t="str">
        <f>PACKING!AS103</f>
        <v/>
      </c>
      <c r="C370" s="1283" t="str">
        <f>IFERROR((VLOOKUP(B:B,'0.39'!B:F,4,FALSE)),"")</f>
        <v/>
      </c>
      <c r="D370" s="1331" t="str">
        <f>PACKING!AT73</f>
        <v/>
      </c>
      <c r="E370" s="1337" t="s">
        <v>2747</v>
      </c>
      <c r="F370" s="1282"/>
      <c r="G370" s="1281"/>
    </row>
    <row r="371" spans="1:7" ht="52.9" customHeight="1">
      <c r="A371" s="1284" t="str">
        <f>IFERROR(VLOOKUP(B:B,'0.39'!B:F,5,FALSE),"")</f>
        <v/>
      </c>
      <c r="B371" s="1360" t="str">
        <f>PACKING!AS104</f>
        <v/>
      </c>
      <c r="C371" s="1283" t="str">
        <f>IFERROR((VLOOKUP(B:B,'0.39'!B:F,4,FALSE)),"")</f>
        <v/>
      </c>
      <c r="D371" s="1331" t="str">
        <f>PACKING!AT74</f>
        <v/>
      </c>
      <c r="E371" s="1337" t="s">
        <v>2747</v>
      </c>
      <c r="F371" s="1282"/>
      <c r="G371" s="1281"/>
    </row>
    <row r="372" spans="1:7" ht="52.9" customHeight="1">
      <c r="A372" s="1284" t="str">
        <f>IFERROR(VLOOKUP(B:B,'0.39'!B:F,5,FALSE),"")</f>
        <v/>
      </c>
      <c r="B372" s="1360" t="str">
        <f>PACKING!AS105</f>
        <v/>
      </c>
      <c r="C372" s="1283" t="str">
        <f>IFERROR((VLOOKUP(B:B,'0.39'!B:F,4,FALSE)),"")</f>
        <v/>
      </c>
      <c r="D372" s="1331" t="str">
        <f>PACKING!AT75</f>
        <v/>
      </c>
      <c r="E372" s="1337" t="s">
        <v>2747</v>
      </c>
      <c r="F372" s="1285"/>
      <c r="G372" s="1281"/>
    </row>
    <row r="373" spans="1:7" ht="52.9" customHeight="1">
      <c r="A373" s="1284" t="str">
        <f>IFERROR(VLOOKUP(B:B,'0.39'!B:F,5,FALSE),"")</f>
        <v/>
      </c>
      <c r="B373" s="1360" t="str">
        <f>PACKING!AS106</f>
        <v/>
      </c>
      <c r="C373" s="1283" t="str">
        <f>IFERROR((VLOOKUP(B:B,'0.39'!B:F,4,FALSE)),"")</f>
        <v/>
      </c>
      <c r="D373" s="1331" t="str">
        <f>PACKING!AT76</f>
        <v/>
      </c>
      <c r="E373" s="1337" t="s">
        <v>2747</v>
      </c>
      <c r="F373" s="1282"/>
      <c r="G373" s="1281"/>
    </row>
    <row r="374" spans="1:7" ht="52.9" customHeight="1">
      <c r="A374" s="1284" t="str">
        <f>IFERROR(VLOOKUP(B:B,'0.39'!B:F,5,FALSE),"")</f>
        <v/>
      </c>
      <c r="B374" s="1360" t="str">
        <f>PACKING!AS107</f>
        <v/>
      </c>
      <c r="C374" s="1283" t="str">
        <f>IFERROR((VLOOKUP(B:B,'0.39'!B:F,4,FALSE)),"")</f>
        <v/>
      </c>
      <c r="D374" s="1331" t="str">
        <f>PACKING!AT77</f>
        <v/>
      </c>
      <c r="E374" s="1337" t="s">
        <v>2747</v>
      </c>
      <c r="F374" s="1282"/>
      <c r="G374" s="1281"/>
    </row>
    <row r="375" spans="1:7" ht="79.150000000000006" customHeight="1" thickBot="1">
      <c r="A375" s="1692" t="s">
        <v>204</v>
      </c>
      <c r="B375" s="1693"/>
      <c r="C375" s="1693"/>
      <c r="D375" s="1362"/>
      <c r="E375" s="1336" t="s">
        <v>2747</v>
      </c>
      <c r="F375" s="1279" t="s">
        <v>2746</v>
      </c>
      <c r="G375" s="1278" t="s">
        <v>2746</v>
      </c>
    </row>
    <row r="376" spans="1:7" ht="35.25" thickBot="1">
      <c r="A376" s="1302"/>
      <c r="B376" s="1361"/>
      <c r="C376" s="1302"/>
      <c r="D376" s="1303"/>
      <c r="E376" s="1302"/>
      <c r="F376" s="1301"/>
      <c r="G376" s="1301"/>
    </row>
    <row r="377" spans="1:7" ht="75.599999999999994" customHeight="1" thickBot="1">
      <c r="A377" s="1300"/>
      <c r="B377" s="1299" t="str">
        <f>BASIC_TOOL!$B$6</f>
        <v>A Project</v>
      </c>
      <c r="C377" s="1304" t="s">
        <v>2756</v>
      </c>
      <c r="D377" s="1297" t="e">
        <f ca="1">_xlfn.IFS(PACKING!AV65="M", "1X1.5M",PACKING!AV65="L", "1X2M",PACKING!AV65="S", "1X1M")</f>
        <v>#NAME?</v>
      </c>
      <c r="E377" s="1296">
        <f>PACKING!AV94</f>
        <v>23</v>
      </c>
      <c r="F377" s="1295" t="s">
        <v>2755</v>
      </c>
      <c r="G377" s="1294">
        <f>PACKING!$C$63</f>
        <v>2</v>
      </c>
    </row>
    <row r="378" spans="1:7" ht="87.6" customHeight="1">
      <c r="A378" s="1290" t="s">
        <v>2754</v>
      </c>
      <c r="B378" s="1290" t="str">
        <f>BASIC_TOOL!$B$7</f>
        <v>DAMMAM, KSA</v>
      </c>
      <c r="C378" s="1293" t="str">
        <f>BASIC_TOOL!$C$14</f>
        <v>Non-Insulated</v>
      </c>
      <c r="D378" s="1694" t="str">
        <f>'PRINTOUT(BOM)'!A96</f>
        <v>▣ Size : 10mW x (5)mL x3mH =150 [TON]/ 1[SET]</v>
      </c>
      <c r="E378" s="1695"/>
      <c r="F378" s="1695"/>
      <c r="G378" s="1696"/>
    </row>
    <row r="379" spans="1:7" ht="63.6" customHeight="1">
      <c r="A379" s="1290" t="s">
        <v>2753</v>
      </c>
      <c r="B379" s="1292">
        <f>BASIC_TOOL!$F$7</f>
        <v>44343</v>
      </c>
      <c r="C379" s="1291" t="s">
        <v>2752</v>
      </c>
      <c r="D379" s="1691" t="str">
        <f>BASIC_TOOL!$D$6</f>
        <v>ABC</v>
      </c>
      <c r="E379" s="1691"/>
      <c r="F379" s="1691" t="s">
        <v>2751</v>
      </c>
      <c r="G379" s="1697"/>
    </row>
    <row r="380" spans="1:7" ht="60">
      <c r="A380" s="1290" t="s">
        <v>176</v>
      </c>
      <c r="B380" s="1359" t="s">
        <v>177</v>
      </c>
      <c r="C380" s="1335" t="s">
        <v>2750</v>
      </c>
      <c r="D380" s="1691" t="s">
        <v>239</v>
      </c>
      <c r="E380" s="1691"/>
      <c r="F380" s="1288" t="s">
        <v>2749</v>
      </c>
      <c r="G380" s="1287" t="s">
        <v>2748</v>
      </c>
    </row>
    <row r="381" spans="1:7" ht="52.9" customHeight="1">
      <c r="A381" s="1284" t="str">
        <f>IFERROR(VLOOKUP(B:B,'0.39'!B:F,5,FALSE),"")</f>
        <v/>
      </c>
      <c r="B381" s="1360" t="str">
        <f>PACKING!AU97</f>
        <v/>
      </c>
      <c r="C381" s="1283" t="str">
        <f>IFERROR((VLOOKUP(B:B,'0.39'!B:F,4,FALSE)),"")</f>
        <v/>
      </c>
      <c r="D381" s="1331" t="str">
        <f>PACKING!AV67</f>
        <v/>
      </c>
      <c r="E381" s="1286" t="s">
        <v>2747</v>
      </c>
      <c r="F381" s="1285"/>
      <c r="G381" s="1281"/>
    </row>
    <row r="382" spans="1:7" ht="52.9" customHeight="1">
      <c r="A382" s="1284" t="str">
        <f>IFERROR(VLOOKUP(B:B,'0.39'!B:F,5,FALSE),"")</f>
        <v/>
      </c>
      <c r="B382" s="1360" t="str">
        <f>PACKING!AU98</f>
        <v/>
      </c>
      <c r="C382" s="1283" t="str">
        <f>IFERROR((VLOOKUP(B:B,'0.39'!B:F,4,FALSE)),"")</f>
        <v/>
      </c>
      <c r="D382" s="1331" t="str">
        <f>PACKING!AV68</f>
        <v/>
      </c>
      <c r="E382" s="1337" t="s">
        <v>2747</v>
      </c>
      <c r="F382" s="1285"/>
      <c r="G382" s="1281"/>
    </row>
    <row r="383" spans="1:7" ht="52.9" customHeight="1">
      <c r="A383" s="1284" t="str">
        <f>IFERROR(VLOOKUP(B:B,'0.39'!B:F,5,FALSE),"")</f>
        <v/>
      </c>
      <c r="B383" s="1360" t="str">
        <f>PACKING!AU99</f>
        <v/>
      </c>
      <c r="C383" s="1283" t="str">
        <f>IFERROR((VLOOKUP(B:B,'0.39'!B:F,4,FALSE)),"")</f>
        <v/>
      </c>
      <c r="D383" s="1331" t="str">
        <f>PACKING!AV69</f>
        <v/>
      </c>
      <c r="E383" s="1286" t="s">
        <v>2747</v>
      </c>
      <c r="F383" s="1285"/>
      <c r="G383" s="1281"/>
    </row>
    <row r="384" spans="1:7" ht="52.9" customHeight="1">
      <c r="A384" s="1284" t="str">
        <f>IFERROR(VLOOKUP(B:B,'0.39'!B:F,5,FALSE),"")</f>
        <v/>
      </c>
      <c r="B384" s="1360" t="str">
        <f>PACKING!AU100</f>
        <v/>
      </c>
      <c r="C384" s="1283" t="str">
        <f>IFERROR((VLOOKUP(B:B,'0.39'!B:F,4,FALSE)),"")</f>
        <v/>
      </c>
      <c r="D384" s="1331" t="str">
        <f>PACKING!AV70</f>
        <v/>
      </c>
      <c r="E384" s="1286" t="s">
        <v>2747</v>
      </c>
      <c r="F384" s="1282"/>
      <c r="G384" s="1281"/>
    </row>
    <row r="385" spans="1:7" ht="52.9" customHeight="1">
      <c r="A385" s="1284" t="str">
        <f>IFERROR(VLOOKUP(B:B,'0.39'!B:F,5,FALSE),"")</f>
        <v/>
      </c>
      <c r="B385" s="1360" t="str">
        <f>PACKING!AU101</f>
        <v/>
      </c>
      <c r="C385" s="1283" t="str">
        <f>IFERROR((VLOOKUP(B:B,'0.39'!B:F,4,FALSE)),"")</f>
        <v/>
      </c>
      <c r="D385" s="1331" t="str">
        <f>PACKING!AV71</f>
        <v/>
      </c>
      <c r="E385" s="1286" t="s">
        <v>2747</v>
      </c>
      <c r="F385" s="1282"/>
      <c r="G385" s="1281"/>
    </row>
    <row r="386" spans="1:7" ht="52.9" customHeight="1">
      <c r="A386" s="1284" t="str">
        <f>IFERROR(VLOOKUP(B:B,'0.39'!B:F,5,FALSE),"")</f>
        <v/>
      </c>
      <c r="B386" s="1360" t="str">
        <f>PACKING!AU102</f>
        <v/>
      </c>
      <c r="C386" s="1283" t="str">
        <f>IFERROR((VLOOKUP(B:B,'0.39'!B:F,4,FALSE)),"")</f>
        <v/>
      </c>
      <c r="D386" s="1331" t="str">
        <f>PACKING!AV72</f>
        <v/>
      </c>
      <c r="E386" s="1337" t="s">
        <v>2747</v>
      </c>
      <c r="F386" s="1282"/>
      <c r="G386" s="1281"/>
    </row>
    <row r="387" spans="1:7" ht="52.9" customHeight="1">
      <c r="A387" s="1284" t="str">
        <f>IFERROR(VLOOKUP(B:B,'0.39'!B:F,5,FALSE),"")</f>
        <v/>
      </c>
      <c r="B387" s="1360" t="str">
        <f>PACKING!AU103</f>
        <v/>
      </c>
      <c r="C387" s="1283" t="str">
        <f>IFERROR((VLOOKUP(B:B,'0.39'!B:F,4,FALSE)),"")</f>
        <v/>
      </c>
      <c r="D387" s="1331" t="str">
        <f>PACKING!AV73</f>
        <v/>
      </c>
      <c r="E387" s="1337" t="s">
        <v>2747</v>
      </c>
      <c r="F387" s="1282"/>
      <c r="G387" s="1281"/>
    </row>
    <row r="388" spans="1:7" ht="52.9" customHeight="1">
      <c r="A388" s="1284" t="str">
        <f>IFERROR(VLOOKUP(B:B,'0.39'!B:F,5,FALSE),"")</f>
        <v/>
      </c>
      <c r="B388" s="1360" t="str">
        <f>PACKING!AU104</f>
        <v/>
      </c>
      <c r="C388" s="1283" t="str">
        <f>IFERROR((VLOOKUP(B:B,'0.39'!B:F,4,FALSE)),"")</f>
        <v/>
      </c>
      <c r="D388" s="1331" t="str">
        <f>PACKING!AV74</f>
        <v/>
      </c>
      <c r="E388" s="1337" t="s">
        <v>2747</v>
      </c>
      <c r="F388" s="1282"/>
      <c r="G388" s="1281"/>
    </row>
    <row r="389" spans="1:7" ht="52.9" customHeight="1">
      <c r="A389" s="1284" t="str">
        <f>IFERROR(VLOOKUP(B:B,'0.39'!B:F,5,FALSE),"")</f>
        <v/>
      </c>
      <c r="B389" s="1360" t="str">
        <f>PACKING!AU105</f>
        <v/>
      </c>
      <c r="C389" s="1283" t="str">
        <f>IFERROR((VLOOKUP(B:B,'0.39'!B:F,4,FALSE)),"")</f>
        <v/>
      </c>
      <c r="D389" s="1331" t="str">
        <f>PACKING!AV75</f>
        <v/>
      </c>
      <c r="E389" s="1337" t="s">
        <v>2747</v>
      </c>
      <c r="F389" s="1285"/>
      <c r="G389" s="1281"/>
    </row>
    <row r="390" spans="1:7" ht="52.9" customHeight="1">
      <c r="A390" s="1284" t="str">
        <f>IFERROR(VLOOKUP(B:B,'0.39'!B:F,5,FALSE),"")</f>
        <v/>
      </c>
      <c r="B390" s="1360" t="str">
        <f>PACKING!AU106</f>
        <v/>
      </c>
      <c r="C390" s="1283" t="str">
        <f>IFERROR((VLOOKUP(B:B,'0.39'!B:F,4,FALSE)),"")</f>
        <v/>
      </c>
      <c r="D390" s="1331" t="str">
        <f>PACKING!AV76</f>
        <v/>
      </c>
      <c r="E390" s="1337" t="s">
        <v>2747</v>
      </c>
      <c r="F390" s="1282"/>
      <c r="G390" s="1281"/>
    </row>
    <row r="391" spans="1:7" ht="52.9" customHeight="1">
      <c r="A391" s="1284" t="str">
        <f>IFERROR(VLOOKUP(B:B,'0.39'!B:F,5,FALSE),"")</f>
        <v/>
      </c>
      <c r="B391" s="1360" t="str">
        <f>PACKING!AU107</f>
        <v/>
      </c>
      <c r="C391" s="1283" t="str">
        <f>IFERROR((VLOOKUP(B:B,'0.39'!B:F,4,FALSE)),"")</f>
        <v/>
      </c>
      <c r="D391" s="1331" t="str">
        <f>PACKING!AV77</f>
        <v/>
      </c>
      <c r="E391" s="1337" t="s">
        <v>2747</v>
      </c>
      <c r="F391" s="1282"/>
      <c r="G391" s="1281"/>
    </row>
    <row r="392" spans="1:7" ht="79.150000000000006" customHeight="1" thickBot="1">
      <c r="A392" s="1692" t="s">
        <v>204</v>
      </c>
      <c r="B392" s="1693"/>
      <c r="C392" s="1693"/>
      <c r="D392" s="1280">
        <f>SUM(D381:D391)</f>
        <v>0</v>
      </c>
      <c r="E392" s="1336" t="s">
        <v>2747</v>
      </c>
      <c r="F392" s="1279" t="s">
        <v>2746</v>
      </c>
      <c r="G392" s="1278" t="s">
        <v>2746</v>
      </c>
    </row>
    <row r="393" spans="1:7" ht="35.25" thickBot="1">
      <c r="A393" s="1302"/>
      <c r="B393" s="1361"/>
      <c r="C393" s="1302"/>
      <c r="D393" s="1303"/>
      <c r="E393" s="1302"/>
      <c r="F393" s="1301"/>
      <c r="G393" s="1301"/>
    </row>
    <row r="394" spans="1:7" ht="75.599999999999994" customHeight="1" thickBot="1">
      <c r="A394" s="1300"/>
      <c r="B394" s="1299" t="str">
        <f>BASIC_TOOL!$B$6</f>
        <v>A Project</v>
      </c>
      <c r="C394" s="1304" t="s">
        <v>2756</v>
      </c>
      <c r="D394" s="1297" t="e">
        <f ca="1">_xlfn.IFS(PACKING!AX65="M", "1X1.5M",PACKING!AX65="L", "1X2M",PACKING!AX65="S", "1X1M")</f>
        <v>#NAME?</v>
      </c>
      <c r="E394" s="1296">
        <f>PACKING!AX94</f>
        <v>24</v>
      </c>
      <c r="F394" s="1295" t="s">
        <v>2755</v>
      </c>
      <c r="G394" s="1294">
        <f>PACKING!$C$63</f>
        <v>2</v>
      </c>
    </row>
    <row r="395" spans="1:7" ht="87.6" customHeight="1">
      <c r="A395" s="1290" t="s">
        <v>2754</v>
      </c>
      <c r="B395" s="1290" t="str">
        <f>BASIC_TOOL!$B$7</f>
        <v>DAMMAM, KSA</v>
      </c>
      <c r="C395" s="1293" t="str">
        <f>BASIC_TOOL!$C$14</f>
        <v>Non-Insulated</v>
      </c>
      <c r="D395" s="1694" t="str">
        <f>'PRINTOUT(BOM)'!A96</f>
        <v>▣ Size : 10mW x (5)mL x3mH =150 [TON]/ 1[SET]</v>
      </c>
      <c r="E395" s="1695"/>
      <c r="F395" s="1695"/>
      <c r="G395" s="1696"/>
    </row>
    <row r="396" spans="1:7" ht="63.6" customHeight="1">
      <c r="A396" s="1290" t="s">
        <v>2753</v>
      </c>
      <c r="B396" s="1292">
        <f>BASIC_TOOL!$F$7</f>
        <v>44343</v>
      </c>
      <c r="C396" s="1291" t="s">
        <v>2752</v>
      </c>
      <c r="D396" s="1691" t="str">
        <f>BASIC_TOOL!$D$6</f>
        <v>ABC</v>
      </c>
      <c r="E396" s="1691"/>
      <c r="F396" s="1691" t="s">
        <v>2751</v>
      </c>
      <c r="G396" s="1697"/>
    </row>
    <row r="397" spans="1:7" ht="60">
      <c r="A397" s="1290" t="s">
        <v>176</v>
      </c>
      <c r="B397" s="1359" t="s">
        <v>177</v>
      </c>
      <c r="C397" s="1335" t="s">
        <v>2750</v>
      </c>
      <c r="D397" s="1691" t="s">
        <v>239</v>
      </c>
      <c r="E397" s="1691"/>
      <c r="F397" s="1288" t="s">
        <v>2749</v>
      </c>
      <c r="G397" s="1287" t="s">
        <v>2748</v>
      </c>
    </row>
    <row r="398" spans="1:7" ht="52.9" customHeight="1">
      <c r="A398" s="1284" t="str">
        <f>IFERROR(VLOOKUP(B:B,'0.39'!B:F,5,FALSE),"")</f>
        <v/>
      </c>
      <c r="B398" s="1360" t="str">
        <f>PACKING!AW97</f>
        <v/>
      </c>
      <c r="C398" s="1283" t="str">
        <f>IFERROR((VLOOKUP(B:B,'0.39'!B:F,4,FALSE)),"")</f>
        <v/>
      </c>
      <c r="D398" s="1331" t="str">
        <f>PACKING!AX67</f>
        <v/>
      </c>
      <c r="E398" s="1286" t="s">
        <v>2747</v>
      </c>
      <c r="F398" s="1285"/>
      <c r="G398" s="1281"/>
    </row>
    <row r="399" spans="1:7" ht="52.9" customHeight="1">
      <c r="A399" s="1284" t="str">
        <f>IFERROR(VLOOKUP(B:B,'0.39'!B:F,5,FALSE),"")</f>
        <v/>
      </c>
      <c r="B399" s="1360" t="str">
        <f>PACKING!AW98</f>
        <v/>
      </c>
      <c r="C399" s="1283" t="str">
        <f>IFERROR((VLOOKUP(B:B,'0.39'!B:F,4,FALSE)),"")</f>
        <v/>
      </c>
      <c r="D399" s="1331" t="str">
        <f>PACKING!AX68</f>
        <v/>
      </c>
      <c r="E399" s="1337" t="s">
        <v>2747</v>
      </c>
      <c r="F399" s="1285"/>
      <c r="G399" s="1281"/>
    </row>
    <row r="400" spans="1:7" ht="52.9" customHeight="1">
      <c r="A400" s="1284" t="str">
        <f>IFERROR(VLOOKUP(B:B,'0.39'!B:F,5,FALSE),"")</f>
        <v/>
      </c>
      <c r="B400" s="1360" t="str">
        <f>PACKING!AW99</f>
        <v/>
      </c>
      <c r="C400" s="1283" t="str">
        <f>IFERROR((VLOOKUP(B:B,'0.39'!B:F,4,FALSE)),"")</f>
        <v/>
      </c>
      <c r="D400" s="1331" t="str">
        <f>PACKING!AX69</f>
        <v/>
      </c>
      <c r="E400" s="1286" t="s">
        <v>2747</v>
      </c>
      <c r="F400" s="1285"/>
      <c r="G400" s="1281"/>
    </row>
    <row r="401" spans="1:7" ht="52.9" customHeight="1">
      <c r="A401" s="1284" t="str">
        <f>IFERROR(VLOOKUP(B:B,'0.39'!B:F,5,FALSE),"")</f>
        <v/>
      </c>
      <c r="B401" s="1360" t="str">
        <f>PACKING!AW100</f>
        <v/>
      </c>
      <c r="C401" s="1283" t="str">
        <f>IFERROR((VLOOKUP(B:B,'0.39'!B:F,4,FALSE)),"")</f>
        <v/>
      </c>
      <c r="D401" s="1331" t="str">
        <f>PACKING!AX70</f>
        <v/>
      </c>
      <c r="E401" s="1286" t="s">
        <v>2747</v>
      </c>
      <c r="F401" s="1282"/>
      <c r="G401" s="1281"/>
    </row>
    <row r="402" spans="1:7" ht="52.9" customHeight="1">
      <c r="A402" s="1284" t="str">
        <f>IFERROR(VLOOKUP(B:B,'0.39'!B:F,5,FALSE),"")</f>
        <v/>
      </c>
      <c r="B402" s="1360" t="str">
        <f>PACKING!AW101</f>
        <v/>
      </c>
      <c r="C402" s="1283" t="str">
        <f>IFERROR((VLOOKUP(B:B,'0.39'!B:F,4,FALSE)),"")</f>
        <v/>
      </c>
      <c r="D402" s="1331" t="str">
        <f>PACKING!AX71</f>
        <v/>
      </c>
      <c r="E402" s="1286" t="s">
        <v>2747</v>
      </c>
      <c r="F402" s="1282"/>
      <c r="G402" s="1281"/>
    </row>
    <row r="403" spans="1:7" ht="52.9" customHeight="1">
      <c r="A403" s="1284" t="str">
        <f>IFERROR(VLOOKUP(B:B,'0.39'!B:F,5,FALSE),"")</f>
        <v/>
      </c>
      <c r="B403" s="1360" t="str">
        <f>PACKING!AW102</f>
        <v/>
      </c>
      <c r="C403" s="1283" t="str">
        <f>IFERROR((VLOOKUP(B:B,'0.39'!B:F,4,FALSE)),"")</f>
        <v/>
      </c>
      <c r="D403" s="1331" t="str">
        <f>PACKING!AX72</f>
        <v/>
      </c>
      <c r="E403" s="1337" t="s">
        <v>2747</v>
      </c>
      <c r="F403" s="1282"/>
      <c r="G403" s="1281"/>
    </row>
    <row r="404" spans="1:7" ht="52.9" customHeight="1">
      <c r="A404" s="1284" t="str">
        <f>IFERROR(VLOOKUP(B:B,'0.39'!B:F,5,FALSE),"")</f>
        <v/>
      </c>
      <c r="B404" s="1360" t="str">
        <f>PACKING!AW103</f>
        <v/>
      </c>
      <c r="C404" s="1283" t="str">
        <f>IFERROR((VLOOKUP(B:B,'0.39'!B:F,4,FALSE)),"")</f>
        <v/>
      </c>
      <c r="D404" s="1331" t="str">
        <f>PACKING!AX73</f>
        <v/>
      </c>
      <c r="E404" s="1337" t="s">
        <v>2747</v>
      </c>
      <c r="F404" s="1282"/>
      <c r="G404" s="1281"/>
    </row>
    <row r="405" spans="1:7" ht="52.9" customHeight="1">
      <c r="A405" s="1284" t="str">
        <f>IFERROR(VLOOKUP(B:B,'0.39'!B:F,5,FALSE),"")</f>
        <v/>
      </c>
      <c r="B405" s="1360" t="str">
        <f>PACKING!AW104</f>
        <v/>
      </c>
      <c r="C405" s="1283" t="str">
        <f>IFERROR((VLOOKUP(B:B,'0.39'!B:F,4,FALSE)),"")</f>
        <v/>
      </c>
      <c r="D405" s="1331" t="str">
        <f>PACKING!AX74</f>
        <v/>
      </c>
      <c r="E405" s="1337" t="s">
        <v>2747</v>
      </c>
      <c r="F405" s="1282"/>
      <c r="G405" s="1281"/>
    </row>
    <row r="406" spans="1:7" ht="52.9" customHeight="1">
      <c r="A406" s="1284" t="str">
        <f>IFERROR(VLOOKUP(B:B,'0.39'!B:F,5,FALSE),"")</f>
        <v/>
      </c>
      <c r="B406" s="1360" t="str">
        <f>PACKING!AW105</f>
        <v/>
      </c>
      <c r="C406" s="1283" t="str">
        <f>IFERROR((VLOOKUP(B:B,'0.39'!B:F,4,FALSE)),"")</f>
        <v/>
      </c>
      <c r="D406" s="1331" t="str">
        <f>PACKING!AX75</f>
        <v/>
      </c>
      <c r="E406" s="1337" t="s">
        <v>2747</v>
      </c>
      <c r="F406" s="1285"/>
      <c r="G406" s="1281"/>
    </row>
    <row r="407" spans="1:7" ht="52.9" customHeight="1">
      <c r="A407" s="1284" t="str">
        <f>IFERROR(VLOOKUP(B:B,'0.39'!B:F,5,FALSE),"")</f>
        <v/>
      </c>
      <c r="B407" s="1360" t="str">
        <f>PACKING!AW106</f>
        <v/>
      </c>
      <c r="C407" s="1283" t="str">
        <f>IFERROR((VLOOKUP(B:B,'0.39'!B:F,4,FALSE)),"")</f>
        <v/>
      </c>
      <c r="D407" s="1331" t="str">
        <f>PACKING!AX76</f>
        <v/>
      </c>
      <c r="E407" s="1337" t="s">
        <v>2747</v>
      </c>
      <c r="F407" s="1282"/>
      <c r="G407" s="1281"/>
    </row>
    <row r="408" spans="1:7" ht="52.9" customHeight="1">
      <c r="A408" s="1284" t="str">
        <f>IFERROR(VLOOKUP(B:B,'0.39'!B:F,5,FALSE),"")</f>
        <v/>
      </c>
      <c r="B408" s="1360" t="str">
        <f>PACKING!AW107</f>
        <v/>
      </c>
      <c r="C408" s="1283" t="str">
        <f>IFERROR((VLOOKUP(B:B,'0.39'!B:F,4,FALSE)),"")</f>
        <v/>
      </c>
      <c r="D408" s="1331" t="str">
        <f>PACKING!AX77</f>
        <v/>
      </c>
      <c r="E408" s="1337" t="s">
        <v>2747</v>
      </c>
      <c r="F408" s="1282"/>
      <c r="G408" s="1281"/>
    </row>
    <row r="409" spans="1:7" ht="79.150000000000006" customHeight="1" thickBot="1">
      <c r="A409" s="1692" t="s">
        <v>204</v>
      </c>
      <c r="B409" s="1693"/>
      <c r="C409" s="1693"/>
      <c r="D409" s="1280">
        <f>SUM(D398:D408)</f>
        <v>0</v>
      </c>
      <c r="E409" s="1336" t="s">
        <v>2747</v>
      </c>
      <c r="F409" s="1279" t="s">
        <v>2746</v>
      </c>
      <c r="G409" s="1278" t="s">
        <v>2746</v>
      </c>
    </row>
    <row r="410" spans="1:7" ht="35.25" thickBot="1">
      <c r="A410" s="1302"/>
      <c r="B410" s="1361"/>
      <c r="C410" s="1302"/>
      <c r="D410" s="1303"/>
      <c r="E410" s="1302"/>
      <c r="F410" s="1301"/>
      <c r="G410" s="1301"/>
    </row>
    <row r="411" spans="1:7" ht="75.599999999999994" customHeight="1" thickBot="1">
      <c r="A411" s="1300"/>
      <c r="B411" s="1299" t="str">
        <f>BASIC_TOOL!$B$6</f>
        <v>A Project</v>
      </c>
      <c r="C411" s="1304" t="s">
        <v>2756</v>
      </c>
      <c r="D411" s="1297" t="e">
        <f ca="1">_xlfn.IFS(PACKING!AZ65="M", "1X1.5M",PACKING!AZ65="L", "1X2M",PACKING!AZ65="S", "1X1M")</f>
        <v>#NAME?</v>
      </c>
      <c r="E411" s="1296">
        <f>PACKING!AZ94</f>
        <v>25</v>
      </c>
      <c r="F411" s="1295" t="s">
        <v>2755</v>
      </c>
      <c r="G411" s="1294">
        <f>PACKING!$C$63</f>
        <v>2</v>
      </c>
    </row>
    <row r="412" spans="1:7" ht="87.6" customHeight="1">
      <c r="A412" s="1290" t="s">
        <v>2754</v>
      </c>
      <c r="B412" s="1290" t="str">
        <f>BASIC_TOOL!$B$7</f>
        <v>DAMMAM, KSA</v>
      </c>
      <c r="C412" s="1293" t="str">
        <f>BASIC_TOOL!$C$14</f>
        <v>Non-Insulated</v>
      </c>
      <c r="D412" s="1694" t="str">
        <f>'PRINTOUT(BOM)'!A96</f>
        <v>▣ Size : 10mW x (5)mL x3mH =150 [TON]/ 1[SET]</v>
      </c>
      <c r="E412" s="1695"/>
      <c r="F412" s="1695"/>
      <c r="G412" s="1696"/>
    </row>
    <row r="413" spans="1:7" ht="63.6" customHeight="1">
      <c r="A413" s="1290" t="s">
        <v>2753</v>
      </c>
      <c r="B413" s="1292">
        <f>BASIC_TOOL!$F$7</f>
        <v>44343</v>
      </c>
      <c r="C413" s="1291" t="s">
        <v>2752</v>
      </c>
      <c r="D413" s="1691" t="str">
        <f>BASIC_TOOL!$D$6</f>
        <v>ABC</v>
      </c>
      <c r="E413" s="1691"/>
      <c r="F413" s="1691" t="s">
        <v>2751</v>
      </c>
      <c r="G413" s="1697"/>
    </row>
    <row r="414" spans="1:7" ht="60">
      <c r="A414" s="1290" t="s">
        <v>176</v>
      </c>
      <c r="B414" s="1359" t="s">
        <v>177</v>
      </c>
      <c r="C414" s="1335" t="s">
        <v>2750</v>
      </c>
      <c r="D414" s="1691" t="s">
        <v>239</v>
      </c>
      <c r="E414" s="1691"/>
      <c r="F414" s="1288" t="s">
        <v>2749</v>
      </c>
      <c r="G414" s="1287" t="s">
        <v>2748</v>
      </c>
    </row>
    <row r="415" spans="1:7" ht="52.9" customHeight="1">
      <c r="A415" s="1284" t="str">
        <f>IFERROR(VLOOKUP(B:B,'0.39'!B:F,5,FALSE),"")</f>
        <v/>
      </c>
      <c r="B415" s="1360" t="str">
        <f>PACKING!AY97</f>
        <v/>
      </c>
      <c r="C415" s="1283" t="str">
        <f>IFERROR((VLOOKUP(B:B,'0.39'!B:F,4,FALSE)),"")</f>
        <v/>
      </c>
      <c r="D415" s="1331" t="str">
        <f>PACKING!AZ67</f>
        <v/>
      </c>
      <c r="E415" s="1286" t="s">
        <v>2747</v>
      </c>
      <c r="F415" s="1285"/>
      <c r="G415" s="1281"/>
    </row>
    <row r="416" spans="1:7" ht="52.9" customHeight="1">
      <c r="A416" s="1284" t="str">
        <f>IFERROR(VLOOKUP(B:B,'0.39'!B:F,5,FALSE),"")</f>
        <v/>
      </c>
      <c r="B416" s="1360" t="str">
        <f>PACKING!AY98</f>
        <v/>
      </c>
      <c r="C416" s="1283" t="str">
        <f>IFERROR((VLOOKUP(B:B,'0.39'!B:F,4,FALSE)),"")</f>
        <v/>
      </c>
      <c r="D416" s="1331" t="str">
        <f>PACKING!AZ68</f>
        <v/>
      </c>
      <c r="E416" s="1337" t="s">
        <v>2747</v>
      </c>
      <c r="F416" s="1285"/>
      <c r="G416" s="1281"/>
    </row>
    <row r="417" spans="1:7" ht="52.9" customHeight="1">
      <c r="A417" s="1284" t="str">
        <f>IFERROR(VLOOKUP(B:B,'0.39'!B:F,5,FALSE),"")</f>
        <v/>
      </c>
      <c r="B417" s="1360" t="str">
        <f>PACKING!AY99</f>
        <v/>
      </c>
      <c r="C417" s="1283" t="str">
        <f>IFERROR((VLOOKUP(B:B,'0.39'!B:F,4,FALSE)),"")</f>
        <v/>
      </c>
      <c r="D417" s="1331" t="str">
        <f>PACKING!AZ69</f>
        <v/>
      </c>
      <c r="E417" s="1286" t="s">
        <v>2747</v>
      </c>
      <c r="F417" s="1285"/>
      <c r="G417" s="1281"/>
    </row>
    <row r="418" spans="1:7" ht="52.9" customHeight="1">
      <c r="A418" s="1284" t="str">
        <f>IFERROR(VLOOKUP(B:B,'0.39'!B:F,5,FALSE),"")</f>
        <v/>
      </c>
      <c r="B418" s="1360" t="str">
        <f>PACKING!AY100</f>
        <v/>
      </c>
      <c r="C418" s="1283" t="str">
        <f>IFERROR((VLOOKUP(B:B,'0.39'!B:F,4,FALSE)),"")</f>
        <v/>
      </c>
      <c r="D418" s="1331" t="str">
        <f>PACKING!AZ70</f>
        <v/>
      </c>
      <c r="E418" s="1286" t="s">
        <v>2747</v>
      </c>
      <c r="F418" s="1282"/>
      <c r="G418" s="1281"/>
    </row>
    <row r="419" spans="1:7" ht="52.9" customHeight="1">
      <c r="A419" s="1284" t="str">
        <f>IFERROR(VLOOKUP(B:B,'0.39'!B:F,5,FALSE),"")</f>
        <v/>
      </c>
      <c r="B419" s="1360" t="str">
        <f>PACKING!AY101</f>
        <v/>
      </c>
      <c r="C419" s="1283" t="str">
        <f>IFERROR((VLOOKUP(B:B,'0.39'!B:F,4,FALSE)),"")</f>
        <v/>
      </c>
      <c r="D419" s="1331" t="str">
        <f>PACKING!AZ71</f>
        <v/>
      </c>
      <c r="E419" s="1286" t="s">
        <v>2747</v>
      </c>
      <c r="F419" s="1282"/>
      <c r="G419" s="1281"/>
    </row>
    <row r="420" spans="1:7" ht="52.9" customHeight="1">
      <c r="A420" s="1284" t="str">
        <f>IFERROR(VLOOKUP(B:B,'0.39'!B:F,5,FALSE),"")</f>
        <v/>
      </c>
      <c r="B420" s="1360" t="str">
        <f>PACKING!AY102</f>
        <v/>
      </c>
      <c r="C420" s="1283" t="str">
        <f>IFERROR((VLOOKUP(B:B,'0.39'!B:F,4,FALSE)),"")</f>
        <v/>
      </c>
      <c r="D420" s="1331" t="str">
        <f>PACKING!AZ72</f>
        <v/>
      </c>
      <c r="E420" s="1337" t="s">
        <v>2747</v>
      </c>
      <c r="F420" s="1282"/>
      <c r="G420" s="1281"/>
    </row>
    <row r="421" spans="1:7" ht="52.9" customHeight="1">
      <c r="A421" s="1284" t="str">
        <f>IFERROR(VLOOKUP(B:B,'0.39'!B:F,5,FALSE),"")</f>
        <v/>
      </c>
      <c r="B421" s="1360" t="str">
        <f>PACKING!AY103</f>
        <v/>
      </c>
      <c r="C421" s="1283" t="str">
        <f>IFERROR((VLOOKUP(B:B,'0.39'!B:F,4,FALSE)),"")</f>
        <v/>
      </c>
      <c r="D421" s="1331" t="str">
        <f>PACKING!AZ73</f>
        <v/>
      </c>
      <c r="E421" s="1337" t="s">
        <v>2747</v>
      </c>
      <c r="F421" s="1282"/>
      <c r="G421" s="1281"/>
    </row>
    <row r="422" spans="1:7" ht="52.9" customHeight="1">
      <c r="A422" s="1284" t="str">
        <f>IFERROR(VLOOKUP(B:B,'0.39'!B:F,5,FALSE),"")</f>
        <v/>
      </c>
      <c r="B422" s="1360" t="str">
        <f>PACKING!AY104</f>
        <v/>
      </c>
      <c r="C422" s="1283" t="str">
        <f>IFERROR((VLOOKUP(B:B,'0.39'!B:F,4,FALSE)),"")</f>
        <v/>
      </c>
      <c r="D422" s="1331" t="str">
        <f>PACKING!AZ74</f>
        <v/>
      </c>
      <c r="E422" s="1337" t="s">
        <v>2747</v>
      </c>
      <c r="F422" s="1282"/>
      <c r="G422" s="1281"/>
    </row>
    <row r="423" spans="1:7" ht="52.9" customHeight="1">
      <c r="A423" s="1284" t="str">
        <f>IFERROR(VLOOKUP(B:B,'0.39'!B:F,5,FALSE),"")</f>
        <v/>
      </c>
      <c r="B423" s="1360" t="str">
        <f>PACKING!AY105</f>
        <v/>
      </c>
      <c r="C423" s="1283" t="str">
        <f>IFERROR((VLOOKUP(B:B,'0.39'!B:F,4,FALSE)),"")</f>
        <v/>
      </c>
      <c r="D423" s="1331" t="str">
        <f>PACKING!AZ75</f>
        <v/>
      </c>
      <c r="E423" s="1337" t="s">
        <v>2747</v>
      </c>
      <c r="F423" s="1285"/>
      <c r="G423" s="1281"/>
    </row>
    <row r="424" spans="1:7" ht="52.9" customHeight="1">
      <c r="A424" s="1284" t="str">
        <f>IFERROR(VLOOKUP(B:B,'0.39'!B:F,5,FALSE),"")</f>
        <v/>
      </c>
      <c r="B424" s="1360" t="str">
        <f>PACKING!AY106</f>
        <v/>
      </c>
      <c r="C424" s="1283" t="str">
        <f>IFERROR((VLOOKUP(B:B,'0.39'!B:F,4,FALSE)),"")</f>
        <v/>
      </c>
      <c r="D424" s="1331" t="str">
        <f>PACKING!AZ76</f>
        <v/>
      </c>
      <c r="E424" s="1337" t="s">
        <v>2747</v>
      </c>
      <c r="F424" s="1282"/>
      <c r="G424" s="1281"/>
    </row>
    <row r="425" spans="1:7" ht="52.9" customHeight="1">
      <c r="A425" s="1284" t="str">
        <f>IFERROR(VLOOKUP(B:B,'0.39'!B:F,5,FALSE),"")</f>
        <v/>
      </c>
      <c r="B425" s="1360" t="str">
        <f>PACKING!AY107</f>
        <v/>
      </c>
      <c r="C425" s="1283" t="str">
        <f>IFERROR((VLOOKUP(B:B,'0.39'!B:F,4,FALSE)),"")</f>
        <v/>
      </c>
      <c r="D425" s="1331" t="str">
        <f>PACKING!AZ77</f>
        <v/>
      </c>
      <c r="E425" s="1337" t="s">
        <v>2747</v>
      </c>
      <c r="F425" s="1282"/>
      <c r="G425" s="1281"/>
    </row>
    <row r="426" spans="1:7" ht="79.150000000000006" customHeight="1" thickBot="1">
      <c r="A426" s="1692" t="s">
        <v>204</v>
      </c>
      <c r="B426" s="1693"/>
      <c r="C426" s="1693"/>
      <c r="D426" s="1280">
        <f>SUM(D415:D425)</f>
        <v>0</v>
      </c>
      <c r="E426" s="1336" t="s">
        <v>2747</v>
      </c>
      <c r="F426" s="1279" t="s">
        <v>2746</v>
      </c>
      <c r="G426" s="1278" t="s">
        <v>2746</v>
      </c>
    </row>
    <row r="427" spans="1:7" ht="35.25" thickBot="1">
      <c r="A427" s="1302"/>
      <c r="B427" s="1361"/>
      <c r="C427" s="1302"/>
      <c r="D427" s="1303"/>
      <c r="E427" s="1302"/>
      <c r="F427" s="1301"/>
      <c r="G427" s="1301"/>
    </row>
    <row r="428" spans="1:7" ht="75.599999999999994" customHeight="1" thickBot="1">
      <c r="A428" s="1300"/>
      <c r="B428" s="1299" t="str">
        <f>BASIC_TOOL!$B$6</f>
        <v>A Project</v>
      </c>
      <c r="C428" s="1304" t="s">
        <v>2756</v>
      </c>
      <c r="D428" s="1297" t="e">
        <f ca="1">_xlfn.IFS(PACKING!BB65="M", "1X1.5M",PACKING!BB65="L", "1X2M",PACKING!BB65="S", "1X1M")</f>
        <v>#NAME?</v>
      </c>
      <c r="E428" s="1296">
        <f>PACKING!BB94</f>
        <v>26</v>
      </c>
      <c r="F428" s="1295" t="s">
        <v>2755</v>
      </c>
      <c r="G428" s="1294">
        <f>PACKING!$C$63</f>
        <v>2</v>
      </c>
    </row>
    <row r="429" spans="1:7" ht="87.6" customHeight="1">
      <c r="A429" s="1290" t="s">
        <v>2754</v>
      </c>
      <c r="B429" s="1290" t="str">
        <f>BASIC_TOOL!$B$7</f>
        <v>DAMMAM, KSA</v>
      </c>
      <c r="C429" s="1293" t="str">
        <f>BASIC_TOOL!$C$14</f>
        <v>Non-Insulated</v>
      </c>
      <c r="D429" s="1694" t="str">
        <f>'PRINTOUT(BOM)'!A96</f>
        <v>▣ Size : 10mW x (5)mL x3mH =150 [TON]/ 1[SET]</v>
      </c>
      <c r="E429" s="1695"/>
      <c r="F429" s="1695"/>
      <c r="G429" s="1696"/>
    </row>
    <row r="430" spans="1:7" ht="63.6" customHeight="1">
      <c r="A430" s="1290" t="s">
        <v>2753</v>
      </c>
      <c r="B430" s="1292">
        <f>BASIC_TOOL!$F$7</f>
        <v>44343</v>
      </c>
      <c r="C430" s="1291" t="s">
        <v>2752</v>
      </c>
      <c r="D430" s="1691" t="str">
        <f>BASIC_TOOL!$D$6</f>
        <v>ABC</v>
      </c>
      <c r="E430" s="1691"/>
      <c r="F430" s="1691" t="s">
        <v>2751</v>
      </c>
      <c r="G430" s="1697"/>
    </row>
    <row r="431" spans="1:7" ht="60">
      <c r="A431" s="1290" t="s">
        <v>176</v>
      </c>
      <c r="B431" s="1359" t="s">
        <v>177</v>
      </c>
      <c r="C431" s="1335" t="s">
        <v>2750</v>
      </c>
      <c r="D431" s="1691" t="s">
        <v>239</v>
      </c>
      <c r="E431" s="1691"/>
      <c r="F431" s="1288" t="s">
        <v>2749</v>
      </c>
      <c r="G431" s="1287" t="s">
        <v>2748</v>
      </c>
    </row>
    <row r="432" spans="1:7" ht="52.9" customHeight="1">
      <c r="A432" s="1284" t="str">
        <f>IFERROR(VLOOKUP(B:B,'0.39'!B:F,5,FALSE),"")</f>
        <v/>
      </c>
      <c r="B432" s="1360" t="str">
        <f>PACKING!BA97</f>
        <v/>
      </c>
      <c r="C432" s="1283" t="str">
        <f>IFERROR((VLOOKUP(B:B,'0.39'!B:F,4,FALSE)),"")</f>
        <v/>
      </c>
      <c r="D432" s="1331" t="str">
        <f>PACKING!BB67</f>
        <v/>
      </c>
      <c r="E432" s="1286" t="s">
        <v>2747</v>
      </c>
      <c r="F432" s="1285"/>
      <c r="G432" s="1281"/>
    </row>
    <row r="433" spans="1:7" ht="52.9" customHeight="1">
      <c r="A433" s="1284" t="str">
        <f>IFERROR(VLOOKUP(B:B,'0.39'!B:F,5,FALSE),"")</f>
        <v/>
      </c>
      <c r="B433" s="1360" t="str">
        <f>PACKING!BA98</f>
        <v/>
      </c>
      <c r="C433" s="1283" t="str">
        <f>IFERROR((VLOOKUP(B:B,'0.39'!B:F,4,FALSE)),"")</f>
        <v/>
      </c>
      <c r="D433" s="1331" t="str">
        <f>PACKING!BB68</f>
        <v/>
      </c>
      <c r="E433" s="1337" t="s">
        <v>2747</v>
      </c>
      <c r="F433" s="1285"/>
      <c r="G433" s="1281"/>
    </row>
    <row r="434" spans="1:7" ht="52.9" customHeight="1">
      <c r="A434" s="1284" t="str">
        <f>IFERROR(VLOOKUP(B:B,'0.39'!B:F,5,FALSE),"")</f>
        <v/>
      </c>
      <c r="B434" s="1360" t="str">
        <f>PACKING!BA99</f>
        <v/>
      </c>
      <c r="C434" s="1283" t="str">
        <f>IFERROR((VLOOKUP(B:B,'0.39'!B:F,4,FALSE)),"")</f>
        <v/>
      </c>
      <c r="D434" s="1331" t="str">
        <f>PACKING!BB69</f>
        <v/>
      </c>
      <c r="E434" s="1286" t="s">
        <v>2747</v>
      </c>
      <c r="F434" s="1285"/>
      <c r="G434" s="1281"/>
    </row>
    <row r="435" spans="1:7" ht="52.9" customHeight="1">
      <c r="A435" s="1284" t="str">
        <f>IFERROR(VLOOKUP(B:B,'0.39'!B:F,5,FALSE),"")</f>
        <v/>
      </c>
      <c r="B435" s="1360" t="str">
        <f>PACKING!BA100</f>
        <v/>
      </c>
      <c r="C435" s="1283" t="str">
        <f>IFERROR((VLOOKUP(B:B,'0.39'!B:F,4,FALSE)),"")</f>
        <v/>
      </c>
      <c r="D435" s="1331" t="str">
        <f>PACKING!BB70</f>
        <v/>
      </c>
      <c r="E435" s="1286" t="s">
        <v>2747</v>
      </c>
      <c r="F435" s="1282"/>
      <c r="G435" s="1281"/>
    </row>
    <row r="436" spans="1:7" ht="52.9" customHeight="1">
      <c r="A436" s="1284" t="str">
        <f>IFERROR(VLOOKUP(B:B,'0.39'!B:F,5,FALSE),"")</f>
        <v/>
      </c>
      <c r="B436" s="1360" t="str">
        <f>PACKING!BA101</f>
        <v/>
      </c>
      <c r="C436" s="1283" t="str">
        <f>IFERROR((VLOOKUP(B:B,'0.39'!B:F,4,FALSE)),"")</f>
        <v/>
      </c>
      <c r="D436" s="1331" t="str">
        <f>PACKING!BB71</f>
        <v/>
      </c>
      <c r="E436" s="1286" t="s">
        <v>2747</v>
      </c>
      <c r="F436" s="1282"/>
      <c r="G436" s="1281"/>
    </row>
    <row r="437" spans="1:7" ht="52.9" customHeight="1">
      <c r="A437" s="1284" t="str">
        <f>IFERROR(VLOOKUP(B:B,'0.39'!B:F,5,FALSE),"")</f>
        <v/>
      </c>
      <c r="B437" s="1360" t="str">
        <f>PACKING!BA102</f>
        <v/>
      </c>
      <c r="C437" s="1283" t="str">
        <f>IFERROR((VLOOKUP(B:B,'0.39'!B:F,4,FALSE)),"")</f>
        <v/>
      </c>
      <c r="D437" s="1331" t="str">
        <f>PACKING!BB72</f>
        <v/>
      </c>
      <c r="E437" s="1337" t="s">
        <v>2747</v>
      </c>
      <c r="F437" s="1282"/>
      <c r="G437" s="1281"/>
    </row>
    <row r="438" spans="1:7" ht="52.9" customHeight="1">
      <c r="A438" s="1284" t="str">
        <f>IFERROR(VLOOKUP(B:B,'0.39'!B:F,5,FALSE),"")</f>
        <v/>
      </c>
      <c r="B438" s="1360" t="str">
        <f>PACKING!BA103</f>
        <v/>
      </c>
      <c r="C438" s="1283" t="str">
        <f>IFERROR((VLOOKUP(B:B,'0.39'!B:F,4,FALSE)),"")</f>
        <v/>
      </c>
      <c r="D438" s="1331" t="str">
        <f>PACKING!BB73</f>
        <v/>
      </c>
      <c r="E438" s="1337" t="s">
        <v>2747</v>
      </c>
      <c r="F438" s="1282"/>
      <c r="G438" s="1281"/>
    </row>
    <row r="439" spans="1:7" ht="52.9" customHeight="1">
      <c r="A439" s="1284" t="str">
        <f>IFERROR(VLOOKUP(B:B,'0.39'!B:F,5,FALSE),"")</f>
        <v/>
      </c>
      <c r="B439" s="1360" t="str">
        <f>PACKING!BA104</f>
        <v/>
      </c>
      <c r="C439" s="1283" t="str">
        <f>IFERROR((VLOOKUP(B:B,'0.39'!B:F,4,FALSE)),"")</f>
        <v/>
      </c>
      <c r="D439" s="1331" t="str">
        <f>PACKING!BB74</f>
        <v/>
      </c>
      <c r="E439" s="1337" t="s">
        <v>2747</v>
      </c>
      <c r="F439" s="1282"/>
      <c r="G439" s="1281"/>
    </row>
    <row r="440" spans="1:7" ht="52.9" customHeight="1">
      <c r="A440" s="1284" t="str">
        <f>IFERROR(VLOOKUP(B:B,'0.39'!B:F,5,FALSE),"")</f>
        <v/>
      </c>
      <c r="B440" s="1360" t="str">
        <f>PACKING!BA105</f>
        <v/>
      </c>
      <c r="C440" s="1283" t="str">
        <f>IFERROR((VLOOKUP(B:B,'0.39'!B:F,4,FALSE)),"")</f>
        <v/>
      </c>
      <c r="D440" s="1331" t="str">
        <f>PACKING!BB75</f>
        <v/>
      </c>
      <c r="E440" s="1337" t="s">
        <v>2747</v>
      </c>
      <c r="F440" s="1285"/>
      <c r="G440" s="1281"/>
    </row>
    <row r="441" spans="1:7" ht="52.9" customHeight="1">
      <c r="A441" s="1284" t="str">
        <f>IFERROR(VLOOKUP(B:B,'0.39'!B:F,5,FALSE),"")</f>
        <v/>
      </c>
      <c r="B441" s="1360" t="str">
        <f>PACKING!BA106</f>
        <v/>
      </c>
      <c r="C441" s="1283" t="str">
        <f>IFERROR((VLOOKUP(B:B,'0.39'!B:F,4,FALSE)),"")</f>
        <v/>
      </c>
      <c r="D441" s="1331" t="str">
        <f>PACKING!BB76</f>
        <v/>
      </c>
      <c r="E441" s="1337" t="s">
        <v>2747</v>
      </c>
      <c r="F441" s="1282"/>
      <c r="G441" s="1281"/>
    </row>
    <row r="442" spans="1:7" ht="52.9" customHeight="1">
      <c r="A442" s="1284" t="str">
        <f>IFERROR(VLOOKUP(B:B,'0.39'!B:F,5,FALSE),"")</f>
        <v/>
      </c>
      <c r="B442" s="1360" t="str">
        <f>PACKING!BA107</f>
        <v/>
      </c>
      <c r="C442" s="1283" t="str">
        <f>IFERROR((VLOOKUP(B:B,'0.39'!B:F,4,FALSE)),"")</f>
        <v/>
      </c>
      <c r="D442" s="1331" t="str">
        <f>PACKING!BB77</f>
        <v/>
      </c>
      <c r="E442" s="1337" t="s">
        <v>2747</v>
      </c>
      <c r="F442" s="1282"/>
      <c r="G442" s="1281"/>
    </row>
    <row r="443" spans="1:7" ht="79.150000000000006" customHeight="1" thickBot="1">
      <c r="A443" s="1692" t="s">
        <v>204</v>
      </c>
      <c r="B443" s="1693"/>
      <c r="C443" s="1693"/>
      <c r="D443" s="1280">
        <f>SUM(D432:D442)</f>
        <v>0</v>
      </c>
      <c r="E443" s="1336" t="s">
        <v>2747</v>
      </c>
      <c r="F443" s="1279" t="s">
        <v>2746</v>
      </c>
      <c r="G443" s="1278" t="s">
        <v>2746</v>
      </c>
    </row>
    <row r="444" spans="1:7" ht="35.25" thickBot="1">
      <c r="A444" s="1302"/>
      <c r="B444" s="1361"/>
      <c r="C444" s="1302"/>
      <c r="D444" s="1303"/>
      <c r="E444" s="1302"/>
      <c r="F444" s="1301"/>
      <c r="G444" s="1301"/>
    </row>
    <row r="445" spans="1:7" ht="75.599999999999994" customHeight="1" thickBot="1">
      <c r="A445" s="1300"/>
      <c r="B445" s="1299" t="str">
        <f>BASIC_TOOL!$B$6</f>
        <v>A Project</v>
      </c>
      <c r="C445" s="1304" t="s">
        <v>2756</v>
      </c>
      <c r="D445" s="1297" t="e">
        <f ca="1">_xlfn.IFS(PACKING!BD65="M", "1X1.5M",PACKING!BD65="L", "1X2M",PACKING!BD65="S", "1X1M")</f>
        <v>#NAME?</v>
      </c>
      <c r="E445" s="1296">
        <f>PACKING!BD94</f>
        <v>27</v>
      </c>
      <c r="F445" s="1295" t="s">
        <v>2755</v>
      </c>
      <c r="G445" s="1294">
        <f>PACKING!$C$63</f>
        <v>2</v>
      </c>
    </row>
    <row r="446" spans="1:7" ht="87.6" customHeight="1">
      <c r="A446" s="1290" t="s">
        <v>2754</v>
      </c>
      <c r="B446" s="1290" t="str">
        <f>BASIC_TOOL!$B$7</f>
        <v>DAMMAM, KSA</v>
      </c>
      <c r="C446" s="1293" t="str">
        <f>BASIC_TOOL!$C$14</f>
        <v>Non-Insulated</v>
      </c>
      <c r="D446" s="1694" t="str">
        <f>'PRINTOUT(BOM)'!A96</f>
        <v>▣ Size : 10mW x (5)mL x3mH =150 [TON]/ 1[SET]</v>
      </c>
      <c r="E446" s="1695"/>
      <c r="F446" s="1695"/>
      <c r="G446" s="1696"/>
    </row>
    <row r="447" spans="1:7" ht="63.6" customHeight="1">
      <c r="A447" s="1290" t="s">
        <v>2753</v>
      </c>
      <c r="B447" s="1292">
        <f>BASIC_TOOL!$F$7</f>
        <v>44343</v>
      </c>
      <c r="C447" s="1291" t="s">
        <v>2752</v>
      </c>
      <c r="D447" s="1691" t="str">
        <f>BASIC_TOOL!$D$6</f>
        <v>ABC</v>
      </c>
      <c r="E447" s="1691"/>
      <c r="F447" s="1691" t="s">
        <v>2751</v>
      </c>
      <c r="G447" s="1697"/>
    </row>
    <row r="448" spans="1:7" ht="60">
      <c r="A448" s="1290" t="s">
        <v>176</v>
      </c>
      <c r="B448" s="1359" t="s">
        <v>177</v>
      </c>
      <c r="C448" s="1335" t="s">
        <v>2750</v>
      </c>
      <c r="D448" s="1691" t="s">
        <v>239</v>
      </c>
      <c r="E448" s="1691"/>
      <c r="F448" s="1288" t="s">
        <v>2749</v>
      </c>
      <c r="G448" s="1287" t="s">
        <v>2748</v>
      </c>
    </row>
    <row r="449" spans="1:7" ht="52.9" customHeight="1">
      <c r="A449" s="1284" t="str">
        <f>IFERROR(VLOOKUP(B:B,'0.39'!B:F,5,FALSE),"")</f>
        <v/>
      </c>
      <c r="B449" s="1360" t="str">
        <f>PACKING!BC97</f>
        <v/>
      </c>
      <c r="C449" s="1283" t="str">
        <f>IFERROR((VLOOKUP(B:B,'0.39'!B:F,4,FALSE)),"")</f>
        <v/>
      </c>
      <c r="D449" s="1331" t="str">
        <f>PACKING!BD67</f>
        <v/>
      </c>
      <c r="E449" s="1286" t="s">
        <v>2747</v>
      </c>
      <c r="F449" s="1285"/>
      <c r="G449" s="1281"/>
    </row>
    <row r="450" spans="1:7" ht="52.9" customHeight="1">
      <c r="A450" s="1284" t="str">
        <f>IFERROR(VLOOKUP(B:B,'0.39'!B:F,5,FALSE),"")</f>
        <v/>
      </c>
      <c r="B450" s="1360" t="str">
        <f>PACKING!BC98</f>
        <v/>
      </c>
      <c r="C450" s="1283" t="str">
        <f>IFERROR((VLOOKUP(B:B,'0.39'!B:F,4,FALSE)),"")</f>
        <v/>
      </c>
      <c r="D450" s="1331" t="str">
        <f>PACKING!BD68</f>
        <v/>
      </c>
      <c r="E450" s="1337" t="s">
        <v>2747</v>
      </c>
      <c r="F450" s="1285"/>
      <c r="G450" s="1281"/>
    </row>
    <row r="451" spans="1:7" ht="52.9" customHeight="1">
      <c r="A451" s="1284" t="str">
        <f>IFERROR(VLOOKUP(B:B,'0.39'!B:F,5,FALSE),"")</f>
        <v/>
      </c>
      <c r="B451" s="1360" t="str">
        <f>PACKING!BC99</f>
        <v/>
      </c>
      <c r="C451" s="1283" t="str">
        <f>IFERROR((VLOOKUP(B:B,'0.39'!B:F,4,FALSE)),"")</f>
        <v/>
      </c>
      <c r="D451" s="1331" t="str">
        <f>PACKING!BD69</f>
        <v/>
      </c>
      <c r="E451" s="1286" t="s">
        <v>2747</v>
      </c>
      <c r="F451" s="1285"/>
      <c r="G451" s="1281"/>
    </row>
    <row r="452" spans="1:7" ht="52.9" customHeight="1">
      <c r="A452" s="1284" t="str">
        <f>IFERROR(VLOOKUP(B:B,'0.39'!B:F,5,FALSE),"")</f>
        <v/>
      </c>
      <c r="B452" s="1360" t="str">
        <f>PACKING!BC100</f>
        <v/>
      </c>
      <c r="C452" s="1283" t="str">
        <f>IFERROR((VLOOKUP(B:B,'0.39'!B:F,4,FALSE)),"")</f>
        <v/>
      </c>
      <c r="D452" s="1331" t="str">
        <f>PACKING!BD70</f>
        <v/>
      </c>
      <c r="E452" s="1286" t="s">
        <v>2747</v>
      </c>
      <c r="F452" s="1282"/>
      <c r="G452" s="1281"/>
    </row>
    <row r="453" spans="1:7" ht="52.9" customHeight="1">
      <c r="A453" s="1284" t="str">
        <f>IFERROR(VLOOKUP(B:B,'0.39'!B:F,5,FALSE),"")</f>
        <v/>
      </c>
      <c r="B453" s="1360" t="str">
        <f>PACKING!BC101</f>
        <v/>
      </c>
      <c r="C453" s="1283" t="str">
        <f>IFERROR((VLOOKUP(B:B,'0.39'!B:F,4,FALSE)),"")</f>
        <v/>
      </c>
      <c r="D453" s="1331" t="str">
        <f>PACKING!BD71</f>
        <v/>
      </c>
      <c r="E453" s="1286" t="s">
        <v>2747</v>
      </c>
      <c r="F453" s="1282"/>
      <c r="G453" s="1281"/>
    </row>
    <row r="454" spans="1:7" ht="52.9" customHeight="1">
      <c r="A454" s="1284" t="str">
        <f>IFERROR(VLOOKUP(B:B,'0.39'!B:F,5,FALSE),"")</f>
        <v/>
      </c>
      <c r="B454" s="1360" t="str">
        <f>PACKING!BC102</f>
        <v/>
      </c>
      <c r="C454" s="1283" t="str">
        <f>IFERROR((VLOOKUP(B:B,'0.39'!B:F,4,FALSE)),"")</f>
        <v/>
      </c>
      <c r="D454" s="1331" t="str">
        <f>PACKING!BD72</f>
        <v/>
      </c>
      <c r="E454" s="1337" t="s">
        <v>2747</v>
      </c>
      <c r="F454" s="1282"/>
      <c r="G454" s="1281"/>
    </row>
    <row r="455" spans="1:7" ht="52.9" customHeight="1">
      <c r="A455" s="1284" t="str">
        <f>IFERROR(VLOOKUP(B:B,'0.39'!B:F,5,FALSE),"")</f>
        <v/>
      </c>
      <c r="B455" s="1360" t="str">
        <f>PACKING!BC103</f>
        <v/>
      </c>
      <c r="C455" s="1283" t="str">
        <f>IFERROR((VLOOKUP(B:B,'0.39'!B:F,4,FALSE)),"")</f>
        <v/>
      </c>
      <c r="D455" s="1331" t="str">
        <f>PACKING!BD73</f>
        <v/>
      </c>
      <c r="E455" s="1337" t="s">
        <v>2747</v>
      </c>
      <c r="F455" s="1282"/>
      <c r="G455" s="1281"/>
    </row>
    <row r="456" spans="1:7" ht="52.9" customHeight="1">
      <c r="A456" s="1284" t="str">
        <f>IFERROR(VLOOKUP(B:B,'0.39'!B:F,5,FALSE),"")</f>
        <v/>
      </c>
      <c r="B456" s="1360" t="str">
        <f>PACKING!BC104</f>
        <v/>
      </c>
      <c r="C456" s="1283" t="str">
        <f>IFERROR((VLOOKUP(B:B,'0.39'!B:F,4,FALSE)),"")</f>
        <v/>
      </c>
      <c r="D456" s="1331" t="str">
        <f>PACKING!BD74</f>
        <v/>
      </c>
      <c r="E456" s="1337" t="s">
        <v>2747</v>
      </c>
      <c r="F456" s="1282"/>
      <c r="G456" s="1281"/>
    </row>
    <row r="457" spans="1:7" ht="52.9" customHeight="1">
      <c r="A457" s="1284" t="str">
        <f>IFERROR(VLOOKUP(B:B,'0.39'!B:F,5,FALSE),"")</f>
        <v/>
      </c>
      <c r="B457" s="1360" t="str">
        <f>PACKING!BC105</f>
        <v/>
      </c>
      <c r="C457" s="1283" t="str">
        <f>IFERROR((VLOOKUP(B:B,'0.39'!B:F,4,FALSE)),"")</f>
        <v/>
      </c>
      <c r="D457" s="1331" t="str">
        <f>PACKING!BD75</f>
        <v/>
      </c>
      <c r="E457" s="1337" t="s">
        <v>2747</v>
      </c>
      <c r="F457" s="1285"/>
      <c r="G457" s="1281"/>
    </row>
    <row r="458" spans="1:7" ht="52.9" customHeight="1">
      <c r="A458" s="1284" t="str">
        <f>IFERROR(VLOOKUP(B:B,'0.39'!B:F,5,FALSE),"")</f>
        <v/>
      </c>
      <c r="B458" s="1360" t="str">
        <f>PACKING!BC106</f>
        <v/>
      </c>
      <c r="C458" s="1283" t="str">
        <f>IFERROR((VLOOKUP(B:B,'0.39'!B:F,4,FALSE)),"")</f>
        <v/>
      </c>
      <c r="D458" s="1331" t="str">
        <f>PACKING!BD76</f>
        <v/>
      </c>
      <c r="E458" s="1337" t="s">
        <v>2747</v>
      </c>
      <c r="F458" s="1282"/>
      <c r="G458" s="1281"/>
    </row>
    <row r="459" spans="1:7" ht="52.9" customHeight="1">
      <c r="A459" s="1284" t="str">
        <f>IFERROR(VLOOKUP(B:B,'0.39'!B:F,5,FALSE),"")</f>
        <v/>
      </c>
      <c r="B459" s="1360" t="str">
        <f>PACKING!BC107</f>
        <v/>
      </c>
      <c r="C459" s="1283" t="str">
        <f>IFERROR((VLOOKUP(B:B,'0.39'!B:F,4,FALSE)),"")</f>
        <v/>
      </c>
      <c r="D459" s="1331" t="str">
        <f>PACKING!BD77</f>
        <v/>
      </c>
      <c r="E459" s="1337" t="s">
        <v>2747</v>
      </c>
      <c r="F459" s="1282"/>
      <c r="G459" s="1281"/>
    </row>
    <row r="460" spans="1:7" ht="79.150000000000006" customHeight="1" thickBot="1">
      <c r="A460" s="1692" t="s">
        <v>204</v>
      </c>
      <c r="B460" s="1693"/>
      <c r="C460" s="1693"/>
      <c r="D460" s="1280">
        <f>SUM(D449:D459)</f>
        <v>0</v>
      </c>
      <c r="E460" s="1336" t="s">
        <v>2747</v>
      </c>
      <c r="F460" s="1279" t="s">
        <v>2746</v>
      </c>
      <c r="G460" s="1278" t="s">
        <v>2746</v>
      </c>
    </row>
    <row r="461" spans="1:7" ht="35.25" thickBot="1">
      <c r="A461" s="1302"/>
      <c r="B461" s="1361"/>
      <c r="C461" s="1302"/>
      <c r="D461" s="1303"/>
      <c r="E461" s="1302"/>
      <c r="F461" s="1301"/>
      <c r="G461" s="1301"/>
    </row>
    <row r="462" spans="1:7" ht="75.599999999999994" customHeight="1" thickBot="1">
      <c r="A462" s="1300"/>
      <c r="B462" s="1299" t="str">
        <f>BASIC_TOOL!$B$6</f>
        <v>A Project</v>
      </c>
      <c r="C462" s="1304" t="s">
        <v>2756</v>
      </c>
      <c r="D462" s="1297" t="e">
        <f ca="1">_xlfn.IFS(PACKING!BF65="M", "1X1.5M",PACKING!BF65="L", "1X2M",PACKING!BF65="S", "1X1M")</f>
        <v>#NAME?</v>
      </c>
      <c r="E462" s="1296">
        <f>PACKING!BF94</f>
        <v>28</v>
      </c>
      <c r="F462" s="1295" t="s">
        <v>2755</v>
      </c>
      <c r="G462" s="1294">
        <f>PACKING!$C$63</f>
        <v>2</v>
      </c>
    </row>
    <row r="463" spans="1:7" ht="87.6" customHeight="1">
      <c r="A463" s="1290" t="s">
        <v>2754</v>
      </c>
      <c r="B463" s="1290" t="str">
        <f>BASIC_TOOL!$B$7</f>
        <v>DAMMAM, KSA</v>
      </c>
      <c r="C463" s="1293" t="str">
        <f>BASIC_TOOL!$C$14</f>
        <v>Non-Insulated</v>
      </c>
      <c r="D463" s="1694" t="str">
        <f>'PRINTOUT(BOM)'!A96</f>
        <v>▣ Size : 10mW x (5)mL x3mH =150 [TON]/ 1[SET]</v>
      </c>
      <c r="E463" s="1695"/>
      <c r="F463" s="1695"/>
      <c r="G463" s="1696"/>
    </row>
    <row r="464" spans="1:7" ht="63.6" customHeight="1">
      <c r="A464" s="1290" t="s">
        <v>2753</v>
      </c>
      <c r="B464" s="1292">
        <f>BASIC_TOOL!$F$7</f>
        <v>44343</v>
      </c>
      <c r="C464" s="1291" t="s">
        <v>2752</v>
      </c>
      <c r="D464" s="1691" t="str">
        <f>BASIC_TOOL!$D$6</f>
        <v>ABC</v>
      </c>
      <c r="E464" s="1691"/>
      <c r="F464" s="1691" t="s">
        <v>2751</v>
      </c>
      <c r="G464" s="1697"/>
    </row>
    <row r="465" spans="1:7" ht="60">
      <c r="A465" s="1290" t="s">
        <v>176</v>
      </c>
      <c r="B465" s="1359" t="s">
        <v>177</v>
      </c>
      <c r="C465" s="1335" t="s">
        <v>2750</v>
      </c>
      <c r="D465" s="1691" t="s">
        <v>239</v>
      </c>
      <c r="E465" s="1691"/>
      <c r="F465" s="1288" t="s">
        <v>2749</v>
      </c>
      <c r="G465" s="1287" t="s">
        <v>2748</v>
      </c>
    </row>
    <row r="466" spans="1:7" ht="52.9" customHeight="1">
      <c r="A466" s="1284" t="str">
        <f>IFERROR(VLOOKUP(B:B,'0.39'!B:F,5,FALSE),"")</f>
        <v/>
      </c>
      <c r="B466" s="1360" t="str">
        <f>PACKING!BE97</f>
        <v/>
      </c>
      <c r="C466" s="1283" t="str">
        <f>IFERROR((VLOOKUP(B:B,'0.39'!B:F,4,FALSE)),"")</f>
        <v/>
      </c>
      <c r="D466" s="1331" t="str">
        <f>PACKING!BF67</f>
        <v/>
      </c>
      <c r="E466" s="1286" t="s">
        <v>2747</v>
      </c>
      <c r="F466" s="1285"/>
      <c r="G466" s="1281"/>
    </row>
    <row r="467" spans="1:7" ht="52.9" customHeight="1">
      <c r="A467" s="1284" t="str">
        <f>IFERROR(VLOOKUP(B:B,'0.39'!B:F,5,FALSE),"")</f>
        <v/>
      </c>
      <c r="B467" s="1360" t="str">
        <f>PACKING!BE98</f>
        <v/>
      </c>
      <c r="C467" s="1283" t="str">
        <f>IFERROR((VLOOKUP(B:B,'0.39'!B:F,4,FALSE)),"")</f>
        <v/>
      </c>
      <c r="D467" s="1331" t="str">
        <f>PACKING!BF68</f>
        <v/>
      </c>
      <c r="E467" s="1337" t="s">
        <v>2747</v>
      </c>
      <c r="F467" s="1285"/>
      <c r="G467" s="1281"/>
    </row>
    <row r="468" spans="1:7" ht="52.9" customHeight="1">
      <c r="A468" s="1284" t="str">
        <f>IFERROR(VLOOKUP(B:B,'0.39'!B:F,5,FALSE),"")</f>
        <v/>
      </c>
      <c r="B468" s="1360" t="str">
        <f>PACKING!BE99</f>
        <v/>
      </c>
      <c r="C468" s="1283" t="str">
        <f>IFERROR((VLOOKUP(B:B,'0.39'!B:F,4,FALSE)),"")</f>
        <v/>
      </c>
      <c r="D468" s="1331" t="str">
        <f>PACKING!BF69</f>
        <v/>
      </c>
      <c r="E468" s="1286" t="s">
        <v>2747</v>
      </c>
      <c r="F468" s="1285"/>
      <c r="G468" s="1281"/>
    </row>
    <row r="469" spans="1:7" ht="52.9" customHeight="1">
      <c r="A469" s="1284" t="str">
        <f>IFERROR(VLOOKUP(B:B,'0.39'!B:F,5,FALSE),"")</f>
        <v/>
      </c>
      <c r="B469" s="1360" t="str">
        <f>PACKING!BE100</f>
        <v/>
      </c>
      <c r="C469" s="1283" t="str">
        <f>IFERROR((VLOOKUP(B:B,'0.39'!B:F,4,FALSE)),"")</f>
        <v/>
      </c>
      <c r="D469" s="1331" t="str">
        <f>PACKING!BF70</f>
        <v/>
      </c>
      <c r="E469" s="1286" t="s">
        <v>2747</v>
      </c>
      <c r="F469" s="1282"/>
      <c r="G469" s="1281"/>
    </row>
    <row r="470" spans="1:7" ht="52.9" customHeight="1">
      <c r="A470" s="1284" t="str">
        <f>IFERROR(VLOOKUP(B:B,'0.39'!B:F,5,FALSE),"")</f>
        <v/>
      </c>
      <c r="B470" s="1360" t="str">
        <f>PACKING!BE101</f>
        <v/>
      </c>
      <c r="C470" s="1283" t="str">
        <f>IFERROR((VLOOKUP(B:B,'0.39'!B:F,4,FALSE)),"")</f>
        <v/>
      </c>
      <c r="D470" s="1331" t="str">
        <f>PACKING!BF71</f>
        <v/>
      </c>
      <c r="E470" s="1286" t="s">
        <v>2747</v>
      </c>
      <c r="F470" s="1282"/>
      <c r="G470" s="1281"/>
    </row>
    <row r="471" spans="1:7" ht="52.9" customHeight="1">
      <c r="A471" s="1284" t="str">
        <f>IFERROR(VLOOKUP(B:B,'0.39'!B:F,5,FALSE),"")</f>
        <v/>
      </c>
      <c r="B471" s="1360" t="str">
        <f>PACKING!BE102</f>
        <v/>
      </c>
      <c r="C471" s="1283" t="str">
        <f>IFERROR((VLOOKUP(B:B,'0.39'!B:F,4,FALSE)),"")</f>
        <v/>
      </c>
      <c r="D471" s="1331" t="str">
        <f>PACKING!BF72</f>
        <v/>
      </c>
      <c r="E471" s="1337" t="s">
        <v>2747</v>
      </c>
      <c r="F471" s="1282"/>
      <c r="G471" s="1281"/>
    </row>
    <row r="472" spans="1:7" ht="52.9" customHeight="1">
      <c r="A472" s="1284" t="str">
        <f>IFERROR(VLOOKUP(B:B,'0.39'!B:F,5,FALSE),"")</f>
        <v/>
      </c>
      <c r="B472" s="1360" t="str">
        <f>PACKING!BE103</f>
        <v/>
      </c>
      <c r="C472" s="1283" t="str">
        <f>IFERROR((VLOOKUP(B:B,'0.39'!B:F,4,FALSE)),"")</f>
        <v/>
      </c>
      <c r="D472" s="1331" t="str">
        <f>PACKING!BF73</f>
        <v/>
      </c>
      <c r="E472" s="1337" t="s">
        <v>2747</v>
      </c>
      <c r="F472" s="1282"/>
      <c r="G472" s="1281"/>
    </row>
    <row r="473" spans="1:7" ht="52.9" customHeight="1">
      <c r="A473" s="1284" t="str">
        <f>IFERROR(VLOOKUP(B:B,'0.39'!B:F,5,FALSE),"")</f>
        <v/>
      </c>
      <c r="B473" s="1360" t="str">
        <f>PACKING!BE104</f>
        <v/>
      </c>
      <c r="C473" s="1283" t="str">
        <f>IFERROR((VLOOKUP(B:B,'0.39'!B:F,4,FALSE)),"")</f>
        <v/>
      </c>
      <c r="D473" s="1331" t="str">
        <f>PACKING!BF74</f>
        <v/>
      </c>
      <c r="E473" s="1337" t="s">
        <v>2747</v>
      </c>
      <c r="F473" s="1282"/>
      <c r="G473" s="1281"/>
    </row>
    <row r="474" spans="1:7" ht="52.9" customHeight="1">
      <c r="A474" s="1284" t="str">
        <f>IFERROR(VLOOKUP(B:B,'0.39'!B:F,5,FALSE),"")</f>
        <v/>
      </c>
      <c r="B474" s="1360" t="str">
        <f>PACKING!BE105</f>
        <v/>
      </c>
      <c r="C474" s="1283" t="str">
        <f>IFERROR((VLOOKUP(B:B,'0.39'!B:F,4,FALSE)),"")</f>
        <v/>
      </c>
      <c r="D474" s="1331" t="str">
        <f>PACKING!BF75</f>
        <v/>
      </c>
      <c r="E474" s="1337" t="s">
        <v>2747</v>
      </c>
      <c r="F474" s="1285"/>
      <c r="G474" s="1281"/>
    </row>
    <row r="475" spans="1:7" ht="52.9" customHeight="1">
      <c r="A475" s="1284" t="str">
        <f>IFERROR(VLOOKUP(B:B,'0.39'!B:F,5,FALSE),"")</f>
        <v/>
      </c>
      <c r="B475" s="1360" t="str">
        <f>PACKING!BE106</f>
        <v/>
      </c>
      <c r="C475" s="1283" t="str">
        <f>IFERROR((VLOOKUP(B:B,'0.39'!B:F,4,FALSE)),"")</f>
        <v/>
      </c>
      <c r="D475" s="1331" t="str">
        <f>PACKING!BF76</f>
        <v/>
      </c>
      <c r="E475" s="1337" t="s">
        <v>2747</v>
      </c>
      <c r="F475" s="1282"/>
      <c r="G475" s="1281"/>
    </row>
    <row r="476" spans="1:7" ht="52.9" customHeight="1">
      <c r="A476" s="1284" t="str">
        <f>IFERROR(VLOOKUP(B:B,'0.39'!B:F,5,FALSE),"")</f>
        <v/>
      </c>
      <c r="B476" s="1360" t="str">
        <f>PACKING!BE107</f>
        <v/>
      </c>
      <c r="C476" s="1283" t="str">
        <f>IFERROR((VLOOKUP(B:B,'0.39'!B:F,4,FALSE)),"")</f>
        <v/>
      </c>
      <c r="D476" s="1331" t="str">
        <f>PACKING!BF77</f>
        <v/>
      </c>
      <c r="E476" s="1337" t="s">
        <v>2747</v>
      </c>
      <c r="F476" s="1282"/>
      <c r="G476" s="1281"/>
    </row>
    <row r="477" spans="1:7" ht="79.150000000000006" customHeight="1" thickBot="1">
      <c r="A477" s="1692" t="s">
        <v>204</v>
      </c>
      <c r="B477" s="1693"/>
      <c r="C477" s="1693"/>
      <c r="D477" s="1280">
        <f>SUM(D466:D476)</f>
        <v>0</v>
      </c>
      <c r="E477" s="1336" t="s">
        <v>2747</v>
      </c>
      <c r="F477" s="1279" t="s">
        <v>2746</v>
      </c>
      <c r="G477" s="1278" t="s">
        <v>2746</v>
      </c>
    </row>
    <row r="478" spans="1:7" ht="35.25" thickBot="1">
      <c r="A478" s="1302"/>
      <c r="B478" s="1361"/>
      <c r="C478" s="1302"/>
      <c r="D478" s="1303"/>
      <c r="E478" s="1302"/>
      <c r="F478" s="1301"/>
      <c r="G478" s="1301"/>
    </row>
    <row r="479" spans="1:7" ht="75.599999999999994" customHeight="1" thickBot="1">
      <c r="A479" s="1300"/>
      <c r="B479" s="1299" t="str">
        <f>BASIC_TOOL!$B$6</f>
        <v>A Project</v>
      </c>
      <c r="C479" s="1304" t="s">
        <v>2756</v>
      </c>
      <c r="D479" s="1297" t="e">
        <f ca="1">_xlfn.IFS(PACKING!BH65="M", "1X1.5M",PACKING!BH65="L", "1X2M",PACKING!BH65="S", "1X1M")</f>
        <v>#NAME?</v>
      </c>
      <c r="E479" s="1296">
        <f>PACKING!BH94</f>
        <v>29</v>
      </c>
      <c r="F479" s="1295" t="s">
        <v>2755</v>
      </c>
      <c r="G479" s="1294">
        <f>PACKING!$C$63</f>
        <v>2</v>
      </c>
    </row>
    <row r="480" spans="1:7" ht="87.6" customHeight="1">
      <c r="A480" s="1290" t="s">
        <v>2754</v>
      </c>
      <c r="B480" s="1290" t="str">
        <f>BASIC_TOOL!$B$7</f>
        <v>DAMMAM, KSA</v>
      </c>
      <c r="C480" s="1293" t="str">
        <f>BASIC_TOOL!$C$14</f>
        <v>Non-Insulated</v>
      </c>
      <c r="D480" s="1694" t="str">
        <f>'PRINTOUT(BOM)'!A96</f>
        <v>▣ Size : 10mW x (5)mL x3mH =150 [TON]/ 1[SET]</v>
      </c>
      <c r="E480" s="1695"/>
      <c r="F480" s="1695"/>
      <c r="G480" s="1696"/>
    </row>
    <row r="481" spans="1:7" ht="63.6" customHeight="1">
      <c r="A481" s="1290" t="s">
        <v>2753</v>
      </c>
      <c r="B481" s="1292">
        <f>BASIC_TOOL!$F$7</f>
        <v>44343</v>
      </c>
      <c r="C481" s="1291" t="s">
        <v>2752</v>
      </c>
      <c r="D481" s="1691" t="str">
        <f>BASIC_TOOL!$D$6</f>
        <v>ABC</v>
      </c>
      <c r="E481" s="1691"/>
      <c r="F481" s="1691" t="s">
        <v>2751</v>
      </c>
      <c r="G481" s="1697"/>
    </row>
    <row r="482" spans="1:7" ht="60">
      <c r="A482" s="1290" t="s">
        <v>176</v>
      </c>
      <c r="B482" s="1359" t="s">
        <v>177</v>
      </c>
      <c r="C482" s="1335" t="s">
        <v>2750</v>
      </c>
      <c r="D482" s="1691" t="s">
        <v>239</v>
      </c>
      <c r="E482" s="1691"/>
      <c r="F482" s="1288" t="s">
        <v>2749</v>
      </c>
      <c r="G482" s="1287" t="s">
        <v>2748</v>
      </c>
    </row>
    <row r="483" spans="1:7" ht="52.9" customHeight="1">
      <c r="A483" s="1284" t="str">
        <f>IFERROR(VLOOKUP(B:B,'0.39'!B:F,5,FALSE),"")</f>
        <v/>
      </c>
      <c r="B483" s="1360" t="str">
        <f>PACKING!BG97</f>
        <v/>
      </c>
      <c r="C483" s="1283" t="str">
        <f>IFERROR((VLOOKUP(B:B,'0.39'!B:F,4,FALSE)),"")</f>
        <v/>
      </c>
      <c r="D483" s="1331" t="str">
        <f>PACKING!BH67</f>
        <v/>
      </c>
      <c r="E483" s="1286" t="s">
        <v>2747</v>
      </c>
      <c r="F483" s="1285"/>
      <c r="G483" s="1281"/>
    </row>
    <row r="484" spans="1:7" ht="52.9" customHeight="1">
      <c r="A484" s="1284" t="str">
        <f>IFERROR(VLOOKUP(B:B,'0.39'!B:F,5,FALSE),"")</f>
        <v/>
      </c>
      <c r="B484" s="1360" t="str">
        <f>PACKING!BG98</f>
        <v/>
      </c>
      <c r="C484" s="1283" t="str">
        <f>IFERROR((VLOOKUP(B:B,'0.39'!B:F,4,FALSE)),"")</f>
        <v/>
      </c>
      <c r="D484" s="1331" t="str">
        <f>PACKING!BH68</f>
        <v/>
      </c>
      <c r="E484" s="1337" t="s">
        <v>2747</v>
      </c>
      <c r="F484" s="1285"/>
      <c r="G484" s="1281"/>
    </row>
    <row r="485" spans="1:7" ht="52.9" customHeight="1">
      <c r="A485" s="1284" t="str">
        <f>IFERROR(VLOOKUP(B:B,'0.39'!B:F,5,FALSE),"")</f>
        <v/>
      </c>
      <c r="B485" s="1360" t="str">
        <f>PACKING!BG99</f>
        <v/>
      </c>
      <c r="C485" s="1283" t="str">
        <f>IFERROR((VLOOKUP(B:B,'0.39'!B:F,4,FALSE)),"")</f>
        <v/>
      </c>
      <c r="D485" s="1331" t="str">
        <f>PACKING!BH69</f>
        <v/>
      </c>
      <c r="E485" s="1286" t="s">
        <v>2747</v>
      </c>
      <c r="F485" s="1285"/>
      <c r="G485" s="1281"/>
    </row>
    <row r="486" spans="1:7" ht="52.9" customHeight="1">
      <c r="A486" s="1284" t="str">
        <f>IFERROR(VLOOKUP(B:B,'0.39'!B:F,5,FALSE),"")</f>
        <v/>
      </c>
      <c r="B486" s="1360" t="str">
        <f>PACKING!BG100</f>
        <v/>
      </c>
      <c r="C486" s="1283" t="str">
        <f>IFERROR((VLOOKUP(B:B,'0.39'!B:F,4,FALSE)),"")</f>
        <v/>
      </c>
      <c r="D486" s="1331" t="str">
        <f>PACKING!BH70</f>
        <v/>
      </c>
      <c r="E486" s="1286" t="s">
        <v>2747</v>
      </c>
      <c r="F486" s="1282"/>
      <c r="G486" s="1281"/>
    </row>
    <row r="487" spans="1:7" ht="52.9" customHeight="1">
      <c r="A487" s="1284" t="str">
        <f>IFERROR(VLOOKUP(B:B,'0.39'!B:F,5,FALSE),"")</f>
        <v/>
      </c>
      <c r="B487" s="1360" t="str">
        <f>PACKING!BG101</f>
        <v/>
      </c>
      <c r="C487" s="1283" t="str">
        <f>IFERROR((VLOOKUP(B:B,'0.39'!B:F,4,FALSE)),"")</f>
        <v/>
      </c>
      <c r="D487" s="1331" t="str">
        <f>PACKING!BH71</f>
        <v/>
      </c>
      <c r="E487" s="1286" t="s">
        <v>2747</v>
      </c>
      <c r="F487" s="1282"/>
      <c r="G487" s="1281"/>
    </row>
    <row r="488" spans="1:7" ht="52.9" customHeight="1">
      <c r="A488" s="1284" t="str">
        <f>IFERROR(VLOOKUP(B:B,'0.39'!B:F,5,FALSE),"")</f>
        <v/>
      </c>
      <c r="B488" s="1360" t="str">
        <f>PACKING!BG102</f>
        <v/>
      </c>
      <c r="C488" s="1283" t="str">
        <f>IFERROR((VLOOKUP(B:B,'0.39'!B:F,4,FALSE)),"")</f>
        <v/>
      </c>
      <c r="D488" s="1331" t="str">
        <f>PACKING!BH72</f>
        <v/>
      </c>
      <c r="E488" s="1337" t="s">
        <v>2747</v>
      </c>
      <c r="F488" s="1282"/>
      <c r="G488" s="1281"/>
    </row>
    <row r="489" spans="1:7" ht="52.9" customHeight="1">
      <c r="A489" s="1284" t="str">
        <f>IFERROR(VLOOKUP(B:B,'0.39'!B:F,5,FALSE),"")</f>
        <v/>
      </c>
      <c r="B489" s="1360" t="str">
        <f>PACKING!BG103</f>
        <v/>
      </c>
      <c r="C489" s="1283" t="str">
        <f>IFERROR((VLOOKUP(B:B,'0.39'!B:F,4,FALSE)),"")</f>
        <v/>
      </c>
      <c r="D489" s="1331" t="str">
        <f>PACKING!BH73</f>
        <v/>
      </c>
      <c r="E489" s="1337" t="s">
        <v>2747</v>
      </c>
      <c r="F489" s="1282"/>
      <c r="G489" s="1281"/>
    </row>
    <row r="490" spans="1:7" ht="52.9" customHeight="1">
      <c r="A490" s="1284" t="str">
        <f>IFERROR(VLOOKUP(B:B,'0.39'!B:F,5,FALSE),"")</f>
        <v/>
      </c>
      <c r="B490" s="1360" t="str">
        <f>PACKING!BG104</f>
        <v/>
      </c>
      <c r="C490" s="1283" t="str">
        <f>IFERROR((VLOOKUP(B:B,'0.39'!B:F,4,FALSE)),"")</f>
        <v/>
      </c>
      <c r="D490" s="1331" t="str">
        <f>PACKING!BH74</f>
        <v/>
      </c>
      <c r="E490" s="1337" t="s">
        <v>2747</v>
      </c>
      <c r="F490" s="1282"/>
      <c r="G490" s="1281"/>
    </row>
    <row r="491" spans="1:7" ht="52.9" customHeight="1">
      <c r="A491" s="1284" t="str">
        <f>IFERROR(VLOOKUP(B:B,'0.39'!B:F,5,FALSE),"")</f>
        <v/>
      </c>
      <c r="B491" s="1360" t="str">
        <f>PACKING!BG105</f>
        <v/>
      </c>
      <c r="C491" s="1283" t="str">
        <f>IFERROR((VLOOKUP(B:B,'0.39'!B:F,4,FALSE)),"")</f>
        <v/>
      </c>
      <c r="D491" s="1331" t="str">
        <f>PACKING!BH75</f>
        <v/>
      </c>
      <c r="E491" s="1337" t="s">
        <v>2747</v>
      </c>
      <c r="F491" s="1285"/>
      <c r="G491" s="1281"/>
    </row>
    <row r="492" spans="1:7" ht="52.9" customHeight="1">
      <c r="A492" s="1284" t="str">
        <f>IFERROR(VLOOKUP(B:B,'0.39'!B:F,5,FALSE),"")</f>
        <v/>
      </c>
      <c r="B492" s="1360" t="str">
        <f>PACKING!BG106</f>
        <v/>
      </c>
      <c r="C492" s="1283" t="str">
        <f>IFERROR((VLOOKUP(B:B,'0.39'!B:F,4,FALSE)),"")</f>
        <v/>
      </c>
      <c r="D492" s="1331" t="str">
        <f>PACKING!BH76</f>
        <v/>
      </c>
      <c r="E492" s="1337" t="s">
        <v>2747</v>
      </c>
      <c r="F492" s="1282"/>
      <c r="G492" s="1281"/>
    </row>
    <row r="493" spans="1:7" ht="52.9" customHeight="1">
      <c r="A493" s="1284" t="str">
        <f>IFERROR(VLOOKUP(B:B,'0.39'!B:F,5,FALSE),"")</f>
        <v/>
      </c>
      <c r="B493" s="1360" t="str">
        <f>PACKING!BG107</f>
        <v/>
      </c>
      <c r="C493" s="1283" t="str">
        <f>IFERROR((VLOOKUP(B:B,'0.39'!B:F,4,FALSE)),"")</f>
        <v/>
      </c>
      <c r="D493" s="1331" t="str">
        <f>PACKING!BH77</f>
        <v/>
      </c>
      <c r="E493" s="1337" t="s">
        <v>2747</v>
      </c>
      <c r="F493" s="1282"/>
      <c r="G493" s="1281"/>
    </row>
    <row r="494" spans="1:7" ht="79.150000000000006" customHeight="1" thickBot="1">
      <c r="A494" s="1692" t="s">
        <v>204</v>
      </c>
      <c r="B494" s="1693"/>
      <c r="C494" s="1693"/>
      <c r="D494" s="1280">
        <f>SUM(D483:D493)</f>
        <v>0</v>
      </c>
      <c r="E494" s="1336" t="s">
        <v>2747</v>
      </c>
      <c r="F494" s="1279" t="s">
        <v>2746</v>
      </c>
      <c r="G494" s="1278" t="s">
        <v>2746</v>
      </c>
    </row>
    <row r="495" spans="1:7" ht="35.25" thickBot="1">
      <c r="A495" s="1302"/>
      <c r="B495" s="1361"/>
      <c r="C495" s="1302"/>
      <c r="D495" s="1303"/>
      <c r="E495" s="1302"/>
      <c r="F495" s="1301"/>
      <c r="G495" s="1301"/>
    </row>
    <row r="496" spans="1:7" ht="75.599999999999994" customHeight="1" thickBot="1">
      <c r="A496" s="1300"/>
      <c r="B496" s="1299" t="str">
        <f>BASIC_TOOL!$B$6</f>
        <v>A Project</v>
      </c>
      <c r="C496" s="1304" t="s">
        <v>2756</v>
      </c>
      <c r="D496" s="1297" t="e">
        <f ca="1">_xlfn.IFS(PACKING!BJ65="M", "1X1.5M",PACKING!BJ65="L", "1X2M",PACKING!BJ65="S", "1X1M")</f>
        <v>#NAME?</v>
      </c>
      <c r="E496" s="1296">
        <f>PACKING!BJ94</f>
        <v>30</v>
      </c>
      <c r="F496" s="1295" t="s">
        <v>2755</v>
      </c>
      <c r="G496" s="1294">
        <f>PACKING!$C$63</f>
        <v>2</v>
      </c>
    </row>
    <row r="497" spans="1:7" ht="87.6" customHeight="1">
      <c r="A497" s="1290" t="s">
        <v>2754</v>
      </c>
      <c r="B497" s="1290" t="str">
        <f>BASIC_TOOL!$B$7</f>
        <v>DAMMAM, KSA</v>
      </c>
      <c r="C497" s="1293" t="str">
        <f>BASIC_TOOL!$C$14</f>
        <v>Non-Insulated</v>
      </c>
      <c r="D497" s="1694" t="str">
        <f>'PRINTOUT(BOM)'!A96</f>
        <v>▣ Size : 10mW x (5)mL x3mH =150 [TON]/ 1[SET]</v>
      </c>
      <c r="E497" s="1695"/>
      <c r="F497" s="1695"/>
      <c r="G497" s="1696"/>
    </row>
    <row r="498" spans="1:7" ht="63.6" customHeight="1">
      <c r="A498" s="1290" t="s">
        <v>2753</v>
      </c>
      <c r="B498" s="1292">
        <f>BASIC_TOOL!$F$7</f>
        <v>44343</v>
      </c>
      <c r="C498" s="1291" t="s">
        <v>2752</v>
      </c>
      <c r="D498" s="1691" t="str">
        <f>BASIC_TOOL!$D$6</f>
        <v>ABC</v>
      </c>
      <c r="E498" s="1691"/>
      <c r="F498" s="1691" t="s">
        <v>2751</v>
      </c>
      <c r="G498" s="1697"/>
    </row>
    <row r="499" spans="1:7" ht="60">
      <c r="A499" s="1290" t="s">
        <v>176</v>
      </c>
      <c r="B499" s="1359" t="s">
        <v>177</v>
      </c>
      <c r="C499" s="1335" t="s">
        <v>2750</v>
      </c>
      <c r="D499" s="1691" t="s">
        <v>239</v>
      </c>
      <c r="E499" s="1691"/>
      <c r="F499" s="1288" t="s">
        <v>2749</v>
      </c>
      <c r="G499" s="1287" t="s">
        <v>2748</v>
      </c>
    </row>
    <row r="500" spans="1:7" ht="52.9" customHeight="1">
      <c r="A500" s="1284" t="str">
        <f>IFERROR(VLOOKUP(B:B,'0.39'!B:F,5,FALSE),"")</f>
        <v/>
      </c>
      <c r="B500" s="1360" t="str">
        <f>PACKING!BI97</f>
        <v/>
      </c>
      <c r="C500" s="1283" t="str">
        <f>IFERROR((VLOOKUP(B:B,'0.39'!B:F,4,FALSE)),"")</f>
        <v/>
      </c>
      <c r="D500" s="1331" t="str">
        <f>PACKING!BJ67</f>
        <v/>
      </c>
      <c r="E500" s="1286" t="s">
        <v>2747</v>
      </c>
      <c r="F500" s="1285"/>
      <c r="G500" s="1281"/>
    </row>
    <row r="501" spans="1:7" ht="52.9" customHeight="1">
      <c r="A501" s="1284" t="str">
        <f>IFERROR(VLOOKUP(B:B,'0.39'!B:F,5,FALSE),"")</f>
        <v/>
      </c>
      <c r="B501" s="1360" t="str">
        <f>PACKING!BI98</f>
        <v/>
      </c>
      <c r="C501" s="1283" t="str">
        <f>IFERROR((VLOOKUP(B:B,'0.39'!B:F,4,FALSE)),"")</f>
        <v/>
      </c>
      <c r="D501" s="1331" t="str">
        <f>PACKING!BJ68</f>
        <v/>
      </c>
      <c r="E501" s="1337" t="s">
        <v>2747</v>
      </c>
      <c r="F501" s="1285"/>
      <c r="G501" s="1281"/>
    </row>
    <row r="502" spans="1:7" ht="52.9" customHeight="1">
      <c r="A502" s="1284" t="str">
        <f>IFERROR(VLOOKUP(B:B,'0.39'!B:F,5,FALSE),"")</f>
        <v/>
      </c>
      <c r="B502" s="1360" t="str">
        <f>PACKING!BI99</f>
        <v/>
      </c>
      <c r="C502" s="1283" t="str">
        <f>IFERROR((VLOOKUP(B:B,'0.39'!B:F,4,FALSE)),"")</f>
        <v/>
      </c>
      <c r="D502" s="1331" t="str">
        <f>PACKING!BJ69</f>
        <v/>
      </c>
      <c r="E502" s="1286" t="s">
        <v>2747</v>
      </c>
      <c r="F502" s="1285"/>
      <c r="G502" s="1281"/>
    </row>
    <row r="503" spans="1:7" ht="52.9" customHeight="1">
      <c r="A503" s="1284" t="str">
        <f>IFERROR(VLOOKUP(B:B,'0.39'!B:F,5,FALSE),"")</f>
        <v/>
      </c>
      <c r="B503" s="1360" t="str">
        <f>PACKING!BI100</f>
        <v/>
      </c>
      <c r="C503" s="1283" t="str">
        <f>IFERROR((VLOOKUP(B:B,'0.39'!B:F,4,FALSE)),"")</f>
        <v/>
      </c>
      <c r="D503" s="1331" t="str">
        <f>PACKING!BJ70</f>
        <v/>
      </c>
      <c r="E503" s="1286" t="s">
        <v>2747</v>
      </c>
      <c r="F503" s="1282"/>
      <c r="G503" s="1281"/>
    </row>
    <row r="504" spans="1:7" ht="52.9" customHeight="1">
      <c r="A504" s="1284" t="str">
        <f>IFERROR(VLOOKUP(B:B,'0.39'!B:F,5,FALSE),"")</f>
        <v/>
      </c>
      <c r="B504" s="1360" t="str">
        <f>PACKING!BI101</f>
        <v/>
      </c>
      <c r="C504" s="1283" t="str">
        <f>IFERROR((VLOOKUP(B:B,'0.39'!B:F,4,FALSE)),"")</f>
        <v/>
      </c>
      <c r="D504" s="1331" t="str">
        <f>PACKING!BJ71</f>
        <v/>
      </c>
      <c r="E504" s="1286" t="s">
        <v>2747</v>
      </c>
      <c r="F504" s="1282"/>
      <c r="G504" s="1281"/>
    </row>
    <row r="505" spans="1:7" ht="52.9" customHeight="1">
      <c r="A505" s="1284" t="str">
        <f>IFERROR(VLOOKUP(B:B,'0.39'!B:F,5,FALSE),"")</f>
        <v/>
      </c>
      <c r="B505" s="1360" t="str">
        <f>PACKING!BI102</f>
        <v/>
      </c>
      <c r="C505" s="1283" t="str">
        <f>IFERROR((VLOOKUP(B:B,'0.39'!B:F,4,FALSE)),"")</f>
        <v/>
      </c>
      <c r="D505" s="1331" t="str">
        <f>PACKING!BJ72</f>
        <v/>
      </c>
      <c r="E505" s="1337" t="s">
        <v>2747</v>
      </c>
      <c r="F505" s="1282"/>
      <c r="G505" s="1281"/>
    </row>
    <row r="506" spans="1:7" ht="52.9" customHeight="1">
      <c r="A506" s="1284" t="str">
        <f>IFERROR(VLOOKUP(B:B,'0.39'!B:F,5,FALSE),"")</f>
        <v/>
      </c>
      <c r="B506" s="1360" t="str">
        <f>PACKING!BI103</f>
        <v/>
      </c>
      <c r="C506" s="1283" t="str">
        <f>IFERROR((VLOOKUP(B:B,'0.39'!B:F,4,FALSE)),"")</f>
        <v/>
      </c>
      <c r="D506" s="1331" t="str">
        <f>PACKING!BJ73</f>
        <v/>
      </c>
      <c r="E506" s="1337" t="s">
        <v>2747</v>
      </c>
      <c r="F506" s="1282"/>
      <c r="G506" s="1281"/>
    </row>
    <row r="507" spans="1:7" ht="52.9" customHeight="1">
      <c r="A507" s="1284" t="str">
        <f>IFERROR(VLOOKUP(B:B,'0.39'!B:F,5,FALSE),"")</f>
        <v/>
      </c>
      <c r="B507" s="1360" t="str">
        <f>PACKING!BI104</f>
        <v/>
      </c>
      <c r="C507" s="1283" t="str">
        <f>IFERROR((VLOOKUP(B:B,'0.39'!B:F,4,FALSE)),"")</f>
        <v/>
      </c>
      <c r="D507" s="1331" t="str">
        <f>PACKING!BJ74</f>
        <v/>
      </c>
      <c r="E507" s="1337" t="s">
        <v>2747</v>
      </c>
      <c r="F507" s="1282"/>
      <c r="G507" s="1281"/>
    </row>
    <row r="508" spans="1:7" ht="52.9" customHeight="1">
      <c r="A508" s="1284" t="str">
        <f>IFERROR(VLOOKUP(B:B,'0.39'!B:F,5,FALSE),"")</f>
        <v/>
      </c>
      <c r="B508" s="1360" t="str">
        <f>PACKING!BI105</f>
        <v/>
      </c>
      <c r="C508" s="1283" t="str">
        <f>IFERROR((VLOOKUP(B:B,'0.39'!B:F,4,FALSE)),"")</f>
        <v/>
      </c>
      <c r="D508" s="1331" t="str">
        <f>PACKING!BJ75</f>
        <v/>
      </c>
      <c r="E508" s="1337" t="s">
        <v>2747</v>
      </c>
      <c r="F508" s="1285"/>
      <c r="G508" s="1281"/>
    </row>
    <row r="509" spans="1:7" ht="52.9" customHeight="1">
      <c r="A509" s="1284" t="str">
        <f>IFERROR(VLOOKUP(B:B,'0.39'!B:F,5,FALSE),"")</f>
        <v/>
      </c>
      <c r="B509" s="1360" t="str">
        <f>PACKING!BI106</f>
        <v/>
      </c>
      <c r="C509" s="1283" t="str">
        <f>IFERROR((VLOOKUP(B:B,'0.39'!B:F,4,FALSE)),"")</f>
        <v/>
      </c>
      <c r="D509" s="1331" t="str">
        <f>PACKING!BJ76</f>
        <v/>
      </c>
      <c r="E509" s="1337" t="s">
        <v>2747</v>
      </c>
      <c r="F509" s="1282"/>
      <c r="G509" s="1281"/>
    </row>
    <row r="510" spans="1:7" ht="52.9" customHeight="1">
      <c r="A510" s="1284" t="str">
        <f>IFERROR(VLOOKUP(B:B,'0.39'!B:F,5,FALSE),"")</f>
        <v/>
      </c>
      <c r="B510" s="1360" t="str">
        <f>PACKING!BI107</f>
        <v/>
      </c>
      <c r="C510" s="1283" t="str">
        <f>IFERROR((VLOOKUP(B:B,'0.39'!B:F,4,FALSE)),"")</f>
        <v/>
      </c>
      <c r="D510" s="1331" t="str">
        <f>PACKING!BJ77</f>
        <v/>
      </c>
      <c r="E510" s="1337" t="s">
        <v>2747</v>
      </c>
      <c r="F510" s="1282"/>
      <c r="G510" s="1281"/>
    </row>
    <row r="511" spans="1:7" ht="79.150000000000006" customHeight="1" thickBot="1">
      <c r="A511" s="1692" t="s">
        <v>204</v>
      </c>
      <c r="B511" s="1693"/>
      <c r="C511" s="1693"/>
      <c r="D511" s="1280">
        <f>SUM(D500:D510)</f>
        <v>0</v>
      </c>
      <c r="E511" s="1336" t="s">
        <v>2747</v>
      </c>
      <c r="F511" s="1279" t="s">
        <v>2746</v>
      </c>
      <c r="G511" s="1278" t="s">
        <v>2746</v>
      </c>
    </row>
    <row r="512" spans="1:7" ht="35.25" thickBot="1">
      <c r="A512" s="1302"/>
      <c r="B512" s="1361"/>
      <c r="C512" s="1302"/>
      <c r="D512" s="1303"/>
      <c r="E512" s="1302"/>
      <c r="F512" s="1301"/>
      <c r="G512" s="1301"/>
    </row>
    <row r="513" spans="1:7" ht="75.599999999999994" customHeight="1" thickBot="1">
      <c r="A513" s="1300"/>
      <c r="B513" s="1299" t="str">
        <f>BASIC_TOOL!$B$6</f>
        <v>A Project</v>
      </c>
      <c r="C513" s="1304" t="s">
        <v>2756</v>
      </c>
      <c r="D513" s="1297" t="e">
        <f ca="1">_xlfn.IFS(PACKING!BL65="M", "1X1.5M",PACKING!BL65="L", "1X2M",PACKING!BL65="S", "1X1M")</f>
        <v>#NAME?</v>
      </c>
      <c r="E513" s="1296">
        <f>PACKING!BL94</f>
        <v>31</v>
      </c>
      <c r="F513" s="1295" t="s">
        <v>2755</v>
      </c>
      <c r="G513" s="1294">
        <f>PACKING!$C$63</f>
        <v>2</v>
      </c>
    </row>
    <row r="514" spans="1:7" ht="87.6" customHeight="1">
      <c r="A514" s="1290" t="s">
        <v>2754</v>
      </c>
      <c r="B514" s="1290" t="str">
        <f>BASIC_TOOL!$B$7</f>
        <v>DAMMAM, KSA</v>
      </c>
      <c r="C514" s="1293" t="str">
        <f>BASIC_TOOL!$C$14</f>
        <v>Non-Insulated</v>
      </c>
      <c r="D514" s="1694" t="str">
        <f>'PRINTOUT(BOM)'!A96</f>
        <v>▣ Size : 10mW x (5)mL x3mH =150 [TON]/ 1[SET]</v>
      </c>
      <c r="E514" s="1695"/>
      <c r="F514" s="1695"/>
      <c r="G514" s="1696"/>
    </row>
    <row r="515" spans="1:7" ht="63.6" customHeight="1">
      <c r="A515" s="1290" t="s">
        <v>2753</v>
      </c>
      <c r="B515" s="1292">
        <f>BASIC_TOOL!$F$7</f>
        <v>44343</v>
      </c>
      <c r="C515" s="1291" t="s">
        <v>2752</v>
      </c>
      <c r="D515" s="1691" t="str">
        <f>BASIC_TOOL!$D$6</f>
        <v>ABC</v>
      </c>
      <c r="E515" s="1691"/>
      <c r="F515" s="1691" t="s">
        <v>2751</v>
      </c>
      <c r="G515" s="1697"/>
    </row>
    <row r="516" spans="1:7" ht="60">
      <c r="A516" s="1290" t="s">
        <v>176</v>
      </c>
      <c r="B516" s="1359" t="s">
        <v>177</v>
      </c>
      <c r="C516" s="1335" t="s">
        <v>2750</v>
      </c>
      <c r="D516" s="1691" t="s">
        <v>239</v>
      </c>
      <c r="E516" s="1691"/>
      <c r="F516" s="1288" t="s">
        <v>2749</v>
      </c>
      <c r="G516" s="1287" t="s">
        <v>2748</v>
      </c>
    </row>
    <row r="517" spans="1:7" ht="52.9" customHeight="1">
      <c r="A517" s="1284" t="str">
        <f>IFERROR(VLOOKUP(B:B,'0.39'!B:F,5,FALSE),"")</f>
        <v/>
      </c>
      <c r="B517" s="1360" t="str">
        <f>PACKING!BK97</f>
        <v/>
      </c>
      <c r="C517" s="1283" t="str">
        <f>IFERROR((VLOOKUP(B:B,'0.39'!B:F,4,FALSE)),"")</f>
        <v/>
      </c>
      <c r="D517" s="1331" t="str">
        <f>PACKING!BL67</f>
        <v/>
      </c>
      <c r="E517" s="1286" t="s">
        <v>2747</v>
      </c>
      <c r="F517" s="1285"/>
      <c r="G517" s="1281"/>
    </row>
    <row r="518" spans="1:7" ht="52.9" customHeight="1">
      <c r="A518" s="1284" t="str">
        <f>IFERROR(VLOOKUP(B:B,'0.39'!B:F,5,FALSE),"")</f>
        <v/>
      </c>
      <c r="B518" s="1360" t="str">
        <f>PACKING!BK98</f>
        <v/>
      </c>
      <c r="C518" s="1283" t="str">
        <f>IFERROR((VLOOKUP(B:B,'0.39'!B:F,4,FALSE)),"")</f>
        <v/>
      </c>
      <c r="D518" s="1331" t="str">
        <f>PACKING!BN68</f>
        <v/>
      </c>
      <c r="E518" s="1337" t="s">
        <v>2747</v>
      </c>
      <c r="F518" s="1285"/>
      <c r="G518" s="1281"/>
    </row>
    <row r="519" spans="1:7" ht="52.9" customHeight="1">
      <c r="A519" s="1284" t="str">
        <f>IFERROR(VLOOKUP(B:B,'0.39'!B:F,5,FALSE),"")</f>
        <v/>
      </c>
      <c r="B519" s="1360" t="str">
        <f>PACKING!BK99</f>
        <v/>
      </c>
      <c r="C519" s="1283" t="str">
        <f>IFERROR((VLOOKUP(B:B,'0.39'!B:F,4,FALSE)),"")</f>
        <v/>
      </c>
      <c r="D519" s="1331" t="str">
        <f>PACKING!BN69</f>
        <v/>
      </c>
      <c r="E519" s="1286" t="s">
        <v>2747</v>
      </c>
      <c r="F519" s="1285"/>
      <c r="G519" s="1281"/>
    </row>
    <row r="520" spans="1:7" ht="52.9" customHeight="1">
      <c r="A520" s="1284" t="str">
        <f>IFERROR(VLOOKUP(B:B,'0.39'!B:F,5,FALSE),"")</f>
        <v/>
      </c>
      <c r="B520" s="1360" t="str">
        <f>PACKING!BK100</f>
        <v/>
      </c>
      <c r="C520" s="1283" t="str">
        <f>IFERROR((VLOOKUP(B:B,'0.39'!B:F,4,FALSE)),"")</f>
        <v/>
      </c>
      <c r="D520" s="1331" t="str">
        <f>PACKING!BN70</f>
        <v/>
      </c>
      <c r="E520" s="1286" t="s">
        <v>2747</v>
      </c>
      <c r="F520" s="1282"/>
      <c r="G520" s="1281"/>
    </row>
    <row r="521" spans="1:7" ht="52.9" customHeight="1">
      <c r="A521" s="1284" t="str">
        <f>IFERROR(VLOOKUP(B:B,'0.39'!B:F,5,FALSE),"")</f>
        <v/>
      </c>
      <c r="B521" s="1360" t="str">
        <f>PACKING!BK101</f>
        <v/>
      </c>
      <c r="C521" s="1283" t="str">
        <f>IFERROR((VLOOKUP(B:B,'0.39'!B:F,4,FALSE)),"")</f>
        <v/>
      </c>
      <c r="D521" s="1331" t="str">
        <f>PACKING!BN71</f>
        <v/>
      </c>
      <c r="E521" s="1286" t="s">
        <v>2747</v>
      </c>
      <c r="F521" s="1282"/>
      <c r="G521" s="1281"/>
    </row>
    <row r="522" spans="1:7" ht="52.9" customHeight="1">
      <c r="A522" s="1284" t="str">
        <f>IFERROR(VLOOKUP(B:B,'0.39'!B:F,5,FALSE),"")</f>
        <v/>
      </c>
      <c r="B522" s="1360" t="str">
        <f>PACKING!BK102</f>
        <v/>
      </c>
      <c r="C522" s="1283" t="str">
        <f>IFERROR((VLOOKUP(B:B,'0.39'!B:F,4,FALSE)),"")</f>
        <v/>
      </c>
      <c r="D522" s="1331" t="str">
        <f>PACKING!BN72</f>
        <v/>
      </c>
      <c r="E522" s="1337" t="s">
        <v>2747</v>
      </c>
      <c r="F522" s="1282"/>
      <c r="G522" s="1281"/>
    </row>
    <row r="523" spans="1:7" ht="52.9" customHeight="1">
      <c r="A523" s="1284" t="str">
        <f>IFERROR(VLOOKUP(B:B,'0.39'!B:F,5,FALSE),"")</f>
        <v/>
      </c>
      <c r="B523" s="1360" t="str">
        <f>PACKING!BK103</f>
        <v/>
      </c>
      <c r="C523" s="1283" t="str">
        <f>IFERROR((VLOOKUP(B:B,'0.39'!B:F,4,FALSE)),"")</f>
        <v/>
      </c>
      <c r="D523" s="1331" t="str">
        <f>PACKING!BN73</f>
        <v/>
      </c>
      <c r="E523" s="1337" t="s">
        <v>2747</v>
      </c>
      <c r="F523" s="1282"/>
      <c r="G523" s="1281"/>
    </row>
    <row r="524" spans="1:7" ht="52.9" customHeight="1">
      <c r="A524" s="1284" t="str">
        <f>IFERROR(VLOOKUP(B:B,'0.39'!B:F,5,FALSE),"")</f>
        <v/>
      </c>
      <c r="B524" s="1360" t="str">
        <f>PACKING!BK104</f>
        <v/>
      </c>
      <c r="C524" s="1283" t="str">
        <f>IFERROR((VLOOKUP(B:B,'0.39'!B:F,4,FALSE)),"")</f>
        <v/>
      </c>
      <c r="D524" s="1331" t="str">
        <f>PACKING!BN74</f>
        <v/>
      </c>
      <c r="E524" s="1337" t="s">
        <v>2747</v>
      </c>
      <c r="F524" s="1282"/>
      <c r="G524" s="1281"/>
    </row>
    <row r="525" spans="1:7" ht="52.9" customHeight="1">
      <c r="A525" s="1284" t="str">
        <f>IFERROR(VLOOKUP(B:B,'0.39'!B:F,5,FALSE),"")</f>
        <v/>
      </c>
      <c r="B525" s="1360" t="str">
        <f>PACKING!BK105</f>
        <v/>
      </c>
      <c r="C525" s="1283" t="str">
        <f>IFERROR((VLOOKUP(B:B,'0.39'!B:F,4,FALSE)),"")</f>
        <v/>
      </c>
      <c r="D525" s="1331" t="str">
        <f>PACKING!BN75</f>
        <v/>
      </c>
      <c r="E525" s="1337" t="s">
        <v>2747</v>
      </c>
      <c r="F525" s="1285"/>
      <c r="G525" s="1281"/>
    </row>
    <row r="526" spans="1:7" ht="52.9" customHeight="1">
      <c r="A526" s="1284" t="str">
        <f>IFERROR(VLOOKUP(B:B,'0.39'!B:F,5,FALSE),"")</f>
        <v/>
      </c>
      <c r="B526" s="1360" t="str">
        <f>PACKING!BK106</f>
        <v/>
      </c>
      <c r="C526" s="1283" t="str">
        <f>IFERROR((VLOOKUP(B:B,'0.39'!B:F,4,FALSE)),"")</f>
        <v/>
      </c>
      <c r="D526" s="1331" t="str">
        <f>PACKING!BN76</f>
        <v/>
      </c>
      <c r="E526" s="1337" t="s">
        <v>2747</v>
      </c>
      <c r="F526" s="1282"/>
      <c r="G526" s="1281"/>
    </row>
    <row r="527" spans="1:7" ht="52.9" customHeight="1">
      <c r="A527" s="1284" t="str">
        <f>IFERROR(VLOOKUP(B:B,'0.39'!B:F,5,FALSE),"")</f>
        <v/>
      </c>
      <c r="B527" s="1360" t="str">
        <f>PACKING!BK107</f>
        <v/>
      </c>
      <c r="C527" s="1283" t="str">
        <f>IFERROR((VLOOKUP(B:B,'0.39'!B:F,4,FALSE)),"")</f>
        <v/>
      </c>
      <c r="D527" s="1331" t="str">
        <f>PACKING!BN77</f>
        <v/>
      </c>
      <c r="E527" s="1337" t="s">
        <v>2747</v>
      </c>
      <c r="F527" s="1282"/>
      <c r="G527" s="1281"/>
    </row>
    <row r="528" spans="1:7" ht="79.150000000000006" customHeight="1" thickBot="1">
      <c r="A528" s="1692" t="s">
        <v>204</v>
      </c>
      <c r="B528" s="1693"/>
      <c r="C528" s="1693"/>
      <c r="D528" s="1280">
        <f>SUM(D517:D527)</f>
        <v>0</v>
      </c>
      <c r="E528" s="1336" t="s">
        <v>2747</v>
      </c>
      <c r="F528" s="1279" t="s">
        <v>2746</v>
      </c>
      <c r="G528" s="1278" t="s">
        <v>2746</v>
      </c>
    </row>
    <row r="529" spans="1:7" ht="35.25" thickBot="1">
      <c r="A529" s="1302"/>
      <c r="B529" s="1361"/>
      <c r="C529" s="1302"/>
      <c r="D529" s="1303"/>
      <c r="E529" s="1302"/>
      <c r="F529" s="1301"/>
      <c r="G529" s="1301"/>
    </row>
    <row r="530" spans="1:7" ht="75.599999999999994" customHeight="1" thickBot="1">
      <c r="A530" s="1300"/>
      <c r="B530" s="1299" t="str">
        <f>BASIC_TOOL!$B$6</f>
        <v>A Project</v>
      </c>
      <c r="C530" s="1304" t="s">
        <v>2756</v>
      </c>
      <c r="D530" s="1297" t="e">
        <f ca="1">_xlfn.IFS(PACKING!BN65="M", "1X1.5M",PACKING!BN65="L", "1X2M",PACKING!BN65="S", "1X1M")</f>
        <v>#NAME?</v>
      </c>
      <c r="E530" s="1296">
        <f>PACKING!BN94</f>
        <v>32</v>
      </c>
      <c r="F530" s="1295" t="s">
        <v>2755</v>
      </c>
      <c r="G530" s="1294">
        <f>PACKING!$C$63</f>
        <v>2</v>
      </c>
    </row>
    <row r="531" spans="1:7" ht="87.6" customHeight="1">
      <c r="A531" s="1290" t="s">
        <v>2754</v>
      </c>
      <c r="B531" s="1290" t="str">
        <f>BASIC_TOOL!$B$7</f>
        <v>DAMMAM, KSA</v>
      </c>
      <c r="C531" s="1293" t="str">
        <f>BASIC_TOOL!$C$14</f>
        <v>Non-Insulated</v>
      </c>
      <c r="D531" s="1694" t="str">
        <f>'PRINTOUT(BOM)'!A96</f>
        <v>▣ Size : 10mW x (5)mL x3mH =150 [TON]/ 1[SET]</v>
      </c>
      <c r="E531" s="1695"/>
      <c r="F531" s="1695"/>
      <c r="G531" s="1696"/>
    </row>
    <row r="532" spans="1:7" ht="63.6" customHeight="1">
      <c r="A532" s="1290" t="s">
        <v>2753</v>
      </c>
      <c r="B532" s="1292">
        <f>BASIC_TOOL!$F$7</f>
        <v>44343</v>
      </c>
      <c r="C532" s="1291" t="s">
        <v>2752</v>
      </c>
      <c r="D532" s="1691" t="str">
        <f>BASIC_TOOL!$D$6</f>
        <v>ABC</v>
      </c>
      <c r="E532" s="1691"/>
      <c r="F532" s="1691" t="s">
        <v>2751</v>
      </c>
      <c r="G532" s="1697"/>
    </row>
    <row r="533" spans="1:7" ht="60">
      <c r="A533" s="1290" t="s">
        <v>176</v>
      </c>
      <c r="B533" s="1359" t="s">
        <v>177</v>
      </c>
      <c r="C533" s="1335" t="s">
        <v>2750</v>
      </c>
      <c r="D533" s="1691" t="s">
        <v>239</v>
      </c>
      <c r="E533" s="1691"/>
      <c r="F533" s="1288" t="s">
        <v>2749</v>
      </c>
      <c r="G533" s="1287" t="s">
        <v>2748</v>
      </c>
    </row>
    <row r="534" spans="1:7" ht="52.9" customHeight="1">
      <c r="A534" s="1284" t="str">
        <f>IFERROR(VLOOKUP(B:B,'0.39'!B:F,5,FALSE),"")</f>
        <v/>
      </c>
      <c r="B534" s="1360" t="str">
        <f>PACKING!BM97</f>
        <v/>
      </c>
      <c r="C534" s="1283" t="str">
        <f>IFERROR((VLOOKUP(B:B,'0.39'!B:F,4,FALSE)),"")</f>
        <v/>
      </c>
      <c r="D534" s="1331" t="str">
        <f>PACKING!BN67</f>
        <v/>
      </c>
      <c r="E534" s="1286" t="s">
        <v>2747</v>
      </c>
      <c r="F534" s="1285"/>
      <c r="G534" s="1281"/>
    </row>
    <row r="535" spans="1:7" ht="52.9" customHeight="1">
      <c r="A535" s="1284" t="str">
        <f>IFERROR(VLOOKUP(B:B,'0.39'!B:F,5,FALSE),"")</f>
        <v/>
      </c>
      <c r="B535" s="1360" t="str">
        <f>PACKING!BM98</f>
        <v/>
      </c>
      <c r="C535" s="1283" t="str">
        <f>IFERROR((VLOOKUP(B:B,'0.39'!B:F,4,FALSE)),"")</f>
        <v/>
      </c>
      <c r="D535" s="1331" t="str">
        <f>PACKING!BN68</f>
        <v/>
      </c>
      <c r="E535" s="1337" t="s">
        <v>2747</v>
      </c>
      <c r="F535" s="1285"/>
      <c r="G535" s="1281"/>
    </row>
    <row r="536" spans="1:7" ht="52.9" customHeight="1">
      <c r="A536" s="1284" t="str">
        <f>IFERROR(VLOOKUP(B:B,'0.39'!B:F,5,FALSE),"")</f>
        <v/>
      </c>
      <c r="B536" s="1360" t="str">
        <f>PACKING!BM99</f>
        <v/>
      </c>
      <c r="C536" s="1283" t="str">
        <f>IFERROR((VLOOKUP(B:B,'0.39'!B:F,4,FALSE)),"")</f>
        <v/>
      </c>
      <c r="D536" s="1331" t="str">
        <f>PACKING!BN69</f>
        <v/>
      </c>
      <c r="E536" s="1286" t="s">
        <v>2747</v>
      </c>
      <c r="F536" s="1285"/>
      <c r="G536" s="1281"/>
    </row>
    <row r="537" spans="1:7" ht="52.9" customHeight="1">
      <c r="A537" s="1284" t="str">
        <f>IFERROR(VLOOKUP(B:B,'0.39'!B:F,5,FALSE),"")</f>
        <v/>
      </c>
      <c r="B537" s="1360" t="str">
        <f>PACKING!BM100</f>
        <v/>
      </c>
      <c r="C537" s="1283" t="str">
        <f>IFERROR((VLOOKUP(B:B,'0.39'!B:F,4,FALSE)),"")</f>
        <v/>
      </c>
      <c r="D537" s="1331" t="str">
        <f>PACKING!BN70</f>
        <v/>
      </c>
      <c r="E537" s="1286" t="s">
        <v>2747</v>
      </c>
      <c r="F537" s="1282"/>
      <c r="G537" s="1281"/>
    </row>
    <row r="538" spans="1:7" ht="52.9" customHeight="1">
      <c r="A538" s="1284" t="str">
        <f>IFERROR(VLOOKUP(B:B,'0.39'!B:F,5,FALSE),"")</f>
        <v/>
      </c>
      <c r="B538" s="1360" t="str">
        <f>PACKING!BM101</f>
        <v/>
      </c>
      <c r="C538" s="1283" t="str">
        <f>IFERROR((VLOOKUP(B:B,'0.39'!B:F,4,FALSE)),"")</f>
        <v/>
      </c>
      <c r="D538" s="1331" t="str">
        <f>PACKING!BN71</f>
        <v/>
      </c>
      <c r="E538" s="1286" t="s">
        <v>2747</v>
      </c>
      <c r="F538" s="1282"/>
      <c r="G538" s="1281"/>
    </row>
    <row r="539" spans="1:7" ht="52.9" customHeight="1">
      <c r="A539" s="1284" t="str">
        <f>IFERROR(VLOOKUP(B:B,'0.39'!B:F,5,FALSE),"")</f>
        <v/>
      </c>
      <c r="B539" s="1360" t="str">
        <f>PACKING!BM102</f>
        <v/>
      </c>
      <c r="C539" s="1283" t="str">
        <f>IFERROR((VLOOKUP(B:B,'0.39'!B:F,4,FALSE)),"")</f>
        <v/>
      </c>
      <c r="D539" s="1331" t="str">
        <f>PACKING!BN72</f>
        <v/>
      </c>
      <c r="E539" s="1337" t="s">
        <v>2747</v>
      </c>
      <c r="F539" s="1282"/>
      <c r="G539" s="1281"/>
    </row>
    <row r="540" spans="1:7" ht="52.9" customHeight="1">
      <c r="A540" s="1284" t="str">
        <f>IFERROR(VLOOKUP(B:B,'0.39'!B:F,5,FALSE),"")</f>
        <v/>
      </c>
      <c r="B540" s="1360" t="str">
        <f>PACKING!BM103</f>
        <v/>
      </c>
      <c r="C540" s="1283" t="str">
        <f>IFERROR((VLOOKUP(B:B,'0.39'!B:F,4,FALSE)),"")</f>
        <v/>
      </c>
      <c r="D540" s="1331" t="str">
        <f>PACKING!BN73</f>
        <v/>
      </c>
      <c r="E540" s="1337" t="s">
        <v>2747</v>
      </c>
      <c r="F540" s="1282"/>
      <c r="G540" s="1281"/>
    </row>
    <row r="541" spans="1:7" ht="52.9" customHeight="1">
      <c r="A541" s="1284" t="str">
        <f>IFERROR(VLOOKUP(B:B,'0.39'!B:F,5,FALSE),"")</f>
        <v/>
      </c>
      <c r="B541" s="1360" t="str">
        <f>PACKING!BM104</f>
        <v/>
      </c>
      <c r="C541" s="1283" t="str">
        <f>IFERROR((VLOOKUP(B:B,'0.39'!B:F,4,FALSE)),"")</f>
        <v/>
      </c>
      <c r="D541" s="1331" t="str">
        <f>PACKING!BN74</f>
        <v/>
      </c>
      <c r="E541" s="1337" t="s">
        <v>2747</v>
      </c>
      <c r="F541" s="1282"/>
      <c r="G541" s="1281"/>
    </row>
    <row r="542" spans="1:7" ht="52.9" customHeight="1">
      <c r="A542" s="1284" t="str">
        <f>IFERROR(VLOOKUP(B:B,'0.39'!B:F,5,FALSE),"")</f>
        <v/>
      </c>
      <c r="B542" s="1360" t="str">
        <f>PACKING!BM105</f>
        <v/>
      </c>
      <c r="C542" s="1283" t="str">
        <f>IFERROR((VLOOKUP(B:B,'0.39'!B:F,4,FALSE)),"")</f>
        <v/>
      </c>
      <c r="D542" s="1331" t="str">
        <f>PACKING!BN75</f>
        <v/>
      </c>
      <c r="E542" s="1337" t="s">
        <v>2747</v>
      </c>
      <c r="F542" s="1285"/>
      <c r="G542" s="1281"/>
    </row>
    <row r="543" spans="1:7" ht="52.9" customHeight="1">
      <c r="A543" s="1284" t="str">
        <f>IFERROR(VLOOKUP(B:B,'0.39'!B:F,5,FALSE),"")</f>
        <v/>
      </c>
      <c r="B543" s="1360" t="str">
        <f>PACKING!BM106</f>
        <v/>
      </c>
      <c r="C543" s="1283" t="str">
        <f>IFERROR((VLOOKUP(B:B,'0.39'!B:F,4,FALSE)),"")</f>
        <v/>
      </c>
      <c r="D543" s="1331" t="str">
        <f>PACKING!BN76</f>
        <v/>
      </c>
      <c r="E543" s="1337" t="s">
        <v>2747</v>
      </c>
      <c r="F543" s="1282"/>
      <c r="G543" s="1281"/>
    </row>
    <row r="544" spans="1:7" ht="52.9" customHeight="1">
      <c r="A544" s="1284" t="str">
        <f>IFERROR(VLOOKUP(B:B,'0.39'!B:F,5,FALSE),"")</f>
        <v/>
      </c>
      <c r="B544" s="1360" t="str">
        <f>PACKING!BM107</f>
        <v/>
      </c>
      <c r="C544" s="1283" t="str">
        <f>IFERROR((VLOOKUP(B:B,'0.39'!B:F,4,FALSE)),"")</f>
        <v/>
      </c>
      <c r="D544" s="1331" t="str">
        <f>PACKING!BN77</f>
        <v/>
      </c>
      <c r="E544" s="1337" t="s">
        <v>2747</v>
      </c>
      <c r="F544" s="1282"/>
      <c r="G544" s="1281"/>
    </row>
    <row r="545" spans="1:7" ht="79.150000000000006" customHeight="1" thickBot="1">
      <c r="A545" s="1692" t="s">
        <v>204</v>
      </c>
      <c r="B545" s="1693"/>
      <c r="C545" s="1693"/>
      <c r="D545" s="1280">
        <f>SUM(D534:D544)</f>
        <v>0</v>
      </c>
      <c r="E545" s="1336" t="s">
        <v>2747</v>
      </c>
      <c r="F545" s="1279" t="s">
        <v>2746</v>
      </c>
      <c r="G545" s="1278" t="s">
        <v>2746</v>
      </c>
    </row>
    <row r="546" spans="1:7" ht="35.25" thickBot="1">
      <c r="A546" s="1302"/>
      <c r="B546" s="1361"/>
      <c r="C546" s="1302"/>
      <c r="D546" s="1303"/>
      <c r="E546" s="1302"/>
      <c r="F546" s="1301"/>
      <c r="G546" s="1301"/>
    </row>
    <row r="547" spans="1:7" ht="75.599999999999994" customHeight="1" thickBot="1">
      <c r="A547" s="1300"/>
      <c r="B547" s="1299" t="str">
        <f>BASIC_TOOL!$B$6</f>
        <v>A Project</v>
      </c>
      <c r="C547" s="1304" t="s">
        <v>2756</v>
      </c>
      <c r="D547" s="1297"/>
      <c r="E547" s="1296">
        <f>PACKING!BP94</f>
        <v>33</v>
      </c>
      <c r="F547" s="1295" t="s">
        <v>2755</v>
      </c>
      <c r="G547" s="1294">
        <f>PACKING!$C$63</f>
        <v>2</v>
      </c>
    </row>
    <row r="548" spans="1:7" ht="87.6" customHeight="1">
      <c r="A548" s="1290" t="s">
        <v>2754</v>
      </c>
      <c r="B548" s="1290" t="str">
        <f>BASIC_TOOL!$B$7</f>
        <v>DAMMAM, KSA</v>
      </c>
      <c r="C548" s="1293" t="str">
        <f>BASIC_TOOL!$C$14</f>
        <v>Non-Insulated</v>
      </c>
      <c r="D548" s="1694" t="str">
        <f>'PRINTOUT(BOM)'!A96</f>
        <v>▣ Size : 10mW x (5)mL x3mH =150 [TON]/ 1[SET]</v>
      </c>
      <c r="E548" s="1695"/>
      <c r="F548" s="1695"/>
      <c r="G548" s="1696"/>
    </row>
    <row r="549" spans="1:7" ht="63.6" customHeight="1">
      <c r="A549" s="1290" t="s">
        <v>2753</v>
      </c>
      <c r="B549" s="1292">
        <f>BASIC_TOOL!$F$7</f>
        <v>44343</v>
      </c>
      <c r="C549" s="1291" t="s">
        <v>2752</v>
      </c>
      <c r="D549" s="1691" t="str">
        <f>BASIC_TOOL!$D$6</f>
        <v>ABC</v>
      </c>
      <c r="E549" s="1691"/>
      <c r="F549" s="1691" t="s">
        <v>2751</v>
      </c>
      <c r="G549" s="1697"/>
    </row>
    <row r="550" spans="1:7" ht="60">
      <c r="A550" s="1290" t="s">
        <v>176</v>
      </c>
      <c r="B550" s="1359" t="s">
        <v>177</v>
      </c>
      <c r="C550" s="1335" t="s">
        <v>2750</v>
      </c>
      <c r="D550" s="1691" t="s">
        <v>239</v>
      </c>
      <c r="E550" s="1691"/>
      <c r="F550" s="1288" t="s">
        <v>2749</v>
      </c>
      <c r="G550" s="1287" t="s">
        <v>2748</v>
      </c>
    </row>
    <row r="551" spans="1:7" ht="52.9" customHeight="1">
      <c r="A551" s="1284" t="str">
        <f>IFERROR(VLOOKUP(B:B,'0.39'!B:F,5,FALSE),"")</f>
        <v/>
      </c>
      <c r="B551" s="1360" t="str">
        <f>PACKING!BO97</f>
        <v/>
      </c>
      <c r="C551" s="1283" t="str">
        <f>IFERROR((VLOOKUP(B:B,'0.39'!B:F,4,FALSE)),"")</f>
        <v/>
      </c>
      <c r="D551" s="1331" t="str">
        <f>PACKING!BP67</f>
        <v/>
      </c>
      <c r="E551" s="1286" t="s">
        <v>2747</v>
      </c>
      <c r="F551" s="1285"/>
      <c r="G551" s="1281"/>
    </row>
    <row r="552" spans="1:7" ht="52.9" customHeight="1">
      <c r="A552" s="1284" t="str">
        <f>IFERROR(VLOOKUP(B:B,'0.39'!B:F,5,FALSE),"")</f>
        <v/>
      </c>
      <c r="B552" s="1360" t="str">
        <f>PACKING!BO98</f>
        <v/>
      </c>
      <c r="C552" s="1283" t="str">
        <f>IFERROR((VLOOKUP(B:B,'0.39'!B:F,4,FALSE)),"")</f>
        <v/>
      </c>
      <c r="D552" s="1331" t="str">
        <f>PACKING!BP68</f>
        <v/>
      </c>
      <c r="E552" s="1337" t="s">
        <v>2747</v>
      </c>
      <c r="F552" s="1285"/>
      <c r="G552" s="1281"/>
    </row>
    <row r="553" spans="1:7" ht="52.9" customHeight="1">
      <c r="A553" s="1284" t="str">
        <f>IFERROR(VLOOKUP(B:B,'0.39'!B:F,5,FALSE),"")</f>
        <v/>
      </c>
      <c r="B553" s="1360" t="str">
        <f>PACKING!BO99</f>
        <v/>
      </c>
      <c r="C553" s="1283" t="str">
        <f>IFERROR((VLOOKUP(B:B,'0.39'!B:F,4,FALSE)),"")</f>
        <v/>
      </c>
      <c r="D553" s="1331" t="str">
        <f>PACKING!BP69</f>
        <v/>
      </c>
      <c r="E553" s="1286" t="s">
        <v>2747</v>
      </c>
      <c r="F553" s="1285"/>
      <c r="G553" s="1281"/>
    </row>
    <row r="554" spans="1:7" ht="52.9" customHeight="1">
      <c r="A554" s="1284" t="str">
        <f>IFERROR(VLOOKUP(B:B,'0.39'!B:F,5,FALSE),"")</f>
        <v/>
      </c>
      <c r="B554" s="1360" t="str">
        <f>PACKING!BO100</f>
        <v/>
      </c>
      <c r="C554" s="1283" t="str">
        <f>IFERROR((VLOOKUP(B:B,'0.39'!B:F,4,FALSE)),"")</f>
        <v/>
      </c>
      <c r="D554" s="1331" t="str">
        <f>PACKING!BP70</f>
        <v/>
      </c>
      <c r="E554" s="1286" t="s">
        <v>2747</v>
      </c>
      <c r="F554" s="1282"/>
      <c r="G554" s="1281"/>
    </row>
    <row r="555" spans="1:7" ht="52.9" customHeight="1">
      <c r="A555" s="1284" t="str">
        <f>IFERROR(VLOOKUP(B:B,'0.39'!B:F,5,FALSE),"")</f>
        <v/>
      </c>
      <c r="B555" s="1360" t="str">
        <f>PACKING!BO101</f>
        <v/>
      </c>
      <c r="C555" s="1283" t="str">
        <f>IFERROR((VLOOKUP(B:B,'0.39'!B:F,4,FALSE)),"")</f>
        <v/>
      </c>
      <c r="D555" s="1331" t="str">
        <f>PACKING!BP71</f>
        <v/>
      </c>
      <c r="E555" s="1286" t="s">
        <v>2747</v>
      </c>
      <c r="F555" s="1282"/>
      <c r="G555" s="1281"/>
    </row>
    <row r="556" spans="1:7" ht="52.9" customHeight="1">
      <c r="A556" s="1284" t="str">
        <f>IFERROR(VLOOKUP(B:B,'0.39'!B:F,5,FALSE),"")</f>
        <v/>
      </c>
      <c r="B556" s="1360" t="str">
        <f>PACKING!BO102</f>
        <v/>
      </c>
      <c r="C556" s="1283" t="str">
        <f>IFERROR((VLOOKUP(B:B,'0.39'!B:F,4,FALSE)),"")</f>
        <v/>
      </c>
      <c r="D556" s="1331" t="str">
        <f>PACKING!BP72</f>
        <v/>
      </c>
      <c r="E556" s="1337" t="s">
        <v>2747</v>
      </c>
      <c r="F556" s="1282"/>
      <c r="G556" s="1281"/>
    </row>
    <row r="557" spans="1:7" ht="52.9" customHeight="1">
      <c r="A557" s="1284" t="str">
        <f>IFERROR(VLOOKUP(B:B,'0.39'!B:F,5,FALSE),"")</f>
        <v/>
      </c>
      <c r="B557" s="1360" t="str">
        <f>PACKING!BO103</f>
        <v/>
      </c>
      <c r="C557" s="1283" t="str">
        <f>IFERROR((VLOOKUP(B:B,'0.39'!B:F,4,FALSE)),"")</f>
        <v/>
      </c>
      <c r="D557" s="1331" t="str">
        <f>PACKING!BP73</f>
        <v/>
      </c>
      <c r="E557" s="1337" t="s">
        <v>2747</v>
      </c>
      <c r="F557" s="1282"/>
      <c r="G557" s="1281"/>
    </row>
    <row r="558" spans="1:7" ht="52.9" customHeight="1">
      <c r="A558" s="1284" t="str">
        <f>IFERROR(VLOOKUP(B:B,'0.39'!B:F,5,FALSE),"")</f>
        <v/>
      </c>
      <c r="B558" s="1360" t="str">
        <f>PACKING!BO104</f>
        <v/>
      </c>
      <c r="C558" s="1283" t="str">
        <f>IFERROR((VLOOKUP(B:B,'0.39'!B:F,4,FALSE)),"")</f>
        <v/>
      </c>
      <c r="D558" s="1331" t="str">
        <f>PACKING!BP74</f>
        <v/>
      </c>
      <c r="E558" s="1337" t="s">
        <v>2747</v>
      </c>
      <c r="F558" s="1282"/>
      <c r="G558" s="1281"/>
    </row>
    <row r="559" spans="1:7" ht="52.9" customHeight="1">
      <c r="A559" s="1284" t="str">
        <f>IFERROR(VLOOKUP(B:B,'0.39'!B:F,5,FALSE),"")</f>
        <v/>
      </c>
      <c r="B559" s="1360" t="str">
        <f>PACKING!BO105</f>
        <v/>
      </c>
      <c r="C559" s="1283" t="str">
        <f>IFERROR((VLOOKUP(B:B,'0.39'!B:F,4,FALSE)),"")</f>
        <v/>
      </c>
      <c r="D559" s="1331" t="str">
        <f>PACKING!BP75</f>
        <v/>
      </c>
      <c r="E559" s="1337" t="s">
        <v>2747</v>
      </c>
      <c r="F559" s="1285"/>
      <c r="G559" s="1281"/>
    </row>
    <row r="560" spans="1:7" ht="52.9" customHeight="1">
      <c r="A560" s="1284" t="str">
        <f>IFERROR(VLOOKUP(B:B,'0.39'!B:F,5,FALSE),"")</f>
        <v/>
      </c>
      <c r="B560" s="1360" t="str">
        <f>PACKING!BO106</f>
        <v/>
      </c>
      <c r="C560" s="1283" t="str">
        <f>IFERROR((VLOOKUP(B:B,'0.39'!B:F,4,FALSE)),"")</f>
        <v/>
      </c>
      <c r="D560" s="1331" t="str">
        <f>PACKING!BP76</f>
        <v/>
      </c>
      <c r="E560" s="1337" t="s">
        <v>2747</v>
      </c>
      <c r="F560" s="1282"/>
      <c r="G560" s="1281"/>
    </row>
    <row r="561" spans="1:7" ht="52.9" customHeight="1">
      <c r="A561" s="1284" t="str">
        <f>IFERROR(VLOOKUP(B:B,'0.39'!B:F,5,FALSE),"")</f>
        <v/>
      </c>
      <c r="B561" s="1360" t="str">
        <f>PACKING!BO107</f>
        <v/>
      </c>
      <c r="C561" s="1283" t="str">
        <f>IFERROR((VLOOKUP(B:B,'0.39'!B:F,4,FALSE)),"")</f>
        <v/>
      </c>
      <c r="D561" s="1331" t="str">
        <f>PACKING!BP77</f>
        <v/>
      </c>
      <c r="E561" s="1337" t="s">
        <v>2747</v>
      </c>
      <c r="F561" s="1282"/>
      <c r="G561" s="1281"/>
    </row>
    <row r="562" spans="1:7" ht="79.150000000000006" customHeight="1" thickBot="1">
      <c r="A562" s="1692" t="s">
        <v>204</v>
      </c>
      <c r="B562" s="1693"/>
      <c r="C562" s="1693"/>
      <c r="D562" s="1280">
        <f>SUM(D551:D561)</f>
        <v>0</v>
      </c>
      <c r="E562" s="1336" t="s">
        <v>2747</v>
      </c>
      <c r="F562" s="1279" t="s">
        <v>2746</v>
      </c>
      <c r="G562" s="1278" t="s">
        <v>2746</v>
      </c>
    </row>
    <row r="563" spans="1:7" ht="35.25" thickBot="1">
      <c r="A563" s="1302"/>
      <c r="B563" s="1361"/>
      <c r="C563" s="1302"/>
      <c r="D563" s="1303"/>
      <c r="E563" s="1302"/>
      <c r="F563" s="1301"/>
      <c r="G563" s="1301"/>
    </row>
    <row r="564" spans="1:7" ht="75.599999999999994" customHeight="1" thickBot="1">
      <c r="A564" s="1300"/>
      <c r="B564" s="1299" t="str">
        <f>BASIC_TOOL!$B$6</f>
        <v>A Project</v>
      </c>
      <c r="C564" s="1304" t="s">
        <v>2756</v>
      </c>
      <c r="D564" s="1297" t="e">
        <f ca="1">_xlfn.IFS(PACKING!BR65="M", "1X1.5M",PACKING!BR65="L", "1X2M",PACKING!BR65="S", "1X1M")</f>
        <v>#NAME?</v>
      </c>
      <c r="E564" s="1296">
        <f>PACKING!BR94</f>
        <v>34</v>
      </c>
      <c r="F564" s="1295" t="s">
        <v>2755</v>
      </c>
      <c r="G564" s="1294">
        <f>PACKING!$C$63</f>
        <v>2</v>
      </c>
    </row>
    <row r="565" spans="1:7" ht="87.6" customHeight="1">
      <c r="A565" s="1290" t="s">
        <v>2754</v>
      </c>
      <c r="B565" s="1290" t="str">
        <f>BASIC_TOOL!$B$7</f>
        <v>DAMMAM, KSA</v>
      </c>
      <c r="C565" s="1293" t="str">
        <f>BASIC_TOOL!$C$14</f>
        <v>Non-Insulated</v>
      </c>
      <c r="D565" s="1694" t="str">
        <f>'PRINTOUT(BOM)'!A96</f>
        <v>▣ Size : 10mW x (5)mL x3mH =150 [TON]/ 1[SET]</v>
      </c>
      <c r="E565" s="1695"/>
      <c r="F565" s="1695"/>
      <c r="G565" s="1696"/>
    </row>
    <row r="566" spans="1:7" ht="63.6" customHeight="1">
      <c r="A566" s="1290" t="s">
        <v>2753</v>
      </c>
      <c r="B566" s="1292">
        <f>BASIC_TOOL!$F$7</f>
        <v>44343</v>
      </c>
      <c r="C566" s="1291" t="s">
        <v>2752</v>
      </c>
      <c r="D566" s="1691" t="str">
        <f>BASIC_TOOL!$D$6</f>
        <v>ABC</v>
      </c>
      <c r="E566" s="1691"/>
      <c r="F566" s="1691" t="s">
        <v>2751</v>
      </c>
      <c r="G566" s="1697"/>
    </row>
    <row r="567" spans="1:7" ht="60">
      <c r="A567" s="1290" t="s">
        <v>176</v>
      </c>
      <c r="B567" s="1359" t="s">
        <v>177</v>
      </c>
      <c r="C567" s="1335" t="s">
        <v>2750</v>
      </c>
      <c r="D567" s="1691" t="s">
        <v>239</v>
      </c>
      <c r="E567" s="1691"/>
      <c r="F567" s="1288" t="s">
        <v>2749</v>
      </c>
      <c r="G567" s="1287" t="s">
        <v>2748</v>
      </c>
    </row>
    <row r="568" spans="1:7" ht="52.9" customHeight="1">
      <c r="A568" s="1284" t="str">
        <f>IFERROR(VLOOKUP(B:B,'0.39'!B:F,5,FALSE),"")</f>
        <v/>
      </c>
      <c r="B568" s="1360" t="str">
        <f>PACKING!BQ97</f>
        <v/>
      </c>
      <c r="C568" s="1283" t="str">
        <f>IFERROR((VLOOKUP(B:B,'0.39'!B:F,4,FALSE)),"")</f>
        <v/>
      </c>
      <c r="D568" s="1331" t="str">
        <f>PACKING!BR67</f>
        <v/>
      </c>
      <c r="E568" s="1286" t="s">
        <v>2747</v>
      </c>
      <c r="F568" s="1285"/>
      <c r="G568" s="1281"/>
    </row>
    <row r="569" spans="1:7" ht="52.9" customHeight="1">
      <c r="A569" s="1284" t="str">
        <f>IFERROR(VLOOKUP(B:B,'0.39'!B:F,5,FALSE),"")</f>
        <v/>
      </c>
      <c r="B569" s="1360" t="str">
        <f>PACKING!BQ98</f>
        <v/>
      </c>
      <c r="C569" s="1283" t="str">
        <f>IFERROR((VLOOKUP(B:B,'0.39'!B:F,4,FALSE)),"")</f>
        <v/>
      </c>
      <c r="D569" s="1331" t="str">
        <f>PACKING!BR68</f>
        <v/>
      </c>
      <c r="E569" s="1337" t="s">
        <v>2747</v>
      </c>
      <c r="F569" s="1285"/>
      <c r="G569" s="1281"/>
    </row>
    <row r="570" spans="1:7" ht="52.9" customHeight="1">
      <c r="A570" s="1284" t="str">
        <f>IFERROR(VLOOKUP(B:B,'0.39'!B:F,5,FALSE),"")</f>
        <v/>
      </c>
      <c r="B570" s="1360" t="str">
        <f>PACKING!BQ99</f>
        <v/>
      </c>
      <c r="C570" s="1283" t="str">
        <f>IFERROR((VLOOKUP(B:B,'0.39'!B:F,4,FALSE)),"")</f>
        <v/>
      </c>
      <c r="D570" s="1331" t="str">
        <f>PACKING!BR69</f>
        <v/>
      </c>
      <c r="E570" s="1286" t="s">
        <v>2747</v>
      </c>
      <c r="F570" s="1285"/>
      <c r="G570" s="1281"/>
    </row>
    <row r="571" spans="1:7" ht="52.9" customHeight="1">
      <c r="A571" s="1284" t="str">
        <f>IFERROR(VLOOKUP(B:B,'0.39'!B:F,5,FALSE),"")</f>
        <v/>
      </c>
      <c r="B571" s="1360" t="str">
        <f>PACKING!BQ100</f>
        <v/>
      </c>
      <c r="C571" s="1283" t="str">
        <f>IFERROR((VLOOKUP(B:B,'0.39'!B:F,4,FALSE)),"")</f>
        <v/>
      </c>
      <c r="D571" s="1331" t="str">
        <f>PACKING!BR70</f>
        <v/>
      </c>
      <c r="E571" s="1286" t="s">
        <v>2747</v>
      </c>
      <c r="F571" s="1282"/>
      <c r="G571" s="1281"/>
    </row>
    <row r="572" spans="1:7" ht="52.9" customHeight="1">
      <c r="A572" s="1284" t="str">
        <f>IFERROR(VLOOKUP(B:B,'0.39'!B:F,5,FALSE),"")</f>
        <v/>
      </c>
      <c r="B572" s="1360" t="str">
        <f>PACKING!BQ101</f>
        <v/>
      </c>
      <c r="C572" s="1283" t="str">
        <f>IFERROR((VLOOKUP(B:B,'0.39'!B:F,4,FALSE)),"")</f>
        <v/>
      </c>
      <c r="D572" s="1331" t="str">
        <f>PACKING!BR71</f>
        <v/>
      </c>
      <c r="E572" s="1286" t="s">
        <v>2747</v>
      </c>
      <c r="F572" s="1282"/>
      <c r="G572" s="1281"/>
    </row>
    <row r="573" spans="1:7" ht="52.9" customHeight="1">
      <c r="A573" s="1284" t="str">
        <f>IFERROR(VLOOKUP(B:B,'0.39'!B:F,5,FALSE),"")</f>
        <v/>
      </c>
      <c r="B573" s="1360" t="str">
        <f>PACKING!BQ102</f>
        <v/>
      </c>
      <c r="C573" s="1283" t="str">
        <f>IFERROR((VLOOKUP(B:B,'0.39'!B:F,4,FALSE)),"")</f>
        <v/>
      </c>
      <c r="D573" s="1331" t="str">
        <f>PACKING!BR72</f>
        <v/>
      </c>
      <c r="E573" s="1337" t="s">
        <v>2747</v>
      </c>
      <c r="F573" s="1282"/>
      <c r="G573" s="1281"/>
    </row>
    <row r="574" spans="1:7" ht="52.9" customHeight="1">
      <c r="A574" s="1284" t="str">
        <f>IFERROR(VLOOKUP(B:B,'0.39'!B:F,5,FALSE),"")</f>
        <v/>
      </c>
      <c r="B574" s="1360" t="str">
        <f>PACKING!BQ103</f>
        <v/>
      </c>
      <c r="C574" s="1283" t="str">
        <f>IFERROR((VLOOKUP(B:B,'0.39'!B:F,4,FALSE)),"")</f>
        <v/>
      </c>
      <c r="D574" s="1331" t="str">
        <f>PACKING!BR73</f>
        <v/>
      </c>
      <c r="E574" s="1337" t="s">
        <v>2747</v>
      </c>
      <c r="F574" s="1282"/>
      <c r="G574" s="1281"/>
    </row>
    <row r="575" spans="1:7" ht="52.9" customHeight="1">
      <c r="A575" s="1284" t="str">
        <f>IFERROR(VLOOKUP(B:B,'0.39'!B:F,5,FALSE),"")</f>
        <v/>
      </c>
      <c r="B575" s="1360" t="str">
        <f>PACKING!BQ104</f>
        <v/>
      </c>
      <c r="C575" s="1283" t="str">
        <f>IFERROR((VLOOKUP(B:B,'0.39'!B:F,4,FALSE)),"")</f>
        <v/>
      </c>
      <c r="D575" s="1331" t="str">
        <f>PACKING!BR74</f>
        <v/>
      </c>
      <c r="E575" s="1337" t="s">
        <v>2747</v>
      </c>
      <c r="F575" s="1282"/>
      <c r="G575" s="1281"/>
    </row>
    <row r="576" spans="1:7" ht="52.9" customHeight="1">
      <c r="A576" s="1284" t="str">
        <f>IFERROR(VLOOKUP(B:B,'0.39'!B:F,5,FALSE),"")</f>
        <v/>
      </c>
      <c r="B576" s="1360" t="str">
        <f>PACKING!BQ105</f>
        <v/>
      </c>
      <c r="C576" s="1283" t="str">
        <f>IFERROR((VLOOKUP(B:B,'0.39'!B:F,4,FALSE)),"")</f>
        <v/>
      </c>
      <c r="D576" s="1331" t="str">
        <f>PACKING!BR75</f>
        <v/>
      </c>
      <c r="E576" s="1337" t="s">
        <v>2747</v>
      </c>
      <c r="F576" s="1285"/>
      <c r="G576" s="1281"/>
    </row>
    <row r="577" spans="1:7" ht="52.9" customHeight="1">
      <c r="A577" s="1284" t="str">
        <f>IFERROR(VLOOKUP(B:B,'0.39'!B:F,5,FALSE),"")</f>
        <v/>
      </c>
      <c r="B577" s="1360" t="str">
        <f>PACKING!BQ106</f>
        <v/>
      </c>
      <c r="C577" s="1283" t="str">
        <f>IFERROR((VLOOKUP(B:B,'0.39'!B:F,4,FALSE)),"")</f>
        <v/>
      </c>
      <c r="D577" s="1331" t="str">
        <f>PACKING!BR76</f>
        <v/>
      </c>
      <c r="E577" s="1337" t="s">
        <v>2747</v>
      </c>
      <c r="F577" s="1282"/>
      <c r="G577" s="1281"/>
    </row>
    <row r="578" spans="1:7" ht="52.9" customHeight="1">
      <c r="A578" s="1284" t="str">
        <f>IFERROR(VLOOKUP(B:B,'0.39'!B:F,5,FALSE),"")</f>
        <v/>
      </c>
      <c r="B578" s="1360" t="str">
        <f>PACKING!BQ107</f>
        <v/>
      </c>
      <c r="C578" s="1283" t="str">
        <f>IFERROR((VLOOKUP(B:B,'0.39'!B:F,4,FALSE)),"")</f>
        <v/>
      </c>
      <c r="D578" s="1331" t="str">
        <f>PACKING!BR77</f>
        <v/>
      </c>
      <c r="E578" s="1337" t="s">
        <v>2747</v>
      </c>
      <c r="F578" s="1282"/>
      <c r="G578" s="1281"/>
    </row>
    <row r="579" spans="1:7" ht="79.150000000000006" customHeight="1" thickBot="1">
      <c r="A579" s="1692" t="s">
        <v>204</v>
      </c>
      <c r="B579" s="1693"/>
      <c r="C579" s="1693"/>
      <c r="D579" s="1280">
        <f>SUM(D568:D578)</f>
        <v>0</v>
      </c>
      <c r="E579" s="1336" t="s">
        <v>2747</v>
      </c>
      <c r="F579" s="1279" t="s">
        <v>2746</v>
      </c>
      <c r="G579" s="1278" t="s">
        <v>2746</v>
      </c>
    </row>
    <row r="580" spans="1:7" ht="35.25" thickBot="1">
      <c r="A580" s="1302"/>
      <c r="B580" s="1361"/>
      <c r="C580" s="1302"/>
      <c r="D580" s="1303"/>
      <c r="E580" s="1302"/>
      <c r="F580" s="1301"/>
      <c r="G580" s="1301"/>
    </row>
    <row r="581" spans="1:7" ht="75.599999999999994" customHeight="1" thickBot="1">
      <c r="A581" s="1300"/>
      <c r="B581" s="1299" t="str">
        <f>BASIC_TOOL!$B$6</f>
        <v>A Project</v>
      </c>
      <c r="C581" s="1304" t="s">
        <v>2756</v>
      </c>
      <c r="D581" s="1297" t="e">
        <f ca="1">_xlfn.IFS(PACKING!BP98="M", "1X1.5M",PACKING!BP98="L", "1X2M",PACKING!BP98="S", "1X1M")</f>
        <v>#NAME?</v>
      </c>
      <c r="E581" s="1296">
        <f>PACKING!BT94</f>
        <v>35</v>
      </c>
      <c r="F581" s="1295" t="s">
        <v>2755</v>
      </c>
      <c r="G581" s="1294">
        <f>PACKING!$C$93</f>
        <v>2</v>
      </c>
    </row>
    <row r="582" spans="1:7" ht="87.6" customHeight="1">
      <c r="A582" s="1290" t="s">
        <v>2754</v>
      </c>
      <c r="B582" s="1290" t="str">
        <f>BASIC_TOOL!$B$7</f>
        <v>DAMMAM, KSA</v>
      </c>
      <c r="C582" s="1293" t="str">
        <f>BASIC_TOOL!$C$14</f>
        <v>Non-Insulated</v>
      </c>
      <c r="D582" s="1694" t="str">
        <f>'PRINTOUT(BOM)'!A96</f>
        <v>▣ Size : 10mW x (5)mL x3mH =150 [TON]/ 1[SET]</v>
      </c>
      <c r="E582" s="1695"/>
      <c r="F582" s="1695"/>
      <c r="G582" s="1696"/>
    </row>
    <row r="583" spans="1:7" ht="63.6" customHeight="1">
      <c r="A583" s="1290" t="s">
        <v>2753</v>
      </c>
      <c r="B583" s="1292">
        <f>BASIC_TOOL!$F$7</f>
        <v>44343</v>
      </c>
      <c r="C583" s="1291" t="s">
        <v>2752</v>
      </c>
      <c r="D583" s="1691" t="str">
        <f>BASIC_TOOL!$D$6</f>
        <v>ABC</v>
      </c>
      <c r="E583" s="1691"/>
      <c r="F583" s="1691" t="s">
        <v>2751</v>
      </c>
      <c r="G583" s="1697"/>
    </row>
    <row r="584" spans="1:7" ht="60">
      <c r="A584" s="1290" t="s">
        <v>176</v>
      </c>
      <c r="B584" s="1359" t="s">
        <v>177</v>
      </c>
      <c r="C584" s="1335" t="s">
        <v>2750</v>
      </c>
      <c r="D584" s="1691" t="s">
        <v>239</v>
      </c>
      <c r="E584" s="1691"/>
      <c r="F584" s="1288" t="s">
        <v>2749</v>
      </c>
      <c r="G584" s="1287" t="s">
        <v>2748</v>
      </c>
    </row>
    <row r="585" spans="1:7" ht="52.9" customHeight="1">
      <c r="A585" s="1284" t="str">
        <f>IFERROR(VLOOKUP(B:B,'0.39'!B:F,5,FALSE),"")</f>
        <v/>
      </c>
      <c r="B585" s="1360" t="str">
        <f>PACKING!BS97</f>
        <v/>
      </c>
      <c r="C585" s="1283" t="str">
        <f>IFERROR((VLOOKUP(B:B,'0.39'!B:F,4,FALSE)),"")</f>
        <v/>
      </c>
      <c r="D585" s="1331" t="str">
        <f>PACKING!BT67</f>
        <v/>
      </c>
      <c r="E585" s="1286" t="s">
        <v>2747</v>
      </c>
      <c r="F585" s="1285"/>
      <c r="G585" s="1281"/>
    </row>
    <row r="586" spans="1:7" ht="52.9" customHeight="1">
      <c r="A586" s="1284" t="str">
        <f>IFERROR(VLOOKUP(B:B,'0.39'!B:F,5,FALSE),"")</f>
        <v/>
      </c>
      <c r="B586" s="1360" t="str">
        <f>PACKING!BS98</f>
        <v/>
      </c>
      <c r="C586" s="1283" t="str">
        <f>IFERROR((VLOOKUP(B:B,'0.39'!B:F,4,FALSE)),"")</f>
        <v/>
      </c>
      <c r="D586" s="1331" t="str">
        <f>PACKING!BT68</f>
        <v/>
      </c>
      <c r="E586" s="1337" t="s">
        <v>2747</v>
      </c>
      <c r="F586" s="1285"/>
      <c r="G586" s="1281"/>
    </row>
    <row r="587" spans="1:7" ht="52.9" customHeight="1">
      <c r="A587" s="1284" t="str">
        <f>IFERROR(VLOOKUP(B:B,'0.39'!B:F,5,FALSE),"")</f>
        <v/>
      </c>
      <c r="B587" s="1360" t="str">
        <f>PACKING!BS99</f>
        <v/>
      </c>
      <c r="C587" s="1283" t="str">
        <f>IFERROR((VLOOKUP(B:B,'0.39'!B:F,4,FALSE)),"")</f>
        <v/>
      </c>
      <c r="D587" s="1331" t="str">
        <f>PACKING!BT69</f>
        <v/>
      </c>
      <c r="E587" s="1286" t="s">
        <v>2747</v>
      </c>
      <c r="F587" s="1285"/>
      <c r="G587" s="1281"/>
    </row>
    <row r="588" spans="1:7" ht="52.9" customHeight="1">
      <c r="A588" s="1284" t="str">
        <f>IFERROR(VLOOKUP(B:B,'0.39'!B:F,5,FALSE),"")</f>
        <v/>
      </c>
      <c r="B588" s="1360" t="str">
        <f>PACKING!BS100</f>
        <v/>
      </c>
      <c r="C588" s="1283" t="str">
        <f>IFERROR((VLOOKUP(B:B,'0.39'!B:F,4,FALSE)),"")</f>
        <v/>
      </c>
      <c r="D588" s="1331" t="str">
        <f>PACKING!BT70</f>
        <v/>
      </c>
      <c r="E588" s="1286" t="s">
        <v>2747</v>
      </c>
      <c r="F588" s="1282"/>
      <c r="G588" s="1281"/>
    </row>
    <row r="589" spans="1:7" ht="52.9" customHeight="1">
      <c r="A589" s="1284" t="str">
        <f>IFERROR(VLOOKUP(B:B,'0.39'!B:F,5,FALSE),"")</f>
        <v/>
      </c>
      <c r="B589" s="1360" t="str">
        <f>PACKING!BS101</f>
        <v/>
      </c>
      <c r="C589" s="1283" t="str">
        <f>IFERROR((VLOOKUP(B:B,'0.39'!B:F,4,FALSE)),"")</f>
        <v/>
      </c>
      <c r="D589" s="1331" t="str">
        <f>PACKING!BT71</f>
        <v/>
      </c>
      <c r="E589" s="1286" t="s">
        <v>2747</v>
      </c>
      <c r="F589" s="1282"/>
      <c r="G589" s="1281"/>
    </row>
    <row r="590" spans="1:7" ht="52.9" customHeight="1">
      <c r="A590" s="1284" t="str">
        <f>IFERROR(VLOOKUP(B:B,'0.39'!B:F,5,FALSE),"")</f>
        <v/>
      </c>
      <c r="B590" s="1360" t="str">
        <f>PACKING!BS102</f>
        <v/>
      </c>
      <c r="C590" s="1283" t="str">
        <f>IFERROR((VLOOKUP(B:B,'0.39'!B:F,4,FALSE)),"")</f>
        <v/>
      </c>
      <c r="D590" s="1331" t="str">
        <f>PACKING!BT72</f>
        <v/>
      </c>
      <c r="E590" s="1337" t="s">
        <v>2747</v>
      </c>
      <c r="F590" s="1282"/>
      <c r="G590" s="1281"/>
    </row>
    <row r="591" spans="1:7" ht="52.9" customHeight="1">
      <c r="A591" s="1284" t="str">
        <f>IFERROR(VLOOKUP(B:B,'0.39'!B:F,5,FALSE),"")</f>
        <v/>
      </c>
      <c r="B591" s="1360" t="str">
        <f>PACKING!BS103</f>
        <v/>
      </c>
      <c r="C591" s="1283" t="str">
        <f>IFERROR((VLOOKUP(B:B,'0.39'!B:F,4,FALSE)),"")</f>
        <v/>
      </c>
      <c r="D591" s="1331" t="str">
        <f>PACKING!BT73</f>
        <v/>
      </c>
      <c r="E591" s="1337" t="s">
        <v>2747</v>
      </c>
      <c r="F591" s="1282"/>
      <c r="G591" s="1281"/>
    </row>
    <row r="592" spans="1:7" ht="52.9" customHeight="1">
      <c r="A592" s="1284" t="str">
        <f>IFERROR(VLOOKUP(B:B,'0.39'!B:F,5,FALSE),"")</f>
        <v/>
      </c>
      <c r="B592" s="1360" t="str">
        <f>PACKING!BS104</f>
        <v/>
      </c>
      <c r="C592" s="1283" t="str">
        <f>IFERROR((VLOOKUP(B:B,'0.39'!B:F,4,FALSE)),"")</f>
        <v/>
      </c>
      <c r="D592" s="1331" t="str">
        <f>PACKING!BT74</f>
        <v/>
      </c>
      <c r="E592" s="1337" t="s">
        <v>2747</v>
      </c>
      <c r="F592" s="1282"/>
      <c r="G592" s="1281"/>
    </row>
    <row r="593" spans="1:7" ht="52.9" customHeight="1">
      <c r="A593" s="1284" t="str">
        <f>IFERROR(VLOOKUP(B:B,'0.39'!B:F,5,FALSE),"")</f>
        <v/>
      </c>
      <c r="B593" s="1360" t="str">
        <f>PACKING!BS105</f>
        <v/>
      </c>
      <c r="C593" s="1283" t="str">
        <f>IFERROR((VLOOKUP(B:B,'0.39'!B:F,4,FALSE)),"")</f>
        <v/>
      </c>
      <c r="D593" s="1331" t="str">
        <f>PACKING!BT75</f>
        <v/>
      </c>
      <c r="E593" s="1337" t="s">
        <v>2747</v>
      </c>
      <c r="F593" s="1285"/>
      <c r="G593" s="1281"/>
    </row>
    <row r="594" spans="1:7" ht="52.9" customHeight="1">
      <c r="A594" s="1284" t="str">
        <f>IFERROR(VLOOKUP(B:B,'0.39'!B:F,5,FALSE),"")</f>
        <v/>
      </c>
      <c r="B594" s="1360" t="str">
        <f>PACKING!BS106</f>
        <v/>
      </c>
      <c r="C594" s="1283" t="str">
        <f>IFERROR((VLOOKUP(B:B,'0.39'!B:F,4,FALSE)),"")</f>
        <v/>
      </c>
      <c r="D594" s="1331" t="str">
        <f>PACKING!BT76</f>
        <v/>
      </c>
      <c r="E594" s="1337" t="s">
        <v>2747</v>
      </c>
      <c r="F594" s="1282"/>
      <c r="G594" s="1281"/>
    </row>
    <row r="595" spans="1:7" ht="52.9" customHeight="1">
      <c r="A595" s="1284" t="str">
        <f>IFERROR(VLOOKUP(B:B,'0.39'!B:F,5,FALSE),"")</f>
        <v/>
      </c>
      <c r="B595" s="1360" t="str">
        <f>PACKING!BS107</f>
        <v/>
      </c>
      <c r="C595" s="1283" t="str">
        <f>IFERROR((VLOOKUP(B:B,'0.39'!B:F,4,FALSE)),"")</f>
        <v/>
      </c>
      <c r="D595" s="1331" t="str">
        <f>PACKING!BT77</f>
        <v/>
      </c>
      <c r="E595" s="1337" t="s">
        <v>2747</v>
      </c>
      <c r="F595" s="1282"/>
      <c r="G595" s="1281"/>
    </row>
    <row r="596" spans="1:7" ht="79.150000000000006" customHeight="1" thickBot="1">
      <c r="A596" s="1692" t="s">
        <v>204</v>
      </c>
      <c r="B596" s="1693"/>
      <c r="C596" s="1693"/>
      <c r="D596" s="1280">
        <f>SUM(D585:D595)</f>
        <v>0</v>
      </c>
      <c r="E596" s="1336" t="s">
        <v>2747</v>
      </c>
      <c r="F596" s="1279" t="s">
        <v>2746</v>
      </c>
      <c r="G596" s="1278" t="s">
        <v>2746</v>
      </c>
    </row>
    <row r="597" spans="1:7" ht="35.25" thickBot="1">
      <c r="A597" s="1302"/>
      <c r="B597" s="1361"/>
      <c r="C597" s="1302"/>
      <c r="D597" s="1303"/>
      <c r="E597" s="1302"/>
      <c r="F597" s="1301"/>
      <c r="G597" s="1301"/>
    </row>
    <row r="598" spans="1:7" ht="75.599999999999994" customHeight="1" thickBot="1">
      <c r="A598" s="1300"/>
      <c r="B598" s="1299" t="str">
        <f>BASIC_TOOL!$B$6</f>
        <v>A Project</v>
      </c>
      <c r="C598" s="1304" t="s">
        <v>2756</v>
      </c>
      <c r="D598" s="1297" t="e">
        <f ca="1">_xlfn.IFS(PACKING!BP115="M", "1X1.5M",PACKING!BP115="L", "1X2M",PACKING!BP115="S", "1X1M")</f>
        <v>#NAME?</v>
      </c>
      <c r="E598" s="1296">
        <f>PACKING!BV94</f>
        <v>36</v>
      </c>
      <c r="F598" s="1295" t="s">
        <v>2755</v>
      </c>
      <c r="G598" s="1294">
        <f>PACKING!$C$93</f>
        <v>2</v>
      </c>
    </row>
    <row r="599" spans="1:7" ht="87.6" customHeight="1">
      <c r="A599" s="1290" t="s">
        <v>2754</v>
      </c>
      <c r="B599" s="1290" t="str">
        <f>BASIC_TOOL!$B$7</f>
        <v>DAMMAM, KSA</v>
      </c>
      <c r="C599" s="1293" t="str">
        <f>BASIC_TOOL!$C$14</f>
        <v>Non-Insulated</v>
      </c>
      <c r="D599" s="1694" t="str">
        <f>'PRINTOUT(BOM)'!A96</f>
        <v>▣ Size : 10mW x (5)mL x3mH =150 [TON]/ 1[SET]</v>
      </c>
      <c r="E599" s="1695"/>
      <c r="F599" s="1695"/>
      <c r="G599" s="1696"/>
    </row>
    <row r="600" spans="1:7" ht="63.6" customHeight="1">
      <c r="A600" s="1290" t="s">
        <v>2753</v>
      </c>
      <c r="B600" s="1292">
        <f>BASIC_TOOL!$F$7</f>
        <v>44343</v>
      </c>
      <c r="C600" s="1291" t="s">
        <v>2752</v>
      </c>
      <c r="D600" s="1691" t="str">
        <f>BASIC_TOOL!$D$6</f>
        <v>ABC</v>
      </c>
      <c r="E600" s="1691"/>
      <c r="F600" s="1691" t="s">
        <v>2751</v>
      </c>
      <c r="G600" s="1697"/>
    </row>
    <row r="601" spans="1:7" ht="60">
      <c r="A601" s="1290" t="s">
        <v>176</v>
      </c>
      <c r="B601" s="1359" t="s">
        <v>177</v>
      </c>
      <c r="C601" s="1335" t="s">
        <v>2750</v>
      </c>
      <c r="D601" s="1691" t="s">
        <v>239</v>
      </c>
      <c r="E601" s="1691"/>
      <c r="F601" s="1288" t="s">
        <v>2749</v>
      </c>
      <c r="G601" s="1287" t="s">
        <v>2748</v>
      </c>
    </row>
    <row r="602" spans="1:7" ht="52.9" customHeight="1">
      <c r="A602" s="1284" t="str">
        <f>IFERROR(VLOOKUP(B:B,'0.39'!B:F,5,FALSE),"")</f>
        <v/>
      </c>
      <c r="B602" s="1360" t="str">
        <f>PACKING!BU97</f>
        <v/>
      </c>
      <c r="C602" s="1283" t="str">
        <f>IFERROR((VLOOKUP(B:B,'0.39'!B:F,4,FALSE)),"")</f>
        <v/>
      </c>
      <c r="D602" s="1331" t="str">
        <f>PACKING!BV67</f>
        <v/>
      </c>
      <c r="E602" s="1286" t="s">
        <v>2747</v>
      </c>
      <c r="F602" s="1285"/>
      <c r="G602" s="1281"/>
    </row>
    <row r="603" spans="1:7" ht="52.9" customHeight="1">
      <c r="A603" s="1284" t="str">
        <f>IFERROR(VLOOKUP(B:B,'0.39'!B:F,5,FALSE),"")</f>
        <v/>
      </c>
      <c r="B603" s="1360" t="str">
        <f>PACKING!BU98</f>
        <v/>
      </c>
      <c r="C603" s="1283" t="str">
        <f>IFERROR((VLOOKUP(B:B,'0.39'!B:F,4,FALSE)),"")</f>
        <v/>
      </c>
      <c r="D603" s="1331" t="str">
        <f>PACKING!BV68</f>
        <v/>
      </c>
      <c r="E603" s="1337" t="s">
        <v>2747</v>
      </c>
      <c r="F603" s="1285"/>
      <c r="G603" s="1281"/>
    </row>
    <row r="604" spans="1:7" ht="52.9" customHeight="1">
      <c r="A604" s="1284" t="str">
        <f>IFERROR(VLOOKUP(B:B,'0.39'!B:F,5,FALSE),"")</f>
        <v/>
      </c>
      <c r="B604" s="1360" t="str">
        <f>PACKING!BU99</f>
        <v/>
      </c>
      <c r="C604" s="1283" t="str">
        <f>IFERROR((VLOOKUP(B:B,'0.39'!B:F,4,FALSE)),"")</f>
        <v/>
      </c>
      <c r="D604" s="1331" t="str">
        <f>PACKING!BV69</f>
        <v/>
      </c>
      <c r="E604" s="1286" t="s">
        <v>2747</v>
      </c>
      <c r="F604" s="1285"/>
      <c r="G604" s="1281"/>
    </row>
    <row r="605" spans="1:7" ht="52.9" customHeight="1">
      <c r="A605" s="1284" t="str">
        <f>IFERROR(VLOOKUP(B:B,'0.39'!B:F,5,FALSE),"")</f>
        <v/>
      </c>
      <c r="B605" s="1360" t="str">
        <f>PACKING!BU100</f>
        <v/>
      </c>
      <c r="C605" s="1283" t="str">
        <f>IFERROR((VLOOKUP(B:B,'0.39'!B:F,4,FALSE)),"")</f>
        <v/>
      </c>
      <c r="D605" s="1331" t="str">
        <f>PACKING!BV70</f>
        <v/>
      </c>
      <c r="E605" s="1286" t="s">
        <v>2747</v>
      </c>
      <c r="F605" s="1282"/>
      <c r="G605" s="1281"/>
    </row>
    <row r="606" spans="1:7" ht="52.9" customHeight="1">
      <c r="A606" s="1284" t="str">
        <f>IFERROR(VLOOKUP(B:B,'0.39'!B:F,5,FALSE),"")</f>
        <v/>
      </c>
      <c r="B606" s="1360" t="str">
        <f>PACKING!BU101</f>
        <v/>
      </c>
      <c r="C606" s="1283" t="str">
        <f>IFERROR((VLOOKUP(B:B,'0.39'!B:F,4,FALSE)),"")</f>
        <v/>
      </c>
      <c r="D606" s="1331" t="str">
        <f>PACKING!BV71</f>
        <v/>
      </c>
      <c r="E606" s="1286" t="s">
        <v>2747</v>
      </c>
      <c r="F606" s="1282"/>
      <c r="G606" s="1281"/>
    </row>
    <row r="607" spans="1:7" ht="52.9" customHeight="1">
      <c r="A607" s="1284" t="str">
        <f>IFERROR(VLOOKUP(B:B,'0.39'!B:F,5,FALSE),"")</f>
        <v/>
      </c>
      <c r="B607" s="1360" t="str">
        <f>PACKING!BU102</f>
        <v/>
      </c>
      <c r="C607" s="1283" t="str">
        <f>IFERROR((VLOOKUP(B:B,'0.39'!B:F,4,FALSE)),"")</f>
        <v/>
      </c>
      <c r="D607" s="1331" t="str">
        <f>PACKING!BV72</f>
        <v/>
      </c>
      <c r="E607" s="1337" t="s">
        <v>2747</v>
      </c>
      <c r="F607" s="1282"/>
      <c r="G607" s="1281"/>
    </row>
    <row r="608" spans="1:7" ht="52.9" customHeight="1">
      <c r="A608" s="1284" t="str">
        <f>IFERROR(VLOOKUP(B:B,'0.39'!B:F,5,FALSE),"")</f>
        <v/>
      </c>
      <c r="B608" s="1360" t="str">
        <f>PACKING!BU103</f>
        <v/>
      </c>
      <c r="C608" s="1283" t="str">
        <f>IFERROR((VLOOKUP(B:B,'0.39'!B:F,4,FALSE)),"")</f>
        <v/>
      </c>
      <c r="D608" s="1331" t="str">
        <f>PACKING!BV73</f>
        <v/>
      </c>
      <c r="E608" s="1337" t="s">
        <v>2747</v>
      </c>
      <c r="F608" s="1282"/>
      <c r="G608" s="1281"/>
    </row>
    <row r="609" spans="1:7" ht="52.9" customHeight="1">
      <c r="A609" s="1284" t="str">
        <f>IFERROR(VLOOKUP(B:B,'0.39'!B:F,5,FALSE),"")</f>
        <v/>
      </c>
      <c r="B609" s="1360" t="str">
        <f>PACKING!BU104</f>
        <v/>
      </c>
      <c r="C609" s="1283" t="str">
        <f>IFERROR((VLOOKUP(B:B,'0.39'!B:F,4,FALSE)),"")</f>
        <v/>
      </c>
      <c r="D609" s="1331" t="str">
        <f>PACKING!BV74</f>
        <v/>
      </c>
      <c r="E609" s="1337" t="s">
        <v>2747</v>
      </c>
      <c r="F609" s="1282"/>
      <c r="G609" s="1281"/>
    </row>
    <row r="610" spans="1:7" ht="52.9" customHeight="1">
      <c r="A610" s="1284" t="str">
        <f>IFERROR(VLOOKUP(B:B,'0.39'!B:F,5,FALSE),"")</f>
        <v/>
      </c>
      <c r="B610" s="1360" t="str">
        <f>PACKING!BU105</f>
        <v/>
      </c>
      <c r="C610" s="1283" t="str">
        <f>IFERROR((VLOOKUP(B:B,'0.39'!B:F,4,FALSE)),"")</f>
        <v/>
      </c>
      <c r="D610" s="1331" t="str">
        <f>PACKING!BV75</f>
        <v/>
      </c>
      <c r="E610" s="1337" t="s">
        <v>2747</v>
      </c>
      <c r="F610" s="1285"/>
      <c r="G610" s="1281"/>
    </row>
    <row r="611" spans="1:7" ht="52.9" customHeight="1">
      <c r="A611" s="1284" t="str">
        <f>IFERROR(VLOOKUP(B:B,'0.39'!B:F,5,FALSE),"")</f>
        <v/>
      </c>
      <c r="B611" s="1360" t="str">
        <f>PACKING!BU106</f>
        <v/>
      </c>
      <c r="C611" s="1283" t="str">
        <f>IFERROR((VLOOKUP(B:B,'0.39'!B:F,4,FALSE)),"")</f>
        <v/>
      </c>
      <c r="D611" s="1331" t="str">
        <f>PACKING!BV76</f>
        <v/>
      </c>
      <c r="E611" s="1337" t="s">
        <v>2747</v>
      </c>
      <c r="F611" s="1282"/>
      <c r="G611" s="1281"/>
    </row>
    <row r="612" spans="1:7" ht="52.9" customHeight="1">
      <c r="A612" s="1284" t="str">
        <f>IFERROR(VLOOKUP(B:B,'0.39'!B:F,5,FALSE),"")</f>
        <v/>
      </c>
      <c r="B612" s="1360" t="str">
        <f>PACKING!BU107</f>
        <v/>
      </c>
      <c r="C612" s="1283" t="str">
        <f>IFERROR((VLOOKUP(B:B,'0.39'!B:F,4,FALSE)),"")</f>
        <v/>
      </c>
      <c r="D612" s="1331" t="str">
        <f>PACKING!BV77</f>
        <v/>
      </c>
      <c r="E612" s="1337" t="s">
        <v>2747</v>
      </c>
      <c r="F612" s="1282"/>
      <c r="G612" s="1281"/>
    </row>
    <row r="613" spans="1:7" ht="79.150000000000006" customHeight="1" thickBot="1">
      <c r="A613" s="1692" t="s">
        <v>204</v>
      </c>
      <c r="B613" s="1693"/>
      <c r="C613" s="1693"/>
      <c r="D613" s="1280">
        <f>SUM(D602:D612)</f>
        <v>0</v>
      </c>
      <c r="E613" s="1336" t="s">
        <v>2747</v>
      </c>
      <c r="F613" s="1279" t="s">
        <v>2746</v>
      </c>
      <c r="G613" s="1278" t="s">
        <v>2746</v>
      </c>
    </row>
    <row r="614" spans="1:7" ht="35.25" thickBot="1">
      <c r="A614" s="1302"/>
      <c r="B614" s="1361"/>
      <c r="C614" s="1302"/>
      <c r="D614" s="1303"/>
      <c r="E614" s="1302"/>
      <c r="F614" s="1301"/>
      <c r="G614" s="1301"/>
    </row>
    <row r="615" spans="1:7" ht="75.599999999999994" customHeight="1" thickBot="1">
      <c r="A615" s="1300"/>
      <c r="B615" s="1299" t="str">
        <f>BASIC_TOOL!$B$6</f>
        <v>A Project</v>
      </c>
      <c r="C615" s="1304" t="s">
        <v>2756</v>
      </c>
      <c r="D615" s="1297" t="e">
        <f ca="1">_xlfn.IFS(PACKING!BP132="M", "1X1.5M",PACKING!BP132="L", "1X2M",PACKING!BP132="S", "1X1M")</f>
        <v>#NAME?</v>
      </c>
      <c r="E615" s="1296">
        <f>PACKING!BX94</f>
        <v>37</v>
      </c>
      <c r="F615" s="1295" t="s">
        <v>2755</v>
      </c>
      <c r="G615" s="1294">
        <f>PACKING!$C$93</f>
        <v>2</v>
      </c>
    </row>
    <row r="616" spans="1:7" ht="87.6" customHeight="1">
      <c r="A616" s="1290" t="s">
        <v>2754</v>
      </c>
      <c r="B616" s="1290" t="str">
        <f>BASIC_TOOL!$B$7</f>
        <v>DAMMAM, KSA</v>
      </c>
      <c r="C616" s="1293" t="str">
        <f>BASIC_TOOL!$C$14</f>
        <v>Non-Insulated</v>
      </c>
      <c r="D616" s="1694" t="str">
        <f>'PRINTOUT(BOM)'!A96</f>
        <v>▣ Size : 10mW x (5)mL x3mH =150 [TON]/ 1[SET]</v>
      </c>
      <c r="E616" s="1695"/>
      <c r="F616" s="1695"/>
      <c r="G616" s="1696"/>
    </row>
    <row r="617" spans="1:7" ht="63.6" customHeight="1">
      <c r="A617" s="1290" t="s">
        <v>2753</v>
      </c>
      <c r="B617" s="1292">
        <f>BASIC_TOOL!$F$7</f>
        <v>44343</v>
      </c>
      <c r="C617" s="1291" t="s">
        <v>2752</v>
      </c>
      <c r="D617" s="1691" t="str">
        <f>BASIC_TOOL!$D$6</f>
        <v>ABC</v>
      </c>
      <c r="E617" s="1691"/>
      <c r="F617" s="1691" t="s">
        <v>2751</v>
      </c>
      <c r="G617" s="1697"/>
    </row>
    <row r="618" spans="1:7" ht="60">
      <c r="A618" s="1290" t="s">
        <v>176</v>
      </c>
      <c r="B618" s="1359" t="s">
        <v>177</v>
      </c>
      <c r="C618" s="1335" t="s">
        <v>2750</v>
      </c>
      <c r="D618" s="1691" t="s">
        <v>239</v>
      </c>
      <c r="E618" s="1691"/>
      <c r="F618" s="1288" t="s">
        <v>2749</v>
      </c>
      <c r="G618" s="1287" t="s">
        <v>2748</v>
      </c>
    </row>
    <row r="619" spans="1:7" ht="52.9" customHeight="1">
      <c r="A619" s="1284" t="str">
        <f>IFERROR(VLOOKUP(B:B,'0.39'!B:F,5,FALSE),"")</f>
        <v/>
      </c>
      <c r="B619" s="1360" t="str">
        <f>PACKING!BW97</f>
        <v/>
      </c>
      <c r="C619" s="1283" t="str">
        <f>IFERROR((VLOOKUP(B:B,'0.39'!B:F,4,FALSE)),"")</f>
        <v/>
      </c>
      <c r="D619" s="1331" t="str">
        <f>PACKING!BX67</f>
        <v/>
      </c>
      <c r="E619" s="1286" t="s">
        <v>2747</v>
      </c>
      <c r="F619" s="1285"/>
      <c r="G619" s="1281"/>
    </row>
    <row r="620" spans="1:7" ht="52.9" customHeight="1">
      <c r="A620" s="1284" t="str">
        <f>IFERROR(VLOOKUP(B:B,'0.39'!B:F,5,FALSE),"")</f>
        <v/>
      </c>
      <c r="B620" s="1360" t="str">
        <f>PACKING!BW98</f>
        <v/>
      </c>
      <c r="C620" s="1283" t="str">
        <f>IFERROR((VLOOKUP(B:B,'0.39'!B:F,4,FALSE)),"")</f>
        <v/>
      </c>
      <c r="D620" s="1331" t="str">
        <f>PACKING!BX68</f>
        <v/>
      </c>
      <c r="E620" s="1337" t="s">
        <v>2747</v>
      </c>
      <c r="F620" s="1285"/>
      <c r="G620" s="1281"/>
    </row>
    <row r="621" spans="1:7" ht="52.9" customHeight="1">
      <c r="A621" s="1284" t="str">
        <f>IFERROR(VLOOKUP(B:B,'0.39'!B:F,5,FALSE),"")</f>
        <v/>
      </c>
      <c r="B621" s="1360" t="str">
        <f>PACKING!BW99</f>
        <v/>
      </c>
      <c r="C621" s="1283" t="str">
        <f>IFERROR((VLOOKUP(B:B,'0.39'!B:F,4,FALSE)),"")</f>
        <v/>
      </c>
      <c r="D621" s="1331" t="str">
        <f>PACKING!BX69</f>
        <v/>
      </c>
      <c r="E621" s="1286" t="s">
        <v>2747</v>
      </c>
      <c r="F621" s="1285"/>
      <c r="G621" s="1281"/>
    </row>
    <row r="622" spans="1:7" ht="52.9" customHeight="1">
      <c r="A622" s="1284" t="str">
        <f>IFERROR(VLOOKUP(B:B,'0.39'!B:F,5,FALSE),"")</f>
        <v/>
      </c>
      <c r="B622" s="1360" t="str">
        <f>PACKING!BW100</f>
        <v/>
      </c>
      <c r="C622" s="1283" t="str">
        <f>IFERROR((VLOOKUP(B:B,'0.39'!B:F,4,FALSE)),"")</f>
        <v/>
      </c>
      <c r="D622" s="1331" t="str">
        <f>PACKING!BX70</f>
        <v/>
      </c>
      <c r="E622" s="1286" t="s">
        <v>2747</v>
      </c>
      <c r="F622" s="1282"/>
      <c r="G622" s="1281"/>
    </row>
    <row r="623" spans="1:7" ht="52.9" customHeight="1">
      <c r="A623" s="1284" t="str">
        <f>IFERROR(VLOOKUP(B:B,'0.39'!B:F,5,FALSE),"")</f>
        <v/>
      </c>
      <c r="B623" s="1360" t="str">
        <f>PACKING!BW101</f>
        <v/>
      </c>
      <c r="C623" s="1283" t="str">
        <f>IFERROR((VLOOKUP(B:B,'0.39'!B:F,4,FALSE)),"")</f>
        <v/>
      </c>
      <c r="D623" s="1331" t="str">
        <f>PACKING!BX71</f>
        <v/>
      </c>
      <c r="E623" s="1286" t="s">
        <v>2747</v>
      </c>
      <c r="F623" s="1282"/>
      <c r="G623" s="1281"/>
    </row>
    <row r="624" spans="1:7" ht="52.9" customHeight="1">
      <c r="A624" s="1284" t="str">
        <f>IFERROR(VLOOKUP(B:B,'0.39'!B:F,5,FALSE),"")</f>
        <v/>
      </c>
      <c r="B624" s="1360" t="str">
        <f>PACKING!BW102</f>
        <v/>
      </c>
      <c r="C624" s="1283" t="str">
        <f>IFERROR((VLOOKUP(B:B,'0.39'!B:F,4,FALSE)),"")</f>
        <v/>
      </c>
      <c r="D624" s="1331" t="str">
        <f>PACKING!BX72</f>
        <v/>
      </c>
      <c r="E624" s="1337" t="s">
        <v>2747</v>
      </c>
      <c r="F624" s="1282"/>
      <c r="G624" s="1281"/>
    </row>
    <row r="625" spans="1:7" ht="52.9" customHeight="1">
      <c r="A625" s="1284" t="str">
        <f>IFERROR(VLOOKUP(B:B,'0.39'!B:F,5,FALSE),"")</f>
        <v/>
      </c>
      <c r="B625" s="1360" t="str">
        <f>PACKING!BW103</f>
        <v/>
      </c>
      <c r="C625" s="1283" t="str">
        <f>IFERROR((VLOOKUP(B:B,'0.39'!B:F,4,FALSE)),"")</f>
        <v/>
      </c>
      <c r="D625" s="1331" t="str">
        <f>PACKING!BX73</f>
        <v/>
      </c>
      <c r="E625" s="1337" t="s">
        <v>2747</v>
      </c>
      <c r="F625" s="1282"/>
      <c r="G625" s="1281"/>
    </row>
    <row r="626" spans="1:7" ht="52.9" customHeight="1">
      <c r="A626" s="1284" t="str">
        <f>IFERROR(VLOOKUP(B:B,'0.39'!B:F,5,FALSE),"")</f>
        <v/>
      </c>
      <c r="B626" s="1360" t="str">
        <f>PACKING!BW104</f>
        <v/>
      </c>
      <c r="C626" s="1283" t="str">
        <f>IFERROR((VLOOKUP(B:B,'0.39'!B:F,4,FALSE)),"")</f>
        <v/>
      </c>
      <c r="D626" s="1331" t="str">
        <f>PACKING!BX74</f>
        <v/>
      </c>
      <c r="E626" s="1337" t="s">
        <v>2747</v>
      </c>
      <c r="F626" s="1282"/>
      <c r="G626" s="1281"/>
    </row>
    <row r="627" spans="1:7" ht="52.9" customHeight="1">
      <c r="A627" s="1284" t="str">
        <f>IFERROR(VLOOKUP(B:B,'0.39'!B:F,5,FALSE),"")</f>
        <v/>
      </c>
      <c r="B627" s="1360" t="str">
        <f>PACKING!BW105</f>
        <v/>
      </c>
      <c r="C627" s="1283" t="str">
        <f>IFERROR((VLOOKUP(B:B,'0.39'!B:F,4,FALSE)),"")</f>
        <v/>
      </c>
      <c r="D627" s="1331" t="str">
        <f>PACKING!BX75</f>
        <v/>
      </c>
      <c r="E627" s="1337" t="s">
        <v>2747</v>
      </c>
      <c r="F627" s="1285"/>
      <c r="G627" s="1281"/>
    </row>
    <row r="628" spans="1:7" ht="52.9" customHeight="1">
      <c r="A628" s="1284" t="str">
        <f>IFERROR(VLOOKUP(B:B,'0.39'!B:F,5,FALSE),"")</f>
        <v/>
      </c>
      <c r="B628" s="1360" t="str">
        <f>PACKING!BW106</f>
        <v/>
      </c>
      <c r="C628" s="1283" t="str">
        <f>IFERROR((VLOOKUP(B:B,'0.39'!B:F,4,FALSE)),"")</f>
        <v/>
      </c>
      <c r="D628" s="1331" t="str">
        <f>PACKING!BX76</f>
        <v/>
      </c>
      <c r="E628" s="1337" t="s">
        <v>2747</v>
      </c>
      <c r="F628" s="1282"/>
      <c r="G628" s="1281"/>
    </row>
    <row r="629" spans="1:7" ht="52.9" customHeight="1">
      <c r="A629" s="1284" t="str">
        <f>IFERROR(VLOOKUP(B:B,'0.39'!B:F,5,FALSE),"")</f>
        <v/>
      </c>
      <c r="B629" s="1360" t="str">
        <f>PACKING!BW107</f>
        <v/>
      </c>
      <c r="C629" s="1283" t="str">
        <f>IFERROR((VLOOKUP(B:B,'0.39'!B:F,4,FALSE)),"")</f>
        <v/>
      </c>
      <c r="D629" s="1331" t="str">
        <f>PACKING!BX77</f>
        <v/>
      </c>
      <c r="E629" s="1337" t="s">
        <v>2747</v>
      </c>
      <c r="F629" s="1282"/>
      <c r="G629" s="1281"/>
    </row>
    <row r="630" spans="1:7" ht="79.150000000000006" customHeight="1" thickBot="1">
      <c r="A630" s="1692" t="s">
        <v>204</v>
      </c>
      <c r="B630" s="1693"/>
      <c r="C630" s="1693"/>
      <c r="D630" s="1280">
        <f>SUM(D619:D629)</f>
        <v>0</v>
      </c>
      <c r="E630" s="1336" t="s">
        <v>2747</v>
      </c>
      <c r="F630" s="1279" t="s">
        <v>2746</v>
      </c>
      <c r="G630" s="1278" t="s">
        <v>2746</v>
      </c>
    </row>
    <row r="631" spans="1:7" ht="35.25" thickBot="1">
      <c r="A631" s="1302"/>
      <c r="B631" s="1361"/>
      <c r="C631" s="1302"/>
      <c r="D631" s="1303"/>
      <c r="E631" s="1302"/>
      <c r="F631" s="1301"/>
      <c r="G631" s="1301"/>
    </row>
    <row r="632" spans="1:7" ht="75.599999999999994" customHeight="1" thickBot="1">
      <c r="A632" s="1300"/>
      <c r="B632" s="1299" t="str">
        <f>BASIC_TOOL!$B$6</f>
        <v>A Project</v>
      </c>
      <c r="C632" s="1304" t="s">
        <v>2756</v>
      </c>
      <c r="D632" s="1297" t="e">
        <f ca="1">_xlfn.IFS(PACKING!BP149="M", "1X1.5M",PACKING!BP149="L", "1X2M",PACKING!BP149="S", "1X1M")</f>
        <v>#NAME?</v>
      </c>
      <c r="E632" s="1296">
        <f>PACKING!BZ94</f>
        <v>38</v>
      </c>
      <c r="F632" s="1295" t="s">
        <v>2755</v>
      </c>
      <c r="G632" s="1294">
        <f>PACKING!$C$93</f>
        <v>2</v>
      </c>
    </row>
    <row r="633" spans="1:7" ht="87.6" customHeight="1">
      <c r="A633" s="1290" t="s">
        <v>2754</v>
      </c>
      <c r="B633" s="1290" t="str">
        <f>BASIC_TOOL!$B$7</f>
        <v>DAMMAM, KSA</v>
      </c>
      <c r="C633" s="1293" t="str">
        <f>BASIC_TOOL!$C$14</f>
        <v>Non-Insulated</v>
      </c>
      <c r="D633" s="1694" t="str">
        <f>'PRINTOUT(BOM)'!A96</f>
        <v>▣ Size : 10mW x (5)mL x3mH =150 [TON]/ 1[SET]</v>
      </c>
      <c r="E633" s="1695"/>
      <c r="F633" s="1695"/>
      <c r="G633" s="1696"/>
    </row>
    <row r="634" spans="1:7" ht="63.6" customHeight="1">
      <c r="A634" s="1290" t="s">
        <v>2753</v>
      </c>
      <c r="B634" s="1292">
        <f>BASIC_TOOL!$F$7</f>
        <v>44343</v>
      </c>
      <c r="C634" s="1291" t="s">
        <v>2752</v>
      </c>
      <c r="D634" s="1691" t="str">
        <f>BASIC_TOOL!$D$6</f>
        <v>ABC</v>
      </c>
      <c r="E634" s="1691"/>
      <c r="F634" s="1691" t="s">
        <v>2751</v>
      </c>
      <c r="G634" s="1697"/>
    </row>
    <row r="635" spans="1:7" ht="60">
      <c r="A635" s="1290" t="s">
        <v>176</v>
      </c>
      <c r="B635" s="1359" t="s">
        <v>177</v>
      </c>
      <c r="C635" s="1335" t="s">
        <v>2750</v>
      </c>
      <c r="D635" s="1691" t="s">
        <v>239</v>
      </c>
      <c r="E635" s="1691"/>
      <c r="F635" s="1288" t="s">
        <v>2749</v>
      </c>
      <c r="G635" s="1287" t="s">
        <v>2748</v>
      </c>
    </row>
    <row r="636" spans="1:7" ht="52.9" customHeight="1">
      <c r="A636" s="1284" t="str">
        <f>IFERROR(VLOOKUP(B:B,'0.39'!B:F,5,FALSE),"")</f>
        <v/>
      </c>
      <c r="B636" s="1360" t="str">
        <f>PACKING!BY97</f>
        <v/>
      </c>
      <c r="C636" s="1283" t="str">
        <f>IFERROR((VLOOKUP(B:B,'0.39'!B:F,4,FALSE)),"")</f>
        <v/>
      </c>
      <c r="D636" s="1331" t="str">
        <f>PACKING!BZ67</f>
        <v/>
      </c>
      <c r="E636" s="1286" t="s">
        <v>2747</v>
      </c>
      <c r="F636" s="1285"/>
      <c r="G636" s="1281"/>
    </row>
    <row r="637" spans="1:7" ht="52.9" customHeight="1">
      <c r="A637" s="1284" t="str">
        <f>IFERROR(VLOOKUP(B:B,'0.39'!B:F,5,FALSE),"")</f>
        <v/>
      </c>
      <c r="B637" s="1360" t="str">
        <f>PACKING!BY98</f>
        <v/>
      </c>
      <c r="C637" s="1283" t="str">
        <f>IFERROR((VLOOKUP(B:B,'0.39'!B:F,4,FALSE)),"")</f>
        <v/>
      </c>
      <c r="D637" s="1331" t="str">
        <f>PACKING!BZ68</f>
        <v/>
      </c>
      <c r="E637" s="1337" t="s">
        <v>2747</v>
      </c>
      <c r="F637" s="1285"/>
      <c r="G637" s="1281"/>
    </row>
    <row r="638" spans="1:7" ht="52.9" customHeight="1">
      <c r="A638" s="1284" t="str">
        <f>IFERROR(VLOOKUP(B:B,'0.39'!B:F,5,FALSE),"")</f>
        <v/>
      </c>
      <c r="B638" s="1360" t="str">
        <f>PACKING!BY99</f>
        <v/>
      </c>
      <c r="C638" s="1283" t="str">
        <f>IFERROR((VLOOKUP(B:B,'0.39'!B:F,4,FALSE)),"")</f>
        <v/>
      </c>
      <c r="D638" s="1331" t="str">
        <f>PACKING!BZ69</f>
        <v/>
      </c>
      <c r="E638" s="1286" t="s">
        <v>2747</v>
      </c>
      <c r="F638" s="1285"/>
      <c r="G638" s="1281"/>
    </row>
    <row r="639" spans="1:7" ht="52.9" customHeight="1">
      <c r="A639" s="1284" t="str">
        <f>IFERROR(VLOOKUP(B:B,'0.39'!B:F,5,FALSE),"")</f>
        <v/>
      </c>
      <c r="B639" s="1360" t="str">
        <f>PACKING!BY100</f>
        <v/>
      </c>
      <c r="C639" s="1283" t="str">
        <f>IFERROR((VLOOKUP(B:B,'0.39'!B:F,4,FALSE)),"")</f>
        <v/>
      </c>
      <c r="D639" s="1331" t="str">
        <f>PACKING!BZ70</f>
        <v/>
      </c>
      <c r="E639" s="1286" t="s">
        <v>2747</v>
      </c>
      <c r="F639" s="1282"/>
      <c r="G639" s="1281"/>
    </row>
    <row r="640" spans="1:7" ht="52.9" customHeight="1">
      <c r="A640" s="1284" t="str">
        <f>IFERROR(VLOOKUP(B:B,'0.39'!B:F,5,FALSE),"")</f>
        <v/>
      </c>
      <c r="B640" s="1360" t="str">
        <f>PACKING!BY101</f>
        <v/>
      </c>
      <c r="C640" s="1283" t="str">
        <f>IFERROR((VLOOKUP(B:B,'0.39'!B:F,4,FALSE)),"")</f>
        <v/>
      </c>
      <c r="D640" s="1331" t="str">
        <f>PACKING!BZ71</f>
        <v/>
      </c>
      <c r="E640" s="1286" t="s">
        <v>2747</v>
      </c>
      <c r="F640" s="1282"/>
      <c r="G640" s="1281"/>
    </row>
    <row r="641" spans="1:7" ht="52.9" customHeight="1">
      <c r="A641" s="1284" t="str">
        <f>IFERROR(VLOOKUP(B:B,'0.39'!B:F,5,FALSE),"")</f>
        <v/>
      </c>
      <c r="B641" s="1360" t="str">
        <f>PACKING!BY102</f>
        <v/>
      </c>
      <c r="C641" s="1283" t="str">
        <f>IFERROR((VLOOKUP(B:B,'0.39'!B:F,4,FALSE)),"")</f>
        <v/>
      </c>
      <c r="D641" s="1331" t="str">
        <f>PACKING!BZ72</f>
        <v/>
      </c>
      <c r="E641" s="1337" t="s">
        <v>2747</v>
      </c>
      <c r="F641" s="1282"/>
      <c r="G641" s="1281"/>
    </row>
    <row r="642" spans="1:7" ht="52.9" customHeight="1">
      <c r="A642" s="1284" t="str">
        <f>IFERROR(VLOOKUP(B:B,'0.39'!B:F,5,FALSE),"")</f>
        <v/>
      </c>
      <c r="B642" s="1360" t="str">
        <f>PACKING!BY103</f>
        <v/>
      </c>
      <c r="C642" s="1283" t="str">
        <f>IFERROR((VLOOKUP(B:B,'0.39'!B:F,4,FALSE)),"")</f>
        <v/>
      </c>
      <c r="D642" s="1331" t="str">
        <f>PACKING!BZ73</f>
        <v/>
      </c>
      <c r="E642" s="1337" t="s">
        <v>2747</v>
      </c>
      <c r="F642" s="1282"/>
      <c r="G642" s="1281"/>
    </row>
    <row r="643" spans="1:7" ht="52.9" customHeight="1">
      <c r="A643" s="1284" t="str">
        <f>IFERROR(VLOOKUP(B:B,'0.39'!B:F,5,FALSE),"")</f>
        <v/>
      </c>
      <c r="B643" s="1360" t="str">
        <f>PACKING!BY104</f>
        <v/>
      </c>
      <c r="C643" s="1283" t="str">
        <f>IFERROR((VLOOKUP(B:B,'0.39'!B:F,4,FALSE)),"")</f>
        <v/>
      </c>
      <c r="D643" s="1331" t="str">
        <f>PACKING!BZ74</f>
        <v/>
      </c>
      <c r="E643" s="1337" t="s">
        <v>2747</v>
      </c>
      <c r="F643" s="1282"/>
      <c r="G643" s="1281"/>
    </row>
    <row r="644" spans="1:7" ht="52.9" customHeight="1">
      <c r="A644" s="1284" t="str">
        <f>IFERROR(VLOOKUP(B:B,'0.39'!B:F,5,FALSE),"")</f>
        <v/>
      </c>
      <c r="B644" s="1360" t="str">
        <f>PACKING!BY105</f>
        <v/>
      </c>
      <c r="C644" s="1283" t="str">
        <f>IFERROR((VLOOKUP(B:B,'0.39'!B:F,4,FALSE)),"")</f>
        <v/>
      </c>
      <c r="D644" s="1331" t="str">
        <f>PACKING!BZ75</f>
        <v/>
      </c>
      <c r="E644" s="1337" t="s">
        <v>2747</v>
      </c>
      <c r="F644" s="1285"/>
      <c r="G644" s="1281"/>
    </row>
    <row r="645" spans="1:7" ht="52.9" customHeight="1">
      <c r="A645" s="1284" t="str">
        <f>IFERROR(VLOOKUP(B:B,'0.39'!B:F,5,FALSE),"")</f>
        <v/>
      </c>
      <c r="B645" s="1360" t="str">
        <f>PACKING!BY106</f>
        <v/>
      </c>
      <c r="C645" s="1283" t="str">
        <f>IFERROR((VLOOKUP(B:B,'0.39'!B:F,4,FALSE)),"")</f>
        <v/>
      </c>
      <c r="D645" s="1331" t="str">
        <f>PACKING!BZ76</f>
        <v/>
      </c>
      <c r="E645" s="1337" t="s">
        <v>2747</v>
      </c>
      <c r="F645" s="1282"/>
      <c r="G645" s="1281"/>
    </row>
    <row r="646" spans="1:7" ht="52.9" customHeight="1">
      <c r="A646" s="1284" t="str">
        <f>IFERROR(VLOOKUP(B:B,'0.39'!B:F,5,FALSE),"")</f>
        <v/>
      </c>
      <c r="B646" s="1360" t="str">
        <f>PACKING!BY107</f>
        <v/>
      </c>
      <c r="C646" s="1283" t="str">
        <f>IFERROR((VLOOKUP(B:B,'0.39'!B:F,4,FALSE)),"")</f>
        <v/>
      </c>
      <c r="D646" s="1331" t="str">
        <f>PACKING!BZ77</f>
        <v/>
      </c>
      <c r="E646" s="1337" t="s">
        <v>2747</v>
      </c>
      <c r="F646" s="1282"/>
      <c r="G646" s="1281"/>
    </row>
    <row r="647" spans="1:7" ht="79.150000000000006" customHeight="1" thickBot="1">
      <c r="A647" s="1692" t="s">
        <v>204</v>
      </c>
      <c r="B647" s="1693"/>
      <c r="C647" s="1693"/>
      <c r="D647" s="1362"/>
      <c r="E647" s="1336" t="s">
        <v>2747</v>
      </c>
      <c r="F647" s="1279" t="s">
        <v>2746</v>
      </c>
      <c r="G647" s="1278" t="s">
        <v>2746</v>
      </c>
    </row>
    <row r="648" spans="1:7" ht="35.25" thickBot="1">
      <c r="A648" s="1302"/>
      <c r="B648" s="1361"/>
      <c r="C648" s="1302"/>
      <c r="D648" s="1303"/>
      <c r="E648" s="1302"/>
      <c r="F648" s="1301"/>
      <c r="G648" s="1301"/>
    </row>
    <row r="649" spans="1:7" ht="75.599999999999994" customHeight="1" thickBot="1">
      <c r="A649" s="1300"/>
      <c r="B649" s="1299" t="str">
        <f>BASIC_TOOL!$B$6</f>
        <v>A Project</v>
      </c>
      <c r="C649" s="1304" t="s">
        <v>2756</v>
      </c>
      <c r="D649" s="1297" t="e">
        <f ca="1">_xlfn.IFS(PACKING!BP166="M", "1X1.5M",PACKING!BP166="L", "1X2M",PACKING!BP166="S", "1X1M")</f>
        <v>#NAME?</v>
      </c>
      <c r="E649" s="1296">
        <f>PACKING!CB94</f>
        <v>39</v>
      </c>
      <c r="F649" s="1295" t="s">
        <v>2755</v>
      </c>
      <c r="G649" s="1294">
        <f>PACKING!$C$93</f>
        <v>2</v>
      </c>
    </row>
    <row r="650" spans="1:7" ht="87.6" customHeight="1">
      <c r="A650" s="1290" t="s">
        <v>2754</v>
      </c>
      <c r="B650" s="1290" t="str">
        <f>BASIC_TOOL!$B$7</f>
        <v>DAMMAM, KSA</v>
      </c>
      <c r="C650" s="1293" t="str">
        <f>BASIC_TOOL!$C$14</f>
        <v>Non-Insulated</v>
      </c>
      <c r="D650" s="1694" t="str">
        <f>'PRINTOUT(BOM)'!A96</f>
        <v>▣ Size : 10mW x (5)mL x3mH =150 [TON]/ 1[SET]</v>
      </c>
      <c r="E650" s="1695"/>
      <c r="F650" s="1695"/>
      <c r="G650" s="1696"/>
    </row>
    <row r="651" spans="1:7" ht="63.6" customHeight="1">
      <c r="A651" s="1290" t="s">
        <v>2753</v>
      </c>
      <c r="B651" s="1292">
        <f>BASIC_TOOL!$F$7</f>
        <v>44343</v>
      </c>
      <c r="C651" s="1291" t="s">
        <v>2752</v>
      </c>
      <c r="D651" s="1691" t="str">
        <f>BASIC_TOOL!$D$6</f>
        <v>ABC</v>
      </c>
      <c r="E651" s="1691"/>
      <c r="F651" s="1691" t="s">
        <v>2751</v>
      </c>
      <c r="G651" s="1697"/>
    </row>
    <row r="652" spans="1:7" ht="60">
      <c r="A652" s="1290" t="s">
        <v>176</v>
      </c>
      <c r="B652" s="1359" t="s">
        <v>177</v>
      </c>
      <c r="C652" s="1335" t="s">
        <v>2750</v>
      </c>
      <c r="D652" s="1691" t="s">
        <v>239</v>
      </c>
      <c r="E652" s="1691"/>
      <c r="F652" s="1288" t="s">
        <v>2749</v>
      </c>
      <c r="G652" s="1287" t="s">
        <v>2748</v>
      </c>
    </row>
    <row r="653" spans="1:7" ht="52.9" customHeight="1">
      <c r="A653" s="1284" t="str">
        <f>IFERROR(VLOOKUP(B:B,'0.39'!B:F,5,FALSE),"")</f>
        <v/>
      </c>
      <c r="B653" s="1360" t="str">
        <f>PACKING!CA97</f>
        <v/>
      </c>
      <c r="C653" s="1283" t="str">
        <f>IFERROR((VLOOKUP(B:B,'0.39'!B:F,4,FALSE)),"")</f>
        <v/>
      </c>
      <c r="D653" s="1331" t="str">
        <f>PACKING!CB67</f>
        <v/>
      </c>
      <c r="E653" s="1286" t="s">
        <v>2747</v>
      </c>
      <c r="F653" s="1285"/>
      <c r="G653" s="1281"/>
    </row>
    <row r="654" spans="1:7" ht="52.9" customHeight="1">
      <c r="A654" s="1284" t="str">
        <f>IFERROR(VLOOKUP(B:B,'0.39'!B:F,5,FALSE),"")</f>
        <v/>
      </c>
      <c r="B654" s="1360" t="str">
        <f>PACKING!CA98</f>
        <v/>
      </c>
      <c r="C654" s="1283" t="str">
        <f>IFERROR((VLOOKUP(B:B,'0.39'!B:F,4,FALSE)),"")</f>
        <v/>
      </c>
      <c r="D654" s="1331" t="str">
        <f>PACKING!CB68</f>
        <v/>
      </c>
      <c r="E654" s="1337" t="s">
        <v>2747</v>
      </c>
      <c r="F654" s="1285"/>
      <c r="G654" s="1281"/>
    </row>
    <row r="655" spans="1:7" ht="52.9" customHeight="1">
      <c r="A655" s="1284" t="str">
        <f>IFERROR(VLOOKUP(B:B,'0.39'!B:F,5,FALSE),"")</f>
        <v/>
      </c>
      <c r="B655" s="1360" t="str">
        <f>PACKING!CA99</f>
        <v/>
      </c>
      <c r="C655" s="1283" t="str">
        <f>IFERROR((VLOOKUP(B:B,'0.39'!B:F,4,FALSE)),"")</f>
        <v/>
      </c>
      <c r="D655" s="1331" t="str">
        <f>PACKING!CB69</f>
        <v/>
      </c>
      <c r="E655" s="1286" t="s">
        <v>2747</v>
      </c>
      <c r="F655" s="1285"/>
      <c r="G655" s="1281"/>
    </row>
    <row r="656" spans="1:7" ht="52.9" customHeight="1">
      <c r="A656" s="1284" t="str">
        <f>IFERROR(VLOOKUP(B:B,'0.39'!B:F,5,FALSE),"")</f>
        <v/>
      </c>
      <c r="B656" s="1360" t="str">
        <f>PACKING!CA100</f>
        <v/>
      </c>
      <c r="C656" s="1283" t="str">
        <f>IFERROR((VLOOKUP(B:B,'0.39'!B:F,4,FALSE)),"")</f>
        <v/>
      </c>
      <c r="D656" s="1331" t="str">
        <f>PACKING!CB70</f>
        <v/>
      </c>
      <c r="E656" s="1286" t="s">
        <v>2747</v>
      </c>
      <c r="F656" s="1282"/>
      <c r="G656" s="1281"/>
    </row>
    <row r="657" spans="1:7" ht="52.9" customHeight="1">
      <c r="A657" s="1284" t="str">
        <f>IFERROR(VLOOKUP(B:B,'0.39'!B:F,5,FALSE),"")</f>
        <v/>
      </c>
      <c r="B657" s="1360" t="str">
        <f>PACKING!CA101</f>
        <v/>
      </c>
      <c r="C657" s="1283" t="str">
        <f>IFERROR((VLOOKUP(B:B,'0.39'!B:F,4,FALSE)),"")</f>
        <v/>
      </c>
      <c r="D657" s="1331" t="str">
        <f>PACKING!CB71</f>
        <v/>
      </c>
      <c r="E657" s="1286" t="s">
        <v>2747</v>
      </c>
      <c r="F657" s="1282"/>
      <c r="G657" s="1281"/>
    </row>
    <row r="658" spans="1:7" ht="52.9" customHeight="1">
      <c r="A658" s="1284" t="str">
        <f>IFERROR(VLOOKUP(B:B,'0.39'!B:F,5,FALSE),"")</f>
        <v/>
      </c>
      <c r="B658" s="1360" t="str">
        <f>PACKING!CA102</f>
        <v/>
      </c>
      <c r="C658" s="1283" t="str">
        <f>IFERROR((VLOOKUP(B:B,'0.39'!B:F,4,FALSE)),"")</f>
        <v/>
      </c>
      <c r="D658" s="1331" t="str">
        <f>PACKING!CB72</f>
        <v/>
      </c>
      <c r="E658" s="1337" t="s">
        <v>2747</v>
      </c>
      <c r="F658" s="1282"/>
      <c r="G658" s="1281"/>
    </row>
    <row r="659" spans="1:7" ht="52.9" customHeight="1">
      <c r="A659" s="1284" t="str">
        <f>IFERROR(VLOOKUP(B:B,'0.39'!B:F,5,FALSE),"")</f>
        <v/>
      </c>
      <c r="B659" s="1360" t="str">
        <f>PACKING!CA103</f>
        <v/>
      </c>
      <c r="C659" s="1283" t="str">
        <f>IFERROR((VLOOKUP(B:B,'0.39'!B:F,4,FALSE)),"")</f>
        <v/>
      </c>
      <c r="D659" s="1331" t="str">
        <f>PACKING!CB73</f>
        <v/>
      </c>
      <c r="E659" s="1337" t="s">
        <v>2747</v>
      </c>
      <c r="F659" s="1282"/>
      <c r="G659" s="1281"/>
    </row>
    <row r="660" spans="1:7" ht="52.9" customHeight="1">
      <c r="A660" s="1284" t="str">
        <f>IFERROR(VLOOKUP(B:B,'0.39'!B:F,5,FALSE),"")</f>
        <v/>
      </c>
      <c r="B660" s="1360" t="str">
        <f>PACKING!CA104</f>
        <v/>
      </c>
      <c r="C660" s="1283" t="str">
        <f>IFERROR((VLOOKUP(B:B,'0.39'!B:F,4,FALSE)),"")</f>
        <v/>
      </c>
      <c r="D660" s="1331" t="str">
        <f>PACKING!CB74</f>
        <v/>
      </c>
      <c r="E660" s="1337" t="s">
        <v>2747</v>
      </c>
      <c r="F660" s="1282"/>
      <c r="G660" s="1281"/>
    </row>
    <row r="661" spans="1:7" ht="52.9" customHeight="1">
      <c r="A661" s="1284" t="str">
        <f>IFERROR(VLOOKUP(B:B,'0.39'!B:F,5,FALSE),"")</f>
        <v/>
      </c>
      <c r="B661" s="1360" t="str">
        <f>PACKING!CA105</f>
        <v/>
      </c>
      <c r="C661" s="1283" t="str">
        <f>IFERROR((VLOOKUP(B:B,'0.39'!B:F,4,FALSE)),"")</f>
        <v/>
      </c>
      <c r="D661" s="1331" t="str">
        <f>PACKING!CB75</f>
        <v/>
      </c>
      <c r="E661" s="1337" t="s">
        <v>2747</v>
      </c>
      <c r="F661" s="1285"/>
      <c r="G661" s="1281"/>
    </row>
    <row r="662" spans="1:7" ht="52.9" customHeight="1">
      <c r="A662" s="1284" t="str">
        <f>IFERROR(VLOOKUP(B:B,'0.39'!B:F,5,FALSE),"")</f>
        <v/>
      </c>
      <c r="B662" s="1360" t="str">
        <f>PACKING!CA106</f>
        <v/>
      </c>
      <c r="C662" s="1283" t="str">
        <f>IFERROR((VLOOKUP(B:B,'0.39'!B:F,4,FALSE)),"")</f>
        <v/>
      </c>
      <c r="D662" s="1331" t="str">
        <f>PACKING!CB76</f>
        <v/>
      </c>
      <c r="E662" s="1337" t="s">
        <v>2747</v>
      </c>
      <c r="F662" s="1282"/>
      <c r="G662" s="1281"/>
    </row>
    <row r="663" spans="1:7" ht="52.9" customHeight="1">
      <c r="A663" s="1284" t="str">
        <f>IFERROR(VLOOKUP(B:B,'0.39'!B:F,5,FALSE),"")</f>
        <v/>
      </c>
      <c r="B663" s="1360" t="str">
        <f>PACKING!CA107</f>
        <v/>
      </c>
      <c r="C663" s="1283" t="str">
        <f>IFERROR((VLOOKUP(B:B,'0.39'!B:F,4,FALSE)),"")</f>
        <v/>
      </c>
      <c r="D663" s="1331" t="str">
        <f>PACKING!CB77</f>
        <v/>
      </c>
      <c r="E663" s="1337" t="s">
        <v>2747</v>
      </c>
      <c r="F663" s="1282"/>
      <c r="G663" s="1281"/>
    </row>
    <row r="664" spans="1:7" ht="79.150000000000006" customHeight="1" thickBot="1">
      <c r="A664" s="1692" t="s">
        <v>204</v>
      </c>
      <c r="B664" s="1693"/>
      <c r="C664" s="1693"/>
      <c r="D664" s="1280">
        <f>SUM(D653:D663)</f>
        <v>0</v>
      </c>
      <c r="E664" s="1336" t="s">
        <v>2747</v>
      </c>
      <c r="F664" s="1279" t="s">
        <v>2746</v>
      </c>
      <c r="G664" s="1278" t="s">
        <v>2746</v>
      </c>
    </row>
    <row r="665" spans="1:7" ht="35.25" thickBot="1">
      <c r="A665" s="1302"/>
      <c r="B665" s="1361"/>
      <c r="C665" s="1302"/>
      <c r="D665" s="1303"/>
      <c r="E665" s="1302"/>
      <c r="F665" s="1301"/>
      <c r="G665" s="1301"/>
    </row>
    <row r="666" spans="1:7" ht="75.599999999999994" customHeight="1" thickBot="1">
      <c r="A666" s="1300"/>
      <c r="B666" s="1299" t="str">
        <f>BASIC_TOOL!$B$6</f>
        <v>A Project</v>
      </c>
      <c r="C666" s="1304" t="s">
        <v>2756</v>
      </c>
      <c r="D666" s="1297" t="e">
        <f ca="1">_xlfn.IFS(PACKING!BP183="M", "1X1.5M",PACKING!BP183="L", "1X2M",PACKING!BP183="S", "1X1M")</f>
        <v>#NAME?</v>
      </c>
      <c r="E666" s="1296">
        <f>PACKING!CD94</f>
        <v>40</v>
      </c>
      <c r="F666" s="1295" t="s">
        <v>2755</v>
      </c>
      <c r="G666" s="1294">
        <f>PACKING!$C$93</f>
        <v>2</v>
      </c>
    </row>
    <row r="667" spans="1:7" ht="87.6" customHeight="1">
      <c r="A667" s="1290" t="s">
        <v>2754</v>
      </c>
      <c r="B667" s="1290" t="str">
        <f>BASIC_TOOL!$B$7</f>
        <v>DAMMAM, KSA</v>
      </c>
      <c r="C667" s="1293" t="str">
        <f>BASIC_TOOL!$C$14</f>
        <v>Non-Insulated</v>
      </c>
      <c r="D667" s="1694" t="str">
        <f>'PRINTOUT(BOM)'!A96</f>
        <v>▣ Size : 10mW x (5)mL x3mH =150 [TON]/ 1[SET]</v>
      </c>
      <c r="E667" s="1695"/>
      <c r="F667" s="1695"/>
      <c r="G667" s="1696"/>
    </row>
    <row r="668" spans="1:7" ht="63.6" customHeight="1">
      <c r="A668" s="1290" t="s">
        <v>2753</v>
      </c>
      <c r="B668" s="1292">
        <f>BASIC_TOOL!$F$7</f>
        <v>44343</v>
      </c>
      <c r="C668" s="1291" t="s">
        <v>2752</v>
      </c>
      <c r="D668" s="1691" t="str">
        <f>BASIC_TOOL!$D$6</f>
        <v>ABC</v>
      </c>
      <c r="E668" s="1691"/>
      <c r="F668" s="1691" t="s">
        <v>2751</v>
      </c>
      <c r="G668" s="1697"/>
    </row>
    <row r="669" spans="1:7" ht="60">
      <c r="A669" s="1290" t="s">
        <v>176</v>
      </c>
      <c r="B669" s="1359" t="s">
        <v>177</v>
      </c>
      <c r="C669" s="1335" t="s">
        <v>2750</v>
      </c>
      <c r="D669" s="1691" t="s">
        <v>239</v>
      </c>
      <c r="E669" s="1691"/>
      <c r="F669" s="1288" t="s">
        <v>2749</v>
      </c>
      <c r="G669" s="1287" t="s">
        <v>2748</v>
      </c>
    </row>
    <row r="670" spans="1:7" ht="52.9" customHeight="1">
      <c r="A670" s="1284" t="str">
        <f>IFERROR(VLOOKUP(B:B,'0.39'!B:F,5,FALSE),"")</f>
        <v/>
      </c>
      <c r="B670" s="1360" t="str">
        <f>PACKING!CC97</f>
        <v/>
      </c>
      <c r="C670" s="1283" t="str">
        <f>IFERROR((VLOOKUP(B:B,'0.39'!B:F,4,FALSE)),"")</f>
        <v/>
      </c>
      <c r="D670" s="1331" t="str">
        <f>PACKING!CD67</f>
        <v/>
      </c>
      <c r="E670" s="1286" t="s">
        <v>2747</v>
      </c>
      <c r="F670" s="1285"/>
      <c r="G670" s="1281"/>
    </row>
    <row r="671" spans="1:7" ht="52.9" customHeight="1">
      <c r="A671" s="1284" t="str">
        <f>IFERROR(VLOOKUP(B:B,'0.39'!B:F,5,FALSE),"")</f>
        <v/>
      </c>
      <c r="B671" s="1360" t="str">
        <f>PACKING!CC98</f>
        <v/>
      </c>
      <c r="C671" s="1283" t="str">
        <f>IFERROR((VLOOKUP(B:B,'0.39'!B:F,4,FALSE)),"")</f>
        <v/>
      </c>
      <c r="D671" s="1331" t="str">
        <f>PACKING!CD68</f>
        <v/>
      </c>
      <c r="E671" s="1337" t="s">
        <v>2747</v>
      </c>
      <c r="F671" s="1285"/>
      <c r="G671" s="1281"/>
    </row>
    <row r="672" spans="1:7" ht="52.9" customHeight="1">
      <c r="A672" s="1284" t="str">
        <f>IFERROR(VLOOKUP(B:B,'0.39'!B:F,5,FALSE),"")</f>
        <v/>
      </c>
      <c r="B672" s="1360" t="str">
        <f>PACKING!CC99</f>
        <v/>
      </c>
      <c r="C672" s="1283" t="str">
        <f>IFERROR((VLOOKUP(B:B,'0.39'!B:F,4,FALSE)),"")</f>
        <v/>
      </c>
      <c r="D672" s="1331" t="str">
        <f>PACKING!CD69</f>
        <v/>
      </c>
      <c r="E672" s="1286" t="s">
        <v>2747</v>
      </c>
      <c r="F672" s="1285"/>
      <c r="G672" s="1281"/>
    </row>
    <row r="673" spans="1:7" ht="52.9" customHeight="1">
      <c r="A673" s="1284" t="str">
        <f>IFERROR(VLOOKUP(B:B,'0.39'!B:F,5,FALSE),"")</f>
        <v/>
      </c>
      <c r="B673" s="1360" t="str">
        <f>PACKING!CC100</f>
        <v/>
      </c>
      <c r="C673" s="1283" t="str">
        <f>IFERROR((VLOOKUP(B:B,'0.39'!B:F,4,FALSE)),"")</f>
        <v/>
      </c>
      <c r="D673" s="1331" t="str">
        <f>PACKING!CD70</f>
        <v/>
      </c>
      <c r="E673" s="1286" t="s">
        <v>2747</v>
      </c>
      <c r="F673" s="1282"/>
      <c r="G673" s="1281"/>
    </row>
    <row r="674" spans="1:7" ht="52.9" customHeight="1">
      <c r="A674" s="1284" t="str">
        <f>IFERROR(VLOOKUP(B:B,'0.39'!B:F,5,FALSE),"")</f>
        <v/>
      </c>
      <c r="B674" s="1360" t="str">
        <f>PACKING!CC101</f>
        <v/>
      </c>
      <c r="C674" s="1283" t="str">
        <f>IFERROR((VLOOKUP(B:B,'0.39'!B:F,4,FALSE)),"")</f>
        <v/>
      </c>
      <c r="D674" s="1331" t="str">
        <f>PACKING!CD71</f>
        <v/>
      </c>
      <c r="E674" s="1286" t="s">
        <v>2747</v>
      </c>
      <c r="F674" s="1282"/>
      <c r="G674" s="1281"/>
    </row>
    <row r="675" spans="1:7" ht="52.9" customHeight="1">
      <c r="A675" s="1284" t="str">
        <f>IFERROR(VLOOKUP(B:B,'0.39'!B:F,5,FALSE),"")</f>
        <v/>
      </c>
      <c r="B675" s="1360" t="str">
        <f>PACKING!CC102</f>
        <v/>
      </c>
      <c r="C675" s="1283" t="str">
        <f>IFERROR((VLOOKUP(B:B,'0.39'!B:F,4,FALSE)),"")</f>
        <v/>
      </c>
      <c r="D675" s="1331" t="str">
        <f>PACKING!CD72</f>
        <v/>
      </c>
      <c r="E675" s="1337" t="s">
        <v>2747</v>
      </c>
      <c r="F675" s="1282"/>
      <c r="G675" s="1281"/>
    </row>
    <row r="676" spans="1:7" ht="52.9" customHeight="1">
      <c r="A676" s="1284" t="str">
        <f>IFERROR(VLOOKUP(B:B,'0.39'!B:F,5,FALSE),"")</f>
        <v/>
      </c>
      <c r="B676" s="1360" t="str">
        <f>PACKING!CC103</f>
        <v/>
      </c>
      <c r="C676" s="1283" t="str">
        <f>IFERROR((VLOOKUP(B:B,'0.39'!B:F,4,FALSE)),"")</f>
        <v/>
      </c>
      <c r="D676" s="1331" t="str">
        <f>PACKING!CD73</f>
        <v/>
      </c>
      <c r="E676" s="1337" t="s">
        <v>2747</v>
      </c>
      <c r="F676" s="1282"/>
      <c r="G676" s="1281"/>
    </row>
    <row r="677" spans="1:7" ht="52.9" customHeight="1">
      <c r="A677" s="1284" t="str">
        <f>IFERROR(VLOOKUP(B:B,'0.39'!B:F,5,FALSE),"")</f>
        <v/>
      </c>
      <c r="B677" s="1360" t="str">
        <f>PACKING!CC104</f>
        <v/>
      </c>
      <c r="C677" s="1283" t="str">
        <f>IFERROR((VLOOKUP(B:B,'0.39'!B:F,4,FALSE)),"")</f>
        <v/>
      </c>
      <c r="D677" s="1331" t="str">
        <f>PACKING!CD74</f>
        <v/>
      </c>
      <c r="E677" s="1337" t="s">
        <v>2747</v>
      </c>
      <c r="F677" s="1282"/>
      <c r="G677" s="1281"/>
    </row>
    <row r="678" spans="1:7" ht="52.9" customHeight="1">
      <c r="A678" s="1284" t="str">
        <f>IFERROR(VLOOKUP(B:B,'0.39'!B:F,5,FALSE),"")</f>
        <v/>
      </c>
      <c r="B678" s="1360" t="str">
        <f>PACKING!CC105</f>
        <v/>
      </c>
      <c r="C678" s="1283" t="str">
        <f>IFERROR((VLOOKUP(B:B,'0.39'!B:F,4,FALSE)),"")</f>
        <v/>
      </c>
      <c r="D678" s="1331" t="str">
        <f>PACKING!CD75</f>
        <v/>
      </c>
      <c r="E678" s="1337" t="s">
        <v>2747</v>
      </c>
      <c r="F678" s="1285"/>
      <c r="G678" s="1281"/>
    </row>
    <row r="679" spans="1:7" ht="52.9" customHeight="1">
      <c r="A679" s="1284" t="str">
        <f>IFERROR(VLOOKUP(B:B,'0.39'!B:F,5,FALSE),"")</f>
        <v/>
      </c>
      <c r="B679" s="1360" t="str">
        <f>PACKING!CC106</f>
        <v/>
      </c>
      <c r="C679" s="1283" t="str">
        <f>IFERROR((VLOOKUP(B:B,'0.39'!B:F,4,FALSE)),"")</f>
        <v/>
      </c>
      <c r="D679" s="1331" t="str">
        <f>PACKING!CD76</f>
        <v/>
      </c>
      <c r="E679" s="1337" t="s">
        <v>2747</v>
      </c>
      <c r="F679" s="1282"/>
      <c r="G679" s="1281"/>
    </row>
    <row r="680" spans="1:7" ht="52.9" customHeight="1">
      <c r="A680" s="1284" t="str">
        <f>IFERROR(VLOOKUP(B:B,'0.39'!B:F,5,FALSE),"")</f>
        <v/>
      </c>
      <c r="B680" s="1360" t="str">
        <f>PACKING!CC107</f>
        <v/>
      </c>
      <c r="C680" s="1283" t="str">
        <f>IFERROR((VLOOKUP(B:B,'0.39'!B:F,4,FALSE)),"")</f>
        <v/>
      </c>
      <c r="D680" s="1331" t="str">
        <f>PACKING!CD77</f>
        <v/>
      </c>
      <c r="E680" s="1337" t="s">
        <v>2747</v>
      </c>
      <c r="F680" s="1282"/>
      <c r="G680" s="1281"/>
    </row>
    <row r="681" spans="1:7" ht="79.150000000000006" customHeight="1" thickBot="1">
      <c r="A681" s="1692" t="s">
        <v>204</v>
      </c>
      <c r="B681" s="1693"/>
      <c r="C681" s="1693"/>
      <c r="D681" s="1280">
        <f>SUM(D670:D680)</f>
        <v>0</v>
      </c>
      <c r="E681" s="1336" t="s">
        <v>2747</v>
      </c>
      <c r="F681" s="1279" t="s">
        <v>2746</v>
      </c>
      <c r="G681" s="1278" t="s">
        <v>2746</v>
      </c>
    </row>
    <row r="682" spans="1:7" ht="35.25" thickBot="1">
      <c r="A682" s="1302"/>
      <c r="B682" s="1361"/>
      <c r="C682" s="1302"/>
      <c r="D682" s="1303"/>
      <c r="E682" s="1302"/>
      <c r="F682" s="1301"/>
      <c r="G682" s="1301"/>
    </row>
    <row r="683" spans="1:7" ht="75.599999999999994" customHeight="1" thickBot="1">
      <c r="A683" s="1300"/>
      <c r="B683" s="1299" t="str">
        <f>BASIC_TOOL!$B$6</f>
        <v>A Project</v>
      </c>
      <c r="C683" s="1304" t="s">
        <v>2756</v>
      </c>
      <c r="D683" s="1297" t="e">
        <f ca="1">_xlfn.IFS(PACKING!BP200="M", "1X1.5M",PACKING!BP200="L", "1X2M",PACKING!BP200="S", "1X1M")</f>
        <v>#NAME?</v>
      </c>
      <c r="E683" s="1296">
        <f>PACKING!CF94</f>
        <v>41</v>
      </c>
      <c r="F683" s="1295" t="s">
        <v>2755</v>
      </c>
      <c r="G683" s="1294">
        <f>PACKING!$C$93</f>
        <v>2</v>
      </c>
    </row>
    <row r="684" spans="1:7" ht="87.6" customHeight="1">
      <c r="A684" s="1290" t="s">
        <v>2754</v>
      </c>
      <c r="B684" s="1290" t="str">
        <f>BASIC_TOOL!$B$7</f>
        <v>DAMMAM, KSA</v>
      </c>
      <c r="C684" s="1293" t="str">
        <f>BASIC_TOOL!$C$14</f>
        <v>Non-Insulated</v>
      </c>
      <c r="D684" s="1694" t="str">
        <f>'PRINTOUT(BOM)'!A96</f>
        <v>▣ Size : 10mW x (5)mL x3mH =150 [TON]/ 1[SET]</v>
      </c>
      <c r="E684" s="1695"/>
      <c r="F684" s="1695"/>
      <c r="G684" s="1696"/>
    </row>
    <row r="685" spans="1:7" ht="63.6" customHeight="1">
      <c r="A685" s="1290" t="s">
        <v>2753</v>
      </c>
      <c r="B685" s="1292">
        <f>BASIC_TOOL!$F$7</f>
        <v>44343</v>
      </c>
      <c r="C685" s="1291" t="s">
        <v>2752</v>
      </c>
      <c r="D685" s="1691" t="str">
        <f>BASIC_TOOL!$D$6</f>
        <v>ABC</v>
      </c>
      <c r="E685" s="1691"/>
      <c r="F685" s="1691" t="s">
        <v>2751</v>
      </c>
      <c r="G685" s="1697"/>
    </row>
    <row r="686" spans="1:7" ht="60">
      <c r="A686" s="1290" t="s">
        <v>176</v>
      </c>
      <c r="B686" s="1359" t="s">
        <v>177</v>
      </c>
      <c r="C686" s="1335" t="s">
        <v>2750</v>
      </c>
      <c r="D686" s="1691" t="s">
        <v>239</v>
      </c>
      <c r="E686" s="1691"/>
      <c r="F686" s="1288" t="s">
        <v>2749</v>
      </c>
      <c r="G686" s="1287" t="s">
        <v>2748</v>
      </c>
    </row>
    <row r="687" spans="1:7" ht="52.9" customHeight="1">
      <c r="A687" s="1284" t="str">
        <f>IFERROR(VLOOKUP(B:B,'0.39'!B:F,5,FALSE),"")</f>
        <v/>
      </c>
      <c r="B687" s="1360" t="str">
        <f>PACKING!CE97</f>
        <v/>
      </c>
      <c r="C687" s="1283" t="str">
        <f>IFERROR((VLOOKUP(B:B,'0.39'!B:F,4,FALSE)),"")</f>
        <v/>
      </c>
      <c r="D687" s="1331" t="str">
        <f>PACKING!CF67</f>
        <v/>
      </c>
      <c r="E687" s="1286" t="s">
        <v>2747</v>
      </c>
      <c r="F687" s="1285"/>
      <c r="G687" s="1281"/>
    </row>
    <row r="688" spans="1:7" ht="52.9" customHeight="1">
      <c r="A688" s="1284" t="str">
        <f>IFERROR(VLOOKUP(B:B,'0.39'!B:F,5,FALSE),"")</f>
        <v/>
      </c>
      <c r="B688" s="1360" t="str">
        <f>PACKING!CE98</f>
        <v/>
      </c>
      <c r="C688" s="1283" t="str">
        <f>IFERROR((VLOOKUP(B:B,'0.39'!B:F,4,FALSE)),"")</f>
        <v/>
      </c>
      <c r="D688" s="1331" t="str">
        <f>PACKING!CF68</f>
        <v/>
      </c>
      <c r="E688" s="1337" t="s">
        <v>2747</v>
      </c>
      <c r="F688" s="1285"/>
      <c r="G688" s="1281"/>
    </row>
    <row r="689" spans="1:7" ht="52.9" customHeight="1">
      <c r="A689" s="1284" t="str">
        <f>IFERROR(VLOOKUP(B:B,'0.39'!B:F,5,FALSE),"")</f>
        <v/>
      </c>
      <c r="B689" s="1360" t="str">
        <f>PACKING!CE99</f>
        <v/>
      </c>
      <c r="C689" s="1283" t="str">
        <f>IFERROR((VLOOKUP(B:B,'0.39'!B:F,4,FALSE)),"")</f>
        <v/>
      </c>
      <c r="D689" s="1331" t="str">
        <f>PACKING!CF69</f>
        <v/>
      </c>
      <c r="E689" s="1286" t="s">
        <v>2747</v>
      </c>
      <c r="F689" s="1285"/>
      <c r="G689" s="1281"/>
    </row>
    <row r="690" spans="1:7" ht="52.9" customHeight="1">
      <c r="A690" s="1284" t="str">
        <f>IFERROR(VLOOKUP(B:B,'0.39'!B:F,5,FALSE),"")</f>
        <v/>
      </c>
      <c r="B690" s="1360" t="str">
        <f>PACKING!CE100</f>
        <v/>
      </c>
      <c r="C690" s="1283" t="str">
        <f>IFERROR((VLOOKUP(B:B,'0.39'!B:F,4,FALSE)),"")</f>
        <v/>
      </c>
      <c r="D690" s="1331" t="str">
        <f>PACKING!CF70</f>
        <v/>
      </c>
      <c r="E690" s="1286" t="s">
        <v>2747</v>
      </c>
      <c r="F690" s="1282"/>
      <c r="G690" s="1281"/>
    </row>
    <row r="691" spans="1:7" ht="52.9" customHeight="1">
      <c r="A691" s="1284" t="str">
        <f>IFERROR(VLOOKUP(B:B,'0.39'!B:F,5,FALSE),"")</f>
        <v/>
      </c>
      <c r="B691" s="1360" t="str">
        <f>PACKING!CE101</f>
        <v/>
      </c>
      <c r="C691" s="1283" t="str">
        <f>IFERROR((VLOOKUP(B:B,'0.39'!B:F,4,FALSE)),"")</f>
        <v/>
      </c>
      <c r="D691" s="1331" t="str">
        <f>PACKING!CF71</f>
        <v/>
      </c>
      <c r="E691" s="1286" t="s">
        <v>2747</v>
      </c>
      <c r="F691" s="1282"/>
      <c r="G691" s="1281"/>
    </row>
    <row r="692" spans="1:7" ht="52.9" customHeight="1">
      <c r="A692" s="1284" t="str">
        <f>IFERROR(VLOOKUP(B:B,'0.39'!B:F,5,FALSE),"")</f>
        <v/>
      </c>
      <c r="B692" s="1360" t="str">
        <f>PACKING!CE102</f>
        <v/>
      </c>
      <c r="C692" s="1283" t="str">
        <f>IFERROR((VLOOKUP(B:B,'0.39'!B:F,4,FALSE)),"")</f>
        <v/>
      </c>
      <c r="D692" s="1331" t="str">
        <f>PACKING!CF72</f>
        <v/>
      </c>
      <c r="E692" s="1337" t="s">
        <v>2747</v>
      </c>
      <c r="F692" s="1282"/>
      <c r="G692" s="1281"/>
    </row>
    <row r="693" spans="1:7" ht="52.9" customHeight="1">
      <c r="A693" s="1284" t="str">
        <f>IFERROR(VLOOKUP(B:B,'0.39'!B:F,5,FALSE),"")</f>
        <v/>
      </c>
      <c r="B693" s="1360" t="str">
        <f>PACKING!CE103</f>
        <v/>
      </c>
      <c r="C693" s="1283" t="str">
        <f>IFERROR((VLOOKUP(B:B,'0.39'!B:F,4,FALSE)),"")</f>
        <v/>
      </c>
      <c r="D693" s="1331" t="str">
        <f>PACKING!CF73</f>
        <v/>
      </c>
      <c r="E693" s="1337" t="s">
        <v>2747</v>
      </c>
      <c r="F693" s="1282"/>
      <c r="G693" s="1281"/>
    </row>
    <row r="694" spans="1:7" ht="52.9" customHeight="1">
      <c r="A694" s="1284" t="str">
        <f>IFERROR(VLOOKUP(B:B,'0.39'!B:F,5,FALSE),"")</f>
        <v/>
      </c>
      <c r="B694" s="1360" t="str">
        <f>PACKING!CE104</f>
        <v/>
      </c>
      <c r="C694" s="1283" t="str">
        <f>IFERROR((VLOOKUP(B:B,'0.39'!B:F,4,FALSE)),"")</f>
        <v/>
      </c>
      <c r="D694" s="1331" t="str">
        <f>PACKING!CF74</f>
        <v/>
      </c>
      <c r="E694" s="1337" t="s">
        <v>2747</v>
      </c>
      <c r="F694" s="1282"/>
      <c r="G694" s="1281"/>
    </row>
    <row r="695" spans="1:7" ht="52.9" customHeight="1">
      <c r="A695" s="1284" t="str">
        <f>IFERROR(VLOOKUP(B:B,'0.39'!B:F,5,FALSE),"")</f>
        <v/>
      </c>
      <c r="B695" s="1360" t="str">
        <f>PACKING!CE105</f>
        <v/>
      </c>
      <c r="C695" s="1283" t="str">
        <f>IFERROR((VLOOKUP(B:B,'0.39'!B:F,4,FALSE)),"")</f>
        <v/>
      </c>
      <c r="D695" s="1331" t="str">
        <f>PACKING!CF75</f>
        <v/>
      </c>
      <c r="E695" s="1337" t="s">
        <v>2747</v>
      </c>
      <c r="F695" s="1285"/>
      <c r="G695" s="1281"/>
    </row>
    <row r="696" spans="1:7" ht="52.9" customHeight="1">
      <c r="A696" s="1284" t="str">
        <f>IFERROR(VLOOKUP(B:B,'0.39'!B:F,5,FALSE),"")</f>
        <v/>
      </c>
      <c r="B696" s="1360" t="str">
        <f>PACKING!CE106</f>
        <v/>
      </c>
      <c r="C696" s="1283" t="str">
        <f>IFERROR((VLOOKUP(B:B,'0.39'!B:F,4,FALSE)),"")</f>
        <v/>
      </c>
      <c r="D696" s="1331" t="str">
        <f>PACKING!CF76</f>
        <v/>
      </c>
      <c r="E696" s="1337" t="s">
        <v>2747</v>
      </c>
      <c r="F696" s="1282"/>
      <c r="G696" s="1281"/>
    </row>
    <row r="697" spans="1:7" ht="52.9" customHeight="1">
      <c r="A697" s="1284" t="str">
        <f>IFERROR(VLOOKUP(B:B,'0.39'!B:F,5,FALSE),"")</f>
        <v/>
      </c>
      <c r="B697" s="1360" t="str">
        <f>PACKING!CE107</f>
        <v/>
      </c>
      <c r="C697" s="1283" t="str">
        <f>IFERROR((VLOOKUP(B:B,'0.39'!B:F,4,FALSE)),"")</f>
        <v/>
      </c>
      <c r="D697" s="1331" t="str">
        <f>PACKING!CF77</f>
        <v/>
      </c>
      <c r="E697" s="1337" t="s">
        <v>2747</v>
      </c>
      <c r="F697" s="1282"/>
      <c r="G697" s="1281"/>
    </row>
    <row r="698" spans="1:7" ht="79.150000000000006" customHeight="1" thickBot="1">
      <c r="A698" s="1692" t="s">
        <v>204</v>
      </c>
      <c r="B698" s="1693"/>
      <c r="C698" s="1693"/>
      <c r="D698" s="1280">
        <f>SUM(D687:D697)</f>
        <v>0</v>
      </c>
      <c r="E698" s="1336" t="s">
        <v>2747</v>
      </c>
      <c r="F698" s="1279" t="s">
        <v>2746</v>
      </c>
      <c r="G698" s="1278" t="s">
        <v>2746</v>
      </c>
    </row>
    <row r="699" spans="1:7" ht="35.25" thickBot="1">
      <c r="A699" s="1302"/>
      <c r="B699" s="1361"/>
      <c r="C699" s="1302"/>
      <c r="D699" s="1303"/>
      <c r="E699" s="1302"/>
      <c r="F699" s="1301"/>
      <c r="G699" s="1301"/>
    </row>
    <row r="700" spans="1:7" ht="75.599999999999994" customHeight="1" thickBot="1">
      <c r="A700" s="1300"/>
      <c r="B700" s="1299" t="str">
        <f>BASIC_TOOL!$B$6</f>
        <v>A Project</v>
      </c>
      <c r="C700" s="1304" t="s">
        <v>2756</v>
      </c>
      <c r="D700" s="1297" t="e">
        <f ca="1">_xlfn.IFS(PACKING!BP217="M", "1X1.5M",PACKING!BP217="L", "1X2M",PACKING!BP217="S", "1X1M")</f>
        <v>#NAME?</v>
      </c>
      <c r="E700" s="1296">
        <f>PACKING!CH94</f>
        <v>42</v>
      </c>
      <c r="F700" s="1295" t="s">
        <v>2755</v>
      </c>
      <c r="G700" s="1294">
        <f>PACKING!$C$93</f>
        <v>2</v>
      </c>
    </row>
    <row r="701" spans="1:7" ht="87.6" customHeight="1">
      <c r="A701" s="1290" t="s">
        <v>2754</v>
      </c>
      <c r="B701" s="1290" t="str">
        <f>BASIC_TOOL!$B$7</f>
        <v>DAMMAM, KSA</v>
      </c>
      <c r="C701" s="1293" t="str">
        <f>BASIC_TOOL!$C$14</f>
        <v>Non-Insulated</v>
      </c>
      <c r="D701" s="1694" t="str">
        <f>'PRINTOUT(BOM)'!A96</f>
        <v>▣ Size : 10mW x (5)mL x3mH =150 [TON]/ 1[SET]</v>
      </c>
      <c r="E701" s="1695"/>
      <c r="F701" s="1695"/>
      <c r="G701" s="1696"/>
    </row>
    <row r="702" spans="1:7" ht="63.6" customHeight="1">
      <c r="A702" s="1290" t="s">
        <v>2753</v>
      </c>
      <c r="B702" s="1292">
        <f>BASIC_TOOL!$F$7</f>
        <v>44343</v>
      </c>
      <c r="C702" s="1291" t="s">
        <v>2752</v>
      </c>
      <c r="D702" s="1691" t="str">
        <f>BASIC_TOOL!$D$6</f>
        <v>ABC</v>
      </c>
      <c r="E702" s="1691"/>
      <c r="F702" s="1691" t="s">
        <v>2751</v>
      </c>
      <c r="G702" s="1697"/>
    </row>
    <row r="703" spans="1:7" ht="60">
      <c r="A703" s="1290" t="s">
        <v>176</v>
      </c>
      <c r="B703" s="1359" t="s">
        <v>177</v>
      </c>
      <c r="C703" s="1335" t="s">
        <v>2750</v>
      </c>
      <c r="D703" s="1691" t="s">
        <v>239</v>
      </c>
      <c r="E703" s="1691"/>
      <c r="F703" s="1288" t="s">
        <v>2749</v>
      </c>
      <c r="G703" s="1287" t="s">
        <v>2748</v>
      </c>
    </row>
    <row r="704" spans="1:7" ht="52.9" customHeight="1">
      <c r="A704" s="1284" t="str">
        <f>IFERROR(VLOOKUP(B:B,'0.39'!B:F,5,FALSE),"")</f>
        <v/>
      </c>
      <c r="B704" s="1360" t="str">
        <f>PACKING!CG97</f>
        <v/>
      </c>
      <c r="C704" s="1283" t="str">
        <f>IFERROR((VLOOKUP(B:B,'0.39'!B:F,4,FALSE)),"")</f>
        <v/>
      </c>
      <c r="D704" s="1331" t="str">
        <f>PACKING!CH67</f>
        <v/>
      </c>
      <c r="E704" s="1286" t="s">
        <v>2747</v>
      </c>
      <c r="F704" s="1285"/>
      <c r="G704" s="1281"/>
    </row>
    <row r="705" spans="1:7" ht="52.9" customHeight="1">
      <c r="A705" s="1284" t="str">
        <f>IFERROR(VLOOKUP(B:B,'0.39'!B:F,5,FALSE),"")</f>
        <v/>
      </c>
      <c r="B705" s="1360" t="str">
        <f>PACKING!CG98</f>
        <v/>
      </c>
      <c r="C705" s="1283" t="str">
        <f>IFERROR((VLOOKUP(B:B,'0.39'!B:F,4,FALSE)),"")</f>
        <v/>
      </c>
      <c r="D705" s="1331" t="str">
        <f>PACKING!CH68</f>
        <v/>
      </c>
      <c r="E705" s="1337" t="s">
        <v>2747</v>
      </c>
      <c r="F705" s="1285"/>
      <c r="G705" s="1281"/>
    </row>
    <row r="706" spans="1:7" ht="52.9" customHeight="1">
      <c r="A706" s="1284" t="str">
        <f>IFERROR(VLOOKUP(B:B,'0.39'!B:F,5,FALSE),"")</f>
        <v/>
      </c>
      <c r="B706" s="1360" t="str">
        <f>PACKING!CG99</f>
        <v/>
      </c>
      <c r="C706" s="1283" t="str">
        <f>IFERROR((VLOOKUP(B:B,'0.39'!B:F,4,FALSE)),"")</f>
        <v/>
      </c>
      <c r="D706" s="1331" t="str">
        <f>PACKING!CH69</f>
        <v/>
      </c>
      <c r="E706" s="1286" t="s">
        <v>2747</v>
      </c>
      <c r="F706" s="1285"/>
      <c r="G706" s="1281"/>
    </row>
    <row r="707" spans="1:7" ht="52.9" customHeight="1">
      <c r="A707" s="1284" t="str">
        <f>IFERROR(VLOOKUP(B:B,'0.39'!B:F,5,FALSE),"")</f>
        <v/>
      </c>
      <c r="B707" s="1360" t="str">
        <f>PACKING!CG100</f>
        <v/>
      </c>
      <c r="C707" s="1283" t="str">
        <f>IFERROR((VLOOKUP(B:B,'0.39'!B:F,4,FALSE)),"")</f>
        <v/>
      </c>
      <c r="D707" s="1331" t="str">
        <f>PACKING!CH70</f>
        <v/>
      </c>
      <c r="E707" s="1286" t="s">
        <v>2747</v>
      </c>
      <c r="F707" s="1282"/>
      <c r="G707" s="1281"/>
    </row>
    <row r="708" spans="1:7" ht="52.9" customHeight="1">
      <c r="A708" s="1284" t="str">
        <f>IFERROR(VLOOKUP(B:B,'0.39'!B:F,5,FALSE),"")</f>
        <v/>
      </c>
      <c r="B708" s="1360" t="str">
        <f>PACKING!CG101</f>
        <v/>
      </c>
      <c r="C708" s="1283" t="str">
        <f>IFERROR((VLOOKUP(B:B,'0.39'!B:F,4,FALSE)),"")</f>
        <v/>
      </c>
      <c r="D708" s="1331" t="str">
        <f>PACKING!CH71</f>
        <v/>
      </c>
      <c r="E708" s="1286" t="s">
        <v>2747</v>
      </c>
      <c r="F708" s="1282"/>
      <c r="G708" s="1281"/>
    </row>
    <row r="709" spans="1:7" ht="52.9" customHeight="1">
      <c r="A709" s="1284" t="str">
        <f>IFERROR(VLOOKUP(B:B,'0.39'!B:F,5,FALSE),"")</f>
        <v/>
      </c>
      <c r="B709" s="1360" t="str">
        <f>PACKING!CG102</f>
        <v/>
      </c>
      <c r="C709" s="1283" t="str">
        <f>IFERROR((VLOOKUP(B:B,'0.39'!B:F,4,FALSE)),"")</f>
        <v/>
      </c>
      <c r="D709" s="1331" t="str">
        <f>PACKING!CH72</f>
        <v/>
      </c>
      <c r="E709" s="1337" t="s">
        <v>2747</v>
      </c>
      <c r="F709" s="1282"/>
      <c r="G709" s="1281"/>
    </row>
    <row r="710" spans="1:7" ht="52.9" customHeight="1">
      <c r="A710" s="1284" t="str">
        <f>IFERROR(VLOOKUP(B:B,'0.39'!B:F,5,FALSE),"")</f>
        <v/>
      </c>
      <c r="B710" s="1360" t="str">
        <f>PACKING!CG103</f>
        <v/>
      </c>
      <c r="C710" s="1283" t="str">
        <f>IFERROR((VLOOKUP(B:B,'0.39'!B:F,4,FALSE)),"")</f>
        <v/>
      </c>
      <c r="D710" s="1331" t="str">
        <f>PACKING!CH73</f>
        <v/>
      </c>
      <c r="E710" s="1337" t="s">
        <v>2747</v>
      </c>
      <c r="F710" s="1282"/>
      <c r="G710" s="1281"/>
    </row>
    <row r="711" spans="1:7" ht="52.9" customHeight="1">
      <c r="A711" s="1284" t="str">
        <f>IFERROR(VLOOKUP(B:B,'0.39'!B:F,5,FALSE),"")</f>
        <v/>
      </c>
      <c r="B711" s="1360" t="str">
        <f>PACKING!CG104</f>
        <v/>
      </c>
      <c r="C711" s="1283" t="str">
        <f>IFERROR((VLOOKUP(B:B,'0.39'!B:F,4,FALSE)),"")</f>
        <v/>
      </c>
      <c r="D711" s="1331" t="str">
        <f>PACKING!CH74</f>
        <v/>
      </c>
      <c r="E711" s="1337" t="s">
        <v>2747</v>
      </c>
      <c r="F711" s="1282"/>
      <c r="G711" s="1281"/>
    </row>
    <row r="712" spans="1:7" ht="52.9" customHeight="1">
      <c r="A712" s="1284" t="str">
        <f>IFERROR(VLOOKUP(B:B,'0.39'!B:F,5,FALSE),"")</f>
        <v/>
      </c>
      <c r="B712" s="1360" t="str">
        <f>PACKING!CG105</f>
        <v/>
      </c>
      <c r="C712" s="1283" t="str">
        <f>IFERROR((VLOOKUP(B:B,'0.39'!B:F,4,FALSE)),"")</f>
        <v/>
      </c>
      <c r="D712" s="1331" t="str">
        <f>PACKING!CH75</f>
        <v/>
      </c>
      <c r="E712" s="1337" t="s">
        <v>2747</v>
      </c>
      <c r="F712" s="1285"/>
      <c r="G712" s="1281"/>
    </row>
    <row r="713" spans="1:7" ht="52.9" customHeight="1">
      <c r="A713" s="1284" t="str">
        <f>IFERROR(VLOOKUP(B:B,'0.39'!B:F,5,FALSE),"")</f>
        <v/>
      </c>
      <c r="B713" s="1360" t="str">
        <f>PACKING!CG106</f>
        <v/>
      </c>
      <c r="C713" s="1283" t="str">
        <f>IFERROR((VLOOKUP(B:B,'0.39'!B:F,4,FALSE)),"")</f>
        <v/>
      </c>
      <c r="D713" s="1331" t="str">
        <f>PACKING!CH76</f>
        <v/>
      </c>
      <c r="E713" s="1337" t="s">
        <v>2747</v>
      </c>
      <c r="F713" s="1282"/>
      <c r="G713" s="1281"/>
    </row>
    <row r="714" spans="1:7" ht="52.9" customHeight="1">
      <c r="A714" s="1284" t="str">
        <f>IFERROR(VLOOKUP(B:B,'0.39'!B:F,5,FALSE),"")</f>
        <v/>
      </c>
      <c r="B714" s="1360" t="str">
        <f>PACKING!CG107</f>
        <v/>
      </c>
      <c r="C714" s="1283" t="str">
        <f>IFERROR((VLOOKUP(B:B,'0.39'!B:F,4,FALSE)),"")</f>
        <v/>
      </c>
      <c r="D714" s="1331" t="str">
        <f>PACKING!CH77</f>
        <v/>
      </c>
      <c r="E714" s="1337" t="s">
        <v>2747</v>
      </c>
      <c r="F714" s="1282"/>
      <c r="G714" s="1281"/>
    </row>
    <row r="715" spans="1:7" ht="79.150000000000006" customHeight="1" thickBot="1">
      <c r="A715" s="1692" t="s">
        <v>204</v>
      </c>
      <c r="B715" s="1693"/>
      <c r="C715" s="1693"/>
      <c r="D715" s="1280">
        <f>SUM(D704:D714)</f>
        <v>0</v>
      </c>
      <c r="E715" s="1336" t="s">
        <v>2747</v>
      </c>
      <c r="F715" s="1279" t="s">
        <v>2746</v>
      </c>
      <c r="G715" s="1278" t="s">
        <v>2746</v>
      </c>
    </row>
    <row r="716" spans="1:7" ht="35.25" thickBot="1">
      <c r="A716" s="1302"/>
      <c r="B716" s="1361"/>
      <c r="C716" s="1302"/>
      <c r="D716" s="1303"/>
      <c r="E716" s="1302"/>
      <c r="F716" s="1301"/>
      <c r="G716" s="1301"/>
    </row>
    <row r="717" spans="1:7" ht="75.599999999999994" customHeight="1" thickBot="1">
      <c r="A717" s="1300"/>
      <c r="B717" s="1299" t="str">
        <f>BASIC_TOOL!$B$6</f>
        <v>A Project</v>
      </c>
      <c r="C717" s="1304" t="s">
        <v>2756</v>
      </c>
      <c r="D717" s="1297" t="e">
        <f ca="1">_xlfn.IFS(PACKING!BP234="M", "1X1.5M",PACKING!BP234="L", "1X2M",PACKING!BP234="S", "1X1M")</f>
        <v>#NAME?</v>
      </c>
      <c r="E717" s="1296">
        <f>PACKING!CJ94</f>
        <v>43</v>
      </c>
      <c r="F717" s="1295" t="s">
        <v>2755</v>
      </c>
      <c r="G717" s="1294">
        <f>PACKING!$C$93</f>
        <v>2</v>
      </c>
    </row>
    <row r="718" spans="1:7" ht="87.6" customHeight="1">
      <c r="A718" s="1290" t="s">
        <v>2754</v>
      </c>
      <c r="B718" s="1290" t="str">
        <f>BASIC_TOOL!$B$7</f>
        <v>DAMMAM, KSA</v>
      </c>
      <c r="C718" s="1293" t="str">
        <f>BASIC_TOOL!$C$14</f>
        <v>Non-Insulated</v>
      </c>
      <c r="D718" s="1694" t="str">
        <f>'PRINTOUT(BOM)'!$A$96</f>
        <v>▣ Size : 10mW x (5)mL x3mH =150 [TON]/ 1[SET]</v>
      </c>
      <c r="E718" s="1695"/>
      <c r="F718" s="1695"/>
      <c r="G718" s="1696"/>
    </row>
    <row r="719" spans="1:7" ht="63.6" customHeight="1">
      <c r="A719" s="1290" t="s">
        <v>2753</v>
      </c>
      <c r="B719" s="1292">
        <f>BASIC_TOOL!$F$7</f>
        <v>44343</v>
      </c>
      <c r="C719" s="1291" t="s">
        <v>2752</v>
      </c>
      <c r="D719" s="1691" t="str">
        <f>BASIC_TOOL!$D$6</f>
        <v>ABC</v>
      </c>
      <c r="E719" s="1691"/>
      <c r="F719" s="1691" t="s">
        <v>2751</v>
      </c>
      <c r="G719" s="1697"/>
    </row>
    <row r="720" spans="1:7" ht="60">
      <c r="A720" s="1290" t="s">
        <v>176</v>
      </c>
      <c r="B720" s="1359" t="s">
        <v>177</v>
      </c>
      <c r="C720" s="1335" t="s">
        <v>2750</v>
      </c>
      <c r="D720" s="1691" t="s">
        <v>239</v>
      </c>
      <c r="E720" s="1691"/>
      <c r="F720" s="1288" t="s">
        <v>2749</v>
      </c>
      <c r="G720" s="1287" t="s">
        <v>2748</v>
      </c>
    </row>
    <row r="721" spans="1:7" ht="52.9" customHeight="1">
      <c r="A721" s="1284" t="str">
        <f>IFERROR(VLOOKUP(B:B,'0.39'!B:F,5,FALSE),"")</f>
        <v/>
      </c>
      <c r="B721" s="1360" t="str">
        <f>PACKING!CI97</f>
        <v/>
      </c>
      <c r="C721" s="1283" t="str">
        <f>IFERROR((VLOOKUP(B:B,'0.39'!B:F,4,FALSE)),"")</f>
        <v/>
      </c>
      <c r="D721" s="1331" t="str">
        <f>PACKING!CJ67</f>
        <v/>
      </c>
      <c r="E721" s="1286" t="s">
        <v>2747</v>
      </c>
      <c r="F721" s="1285"/>
      <c r="G721" s="1281"/>
    </row>
    <row r="722" spans="1:7" ht="52.9" customHeight="1">
      <c r="A722" s="1284" t="str">
        <f>IFERROR(VLOOKUP(B:B,'0.39'!B:F,5,FALSE),"")</f>
        <v/>
      </c>
      <c r="B722" s="1360" t="str">
        <f>PACKING!CI98</f>
        <v/>
      </c>
      <c r="C722" s="1283" t="str">
        <f>IFERROR((VLOOKUP(B:B,'0.39'!B:F,4,FALSE)),"")</f>
        <v/>
      </c>
      <c r="D722" s="1331" t="str">
        <f>PACKING!CJ68</f>
        <v/>
      </c>
      <c r="E722" s="1337" t="s">
        <v>2747</v>
      </c>
      <c r="F722" s="1285"/>
      <c r="G722" s="1281"/>
    </row>
    <row r="723" spans="1:7" ht="52.9" customHeight="1">
      <c r="A723" s="1284" t="str">
        <f>IFERROR(VLOOKUP(B:B,'0.39'!B:F,5,FALSE),"")</f>
        <v/>
      </c>
      <c r="B723" s="1360" t="str">
        <f>PACKING!CI99</f>
        <v/>
      </c>
      <c r="C723" s="1283" t="str">
        <f>IFERROR((VLOOKUP(B:B,'0.39'!B:F,4,FALSE)),"")</f>
        <v/>
      </c>
      <c r="D723" s="1331" t="str">
        <f>PACKING!CJ69</f>
        <v/>
      </c>
      <c r="E723" s="1286" t="s">
        <v>2747</v>
      </c>
      <c r="F723" s="1285"/>
      <c r="G723" s="1281"/>
    </row>
    <row r="724" spans="1:7" ht="52.9" customHeight="1">
      <c r="A724" s="1284" t="str">
        <f>IFERROR(VLOOKUP(B:B,'0.39'!B:F,5,FALSE),"")</f>
        <v/>
      </c>
      <c r="B724" s="1360" t="str">
        <f>PACKING!CI100</f>
        <v/>
      </c>
      <c r="C724" s="1283" t="str">
        <f>IFERROR((VLOOKUP(B:B,'0.39'!B:F,4,FALSE)),"")</f>
        <v/>
      </c>
      <c r="D724" s="1331" t="str">
        <f>PACKING!CJ70</f>
        <v/>
      </c>
      <c r="E724" s="1286" t="s">
        <v>2747</v>
      </c>
      <c r="F724" s="1282"/>
      <c r="G724" s="1281"/>
    </row>
    <row r="725" spans="1:7" ht="52.9" customHeight="1">
      <c r="A725" s="1284" t="str">
        <f>IFERROR(VLOOKUP(B:B,'0.39'!B:F,5,FALSE),"")</f>
        <v/>
      </c>
      <c r="B725" s="1360" t="str">
        <f>PACKING!CI101</f>
        <v/>
      </c>
      <c r="C725" s="1283" t="str">
        <f>IFERROR((VLOOKUP(B:B,'0.39'!B:F,4,FALSE)),"")</f>
        <v/>
      </c>
      <c r="D725" s="1331" t="str">
        <f>PACKING!CJ71</f>
        <v/>
      </c>
      <c r="E725" s="1286" t="s">
        <v>2747</v>
      </c>
      <c r="F725" s="1282"/>
      <c r="G725" s="1281"/>
    </row>
    <row r="726" spans="1:7" ht="52.9" customHeight="1">
      <c r="A726" s="1284" t="str">
        <f>IFERROR(VLOOKUP(B:B,'0.39'!B:F,5,FALSE),"")</f>
        <v/>
      </c>
      <c r="B726" s="1360" t="str">
        <f>PACKING!CI102</f>
        <v/>
      </c>
      <c r="C726" s="1283" t="str">
        <f>IFERROR((VLOOKUP(B:B,'0.39'!B:F,4,FALSE)),"")</f>
        <v/>
      </c>
      <c r="D726" s="1331" t="str">
        <f>PACKING!CJ72</f>
        <v/>
      </c>
      <c r="E726" s="1337" t="s">
        <v>2747</v>
      </c>
      <c r="F726" s="1282"/>
      <c r="G726" s="1281"/>
    </row>
    <row r="727" spans="1:7" ht="52.9" customHeight="1">
      <c r="A727" s="1284" t="str">
        <f>IFERROR(VLOOKUP(B:B,'0.39'!B:F,5,FALSE),"")</f>
        <v/>
      </c>
      <c r="B727" s="1360" t="str">
        <f>PACKING!CI103</f>
        <v/>
      </c>
      <c r="C727" s="1283" t="str">
        <f>IFERROR((VLOOKUP(B:B,'0.39'!B:F,4,FALSE)),"")</f>
        <v/>
      </c>
      <c r="D727" s="1331" t="str">
        <f>PACKING!CJ73</f>
        <v/>
      </c>
      <c r="E727" s="1337" t="s">
        <v>2747</v>
      </c>
      <c r="F727" s="1282"/>
      <c r="G727" s="1281"/>
    </row>
    <row r="728" spans="1:7" ht="52.9" customHeight="1">
      <c r="A728" s="1284" t="str">
        <f>IFERROR(VLOOKUP(B:B,'0.39'!B:F,5,FALSE),"")</f>
        <v/>
      </c>
      <c r="B728" s="1360" t="str">
        <f>PACKING!CI104</f>
        <v/>
      </c>
      <c r="C728" s="1283" t="str">
        <f>IFERROR((VLOOKUP(B:B,'0.39'!B:F,4,FALSE)),"")</f>
        <v/>
      </c>
      <c r="D728" s="1331" t="str">
        <f>PACKING!CJ74</f>
        <v/>
      </c>
      <c r="E728" s="1337" t="s">
        <v>2747</v>
      </c>
      <c r="F728" s="1282"/>
      <c r="G728" s="1281"/>
    </row>
    <row r="729" spans="1:7" ht="52.9" customHeight="1">
      <c r="A729" s="1284" t="str">
        <f>IFERROR(VLOOKUP(B:B,'0.39'!B:F,5,FALSE),"")</f>
        <v/>
      </c>
      <c r="B729" s="1360" t="str">
        <f>PACKING!CI105</f>
        <v/>
      </c>
      <c r="C729" s="1283" t="str">
        <f>IFERROR((VLOOKUP(B:B,'0.39'!B:F,4,FALSE)),"")</f>
        <v/>
      </c>
      <c r="D729" s="1331" t="str">
        <f>PACKING!CJ75</f>
        <v/>
      </c>
      <c r="E729" s="1337" t="s">
        <v>2747</v>
      </c>
      <c r="F729" s="1285"/>
      <c r="G729" s="1281"/>
    </row>
    <row r="730" spans="1:7" ht="52.9" customHeight="1">
      <c r="A730" s="1284" t="str">
        <f>IFERROR(VLOOKUP(B:B,'0.39'!B:F,5,FALSE),"")</f>
        <v/>
      </c>
      <c r="B730" s="1360" t="str">
        <f>PACKING!CI106</f>
        <v/>
      </c>
      <c r="C730" s="1283" t="str">
        <f>IFERROR((VLOOKUP(B:B,'0.39'!B:F,4,FALSE)),"")</f>
        <v/>
      </c>
      <c r="D730" s="1331" t="str">
        <f>PACKING!CJ76</f>
        <v/>
      </c>
      <c r="E730" s="1337" t="s">
        <v>2747</v>
      </c>
      <c r="F730" s="1282"/>
      <c r="G730" s="1281"/>
    </row>
    <row r="731" spans="1:7" ht="52.9" customHeight="1">
      <c r="A731" s="1284" t="str">
        <f>IFERROR(VLOOKUP(B:B,'0.39'!B:F,5,FALSE),"")</f>
        <v/>
      </c>
      <c r="B731" s="1360" t="str">
        <f>PACKING!CI107</f>
        <v/>
      </c>
      <c r="C731" s="1283" t="str">
        <f>IFERROR((VLOOKUP(B:B,'0.39'!B:F,4,FALSE)),"")</f>
        <v/>
      </c>
      <c r="D731" s="1331" t="str">
        <f>PACKING!CJ77</f>
        <v/>
      </c>
      <c r="E731" s="1337" t="s">
        <v>2747</v>
      </c>
      <c r="F731" s="1282"/>
      <c r="G731" s="1281"/>
    </row>
    <row r="732" spans="1:7" ht="79.150000000000006" customHeight="1" thickBot="1">
      <c r="A732" s="1692" t="s">
        <v>204</v>
      </c>
      <c r="B732" s="1693"/>
      <c r="C732" s="1693"/>
      <c r="D732" s="1280">
        <f>SUM(D721:D731)</f>
        <v>0</v>
      </c>
      <c r="E732" s="1336" t="s">
        <v>2747</v>
      </c>
      <c r="F732" s="1279" t="s">
        <v>2746</v>
      </c>
      <c r="G732" s="1278" t="s">
        <v>2746</v>
      </c>
    </row>
    <row r="733" spans="1:7" ht="35.25" thickBot="1">
      <c r="A733" s="1302"/>
      <c r="B733" s="1361"/>
      <c r="C733" s="1302"/>
      <c r="D733" s="1303"/>
      <c r="E733" s="1302"/>
      <c r="F733" s="1301"/>
      <c r="G733" s="1301"/>
    </row>
    <row r="734" spans="1:7" ht="75.599999999999994" customHeight="1" thickBot="1">
      <c r="A734" s="1300"/>
      <c r="B734" s="1299" t="str">
        <f>BASIC_TOOL!$B$6</f>
        <v>A Project</v>
      </c>
      <c r="C734" s="1304" t="s">
        <v>2756</v>
      </c>
      <c r="D734" s="1297" t="e">
        <f ca="1">_xlfn.IFS(PACKING!BP251="M", "1X1.5M",PACKING!BP251="L", "1X2M",PACKING!BP251="S", "1X1M")</f>
        <v>#NAME?</v>
      </c>
      <c r="E734" s="1296">
        <f>PACKING!CL94</f>
        <v>44</v>
      </c>
      <c r="F734" s="1295" t="s">
        <v>2755</v>
      </c>
      <c r="G734" s="1294">
        <f>PACKING!$C$93</f>
        <v>2</v>
      </c>
    </row>
    <row r="735" spans="1:7" ht="87.6" customHeight="1">
      <c r="A735" s="1290" t="s">
        <v>2754</v>
      </c>
      <c r="B735" s="1290" t="str">
        <f>BASIC_TOOL!$B$7</f>
        <v>DAMMAM, KSA</v>
      </c>
      <c r="C735" s="1293" t="str">
        <f>BASIC_TOOL!$C$14</f>
        <v>Non-Insulated</v>
      </c>
      <c r="D735" s="1694" t="str">
        <f>'PRINTOUT(BOM)'!$A$96</f>
        <v>▣ Size : 10mW x (5)mL x3mH =150 [TON]/ 1[SET]</v>
      </c>
      <c r="E735" s="1695"/>
      <c r="F735" s="1695"/>
      <c r="G735" s="1696"/>
    </row>
    <row r="736" spans="1:7" ht="63.6" customHeight="1">
      <c r="A736" s="1290" t="s">
        <v>2753</v>
      </c>
      <c r="B736" s="1292">
        <f>BASIC_TOOL!$F$7</f>
        <v>44343</v>
      </c>
      <c r="C736" s="1291" t="s">
        <v>2752</v>
      </c>
      <c r="D736" s="1691" t="str">
        <f>BASIC_TOOL!$D$6</f>
        <v>ABC</v>
      </c>
      <c r="E736" s="1691"/>
      <c r="F736" s="1691" t="s">
        <v>2751</v>
      </c>
      <c r="G736" s="1697"/>
    </row>
    <row r="737" spans="1:7" ht="60">
      <c r="A737" s="1290" t="s">
        <v>176</v>
      </c>
      <c r="B737" s="1359" t="s">
        <v>177</v>
      </c>
      <c r="C737" s="1335" t="s">
        <v>2750</v>
      </c>
      <c r="D737" s="1691" t="s">
        <v>239</v>
      </c>
      <c r="E737" s="1691"/>
      <c r="F737" s="1288" t="s">
        <v>2749</v>
      </c>
      <c r="G737" s="1287" t="s">
        <v>2748</v>
      </c>
    </row>
    <row r="738" spans="1:7" ht="52.9" customHeight="1">
      <c r="A738" s="1284" t="str">
        <f>IFERROR(VLOOKUP(B:B,'0.39'!B:F,5,FALSE),"")</f>
        <v/>
      </c>
      <c r="B738" s="1331" t="str">
        <f>PACKING!CK67</f>
        <v/>
      </c>
      <c r="C738" s="1283" t="str">
        <f>IFERROR((VLOOKUP(B:B,'0.39'!B:F,4,FALSE)),"")</f>
        <v/>
      </c>
      <c r="D738" s="1331" t="str">
        <f>PACKING!CL67</f>
        <v/>
      </c>
      <c r="E738" s="1286" t="s">
        <v>2747</v>
      </c>
      <c r="F738" s="1285"/>
      <c r="G738" s="1281"/>
    </row>
    <row r="739" spans="1:7" ht="52.9" customHeight="1">
      <c r="A739" s="1284" t="str">
        <f>IFERROR(VLOOKUP(B:B,'0.39'!B:F,5,FALSE),"")</f>
        <v/>
      </c>
      <c r="B739" s="1331" t="str">
        <f>PACKING!CK68</f>
        <v/>
      </c>
      <c r="C739" s="1283" t="str">
        <f>IFERROR((VLOOKUP(B:B,'0.39'!B:F,4,FALSE)),"")</f>
        <v/>
      </c>
      <c r="D739" s="1331" t="str">
        <f>PACKING!CL68</f>
        <v/>
      </c>
      <c r="E739" s="1337" t="s">
        <v>2747</v>
      </c>
      <c r="F739" s="1285"/>
      <c r="G739" s="1281"/>
    </row>
    <row r="740" spans="1:7" ht="52.9" customHeight="1">
      <c r="A740" s="1284" t="str">
        <f>IFERROR(VLOOKUP(B:B,'0.39'!B:F,5,FALSE),"")</f>
        <v/>
      </c>
      <c r="B740" s="1331" t="str">
        <f>PACKING!CK69</f>
        <v/>
      </c>
      <c r="C740" s="1283" t="str">
        <f>IFERROR((VLOOKUP(B:B,'0.39'!B:F,4,FALSE)),"")</f>
        <v/>
      </c>
      <c r="D740" s="1331" t="str">
        <f>PACKING!CL69</f>
        <v/>
      </c>
      <c r="E740" s="1286" t="s">
        <v>2747</v>
      </c>
      <c r="F740" s="1285"/>
      <c r="G740" s="1281"/>
    </row>
    <row r="741" spans="1:7" ht="52.9" customHeight="1">
      <c r="A741" s="1284" t="str">
        <f>IFERROR(VLOOKUP(B:B,'0.39'!B:F,5,FALSE),"")</f>
        <v/>
      </c>
      <c r="B741" s="1331" t="str">
        <f>PACKING!CK70</f>
        <v/>
      </c>
      <c r="C741" s="1283" t="str">
        <f>IFERROR((VLOOKUP(B:B,'0.39'!B:F,4,FALSE)),"")</f>
        <v/>
      </c>
      <c r="D741" s="1331" t="str">
        <f>PACKING!CL70</f>
        <v/>
      </c>
      <c r="E741" s="1286" t="s">
        <v>2747</v>
      </c>
      <c r="F741" s="1282"/>
      <c r="G741" s="1281"/>
    </row>
    <row r="742" spans="1:7" ht="52.9" customHeight="1">
      <c r="A742" s="1284" t="str">
        <f>IFERROR(VLOOKUP(B:B,'0.39'!B:F,5,FALSE),"")</f>
        <v/>
      </c>
      <c r="B742" s="1331" t="str">
        <f>PACKING!CK71</f>
        <v/>
      </c>
      <c r="C742" s="1283" t="str">
        <f>IFERROR((VLOOKUP(B:B,'0.39'!B:F,4,FALSE)),"")</f>
        <v/>
      </c>
      <c r="D742" s="1331" t="str">
        <f>PACKING!CL71</f>
        <v/>
      </c>
      <c r="E742" s="1286" t="s">
        <v>2747</v>
      </c>
      <c r="F742" s="1282"/>
      <c r="G742" s="1281"/>
    </row>
    <row r="743" spans="1:7" ht="52.9" customHeight="1">
      <c r="A743" s="1284" t="str">
        <f>IFERROR(VLOOKUP(B:B,'0.39'!B:F,5,FALSE),"")</f>
        <v/>
      </c>
      <c r="B743" s="1331" t="str">
        <f>PACKING!CK72</f>
        <v/>
      </c>
      <c r="C743" s="1283" t="str">
        <f>IFERROR((VLOOKUP(B:B,'0.39'!B:F,4,FALSE)),"")</f>
        <v/>
      </c>
      <c r="D743" s="1331" t="str">
        <f>PACKING!CL72</f>
        <v/>
      </c>
      <c r="E743" s="1337" t="s">
        <v>2747</v>
      </c>
      <c r="F743" s="1282"/>
      <c r="G743" s="1281"/>
    </row>
    <row r="744" spans="1:7" ht="52.9" customHeight="1">
      <c r="A744" s="1284" t="str">
        <f>IFERROR(VLOOKUP(B:B,'0.39'!B:F,5,FALSE),"")</f>
        <v/>
      </c>
      <c r="B744" s="1331" t="str">
        <f>PACKING!CK73</f>
        <v/>
      </c>
      <c r="C744" s="1283" t="str">
        <f>IFERROR((VLOOKUP(B:B,'0.39'!B:F,4,FALSE)),"")</f>
        <v/>
      </c>
      <c r="D744" s="1331" t="str">
        <f>PACKING!CL73</f>
        <v/>
      </c>
      <c r="E744" s="1337" t="s">
        <v>2747</v>
      </c>
      <c r="F744" s="1282"/>
      <c r="G744" s="1281"/>
    </row>
    <row r="745" spans="1:7" ht="52.9" customHeight="1">
      <c r="A745" s="1284" t="str">
        <f>IFERROR(VLOOKUP(B:B,'0.39'!B:F,5,FALSE),"")</f>
        <v/>
      </c>
      <c r="B745" s="1331" t="str">
        <f>PACKING!CK74</f>
        <v/>
      </c>
      <c r="C745" s="1283" t="str">
        <f>IFERROR((VLOOKUP(B:B,'0.39'!B:F,4,FALSE)),"")</f>
        <v/>
      </c>
      <c r="D745" s="1331" t="str">
        <f>PACKING!CL74</f>
        <v/>
      </c>
      <c r="E745" s="1337" t="s">
        <v>2747</v>
      </c>
      <c r="F745" s="1282"/>
      <c r="G745" s="1281"/>
    </row>
    <row r="746" spans="1:7" ht="52.9" customHeight="1">
      <c r="A746" s="1284" t="str">
        <f>IFERROR(VLOOKUP(B:B,'0.39'!B:F,5,FALSE),"")</f>
        <v/>
      </c>
      <c r="B746" s="1331" t="str">
        <f>PACKING!CK75</f>
        <v/>
      </c>
      <c r="C746" s="1283" t="str">
        <f>IFERROR((VLOOKUP(B:B,'0.39'!B:F,4,FALSE)),"")</f>
        <v/>
      </c>
      <c r="D746" s="1331" t="str">
        <f>PACKING!CL75</f>
        <v/>
      </c>
      <c r="E746" s="1337" t="s">
        <v>2747</v>
      </c>
      <c r="F746" s="1285"/>
      <c r="G746" s="1281"/>
    </row>
    <row r="747" spans="1:7" ht="52.9" customHeight="1">
      <c r="A747" s="1284" t="str">
        <f>IFERROR(VLOOKUP(B:B,'0.39'!B:F,5,FALSE),"")</f>
        <v/>
      </c>
      <c r="B747" s="1331" t="str">
        <f>PACKING!CK76</f>
        <v/>
      </c>
      <c r="C747" s="1283" t="str">
        <f>IFERROR((VLOOKUP(B:B,'0.39'!B:F,4,FALSE)),"")</f>
        <v/>
      </c>
      <c r="D747" s="1331" t="str">
        <f>PACKING!CL76</f>
        <v/>
      </c>
      <c r="E747" s="1337" t="s">
        <v>2747</v>
      </c>
      <c r="F747" s="1282"/>
      <c r="G747" s="1281"/>
    </row>
    <row r="748" spans="1:7" ht="52.9" customHeight="1">
      <c r="A748" s="1284" t="str">
        <f>IFERROR(VLOOKUP(B:B,'0.39'!B:F,5,FALSE),"")</f>
        <v/>
      </c>
      <c r="B748" s="1331" t="str">
        <f>PACKING!CK77</f>
        <v/>
      </c>
      <c r="C748" s="1283" t="str">
        <f>IFERROR((VLOOKUP(B:B,'0.39'!B:F,4,FALSE)),"")</f>
        <v/>
      </c>
      <c r="D748" s="1331" t="str">
        <f>PACKING!CL77</f>
        <v/>
      </c>
      <c r="E748" s="1337" t="s">
        <v>2747</v>
      </c>
      <c r="F748" s="1282"/>
      <c r="G748" s="1281"/>
    </row>
    <row r="749" spans="1:7" ht="79.150000000000006" customHeight="1" thickBot="1">
      <c r="A749" s="1692" t="s">
        <v>204</v>
      </c>
      <c r="B749" s="1693"/>
      <c r="C749" s="1693"/>
      <c r="D749" s="1280">
        <f>SUM(D738:D748)</f>
        <v>0</v>
      </c>
      <c r="E749" s="1336" t="s">
        <v>2747</v>
      </c>
      <c r="F749" s="1279" t="s">
        <v>2746</v>
      </c>
      <c r="G749" s="1278" t="s">
        <v>2746</v>
      </c>
    </row>
    <row r="750" spans="1:7" ht="35.25" thickBot="1">
      <c r="A750" s="1302"/>
      <c r="B750" s="1361"/>
      <c r="C750" s="1302"/>
      <c r="D750" s="1303"/>
      <c r="E750" s="1302"/>
      <c r="F750" s="1301"/>
      <c r="G750" s="1301"/>
    </row>
    <row r="751" spans="1:7" ht="75.599999999999994" customHeight="1" thickBot="1">
      <c r="A751" s="1300"/>
      <c r="B751" s="1299" t="str">
        <f>BASIC_TOOL!$B$6</f>
        <v>A Project</v>
      </c>
      <c r="C751" s="1304" t="s">
        <v>2756</v>
      </c>
      <c r="D751" s="1297" t="e">
        <f ca="1">_xlfn.IFS(PACKING!BP268="M", "1X1.5M",PACKING!BP268="L", "1X2M",PACKING!BP268="S", "1X1M")</f>
        <v>#NAME?</v>
      </c>
      <c r="E751" s="1296">
        <f>PACKING!CN94</f>
        <v>45</v>
      </c>
      <c r="F751" s="1295" t="s">
        <v>2755</v>
      </c>
      <c r="G751" s="1294">
        <f>PACKING!$C$93</f>
        <v>2</v>
      </c>
    </row>
    <row r="752" spans="1:7" ht="87.6" customHeight="1">
      <c r="A752" s="1290" t="s">
        <v>2754</v>
      </c>
      <c r="B752" s="1290" t="str">
        <f>BASIC_TOOL!$B$7</f>
        <v>DAMMAM, KSA</v>
      </c>
      <c r="C752" s="1293" t="str">
        <f>BASIC_TOOL!$C$14</f>
        <v>Non-Insulated</v>
      </c>
      <c r="D752" s="1694" t="str">
        <f>'PRINTOUT(BOM)'!$A$96</f>
        <v>▣ Size : 10mW x (5)mL x3mH =150 [TON]/ 1[SET]</v>
      </c>
      <c r="E752" s="1695"/>
      <c r="F752" s="1695"/>
      <c r="G752" s="1696"/>
    </row>
    <row r="753" spans="1:7" ht="63.6" customHeight="1">
      <c r="A753" s="1290" t="s">
        <v>2753</v>
      </c>
      <c r="B753" s="1292">
        <f>BASIC_TOOL!$F$7</f>
        <v>44343</v>
      </c>
      <c r="C753" s="1291" t="s">
        <v>2752</v>
      </c>
      <c r="D753" s="1691" t="str">
        <f>BASIC_TOOL!$D$6</f>
        <v>ABC</v>
      </c>
      <c r="E753" s="1691"/>
      <c r="F753" s="1691" t="s">
        <v>2751</v>
      </c>
      <c r="G753" s="1697"/>
    </row>
    <row r="754" spans="1:7" ht="60">
      <c r="A754" s="1290" t="s">
        <v>176</v>
      </c>
      <c r="B754" s="1359" t="s">
        <v>177</v>
      </c>
      <c r="C754" s="1335" t="s">
        <v>2750</v>
      </c>
      <c r="D754" s="1691" t="s">
        <v>239</v>
      </c>
      <c r="E754" s="1691"/>
      <c r="F754" s="1288" t="s">
        <v>2749</v>
      </c>
      <c r="G754" s="1287" t="s">
        <v>2748</v>
      </c>
    </row>
    <row r="755" spans="1:7" ht="52.9" customHeight="1">
      <c r="A755" s="1284" t="str">
        <f>IFERROR(VLOOKUP(B:B,'0.39'!B:F,5,FALSE),"")</f>
        <v/>
      </c>
      <c r="B755" s="1331" t="str">
        <f>PACKING!CM67</f>
        <v/>
      </c>
      <c r="C755" s="1283" t="str">
        <f>IFERROR((VLOOKUP(B:B,'0.39'!B:F,4,FALSE)),"")</f>
        <v/>
      </c>
      <c r="D755" s="1331" t="str">
        <f>PACKING!CN67</f>
        <v/>
      </c>
      <c r="E755" s="1286" t="s">
        <v>2747</v>
      </c>
      <c r="F755" s="1285"/>
      <c r="G755" s="1281"/>
    </row>
    <row r="756" spans="1:7" ht="52.9" customHeight="1">
      <c r="A756" s="1284" t="str">
        <f>IFERROR(VLOOKUP(B:B,'0.39'!B:F,5,FALSE),"")</f>
        <v/>
      </c>
      <c r="B756" s="1331" t="str">
        <f>PACKING!CM68</f>
        <v/>
      </c>
      <c r="C756" s="1283" t="str">
        <f>IFERROR((VLOOKUP(B:B,'0.39'!B:F,4,FALSE)),"")</f>
        <v/>
      </c>
      <c r="D756" s="1331" t="str">
        <f>PACKING!CN68</f>
        <v/>
      </c>
      <c r="E756" s="1337" t="s">
        <v>2747</v>
      </c>
      <c r="F756" s="1285"/>
      <c r="G756" s="1281"/>
    </row>
    <row r="757" spans="1:7" ht="52.9" customHeight="1">
      <c r="A757" s="1284" t="str">
        <f>IFERROR(VLOOKUP(B:B,'0.39'!B:F,5,FALSE),"")</f>
        <v/>
      </c>
      <c r="B757" s="1331" t="str">
        <f>PACKING!CM69</f>
        <v/>
      </c>
      <c r="C757" s="1283" t="str">
        <f>IFERROR((VLOOKUP(B:B,'0.39'!B:F,4,FALSE)),"")</f>
        <v/>
      </c>
      <c r="D757" s="1331" t="str">
        <f>PACKING!CN69</f>
        <v/>
      </c>
      <c r="E757" s="1286" t="s">
        <v>2747</v>
      </c>
      <c r="F757" s="1285"/>
      <c r="G757" s="1281"/>
    </row>
    <row r="758" spans="1:7" ht="52.9" customHeight="1">
      <c r="A758" s="1284" t="str">
        <f>IFERROR(VLOOKUP(B:B,'0.39'!B:F,5,FALSE),"")</f>
        <v/>
      </c>
      <c r="B758" s="1331" t="str">
        <f>PACKING!CM70</f>
        <v/>
      </c>
      <c r="C758" s="1283" t="str">
        <f>IFERROR((VLOOKUP(B:B,'0.39'!B:F,4,FALSE)),"")</f>
        <v/>
      </c>
      <c r="D758" s="1331" t="str">
        <f>PACKING!CN70</f>
        <v/>
      </c>
      <c r="E758" s="1286" t="s">
        <v>2747</v>
      </c>
      <c r="F758" s="1282"/>
      <c r="G758" s="1281"/>
    </row>
    <row r="759" spans="1:7" ht="52.9" customHeight="1">
      <c r="A759" s="1284" t="str">
        <f>IFERROR(VLOOKUP(B:B,'0.39'!B:F,5,FALSE),"")</f>
        <v/>
      </c>
      <c r="B759" s="1331" t="str">
        <f>PACKING!CM71</f>
        <v/>
      </c>
      <c r="C759" s="1283" t="str">
        <f>IFERROR((VLOOKUP(B:B,'0.39'!B:F,4,FALSE)),"")</f>
        <v/>
      </c>
      <c r="D759" s="1331" t="str">
        <f>PACKING!CN71</f>
        <v/>
      </c>
      <c r="E759" s="1286" t="s">
        <v>2747</v>
      </c>
      <c r="F759" s="1282"/>
      <c r="G759" s="1281"/>
    </row>
    <row r="760" spans="1:7" ht="52.9" customHeight="1">
      <c r="A760" s="1284" t="str">
        <f>IFERROR(VLOOKUP(B:B,'0.39'!B:F,5,FALSE),"")</f>
        <v/>
      </c>
      <c r="B760" s="1331" t="str">
        <f>PACKING!CM72</f>
        <v/>
      </c>
      <c r="C760" s="1283" t="str">
        <f>IFERROR((VLOOKUP(B:B,'0.39'!B:F,4,FALSE)),"")</f>
        <v/>
      </c>
      <c r="D760" s="1331" t="str">
        <f>PACKING!CN72</f>
        <v/>
      </c>
      <c r="E760" s="1337" t="s">
        <v>2747</v>
      </c>
      <c r="F760" s="1282"/>
      <c r="G760" s="1281"/>
    </row>
    <row r="761" spans="1:7" ht="52.9" customHeight="1">
      <c r="A761" s="1284" t="str">
        <f>IFERROR(VLOOKUP(B:B,'0.39'!B:F,5,FALSE),"")</f>
        <v/>
      </c>
      <c r="B761" s="1331" t="str">
        <f>PACKING!CM73</f>
        <v/>
      </c>
      <c r="C761" s="1283" t="str">
        <f>IFERROR((VLOOKUP(B:B,'0.39'!B:F,4,FALSE)),"")</f>
        <v/>
      </c>
      <c r="D761" s="1331" t="str">
        <f>PACKING!CN73</f>
        <v/>
      </c>
      <c r="E761" s="1337" t="s">
        <v>2747</v>
      </c>
      <c r="F761" s="1282"/>
      <c r="G761" s="1281"/>
    </row>
    <row r="762" spans="1:7" ht="52.9" customHeight="1">
      <c r="A762" s="1284" t="str">
        <f>IFERROR(VLOOKUP(B:B,'0.39'!B:F,5,FALSE),"")</f>
        <v/>
      </c>
      <c r="B762" s="1331" t="str">
        <f>PACKING!CM74</f>
        <v/>
      </c>
      <c r="C762" s="1283" t="str">
        <f>IFERROR((VLOOKUP(B:B,'0.39'!B:F,4,FALSE)),"")</f>
        <v/>
      </c>
      <c r="D762" s="1331" t="str">
        <f>PACKING!CN74</f>
        <v/>
      </c>
      <c r="E762" s="1337" t="s">
        <v>2747</v>
      </c>
      <c r="F762" s="1282"/>
      <c r="G762" s="1281"/>
    </row>
    <row r="763" spans="1:7" ht="52.9" customHeight="1">
      <c r="A763" s="1284" t="str">
        <f>IFERROR(VLOOKUP(B:B,'0.39'!B:F,5,FALSE),"")</f>
        <v/>
      </c>
      <c r="B763" s="1331" t="str">
        <f>PACKING!CM75</f>
        <v/>
      </c>
      <c r="C763" s="1283" t="str">
        <f>IFERROR((VLOOKUP(B:B,'0.39'!B:F,4,FALSE)),"")</f>
        <v/>
      </c>
      <c r="D763" s="1331" t="str">
        <f>PACKING!CN75</f>
        <v/>
      </c>
      <c r="E763" s="1337" t="s">
        <v>2747</v>
      </c>
      <c r="F763" s="1285"/>
      <c r="G763" s="1281"/>
    </row>
    <row r="764" spans="1:7" ht="52.9" customHeight="1">
      <c r="A764" s="1284" t="str">
        <f>IFERROR(VLOOKUP(B:B,'0.39'!B:F,5,FALSE),"")</f>
        <v/>
      </c>
      <c r="B764" s="1331" t="str">
        <f>PACKING!CM76</f>
        <v/>
      </c>
      <c r="C764" s="1283" t="str">
        <f>IFERROR((VLOOKUP(B:B,'0.39'!B:F,4,FALSE)),"")</f>
        <v/>
      </c>
      <c r="D764" s="1331" t="str">
        <f>PACKING!CN76</f>
        <v/>
      </c>
      <c r="E764" s="1337" t="s">
        <v>2747</v>
      </c>
      <c r="F764" s="1282"/>
      <c r="G764" s="1281"/>
    </row>
    <row r="765" spans="1:7" ht="52.9" customHeight="1">
      <c r="A765" s="1284" t="str">
        <f>IFERROR(VLOOKUP(B:B,'0.39'!B:F,5,FALSE),"")</f>
        <v/>
      </c>
      <c r="B765" s="1331" t="str">
        <f>PACKING!CM77</f>
        <v/>
      </c>
      <c r="C765" s="1283" t="str">
        <f>IFERROR((VLOOKUP(B:B,'0.39'!B:F,4,FALSE)),"")</f>
        <v/>
      </c>
      <c r="D765" s="1331" t="str">
        <f>PACKING!CN77</f>
        <v/>
      </c>
      <c r="E765" s="1337" t="s">
        <v>2747</v>
      </c>
      <c r="F765" s="1282"/>
      <c r="G765" s="1281"/>
    </row>
    <row r="766" spans="1:7" ht="79.150000000000006" customHeight="1" thickBot="1">
      <c r="A766" s="1692" t="s">
        <v>204</v>
      </c>
      <c r="B766" s="1693"/>
      <c r="C766" s="1693"/>
      <c r="D766" s="1280">
        <f>SUM(D755:D765)</f>
        <v>0</v>
      </c>
      <c r="E766" s="1336" t="s">
        <v>2747</v>
      </c>
      <c r="F766" s="1279" t="s">
        <v>2746</v>
      </c>
      <c r="G766" s="1278" t="s">
        <v>2746</v>
      </c>
    </row>
    <row r="767" spans="1:7" ht="35.25" thickBot="1">
      <c r="A767" s="1302"/>
      <c r="B767" s="1361"/>
      <c r="C767" s="1302"/>
      <c r="D767" s="1303"/>
      <c r="E767" s="1302"/>
      <c r="F767" s="1301"/>
      <c r="G767" s="1301"/>
    </row>
    <row r="768" spans="1:7" ht="75.599999999999994" customHeight="1" thickBot="1">
      <c r="A768" s="1300"/>
      <c r="B768" s="1299" t="str">
        <f>BASIC_TOOL!$B$6</f>
        <v>A Project</v>
      </c>
      <c r="C768" s="1304" t="s">
        <v>2756</v>
      </c>
      <c r="D768" s="1297" t="e">
        <f ca="1">_xlfn.IFS(PACKING!BP285="M", "1X1.5M",PACKING!BP285="L", "1X2M",PACKING!BP285="S", "1X1M")</f>
        <v>#NAME?</v>
      </c>
      <c r="E768" s="1296">
        <f>PACKING!CP94</f>
        <v>46</v>
      </c>
      <c r="F768" s="1295" t="s">
        <v>2755</v>
      </c>
      <c r="G768" s="1294">
        <f>PACKING!$C$93</f>
        <v>2</v>
      </c>
    </row>
    <row r="769" spans="1:7" ht="87.6" customHeight="1">
      <c r="A769" s="1290" t="s">
        <v>2754</v>
      </c>
      <c r="B769" s="1290" t="str">
        <f>BASIC_TOOL!$B$7</f>
        <v>DAMMAM, KSA</v>
      </c>
      <c r="C769" s="1293" t="str">
        <f>BASIC_TOOL!$C$14</f>
        <v>Non-Insulated</v>
      </c>
      <c r="D769" s="1694" t="str">
        <f>'PRINTOUT(BOM)'!$A$96</f>
        <v>▣ Size : 10mW x (5)mL x3mH =150 [TON]/ 1[SET]</v>
      </c>
      <c r="E769" s="1695"/>
      <c r="F769" s="1695"/>
      <c r="G769" s="1696"/>
    </row>
    <row r="770" spans="1:7" ht="63.6" customHeight="1">
      <c r="A770" s="1290" t="s">
        <v>2753</v>
      </c>
      <c r="B770" s="1292">
        <f>BASIC_TOOL!$F$7</f>
        <v>44343</v>
      </c>
      <c r="C770" s="1291" t="s">
        <v>2752</v>
      </c>
      <c r="D770" s="1691" t="str">
        <f>BASIC_TOOL!$D$6</f>
        <v>ABC</v>
      </c>
      <c r="E770" s="1691"/>
      <c r="F770" s="1691" t="s">
        <v>2751</v>
      </c>
      <c r="G770" s="1697"/>
    </row>
    <row r="771" spans="1:7" ht="60">
      <c r="A771" s="1290" t="s">
        <v>176</v>
      </c>
      <c r="B771" s="1359" t="s">
        <v>177</v>
      </c>
      <c r="C771" s="1335" t="s">
        <v>2750</v>
      </c>
      <c r="D771" s="1691" t="s">
        <v>239</v>
      </c>
      <c r="E771" s="1691"/>
      <c r="F771" s="1288" t="s">
        <v>2749</v>
      </c>
      <c r="G771" s="1287" t="s">
        <v>2748</v>
      </c>
    </row>
    <row r="772" spans="1:7" ht="52.9" customHeight="1">
      <c r="A772" s="1284" t="str">
        <f>IFERROR(VLOOKUP(B:B,'0.39'!B:F,5,FALSE),"")</f>
        <v/>
      </c>
      <c r="B772" s="1331" t="str">
        <f>PACKING!CO67</f>
        <v/>
      </c>
      <c r="C772" s="1283" t="str">
        <f>IFERROR((VLOOKUP(B:B,'0.39'!B:F,4,FALSE)),"")</f>
        <v/>
      </c>
      <c r="D772" s="1331" t="str">
        <f>PACKING!CP67</f>
        <v/>
      </c>
      <c r="E772" s="1286" t="s">
        <v>2747</v>
      </c>
      <c r="F772" s="1285"/>
      <c r="G772" s="1281"/>
    </row>
    <row r="773" spans="1:7" ht="52.9" customHeight="1">
      <c r="A773" s="1284" t="str">
        <f>IFERROR(VLOOKUP(B:B,'0.39'!B:F,5,FALSE),"")</f>
        <v/>
      </c>
      <c r="B773" s="1331" t="str">
        <f>PACKING!CO68</f>
        <v/>
      </c>
      <c r="C773" s="1283" t="str">
        <f>IFERROR((VLOOKUP(B:B,'0.39'!B:F,4,FALSE)),"")</f>
        <v/>
      </c>
      <c r="D773" s="1331" t="str">
        <f>PACKING!CP68</f>
        <v/>
      </c>
      <c r="E773" s="1337" t="s">
        <v>2747</v>
      </c>
      <c r="F773" s="1285"/>
      <c r="G773" s="1281"/>
    </row>
    <row r="774" spans="1:7" ht="52.9" customHeight="1">
      <c r="A774" s="1284" t="str">
        <f>IFERROR(VLOOKUP(B:B,'0.39'!B:F,5,FALSE),"")</f>
        <v/>
      </c>
      <c r="B774" s="1331" t="str">
        <f>PACKING!CO69</f>
        <v/>
      </c>
      <c r="C774" s="1283" t="str">
        <f>IFERROR((VLOOKUP(B:B,'0.39'!B:F,4,FALSE)),"")</f>
        <v/>
      </c>
      <c r="D774" s="1331" t="str">
        <f>PACKING!CP69</f>
        <v/>
      </c>
      <c r="E774" s="1286" t="s">
        <v>2747</v>
      </c>
      <c r="F774" s="1285"/>
      <c r="G774" s="1281"/>
    </row>
    <row r="775" spans="1:7" ht="52.9" customHeight="1">
      <c r="A775" s="1284" t="str">
        <f>IFERROR(VLOOKUP(B:B,'0.39'!B:F,5,FALSE),"")</f>
        <v/>
      </c>
      <c r="B775" s="1331" t="str">
        <f>PACKING!CO70</f>
        <v/>
      </c>
      <c r="C775" s="1283" t="str">
        <f>IFERROR((VLOOKUP(B:B,'0.39'!B:F,4,FALSE)),"")</f>
        <v/>
      </c>
      <c r="D775" s="1331" t="str">
        <f>PACKING!CP70</f>
        <v/>
      </c>
      <c r="E775" s="1286" t="s">
        <v>2747</v>
      </c>
      <c r="F775" s="1282"/>
      <c r="G775" s="1281"/>
    </row>
    <row r="776" spans="1:7" ht="52.9" customHeight="1">
      <c r="A776" s="1284" t="str">
        <f>IFERROR(VLOOKUP(B:B,'0.39'!B:F,5,FALSE),"")</f>
        <v/>
      </c>
      <c r="B776" s="1331" t="str">
        <f>PACKING!CO71</f>
        <v/>
      </c>
      <c r="C776" s="1283" t="str">
        <f>IFERROR((VLOOKUP(B:B,'0.39'!B:F,4,FALSE)),"")</f>
        <v/>
      </c>
      <c r="D776" s="1331" t="str">
        <f>PACKING!CP71</f>
        <v/>
      </c>
      <c r="E776" s="1286" t="s">
        <v>2747</v>
      </c>
      <c r="F776" s="1282"/>
      <c r="G776" s="1281"/>
    </row>
    <row r="777" spans="1:7" ht="52.9" customHeight="1">
      <c r="A777" s="1284" t="str">
        <f>IFERROR(VLOOKUP(B:B,'0.39'!B:F,5,FALSE),"")</f>
        <v/>
      </c>
      <c r="B777" s="1331" t="str">
        <f>PACKING!CO72</f>
        <v/>
      </c>
      <c r="C777" s="1283" t="str">
        <f>IFERROR((VLOOKUP(B:B,'0.39'!B:F,4,FALSE)),"")</f>
        <v/>
      </c>
      <c r="D777" s="1331" t="str">
        <f>PACKING!CP72</f>
        <v/>
      </c>
      <c r="E777" s="1337" t="s">
        <v>2747</v>
      </c>
      <c r="F777" s="1282"/>
      <c r="G777" s="1281"/>
    </row>
    <row r="778" spans="1:7" ht="52.9" customHeight="1">
      <c r="A778" s="1284" t="str">
        <f>IFERROR(VLOOKUP(B:B,'0.39'!B:F,5,FALSE),"")</f>
        <v/>
      </c>
      <c r="B778" s="1331" t="str">
        <f>PACKING!CO73</f>
        <v/>
      </c>
      <c r="C778" s="1283" t="str">
        <f>IFERROR((VLOOKUP(B:B,'0.39'!B:F,4,FALSE)),"")</f>
        <v/>
      </c>
      <c r="D778" s="1331" t="str">
        <f>PACKING!CP73</f>
        <v/>
      </c>
      <c r="E778" s="1337" t="s">
        <v>2747</v>
      </c>
      <c r="F778" s="1282"/>
      <c r="G778" s="1281"/>
    </row>
    <row r="779" spans="1:7" ht="52.9" customHeight="1">
      <c r="A779" s="1284" t="str">
        <f>IFERROR(VLOOKUP(B:B,'0.39'!B:F,5,FALSE),"")</f>
        <v/>
      </c>
      <c r="B779" s="1331" t="str">
        <f>PACKING!CO74</f>
        <v/>
      </c>
      <c r="C779" s="1283" t="str">
        <f>IFERROR((VLOOKUP(B:B,'0.39'!B:F,4,FALSE)),"")</f>
        <v/>
      </c>
      <c r="D779" s="1331" t="str">
        <f>PACKING!CP74</f>
        <v/>
      </c>
      <c r="E779" s="1337" t="s">
        <v>2747</v>
      </c>
      <c r="F779" s="1282"/>
      <c r="G779" s="1281"/>
    </row>
    <row r="780" spans="1:7" ht="52.9" customHeight="1">
      <c r="A780" s="1284" t="str">
        <f>IFERROR(VLOOKUP(B:B,'0.39'!B:F,5,FALSE),"")</f>
        <v/>
      </c>
      <c r="B780" s="1331" t="str">
        <f>PACKING!CO75</f>
        <v/>
      </c>
      <c r="C780" s="1283" t="str">
        <f>IFERROR((VLOOKUP(B:B,'0.39'!B:F,4,FALSE)),"")</f>
        <v/>
      </c>
      <c r="D780" s="1331" t="str">
        <f>PACKING!CP75</f>
        <v/>
      </c>
      <c r="E780" s="1337" t="s">
        <v>2747</v>
      </c>
      <c r="F780" s="1285"/>
      <c r="G780" s="1281"/>
    </row>
    <row r="781" spans="1:7" ht="52.9" customHeight="1">
      <c r="A781" s="1284" t="str">
        <f>IFERROR(VLOOKUP(B:B,'0.39'!B:F,5,FALSE),"")</f>
        <v/>
      </c>
      <c r="B781" s="1331" t="str">
        <f>PACKING!CO76</f>
        <v/>
      </c>
      <c r="C781" s="1283" t="str">
        <f>IFERROR((VLOOKUP(B:B,'0.39'!B:F,4,FALSE)),"")</f>
        <v/>
      </c>
      <c r="D781" s="1331" t="str">
        <f>PACKING!CP76</f>
        <v/>
      </c>
      <c r="E781" s="1337" t="s">
        <v>2747</v>
      </c>
      <c r="F781" s="1282"/>
      <c r="G781" s="1281"/>
    </row>
    <row r="782" spans="1:7" ht="52.9" customHeight="1">
      <c r="A782" s="1284" t="str">
        <f>IFERROR(VLOOKUP(B:B,'0.39'!B:F,5,FALSE),"")</f>
        <v/>
      </c>
      <c r="B782" s="1331" t="str">
        <f>PACKING!CO77</f>
        <v/>
      </c>
      <c r="C782" s="1283" t="str">
        <f>IFERROR((VLOOKUP(B:B,'0.39'!B:F,4,FALSE)),"")</f>
        <v/>
      </c>
      <c r="D782" s="1331" t="str">
        <f>PACKING!CP77</f>
        <v/>
      </c>
      <c r="E782" s="1337" t="s">
        <v>2747</v>
      </c>
      <c r="F782" s="1282"/>
      <c r="G782" s="1281"/>
    </row>
    <row r="783" spans="1:7" ht="79.150000000000006" customHeight="1" thickBot="1">
      <c r="A783" s="1692" t="s">
        <v>204</v>
      </c>
      <c r="B783" s="1693"/>
      <c r="C783" s="1693"/>
      <c r="D783" s="1280">
        <f>SUM(D772:D782)</f>
        <v>0</v>
      </c>
      <c r="E783" s="1336" t="s">
        <v>2747</v>
      </c>
      <c r="F783" s="1279" t="s">
        <v>2746</v>
      </c>
      <c r="G783" s="1278" t="s">
        <v>2746</v>
      </c>
    </row>
    <row r="784" spans="1:7" ht="35.25" thickBot="1">
      <c r="A784" s="1302"/>
      <c r="B784" s="1361"/>
      <c r="C784" s="1302"/>
      <c r="D784" s="1303"/>
      <c r="E784" s="1302"/>
      <c r="F784" s="1301"/>
      <c r="G784" s="1301"/>
    </row>
    <row r="785" spans="1:7" ht="75.599999999999994" customHeight="1" thickBot="1">
      <c r="A785" s="1300"/>
      <c r="B785" s="1299" t="str">
        <f>BASIC_TOOL!$B$6</f>
        <v>A Project</v>
      </c>
      <c r="C785" s="1304" t="s">
        <v>2756</v>
      </c>
      <c r="D785" s="1297" t="e">
        <f ca="1">_xlfn.IFS(PACKING!BP302="M", "1X1.5M",PACKING!BP302="L", "1X2M",PACKING!BP302="S", "1X1M")</f>
        <v>#NAME?</v>
      </c>
      <c r="E785" s="1296">
        <f>PACKING!CR94</f>
        <v>47</v>
      </c>
      <c r="F785" s="1295" t="s">
        <v>2755</v>
      </c>
      <c r="G785" s="1294">
        <f>PACKING!$C$93</f>
        <v>2</v>
      </c>
    </row>
    <row r="786" spans="1:7" ht="87.6" customHeight="1">
      <c r="A786" s="1290" t="s">
        <v>2754</v>
      </c>
      <c r="B786" s="1290" t="str">
        <f>BASIC_TOOL!$B$7</f>
        <v>DAMMAM, KSA</v>
      </c>
      <c r="C786" s="1293" t="str">
        <f>BASIC_TOOL!$C$14</f>
        <v>Non-Insulated</v>
      </c>
      <c r="D786" s="1694" t="str">
        <f>'PRINTOUT(BOM)'!$A$96</f>
        <v>▣ Size : 10mW x (5)mL x3mH =150 [TON]/ 1[SET]</v>
      </c>
      <c r="E786" s="1695"/>
      <c r="F786" s="1695"/>
      <c r="G786" s="1696"/>
    </row>
    <row r="787" spans="1:7" ht="63.6" customHeight="1">
      <c r="A787" s="1290" t="s">
        <v>2753</v>
      </c>
      <c r="B787" s="1292">
        <f>BASIC_TOOL!$F$7</f>
        <v>44343</v>
      </c>
      <c r="C787" s="1291" t="s">
        <v>2752</v>
      </c>
      <c r="D787" s="1691" t="str">
        <f>BASIC_TOOL!$D$6</f>
        <v>ABC</v>
      </c>
      <c r="E787" s="1691"/>
      <c r="F787" s="1691" t="s">
        <v>2751</v>
      </c>
      <c r="G787" s="1697"/>
    </row>
    <row r="788" spans="1:7" ht="60">
      <c r="A788" s="1290" t="s">
        <v>176</v>
      </c>
      <c r="B788" s="1359" t="s">
        <v>177</v>
      </c>
      <c r="C788" s="1335" t="s">
        <v>2750</v>
      </c>
      <c r="D788" s="1691" t="s">
        <v>239</v>
      </c>
      <c r="E788" s="1691"/>
      <c r="F788" s="1288" t="s">
        <v>2749</v>
      </c>
      <c r="G788" s="1287" t="s">
        <v>2748</v>
      </c>
    </row>
    <row r="789" spans="1:7" ht="52.9" customHeight="1">
      <c r="A789" s="1284" t="str">
        <f>IFERROR(VLOOKUP(B:B,'0.39'!B:F,5,FALSE),"")</f>
        <v/>
      </c>
      <c r="B789" s="1331" t="str">
        <f>PACKING!CQ67</f>
        <v/>
      </c>
      <c r="C789" s="1283" t="str">
        <f>IFERROR((VLOOKUP(B:B,'0.39'!B:F,4,FALSE)),"")</f>
        <v/>
      </c>
      <c r="D789" s="1331" t="str">
        <f>PACKING!CR67</f>
        <v/>
      </c>
      <c r="E789" s="1286" t="s">
        <v>2747</v>
      </c>
      <c r="F789" s="1285"/>
      <c r="G789" s="1281"/>
    </row>
    <row r="790" spans="1:7" ht="52.9" customHeight="1">
      <c r="A790" s="1284" t="str">
        <f>IFERROR(VLOOKUP(B:B,'0.39'!B:F,5,FALSE),"")</f>
        <v/>
      </c>
      <c r="B790" s="1331" t="str">
        <f>PACKING!CQ68</f>
        <v/>
      </c>
      <c r="C790" s="1283" t="str">
        <f>IFERROR((VLOOKUP(B:B,'0.39'!B:F,4,FALSE)),"")</f>
        <v/>
      </c>
      <c r="D790" s="1331" t="str">
        <f>PACKING!CR68</f>
        <v/>
      </c>
      <c r="E790" s="1337" t="s">
        <v>2747</v>
      </c>
      <c r="F790" s="1285"/>
      <c r="G790" s="1281"/>
    </row>
    <row r="791" spans="1:7" ht="52.9" customHeight="1">
      <c r="A791" s="1284" t="str">
        <f>IFERROR(VLOOKUP(B:B,'0.39'!B:F,5,FALSE),"")</f>
        <v/>
      </c>
      <c r="B791" s="1331" t="str">
        <f>PACKING!CQ69</f>
        <v/>
      </c>
      <c r="C791" s="1283" t="str">
        <f>IFERROR((VLOOKUP(B:B,'0.39'!B:F,4,FALSE)),"")</f>
        <v/>
      </c>
      <c r="D791" s="1331" t="str">
        <f>PACKING!CR69</f>
        <v/>
      </c>
      <c r="E791" s="1286" t="s">
        <v>2747</v>
      </c>
      <c r="F791" s="1285"/>
      <c r="G791" s="1281"/>
    </row>
    <row r="792" spans="1:7" ht="52.9" customHeight="1">
      <c r="A792" s="1284" t="str">
        <f>IFERROR(VLOOKUP(B:B,'0.39'!B:F,5,FALSE),"")</f>
        <v/>
      </c>
      <c r="B792" s="1331" t="str">
        <f>PACKING!CQ70</f>
        <v/>
      </c>
      <c r="C792" s="1283" t="str">
        <f>IFERROR((VLOOKUP(B:B,'0.39'!B:F,4,FALSE)),"")</f>
        <v/>
      </c>
      <c r="D792" s="1331" t="str">
        <f>PACKING!CR70</f>
        <v/>
      </c>
      <c r="E792" s="1286" t="s">
        <v>2747</v>
      </c>
      <c r="F792" s="1282"/>
      <c r="G792" s="1281"/>
    </row>
    <row r="793" spans="1:7" ht="52.9" customHeight="1">
      <c r="A793" s="1284" t="str">
        <f>IFERROR(VLOOKUP(B:B,'0.39'!B:F,5,FALSE),"")</f>
        <v/>
      </c>
      <c r="B793" s="1331" t="str">
        <f>PACKING!CQ71</f>
        <v/>
      </c>
      <c r="C793" s="1283" t="str">
        <f>IFERROR((VLOOKUP(B:B,'0.39'!B:F,4,FALSE)),"")</f>
        <v/>
      </c>
      <c r="D793" s="1331" t="str">
        <f>PACKING!CR71</f>
        <v/>
      </c>
      <c r="E793" s="1286" t="s">
        <v>2747</v>
      </c>
      <c r="F793" s="1282"/>
      <c r="G793" s="1281"/>
    </row>
    <row r="794" spans="1:7" ht="52.9" customHeight="1">
      <c r="A794" s="1284" t="str">
        <f>IFERROR(VLOOKUP(B:B,'0.39'!B:F,5,FALSE),"")</f>
        <v/>
      </c>
      <c r="B794" s="1331" t="str">
        <f>PACKING!CQ72</f>
        <v/>
      </c>
      <c r="C794" s="1283" t="str">
        <f>IFERROR((VLOOKUP(B:B,'0.39'!B:F,4,FALSE)),"")</f>
        <v/>
      </c>
      <c r="D794" s="1331" t="str">
        <f>PACKING!CR72</f>
        <v/>
      </c>
      <c r="E794" s="1337" t="s">
        <v>2747</v>
      </c>
      <c r="F794" s="1282"/>
      <c r="G794" s="1281"/>
    </row>
    <row r="795" spans="1:7" ht="52.9" customHeight="1">
      <c r="A795" s="1284" t="str">
        <f>IFERROR(VLOOKUP(B:B,'0.39'!B:F,5,FALSE),"")</f>
        <v/>
      </c>
      <c r="B795" s="1331" t="str">
        <f>PACKING!CQ73</f>
        <v/>
      </c>
      <c r="C795" s="1283" t="str">
        <f>IFERROR((VLOOKUP(B:B,'0.39'!B:F,4,FALSE)),"")</f>
        <v/>
      </c>
      <c r="D795" s="1331" t="str">
        <f>PACKING!CR73</f>
        <v/>
      </c>
      <c r="E795" s="1337" t="s">
        <v>2747</v>
      </c>
      <c r="F795" s="1282"/>
      <c r="G795" s="1281"/>
    </row>
    <row r="796" spans="1:7" ht="52.9" customHeight="1">
      <c r="A796" s="1284" t="str">
        <f>IFERROR(VLOOKUP(B:B,'0.39'!B:F,5,FALSE),"")</f>
        <v/>
      </c>
      <c r="B796" s="1331" t="str">
        <f>PACKING!CQ74</f>
        <v/>
      </c>
      <c r="C796" s="1283" t="str">
        <f>IFERROR((VLOOKUP(B:B,'0.39'!B:F,4,FALSE)),"")</f>
        <v/>
      </c>
      <c r="D796" s="1331" t="str">
        <f>PACKING!CR74</f>
        <v/>
      </c>
      <c r="E796" s="1337" t="s">
        <v>2747</v>
      </c>
      <c r="F796" s="1282"/>
      <c r="G796" s="1281"/>
    </row>
    <row r="797" spans="1:7" ht="52.9" customHeight="1">
      <c r="A797" s="1284" t="str">
        <f>IFERROR(VLOOKUP(B:B,'0.39'!B:F,5,FALSE),"")</f>
        <v/>
      </c>
      <c r="B797" s="1331" t="str">
        <f>PACKING!CQ75</f>
        <v/>
      </c>
      <c r="C797" s="1283" t="str">
        <f>IFERROR((VLOOKUP(B:B,'0.39'!B:F,4,FALSE)),"")</f>
        <v/>
      </c>
      <c r="D797" s="1331" t="str">
        <f>PACKING!CR75</f>
        <v/>
      </c>
      <c r="E797" s="1337" t="s">
        <v>2747</v>
      </c>
      <c r="F797" s="1285"/>
      <c r="G797" s="1281"/>
    </row>
    <row r="798" spans="1:7" ht="52.9" customHeight="1">
      <c r="A798" s="1284" t="str">
        <f>IFERROR(VLOOKUP(B:B,'0.39'!B:F,5,FALSE),"")</f>
        <v/>
      </c>
      <c r="B798" s="1331" t="str">
        <f>PACKING!CQ76</f>
        <v/>
      </c>
      <c r="C798" s="1283" t="str">
        <f>IFERROR((VLOOKUP(B:B,'0.39'!B:F,4,FALSE)),"")</f>
        <v/>
      </c>
      <c r="D798" s="1331" t="str">
        <f>PACKING!CR76</f>
        <v/>
      </c>
      <c r="E798" s="1337" t="s">
        <v>2747</v>
      </c>
      <c r="F798" s="1282"/>
      <c r="G798" s="1281"/>
    </row>
    <row r="799" spans="1:7" ht="52.9" customHeight="1">
      <c r="A799" s="1284" t="str">
        <f>IFERROR(VLOOKUP(B:B,'0.39'!B:F,5,FALSE),"")</f>
        <v/>
      </c>
      <c r="B799" s="1331" t="str">
        <f>PACKING!CQ77</f>
        <v/>
      </c>
      <c r="C799" s="1283" t="str">
        <f>IFERROR((VLOOKUP(B:B,'0.39'!B:F,4,FALSE)),"")</f>
        <v/>
      </c>
      <c r="D799" s="1331" t="str">
        <f>PACKING!CR77</f>
        <v/>
      </c>
      <c r="E799" s="1337" t="s">
        <v>2747</v>
      </c>
      <c r="F799" s="1282"/>
      <c r="G799" s="1281"/>
    </row>
    <row r="800" spans="1:7" ht="79.150000000000006" customHeight="1" thickBot="1">
      <c r="A800" s="1692" t="s">
        <v>204</v>
      </c>
      <c r="B800" s="1693"/>
      <c r="C800" s="1693"/>
      <c r="D800" s="1280">
        <f>SUM(D789:D799)</f>
        <v>0</v>
      </c>
      <c r="E800" s="1336" t="s">
        <v>2747</v>
      </c>
      <c r="F800" s="1279" t="s">
        <v>2746</v>
      </c>
      <c r="G800" s="1278" t="s">
        <v>2746</v>
      </c>
    </row>
    <row r="801" spans="1:7" ht="35.25" thickBot="1">
      <c r="A801" s="1302"/>
      <c r="B801" s="1361"/>
      <c r="C801" s="1302"/>
      <c r="D801" s="1303"/>
      <c r="E801" s="1302"/>
      <c r="F801" s="1301"/>
      <c r="G801" s="1301"/>
    </row>
    <row r="802" spans="1:7" ht="75.599999999999994" customHeight="1" thickBot="1">
      <c r="A802" s="1300"/>
      <c r="B802" s="1299" t="str">
        <f>BASIC_TOOL!$B$6</f>
        <v>A Project</v>
      </c>
      <c r="C802" s="1304" t="s">
        <v>2756</v>
      </c>
      <c r="D802" s="1297" t="e">
        <f ca="1">_xlfn.IFS(PACKING!BP319="M", "1X1.5M",PACKING!BP319="L", "1X2M",PACKING!BP319="S", "1X1M")</f>
        <v>#NAME?</v>
      </c>
      <c r="E802" s="1296">
        <f>PACKING!CT94</f>
        <v>48</v>
      </c>
      <c r="F802" s="1295" t="s">
        <v>2755</v>
      </c>
      <c r="G802" s="1294">
        <f>PACKING!$C$93</f>
        <v>2</v>
      </c>
    </row>
    <row r="803" spans="1:7" ht="87.6" customHeight="1">
      <c r="A803" s="1290" t="s">
        <v>2754</v>
      </c>
      <c r="B803" s="1290" t="str">
        <f>BASIC_TOOL!$B$7</f>
        <v>DAMMAM, KSA</v>
      </c>
      <c r="C803" s="1293" t="str">
        <f>BASIC_TOOL!$C$14</f>
        <v>Non-Insulated</v>
      </c>
      <c r="D803" s="1694" t="str">
        <f>'PRINTOUT(BOM)'!$A$96</f>
        <v>▣ Size : 10mW x (5)mL x3mH =150 [TON]/ 1[SET]</v>
      </c>
      <c r="E803" s="1695"/>
      <c r="F803" s="1695"/>
      <c r="G803" s="1696"/>
    </row>
    <row r="804" spans="1:7" ht="63.6" customHeight="1">
      <c r="A804" s="1290" t="s">
        <v>2753</v>
      </c>
      <c r="B804" s="1292">
        <f>BASIC_TOOL!$F$7</f>
        <v>44343</v>
      </c>
      <c r="C804" s="1291" t="s">
        <v>2752</v>
      </c>
      <c r="D804" s="1691" t="str">
        <f>BASIC_TOOL!$D$6</f>
        <v>ABC</v>
      </c>
      <c r="E804" s="1691"/>
      <c r="F804" s="1691" t="s">
        <v>2751</v>
      </c>
      <c r="G804" s="1697"/>
    </row>
    <row r="805" spans="1:7" ht="60">
      <c r="A805" s="1290" t="s">
        <v>176</v>
      </c>
      <c r="B805" s="1359" t="s">
        <v>177</v>
      </c>
      <c r="C805" s="1335" t="s">
        <v>2750</v>
      </c>
      <c r="D805" s="1691" t="s">
        <v>239</v>
      </c>
      <c r="E805" s="1691"/>
      <c r="F805" s="1288" t="s">
        <v>2749</v>
      </c>
      <c r="G805" s="1287" t="s">
        <v>2748</v>
      </c>
    </row>
    <row r="806" spans="1:7" ht="52.9" customHeight="1">
      <c r="A806" s="1284" t="str">
        <f>IFERROR(VLOOKUP(B:B,'0.39'!B:F,5,FALSE),"")</f>
        <v/>
      </c>
      <c r="B806" s="1331" t="str">
        <f>PACKING!CS67</f>
        <v/>
      </c>
      <c r="C806" s="1283" t="str">
        <f>IFERROR((VLOOKUP(B:B,'0.39'!B:F,4,FALSE)),"")</f>
        <v/>
      </c>
      <c r="D806" s="1331" t="str">
        <f>PACKING!CT67</f>
        <v/>
      </c>
      <c r="E806" s="1286" t="s">
        <v>2747</v>
      </c>
      <c r="F806" s="1285"/>
      <c r="G806" s="1281"/>
    </row>
    <row r="807" spans="1:7" ht="52.9" customHeight="1">
      <c r="A807" s="1284" t="str">
        <f>IFERROR(VLOOKUP(B:B,'0.39'!B:F,5,FALSE),"")</f>
        <v/>
      </c>
      <c r="B807" s="1331" t="str">
        <f>PACKING!CS68</f>
        <v/>
      </c>
      <c r="C807" s="1283" t="str">
        <f>IFERROR((VLOOKUP(B:B,'0.39'!B:F,4,FALSE)),"")</f>
        <v/>
      </c>
      <c r="D807" s="1331" t="str">
        <f>PACKING!CT68</f>
        <v/>
      </c>
      <c r="E807" s="1337" t="s">
        <v>2747</v>
      </c>
      <c r="F807" s="1285"/>
      <c r="G807" s="1281"/>
    </row>
    <row r="808" spans="1:7" ht="52.9" customHeight="1">
      <c r="A808" s="1284" t="str">
        <f>IFERROR(VLOOKUP(B:B,'0.39'!B:F,5,FALSE),"")</f>
        <v/>
      </c>
      <c r="B808" s="1331" t="str">
        <f>PACKING!CS69</f>
        <v/>
      </c>
      <c r="C808" s="1283" t="str">
        <f>IFERROR((VLOOKUP(B:B,'0.39'!B:F,4,FALSE)),"")</f>
        <v/>
      </c>
      <c r="D808" s="1331" t="str">
        <f>PACKING!CT69</f>
        <v/>
      </c>
      <c r="E808" s="1286" t="s">
        <v>2747</v>
      </c>
      <c r="F808" s="1285"/>
      <c r="G808" s="1281"/>
    </row>
    <row r="809" spans="1:7" ht="52.9" customHeight="1">
      <c r="A809" s="1284" t="str">
        <f>IFERROR(VLOOKUP(B:B,'0.39'!B:F,5,FALSE),"")</f>
        <v/>
      </c>
      <c r="B809" s="1331" t="str">
        <f>PACKING!CS70</f>
        <v/>
      </c>
      <c r="C809" s="1283" t="str">
        <f>IFERROR((VLOOKUP(B:B,'0.39'!B:F,4,FALSE)),"")</f>
        <v/>
      </c>
      <c r="D809" s="1331" t="str">
        <f>PACKING!CT70</f>
        <v/>
      </c>
      <c r="E809" s="1286" t="s">
        <v>2747</v>
      </c>
      <c r="F809" s="1282"/>
      <c r="G809" s="1281"/>
    </row>
    <row r="810" spans="1:7" ht="52.9" customHeight="1">
      <c r="A810" s="1284" t="str">
        <f>IFERROR(VLOOKUP(B:B,'0.39'!B:F,5,FALSE),"")</f>
        <v/>
      </c>
      <c r="B810" s="1331" t="str">
        <f>PACKING!CS71</f>
        <v/>
      </c>
      <c r="C810" s="1283" t="str">
        <f>IFERROR((VLOOKUP(B:B,'0.39'!B:F,4,FALSE)),"")</f>
        <v/>
      </c>
      <c r="D810" s="1331" t="str">
        <f>PACKING!CT71</f>
        <v/>
      </c>
      <c r="E810" s="1286" t="s">
        <v>2747</v>
      </c>
      <c r="F810" s="1282"/>
      <c r="G810" s="1281"/>
    </row>
    <row r="811" spans="1:7" ht="52.9" customHeight="1">
      <c r="A811" s="1284" t="str">
        <f>IFERROR(VLOOKUP(B:B,'0.39'!B:F,5,FALSE),"")</f>
        <v/>
      </c>
      <c r="B811" s="1331" t="str">
        <f>PACKING!CS72</f>
        <v/>
      </c>
      <c r="C811" s="1283" t="str">
        <f>IFERROR((VLOOKUP(B:B,'0.39'!B:F,4,FALSE)),"")</f>
        <v/>
      </c>
      <c r="D811" s="1331" t="str">
        <f>PACKING!CT72</f>
        <v/>
      </c>
      <c r="E811" s="1337" t="s">
        <v>2747</v>
      </c>
      <c r="F811" s="1282"/>
      <c r="G811" s="1281"/>
    </row>
    <row r="812" spans="1:7" ht="52.9" customHeight="1">
      <c r="A812" s="1284" t="str">
        <f>IFERROR(VLOOKUP(B:B,'0.39'!B:F,5,FALSE),"")</f>
        <v/>
      </c>
      <c r="B812" s="1331" t="str">
        <f>PACKING!CS73</f>
        <v/>
      </c>
      <c r="C812" s="1283" t="str">
        <f>IFERROR((VLOOKUP(B:B,'0.39'!B:F,4,FALSE)),"")</f>
        <v/>
      </c>
      <c r="D812" s="1331" t="str">
        <f>PACKING!CT73</f>
        <v/>
      </c>
      <c r="E812" s="1337" t="s">
        <v>2747</v>
      </c>
      <c r="F812" s="1282"/>
      <c r="G812" s="1281"/>
    </row>
    <row r="813" spans="1:7" ht="52.9" customHeight="1">
      <c r="A813" s="1284" t="str">
        <f>IFERROR(VLOOKUP(B:B,'0.39'!B:F,5,FALSE),"")</f>
        <v/>
      </c>
      <c r="B813" s="1331" t="str">
        <f>PACKING!CS74</f>
        <v/>
      </c>
      <c r="C813" s="1283" t="str">
        <f>IFERROR((VLOOKUP(B:B,'0.39'!B:F,4,FALSE)),"")</f>
        <v/>
      </c>
      <c r="D813" s="1331" t="str">
        <f>PACKING!CT74</f>
        <v/>
      </c>
      <c r="E813" s="1337" t="s">
        <v>2747</v>
      </c>
      <c r="F813" s="1282"/>
      <c r="G813" s="1281"/>
    </row>
    <row r="814" spans="1:7" ht="52.9" customHeight="1">
      <c r="A814" s="1284" t="str">
        <f>IFERROR(VLOOKUP(B:B,'0.39'!B:F,5,FALSE),"")</f>
        <v/>
      </c>
      <c r="B814" s="1331" t="str">
        <f>PACKING!CS75</f>
        <v/>
      </c>
      <c r="C814" s="1283" t="str">
        <f>IFERROR((VLOOKUP(B:B,'0.39'!B:F,4,FALSE)),"")</f>
        <v/>
      </c>
      <c r="D814" s="1331" t="str">
        <f>PACKING!CT75</f>
        <v/>
      </c>
      <c r="E814" s="1337" t="s">
        <v>2747</v>
      </c>
      <c r="F814" s="1285"/>
      <c r="G814" s="1281"/>
    </row>
    <row r="815" spans="1:7" ht="52.9" customHeight="1">
      <c r="A815" s="1284" t="str">
        <f>IFERROR(VLOOKUP(B:B,'0.39'!B:F,5,FALSE),"")</f>
        <v/>
      </c>
      <c r="B815" s="1331" t="str">
        <f>PACKING!CS76</f>
        <v/>
      </c>
      <c r="C815" s="1283" t="str">
        <f>IFERROR((VLOOKUP(B:B,'0.39'!B:F,4,FALSE)),"")</f>
        <v/>
      </c>
      <c r="D815" s="1331" t="str">
        <f>PACKING!CT76</f>
        <v/>
      </c>
      <c r="E815" s="1337" t="s">
        <v>2747</v>
      </c>
      <c r="F815" s="1282"/>
      <c r="G815" s="1281"/>
    </row>
    <row r="816" spans="1:7" ht="52.9" customHeight="1">
      <c r="A816" s="1284" t="str">
        <f>IFERROR(VLOOKUP(B:B,'0.39'!B:F,5,FALSE),"")</f>
        <v/>
      </c>
      <c r="B816" s="1331" t="str">
        <f>PACKING!CS77</f>
        <v/>
      </c>
      <c r="C816" s="1283" t="str">
        <f>IFERROR((VLOOKUP(B:B,'0.39'!B:F,4,FALSE)),"")</f>
        <v/>
      </c>
      <c r="D816" s="1331" t="str">
        <f>PACKING!CT77</f>
        <v/>
      </c>
      <c r="E816" s="1337" t="s">
        <v>2747</v>
      </c>
      <c r="F816" s="1282"/>
      <c r="G816" s="1281"/>
    </row>
    <row r="817" spans="1:7" ht="79.150000000000006" customHeight="1" thickBot="1">
      <c r="A817" s="1692" t="s">
        <v>204</v>
      </c>
      <c r="B817" s="1693"/>
      <c r="C817" s="1693"/>
      <c r="D817" s="1280">
        <f>SUM(D806:D816)</f>
        <v>0</v>
      </c>
      <c r="E817" s="1336" t="s">
        <v>2747</v>
      </c>
      <c r="F817" s="1279" t="s">
        <v>2746</v>
      </c>
      <c r="G817" s="1278" t="s">
        <v>2746</v>
      </c>
    </row>
    <row r="818" spans="1:7" ht="35.25" thickBot="1">
      <c r="A818" s="1302"/>
      <c r="B818" s="1361"/>
      <c r="C818" s="1302"/>
      <c r="D818" s="1303"/>
      <c r="E818" s="1302"/>
      <c r="F818" s="1301"/>
      <c r="G818" s="1301"/>
    </row>
    <row r="819" spans="1:7" ht="75.599999999999994" customHeight="1" thickBot="1">
      <c r="A819" s="1300"/>
      <c r="B819" s="1299" t="str">
        <f>BASIC_TOOL!$B$6</f>
        <v>A Project</v>
      </c>
      <c r="C819" s="1304" t="s">
        <v>2756</v>
      </c>
      <c r="D819" s="1297" t="e">
        <f ca="1">_xlfn.IFS(PACKING!BP336="M", "1X1.5M",PACKING!BP336="L", "1X2M",PACKING!BP336="S", "1X1M")</f>
        <v>#NAME?</v>
      </c>
      <c r="E819" s="1296">
        <f>PACKING!CV94</f>
        <v>49</v>
      </c>
      <c r="F819" s="1295" t="s">
        <v>2755</v>
      </c>
      <c r="G819" s="1294">
        <f>PACKING!$C$93</f>
        <v>2</v>
      </c>
    </row>
    <row r="820" spans="1:7" ht="87.6" customHeight="1">
      <c r="A820" s="1290" t="s">
        <v>2754</v>
      </c>
      <c r="B820" s="1290" t="str">
        <f>BASIC_TOOL!$B$7</f>
        <v>DAMMAM, KSA</v>
      </c>
      <c r="C820" s="1293" t="str">
        <f>BASIC_TOOL!$C$14</f>
        <v>Non-Insulated</v>
      </c>
      <c r="D820" s="1694" t="str">
        <f>'PRINTOUT(BOM)'!$A$96</f>
        <v>▣ Size : 10mW x (5)mL x3mH =150 [TON]/ 1[SET]</v>
      </c>
      <c r="E820" s="1695"/>
      <c r="F820" s="1695"/>
      <c r="G820" s="1696"/>
    </row>
    <row r="821" spans="1:7" ht="63.6" customHeight="1">
      <c r="A821" s="1290" t="s">
        <v>2753</v>
      </c>
      <c r="B821" s="1292">
        <f>BASIC_TOOL!$F$7</f>
        <v>44343</v>
      </c>
      <c r="C821" s="1291" t="s">
        <v>2752</v>
      </c>
      <c r="D821" s="1691" t="str">
        <f>BASIC_TOOL!$D$6</f>
        <v>ABC</v>
      </c>
      <c r="E821" s="1691"/>
      <c r="F821" s="1691" t="s">
        <v>2751</v>
      </c>
      <c r="G821" s="1697"/>
    </row>
    <row r="822" spans="1:7" ht="60">
      <c r="A822" s="1290" t="s">
        <v>176</v>
      </c>
      <c r="B822" s="1359" t="s">
        <v>177</v>
      </c>
      <c r="C822" s="1335" t="s">
        <v>2750</v>
      </c>
      <c r="D822" s="1691" t="s">
        <v>239</v>
      </c>
      <c r="E822" s="1691"/>
      <c r="F822" s="1288" t="s">
        <v>2749</v>
      </c>
      <c r="G822" s="1287" t="s">
        <v>2748</v>
      </c>
    </row>
    <row r="823" spans="1:7" ht="52.9" customHeight="1">
      <c r="A823" s="1284" t="str">
        <f>IFERROR(VLOOKUP(B:B,'0.39'!B:F,5,FALSE),"")</f>
        <v/>
      </c>
      <c r="B823" s="1331" t="str">
        <f>PACKING!CU67</f>
        <v/>
      </c>
      <c r="C823" s="1283" t="str">
        <f>IFERROR((VLOOKUP(B:B,'0.39'!B:F,4,FALSE)),"")</f>
        <v/>
      </c>
      <c r="D823" s="1331" t="str">
        <f>PACKING!CV67</f>
        <v/>
      </c>
      <c r="E823" s="1286" t="s">
        <v>2747</v>
      </c>
      <c r="F823" s="1285"/>
      <c r="G823" s="1281"/>
    </row>
    <row r="824" spans="1:7" ht="52.9" customHeight="1">
      <c r="A824" s="1284" t="str">
        <f>IFERROR(VLOOKUP(B:B,'0.39'!B:F,5,FALSE),"")</f>
        <v/>
      </c>
      <c r="B824" s="1331" t="str">
        <f>PACKING!CU68</f>
        <v/>
      </c>
      <c r="C824" s="1283" t="str">
        <f>IFERROR((VLOOKUP(B:B,'0.39'!B:F,4,FALSE)),"")</f>
        <v/>
      </c>
      <c r="D824" s="1331" t="str">
        <f>PACKING!CV68</f>
        <v/>
      </c>
      <c r="E824" s="1337" t="s">
        <v>2747</v>
      </c>
      <c r="F824" s="1285"/>
      <c r="G824" s="1281"/>
    </row>
    <row r="825" spans="1:7" ht="52.9" customHeight="1">
      <c r="A825" s="1284" t="str">
        <f>IFERROR(VLOOKUP(B:B,'0.39'!B:F,5,FALSE),"")</f>
        <v/>
      </c>
      <c r="B825" s="1331" t="str">
        <f>PACKING!CU69</f>
        <v/>
      </c>
      <c r="C825" s="1283" t="str">
        <f>IFERROR((VLOOKUP(B:B,'0.39'!B:F,4,FALSE)),"")</f>
        <v/>
      </c>
      <c r="D825" s="1331" t="str">
        <f>PACKING!CV69</f>
        <v/>
      </c>
      <c r="E825" s="1286" t="s">
        <v>2747</v>
      </c>
      <c r="F825" s="1285"/>
      <c r="G825" s="1281"/>
    </row>
    <row r="826" spans="1:7" ht="52.9" customHeight="1">
      <c r="A826" s="1284" t="str">
        <f>IFERROR(VLOOKUP(B:B,'0.39'!B:F,5,FALSE),"")</f>
        <v/>
      </c>
      <c r="B826" s="1331" t="str">
        <f>PACKING!CU70</f>
        <v/>
      </c>
      <c r="C826" s="1283" t="str">
        <f>IFERROR((VLOOKUP(B:B,'0.39'!B:F,4,FALSE)),"")</f>
        <v/>
      </c>
      <c r="D826" s="1331" t="str">
        <f>PACKING!CV70</f>
        <v/>
      </c>
      <c r="E826" s="1286" t="s">
        <v>2747</v>
      </c>
      <c r="F826" s="1282"/>
      <c r="G826" s="1281"/>
    </row>
    <row r="827" spans="1:7" ht="52.9" customHeight="1">
      <c r="A827" s="1284" t="str">
        <f>IFERROR(VLOOKUP(B:B,'0.39'!B:F,5,FALSE),"")</f>
        <v/>
      </c>
      <c r="B827" s="1331" t="str">
        <f>PACKING!CU71</f>
        <v/>
      </c>
      <c r="C827" s="1283" t="str">
        <f>IFERROR((VLOOKUP(B:B,'0.39'!B:F,4,FALSE)),"")</f>
        <v/>
      </c>
      <c r="D827" s="1331" t="str">
        <f>PACKING!CV71</f>
        <v/>
      </c>
      <c r="E827" s="1286" t="s">
        <v>2747</v>
      </c>
      <c r="F827" s="1282"/>
      <c r="G827" s="1281"/>
    </row>
    <row r="828" spans="1:7" ht="52.9" customHeight="1">
      <c r="A828" s="1284" t="str">
        <f>IFERROR(VLOOKUP(B:B,'0.39'!B:F,5,FALSE),"")</f>
        <v/>
      </c>
      <c r="B828" s="1331" t="str">
        <f>PACKING!CU72</f>
        <v/>
      </c>
      <c r="C828" s="1283" t="str">
        <f>IFERROR((VLOOKUP(B:B,'0.39'!B:F,4,FALSE)),"")</f>
        <v/>
      </c>
      <c r="D828" s="1331" t="str">
        <f>PACKING!CV72</f>
        <v/>
      </c>
      <c r="E828" s="1337" t="s">
        <v>2747</v>
      </c>
      <c r="F828" s="1282"/>
      <c r="G828" s="1281"/>
    </row>
    <row r="829" spans="1:7" ht="52.9" customHeight="1">
      <c r="A829" s="1284" t="str">
        <f>IFERROR(VLOOKUP(B:B,'0.39'!B:F,5,FALSE),"")</f>
        <v/>
      </c>
      <c r="B829" s="1331" t="str">
        <f>PACKING!CU73</f>
        <v/>
      </c>
      <c r="C829" s="1283" t="str">
        <f>IFERROR((VLOOKUP(B:B,'0.39'!B:F,4,FALSE)),"")</f>
        <v/>
      </c>
      <c r="D829" s="1331" t="str">
        <f>PACKING!CV73</f>
        <v/>
      </c>
      <c r="E829" s="1337" t="s">
        <v>2747</v>
      </c>
      <c r="F829" s="1282"/>
      <c r="G829" s="1281"/>
    </row>
    <row r="830" spans="1:7" ht="52.9" customHeight="1">
      <c r="A830" s="1284" t="str">
        <f>IFERROR(VLOOKUP(B:B,'0.39'!B:F,5,FALSE),"")</f>
        <v/>
      </c>
      <c r="B830" s="1331" t="str">
        <f>PACKING!CU74</f>
        <v/>
      </c>
      <c r="C830" s="1283" t="str">
        <f>IFERROR((VLOOKUP(B:B,'0.39'!B:F,4,FALSE)),"")</f>
        <v/>
      </c>
      <c r="D830" s="1331" t="str">
        <f>PACKING!CV74</f>
        <v/>
      </c>
      <c r="E830" s="1337" t="s">
        <v>2747</v>
      </c>
      <c r="F830" s="1282"/>
      <c r="G830" s="1281"/>
    </row>
    <row r="831" spans="1:7" ht="52.9" customHeight="1">
      <c r="A831" s="1284" t="str">
        <f>IFERROR(VLOOKUP(B:B,'0.39'!B:F,5,FALSE),"")</f>
        <v/>
      </c>
      <c r="B831" s="1331" t="str">
        <f>PACKING!CU75</f>
        <v/>
      </c>
      <c r="C831" s="1283" t="str">
        <f>IFERROR((VLOOKUP(B:B,'0.39'!B:F,4,FALSE)),"")</f>
        <v/>
      </c>
      <c r="D831" s="1331" t="str">
        <f>PACKING!CV75</f>
        <v/>
      </c>
      <c r="E831" s="1337" t="s">
        <v>2747</v>
      </c>
      <c r="F831" s="1285"/>
      <c r="G831" s="1281"/>
    </row>
    <row r="832" spans="1:7" ht="52.9" customHeight="1">
      <c r="A832" s="1284" t="str">
        <f>IFERROR(VLOOKUP(B:B,'0.39'!B:F,5,FALSE),"")</f>
        <v/>
      </c>
      <c r="B832" s="1331" t="str">
        <f>PACKING!CU76</f>
        <v/>
      </c>
      <c r="C832" s="1283" t="str">
        <f>IFERROR((VLOOKUP(B:B,'0.39'!B:F,4,FALSE)),"")</f>
        <v/>
      </c>
      <c r="D832" s="1331" t="str">
        <f>PACKING!CV76</f>
        <v/>
      </c>
      <c r="E832" s="1337" t="s">
        <v>2747</v>
      </c>
      <c r="F832" s="1282"/>
      <c r="G832" s="1281"/>
    </row>
    <row r="833" spans="1:7" ht="52.9" customHeight="1">
      <c r="A833" s="1284" t="str">
        <f>IFERROR(VLOOKUP(B:B,'0.39'!B:F,5,FALSE),"")</f>
        <v/>
      </c>
      <c r="B833" s="1331" t="str">
        <f>PACKING!CU77</f>
        <v/>
      </c>
      <c r="C833" s="1283" t="str">
        <f>IFERROR((VLOOKUP(B:B,'0.39'!B:F,4,FALSE)),"")</f>
        <v/>
      </c>
      <c r="D833" s="1331">
        <f>PACKING!N807</f>
        <v>0</v>
      </c>
      <c r="E833" s="1337" t="s">
        <v>2747</v>
      </c>
      <c r="F833" s="1282"/>
      <c r="G833" s="1281"/>
    </row>
    <row r="834" spans="1:7" ht="79.150000000000006" customHeight="1" thickBot="1">
      <c r="A834" s="1692" t="s">
        <v>204</v>
      </c>
      <c r="B834" s="1693"/>
      <c r="C834" s="1693"/>
      <c r="D834" s="1280">
        <f>SUM(D823:D833)</f>
        <v>0</v>
      </c>
      <c r="E834" s="1336" t="s">
        <v>2747</v>
      </c>
      <c r="F834" s="1279" t="s">
        <v>2746</v>
      </c>
      <c r="G834" s="1278" t="s">
        <v>2746</v>
      </c>
    </row>
    <row r="835" spans="1:7" ht="35.25" thickBot="1">
      <c r="A835" s="1302"/>
      <c r="B835" s="1361"/>
      <c r="C835" s="1302"/>
      <c r="D835" s="1303"/>
      <c r="E835" s="1302"/>
      <c r="F835" s="1301"/>
      <c r="G835" s="1301"/>
    </row>
    <row r="836" spans="1:7" ht="75.599999999999994" customHeight="1" thickBot="1">
      <c r="A836" s="1300"/>
      <c r="B836" s="1299" t="str">
        <f>BASIC_TOOL!$B$6</f>
        <v>A Project</v>
      </c>
      <c r="C836" s="1304" t="s">
        <v>2756</v>
      </c>
      <c r="D836" s="1297" t="e">
        <f ca="1">_xlfn.IFS(PACKING!BP353="M", "1X1.5M",PACKING!BP353="L", "1X2M",PACKING!BP353="S", "1X1M")</f>
        <v>#NAME?</v>
      </c>
      <c r="E836" s="1296">
        <f>PACKING!CX94</f>
        <v>50</v>
      </c>
      <c r="F836" s="1295" t="s">
        <v>2755</v>
      </c>
      <c r="G836" s="1294">
        <f>PACKING!$C$93</f>
        <v>2</v>
      </c>
    </row>
    <row r="837" spans="1:7" ht="87.6" customHeight="1">
      <c r="A837" s="1290" t="s">
        <v>2754</v>
      </c>
      <c r="B837" s="1290" t="str">
        <f>BASIC_TOOL!$B$7</f>
        <v>DAMMAM, KSA</v>
      </c>
      <c r="C837" s="1293" t="str">
        <f>BASIC_TOOL!$C$14</f>
        <v>Non-Insulated</v>
      </c>
      <c r="D837" s="1694" t="str">
        <f>'PRINTOUT(BOM)'!$A$96</f>
        <v>▣ Size : 10mW x (5)mL x3mH =150 [TON]/ 1[SET]</v>
      </c>
      <c r="E837" s="1695"/>
      <c r="F837" s="1695"/>
      <c r="G837" s="1696"/>
    </row>
    <row r="838" spans="1:7" ht="63.6" customHeight="1">
      <c r="A838" s="1290" t="s">
        <v>2753</v>
      </c>
      <c r="B838" s="1292">
        <f>BASIC_TOOL!$F$7</f>
        <v>44343</v>
      </c>
      <c r="C838" s="1291" t="s">
        <v>2752</v>
      </c>
      <c r="D838" s="1691" t="str">
        <f>BASIC_TOOL!$D$6</f>
        <v>ABC</v>
      </c>
      <c r="E838" s="1691"/>
      <c r="F838" s="1691" t="s">
        <v>2751</v>
      </c>
      <c r="G838" s="1697"/>
    </row>
    <row r="839" spans="1:7" ht="60">
      <c r="A839" s="1290" t="s">
        <v>176</v>
      </c>
      <c r="B839" s="1359" t="s">
        <v>177</v>
      </c>
      <c r="C839" s="1335" t="s">
        <v>2750</v>
      </c>
      <c r="D839" s="1691" t="s">
        <v>239</v>
      </c>
      <c r="E839" s="1691"/>
      <c r="F839" s="1288" t="s">
        <v>2749</v>
      </c>
      <c r="G839" s="1287" t="s">
        <v>2748</v>
      </c>
    </row>
    <row r="840" spans="1:7" ht="52.9" customHeight="1">
      <c r="A840" s="1284" t="str">
        <f>IFERROR(VLOOKUP(B:B,'0.39'!B:F,5,FALSE),"")</f>
        <v/>
      </c>
      <c r="B840" s="1331" t="str">
        <f>PACKING!CW67</f>
        <v/>
      </c>
      <c r="C840" s="1283" t="str">
        <f>IFERROR((VLOOKUP(B:B,'0.39'!B:F,4,FALSE)),"")</f>
        <v/>
      </c>
      <c r="D840" s="1331" t="str">
        <f>PACKING!CX67</f>
        <v/>
      </c>
      <c r="E840" s="1286" t="s">
        <v>2747</v>
      </c>
      <c r="F840" s="1285"/>
      <c r="G840" s="1281"/>
    </row>
    <row r="841" spans="1:7" ht="52.9" customHeight="1">
      <c r="A841" s="1284" t="str">
        <f>IFERROR(VLOOKUP(B:B,'0.39'!B:F,5,FALSE),"")</f>
        <v/>
      </c>
      <c r="B841" s="1331" t="str">
        <f>PACKING!CW68</f>
        <v/>
      </c>
      <c r="C841" s="1283" t="str">
        <f>IFERROR((VLOOKUP(B:B,'0.39'!B:F,4,FALSE)),"")</f>
        <v/>
      </c>
      <c r="D841" s="1331" t="str">
        <f>PACKING!CX68</f>
        <v/>
      </c>
      <c r="E841" s="1337" t="s">
        <v>2747</v>
      </c>
      <c r="F841" s="1285"/>
      <c r="G841" s="1281"/>
    </row>
    <row r="842" spans="1:7" ht="52.9" customHeight="1">
      <c r="A842" s="1284" t="str">
        <f>IFERROR(VLOOKUP(B:B,'0.39'!B:F,5,FALSE),"")</f>
        <v/>
      </c>
      <c r="B842" s="1331" t="str">
        <f>PACKING!CW69</f>
        <v/>
      </c>
      <c r="C842" s="1283" t="str">
        <f>IFERROR((VLOOKUP(B:B,'0.39'!B:F,4,FALSE)),"")</f>
        <v/>
      </c>
      <c r="D842" s="1331" t="str">
        <f>PACKING!CX69</f>
        <v/>
      </c>
      <c r="E842" s="1286" t="s">
        <v>2747</v>
      </c>
      <c r="F842" s="1285"/>
      <c r="G842" s="1281"/>
    </row>
    <row r="843" spans="1:7" ht="52.9" customHeight="1">
      <c r="A843" s="1284" t="str">
        <f>IFERROR(VLOOKUP(B:B,'0.39'!B:F,5,FALSE),"")</f>
        <v/>
      </c>
      <c r="B843" s="1331" t="str">
        <f>PACKING!CW70</f>
        <v/>
      </c>
      <c r="C843" s="1283" t="str">
        <f>IFERROR((VLOOKUP(B:B,'0.39'!B:F,4,FALSE)),"")</f>
        <v/>
      </c>
      <c r="D843" s="1331" t="str">
        <f>PACKING!CX70</f>
        <v/>
      </c>
      <c r="E843" s="1286" t="s">
        <v>2747</v>
      </c>
      <c r="F843" s="1282"/>
      <c r="G843" s="1281"/>
    </row>
    <row r="844" spans="1:7" ht="52.9" customHeight="1">
      <c r="A844" s="1284" t="str">
        <f>IFERROR(VLOOKUP(B:B,'0.39'!B:F,5,FALSE),"")</f>
        <v/>
      </c>
      <c r="B844" s="1331" t="str">
        <f>PACKING!CW71</f>
        <v/>
      </c>
      <c r="C844" s="1283" t="str">
        <f>IFERROR((VLOOKUP(B:B,'0.39'!B:F,4,FALSE)),"")</f>
        <v/>
      </c>
      <c r="D844" s="1331" t="str">
        <f>PACKING!CX71</f>
        <v/>
      </c>
      <c r="E844" s="1286" t="s">
        <v>2747</v>
      </c>
      <c r="F844" s="1282"/>
      <c r="G844" s="1281"/>
    </row>
    <row r="845" spans="1:7" ht="52.9" customHeight="1">
      <c r="A845" s="1284" t="str">
        <f>IFERROR(VLOOKUP(B:B,'0.39'!B:F,5,FALSE),"")</f>
        <v/>
      </c>
      <c r="B845" s="1331" t="str">
        <f>PACKING!CW72</f>
        <v/>
      </c>
      <c r="C845" s="1283" t="str">
        <f>IFERROR((VLOOKUP(B:B,'0.39'!B:F,4,FALSE)),"")</f>
        <v/>
      </c>
      <c r="D845" s="1331" t="str">
        <f>PACKING!CX72</f>
        <v/>
      </c>
      <c r="E845" s="1337" t="s">
        <v>2747</v>
      </c>
      <c r="F845" s="1282"/>
      <c r="G845" s="1281"/>
    </row>
    <row r="846" spans="1:7" ht="52.9" customHeight="1">
      <c r="A846" s="1284" t="str">
        <f>IFERROR(VLOOKUP(B:B,'0.39'!B:F,5,FALSE),"")</f>
        <v/>
      </c>
      <c r="B846" s="1331" t="str">
        <f>PACKING!CW73</f>
        <v/>
      </c>
      <c r="C846" s="1283" t="str">
        <f>IFERROR((VLOOKUP(B:B,'0.39'!B:F,4,FALSE)),"")</f>
        <v/>
      </c>
      <c r="D846" s="1331" t="str">
        <f>PACKING!CX73</f>
        <v/>
      </c>
      <c r="E846" s="1337" t="s">
        <v>2747</v>
      </c>
      <c r="F846" s="1282"/>
      <c r="G846" s="1281"/>
    </row>
    <row r="847" spans="1:7" ht="52.9" customHeight="1">
      <c r="A847" s="1284" t="str">
        <f>IFERROR(VLOOKUP(B:B,'0.39'!B:F,5,FALSE),"")</f>
        <v/>
      </c>
      <c r="B847" s="1331" t="str">
        <f>PACKING!CW74</f>
        <v/>
      </c>
      <c r="C847" s="1283" t="str">
        <f>IFERROR((VLOOKUP(B:B,'0.39'!B:F,4,FALSE)),"")</f>
        <v/>
      </c>
      <c r="D847" s="1331" t="str">
        <f>PACKING!CX74</f>
        <v/>
      </c>
      <c r="E847" s="1337" t="s">
        <v>2747</v>
      </c>
      <c r="F847" s="1282"/>
      <c r="G847" s="1281"/>
    </row>
    <row r="848" spans="1:7" ht="52.9" customHeight="1">
      <c r="A848" s="1284" t="str">
        <f>IFERROR(VLOOKUP(B:B,'0.39'!B:F,5,FALSE),"")</f>
        <v/>
      </c>
      <c r="B848" s="1331" t="str">
        <f>PACKING!CW75</f>
        <v/>
      </c>
      <c r="C848" s="1283" t="str">
        <f>IFERROR((VLOOKUP(B:B,'0.39'!B:F,4,FALSE)),"")</f>
        <v/>
      </c>
      <c r="D848" s="1331" t="str">
        <f>PACKING!CX75</f>
        <v/>
      </c>
      <c r="E848" s="1337" t="s">
        <v>2747</v>
      </c>
      <c r="F848" s="1285"/>
      <c r="G848" s="1281"/>
    </row>
    <row r="849" spans="1:7" ht="52.9" customHeight="1">
      <c r="A849" s="1284" t="str">
        <f>IFERROR(VLOOKUP(B:B,'0.39'!B:F,5,FALSE),"")</f>
        <v/>
      </c>
      <c r="B849" s="1331" t="str">
        <f>PACKING!CW76</f>
        <v/>
      </c>
      <c r="C849" s="1283" t="str">
        <f>IFERROR((VLOOKUP(B:B,'0.39'!B:F,4,FALSE)),"")</f>
        <v/>
      </c>
      <c r="D849" s="1331" t="str">
        <f>PACKING!CX76</f>
        <v/>
      </c>
      <c r="E849" s="1337" t="s">
        <v>2747</v>
      </c>
      <c r="F849" s="1282"/>
      <c r="G849" s="1281"/>
    </row>
    <row r="850" spans="1:7" ht="52.9" customHeight="1">
      <c r="A850" s="1284" t="str">
        <f>IFERROR(VLOOKUP(B:B,'0.39'!B:F,5,FALSE),"")</f>
        <v/>
      </c>
      <c r="B850" s="1331" t="str">
        <f>PACKING!CW77</f>
        <v/>
      </c>
      <c r="C850" s="1283" t="str">
        <f>IFERROR((VLOOKUP(B:B,'0.39'!B:F,4,FALSE)),"")</f>
        <v/>
      </c>
      <c r="D850" s="1331" t="str">
        <f>PACKING!CX77</f>
        <v/>
      </c>
      <c r="E850" s="1337" t="s">
        <v>2747</v>
      </c>
      <c r="F850" s="1282"/>
      <c r="G850" s="1281"/>
    </row>
    <row r="851" spans="1:7" ht="79.150000000000006" customHeight="1" thickBot="1">
      <c r="A851" s="1692" t="s">
        <v>204</v>
      </c>
      <c r="B851" s="1693"/>
      <c r="C851" s="1693"/>
      <c r="D851" s="1280">
        <f>SUM(D840:D850)</f>
        <v>0</v>
      </c>
      <c r="E851" s="1336" t="s">
        <v>2747</v>
      </c>
      <c r="F851" s="1279" t="s">
        <v>2746</v>
      </c>
      <c r="G851" s="1278" t="s">
        <v>2746</v>
      </c>
    </row>
    <row r="852" spans="1:7" ht="35.25" thickBot="1">
      <c r="A852" s="1302"/>
      <c r="B852" s="1361"/>
      <c r="C852" s="1302"/>
      <c r="D852" s="1303"/>
      <c r="E852" s="1302"/>
      <c r="F852" s="1301"/>
      <c r="G852" s="1301"/>
    </row>
    <row r="853" spans="1:7" ht="75.599999999999994" customHeight="1" thickBot="1">
      <c r="A853" s="1300"/>
      <c r="B853" s="1299" t="str">
        <f>BASIC_TOOL!$B$6</f>
        <v>A Project</v>
      </c>
      <c r="C853" s="1304" t="s">
        <v>2756</v>
      </c>
      <c r="D853" s="1297" t="e">
        <f ca="1">_xlfn.IFS(PACKING!BP370="M", "1X1.5M",PACKING!BP370="L", "1X2M",PACKING!BP370="S", "1X1M")</f>
        <v>#NAME?</v>
      </c>
      <c r="E853" s="1296">
        <f>PACKING!CZ94</f>
        <v>51</v>
      </c>
      <c r="F853" s="1295" t="s">
        <v>2755</v>
      </c>
      <c r="G853" s="1294">
        <f>PACKING!$C$93</f>
        <v>2</v>
      </c>
    </row>
    <row r="854" spans="1:7" ht="87.6" customHeight="1">
      <c r="A854" s="1290" t="s">
        <v>2754</v>
      </c>
      <c r="B854" s="1290" t="str">
        <f>BASIC_TOOL!$B$7</f>
        <v>DAMMAM, KSA</v>
      </c>
      <c r="C854" s="1293" t="str">
        <f>BASIC_TOOL!$C$14</f>
        <v>Non-Insulated</v>
      </c>
      <c r="D854" s="1694" t="str">
        <f>'PRINTOUT(BOM)'!$A$96</f>
        <v>▣ Size : 10mW x (5)mL x3mH =150 [TON]/ 1[SET]</v>
      </c>
      <c r="E854" s="1695"/>
      <c r="F854" s="1695"/>
      <c r="G854" s="1696"/>
    </row>
    <row r="855" spans="1:7" ht="63.6" customHeight="1">
      <c r="A855" s="1290" t="s">
        <v>2753</v>
      </c>
      <c r="B855" s="1292">
        <f>BASIC_TOOL!$F$7</f>
        <v>44343</v>
      </c>
      <c r="C855" s="1291" t="s">
        <v>2752</v>
      </c>
      <c r="D855" s="1691" t="str">
        <f>BASIC_TOOL!$D$6</f>
        <v>ABC</v>
      </c>
      <c r="E855" s="1691"/>
      <c r="F855" s="1691" t="s">
        <v>2751</v>
      </c>
      <c r="G855" s="1697"/>
    </row>
    <row r="856" spans="1:7" ht="60">
      <c r="A856" s="1290" t="s">
        <v>176</v>
      </c>
      <c r="B856" s="1359" t="s">
        <v>177</v>
      </c>
      <c r="C856" s="1335" t="s">
        <v>2750</v>
      </c>
      <c r="D856" s="1691" t="s">
        <v>239</v>
      </c>
      <c r="E856" s="1691"/>
      <c r="F856" s="1288" t="s">
        <v>2749</v>
      </c>
      <c r="G856" s="1287" t="s">
        <v>2748</v>
      </c>
    </row>
    <row r="857" spans="1:7" ht="52.9" customHeight="1">
      <c r="A857" s="1284" t="str">
        <f>IFERROR(VLOOKUP(B:B,'0.39'!B:F,5,FALSE),"")</f>
        <v/>
      </c>
      <c r="B857" s="1331" t="str">
        <f>PACKING!CY67</f>
        <v/>
      </c>
      <c r="C857" s="1283" t="str">
        <f>IFERROR((VLOOKUP(B:B,'0.39'!B:F,4,FALSE)),"")</f>
        <v/>
      </c>
      <c r="D857" s="1331" t="str">
        <f>PACKING!CZ67</f>
        <v/>
      </c>
      <c r="E857" s="1286" t="s">
        <v>2747</v>
      </c>
      <c r="F857" s="1285"/>
      <c r="G857" s="1281"/>
    </row>
    <row r="858" spans="1:7" ht="52.9" customHeight="1">
      <c r="A858" s="1284" t="str">
        <f>IFERROR(VLOOKUP(B:B,'0.39'!B:F,5,FALSE),"")</f>
        <v/>
      </c>
      <c r="B858" s="1331" t="str">
        <f>PACKING!CY68</f>
        <v/>
      </c>
      <c r="C858" s="1283" t="str">
        <f>IFERROR((VLOOKUP(B:B,'0.39'!B:F,4,FALSE)),"")</f>
        <v/>
      </c>
      <c r="D858" s="1331" t="str">
        <f>PACKING!CZ68</f>
        <v/>
      </c>
      <c r="E858" s="1337" t="s">
        <v>2747</v>
      </c>
      <c r="F858" s="1285"/>
      <c r="G858" s="1281"/>
    </row>
    <row r="859" spans="1:7" ht="52.9" customHeight="1">
      <c r="A859" s="1284" t="str">
        <f>IFERROR(VLOOKUP(B:B,'0.39'!B:F,5,FALSE),"")</f>
        <v/>
      </c>
      <c r="B859" s="1331" t="str">
        <f>PACKING!CY69</f>
        <v/>
      </c>
      <c r="C859" s="1283" t="str">
        <f>IFERROR((VLOOKUP(B:B,'0.39'!B:F,4,FALSE)),"")</f>
        <v/>
      </c>
      <c r="D859" s="1331" t="str">
        <f>PACKING!CZ69</f>
        <v/>
      </c>
      <c r="E859" s="1286" t="s">
        <v>2747</v>
      </c>
      <c r="F859" s="1285"/>
      <c r="G859" s="1281"/>
    </row>
    <row r="860" spans="1:7" ht="52.9" customHeight="1">
      <c r="A860" s="1284" t="str">
        <f>IFERROR(VLOOKUP(B:B,'0.39'!B:F,5,FALSE),"")</f>
        <v/>
      </c>
      <c r="B860" s="1331" t="str">
        <f>PACKING!CY70</f>
        <v/>
      </c>
      <c r="C860" s="1283" t="str">
        <f>IFERROR((VLOOKUP(B:B,'0.39'!B:F,4,FALSE)),"")</f>
        <v/>
      </c>
      <c r="D860" s="1331" t="str">
        <f>PACKING!CZ70</f>
        <v/>
      </c>
      <c r="E860" s="1286" t="s">
        <v>2747</v>
      </c>
      <c r="F860" s="1282"/>
      <c r="G860" s="1281"/>
    </row>
    <row r="861" spans="1:7" ht="52.9" customHeight="1">
      <c r="A861" s="1284" t="str">
        <f>IFERROR(VLOOKUP(B:B,'0.39'!B:F,5,FALSE),"")</f>
        <v/>
      </c>
      <c r="B861" s="1331" t="str">
        <f>PACKING!CY71</f>
        <v/>
      </c>
      <c r="C861" s="1283" t="str">
        <f>IFERROR((VLOOKUP(B:B,'0.39'!B:F,4,FALSE)),"")</f>
        <v/>
      </c>
      <c r="D861" s="1331" t="str">
        <f>PACKING!CZ71</f>
        <v/>
      </c>
      <c r="E861" s="1286" t="s">
        <v>2747</v>
      </c>
      <c r="F861" s="1282"/>
      <c r="G861" s="1281"/>
    </row>
    <row r="862" spans="1:7" ht="52.9" customHeight="1">
      <c r="A862" s="1284" t="str">
        <f>IFERROR(VLOOKUP(B:B,'0.39'!B:F,5,FALSE),"")</f>
        <v/>
      </c>
      <c r="B862" s="1331" t="str">
        <f>PACKING!CY72</f>
        <v/>
      </c>
      <c r="C862" s="1283" t="str">
        <f>IFERROR((VLOOKUP(B:B,'0.39'!B:F,4,FALSE)),"")</f>
        <v/>
      </c>
      <c r="D862" s="1331" t="str">
        <f>PACKING!CZ72</f>
        <v/>
      </c>
      <c r="E862" s="1337" t="s">
        <v>2747</v>
      </c>
      <c r="F862" s="1282"/>
      <c r="G862" s="1281"/>
    </row>
    <row r="863" spans="1:7" ht="52.9" customHeight="1">
      <c r="A863" s="1284" t="str">
        <f>IFERROR(VLOOKUP(B:B,'0.39'!B:F,5,FALSE),"")</f>
        <v/>
      </c>
      <c r="B863" s="1331" t="str">
        <f>PACKING!CY73</f>
        <v/>
      </c>
      <c r="C863" s="1283" t="str">
        <f>IFERROR((VLOOKUP(B:B,'0.39'!B:F,4,FALSE)),"")</f>
        <v/>
      </c>
      <c r="D863" s="1331" t="str">
        <f>PACKING!CZ73</f>
        <v/>
      </c>
      <c r="E863" s="1337" t="s">
        <v>2747</v>
      </c>
      <c r="F863" s="1282"/>
      <c r="G863" s="1281"/>
    </row>
    <row r="864" spans="1:7" ht="52.9" customHeight="1">
      <c r="A864" s="1284" t="str">
        <f>IFERROR(VLOOKUP(B:B,'0.39'!B:F,5,FALSE),"")</f>
        <v/>
      </c>
      <c r="B864" s="1331" t="str">
        <f>PACKING!CY74</f>
        <v/>
      </c>
      <c r="C864" s="1283" t="str">
        <f>IFERROR((VLOOKUP(B:B,'0.39'!B:F,4,FALSE)),"")</f>
        <v/>
      </c>
      <c r="D864" s="1331" t="str">
        <f>PACKING!CZ74</f>
        <v/>
      </c>
      <c r="E864" s="1337" t="s">
        <v>2747</v>
      </c>
      <c r="F864" s="1282"/>
      <c r="G864" s="1281"/>
    </row>
    <row r="865" spans="1:7" ht="52.9" customHeight="1">
      <c r="A865" s="1284" t="str">
        <f>IFERROR(VLOOKUP(B:B,'0.39'!B:F,5,FALSE),"")</f>
        <v/>
      </c>
      <c r="B865" s="1331" t="str">
        <f>PACKING!CY75</f>
        <v/>
      </c>
      <c r="C865" s="1283" t="str">
        <f>IFERROR((VLOOKUP(B:B,'0.39'!B:F,4,FALSE)),"")</f>
        <v/>
      </c>
      <c r="D865" s="1331" t="str">
        <f>PACKING!CZ75</f>
        <v/>
      </c>
      <c r="E865" s="1337" t="s">
        <v>2747</v>
      </c>
      <c r="F865" s="1285"/>
      <c r="G865" s="1281"/>
    </row>
    <row r="866" spans="1:7" ht="52.9" customHeight="1">
      <c r="A866" s="1284" t="str">
        <f>IFERROR(VLOOKUP(B:B,'0.39'!B:F,5,FALSE),"")</f>
        <v/>
      </c>
      <c r="B866" s="1331" t="str">
        <f>PACKING!CY76</f>
        <v/>
      </c>
      <c r="C866" s="1283" t="str">
        <f>IFERROR((VLOOKUP(B:B,'0.39'!B:F,4,FALSE)),"")</f>
        <v/>
      </c>
      <c r="D866" s="1331" t="str">
        <f>PACKING!CZ76</f>
        <v/>
      </c>
      <c r="E866" s="1337" t="s">
        <v>2747</v>
      </c>
      <c r="F866" s="1282"/>
      <c r="G866" s="1281"/>
    </row>
    <row r="867" spans="1:7" ht="52.9" customHeight="1">
      <c r="A867" s="1284" t="str">
        <f>IFERROR(VLOOKUP(B:B,'0.39'!B:F,5,FALSE),"")</f>
        <v/>
      </c>
      <c r="B867" s="1331" t="str">
        <f>PACKING!CY77</f>
        <v/>
      </c>
      <c r="C867" s="1283" t="str">
        <f>IFERROR((VLOOKUP(B:B,'0.39'!B:F,4,FALSE)),"")</f>
        <v/>
      </c>
      <c r="D867" s="1331" t="str">
        <f>PACKING!CZ77</f>
        <v/>
      </c>
      <c r="E867" s="1337" t="s">
        <v>2747</v>
      </c>
      <c r="F867" s="1282"/>
      <c r="G867" s="1281"/>
    </row>
    <row r="868" spans="1:7" ht="79.150000000000006" customHeight="1" thickBot="1">
      <c r="A868" s="1692" t="s">
        <v>204</v>
      </c>
      <c r="B868" s="1693"/>
      <c r="C868" s="1693"/>
      <c r="D868" s="1280">
        <f>SUM(D857:D867)</f>
        <v>0</v>
      </c>
      <c r="E868" s="1336" t="s">
        <v>2747</v>
      </c>
      <c r="F868" s="1279" t="s">
        <v>2746</v>
      </c>
      <c r="G868" s="1278" t="s">
        <v>2746</v>
      </c>
    </row>
    <row r="869" spans="1:7" ht="35.25" thickBot="1">
      <c r="A869" s="1302"/>
      <c r="B869" s="1361"/>
      <c r="C869" s="1302"/>
      <c r="D869" s="1303"/>
      <c r="E869" s="1302"/>
      <c r="F869" s="1301"/>
      <c r="G869" s="1301"/>
    </row>
    <row r="870" spans="1:7" ht="75.599999999999994" customHeight="1" thickBot="1">
      <c r="A870" s="1300"/>
      <c r="B870" s="1299" t="str">
        <f>BASIC_TOOL!$B$6</f>
        <v>A Project</v>
      </c>
      <c r="C870" s="1304" t="s">
        <v>2756</v>
      </c>
      <c r="D870" s="1297" t="e">
        <f ca="1">_xlfn.IFS(PACKING!BN405="M", "1X1.5M",PACKING!BN405="L", "1X2M",PACKING!BN405="S", "1X1M")</f>
        <v>#NAME?</v>
      </c>
      <c r="E870" s="1296">
        <f>PACKING!BN404</f>
        <v>0</v>
      </c>
      <c r="F870" s="1295" t="s">
        <v>2755</v>
      </c>
      <c r="G870" s="1294">
        <f>PACKING!$C$93</f>
        <v>2</v>
      </c>
    </row>
    <row r="871" spans="1:7" ht="87.6" customHeight="1">
      <c r="A871" s="1290" t="s">
        <v>2754</v>
      </c>
      <c r="B871" s="1290" t="str">
        <f>BASIC_TOOL!$B$7</f>
        <v>DAMMAM, KSA</v>
      </c>
      <c r="C871" s="1293" t="str">
        <f>BASIC_TOOL!$C$14</f>
        <v>Non-Insulated</v>
      </c>
      <c r="D871" s="1694">
        <f>'PRINTOUT(BOM)'!A437</f>
        <v>0</v>
      </c>
      <c r="E871" s="1695"/>
      <c r="F871" s="1695"/>
      <c r="G871" s="1696"/>
    </row>
    <row r="872" spans="1:7" ht="63.6" customHeight="1">
      <c r="A872" s="1290" t="s">
        <v>2753</v>
      </c>
      <c r="B872" s="1292">
        <f>BASIC_TOOL!$F$7</f>
        <v>44343</v>
      </c>
      <c r="C872" s="1291" t="s">
        <v>2752</v>
      </c>
      <c r="D872" s="1691" t="str">
        <f>BASIC_TOOL!$D$6</f>
        <v>ABC</v>
      </c>
      <c r="E872" s="1691"/>
      <c r="F872" s="1691" t="s">
        <v>2751</v>
      </c>
      <c r="G872" s="1697"/>
    </row>
    <row r="873" spans="1:7" ht="60">
      <c r="A873" s="1290" t="s">
        <v>176</v>
      </c>
      <c r="B873" s="1359" t="s">
        <v>177</v>
      </c>
      <c r="C873" s="1335" t="s">
        <v>2750</v>
      </c>
      <c r="D873" s="1691" t="s">
        <v>239</v>
      </c>
      <c r="E873" s="1691"/>
      <c r="F873" s="1288" t="s">
        <v>2749</v>
      </c>
      <c r="G873" s="1287" t="s">
        <v>2748</v>
      </c>
    </row>
    <row r="874" spans="1:7" ht="52.9" customHeight="1">
      <c r="A874" s="1284" t="str">
        <f>IFERROR(VLOOKUP(B:B,'0.39'!B:F,5,FALSE),"")</f>
        <v/>
      </c>
      <c r="B874" s="1331">
        <f>PACKING!BM407</f>
        <v>0</v>
      </c>
      <c r="C874" s="1283" t="str">
        <f>IFERROR((VLOOKUP(B:B,'0.39'!B:F,4,FALSE)),"")</f>
        <v/>
      </c>
      <c r="D874" s="1331">
        <f>PACKING!BN407</f>
        <v>0</v>
      </c>
      <c r="E874" s="1286" t="s">
        <v>2747</v>
      </c>
      <c r="F874" s="1285"/>
      <c r="G874" s="1281"/>
    </row>
    <row r="875" spans="1:7" ht="52.9" customHeight="1">
      <c r="A875" s="1284" t="str">
        <f>IFERROR(VLOOKUP(B:B,'0.39'!B:F,5,FALSE),"")</f>
        <v/>
      </c>
      <c r="B875" s="1331">
        <f>PACKING!BM408</f>
        <v>0</v>
      </c>
      <c r="C875" s="1283" t="str">
        <f>IFERROR((VLOOKUP(B:B,'0.39'!B:F,4,FALSE)),"")</f>
        <v/>
      </c>
      <c r="D875" s="1331">
        <f>PACKING!BN408</f>
        <v>0</v>
      </c>
      <c r="E875" s="1337" t="s">
        <v>2747</v>
      </c>
      <c r="F875" s="1285"/>
      <c r="G875" s="1281"/>
    </row>
    <row r="876" spans="1:7" ht="52.9" customHeight="1">
      <c r="A876" s="1284" t="str">
        <f>IFERROR(VLOOKUP(B:B,'0.39'!B:F,5,FALSE),"")</f>
        <v/>
      </c>
      <c r="B876" s="1331">
        <f>PACKING!BM409</f>
        <v>0</v>
      </c>
      <c r="C876" s="1283" t="str">
        <f>IFERROR((VLOOKUP(B:B,'0.39'!B:F,4,FALSE)),"")</f>
        <v/>
      </c>
      <c r="D876" s="1331">
        <f>PACKING!BN409</f>
        <v>0</v>
      </c>
      <c r="E876" s="1286" t="s">
        <v>2747</v>
      </c>
      <c r="F876" s="1285"/>
      <c r="G876" s="1281"/>
    </row>
    <row r="877" spans="1:7" ht="52.9" customHeight="1">
      <c r="A877" s="1284" t="str">
        <f>IFERROR(VLOOKUP(B:B,'0.39'!B:F,5,FALSE),"")</f>
        <v/>
      </c>
      <c r="B877" s="1331">
        <f>PACKING!BM410</f>
        <v>0</v>
      </c>
      <c r="C877" s="1283" t="str">
        <f>IFERROR((VLOOKUP(B:B,'0.39'!B:F,4,FALSE)),"")</f>
        <v/>
      </c>
      <c r="D877" s="1331">
        <f>PACKING!BN410</f>
        <v>0</v>
      </c>
      <c r="E877" s="1286" t="s">
        <v>2747</v>
      </c>
      <c r="F877" s="1282"/>
      <c r="G877" s="1281"/>
    </row>
    <row r="878" spans="1:7" ht="52.9" customHeight="1">
      <c r="A878" s="1284" t="str">
        <f>IFERROR(VLOOKUP(B:B,'0.39'!B:F,5,FALSE),"")</f>
        <v/>
      </c>
      <c r="B878" s="1331">
        <f>PACKING!BM411</f>
        <v>0</v>
      </c>
      <c r="C878" s="1283" t="str">
        <f>IFERROR((VLOOKUP(B:B,'0.39'!B:F,4,FALSE)),"")</f>
        <v/>
      </c>
      <c r="D878" s="1331">
        <f>PACKING!BN411</f>
        <v>0</v>
      </c>
      <c r="E878" s="1286" t="s">
        <v>2747</v>
      </c>
      <c r="F878" s="1282"/>
      <c r="G878" s="1281"/>
    </row>
    <row r="879" spans="1:7" ht="52.9" customHeight="1">
      <c r="A879" s="1284" t="str">
        <f>IFERROR(VLOOKUP(B:B,'0.39'!B:F,5,FALSE),"")</f>
        <v/>
      </c>
      <c r="B879" s="1331">
        <f>PACKING!BM412</f>
        <v>0</v>
      </c>
      <c r="C879" s="1283" t="str">
        <f>IFERROR((VLOOKUP(B:B,'0.39'!B:F,4,FALSE)),"")</f>
        <v/>
      </c>
      <c r="D879" s="1331">
        <f>PACKING!BN412</f>
        <v>0</v>
      </c>
      <c r="E879" s="1337" t="s">
        <v>2747</v>
      </c>
      <c r="F879" s="1282"/>
      <c r="G879" s="1281"/>
    </row>
    <row r="880" spans="1:7" ht="52.9" customHeight="1">
      <c r="A880" s="1284" t="str">
        <f>IFERROR(VLOOKUP(B:B,'0.39'!B:F,5,FALSE),"")</f>
        <v/>
      </c>
      <c r="B880" s="1331">
        <f>PACKING!BM413</f>
        <v>0</v>
      </c>
      <c r="C880" s="1283" t="str">
        <f>IFERROR((VLOOKUP(B:B,'0.39'!B:F,4,FALSE)),"")</f>
        <v/>
      </c>
      <c r="D880" s="1331">
        <f>PACKING!BN413</f>
        <v>0</v>
      </c>
      <c r="E880" s="1337" t="s">
        <v>2747</v>
      </c>
      <c r="F880" s="1282"/>
      <c r="G880" s="1281"/>
    </row>
    <row r="881" spans="1:7" ht="52.9" customHeight="1">
      <c r="A881" s="1284" t="str">
        <f>IFERROR(VLOOKUP(B:B,'0.39'!B:F,5,FALSE),"")</f>
        <v/>
      </c>
      <c r="B881" s="1331">
        <f>PACKING!BM414</f>
        <v>0</v>
      </c>
      <c r="C881" s="1283" t="str">
        <f>IFERROR((VLOOKUP(B:B,'0.39'!B:F,4,FALSE)),"")</f>
        <v/>
      </c>
      <c r="D881" s="1331">
        <f>PACKING!BN414</f>
        <v>0</v>
      </c>
      <c r="E881" s="1337" t="s">
        <v>2747</v>
      </c>
      <c r="F881" s="1282"/>
      <c r="G881" s="1281"/>
    </row>
    <row r="882" spans="1:7" ht="52.9" customHeight="1">
      <c r="A882" s="1284" t="str">
        <f>IFERROR(VLOOKUP(B:B,'0.39'!B:F,5,FALSE),"")</f>
        <v/>
      </c>
      <c r="B882" s="1331">
        <f>PACKING!BM415</f>
        <v>0</v>
      </c>
      <c r="C882" s="1283" t="str">
        <f>IFERROR((VLOOKUP(B:B,'0.39'!B:F,4,FALSE)),"")</f>
        <v/>
      </c>
      <c r="D882" s="1331">
        <f>PACKING!BN415</f>
        <v>0</v>
      </c>
      <c r="E882" s="1337" t="s">
        <v>2747</v>
      </c>
      <c r="F882" s="1285"/>
      <c r="G882" s="1281"/>
    </row>
    <row r="883" spans="1:7" ht="52.9" customHeight="1">
      <c r="A883" s="1284" t="str">
        <f>IFERROR(VLOOKUP(B:B,'0.39'!B:F,5,FALSE),"")</f>
        <v/>
      </c>
      <c r="B883" s="1331">
        <f>PACKING!BM416</f>
        <v>0</v>
      </c>
      <c r="C883" s="1283" t="str">
        <f>IFERROR((VLOOKUP(B:B,'0.39'!B:F,4,FALSE)),"")</f>
        <v/>
      </c>
      <c r="D883" s="1331">
        <f>PACKING!BN416</f>
        <v>0</v>
      </c>
      <c r="E883" s="1337" t="s">
        <v>2747</v>
      </c>
      <c r="F883" s="1282"/>
      <c r="G883" s="1281"/>
    </row>
    <row r="884" spans="1:7" ht="52.9" customHeight="1">
      <c r="A884" s="1284" t="str">
        <f>IFERROR(VLOOKUP(B:B,'0.39'!B:F,5,FALSE),"")</f>
        <v/>
      </c>
      <c r="B884" s="1331">
        <f>PACKING!BM417</f>
        <v>0</v>
      </c>
      <c r="C884" s="1283" t="str">
        <f>IFERROR((VLOOKUP(B:B,'0.39'!B:F,4,FALSE)),"")</f>
        <v/>
      </c>
      <c r="D884" s="1331">
        <f>PACKING!BN417</f>
        <v>0</v>
      </c>
      <c r="E884" s="1337" t="s">
        <v>2747</v>
      </c>
      <c r="F884" s="1282"/>
      <c r="G884" s="1281"/>
    </row>
    <row r="885" spans="1:7" ht="79.150000000000006" customHeight="1" thickBot="1">
      <c r="A885" s="1692" t="s">
        <v>204</v>
      </c>
      <c r="B885" s="1693"/>
      <c r="C885" s="1693"/>
      <c r="D885" s="1280">
        <f>SUM(D874:D884)</f>
        <v>0</v>
      </c>
      <c r="E885" s="1336" t="s">
        <v>2747</v>
      </c>
      <c r="F885" s="1279" t="s">
        <v>2746</v>
      </c>
      <c r="G885" s="1278" t="s">
        <v>2746</v>
      </c>
    </row>
    <row r="886" spans="1:7" ht="35.25" thickBot="1">
      <c r="A886" s="1302"/>
      <c r="B886" s="1361"/>
      <c r="C886" s="1302"/>
      <c r="D886" s="1303"/>
      <c r="E886" s="1302"/>
      <c r="F886" s="1301"/>
      <c r="G886" s="1301"/>
    </row>
    <row r="887" spans="1:7" ht="75.599999999999994" customHeight="1" thickBot="1">
      <c r="A887" s="1300"/>
      <c r="B887" s="1299" t="str">
        <f>BASIC_TOOL!$B$6</f>
        <v>A Project</v>
      </c>
      <c r="C887" s="1304" t="s">
        <v>2756</v>
      </c>
      <c r="D887" s="1297" t="e">
        <f ca="1">_xlfn.IFS(PACKING!BP405="M", "1X1.5M",PACKING!BP405="L", "1X2M",PACKING!BP405="S", "1X1M")</f>
        <v>#NAME?</v>
      </c>
      <c r="E887" s="1296">
        <f>PACKING!BP404</f>
        <v>0</v>
      </c>
      <c r="F887" s="1295" t="s">
        <v>2755</v>
      </c>
      <c r="G887" s="1294">
        <f>PACKING!$C$93</f>
        <v>2</v>
      </c>
    </row>
    <row r="888" spans="1:7" ht="87.6" customHeight="1">
      <c r="A888" s="1290" t="s">
        <v>2754</v>
      </c>
      <c r="B888" s="1290" t="str">
        <f>BASIC_TOOL!$B$7</f>
        <v>DAMMAM, KSA</v>
      </c>
      <c r="C888" s="1293" t="str">
        <f>BASIC_TOOL!$C$14</f>
        <v>Non-Insulated</v>
      </c>
      <c r="D888" s="1694">
        <f>'PRINTOUT(BOM)'!A437</f>
        <v>0</v>
      </c>
      <c r="E888" s="1695"/>
      <c r="F888" s="1695"/>
      <c r="G888" s="1696"/>
    </row>
    <row r="889" spans="1:7" ht="63.6" customHeight="1">
      <c r="A889" s="1290" t="s">
        <v>2753</v>
      </c>
      <c r="B889" s="1292">
        <f>BASIC_TOOL!$F$7</f>
        <v>44343</v>
      </c>
      <c r="C889" s="1291" t="s">
        <v>2752</v>
      </c>
      <c r="D889" s="1691" t="str">
        <f>BASIC_TOOL!$D$6</f>
        <v>ABC</v>
      </c>
      <c r="E889" s="1691"/>
      <c r="F889" s="1691" t="s">
        <v>2751</v>
      </c>
      <c r="G889" s="1697"/>
    </row>
    <row r="890" spans="1:7" ht="60">
      <c r="A890" s="1290" t="s">
        <v>176</v>
      </c>
      <c r="B890" s="1359" t="s">
        <v>177</v>
      </c>
      <c r="C890" s="1335" t="s">
        <v>2750</v>
      </c>
      <c r="D890" s="1691" t="s">
        <v>239</v>
      </c>
      <c r="E890" s="1691"/>
      <c r="F890" s="1288" t="s">
        <v>2749</v>
      </c>
      <c r="G890" s="1287" t="s">
        <v>2748</v>
      </c>
    </row>
    <row r="891" spans="1:7" ht="52.9" customHeight="1">
      <c r="A891" s="1284" t="str">
        <f>IFERROR(VLOOKUP(B:B,'0.39'!B:F,5,FALSE),"")</f>
        <v/>
      </c>
      <c r="B891" s="1331">
        <f>PACKING!BO407</f>
        <v>0</v>
      </c>
      <c r="C891" s="1283" t="str">
        <f>IFERROR((VLOOKUP(B:B,'0.39'!B:F,4,FALSE)),"")</f>
        <v/>
      </c>
      <c r="D891" s="1331">
        <f>PACKING!BP407</f>
        <v>0</v>
      </c>
      <c r="E891" s="1286" t="s">
        <v>2747</v>
      </c>
      <c r="F891" s="1285"/>
      <c r="G891" s="1281"/>
    </row>
    <row r="892" spans="1:7" ht="52.9" customHeight="1">
      <c r="A892" s="1284" t="str">
        <f>IFERROR(VLOOKUP(B:B,'0.39'!B:F,5,FALSE),"")</f>
        <v/>
      </c>
      <c r="B892" s="1331">
        <f>PACKING!BO408</f>
        <v>0</v>
      </c>
      <c r="C892" s="1283" t="str">
        <f>IFERROR((VLOOKUP(B:B,'0.39'!B:F,4,FALSE)),"")</f>
        <v/>
      </c>
      <c r="D892" s="1331">
        <f>PACKING!BP408</f>
        <v>0</v>
      </c>
      <c r="E892" s="1337" t="s">
        <v>2747</v>
      </c>
      <c r="F892" s="1285"/>
      <c r="G892" s="1281"/>
    </row>
    <row r="893" spans="1:7" ht="52.9" customHeight="1">
      <c r="A893" s="1284" t="str">
        <f>IFERROR(VLOOKUP(B:B,'0.39'!B:F,5,FALSE),"")</f>
        <v/>
      </c>
      <c r="B893" s="1331">
        <f>PACKING!BO409</f>
        <v>0</v>
      </c>
      <c r="C893" s="1283" t="str">
        <f>IFERROR((VLOOKUP(B:B,'0.39'!B:F,4,FALSE)),"")</f>
        <v/>
      </c>
      <c r="D893" s="1331">
        <f>PACKING!BP409</f>
        <v>0</v>
      </c>
      <c r="E893" s="1286" t="s">
        <v>2747</v>
      </c>
      <c r="F893" s="1285"/>
      <c r="G893" s="1281"/>
    </row>
    <row r="894" spans="1:7" ht="52.9" customHeight="1">
      <c r="A894" s="1284" t="str">
        <f>IFERROR(VLOOKUP(B:B,'0.39'!B:F,5,FALSE),"")</f>
        <v/>
      </c>
      <c r="B894" s="1331">
        <f>PACKING!BO410</f>
        <v>0</v>
      </c>
      <c r="C894" s="1283" t="str">
        <f>IFERROR((VLOOKUP(B:B,'0.39'!B:F,4,FALSE)),"")</f>
        <v/>
      </c>
      <c r="D894" s="1331">
        <f>PACKING!BP410</f>
        <v>0</v>
      </c>
      <c r="E894" s="1286" t="s">
        <v>2747</v>
      </c>
      <c r="F894" s="1282"/>
      <c r="G894" s="1281"/>
    </row>
    <row r="895" spans="1:7" ht="52.9" customHeight="1">
      <c r="A895" s="1284" t="str">
        <f>IFERROR(VLOOKUP(B:B,'0.39'!B:F,5,FALSE),"")</f>
        <v/>
      </c>
      <c r="B895" s="1331">
        <f>PACKING!BO411</f>
        <v>0</v>
      </c>
      <c r="C895" s="1283" t="str">
        <f>IFERROR((VLOOKUP(B:B,'0.39'!B:F,4,FALSE)),"")</f>
        <v/>
      </c>
      <c r="D895" s="1331">
        <f>PACKING!BP411</f>
        <v>0</v>
      </c>
      <c r="E895" s="1286" t="s">
        <v>2747</v>
      </c>
      <c r="F895" s="1282"/>
      <c r="G895" s="1281"/>
    </row>
    <row r="896" spans="1:7" ht="52.9" customHeight="1">
      <c r="A896" s="1284" t="str">
        <f>IFERROR(VLOOKUP(B:B,'0.39'!B:F,5,FALSE),"")</f>
        <v/>
      </c>
      <c r="B896" s="1331">
        <f>PACKING!BO412</f>
        <v>0</v>
      </c>
      <c r="C896" s="1283" t="str">
        <f>IFERROR((VLOOKUP(B:B,'0.39'!B:F,4,FALSE)),"")</f>
        <v/>
      </c>
      <c r="D896" s="1331">
        <f>PACKING!BP412</f>
        <v>0</v>
      </c>
      <c r="E896" s="1337" t="s">
        <v>2747</v>
      </c>
      <c r="F896" s="1282"/>
      <c r="G896" s="1281"/>
    </row>
    <row r="897" spans="1:7" ht="52.9" customHeight="1">
      <c r="A897" s="1284" t="str">
        <f>IFERROR(VLOOKUP(B:B,'0.39'!B:F,5,FALSE),"")</f>
        <v/>
      </c>
      <c r="B897" s="1331">
        <f>PACKING!BO413</f>
        <v>0</v>
      </c>
      <c r="C897" s="1283" t="str">
        <f>IFERROR((VLOOKUP(B:B,'0.39'!B:F,4,FALSE)),"")</f>
        <v/>
      </c>
      <c r="D897" s="1331">
        <f>PACKING!BP413</f>
        <v>0</v>
      </c>
      <c r="E897" s="1337" t="s">
        <v>2747</v>
      </c>
      <c r="F897" s="1282"/>
      <c r="G897" s="1281"/>
    </row>
    <row r="898" spans="1:7" ht="52.9" customHeight="1">
      <c r="A898" s="1284" t="str">
        <f>IFERROR(VLOOKUP(B:B,'0.39'!B:F,5,FALSE),"")</f>
        <v/>
      </c>
      <c r="B898" s="1331">
        <f>PACKING!BO414</f>
        <v>0</v>
      </c>
      <c r="C898" s="1283" t="str">
        <f>IFERROR((VLOOKUP(B:B,'0.39'!B:F,4,FALSE)),"")</f>
        <v/>
      </c>
      <c r="D898" s="1331">
        <f>PACKING!BP414</f>
        <v>0</v>
      </c>
      <c r="E898" s="1337" t="s">
        <v>2747</v>
      </c>
      <c r="F898" s="1282"/>
      <c r="G898" s="1281"/>
    </row>
    <row r="899" spans="1:7" ht="52.9" customHeight="1">
      <c r="A899" s="1284" t="str">
        <f>IFERROR(VLOOKUP(B:B,'0.39'!B:F,5,FALSE),"")</f>
        <v/>
      </c>
      <c r="B899" s="1331">
        <f>PACKING!BO415</f>
        <v>0</v>
      </c>
      <c r="C899" s="1283" t="str">
        <f>IFERROR((VLOOKUP(B:B,'0.39'!B:F,4,FALSE)),"")</f>
        <v/>
      </c>
      <c r="D899" s="1331">
        <f>PACKING!BP415</f>
        <v>0</v>
      </c>
      <c r="E899" s="1337" t="s">
        <v>2747</v>
      </c>
      <c r="F899" s="1285"/>
      <c r="G899" s="1281"/>
    </row>
    <row r="900" spans="1:7" ht="52.9" customHeight="1">
      <c r="A900" s="1284" t="str">
        <f>IFERROR(VLOOKUP(B:B,'0.39'!B:F,5,FALSE),"")</f>
        <v/>
      </c>
      <c r="B900" s="1331">
        <f>PACKING!BO416</f>
        <v>0</v>
      </c>
      <c r="C900" s="1283" t="str">
        <f>IFERROR((VLOOKUP(B:B,'0.39'!B:F,4,FALSE)),"")</f>
        <v/>
      </c>
      <c r="D900" s="1331">
        <f>PACKING!BP416</f>
        <v>0</v>
      </c>
      <c r="E900" s="1337" t="s">
        <v>2747</v>
      </c>
      <c r="F900" s="1282"/>
      <c r="G900" s="1281"/>
    </row>
    <row r="901" spans="1:7" ht="52.9" customHeight="1">
      <c r="A901" s="1284" t="str">
        <f>IFERROR(VLOOKUP(B:B,'0.39'!B:F,5,FALSE),"")</f>
        <v/>
      </c>
      <c r="B901" s="1331">
        <f>PACKING!BO417</f>
        <v>0</v>
      </c>
      <c r="C901" s="1283" t="str">
        <f>IFERROR((VLOOKUP(B:B,'0.39'!B:F,4,FALSE)),"")</f>
        <v/>
      </c>
      <c r="D901" s="1331">
        <f>PACKING!BP417</f>
        <v>0</v>
      </c>
      <c r="E901" s="1337" t="s">
        <v>2747</v>
      </c>
      <c r="F901" s="1282"/>
      <c r="G901" s="1281"/>
    </row>
    <row r="902" spans="1:7" ht="79.150000000000006" customHeight="1" thickBot="1">
      <c r="A902" s="1692" t="s">
        <v>204</v>
      </c>
      <c r="B902" s="1693"/>
      <c r="C902" s="1693"/>
      <c r="D902" s="1280">
        <f>SUM(D891:D901)</f>
        <v>0</v>
      </c>
      <c r="E902" s="1336" t="s">
        <v>2747</v>
      </c>
      <c r="F902" s="1279" t="s">
        <v>2746</v>
      </c>
      <c r="G902" s="1278" t="s">
        <v>2746</v>
      </c>
    </row>
    <row r="903" spans="1:7" ht="35.25" thickBot="1">
      <c r="A903" s="1302"/>
      <c r="B903" s="1361"/>
      <c r="C903" s="1302"/>
      <c r="D903" s="1303"/>
      <c r="E903" s="1302"/>
      <c r="F903" s="1301"/>
      <c r="G903" s="1301"/>
    </row>
    <row r="904" spans="1:7" ht="75.599999999999994" customHeight="1" thickBot="1">
      <c r="A904" s="1300"/>
      <c r="B904" s="1299" t="str">
        <f>BASIC_TOOL!$B$6</f>
        <v>A Project</v>
      </c>
      <c r="C904" s="1304" t="s">
        <v>2756</v>
      </c>
      <c r="D904" s="1297" t="e">
        <f ca="1">_xlfn.IFS(PACKING!BR405="M", "1X1.5M",PACKING!BR405="L", "1X2M",PACKING!BR405="S", "1X1M")</f>
        <v>#NAME?</v>
      </c>
      <c r="E904" s="1296">
        <f>PACKING!BR404</f>
        <v>0</v>
      </c>
      <c r="F904" s="1295" t="s">
        <v>2755</v>
      </c>
      <c r="G904" s="1294">
        <f>PACKING!$C$93</f>
        <v>2</v>
      </c>
    </row>
    <row r="905" spans="1:7" ht="87.6" customHeight="1">
      <c r="A905" s="1290" t="s">
        <v>2754</v>
      </c>
      <c r="B905" s="1290" t="str">
        <f>BASIC_TOOL!$B$7</f>
        <v>DAMMAM, KSA</v>
      </c>
      <c r="C905" s="1293" t="str">
        <f>BASIC_TOOL!$C$14</f>
        <v>Non-Insulated</v>
      </c>
      <c r="D905" s="1694">
        <f>'PRINTOUT(BOM)'!A437</f>
        <v>0</v>
      </c>
      <c r="E905" s="1695"/>
      <c r="F905" s="1695"/>
      <c r="G905" s="1696"/>
    </row>
    <row r="906" spans="1:7" ht="63.6" customHeight="1">
      <c r="A906" s="1290" t="s">
        <v>2753</v>
      </c>
      <c r="B906" s="1292">
        <f>BASIC_TOOL!$F$7</f>
        <v>44343</v>
      </c>
      <c r="C906" s="1291" t="s">
        <v>2752</v>
      </c>
      <c r="D906" s="1691" t="str">
        <f>BASIC_TOOL!$D$6</f>
        <v>ABC</v>
      </c>
      <c r="E906" s="1691"/>
      <c r="F906" s="1691" t="s">
        <v>2751</v>
      </c>
      <c r="G906" s="1697"/>
    </row>
    <row r="907" spans="1:7" ht="60">
      <c r="A907" s="1290" t="s">
        <v>176</v>
      </c>
      <c r="B907" s="1359" t="s">
        <v>177</v>
      </c>
      <c r="C907" s="1335" t="s">
        <v>2750</v>
      </c>
      <c r="D907" s="1691" t="s">
        <v>239</v>
      </c>
      <c r="E907" s="1691"/>
      <c r="F907" s="1288" t="s">
        <v>2749</v>
      </c>
      <c r="G907" s="1287" t="s">
        <v>2748</v>
      </c>
    </row>
    <row r="908" spans="1:7" ht="52.9" customHeight="1">
      <c r="A908" s="1284" t="str">
        <f>IFERROR(VLOOKUP(B:B,'0.39'!B:F,5,FALSE),"")</f>
        <v/>
      </c>
      <c r="B908" s="1331">
        <f>PACKING!BQ407</f>
        <v>0</v>
      </c>
      <c r="C908" s="1283" t="str">
        <f>IFERROR((VLOOKUP(B:B,'0.39'!B:F,4,FALSE)),"")</f>
        <v/>
      </c>
      <c r="D908" s="1331">
        <f>PACKING!BR407</f>
        <v>0</v>
      </c>
      <c r="E908" s="1286" t="s">
        <v>2747</v>
      </c>
      <c r="F908" s="1285"/>
      <c r="G908" s="1281"/>
    </row>
    <row r="909" spans="1:7" ht="52.9" customHeight="1">
      <c r="A909" s="1284" t="str">
        <f>IFERROR(VLOOKUP(B:B,'0.39'!B:F,5,FALSE),"")</f>
        <v/>
      </c>
      <c r="B909" s="1331">
        <f>PACKING!BQ408</f>
        <v>0</v>
      </c>
      <c r="C909" s="1283" t="str">
        <f>IFERROR((VLOOKUP(B:B,'0.39'!B:F,4,FALSE)),"")</f>
        <v/>
      </c>
      <c r="D909" s="1331">
        <f>PACKING!BR408</f>
        <v>0</v>
      </c>
      <c r="E909" s="1337" t="s">
        <v>2747</v>
      </c>
      <c r="F909" s="1285"/>
      <c r="G909" s="1281"/>
    </row>
    <row r="910" spans="1:7" ht="52.9" customHeight="1">
      <c r="A910" s="1284" t="str">
        <f>IFERROR(VLOOKUP(B:B,'0.39'!B:F,5,FALSE),"")</f>
        <v/>
      </c>
      <c r="B910" s="1331">
        <f>PACKING!BQ409</f>
        <v>0</v>
      </c>
      <c r="C910" s="1283" t="str">
        <f>IFERROR((VLOOKUP(B:B,'0.39'!B:F,4,FALSE)),"")</f>
        <v/>
      </c>
      <c r="D910" s="1331">
        <f>PACKING!BR409</f>
        <v>0</v>
      </c>
      <c r="E910" s="1286" t="s">
        <v>2747</v>
      </c>
      <c r="F910" s="1285"/>
      <c r="G910" s="1281"/>
    </row>
    <row r="911" spans="1:7" ht="52.9" customHeight="1">
      <c r="A911" s="1284" t="str">
        <f>IFERROR(VLOOKUP(B:B,'0.39'!B:F,5,FALSE),"")</f>
        <v/>
      </c>
      <c r="B911" s="1331">
        <f>PACKING!BQ410</f>
        <v>0</v>
      </c>
      <c r="C911" s="1283" t="str">
        <f>IFERROR((VLOOKUP(B:B,'0.39'!B:F,4,FALSE)),"")</f>
        <v/>
      </c>
      <c r="D911" s="1331">
        <f>PACKING!BR410</f>
        <v>0</v>
      </c>
      <c r="E911" s="1286" t="s">
        <v>2747</v>
      </c>
      <c r="F911" s="1282"/>
      <c r="G911" s="1281"/>
    </row>
    <row r="912" spans="1:7" ht="52.9" customHeight="1">
      <c r="A912" s="1284" t="str">
        <f>IFERROR(VLOOKUP(B:B,'0.39'!B:F,5,FALSE),"")</f>
        <v/>
      </c>
      <c r="B912" s="1331">
        <f>PACKING!BQ411</f>
        <v>0</v>
      </c>
      <c r="C912" s="1283" t="str">
        <f>IFERROR((VLOOKUP(B:B,'0.39'!B:F,4,FALSE)),"")</f>
        <v/>
      </c>
      <c r="D912" s="1331">
        <f>PACKING!BR411</f>
        <v>0</v>
      </c>
      <c r="E912" s="1286" t="s">
        <v>2747</v>
      </c>
      <c r="F912" s="1282"/>
      <c r="G912" s="1281"/>
    </row>
    <row r="913" spans="1:7" ht="52.9" customHeight="1">
      <c r="A913" s="1284" t="str">
        <f>IFERROR(VLOOKUP(B:B,'0.39'!B:F,5,FALSE),"")</f>
        <v/>
      </c>
      <c r="B913" s="1331">
        <f>PACKING!BQ412</f>
        <v>0</v>
      </c>
      <c r="C913" s="1283" t="str">
        <f>IFERROR((VLOOKUP(B:B,'0.39'!B:F,4,FALSE)),"")</f>
        <v/>
      </c>
      <c r="D913" s="1331">
        <f>PACKING!BR412</f>
        <v>0</v>
      </c>
      <c r="E913" s="1337" t="s">
        <v>2747</v>
      </c>
      <c r="F913" s="1282"/>
      <c r="G913" s="1281"/>
    </row>
    <row r="914" spans="1:7" ht="52.9" customHeight="1">
      <c r="A914" s="1284" t="str">
        <f>IFERROR(VLOOKUP(B:B,'0.39'!B:F,5,FALSE),"")</f>
        <v/>
      </c>
      <c r="B914" s="1331">
        <f>PACKING!BQ413</f>
        <v>0</v>
      </c>
      <c r="C914" s="1283" t="str">
        <f>IFERROR((VLOOKUP(B:B,'0.39'!B:F,4,FALSE)),"")</f>
        <v/>
      </c>
      <c r="D914" s="1331">
        <f>PACKING!BR413</f>
        <v>0</v>
      </c>
      <c r="E914" s="1337" t="s">
        <v>2747</v>
      </c>
      <c r="F914" s="1282"/>
      <c r="G914" s="1281"/>
    </row>
    <row r="915" spans="1:7" ht="52.9" customHeight="1">
      <c r="A915" s="1284" t="str">
        <f>IFERROR(VLOOKUP(B:B,'0.39'!B:F,5,FALSE),"")</f>
        <v/>
      </c>
      <c r="B915" s="1331">
        <f>PACKING!BQ414</f>
        <v>0</v>
      </c>
      <c r="C915" s="1283" t="str">
        <f>IFERROR((VLOOKUP(B:B,'0.39'!B:F,4,FALSE)),"")</f>
        <v/>
      </c>
      <c r="D915" s="1331">
        <f>PACKING!BR414</f>
        <v>0</v>
      </c>
      <c r="E915" s="1337" t="s">
        <v>2747</v>
      </c>
      <c r="F915" s="1282"/>
      <c r="G915" s="1281"/>
    </row>
    <row r="916" spans="1:7" ht="52.9" customHeight="1">
      <c r="A916" s="1284" t="str">
        <f>IFERROR(VLOOKUP(B:B,'0.39'!B:F,5,FALSE),"")</f>
        <v/>
      </c>
      <c r="B916" s="1331">
        <f>PACKING!BQ415</f>
        <v>0</v>
      </c>
      <c r="C916" s="1283" t="str">
        <f>IFERROR((VLOOKUP(B:B,'0.39'!B:F,4,FALSE)),"")</f>
        <v/>
      </c>
      <c r="D916" s="1331">
        <f>PACKING!BR415</f>
        <v>0</v>
      </c>
      <c r="E916" s="1337" t="s">
        <v>2747</v>
      </c>
      <c r="F916" s="1285"/>
      <c r="G916" s="1281"/>
    </row>
    <row r="917" spans="1:7" ht="52.9" customHeight="1">
      <c r="A917" s="1284" t="str">
        <f>IFERROR(VLOOKUP(B:B,'0.39'!B:F,5,FALSE),"")</f>
        <v/>
      </c>
      <c r="B917" s="1331">
        <f>PACKING!BQ416</f>
        <v>0</v>
      </c>
      <c r="C917" s="1283" t="str">
        <f>IFERROR((VLOOKUP(B:B,'0.39'!B:F,4,FALSE)),"")</f>
        <v/>
      </c>
      <c r="D917" s="1331">
        <f>PACKING!BR416</f>
        <v>0</v>
      </c>
      <c r="E917" s="1337" t="s">
        <v>2747</v>
      </c>
      <c r="F917" s="1282"/>
      <c r="G917" s="1281"/>
    </row>
    <row r="918" spans="1:7" ht="52.9" customHeight="1">
      <c r="A918" s="1284" t="str">
        <f>IFERROR(VLOOKUP(B:B,'0.39'!B:F,5,FALSE),"")</f>
        <v/>
      </c>
      <c r="B918" s="1331">
        <f>PACKING!BQ417</f>
        <v>0</v>
      </c>
      <c r="C918" s="1283" t="str">
        <f>IFERROR((VLOOKUP(B:B,'0.39'!B:F,4,FALSE)),"")</f>
        <v/>
      </c>
      <c r="D918" s="1331">
        <f>PACKING!BR417</f>
        <v>0</v>
      </c>
      <c r="E918" s="1337" t="s">
        <v>2747</v>
      </c>
      <c r="F918" s="1282"/>
      <c r="G918" s="1281"/>
    </row>
    <row r="919" spans="1:7" ht="79.150000000000006" customHeight="1" thickBot="1">
      <c r="A919" s="1692" t="s">
        <v>204</v>
      </c>
      <c r="B919" s="1693"/>
      <c r="C919" s="1693"/>
      <c r="D919" s="1280">
        <f>SUM(D908:D918)</f>
        <v>0</v>
      </c>
      <c r="E919" s="1336" t="s">
        <v>2747</v>
      </c>
      <c r="F919" s="1279" t="s">
        <v>2746</v>
      </c>
      <c r="G919" s="1278" t="s">
        <v>2746</v>
      </c>
    </row>
    <row r="920" spans="1:7" ht="35.25" thickBot="1">
      <c r="A920" s="1302"/>
      <c r="B920" s="1361"/>
      <c r="C920" s="1302"/>
      <c r="D920" s="1303"/>
      <c r="E920" s="1302"/>
      <c r="F920" s="1301"/>
      <c r="G920" s="1301"/>
    </row>
    <row r="921" spans="1:7" ht="75.599999999999994" customHeight="1" thickBot="1">
      <c r="A921" s="1300"/>
      <c r="B921" s="1299" t="str">
        <f>BASIC_TOOL!$B$6</f>
        <v>A Project</v>
      </c>
      <c r="C921" s="1298"/>
      <c r="D921" s="1297" t="s">
        <v>2236</v>
      </c>
      <c r="E921" s="1296">
        <f>PACKING!N897</f>
        <v>0</v>
      </c>
      <c r="F921" s="1295" t="s">
        <v>2755</v>
      </c>
      <c r="G921" s="1294">
        <f>PACKING!$C$93</f>
        <v>2</v>
      </c>
    </row>
    <row r="922" spans="1:7" ht="87.6" customHeight="1">
      <c r="A922" s="1290" t="s">
        <v>2754</v>
      </c>
      <c r="B922" s="1290" t="str">
        <f>BASIC_TOOL!$B$7</f>
        <v>DAMMAM, KSA</v>
      </c>
      <c r="C922" s="1293" t="str">
        <f>BASIC_TOOL!$C$14</f>
        <v>Non-Insulated</v>
      </c>
      <c r="D922" s="1694">
        <f>'PRINTOUT(BOM)'!A437</f>
        <v>0</v>
      </c>
      <c r="E922" s="1695"/>
      <c r="F922" s="1695"/>
      <c r="G922" s="1696"/>
    </row>
    <row r="923" spans="1:7" ht="63.6" customHeight="1">
      <c r="A923" s="1290" t="s">
        <v>2753</v>
      </c>
      <c r="B923" s="1292">
        <f>BASIC_TOOL!$F$7</f>
        <v>44343</v>
      </c>
      <c r="C923" s="1291" t="s">
        <v>2752</v>
      </c>
      <c r="D923" s="1691" t="str">
        <f>BASIC_TOOL!$D$6</f>
        <v>ABC</v>
      </c>
      <c r="E923" s="1691"/>
      <c r="F923" s="1691" t="s">
        <v>2751</v>
      </c>
      <c r="G923" s="1697"/>
    </row>
    <row r="924" spans="1:7" ht="60">
      <c r="A924" s="1290" t="s">
        <v>176</v>
      </c>
      <c r="B924" s="1359" t="s">
        <v>177</v>
      </c>
      <c r="C924" s="1335" t="s">
        <v>2750</v>
      </c>
      <c r="D924" s="1691" t="s">
        <v>239</v>
      </c>
      <c r="E924" s="1691"/>
      <c r="F924" s="1288" t="s">
        <v>2749</v>
      </c>
      <c r="G924" s="1287" t="s">
        <v>2748</v>
      </c>
    </row>
    <row r="925" spans="1:7" ht="52.9" customHeight="1">
      <c r="A925" s="1284" t="str">
        <f>IFERROR(VLOOKUP(B:B,'0.39'!B:F,5,FALSE),"")</f>
        <v/>
      </c>
      <c r="B925" s="1360"/>
      <c r="C925" s="1283" t="str">
        <f>IFERROR((VLOOKUP(B:B,'0.39'!B:F,4,FALSE)),"")</f>
        <v/>
      </c>
      <c r="D925" s="1331">
        <f>PACKING!N900</f>
        <v>0</v>
      </c>
      <c r="E925" s="1286" t="s">
        <v>2747</v>
      </c>
      <c r="F925" s="1285"/>
      <c r="G925" s="1281"/>
    </row>
    <row r="926" spans="1:7" ht="52.9" customHeight="1">
      <c r="A926" s="1284" t="str">
        <f>IFERROR(VLOOKUP(B:B,'0.39'!B:F,5,FALSE),"")</f>
        <v/>
      </c>
      <c r="B926" s="1360"/>
      <c r="C926" s="1283" t="str">
        <f>IFERROR((VLOOKUP(B:B,'0.39'!B:F,4,FALSE)),"")</f>
        <v/>
      </c>
      <c r="D926" s="1331">
        <f>PACKING!N901</f>
        <v>0</v>
      </c>
      <c r="E926" s="1337" t="s">
        <v>2747</v>
      </c>
      <c r="F926" s="1285"/>
      <c r="G926" s="1281"/>
    </row>
    <row r="927" spans="1:7" ht="52.9" customHeight="1">
      <c r="A927" s="1284" t="str">
        <f>IFERROR(VLOOKUP(B:B,'0.39'!B:F,5,FALSE),"")</f>
        <v/>
      </c>
      <c r="B927" s="1360"/>
      <c r="C927" s="1283" t="str">
        <f>IFERROR((VLOOKUP(B:B,'0.39'!B:F,4,FALSE)),"")</f>
        <v/>
      </c>
      <c r="D927" s="1331">
        <f>PACKING!N902</f>
        <v>0</v>
      </c>
      <c r="E927" s="1286" t="s">
        <v>2747</v>
      </c>
      <c r="F927" s="1285"/>
      <c r="G927" s="1281"/>
    </row>
    <row r="928" spans="1:7" ht="52.9" customHeight="1">
      <c r="A928" s="1284" t="str">
        <f>IFERROR(VLOOKUP(B:B,'0.39'!B:F,5,FALSE),"")</f>
        <v/>
      </c>
      <c r="B928" s="1360"/>
      <c r="C928" s="1283" t="str">
        <f>IFERROR((VLOOKUP(B:B,'0.39'!B:F,4,FALSE)),"")</f>
        <v/>
      </c>
      <c r="D928" s="1331">
        <f>PACKING!N903</f>
        <v>0</v>
      </c>
      <c r="E928" s="1286" t="s">
        <v>2747</v>
      </c>
      <c r="F928" s="1282"/>
      <c r="G928" s="1281"/>
    </row>
    <row r="929" spans="1:7" ht="52.9" customHeight="1">
      <c r="A929" s="1284" t="str">
        <f>IFERROR(VLOOKUP(B:B,'0.39'!B:F,5,FALSE),"")</f>
        <v/>
      </c>
      <c r="B929" s="1360"/>
      <c r="C929" s="1283" t="str">
        <f>IFERROR((VLOOKUP(B:B,'0.39'!B:F,4,FALSE)),"")</f>
        <v/>
      </c>
      <c r="D929" s="1331">
        <f>PACKING!N904</f>
        <v>0</v>
      </c>
      <c r="E929" s="1286" t="s">
        <v>2747</v>
      </c>
      <c r="F929" s="1282"/>
      <c r="G929" s="1281"/>
    </row>
    <row r="930" spans="1:7" ht="52.9" customHeight="1">
      <c r="A930" s="1284" t="str">
        <f>IFERROR(VLOOKUP(B:B,'0.39'!B:F,5,FALSE),"")</f>
        <v/>
      </c>
      <c r="B930" s="1360"/>
      <c r="C930" s="1283" t="str">
        <f>IFERROR((VLOOKUP(B:B,'0.39'!B:F,4,FALSE)),"")</f>
        <v/>
      </c>
      <c r="D930" s="1331">
        <f>PACKING!N905</f>
        <v>0</v>
      </c>
      <c r="E930" s="1337" t="s">
        <v>2747</v>
      </c>
      <c r="F930" s="1282"/>
      <c r="G930" s="1281"/>
    </row>
    <row r="931" spans="1:7" ht="52.9" customHeight="1">
      <c r="A931" s="1284" t="str">
        <f>IFERROR(VLOOKUP(B:B,'0.39'!B:F,5,FALSE),"")</f>
        <v/>
      </c>
      <c r="B931" s="1360"/>
      <c r="C931" s="1283" t="str">
        <f>IFERROR((VLOOKUP(B:B,'0.39'!B:F,4,FALSE)),"")</f>
        <v/>
      </c>
      <c r="D931" s="1331">
        <f>PACKING!N906</f>
        <v>0</v>
      </c>
      <c r="E931" s="1337" t="s">
        <v>2747</v>
      </c>
      <c r="F931" s="1282"/>
      <c r="G931" s="1281"/>
    </row>
    <row r="932" spans="1:7" ht="52.9" customHeight="1">
      <c r="A932" s="1284" t="str">
        <f>IFERROR(VLOOKUP(B:B,'0.39'!B:F,5,FALSE),"")</f>
        <v/>
      </c>
      <c r="B932" s="1360"/>
      <c r="C932" s="1283" t="str">
        <f>IFERROR((VLOOKUP(B:B,'0.39'!B:F,4,FALSE)),"")</f>
        <v/>
      </c>
      <c r="D932" s="1331">
        <f>PACKING!N907</f>
        <v>0</v>
      </c>
      <c r="E932" s="1337" t="s">
        <v>2747</v>
      </c>
      <c r="F932" s="1282"/>
      <c r="G932" s="1281"/>
    </row>
    <row r="933" spans="1:7" ht="52.9" customHeight="1">
      <c r="A933" s="1284" t="str">
        <f>IFERROR(VLOOKUP(B:B,'0.39'!B:F,5,FALSE),"")</f>
        <v/>
      </c>
      <c r="B933" s="1360"/>
      <c r="C933" s="1283" t="str">
        <f>IFERROR((VLOOKUP(B:B,'0.39'!B:F,4,FALSE)),"")</f>
        <v/>
      </c>
      <c r="D933" s="1331">
        <f>PACKING!N908</f>
        <v>0</v>
      </c>
      <c r="E933" s="1337" t="s">
        <v>2747</v>
      </c>
      <c r="F933" s="1285"/>
      <c r="G933" s="1281"/>
    </row>
    <row r="934" spans="1:7" ht="52.9" customHeight="1">
      <c r="A934" s="1284" t="str">
        <f>IFERROR(VLOOKUP(B:B,'0.39'!B:F,5,FALSE),"")</f>
        <v/>
      </c>
      <c r="B934" s="1360"/>
      <c r="C934" s="1283" t="str">
        <f>IFERROR((VLOOKUP(B:B,'0.39'!B:F,4,FALSE)),"")</f>
        <v/>
      </c>
      <c r="D934" s="1331">
        <f>PACKING!N909</f>
        <v>0</v>
      </c>
      <c r="E934" s="1337" t="s">
        <v>2747</v>
      </c>
      <c r="F934" s="1282"/>
      <c r="G934" s="1281"/>
    </row>
    <row r="935" spans="1:7" ht="52.9" customHeight="1">
      <c r="A935" s="1284" t="str">
        <f>IFERROR(VLOOKUP(B:B,'0.39'!B:F,5,FALSE),"")</f>
        <v/>
      </c>
      <c r="B935" s="1360"/>
      <c r="C935" s="1283" t="str">
        <f>IFERROR((VLOOKUP(B:B,'0.39'!B:F,4,FALSE)),"")</f>
        <v/>
      </c>
      <c r="D935" s="1331">
        <f>PACKING!N910</f>
        <v>0</v>
      </c>
      <c r="E935" s="1337" t="s">
        <v>2747</v>
      </c>
      <c r="F935" s="1282"/>
      <c r="G935" s="1281"/>
    </row>
    <row r="936" spans="1:7" ht="79.150000000000006" customHeight="1" thickBot="1">
      <c r="A936" s="1692" t="s">
        <v>204</v>
      </c>
      <c r="B936" s="1693"/>
      <c r="C936" s="1693"/>
      <c r="D936" s="1280">
        <f>SUM(D925:D935)</f>
        <v>0</v>
      </c>
      <c r="E936" s="1336" t="s">
        <v>2747</v>
      </c>
      <c r="F936" s="1279" t="s">
        <v>2746</v>
      </c>
      <c r="G936" s="1278" t="s">
        <v>2746</v>
      </c>
    </row>
    <row r="937" spans="1:7" ht="35.25" thickBot="1">
      <c r="A937" s="1302"/>
      <c r="B937" s="1361"/>
      <c r="C937" s="1302"/>
      <c r="D937" s="1303"/>
      <c r="E937" s="1302"/>
      <c r="F937" s="1301"/>
      <c r="G937" s="1301"/>
    </row>
    <row r="938" spans="1:7" ht="75.599999999999994" customHeight="1" thickBot="1">
      <c r="A938" s="1300"/>
      <c r="B938" s="1299" t="str">
        <f>BASIC_TOOL!$B$6</f>
        <v>A Project</v>
      </c>
      <c r="C938" s="1298"/>
      <c r="D938" s="1297" t="s">
        <v>2236</v>
      </c>
      <c r="E938" s="1296">
        <f>PACKING!N914</f>
        <v>0</v>
      </c>
      <c r="F938" s="1295" t="s">
        <v>2755</v>
      </c>
      <c r="G938" s="1294">
        <f>PACKING!$C$93</f>
        <v>2</v>
      </c>
    </row>
    <row r="939" spans="1:7" ht="87.6" customHeight="1">
      <c r="A939" s="1290" t="s">
        <v>2754</v>
      </c>
      <c r="B939" s="1290" t="str">
        <f>BASIC_TOOL!$B$7</f>
        <v>DAMMAM, KSA</v>
      </c>
      <c r="C939" s="1293" t="str">
        <f>BASIC_TOOL!$C$14</f>
        <v>Non-Insulated</v>
      </c>
      <c r="D939" s="1694">
        <f>'PRINTOUT(BOM)'!A437</f>
        <v>0</v>
      </c>
      <c r="E939" s="1695"/>
      <c r="F939" s="1695"/>
      <c r="G939" s="1696"/>
    </row>
    <row r="940" spans="1:7" ht="63.6" customHeight="1">
      <c r="A940" s="1290" t="s">
        <v>2753</v>
      </c>
      <c r="B940" s="1292">
        <f>BASIC_TOOL!$F$7</f>
        <v>44343</v>
      </c>
      <c r="C940" s="1291" t="s">
        <v>2752</v>
      </c>
      <c r="D940" s="1691" t="str">
        <f>BASIC_TOOL!$D$6</f>
        <v>ABC</v>
      </c>
      <c r="E940" s="1691"/>
      <c r="F940" s="1691" t="s">
        <v>2751</v>
      </c>
      <c r="G940" s="1697"/>
    </row>
    <row r="941" spans="1:7" ht="60">
      <c r="A941" s="1290" t="s">
        <v>176</v>
      </c>
      <c r="B941" s="1359" t="s">
        <v>177</v>
      </c>
      <c r="C941" s="1335" t="s">
        <v>2750</v>
      </c>
      <c r="D941" s="1691" t="s">
        <v>239</v>
      </c>
      <c r="E941" s="1691"/>
      <c r="F941" s="1288" t="s">
        <v>2749</v>
      </c>
      <c r="G941" s="1287" t="s">
        <v>2748</v>
      </c>
    </row>
    <row r="942" spans="1:7" ht="52.9" customHeight="1">
      <c r="A942" s="1284" t="str">
        <f>IFERROR(VLOOKUP(B:B,'0.39'!B:F,5,FALSE),"")</f>
        <v/>
      </c>
      <c r="B942" s="1360"/>
      <c r="C942" s="1283" t="str">
        <f>IFERROR((VLOOKUP(B:B,'0.39'!B:F,4,FALSE)),"")</f>
        <v/>
      </c>
      <c r="D942" s="1331">
        <f>PACKING!N917</f>
        <v>0</v>
      </c>
      <c r="E942" s="1286" t="s">
        <v>2747</v>
      </c>
      <c r="F942" s="1285"/>
      <c r="G942" s="1281"/>
    </row>
    <row r="943" spans="1:7" ht="52.9" customHeight="1">
      <c r="A943" s="1284" t="str">
        <f>IFERROR(VLOOKUP(B:B,'0.39'!B:F,5,FALSE),"")</f>
        <v/>
      </c>
      <c r="B943" s="1360"/>
      <c r="C943" s="1283" t="str">
        <f>IFERROR((VLOOKUP(B:B,'0.39'!B:F,4,FALSE)),"")</f>
        <v/>
      </c>
      <c r="D943" s="1331">
        <f>PACKING!N918</f>
        <v>0</v>
      </c>
      <c r="E943" s="1337" t="s">
        <v>2747</v>
      </c>
      <c r="F943" s="1285"/>
      <c r="G943" s="1281"/>
    </row>
    <row r="944" spans="1:7" ht="52.9" customHeight="1">
      <c r="A944" s="1284" t="str">
        <f>IFERROR(VLOOKUP(B:B,'0.39'!B:F,5,FALSE),"")</f>
        <v/>
      </c>
      <c r="B944" s="1360"/>
      <c r="C944" s="1283" t="str">
        <f>IFERROR((VLOOKUP(B:B,'0.39'!B:F,4,FALSE)),"")</f>
        <v/>
      </c>
      <c r="D944" s="1331">
        <f>PACKING!N919</f>
        <v>0</v>
      </c>
      <c r="E944" s="1286" t="s">
        <v>2747</v>
      </c>
      <c r="F944" s="1285"/>
      <c r="G944" s="1281"/>
    </row>
    <row r="945" spans="1:7" ht="52.9" customHeight="1">
      <c r="A945" s="1284" t="str">
        <f>IFERROR(VLOOKUP(B:B,'0.39'!B:F,5,FALSE),"")</f>
        <v/>
      </c>
      <c r="B945" s="1360"/>
      <c r="C945" s="1283" t="str">
        <f>IFERROR((VLOOKUP(B:B,'0.39'!B:F,4,FALSE)),"")</f>
        <v/>
      </c>
      <c r="D945" s="1331">
        <f>PACKING!N920</f>
        <v>0</v>
      </c>
      <c r="E945" s="1286" t="s">
        <v>2747</v>
      </c>
      <c r="F945" s="1282"/>
      <c r="G945" s="1281"/>
    </row>
    <row r="946" spans="1:7" ht="52.9" customHeight="1">
      <c r="A946" s="1284" t="str">
        <f>IFERROR(VLOOKUP(B:B,'0.39'!B:F,5,FALSE),"")</f>
        <v/>
      </c>
      <c r="B946" s="1360"/>
      <c r="C946" s="1283" t="str">
        <f>IFERROR((VLOOKUP(B:B,'0.39'!B:F,4,FALSE)),"")</f>
        <v/>
      </c>
      <c r="D946" s="1331">
        <f>PACKING!N921</f>
        <v>0</v>
      </c>
      <c r="E946" s="1286" t="s">
        <v>2747</v>
      </c>
      <c r="F946" s="1282"/>
      <c r="G946" s="1281"/>
    </row>
    <row r="947" spans="1:7" ht="52.9" customHeight="1">
      <c r="A947" s="1284" t="str">
        <f>IFERROR(VLOOKUP(B:B,'0.39'!B:F,5,FALSE),"")</f>
        <v/>
      </c>
      <c r="B947" s="1360"/>
      <c r="C947" s="1283" t="str">
        <f>IFERROR((VLOOKUP(B:B,'0.39'!B:F,4,FALSE)),"")</f>
        <v/>
      </c>
      <c r="D947" s="1331">
        <f>PACKING!N922</f>
        <v>0</v>
      </c>
      <c r="E947" s="1337" t="s">
        <v>2747</v>
      </c>
      <c r="F947" s="1282"/>
      <c r="G947" s="1281"/>
    </row>
    <row r="948" spans="1:7" ht="52.9" customHeight="1">
      <c r="A948" s="1284" t="str">
        <f>IFERROR(VLOOKUP(B:B,'0.39'!B:F,5,FALSE),"")</f>
        <v/>
      </c>
      <c r="B948" s="1360"/>
      <c r="C948" s="1283" t="str">
        <f>IFERROR((VLOOKUP(B:B,'0.39'!B:F,4,FALSE)),"")</f>
        <v/>
      </c>
      <c r="D948" s="1331">
        <f>PACKING!N923</f>
        <v>0</v>
      </c>
      <c r="E948" s="1337" t="s">
        <v>2747</v>
      </c>
      <c r="F948" s="1282"/>
      <c r="G948" s="1281"/>
    </row>
    <row r="949" spans="1:7" ht="52.9" customHeight="1">
      <c r="A949" s="1284" t="str">
        <f>IFERROR(VLOOKUP(B:B,'0.39'!B:F,5,FALSE),"")</f>
        <v/>
      </c>
      <c r="B949" s="1360"/>
      <c r="C949" s="1283" t="str">
        <f>IFERROR((VLOOKUP(B:B,'0.39'!B:F,4,FALSE)),"")</f>
        <v/>
      </c>
      <c r="D949" s="1331">
        <f>PACKING!N924</f>
        <v>0</v>
      </c>
      <c r="E949" s="1337" t="s">
        <v>2747</v>
      </c>
      <c r="F949" s="1282"/>
      <c r="G949" s="1281"/>
    </row>
    <row r="950" spans="1:7" ht="52.9" customHeight="1">
      <c r="A950" s="1284" t="str">
        <f>IFERROR(VLOOKUP(B:B,'0.39'!B:F,5,FALSE),"")</f>
        <v/>
      </c>
      <c r="B950" s="1360"/>
      <c r="C950" s="1283" t="str">
        <f>IFERROR((VLOOKUP(B:B,'0.39'!B:F,4,FALSE)),"")</f>
        <v/>
      </c>
      <c r="D950" s="1331">
        <f>PACKING!N925</f>
        <v>0</v>
      </c>
      <c r="E950" s="1337" t="s">
        <v>2747</v>
      </c>
      <c r="F950" s="1285"/>
      <c r="G950" s="1281"/>
    </row>
    <row r="951" spans="1:7" ht="52.9" customHeight="1">
      <c r="A951" s="1284" t="str">
        <f>IFERROR(VLOOKUP(B:B,'0.39'!B:F,5,FALSE),"")</f>
        <v/>
      </c>
      <c r="B951" s="1360"/>
      <c r="C951" s="1283" t="str">
        <f>IFERROR((VLOOKUP(B:B,'0.39'!B:F,4,FALSE)),"")</f>
        <v/>
      </c>
      <c r="D951" s="1331">
        <f>PACKING!N926</f>
        <v>0</v>
      </c>
      <c r="E951" s="1337" t="s">
        <v>2747</v>
      </c>
      <c r="F951" s="1282"/>
      <c r="G951" s="1281"/>
    </row>
    <row r="952" spans="1:7" ht="52.9" customHeight="1">
      <c r="A952" s="1284" t="str">
        <f>IFERROR(VLOOKUP(B:B,'0.39'!B:F,5,FALSE),"")</f>
        <v/>
      </c>
      <c r="B952" s="1360"/>
      <c r="C952" s="1283" t="str">
        <f>IFERROR((VLOOKUP(B:B,'0.39'!B:F,4,FALSE)),"")</f>
        <v/>
      </c>
      <c r="D952" s="1331">
        <f>PACKING!N927</f>
        <v>0</v>
      </c>
      <c r="E952" s="1337" t="s">
        <v>2747</v>
      </c>
      <c r="F952" s="1282"/>
      <c r="G952" s="1281"/>
    </row>
    <row r="953" spans="1:7" ht="79.150000000000006" customHeight="1" thickBot="1">
      <c r="A953" s="1692" t="s">
        <v>204</v>
      </c>
      <c r="B953" s="1693"/>
      <c r="C953" s="1693"/>
      <c r="D953" s="1280">
        <f>SUM(D942:D952)</f>
        <v>0</v>
      </c>
      <c r="E953" s="1336" t="s">
        <v>2747</v>
      </c>
      <c r="F953" s="1279" t="s">
        <v>2746</v>
      </c>
      <c r="G953" s="1278" t="s">
        <v>2746</v>
      </c>
    </row>
    <row r="954" spans="1:7" ht="35.25" thickBot="1">
      <c r="A954" s="1302"/>
      <c r="B954" s="1361"/>
      <c r="C954" s="1302"/>
      <c r="D954" s="1303"/>
      <c r="E954" s="1302"/>
      <c r="F954" s="1301"/>
      <c r="G954" s="1301"/>
    </row>
    <row r="955" spans="1:7" ht="75.599999999999994" customHeight="1" thickBot="1">
      <c r="A955" s="1300"/>
      <c r="B955" s="1299" t="str">
        <f>BASIC_TOOL!$B$6</f>
        <v>A Project</v>
      </c>
      <c r="C955" s="1298"/>
      <c r="D955" s="1297" t="s">
        <v>2236</v>
      </c>
      <c r="E955" s="1296">
        <f>PACKING!N931</f>
        <v>0</v>
      </c>
      <c r="F955" s="1295" t="s">
        <v>2755</v>
      </c>
      <c r="G955" s="1294">
        <f>PACKING!$C$93</f>
        <v>2</v>
      </c>
    </row>
    <row r="956" spans="1:7" ht="87.6" customHeight="1">
      <c r="A956" s="1290" t="s">
        <v>2754</v>
      </c>
      <c r="B956" s="1290" t="str">
        <f>BASIC_TOOL!$B$7</f>
        <v>DAMMAM, KSA</v>
      </c>
      <c r="C956" s="1293" t="str">
        <f>BASIC_TOOL!$C$14</f>
        <v>Non-Insulated</v>
      </c>
      <c r="D956" s="1694">
        <f>'PRINTOUT(BOM)'!A437</f>
        <v>0</v>
      </c>
      <c r="E956" s="1695"/>
      <c r="F956" s="1695"/>
      <c r="G956" s="1696"/>
    </row>
    <row r="957" spans="1:7" ht="63.6" customHeight="1">
      <c r="A957" s="1290" t="s">
        <v>2753</v>
      </c>
      <c r="B957" s="1292">
        <f>BASIC_TOOL!$F$7</f>
        <v>44343</v>
      </c>
      <c r="C957" s="1291" t="s">
        <v>2752</v>
      </c>
      <c r="D957" s="1691" t="str">
        <f>BASIC_TOOL!$D$6</f>
        <v>ABC</v>
      </c>
      <c r="E957" s="1691"/>
      <c r="F957" s="1691" t="s">
        <v>2751</v>
      </c>
      <c r="G957" s="1697"/>
    </row>
    <row r="958" spans="1:7" ht="60">
      <c r="A958" s="1290" t="s">
        <v>176</v>
      </c>
      <c r="B958" s="1359" t="s">
        <v>177</v>
      </c>
      <c r="C958" s="1335" t="s">
        <v>2750</v>
      </c>
      <c r="D958" s="1691" t="s">
        <v>239</v>
      </c>
      <c r="E958" s="1691"/>
      <c r="F958" s="1288" t="s">
        <v>2749</v>
      </c>
      <c r="G958" s="1287" t="s">
        <v>2748</v>
      </c>
    </row>
    <row r="959" spans="1:7" ht="52.9" customHeight="1">
      <c r="A959" s="1284" t="str">
        <f>IFERROR(VLOOKUP(B:B,'0.39'!B:F,5,FALSE),"")</f>
        <v/>
      </c>
      <c r="B959" s="1331">
        <f>PACKING!M934</f>
        <v>0</v>
      </c>
      <c r="C959" s="1283" t="str">
        <f>IFERROR((VLOOKUP(B:B,'0.39'!B:F,4,FALSE)),"")</f>
        <v/>
      </c>
      <c r="D959" s="1331">
        <f>PACKING!N934</f>
        <v>0</v>
      </c>
      <c r="E959" s="1286" t="s">
        <v>2747</v>
      </c>
      <c r="F959" s="1285"/>
      <c r="G959" s="1281"/>
    </row>
    <row r="960" spans="1:7" ht="52.9" customHeight="1">
      <c r="A960" s="1284" t="str">
        <f>IFERROR(VLOOKUP(B:B,'0.39'!B:F,5,FALSE),"")</f>
        <v/>
      </c>
      <c r="B960" s="1331">
        <f>PACKING!M935</f>
        <v>0</v>
      </c>
      <c r="C960" s="1283" t="str">
        <f>IFERROR((VLOOKUP(B:B,'0.39'!B:F,4,FALSE)),"")</f>
        <v/>
      </c>
      <c r="D960" s="1331">
        <f>PACKING!N935</f>
        <v>0</v>
      </c>
      <c r="E960" s="1337" t="s">
        <v>2747</v>
      </c>
      <c r="F960" s="1285"/>
      <c r="G960" s="1281"/>
    </row>
    <row r="961" spans="1:7" ht="52.9" customHeight="1">
      <c r="A961" s="1284" t="str">
        <f>IFERROR(VLOOKUP(B:B,'0.39'!B:F,5,FALSE),"")</f>
        <v/>
      </c>
      <c r="B961" s="1331">
        <f>PACKING!M936</f>
        <v>0</v>
      </c>
      <c r="C961" s="1283" t="str">
        <f>IFERROR((VLOOKUP(B:B,'0.39'!B:F,4,FALSE)),"")</f>
        <v/>
      </c>
      <c r="D961" s="1331">
        <f>PACKING!N936</f>
        <v>0</v>
      </c>
      <c r="E961" s="1286" t="s">
        <v>2747</v>
      </c>
      <c r="F961" s="1285"/>
      <c r="G961" s="1281"/>
    </row>
    <row r="962" spans="1:7" ht="52.9" customHeight="1">
      <c r="A962" s="1284" t="str">
        <f>IFERROR(VLOOKUP(B:B,'0.39'!B:F,5,FALSE),"")</f>
        <v/>
      </c>
      <c r="B962" s="1331">
        <f>PACKING!M937</f>
        <v>0</v>
      </c>
      <c r="C962" s="1283" t="str">
        <f>IFERROR((VLOOKUP(B:B,'0.39'!B:F,4,FALSE)),"")</f>
        <v/>
      </c>
      <c r="D962" s="1331">
        <f>PACKING!N937</f>
        <v>0</v>
      </c>
      <c r="E962" s="1286" t="s">
        <v>2747</v>
      </c>
      <c r="F962" s="1282"/>
      <c r="G962" s="1281"/>
    </row>
    <row r="963" spans="1:7" ht="52.9" customHeight="1">
      <c r="A963" s="1284" t="str">
        <f>IFERROR(VLOOKUP(B:B,'0.39'!B:F,5,FALSE),"")</f>
        <v/>
      </c>
      <c r="B963" s="1331">
        <f>PACKING!M938</f>
        <v>0</v>
      </c>
      <c r="C963" s="1283" t="str">
        <f>IFERROR((VLOOKUP(B:B,'0.39'!B:F,4,FALSE)),"")</f>
        <v/>
      </c>
      <c r="D963" s="1331">
        <f>PACKING!N938</f>
        <v>0</v>
      </c>
      <c r="E963" s="1286" t="s">
        <v>2747</v>
      </c>
      <c r="F963" s="1282"/>
      <c r="G963" s="1281"/>
    </row>
    <row r="964" spans="1:7" ht="52.9" customHeight="1">
      <c r="A964" s="1284" t="str">
        <f>IFERROR(VLOOKUP(B:B,'0.39'!B:F,5,FALSE),"")</f>
        <v/>
      </c>
      <c r="B964" s="1331">
        <f>PACKING!M939</f>
        <v>0</v>
      </c>
      <c r="C964" s="1283" t="str">
        <f>IFERROR((VLOOKUP(B:B,'0.39'!B:F,4,FALSE)),"")</f>
        <v/>
      </c>
      <c r="D964" s="1331">
        <f>PACKING!N939</f>
        <v>0</v>
      </c>
      <c r="E964" s="1337" t="s">
        <v>2747</v>
      </c>
      <c r="F964" s="1282"/>
      <c r="G964" s="1281"/>
    </row>
    <row r="965" spans="1:7" ht="52.9" customHeight="1">
      <c r="A965" s="1284" t="str">
        <f>IFERROR(VLOOKUP(B:B,'0.39'!B:F,5,FALSE),"")</f>
        <v/>
      </c>
      <c r="B965" s="1331">
        <f>PACKING!M940</f>
        <v>0</v>
      </c>
      <c r="C965" s="1283" t="str">
        <f>IFERROR((VLOOKUP(B:B,'0.39'!B:F,4,FALSE)),"")</f>
        <v/>
      </c>
      <c r="D965" s="1331">
        <f>PACKING!N940</f>
        <v>0</v>
      </c>
      <c r="E965" s="1337" t="s">
        <v>2747</v>
      </c>
      <c r="F965" s="1282"/>
      <c r="G965" s="1281"/>
    </row>
    <row r="966" spans="1:7" ht="52.9" customHeight="1">
      <c r="A966" s="1284" t="str">
        <f>IFERROR(VLOOKUP(B:B,'0.39'!B:F,5,FALSE),"")</f>
        <v/>
      </c>
      <c r="B966" s="1331">
        <f>PACKING!M941</f>
        <v>0</v>
      </c>
      <c r="C966" s="1283" t="str">
        <f>IFERROR((VLOOKUP(B:B,'0.39'!B:F,4,FALSE)),"")</f>
        <v/>
      </c>
      <c r="D966" s="1331">
        <f>PACKING!N941</f>
        <v>0</v>
      </c>
      <c r="E966" s="1337" t="s">
        <v>2747</v>
      </c>
      <c r="F966" s="1282"/>
      <c r="G966" s="1281"/>
    </row>
    <row r="967" spans="1:7" ht="52.9" customHeight="1">
      <c r="A967" s="1284" t="str">
        <f>IFERROR(VLOOKUP(B:B,'0.39'!B:F,5,FALSE),"")</f>
        <v/>
      </c>
      <c r="B967" s="1331">
        <f>PACKING!M942</f>
        <v>0</v>
      </c>
      <c r="C967" s="1283" t="str">
        <f>IFERROR((VLOOKUP(B:B,'0.39'!B:F,4,FALSE)),"")</f>
        <v/>
      </c>
      <c r="D967" s="1331">
        <f>PACKING!N942</f>
        <v>0</v>
      </c>
      <c r="E967" s="1337" t="s">
        <v>2747</v>
      </c>
      <c r="F967" s="1285"/>
      <c r="G967" s="1281"/>
    </row>
    <row r="968" spans="1:7" ht="52.9" customHeight="1">
      <c r="A968" s="1284" t="str">
        <f>IFERROR(VLOOKUP(B:B,'0.39'!B:F,5,FALSE),"")</f>
        <v/>
      </c>
      <c r="B968" s="1331">
        <f>PACKING!M943</f>
        <v>0</v>
      </c>
      <c r="C968" s="1283" t="str">
        <f>IFERROR((VLOOKUP(B:B,'0.39'!B:F,4,FALSE)),"")</f>
        <v/>
      </c>
      <c r="D968" s="1331">
        <f>PACKING!N943</f>
        <v>0</v>
      </c>
      <c r="E968" s="1337" t="s">
        <v>2747</v>
      </c>
      <c r="F968" s="1282"/>
      <c r="G968" s="1281"/>
    </row>
    <row r="969" spans="1:7" ht="52.9" customHeight="1">
      <c r="A969" s="1284" t="str">
        <f>IFERROR(VLOOKUP(B:B,'0.39'!B:F,5,FALSE),"")</f>
        <v/>
      </c>
      <c r="B969" s="1331">
        <f>PACKING!M944</f>
        <v>0</v>
      </c>
      <c r="C969" s="1283" t="str">
        <f>IFERROR((VLOOKUP(B:B,'0.39'!B:F,4,FALSE)),"")</f>
        <v/>
      </c>
      <c r="D969" s="1331">
        <f>PACKING!N944</f>
        <v>0</v>
      </c>
      <c r="E969" s="1337" t="s">
        <v>2747</v>
      </c>
      <c r="F969" s="1282"/>
      <c r="G969" s="1281"/>
    </row>
    <row r="970" spans="1:7" ht="79.150000000000006" customHeight="1" thickBot="1">
      <c r="A970" s="1692" t="s">
        <v>204</v>
      </c>
      <c r="B970" s="1693"/>
      <c r="C970" s="1693"/>
      <c r="D970" s="1280">
        <f>SUM(D959:D969)</f>
        <v>0</v>
      </c>
      <c r="E970" s="1336" t="s">
        <v>2747</v>
      </c>
      <c r="F970" s="1279" t="s">
        <v>2746</v>
      </c>
      <c r="G970" s="1278" t="s">
        <v>2746</v>
      </c>
    </row>
    <row r="971" spans="1:7" ht="35.25" thickBot="1">
      <c r="A971" s="1302"/>
      <c r="B971" s="1361"/>
      <c r="C971" s="1302"/>
      <c r="D971" s="1303"/>
      <c r="E971" s="1302"/>
      <c r="F971" s="1301"/>
      <c r="G971" s="1301"/>
    </row>
    <row r="972" spans="1:7" ht="75.599999999999994" customHeight="1" thickBot="1">
      <c r="A972" s="1300"/>
      <c r="B972" s="1299" t="str">
        <f>BASIC_TOOL!$B$6</f>
        <v>A Project</v>
      </c>
      <c r="C972" s="1298"/>
      <c r="D972" s="1297" t="s">
        <v>2236</v>
      </c>
      <c r="E972" s="1296">
        <f>PACKING!N948</f>
        <v>0</v>
      </c>
      <c r="F972" s="1295" t="s">
        <v>2755</v>
      </c>
      <c r="G972" s="1294">
        <f>PACKING!$C$93</f>
        <v>2</v>
      </c>
    </row>
    <row r="973" spans="1:7" ht="87.6" customHeight="1">
      <c r="A973" s="1290" t="s">
        <v>2754</v>
      </c>
      <c r="B973" s="1290" t="str">
        <f>BASIC_TOOL!$B$7</f>
        <v>DAMMAM, KSA</v>
      </c>
      <c r="C973" s="1293" t="str">
        <f>BASIC_TOOL!$C$14</f>
        <v>Non-Insulated</v>
      </c>
      <c r="D973" s="1694">
        <f>'PRINTOUT(BOM)'!A437</f>
        <v>0</v>
      </c>
      <c r="E973" s="1695"/>
      <c r="F973" s="1695"/>
      <c r="G973" s="1696"/>
    </row>
    <row r="974" spans="1:7" ht="63.6" customHeight="1">
      <c r="A974" s="1290" t="s">
        <v>2753</v>
      </c>
      <c r="B974" s="1292">
        <f>BASIC_TOOL!$F$7</f>
        <v>44343</v>
      </c>
      <c r="C974" s="1291" t="s">
        <v>2752</v>
      </c>
      <c r="D974" s="1691" t="str">
        <f>BASIC_TOOL!$D$6</f>
        <v>ABC</v>
      </c>
      <c r="E974" s="1691"/>
      <c r="F974" s="1691" t="s">
        <v>2751</v>
      </c>
      <c r="G974" s="1697"/>
    </row>
    <row r="975" spans="1:7" ht="60">
      <c r="A975" s="1290" t="s">
        <v>176</v>
      </c>
      <c r="B975" s="1359" t="s">
        <v>177</v>
      </c>
      <c r="C975" s="1335" t="s">
        <v>2750</v>
      </c>
      <c r="D975" s="1691" t="s">
        <v>239</v>
      </c>
      <c r="E975" s="1691"/>
      <c r="F975" s="1288" t="s">
        <v>2749</v>
      </c>
      <c r="G975" s="1287" t="s">
        <v>2748</v>
      </c>
    </row>
    <row r="976" spans="1:7" ht="52.9" customHeight="1">
      <c r="A976" s="1284" t="str">
        <f>IFERROR(VLOOKUP(B:B,'0.39'!B:F,5,FALSE),"")</f>
        <v/>
      </c>
      <c r="B976" s="1331">
        <f>PACKING!M951</f>
        <v>0</v>
      </c>
      <c r="C976" s="1283" t="str">
        <f>IFERROR((VLOOKUP(B:B,'0.39'!B:F,4,FALSE)),"")</f>
        <v/>
      </c>
      <c r="D976" s="1331">
        <f>PACKING!N951</f>
        <v>0</v>
      </c>
      <c r="E976" s="1286" t="s">
        <v>2747</v>
      </c>
      <c r="F976" s="1285"/>
      <c r="G976" s="1281"/>
    </row>
    <row r="977" spans="1:7" ht="52.9" customHeight="1">
      <c r="A977" s="1284" t="str">
        <f>IFERROR(VLOOKUP(B:B,'0.39'!B:F,5,FALSE),"")</f>
        <v/>
      </c>
      <c r="B977" s="1331">
        <f>PACKING!M952</f>
        <v>0</v>
      </c>
      <c r="C977" s="1283" t="str">
        <f>IFERROR((VLOOKUP(B:B,'0.39'!B:F,4,FALSE)),"")</f>
        <v/>
      </c>
      <c r="D977" s="1331">
        <f>PACKING!N952</f>
        <v>0</v>
      </c>
      <c r="E977" s="1337" t="s">
        <v>2747</v>
      </c>
      <c r="F977" s="1285"/>
      <c r="G977" s="1281"/>
    </row>
    <row r="978" spans="1:7" ht="52.9" customHeight="1">
      <c r="A978" s="1284" t="str">
        <f>IFERROR(VLOOKUP(B:B,'0.39'!B:F,5,FALSE),"")</f>
        <v/>
      </c>
      <c r="B978" s="1331">
        <f>PACKING!M953</f>
        <v>0</v>
      </c>
      <c r="C978" s="1283" t="str">
        <f>IFERROR((VLOOKUP(B:B,'0.39'!B:F,4,FALSE)),"")</f>
        <v/>
      </c>
      <c r="D978" s="1331">
        <f>PACKING!N953</f>
        <v>0</v>
      </c>
      <c r="E978" s="1286" t="s">
        <v>2747</v>
      </c>
      <c r="F978" s="1285"/>
      <c r="G978" s="1281"/>
    </row>
    <row r="979" spans="1:7" ht="52.9" customHeight="1">
      <c r="A979" s="1284" t="str">
        <f>IFERROR(VLOOKUP(B:B,'0.39'!B:F,5,FALSE),"")</f>
        <v/>
      </c>
      <c r="B979" s="1331">
        <f>PACKING!M954</f>
        <v>0</v>
      </c>
      <c r="C979" s="1283" t="str">
        <f>IFERROR((VLOOKUP(B:B,'0.39'!B:F,4,FALSE)),"")</f>
        <v/>
      </c>
      <c r="D979" s="1331">
        <f>PACKING!N954</f>
        <v>0</v>
      </c>
      <c r="E979" s="1286" t="s">
        <v>2747</v>
      </c>
      <c r="F979" s="1282"/>
      <c r="G979" s="1281"/>
    </row>
    <row r="980" spans="1:7" ht="52.9" customHeight="1">
      <c r="A980" s="1284" t="str">
        <f>IFERROR(VLOOKUP(B:B,'0.39'!B:F,5,FALSE),"")</f>
        <v/>
      </c>
      <c r="B980" s="1331">
        <f>PACKING!M955</f>
        <v>0</v>
      </c>
      <c r="C980" s="1283" t="str">
        <f>IFERROR((VLOOKUP(B:B,'0.39'!B:F,4,FALSE)),"")</f>
        <v/>
      </c>
      <c r="D980" s="1331">
        <f>PACKING!N955</f>
        <v>0</v>
      </c>
      <c r="E980" s="1286" t="s">
        <v>2747</v>
      </c>
      <c r="F980" s="1282"/>
      <c r="G980" s="1281"/>
    </row>
    <row r="981" spans="1:7" ht="52.9" customHeight="1">
      <c r="A981" s="1284" t="str">
        <f>IFERROR(VLOOKUP(B:B,'0.39'!B:F,5,FALSE),"")</f>
        <v/>
      </c>
      <c r="B981" s="1331">
        <f>PACKING!M956</f>
        <v>0</v>
      </c>
      <c r="C981" s="1283" t="str">
        <f>IFERROR((VLOOKUP(B:B,'0.39'!B:F,4,FALSE)),"")</f>
        <v/>
      </c>
      <c r="D981" s="1331">
        <f>PACKING!N956</f>
        <v>0</v>
      </c>
      <c r="E981" s="1337" t="s">
        <v>2747</v>
      </c>
      <c r="F981" s="1282"/>
      <c r="G981" s="1281"/>
    </row>
    <row r="982" spans="1:7" ht="52.9" customHeight="1">
      <c r="A982" s="1284" t="str">
        <f>IFERROR(VLOOKUP(B:B,'0.39'!B:F,5,FALSE),"")</f>
        <v/>
      </c>
      <c r="B982" s="1331">
        <f>PACKING!M957</f>
        <v>0</v>
      </c>
      <c r="C982" s="1283" t="str">
        <f>IFERROR((VLOOKUP(B:B,'0.39'!B:F,4,FALSE)),"")</f>
        <v/>
      </c>
      <c r="D982" s="1331">
        <f>PACKING!N957</f>
        <v>0</v>
      </c>
      <c r="E982" s="1337" t="s">
        <v>2747</v>
      </c>
      <c r="F982" s="1282"/>
      <c r="G982" s="1281"/>
    </row>
    <row r="983" spans="1:7" ht="52.9" customHeight="1">
      <c r="A983" s="1284" t="str">
        <f>IFERROR(VLOOKUP(B:B,'0.39'!B:F,5,FALSE),"")</f>
        <v/>
      </c>
      <c r="B983" s="1331">
        <f>PACKING!M958</f>
        <v>0</v>
      </c>
      <c r="C983" s="1283" t="str">
        <f>IFERROR((VLOOKUP(B:B,'0.39'!B:F,4,FALSE)),"")</f>
        <v/>
      </c>
      <c r="D983" s="1331">
        <f>PACKING!N958</f>
        <v>0</v>
      </c>
      <c r="E983" s="1337" t="s">
        <v>2747</v>
      </c>
      <c r="F983" s="1282"/>
      <c r="G983" s="1281"/>
    </row>
    <row r="984" spans="1:7" ht="52.9" customHeight="1">
      <c r="A984" s="1284" t="str">
        <f>IFERROR(VLOOKUP(B:B,'0.39'!B:F,5,FALSE),"")</f>
        <v/>
      </c>
      <c r="B984" s="1331">
        <f>PACKING!M959</f>
        <v>0</v>
      </c>
      <c r="C984" s="1283" t="str">
        <f>IFERROR((VLOOKUP(B:B,'0.39'!B:F,4,FALSE)),"")</f>
        <v/>
      </c>
      <c r="D984" s="1331">
        <f>PACKING!N959</f>
        <v>0</v>
      </c>
      <c r="E984" s="1337" t="s">
        <v>2747</v>
      </c>
      <c r="F984" s="1285"/>
      <c r="G984" s="1281"/>
    </row>
    <row r="985" spans="1:7" ht="52.9" customHeight="1">
      <c r="A985" s="1284" t="str">
        <f>IFERROR(VLOOKUP(B:B,'0.39'!B:F,5,FALSE),"")</f>
        <v/>
      </c>
      <c r="B985" s="1331">
        <f>PACKING!M960</f>
        <v>0</v>
      </c>
      <c r="C985" s="1283" t="str">
        <f>IFERROR((VLOOKUP(B:B,'0.39'!B:F,4,FALSE)),"")</f>
        <v/>
      </c>
      <c r="D985" s="1331">
        <f>PACKING!N960</f>
        <v>0</v>
      </c>
      <c r="E985" s="1337" t="s">
        <v>2747</v>
      </c>
      <c r="F985" s="1282"/>
      <c r="G985" s="1281"/>
    </row>
    <row r="986" spans="1:7" ht="52.9" customHeight="1">
      <c r="A986" s="1284" t="str">
        <f>IFERROR(VLOOKUP(B:B,'0.39'!B:F,5,FALSE),"")</f>
        <v/>
      </c>
      <c r="B986" s="1331">
        <f>PACKING!M961</f>
        <v>0</v>
      </c>
      <c r="C986" s="1283" t="str">
        <f>IFERROR((VLOOKUP(B:B,'0.39'!B:F,4,FALSE)),"")</f>
        <v/>
      </c>
      <c r="D986" s="1331">
        <f>PACKING!N961</f>
        <v>0</v>
      </c>
      <c r="E986" s="1337" t="s">
        <v>2747</v>
      </c>
      <c r="F986" s="1282"/>
      <c r="G986" s="1281"/>
    </row>
    <row r="987" spans="1:7" ht="79.150000000000006" customHeight="1" thickBot="1">
      <c r="A987" s="1692" t="s">
        <v>204</v>
      </c>
      <c r="B987" s="1693"/>
      <c r="C987" s="1693"/>
      <c r="D987" s="1280">
        <f>SUM(D976:D986)</f>
        <v>0</v>
      </c>
      <c r="E987" s="1336" t="s">
        <v>2747</v>
      </c>
      <c r="F987" s="1279" t="s">
        <v>2746</v>
      </c>
      <c r="G987" s="1278" t="s">
        <v>2746</v>
      </c>
    </row>
    <row r="988" spans="1:7" ht="35.25" thickBot="1">
      <c r="A988" s="1302"/>
      <c r="B988" s="1361"/>
      <c r="C988" s="1302"/>
      <c r="D988" s="1303"/>
      <c r="E988" s="1302"/>
      <c r="F988" s="1301"/>
      <c r="G988" s="1301"/>
    </row>
    <row r="989" spans="1:7" ht="75.599999999999994" customHeight="1" thickBot="1">
      <c r="A989" s="1300"/>
      <c r="B989" s="1299" t="str">
        <f>BASIC_TOOL!$B$6</f>
        <v>A Project</v>
      </c>
      <c r="C989" s="1298"/>
      <c r="D989" s="1297" t="s">
        <v>2236</v>
      </c>
      <c r="E989" s="1296">
        <f>PACKING!N965</f>
        <v>0</v>
      </c>
      <c r="F989" s="1295" t="s">
        <v>2755</v>
      </c>
      <c r="G989" s="1294">
        <f>PACKING!$C$93</f>
        <v>2</v>
      </c>
    </row>
    <row r="990" spans="1:7" ht="87.6" customHeight="1">
      <c r="A990" s="1290" t="s">
        <v>2754</v>
      </c>
      <c r="B990" s="1290" t="str">
        <f>BASIC_TOOL!$B$7</f>
        <v>DAMMAM, KSA</v>
      </c>
      <c r="C990" s="1293" t="str">
        <f>BASIC_TOOL!$C$14</f>
        <v>Non-Insulated</v>
      </c>
      <c r="D990" s="1694">
        <f>'PRINTOUT(BOM)'!A437</f>
        <v>0</v>
      </c>
      <c r="E990" s="1695"/>
      <c r="F990" s="1695"/>
      <c r="G990" s="1696"/>
    </row>
    <row r="991" spans="1:7" ht="63.6" customHeight="1">
      <c r="A991" s="1290" t="s">
        <v>2753</v>
      </c>
      <c r="B991" s="1292">
        <f>BASIC_TOOL!$F$7</f>
        <v>44343</v>
      </c>
      <c r="C991" s="1291" t="s">
        <v>2752</v>
      </c>
      <c r="D991" s="1691" t="str">
        <f>BASIC_TOOL!$D$6</f>
        <v>ABC</v>
      </c>
      <c r="E991" s="1691"/>
      <c r="F991" s="1691" t="s">
        <v>2751</v>
      </c>
      <c r="G991" s="1697"/>
    </row>
    <row r="992" spans="1:7" ht="60">
      <c r="A992" s="1290" t="s">
        <v>176</v>
      </c>
      <c r="B992" s="1359" t="s">
        <v>177</v>
      </c>
      <c r="C992" s="1335" t="s">
        <v>2750</v>
      </c>
      <c r="D992" s="1691" t="s">
        <v>239</v>
      </c>
      <c r="E992" s="1691"/>
      <c r="F992" s="1288" t="s">
        <v>2749</v>
      </c>
      <c r="G992" s="1287" t="s">
        <v>2748</v>
      </c>
    </row>
    <row r="993" spans="1:7" ht="52.9" customHeight="1">
      <c r="A993" s="1284" t="str">
        <f>IFERROR(VLOOKUP(B:B,'0.39'!B:F,5,FALSE),"")</f>
        <v/>
      </c>
      <c r="B993" s="1331">
        <f>PACKING!M968</f>
        <v>0</v>
      </c>
      <c r="C993" s="1283" t="str">
        <f>IFERROR((VLOOKUP(B:B,'0.39'!B:F,4,FALSE)),"")</f>
        <v/>
      </c>
      <c r="D993" s="1331">
        <f>PACKING!N968</f>
        <v>0</v>
      </c>
      <c r="E993" s="1286" t="s">
        <v>2747</v>
      </c>
      <c r="F993" s="1285"/>
      <c r="G993" s="1281"/>
    </row>
    <row r="994" spans="1:7" ht="52.9" customHeight="1">
      <c r="A994" s="1284" t="str">
        <f>IFERROR(VLOOKUP(B:B,'0.39'!B:F,5,FALSE),"")</f>
        <v/>
      </c>
      <c r="B994" s="1331">
        <f>PACKING!M969</f>
        <v>0</v>
      </c>
      <c r="C994" s="1283" t="str">
        <f>IFERROR((VLOOKUP(B:B,'0.39'!B:F,4,FALSE)),"")</f>
        <v/>
      </c>
      <c r="D994" s="1331">
        <f>PACKING!N969</f>
        <v>0</v>
      </c>
      <c r="E994" s="1337" t="s">
        <v>2747</v>
      </c>
      <c r="F994" s="1285"/>
      <c r="G994" s="1281"/>
    </row>
    <row r="995" spans="1:7" ht="52.9" customHeight="1">
      <c r="A995" s="1284" t="str">
        <f>IFERROR(VLOOKUP(B:B,'0.39'!B:F,5,FALSE),"")</f>
        <v/>
      </c>
      <c r="B995" s="1331">
        <f>PACKING!M970</f>
        <v>0</v>
      </c>
      <c r="C995" s="1283" t="str">
        <f>IFERROR((VLOOKUP(B:B,'0.39'!B:F,4,FALSE)),"")</f>
        <v/>
      </c>
      <c r="D995" s="1331">
        <f>PACKING!N970</f>
        <v>0</v>
      </c>
      <c r="E995" s="1286" t="s">
        <v>2747</v>
      </c>
      <c r="F995" s="1285"/>
      <c r="G995" s="1281"/>
    </row>
    <row r="996" spans="1:7" ht="52.9" customHeight="1">
      <c r="A996" s="1284" t="str">
        <f>IFERROR(VLOOKUP(B:B,'0.39'!B:F,5,FALSE),"")</f>
        <v/>
      </c>
      <c r="B996" s="1331">
        <f>PACKING!M971</f>
        <v>0</v>
      </c>
      <c r="C996" s="1283" t="str">
        <f>IFERROR((VLOOKUP(B:B,'0.39'!B:F,4,FALSE)),"")</f>
        <v/>
      </c>
      <c r="D996" s="1331">
        <f>PACKING!N971</f>
        <v>0</v>
      </c>
      <c r="E996" s="1286" t="s">
        <v>2747</v>
      </c>
      <c r="F996" s="1282"/>
      <c r="G996" s="1281"/>
    </row>
    <row r="997" spans="1:7" ht="52.9" customHeight="1">
      <c r="A997" s="1284" t="str">
        <f>IFERROR(VLOOKUP(B:B,'0.39'!B:F,5,FALSE),"")</f>
        <v/>
      </c>
      <c r="B997" s="1331">
        <f>PACKING!M972</f>
        <v>0</v>
      </c>
      <c r="C997" s="1283" t="str">
        <f>IFERROR((VLOOKUP(B:B,'0.39'!B:F,4,FALSE)),"")</f>
        <v/>
      </c>
      <c r="D997" s="1331">
        <f>PACKING!N972</f>
        <v>0</v>
      </c>
      <c r="E997" s="1286" t="s">
        <v>2747</v>
      </c>
      <c r="F997" s="1282"/>
      <c r="G997" s="1281"/>
    </row>
    <row r="998" spans="1:7" ht="52.9" customHeight="1">
      <c r="A998" s="1284" t="str">
        <f>IFERROR(VLOOKUP(B:B,'0.39'!B:F,5,FALSE),"")</f>
        <v/>
      </c>
      <c r="B998" s="1331">
        <f>PACKING!M973</f>
        <v>0</v>
      </c>
      <c r="C998" s="1283" t="str">
        <f>IFERROR((VLOOKUP(B:B,'0.39'!B:F,4,FALSE)),"")</f>
        <v/>
      </c>
      <c r="D998" s="1331">
        <f>PACKING!N973</f>
        <v>0</v>
      </c>
      <c r="E998" s="1337" t="s">
        <v>2747</v>
      </c>
      <c r="F998" s="1282"/>
      <c r="G998" s="1281"/>
    </row>
    <row r="999" spans="1:7" ht="52.9" customHeight="1">
      <c r="A999" s="1284" t="str">
        <f>IFERROR(VLOOKUP(B:B,'0.39'!B:F,5,FALSE),"")</f>
        <v/>
      </c>
      <c r="B999" s="1331">
        <f>PACKING!M974</f>
        <v>0</v>
      </c>
      <c r="C999" s="1283" t="str">
        <f>IFERROR((VLOOKUP(B:B,'0.39'!B:F,4,FALSE)),"")</f>
        <v/>
      </c>
      <c r="D999" s="1331">
        <f>PACKING!N974</f>
        <v>0</v>
      </c>
      <c r="E999" s="1337" t="s">
        <v>2747</v>
      </c>
      <c r="F999" s="1282"/>
      <c r="G999" s="1281"/>
    </row>
    <row r="1000" spans="1:7" ht="52.9" customHeight="1">
      <c r="A1000" s="1284" t="str">
        <f>IFERROR(VLOOKUP(B:B,'0.39'!B:F,5,FALSE),"")</f>
        <v/>
      </c>
      <c r="B1000" s="1331">
        <f>PACKING!M975</f>
        <v>0</v>
      </c>
      <c r="C1000" s="1283" t="str">
        <f>IFERROR((VLOOKUP(B:B,'0.39'!B:F,4,FALSE)),"")</f>
        <v/>
      </c>
      <c r="D1000" s="1331">
        <f>PACKING!N975</f>
        <v>0</v>
      </c>
      <c r="E1000" s="1337" t="s">
        <v>2747</v>
      </c>
      <c r="F1000" s="1282"/>
      <c r="G1000" s="1281"/>
    </row>
    <row r="1001" spans="1:7" ht="52.9" customHeight="1">
      <c r="A1001" s="1284" t="str">
        <f>IFERROR(VLOOKUP(B:B,'0.39'!B:F,5,FALSE),"")</f>
        <v/>
      </c>
      <c r="B1001" s="1331">
        <f>PACKING!M976</f>
        <v>0</v>
      </c>
      <c r="C1001" s="1283" t="str">
        <f>IFERROR((VLOOKUP(B:B,'0.39'!B:F,4,FALSE)),"")</f>
        <v/>
      </c>
      <c r="D1001" s="1331">
        <f>PACKING!N976</f>
        <v>0</v>
      </c>
      <c r="E1001" s="1337" t="s">
        <v>2747</v>
      </c>
      <c r="F1001" s="1285"/>
      <c r="G1001" s="1281"/>
    </row>
    <row r="1002" spans="1:7" ht="52.9" customHeight="1">
      <c r="A1002" s="1284" t="str">
        <f>IFERROR(VLOOKUP(B:B,'0.39'!B:F,5,FALSE),"")</f>
        <v/>
      </c>
      <c r="B1002" s="1331">
        <f>PACKING!M977</f>
        <v>0</v>
      </c>
      <c r="C1002" s="1283" t="str">
        <f>IFERROR((VLOOKUP(B:B,'0.39'!B:F,4,FALSE)),"")</f>
        <v/>
      </c>
      <c r="D1002" s="1331">
        <f>PACKING!N977</f>
        <v>0</v>
      </c>
      <c r="E1002" s="1337" t="s">
        <v>2747</v>
      </c>
      <c r="F1002" s="1282"/>
      <c r="G1002" s="1281"/>
    </row>
    <row r="1003" spans="1:7" ht="52.9" customHeight="1">
      <c r="A1003" s="1284" t="str">
        <f>IFERROR(VLOOKUP(B:B,'0.39'!B:F,5,FALSE),"")</f>
        <v/>
      </c>
      <c r="B1003" s="1331">
        <f>PACKING!M978</f>
        <v>0</v>
      </c>
      <c r="C1003" s="1283" t="str">
        <f>IFERROR((VLOOKUP(B:B,'0.39'!B:F,4,FALSE)),"")</f>
        <v/>
      </c>
      <c r="D1003" s="1331">
        <f>PACKING!N978</f>
        <v>0</v>
      </c>
      <c r="E1003" s="1337" t="s">
        <v>2747</v>
      </c>
      <c r="F1003" s="1282"/>
      <c r="G1003" s="1281"/>
    </row>
    <row r="1004" spans="1:7" ht="79.150000000000006" customHeight="1" thickBot="1">
      <c r="A1004" s="1692" t="s">
        <v>204</v>
      </c>
      <c r="B1004" s="1693"/>
      <c r="C1004" s="1693"/>
      <c r="D1004" s="1280">
        <f>SUM(D993:D1003)</f>
        <v>0</v>
      </c>
      <c r="E1004" s="1336" t="s">
        <v>2747</v>
      </c>
      <c r="F1004" s="1279" t="s">
        <v>2746</v>
      </c>
      <c r="G1004" s="1278" t="s">
        <v>2746</v>
      </c>
    </row>
  </sheetData>
  <mergeCells count="295">
    <mergeCell ref="D652:E652"/>
    <mergeCell ref="A664:C664"/>
    <mergeCell ref="D584:E584"/>
    <mergeCell ref="A596:C596"/>
    <mergeCell ref="D599:G599"/>
    <mergeCell ref="D600:E600"/>
    <mergeCell ref="F600:G600"/>
    <mergeCell ref="D635:E635"/>
    <mergeCell ref="D601:E601"/>
    <mergeCell ref="A613:C613"/>
    <mergeCell ref="D616:G616"/>
    <mergeCell ref="D617:E617"/>
    <mergeCell ref="F617:G617"/>
    <mergeCell ref="D618:E618"/>
    <mergeCell ref="A630:C630"/>
    <mergeCell ref="D633:G633"/>
    <mergeCell ref="D634:E634"/>
    <mergeCell ref="F634:G634"/>
    <mergeCell ref="A647:C647"/>
    <mergeCell ref="D650:G650"/>
    <mergeCell ref="D651:E651"/>
    <mergeCell ref="F651:G651"/>
    <mergeCell ref="D566:E566"/>
    <mergeCell ref="F566:G566"/>
    <mergeCell ref="D567:E567"/>
    <mergeCell ref="A579:C579"/>
    <mergeCell ref="D582:G582"/>
    <mergeCell ref="D583:E583"/>
    <mergeCell ref="F583:G583"/>
    <mergeCell ref="D548:G548"/>
    <mergeCell ref="D549:E549"/>
    <mergeCell ref="F549:G549"/>
    <mergeCell ref="D550:E550"/>
    <mergeCell ref="A562:C562"/>
    <mergeCell ref="D565:G565"/>
    <mergeCell ref="A528:C528"/>
    <mergeCell ref="D531:G531"/>
    <mergeCell ref="D532:E532"/>
    <mergeCell ref="F532:G532"/>
    <mergeCell ref="D533:E533"/>
    <mergeCell ref="A545:C545"/>
    <mergeCell ref="D499:E499"/>
    <mergeCell ref="A511:C511"/>
    <mergeCell ref="D514:G514"/>
    <mergeCell ref="D515:E515"/>
    <mergeCell ref="F515:G515"/>
    <mergeCell ref="D516:E516"/>
    <mergeCell ref="D481:E481"/>
    <mergeCell ref="F481:G481"/>
    <mergeCell ref="D482:E482"/>
    <mergeCell ref="A494:C494"/>
    <mergeCell ref="D497:G497"/>
    <mergeCell ref="D498:E498"/>
    <mergeCell ref="F498:G498"/>
    <mergeCell ref="D463:G463"/>
    <mergeCell ref="D464:E464"/>
    <mergeCell ref="F464:G464"/>
    <mergeCell ref="D465:E465"/>
    <mergeCell ref="A477:C477"/>
    <mergeCell ref="D480:G480"/>
    <mergeCell ref="A443:C443"/>
    <mergeCell ref="D446:G446"/>
    <mergeCell ref="D447:E447"/>
    <mergeCell ref="F447:G447"/>
    <mergeCell ref="D448:E448"/>
    <mergeCell ref="A460:C460"/>
    <mergeCell ref="D414:E414"/>
    <mergeCell ref="A426:C426"/>
    <mergeCell ref="D429:G429"/>
    <mergeCell ref="D430:E430"/>
    <mergeCell ref="F430:G430"/>
    <mergeCell ref="D431:E431"/>
    <mergeCell ref="D412:G412"/>
    <mergeCell ref="D413:E413"/>
    <mergeCell ref="F413:G413"/>
    <mergeCell ref="D40:E40"/>
    <mergeCell ref="D6:E6"/>
    <mergeCell ref="D89:G89"/>
    <mergeCell ref="D90:E90"/>
    <mergeCell ref="F90:G90"/>
    <mergeCell ref="D91:E91"/>
    <mergeCell ref="D125:E125"/>
    <mergeCell ref="D159:E159"/>
    <mergeCell ref="D193:E193"/>
    <mergeCell ref="D227:E227"/>
    <mergeCell ref="D261:E261"/>
    <mergeCell ref="D295:E295"/>
    <mergeCell ref="D329:E329"/>
    <mergeCell ref="D363:E363"/>
    <mergeCell ref="D397:E397"/>
    <mergeCell ref="D5:E5"/>
    <mergeCell ref="F5:G5"/>
    <mergeCell ref="D4:G4"/>
    <mergeCell ref="D21:G21"/>
    <mergeCell ref="A69:C69"/>
    <mergeCell ref="D22:E22"/>
    <mergeCell ref="F22:G22"/>
    <mergeCell ref="D23:E23"/>
    <mergeCell ref="A18:C18"/>
    <mergeCell ref="A52:C52"/>
    <mergeCell ref="A35:C35"/>
    <mergeCell ref="D38:G38"/>
    <mergeCell ref="D39:E39"/>
    <mergeCell ref="F39:G39"/>
    <mergeCell ref="D55:G55"/>
    <mergeCell ref="D56:E56"/>
    <mergeCell ref="F56:G56"/>
    <mergeCell ref="D57:E57"/>
    <mergeCell ref="A103:C103"/>
    <mergeCell ref="D72:G72"/>
    <mergeCell ref="D73:E73"/>
    <mergeCell ref="F73:G73"/>
    <mergeCell ref="D74:E74"/>
    <mergeCell ref="A86:C86"/>
    <mergeCell ref="D123:G123"/>
    <mergeCell ref="D124:E124"/>
    <mergeCell ref="F124:G124"/>
    <mergeCell ref="A137:C137"/>
    <mergeCell ref="D106:G106"/>
    <mergeCell ref="D107:E107"/>
    <mergeCell ref="F107:G107"/>
    <mergeCell ref="D108:E108"/>
    <mergeCell ref="A120:C120"/>
    <mergeCell ref="D157:G157"/>
    <mergeCell ref="D158:E158"/>
    <mergeCell ref="F158:G158"/>
    <mergeCell ref="A171:C171"/>
    <mergeCell ref="D140:G140"/>
    <mergeCell ref="D141:E141"/>
    <mergeCell ref="F141:G141"/>
    <mergeCell ref="D142:E142"/>
    <mergeCell ref="A154:C154"/>
    <mergeCell ref="D191:G191"/>
    <mergeCell ref="D192:E192"/>
    <mergeCell ref="F192:G192"/>
    <mergeCell ref="A205:C205"/>
    <mergeCell ref="D174:G174"/>
    <mergeCell ref="D175:E175"/>
    <mergeCell ref="F175:G175"/>
    <mergeCell ref="D176:E176"/>
    <mergeCell ref="A188:C188"/>
    <mergeCell ref="D225:G225"/>
    <mergeCell ref="D226:E226"/>
    <mergeCell ref="F226:G226"/>
    <mergeCell ref="A239:C239"/>
    <mergeCell ref="D208:G208"/>
    <mergeCell ref="D209:E209"/>
    <mergeCell ref="F209:G209"/>
    <mergeCell ref="D210:E210"/>
    <mergeCell ref="A222:C222"/>
    <mergeCell ref="D259:G259"/>
    <mergeCell ref="D260:E260"/>
    <mergeCell ref="F260:G260"/>
    <mergeCell ref="A273:C273"/>
    <mergeCell ref="D242:G242"/>
    <mergeCell ref="D243:E243"/>
    <mergeCell ref="F243:G243"/>
    <mergeCell ref="D244:E244"/>
    <mergeCell ref="A256:C256"/>
    <mergeCell ref="D293:G293"/>
    <mergeCell ref="D294:E294"/>
    <mergeCell ref="F294:G294"/>
    <mergeCell ref="A307:C307"/>
    <mergeCell ref="D276:G276"/>
    <mergeCell ref="D277:E277"/>
    <mergeCell ref="F277:G277"/>
    <mergeCell ref="D278:E278"/>
    <mergeCell ref="A290:C290"/>
    <mergeCell ref="D327:G327"/>
    <mergeCell ref="D328:E328"/>
    <mergeCell ref="F328:G328"/>
    <mergeCell ref="A341:C341"/>
    <mergeCell ref="D310:G310"/>
    <mergeCell ref="D311:E311"/>
    <mergeCell ref="F311:G311"/>
    <mergeCell ref="D312:E312"/>
    <mergeCell ref="A324:C324"/>
    <mergeCell ref="D361:G361"/>
    <mergeCell ref="D362:E362"/>
    <mergeCell ref="F362:G362"/>
    <mergeCell ref="A409:C409"/>
    <mergeCell ref="D378:G378"/>
    <mergeCell ref="D379:E379"/>
    <mergeCell ref="F379:G379"/>
    <mergeCell ref="D380:E380"/>
    <mergeCell ref="A392:C392"/>
    <mergeCell ref="A375:C375"/>
    <mergeCell ref="D344:G344"/>
    <mergeCell ref="D345:E345"/>
    <mergeCell ref="F345:G345"/>
    <mergeCell ref="D346:E346"/>
    <mergeCell ref="A358:C358"/>
    <mergeCell ref="D395:G395"/>
    <mergeCell ref="D396:E396"/>
    <mergeCell ref="F396:G396"/>
    <mergeCell ref="D667:G667"/>
    <mergeCell ref="D668:E668"/>
    <mergeCell ref="F668:G668"/>
    <mergeCell ref="D669:E669"/>
    <mergeCell ref="A681:C681"/>
    <mergeCell ref="D684:G684"/>
    <mergeCell ref="D685:E685"/>
    <mergeCell ref="F685:G685"/>
    <mergeCell ref="D686:E686"/>
    <mergeCell ref="A698:C698"/>
    <mergeCell ref="D701:G701"/>
    <mergeCell ref="D702:E702"/>
    <mergeCell ref="F702:G702"/>
    <mergeCell ref="D703:E703"/>
    <mergeCell ref="A715:C715"/>
    <mergeCell ref="D718:G718"/>
    <mergeCell ref="D719:E719"/>
    <mergeCell ref="F719:G719"/>
    <mergeCell ref="D720:E720"/>
    <mergeCell ref="A732:C732"/>
    <mergeCell ref="D735:G735"/>
    <mergeCell ref="D736:E736"/>
    <mergeCell ref="F736:G736"/>
    <mergeCell ref="D737:E737"/>
    <mergeCell ref="A749:C749"/>
    <mergeCell ref="D752:G752"/>
    <mergeCell ref="D753:E753"/>
    <mergeCell ref="F753:G753"/>
    <mergeCell ref="D754:E754"/>
    <mergeCell ref="A766:C766"/>
    <mergeCell ref="D769:G769"/>
    <mergeCell ref="D770:E770"/>
    <mergeCell ref="F770:G770"/>
    <mergeCell ref="D771:E771"/>
    <mergeCell ref="A783:C783"/>
    <mergeCell ref="D786:G786"/>
    <mergeCell ref="D787:E787"/>
    <mergeCell ref="F787:G787"/>
    <mergeCell ref="D788:E788"/>
    <mergeCell ref="A800:C800"/>
    <mergeCell ref="D803:G803"/>
    <mergeCell ref="D804:E804"/>
    <mergeCell ref="F804:G804"/>
    <mergeCell ref="D805:E805"/>
    <mergeCell ref="A817:C817"/>
    <mergeCell ref="D820:G820"/>
    <mergeCell ref="D821:E821"/>
    <mergeCell ref="F821:G821"/>
    <mergeCell ref="D822:E822"/>
    <mergeCell ref="A834:C834"/>
    <mergeCell ref="D837:G837"/>
    <mergeCell ref="D838:E838"/>
    <mergeCell ref="F838:G838"/>
    <mergeCell ref="D839:E839"/>
    <mergeCell ref="A851:C851"/>
    <mergeCell ref="D854:G854"/>
    <mergeCell ref="D855:E855"/>
    <mergeCell ref="F855:G855"/>
    <mergeCell ref="D856:E856"/>
    <mergeCell ref="A868:C868"/>
    <mergeCell ref="D871:G871"/>
    <mergeCell ref="D872:E872"/>
    <mergeCell ref="F872:G872"/>
    <mergeCell ref="D873:E873"/>
    <mergeCell ref="A885:C885"/>
    <mergeCell ref="D888:G888"/>
    <mergeCell ref="D889:E889"/>
    <mergeCell ref="F889:G889"/>
    <mergeCell ref="D890:E890"/>
    <mergeCell ref="A902:C902"/>
    <mergeCell ref="D905:G905"/>
    <mergeCell ref="D906:E906"/>
    <mergeCell ref="F906:G906"/>
    <mergeCell ref="D907:E907"/>
    <mergeCell ref="A919:C919"/>
    <mergeCell ref="D922:G922"/>
    <mergeCell ref="D923:E923"/>
    <mergeCell ref="F923:G923"/>
    <mergeCell ref="D924:E924"/>
    <mergeCell ref="A936:C936"/>
    <mergeCell ref="D939:G939"/>
    <mergeCell ref="D940:E940"/>
    <mergeCell ref="F940:G940"/>
    <mergeCell ref="D941:E941"/>
    <mergeCell ref="A953:C953"/>
    <mergeCell ref="D956:G956"/>
    <mergeCell ref="D957:E957"/>
    <mergeCell ref="F957:G957"/>
    <mergeCell ref="D992:E992"/>
    <mergeCell ref="A1004:C1004"/>
    <mergeCell ref="D958:E958"/>
    <mergeCell ref="A970:C970"/>
    <mergeCell ref="D973:G973"/>
    <mergeCell ref="D974:E974"/>
    <mergeCell ref="F974:G974"/>
    <mergeCell ref="D975:E975"/>
    <mergeCell ref="A987:C987"/>
    <mergeCell ref="D990:G990"/>
    <mergeCell ref="D991:E991"/>
    <mergeCell ref="F991:G991"/>
  </mergeCells>
  <phoneticPr fontId="13" type="noConversion"/>
  <pageMargins left="0.70866141732283472" right="0.70866141732283472" top="0.74803149606299213" bottom="0.74803149606299213" header="0.31496062992125984" footer="0.31496062992125984"/>
  <pageSetup paperSize="9" scale="52" fitToHeight="2" orientation="landscape" horizontalDpi="4294967293" verticalDpi="4294967293" r:id="rId1"/>
  <rowBreaks count="1" manualBreakCount="1">
    <brk id="18" max="6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E49F2-AA2A-4F09-8F64-FBEED1AD1A8E}">
  <sheetPr codeName="Sheet25"/>
  <dimension ref="A1:B179"/>
  <sheetViews>
    <sheetView topLeftCell="A127" workbookViewId="0">
      <selection activeCell="A140" sqref="A140"/>
    </sheetView>
  </sheetViews>
  <sheetFormatPr defaultRowHeight="16.5"/>
  <cols>
    <col min="1" max="1" width="23.75" style="133" bestFit="1" customWidth="1"/>
    <col min="2" max="2" width="19.375" style="159" bestFit="1" customWidth="1"/>
  </cols>
  <sheetData>
    <row r="1" spans="1:2">
      <c r="A1" s="1268" t="s">
        <v>320</v>
      </c>
      <c r="B1" s="159" t="str">
        <f>BASIC_TOOL!B5</f>
        <v>NT0606-01</v>
      </c>
    </row>
    <row r="2" spans="1:2">
      <c r="A2" s="1269" t="s">
        <v>186</v>
      </c>
      <c r="B2" s="1276">
        <f ca="1">BASIC_TOOL!D5</f>
        <v>45228</v>
      </c>
    </row>
    <row r="3" spans="1:2">
      <c r="A3" s="1270" t="s">
        <v>2528</v>
      </c>
      <c r="B3" s="159" t="str">
        <f>BASIC_TOOL!F5</f>
        <v>Director</v>
      </c>
    </row>
    <row r="4" spans="1:2">
      <c r="A4" s="1269" t="s">
        <v>322</v>
      </c>
      <c r="B4" s="159" t="str">
        <f>BASIC_TOOL!H5</f>
        <v>Adel</v>
      </c>
    </row>
    <row r="5" spans="1:2">
      <c r="A5" s="1269" t="s">
        <v>174</v>
      </c>
      <c r="B5" s="159" t="str">
        <f>BASIC_TOOL!J5</f>
        <v>1122-1111-1111</v>
      </c>
    </row>
    <row r="6" spans="1:2">
      <c r="A6" s="1269" t="s">
        <v>2520</v>
      </c>
      <c r="B6" s="1277" t="str">
        <f>BASIC_TOOL!B6</f>
        <v>A Project</v>
      </c>
    </row>
    <row r="7" spans="1:2">
      <c r="A7" s="1271" t="s">
        <v>2521</v>
      </c>
      <c r="B7" s="1276" t="str">
        <f>BASIC_TOOL!D6</f>
        <v>ABC</v>
      </c>
    </row>
    <row r="8" spans="1:2">
      <c r="A8" s="1269" t="s">
        <v>2522</v>
      </c>
      <c r="B8" s="159" t="str">
        <f>BASIC_TOOL!F6</f>
        <v>AA</v>
      </c>
    </row>
    <row r="9" spans="1:2">
      <c r="A9" s="1269" t="s">
        <v>2523</v>
      </c>
      <c r="B9" s="159" t="str">
        <f>BASIC_TOOL!H6</f>
        <v>122-3333-4442</v>
      </c>
    </row>
    <row r="10" spans="1:2">
      <c r="A10" s="1269" t="s">
        <v>2524</v>
      </c>
      <c r="B10" s="159" t="str">
        <f>BASIC_TOOL!J6</f>
        <v>043-0000-0000</v>
      </c>
    </row>
    <row r="11" spans="1:2">
      <c r="A11" s="1269" t="s">
        <v>324</v>
      </c>
      <c r="B11" s="1277" t="str">
        <f>BASIC_TOOL!B7</f>
        <v>DAMMAM, KSA</v>
      </c>
    </row>
    <row r="12" spans="1:2">
      <c r="A12" s="1269" t="s">
        <v>2671</v>
      </c>
      <c r="B12" s="1276">
        <f>BASIC_TOOL!F7</f>
        <v>44343</v>
      </c>
    </row>
    <row r="13" spans="1:2">
      <c r="A13" s="1269" t="s">
        <v>2526</v>
      </c>
      <c r="B13" s="159" t="str">
        <f>BASIC_TOOL!H7</f>
        <v>AAA</v>
      </c>
    </row>
    <row r="14" spans="1:2">
      <c r="A14" s="1269" t="s">
        <v>266</v>
      </c>
      <c r="B14" s="159" t="str">
        <f>BASIC_TOOL!J7</f>
        <v>111-111-1111</v>
      </c>
    </row>
    <row r="15" spans="1:2">
      <c r="A15" s="1269" t="s">
        <v>90</v>
      </c>
      <c r="B15" s="159" t="str">
        <f>BASIC_TOOL!B8</f>
        <v>L/C at sight</v>
      </c>
    </row>
    <row r="16" spans="1:2">
      <c r="A16" s="1269" t="s">
        <v>2529</v>
      </c>
      <c r="B16" s="159" t="str">
        <f>BASIC_TOOL!D8</f>
        <v>DAMMAM, KSA</v>
      </c>
    </row>
    <row r="17" spans="1:2">
      <c r="A17" s="1272" t="s">
        <v>325</v>
      </c>
      <c r="B17" s="159" t="str">
        <f>BASIC_TOOL!F8</f>
        <v>KSA</v>
      </c>
    </row>
    <row r="18" spans="1:2">
      <c r="A18" s="1269" t="s">
        <v>162</v>
      </c>
      <c r="B18" s="159">
        <f>BASIC_TOOL!A11</f>
        <v>10</v>
      </c>
    </row>
    <row r="19" spans="1:2">
      <c r="A19" s="1269" t="s">
        <v>163</v>
      </c>
      <c r="B19" s="159">
        <f>BASIC_TOOL!B11</f>
        <v>5</v>
      </c>
    </row>
    <row r="20" spans="1:2">
      <c r="A20" s="1269" t="s">
        <v>164</v>
      </c>
      <c r="B20" s="159">
        <f>BASIC_TOOL!C11</f>
        <v>0</v>
      </c>
    </row>
    <row r="21" spans="1:2">
      <c r="A21" s="1269" t="s">
        <v>165</v>
      </c>
      <c r="B21" s="159">
        <f>BASIC_TOOL!D11</f>
        <v>0</v>
      </c>
    </row>
    <row r="22" spans="1:2">
      <c r="A22" s="1269" t="s">
        <v>166</v>
      </c>
      <c r="B22" s="159">
        <f>BASIC_TOOL!E11</f>
        <v>0</v>
      </c>
    </row>
    <row r="23" spans="1:2">
      <c r="A23" s="1273" t="s">
        <v>167</v>
      </c>
      <c r="B23" s="159">
        <f>BASIC_TOOL!F11</f>
        <v>3</v>
      </c>
    </row>
    <row r="24" spans="1:2">
      <c r="A24" s="1269" t="s">
        <v>168</v>
      </c>
      <c r="B24" s="159">
        <f>BASIC_TOOL!G11</f>
        <v>1</v>
      </c>
    </row>
    <row r="25" spans="1:2">
      <c r="A25" s="1274" t="s">
        <v>263</v>
      </c>
      <c r="B25" s="1277" t="str">
        <f>BASIC_TOOL!B14</f>
        <v>MNT</v>
      </c>
    </row>
    <row r="26" spans="1:2">
      <c r="A26" s="1271" t="s">
        <v>169</v>
      </c>
      <c r="B26" s="1277" t="str">
        <f>BASIC_TOOL!C14</f>
        <v>Non-Insulated</v>
      </c>
    </row>
    <row r="27" spans="1:2">
      <c r="A27" s="1271" t="s">
        <v>289</v>
      </c>
      <c r="B27" s="159" t="str">
        <f>BASIC_TOOL!D14</f>
        <v>NO</v>
      </c>
    </row>
    <row r="28" spans="1:2">
      <c r="A28" s="1271" t="s">
        <v>1308</v>
      </c>
      <c r="B28" s="159" t="str">
        <f>BASIC_TOOL!E14</f>
        <v>NO</v>
      </c>
    </row>
    <row r="29" spans="1:2">
      <c r="A29" s="1268" t="s">
        <v>172</v>
      </c>
      <c r="B29" s="1277" t="str">
        <f>BASIC_TOOL!B22</f>
        <v>Internal</v>
      </c>
    </row>
    <row r="30" spans="1:2">
      <c r="A30" s="1268" t="s">
        <v>264</v>
      </c>
      <c r="B30" s="1277" t="str">
        <f>BASIC_TOOL!C22</f>
        <v>MNT</v>
      </c>
    </row>
    <row r="31" spans="1:2">
      <c r="A31" s="1268" t="s">
        <v>182</v>
      </c>
      <c r="B31" s="1277" t="str">
        <f>BASIC_TOOL!D22</f>
        <v>Default</v>
      </c>
    </row>
    <row r="32" spans="1:2">
      <c r="A32" s="1268" t="s">
        <v>215</v>
      </c>
      <c r="B32" s="1277" t="str">
        <f>BASIC_TOOL!E22</f>
        <v>SS316</v>
      </c>
    </row>
    <row r="33" spans="1:2">
      <c r="A33" s="1268" t="s">
        <v>175</v>
      </c>
      <c r="B33" s="1277" t="str">
        <f>BASIC_TOOL!F22</f>
        <v>EXT:HDG+INT:SS316</v>
      </c>
    </row>
    <row r="34" spans="1:2">
      <c r="A34" s="1268" t="s">
        <v>214</v>
      </c>
      <c r="B34" s="1277" t="str">
        <f>BASIC_TOOL!G22</f>
        <v>SS316</v>
      </c>
    </row>
    <row r="35" spans="1:2">
      <c r="A35" s="1268" t="s">
        <v>221</v>
      </c>
      <c r="B35" s="1277" t="str">
        <f>BASIC_TOOL!H22</f>
        <v>3mH_Tie_Rod(2+1)</v>
      </c>
    </row>
    <row r="36" spans="1:2">
      <c r="A36" s="1268" t="s">
        <v>77</v>
      </c>
      <c r="B36" s="1277" t="str">
        <f>BASIC_TOOL!B26</f>
        <v>General</v>
      </c>
    </row>
    <row r="37" spans="1:2">
      <c r="A37" s="1268" t="s">
        <v>2530</v>
      </c>
      <c r="B37" s="1277" t="str">
        <f>BASIC_TOOL!E26</f>
        <v>GRP</v>
      </c>
    </row>
    <row r="38" spans="1:2">
      <c r="A38" s="1268" t="s">
        <v>2531</v>
      </c>
      <c r="B38" s="1277" t="str">
        <f>BASIC_TOOL!F26</f>
        <v>Default</v>
      </c>
    </row>
    <row r="39" spans="1:2">
      <c r="A39" s="1268" t="s">
        <v>2532</v>
      </c>
      <c r="B39" s="1277" t="str">
        <f>BASIC_TOOL!G26</f>
        <v>HDG</v>
      </c>
    </row>
    <row r="40" spans="1:2">
      <c r="A40" s="1268" t="s">
        <v>2533</v>
      </c>
      <c r="B40" s="1277" t="str">
        <f>BASIC_TOOL!H26</f>
        <v>Default</v>
      </c>
    </row>
    <row r="41" spans="1:2">
      <c r="A41" s="1268" t="s">
        <v>2534</v>
      </c>
      <c r="B41" s="1277">
        <f>BASIC_TOOL!B30</f>
        <v>0</v>
      </c>
    </row>
    <row r="42" spans="1:2">
      <c r="A42" s="1268" t="s">
        <v>2535</v>
      </c>
      <c r="B42" s="1277">
        <f>BASIC_TOOL!C30</f>
        <v>0</v>
      </c>
    </row>
    <row r="43" spans="1:2">
      <c r="A43" s="1268" t="s">
        <v>2536</v>
      </c>
      <c r="B43" s="1277">
        <f>BASIC_TOOL!D30</f>
        <v>0</v>
      </c>
    </row>
    <row r="44" spans="1:2">
      <c r="A44" s="1268" t="s">
        <v>2537</v>
      </c>
      <c r="B44" s="1277">
        <f>BASIC_TOOL!E30</f>
        <v>0</v>
      </c>
    </row>
    <row r="45" spans="1:2">
      <c r="A45" s="1268" t="s">
        <v>2538</v>
      </c>
      <c r="B45" s="1277">
        <f>BASIC_TOOL!F30</f>
        <v>0</v>
      </c>
    </row>
    <row r="46" spans="1:2">
      <c r="A46" s="1268" t="s">
        <v>2539</v>
      </c>
      <c r="B46" s="1277">
        <f>BASIC_TOOL!G30</f>
        <v>0</v>
      </c>
    </row>
    <row r="47" spans="1:2">
      <c r="A47" s="1268" t="s">
        <v>2540</v>
      </c>
      <c r="B47" s="1277">
        <f>BASIC_TOOL!H30</f>
        <v>0</v>
      </c>
    </row>
    <row r="48" spans="1:2">
      <c r="A48" s="1268" t="s">
        <v>2541</v>
      </c>
      <c r="B48" s="1277">
        <f>BASIC_TOOL!I30</f>
        <v>0</v>
      </c>
    </row>
    <row r="49" spans="1:2">
      <c r="A49" s="1268" t="s">
        <v>2672</v>
      </c>
      <c r="B49" s="1277">
        <f>BASIC_TOOL!J30</f>
        <v>0</v>
      </c>
    </row>
    <row r="50" spans="1:2">
      <c r="A50" s="1268" t="s">
        <v>2673</v>
      </c>
      <c r="B50" s="1277">
        <f>BASIC_TOOL!K30</f>
        <v>0</v>
      </c>
    </row>
    <row r="51" spans="1:2">
      <c r="A51" s="1268" t="s">
        <v>2542</v>
      </c>
    </row>
    <row r="52" spans="1:2">
      <c r="A52" s="1268" t="s">
        <v>2543</v>
      </c>
    </row>
    <row r="53" spans="1:2">
      <c r="A53" s="1268" t="s">
        <v>2544</v>
      </c>
    </row>
    <row r="54" spans="1:2">
      <c r="A54" s="1268" t="s">
        <v>2545</v>
      </c>
    </row>
    <row r="55" spans="1:2">
      <c r="A55" s="1268" t="s">
        <v>2546</v>
      </c>
    </row>
    <row r="56" spans="1:2">
      <c r="A56" s="1268" t="s">
        <v>2547</v>
      </c>
    </row>
    <row r="57" spans="1:2">
      <c r="A57" s="1268" t="s">
        <v>2548</v>
      </c>
    </row>
    <row r="58" spans="1:2">
      <c r="A58" s="1268" t="s">
        <v>2549</v>
      </c>
    </row>
    <row r="59" spans="1:2">
      <c r="A59" s="1268" t="s">
        <v>2550</v>
      </c>
    </row>
    <row r="60" spans="1:2">
      <c r="A60" s="1268" t="s">
        <v>2551</v>
      </c>
    </row>
    <row r="61" spans="1:2">
      <c r="A61" s="1268" t="s">
        <v>2552</v>
      </c>
    </row>
    <row r="62" spans="1:2">
      <c r="A62" s="1268" t="s">
        <v>2553</v>
      </c>
    </row>
    <row r="63" spans="1:2">
      <c r="A63" s="1268" t="s">
        <v>2554</v>
      </c>
    </row>
    <row r="64" spans="1:2">
      <c r="A64" s="1268" t="s">
        <v>2555</v>
      </c>
    </row>
    <row r="65" spans="1:1">
      <c r="A65" s="1268" t="s">
        <v>2556</v>
      </c>
    </row>
    <row r="66" spans="1:1">
      <c r="A66" s="1268" t="s">
        <v>2557</v>
      </c>
    </row>
    <row r="67" spans="1:1">
      <c r="A67" s="1268" t="s">
        <v>2558</v>
      </c>
    </row>
    <row r="68" spans="1:1">
      <c r="A68" s="1268" t="s">
        <v>2559</v>
      </c>
    </row>
    <row r="69" spans="1:1">
      <c r="A69" s="1268" t="s">
        <v>2560</v>
      </c>
    </row>
    <row r="70" spans="1:1">
      <c r="A70" s="1268" t="s">
        <v>2561</v>
      </c>
    </row>
    <row r="71" spans="1:1">
      <c r="A71" s="1268" t="s">
        <v>2562</v>
      </c>
    </row>
    <row r="72" spans="1:1">
      <c r="A72" s="1268" t="s">
        <v>2563</v>
      </c>
    </row>
    <row r="73" spans="1:1">
      <c r="A73" s="1268" t="s">
        <v>2564</v>
      </c>
    </row>
    <row r="74" spans="1:1">
      <c r="A74" s="1268" t="s">
        <v>2565</v>
      </c>
    </row>
    <row r="75" spans="1:1">
      <c r="A75" s="1268" t="s">
        <v>2566</v>
      </c>
    </row>
    <row r="76" spans="1:1">
      <c r="A76" s="1268" t="s">
        <v>2567</v>
      </c>
    </row>
    <row r="77" spans="1:1">
      <c r="A77" s="1268" t="s">
        <v>2568</v>
      </c>
    </row>
    <row r="78" spans="1:1">
      <c r="A78" s="1268" t="s">
        <v>2569</v>
      </c>
    </row>
    <row r="79" spans="1:1">
      <c r="A79" s="1268" t="s">
        <v>2570</v>
      </c>
    </row>
    <row r="80" spans="1:1">
      <c r="A80" s="1268" t="s">
        <v>2571</v>
      </c>
    </row>
    <row r="81" spans="1:1">
      <c r="A81" s="1268" t="s">
        <v>2572</v>
      </c>
    </row>
    <row r="82" spans="1:1">
      <c r="A82" s="1268" t="s">
        <v>2573</v>
      </c>
    </row>
    <row r="83" spans="1:1">
      <c r="A83" s="1268" t="s">
        <v>2574</v>
      </c>
    </row>
    <row r="84" spans="1:1">
      <c r="A84" s="1268" t="s">
        <v>2575</v>
      </c>
    </row>
    <row r="85" spans="1:1">
      <c r="A85" s="1268" t="s">
        <v>2576</v>
      </c>
    </row>
    <row r="86" spans="1:1">
      <c r="A86" s="1268" t="s">
        <v>2577</v>
      </c>
    </row>
    <row r="87" spans="1:1">
      <c r="A87" s="1268" t="s">
        <v>2578</v>
      </c>
    </row>
    <row r="88" spans="1:1">
      <c r="A88" s="1268" t="s">
        <v>2579</v>
      </c>
    </row>
    <row r="89" spans="1:1">
      <c r="A89" s="1268" t="s">
        <v>2580</v>
      </c>
    </row>
    <row r="90" spans="1:1">
      <c r="A90" s="1268" t="s">
        <v>2581</v>
      </c>
    </row>
    <row r="91" spans="1:1">
      <c r="A91" s="1268" t="s">
        <v>2582</v>
      </c>
    </row>
    <row r="92" spans="1:1">
      <c r="A92" s="1268" t="s">
        <v>2583</v>
      </c>
    </row>
    <row r="93" spans="1:1">
      <c r="A93" s="1268" t="s">
        <v>2584</v>
      </c>
    </row>
    <row r="94" spans="1:1">
      <c r="A94" s="1268" t="s">
        <v>2585</v>
      </c>
    </row>
    <row r="95" spans="1:1">
      <c r="A95" s="1268" t="s">
        <v>2586</v>
      </c>
    </row>
    <row r="96" spans="1:1">
      <c r="A96" s="1275" t="s">
        <v>2587</v>
      </c>
    </row>
    <row r="97" spans="1:1">
      <c r="A97" s="1275" t="s">
        <v>2588</v>
      </c>
    </row>
    <row r="98" spans="1:1">
      <c r="A98" s="1275" t="s">
        <v>2589</v>
      </c>
    </row>
    <row r="99" spans="1:1">
      <c r="A99" s="1275" t="s">
        <v>2590</v>
      </c>
    </row>
    <row r="100" spans="1:1">
      <c r="A100" s="1275" t="s">
        <v>2591</v>
      </c>
    </row>
    <row r="101" spans="1:1">
      <c r="A101" s="1275" t="s">
        <v>2592</v>
      </c>
    </row>
    <row r="102" spans="1:1">
      <c r="A102" s="1275" t="s">
        <v>2593</v>
      </c>
    </row>
    <row r="103" spans="1:1">
      <c r="A103" s="1275" t="s">
        <v>2594</v>
      </c>
    </row>
    <row r="104" spans="1:1">
      <c r="A104" s="1275" t="s">
        <v>2595</v>
      </c>
    </row>
    <row r="105" spans="1:1">
      <c r="A105" s="1275" t="s">
        <v>2596</v>
      </c>
    </row>
    <row r="106" spans="1:1">
      <c r="A106" s="1275" t="s">
        <v>2597</v>
      </c>
    </row>
    <row r="107" spans="1:1">
      <c r="A107" s="1275" t="s">
        <v>2598</v>
      </c>
    </row>
    <row r="108" spans="1:1">
      <c r="A108" s="1275" t="s">
        <v>2599</v>
      </c>
    </row>
    <row r="109" spans="1:1">
      <c r="A109" s="1275" t="s">
        <v>2600</v>
      </c>
    </row>
    <row r="110" spans="1:1">
      <c r="A110" s="1275" t="s">
        <v>2601</v>
      </c>
    </row>
    <row r="111" spans="1:1">
      <c r="A111" s="1275" t="s">
        <v>2602</v>
      </c>
    </row>
    <row r="112" spans="1:1">
      <c r="A112" s="1275" t="s">
        <v>2603</v>
      </c>
    </row>
    <row r="113" spans="1:1">
      <c r="A113" s="1275" t="s">
        <v>2604</v>
      </c>
    </row>
    <row r="114" spans="1:1">
      <c r="A114" s="1275" t="s">
        <v>2605</v>
      </c>
    </row>
    <row r="115" spans="1:1">
      <c r="A115" s="1275" t="s">
        <v>2606</v>
      </c>
    </row>
    <row r="116" spans="1:1">
      <c r="A116" s="1275" t="s">
        <v>2607</v>
      </c>
    </row>
    <row r="117" spans="1:1">
      <c r="A117" s="1275" t="s">
        <v>2608</v>
      </c>
    </row>
    <row r="118" spans="1:1">
      <c r="A118" s="1275" t="s">
        <v>2609</v>
      </c>
    </row>
    <row r="119" spans="1:1">
      <c r="A119" s="1275" t="s">
        <v>2610</v>
      </c>
    </row>
    <row r="120" spans="1:1">
      <c r="A120" s="1275" t="s">
        <v>2611</v>
      </c>
    </row>
    <row r="121" spans="1:1">
      <c r="A121" s="1275" t="s">
        <v>2612</v>
      </c>
    </row>
    <row r="122" spans="1:1">
      <c r="A122" s="1275" t="s">
        <v>2613</v>
      </c>
    </row>
    <row r="123" spans="1:1">
      <c r="A123" s="1275" t="s">
        <v>2614</v>
      </c>
    </row>
    <row r="124" spans="1:1">
      <c r="A124" s="1275" t="s">
        <v>2615</v>
      </c>
    </row>
    <row r="125" spans="1:1">
      <c r="A125" s="1275" t="s">
        <v>2616</v>
      </c>
    </row>
    <row r="126" spans="1:1">
      <c r="A126" s="1275" t="s">
        <v>2617</v>
      </c>
    </row>
    <row r="127" spans="1:1">
      <c r="A127" s="1275" t="s">
        <v>2618</v>
      </c>
    </row>
    <row r="128" spans="1:1">
      <c r="A128" s="1275" t="s">
        <v>2619</v>
      </c>
    </row>
    <row r="129" spans="1:1">
      <c r="A129" s="1275" t="s">
        <v>2620</v>
      </c>
    </row>
    <row r="130" spans="1:1">
      <c r="A130" s="1275" t="s">
        <v>2621</v>
      </c>
    </row>
    <row r="131" spans="1:1">
      <c r="A131" s="1275" t="s">
        <v>2622</v>
      </c>
    </row>
    <row r="132" spans="1:1">
      <c r="A132" s="1275" t="s">
        <v>2623</v>
      </c>
    </row>
    <row r="133" spans="1:1">
      <c r="A133" s="1275" t="s">
        <v>2624</v>
      </c>
    </row>
    <row r="134" spans="1:1">
      <c r="A134" s="1275" t="s">
        <v>2625</v>
      </c>
    </row>
    <row r="135" spans="1:1">
      <c r="A135" s="1275" t="s">
        <v>2626</v>
      </c>
    </row>
    <row r="136" spans="1:1">
      <c r="A136" s="1275" t="s">
        <v>2627</v>
      </c>
    </row>
    <row r="137" spans="1:1">
      <c r="A137" s="1275" t="s">
        <v>2628</v>
      </c>
    </row>
    <row r="138" spans="1:1">
      <c r="A138" s="1275" t="s">
        <v>2629</v>
      </c>
    </row>
    <row r="139" spans="1:1">
      <c r="A139" s="1275" t="s">
        <v>2630</v>
      </c>
    </row>
    <row r="140" spans="1:1">
      <c r="A140" s="1275" t="s">
        <v>2631</v>
      </c>
    </row>
    <row r="141" spans="1:1">
      <c r="A141" s="1275" t="s">
        <v>2632</v>
      </c>
    </row>
    <row r="142" spans="1:1">
      <c r="A142" s="1275" t="s">
        <v>2633</v>
      </c>
    </row>
    <row r="143" spans="1:1">
      <c r="A143" s="1275" t="s">
        <v>2634</v>
      </c>
    </row>
    <row r="144" spans="1:1">
      <c r="A144" s="1275" t="s">
        <v>2635</v>
      </c>
    </row>
    <row r="145" spans="1:1">
      <c r="A145" s="1275" t="s">
        <v>2636</v>
      </c>
    </row>
    <row r="146" spans="1:1">
      <c r="A146" s="1275" t="s">
        <v>2637</v>
      </c>
    </row>
    <row r="147" spans="1:1">
      <c r="A147" s="1275" t="s">
        <v>2638</v>
      </c>
    </row>
    <row r="148" spans="1:1">
      <c r="A148" s="1275" t="s">
        <v>2639</v>
      </c>
    </row>
    <row r="149" spans="1:1">
      <c r="A149" s="1275" t="s">
        <v>2640</v>
      </c>
    </row>
    <row r="150" spans="1:1">
      <c r="A150" s="1275" t="s">
        <v>2641</v>
      </c>
    </row>
    <row r="151" spans="1:1">
      <c r="A151" s="1275" t="s">
        <v>2642</v>
      </c>
    </row>
    <row r="152" spans="1:1">
      <c r="A152" s="1275" t="s">
        <v>2643</v>
      </c>
    </row>
    <row r="153" spans="1:1">
      <c r="A153" s="1275" t="s">
        <v>2644</v>
      </c>
    </row>
    <row r="154" spans="1:1">
      <c r="A154" s="1275" t="s">
        <v>2645</v>
      </c>
    </row>
    <row r="155" spans="1:1">
      <c r="A155" s="1275" t="s">
        <v>2646</v>
      </c>
    </row>
    <row r="156" spans="1:1">
      <c r="A156" s="1275" t="s">
        <v>2647</v>
      </c>
    </row>
    <row r="157" spans="1:1">
      <c r="A157" s="1275" t="s">
        <v>2648</v>
      </c>
    </row>
    <row r="158" spans="1:1">
      <c r="A158" s="1275" t="s">
        <v>2649</v>
      </c>
    </row>
    <row r="159" spans="1:1">
      <c r="A159" s="1275" t="s">
        <v>2650</v>
      </c>
    </row>
    <row r="160" spans="1:1">
      <c r="A160" s="1275" t="s">
        <v>2651</v>
      </c>
    </row>
    <row r="161" spans="1:1">
      <c r="A161" s="1275" t="s">
        <v>2652</v>
      </c>
    </row>
    <row r="162" spans="1:1">
      <c r="A162" s="1275" t="s">
        <v>2653</v>
      </c>
    </row>
    <row r="163" spans="1:1">
      <c r="A163" s="1275" t="s">
        <v>2654</v>
      </c>
    </row>
    <row r="164" spans="1:1">
      <c r="A164" s="1275" t="s">
        <v>2655</v>
      </c>
    </row>
    <row r="165" spans="1:1">
      <c r="A165" s="1275" t="s">
        <v>2656</v>
      </c>
    </row>
    <row r="166" spans="1:1">
      <c r="A166" s="1275" t="s">
        <v>2657</v>
      </c>
    </row>
    <row r="167" spans="1:1">
      <c r="A167" s="1275" t="s">
        <v>2658</v>
      </c>
    </row>
    <row r="168" spans="1:1">
      <c r="A168" s="1275" t="s">
        <v>2659</v>
      </c>
    </row>
    <row r="169" spans="1:1">
      <c r="A169" s="1275" t="s">
        <v>2660</v>
      </c>
    </row>
    <row r="170" spans="1:1">
      <c r="A170" s="1275" t="s">
        <v>2661</v>
      </c>
    </row>
    <row r="171" spans="1:1">
      <c r="A171" s="1275" t="s">
        <v>2662</v>
      </c>
    </row>
    <row r="172" spans="1:1">
      <c r="A172" s="1275" t="s">
        <v>2663</v>
      </c>
    </row>
    <row r="173" spans="1:1">
      <c r="A173" s="1275" t="s">
        <v>2664</v>
      </c>
    </row>
    <row r="174" spans="1:1">
      <c r="A174" s="1275" t="s">
        <v>2665</v>
      </c>
    </row>
    <row r="175" spans="1:1">
      <c r="A175" s="1275" t="s">
        <v>2666</v>
      </c>
    </row>
    <row r="176" spans="1:1">
      <c r="A176" s="1275" t="s">
        <v>2667</v>
      </c>
    </row>
    <row r="177" spans="1:1">
      <c r="A177" s="1275" t="s">
        <v>2668</v>
      </c>
    </row>
    <row r="178" spans="1:1">
      <c r="A178" s="1275" t="s">
        <v>2669</v>
      </c>
    </row>
    <row r="179" spans="1:1">
      <c r="A179" s="1275" t="s">
        <v>2670</v>
      </c>
    </row>
  </sheetData>
  <phoneticPr fontId="13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AD2F-ABA2-42DE-8453-963F112ECC41}">
  <sheetPr codeName="Sheet26"/>
  <dimension ref="A1"/>
  <sheetViews>
    <sheetView workbookViewId="0"/>
  </sheetViews>
  <sheetFormatPr defaultRowHeight="16.5"/>
  <sheetData/>
  <phoneticPr fontId="1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7274-6872-457E-9E30-03D1F57AEFD5}">
  <sheetPr codeName="Sheet5"/>
  <dimension ref="A1"/>
  <sheetViews>
    <sheetView workbookViewId="0"/>
  </sheetViews>
  <sheetFormatPr defaultRowHeight="16.5"/>
  <sheetData/>
  <phoneticPr fontId="13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A024B-8D22-453E-B2A0-5996088FC244}">
  <sheetPr codeName="Sheet10">
    <pageSetUpPr fitToPage="1"/>
  </sheetPr>
  <dimension ref="A1:P343"/>
  <sheetViews>
    <sheetView zoomScaleNormal="100" workbookViewId="0">
      <selection activeCell="N47" sqref="N47:N48"/>
    </sheetView>
  </sheetViews>
  <sheetFormatPr defaultColWidth="8.75" defaultRowHeight="14.25"/>
  <cols>
    <col min="1" max="1" width="4.375" style="887" bestFit="1" customWidth="1"/>
    <col min="2" max="2" width="10.625" style="888" bestFit="1" customWidth="1"/>
    <col min="3" max="3" width="8.75" style="888"/>
    <col min="4" max="4" width="14.375" style="888" bestFit="1" customWidth="1"/>
    <col min="5" max="5" width="8.75" style="888"/>
    <col min="6" max="6" width="14.375" style="888" bestFit="1" customWidth="1"/>
    <col min="7" max="7" width="8.75" style="888"/>
    <col min="8" max="8" width="14" style="888" bestFit="1" customWidth="1"/>
    <col min="9" max="9" width="8.75" style="888"/>
    <col min="10" max="10" width="13" style="888" bestFit="1" customWidth="1"/>
    <col min="11" max="11" width="8.75" style="888"/>
    <col min="12" max="12" width="13" style="888" bestFit="1" customWidth="1"/>
    <col min="13" max="13" width="8.75" style="888"/>
    <col min="14" max="14" width="14.75" style="888" bestFit="1" customWidth="1"/>
    <col min="15" max="15" width="8.75" style="888"/>
    <col min="16" max="16" width="9.375" style="888" bestFit="1" customWidth="1"/>
    <col min="17" max="16384" width="8.75" style="888"/>
  </cols>
  <sheetData>
    <row r="1" spans="1:16" s="903" customFormat="1">
      <c r="A1" s="1385">
        <v>1</v>
      </c>
      <c r="B1" s="1386" t="s">
        <v>1326</v>
      </c>
      <c r="D1" s="1390" t="s">
        <v>2912</v>
      </c>
      <c r="F1" s="1364" t="s">
        <v>981</v>
      </c>
      <c r="H1" s="1364" t="s">
        <v>1206</v>
      </c>
      <c r="J1" s="1364" t="s">
        <v>887</v>
      </c>
      <c r="L1" s="1364" t="s">
        <v>1761</v>
      </c>
      <c r="N1" s="1364" t="s">
        <v>1027</v>
      </c>
      <c r="P1" s="1369" t="s">
        <v>1061</v>
      </c>
    </row>
    <row r="2" spans="1:16" s="903" customFormat="1">
      <c r="A2" s="1387">
        <v>2</v>
      </c>
      <c r="B2" s="1386" t="s">
        <v>1327</v>
      </c>
      <c r="D2" s="1390" t="s">
        <v>712</v>
      </c>
      <c r="F2" s="1364" t="s">
        <v>973</v>
      </c>
      <c r="H2" s="1364" t="s">
        <v>1205</v>
      </c>
      <c r="J2" s="1364" t="s">
        <v>893</v>
      </c>
      <c r="L2" s="1364" t="s">
        <v>1760</v>
      </c>
      <c r="N2" s="1364" t="s">
        <v>1023</v>
      </c>
      <c r="P2" s="1369" t="s">
        <v>1059</v>
      </c>
    </row>
    <row r="3" spans="1:16" s="903" customFormat="1">
      <c r="A3" s="1387">
        <v>3</v>
      </c>
      <c r="B3" s="1386" t="s">
        <v>2967</v>
      </c>
      <c r="D3" s="1390" t="s">
        <v>710</v>
      </c>
      <c r="F3" s="1364" t="s">
        <v>976</v>
      </c>
      <c r="H3" s="1364" t="s">
        <v>1204</v>
      </c>
      <c r="J3" s="1364" t="s">
        <v>890</v>
      </c>
      <c r="L3" s="1364" t="s">
        <v>1759</v>
      </c>
      <c r="N3" s="1364" t="s">
        <v>1554</v>
      </c>
      <c r="P3" s="1369" t="s">
        <v>1057</v>
      </c>
    </row>
    <row r="4" spans="1:16" s="903" customFormat="1">
      <c r="A4" s="1387">
        <v>4</v>
      </c>
      <c r="B4" s="1386" t="s">
        <v>2968</v>
      </c>
      <c r="D4" s="1390" t="s">
        <v>709</v>
      </c>
      <c r="F4" s="1364" t="s">
        <v>971</v>
      </c>
      <c r="H4" s="1364" t="s">
        <v>1203</v>
      </c>
      <c r="J4" s="1364" t="s">
        <v>897</v>
      </c>
      <c r="L4" s="1364" t="s">
        <v>1758</v>
      </c>
      <c r="N4" s="1364" t="s">
        <v>1553</v>
      </c>
      <c r="P4" s="1369" t="s">
        <v>1055</v>
      </c>
    </row>
    <row r="5" spans="1:16" s="903" customFormat="1">
      <c r="A5" s="1387">
        <v>5</v>
      </c>
      <c r="B5" s="1386" t="s">
        <v>1328</v>
      </c>
      <c r="D5" s="1390" t="s">
        <v>707</v>
      </c>
      <c r="F5" s="1364" t="s">
        <v>969</v>
      </c>
      <c r="H5" s="1364" t="s">
        <v>1202</v>
      </c>
      <c r="J5" s="1364" t="s">
        <v>901</v>
      </c>
      <c r="L5" s="1364" t="s">
        <v>1757</v>
      </c>
      <c r="N5" s="1364" t="s">
        <v>1552</v>
      </c>
      <c r="P5" s="1369" t="s">
        <v>1053</v>
      </c>
    </row>
    <row r="6" spans="1:16" s="903" customFormat="1">
      <c r="A6" s="1387">
        <v>6</v>
      </c>
      <c r="B6" s="1386" t="s">
        <v>1329</v>
      </c>
      <c r="D6" s="1390" t="s">
        <v>706</v>
      </c>
      <c r="F6" s="1364" t="s">
        <v>966</v>
      </c>
      <c r="H6" s="1364" t="s">
        <v>1201</v>
      </c>
      <c r="J6" s="1364" t="s">
        <v>899</v>
      </c>
      <c r="L6" s="1364" t="s">
        <v>1753</v>
      </c>
      <c r="N6" s="1364" t="s">
        <v>1551</v>
      </c>
      <c r="P6" s="1369" t="s">
        <v>1039</v>
      </c>
    </row>
    <row r="7" spans="1:16" s="903" customFormat="1">
      <c r="A7" s="1387">
        <v>7</v>
      </c>
      <c r="B7" s="1386" t="s">
        <v>1330</v>
      </c>
      <c r="D7" s="1390" t="s">
        <v>704</v>
      </c>
      <c r="F7" s="1364" t="s">
        <v>963</v>
      </c>
      <c r="H7" s="1364" t="s">
        <v>1200</v>
      </c>
      <c r="J7" s="1364" t="s">
        <v>903</v>
      </c>
      <c r="L7" s="1364" t="s">
        <v>1754</v>
      </c>
      <c r="N7" s="1364" t="s">
        <v>1550</v>
      </c>
      <c r="P7" s="1369" t="s">
        <v>1037</v>
      </c>
    </row>
    <row r="8" spans="1:16" s="903" customFormat="1">
      <c r="A8" s="1387">
        <v>8</v>
      </c>
      <c r="B8" s="1386" t="s">
        <v>1331</v>
      </c>
      <c r="D8" s="1390" t="s">
        <v>703</v>
      </c>
      <c r="F8" s="1364" t="s">
        <v>959</v>
      </c>
      <c r="H8" s="1364" t="s">
        <v>1199</v>
      </c>
      <c r="J8" s="1371" t="s">
        <v>1751</v>
      </c>
      <c r="L8" s="1364" t="s">
        <v>1756</v>
      </c>
      <c r="N8" s="1364" t="s">
        <v>1549</v>
      </c>
      <c r="P8" s="1369" t="s">
        <v>1035</v>
      </c>
    </row>
    <row r="9" spans="1:16" s="903" customFormat="1">
      <c r="A9" s="1387">
        <v>9</v>
      </c>
      <c r="B9" s="1386" t="s">
        <v>1332</v>
      </c>
      <c r="D9" s="1390" t="s">
        <v>702</v>
      </c>
      <c r="F9" s="1364" t="s">
        <v>961</v>
      </c>
      <c r="H9" s="1364" t="s">
        <v>1198</v>
      </c>
      <c r="J9" s="1371" t="s">
        <v>1752</v>
      </c>
      <c r="L9" s="1364" t="s">
        <v>1755</v>
      </c>
      <c r="N9" s="1364" t="s">
        <v>1548</v>
      </c>
      <c r="P9" s="1369" t="s">
        <v>1033</v>
      </c>
    </row>
    <row r="10" spans="1:16" s="903" customFormat="1">
      <c r="A10" s="1387">
        <v>10</v>
      </c>
      <c r="B10" s="1386" t="s">
        <v>1333</v>
      </c>
      <c r="D10" s="1390" t="s">
        <v>1739</v>
      </c>
      <c r="F10" s="1364" t="s">
        <v>956</v>
      </c>
      <c r="H10" s="1364" t="s">
        <v>1197</v>
      </c>
      <c r="J10" s="1371" t="s">
        <v>1711</v>
      </c>
      <c r="L10" s="1364" t="s">
        <v>1771</v>
      </c>
      <c r="N10" s="1364" t="s">
        <v>1547</v>
      </c>
      <c r="P10" s="1369" t="s">
        <v>1031</v>
      </c>
    </row>
    <row r="11" spans="1:16" s="903" customFormat="1">
      <c r="A11" s="1385">
        <v>11</v>
      </c>
      <c r="B11" s="1386" t="s">
        <v>1334</v>
      </c>
      <c r="D11" s="1390" t="s">
        <v>699</v>
      </c>
      <c r="F11" s="1364" t="s">
        <v>978</v>
      </c>
      <c r="H11" s="1364" t="s">
        <v>1196</v>
      </c>
      <c r="J11" s="1371" t="s">
        <v>904</v>
      </c>
      <c r="L11" s="1364" t="s">
        <v>1770</v>
      </c>
      <c r="N11" s="1364" t="s">
        <v>1013</v>
      </c>
      <c r="P11" s="1369" t="s">
        <v>1029</v>
      </c>
    </row>
    <row r="12" spans="1:16" s="903" customFormat="1">
      <c r="A12" s="1385">
        <v>12</v>
      </c>
      <c r="B12" s="1386" t="s">
        <v>1335</v>
      </c>
      <c r="D12" s="1390" t="s">
        <v>697</v>
      </c>
      <c r="F12" s="1364" t="s">
        <v>953</v>
      </c>
      <c r="H12" s="1364" t="s">
        <v>1195</v>
      </c>
      <c r="J12" s="1364" t="s">
        <v>1775</v>
      </c>
      <c r="L12" s="1364" t="s">
        <v>1769</v>
      </c>
      <c r="N12" s="1364" t="s">
        <v>1022</v>
      </c>
      <c r="P12" s="1369" t="s">
        <v>1065</v>
      </c>
    </row>
    <row r="13" spans="1:16" s="903" customFormat="1">
      <c r="A13" s="1385">
        <v>13</v>
      </c>
      <c r="B13" s="1386" t="s">
        <v>1336</v>
      </c>
      <c r="D13" s="1390" t="s">
        <v>1737</v>
      </c>
      <c r="F13" s="1364" t="s">
        <v>950</v>
      </c>
      <c r="H13" s="1364" t="s">
        <v>1194</v>
      </c>
      <c r="J13" s="1364" t="s">
        <v>883</v>
      </c>
      <c r="L13" s="1364" t="s">
        <v>1768</v>
      </c>
      <c r="N13" s="1364" t="s">
        <v>1012</v>
      </c>
      <c r="P13" s="1369" t="s">
        <v>1063</v>
      </c>
    </row>
    <row r="14" spans="1:16" s="903" customFormat="1">
      <c r="A14" s="1385">
        <v>14</v>
      </c>
      <c r="B14" s="1386" t="s">
        <v>1337</v>
      </c>
      <c r="D14" s="1390" t="s">
        <v>1738</v>
      </c>
      <c r="F14" s="1364" t="s">
        <v>947</v>
      </c>
      <c r="H14" s="1364" t="s">
        <v>1193</v>
      </c>
      <c r="J14" s="1364" t="s">
        <v>879</v>
      </c>
      <c r="L14" s="1364" t="s">
        <v>1773</v>
      </c>
      <c r="N14" s="1364" t="s">
        <v>1021</v>
      </c>
      <c r="P14" s="1369" t="s">
        <v>1051</v>
      </c>
    </row>
    <row r="15" spans="1:16" s="903" customFormat="1">
      <c r="A15" s="1385">
        <v>15</v>
      </c>
      <c r="B15" s="1386" t="s">
        <v>1338</v>
      </c>
      <c r="D15" s="1390" t="s">
        <v>1736</v>
      </c>
      <c r="F15" s="1364" t="s">
        <v>943</v>
      </c>
      <c r="H15" s="1364" t="s">
        <v>1192</v>
      </c>
      <c r="J15" s="1364" t="s">
        <v>762</v>
      </c>
      <c r="L15" s="1364" t="s">
        <v>1772</v>
      </c>
      <c r="N15" s="1364" t="s">
        <v>1011</v>
      </c>
      <c r="P15" s="1369" t="s">
        <v>1049</v>
      </c>
    </row>
    <row r="16" spans="1:16" s="903" customFormat="1">
      <c r="A16" s="1385">
        <v>16</v>
      </c>
      <c r="B16" s="1386" t="s">
        <v>1339</v>
      </c>
      <c r="D16" s="1390" t="s">
        <v>1735</v>
      </c>
      <c r="F16" s="1364" t="s">
        <v>941</v>
      </c>
      <c r="H16" s="1364" t="s">
        <v>1191</v>
      </c>
      <c r="J16" s="1364" t="s">
        <v>875</v>
      </c>
      <c r="L16" s="1364" t="s">
        <v>1767</v>
      </c>
      <c r="N16" s="1364" t="s">
        <v>1020</v>
      </c>
      <c r="P16" s="1369" t="s">
        <v>1047</v>
      </c>
    </row>
    <row r="17" spans="1:16" s="903" customFormat="1">
      <c r="A17" s="1385">
        <v>17</v>
      </c>
      <c r="B17" s="1386" t="s">
        <v>1340</v>
      </c>
      <c r="D17" s="1390" t="s">
        <v>694</v>
      </c>
      <c r="F17" s="1364" t="s">
        <v>939</v>
      </c>
      <c r="H17" s="1364" t="s">
        <v>1190</v>
      </c>
      <c r="J17" s="1364" t="s">
        <v>873</v>
      </c>
      <c r="L17" s="1364" t="s">
        <v>1766</v>
      </c>
      <c r="N17" s="1364" t="s">
        <v>1010</v>
      </c>
      <c r="P17" s="1369" t="s">
        <v>1045</v>
      </c>
    </row>
    <row r="18" spans="1:16" s="903" customFormat="1" ht="14.65" customHeight="1">
      <c r="A18" s="1385">
        <v>18</v>
      </c>
      <c r="B18" s="1386" t="s">
        <v>1341</v>
      </c>
      <c r="D18" s="1390" t="s">
        <v>692</v>
      </c>
      <c r="F18" s="1364" t="s">
        <v>936</v>
      </c>
      <c r="H18" s="1364" t="s">
        <v>1189</v>
      </c>
      <c r="J18" s="1364" t="s">
        <v>871</v>
      </c>
      <c r="L18" s="1364" t="s">
        <v>1763</v>
      </c>
      <c r="N18" s="1364" t="s">
        <v>1019</v>
      </c>
      <c r="P18" s="1369" t="s">
        <v>1043</v>
      </c>
    </row>
    <row r="19" spans="1:16" s="903" customFormat="1">
      <c r="A19" s="1385">
        <v>19</v>
      </c>
      <c r="B19" s="1386" t="s">
        <v>1342</v>
      </c>
      <c r="D19" s="1390" t="s">
        <v>691</v>
      </c>
      <c r="F19" s="1364" t="s">
        <v>2228</v>
      </c>
      <c r="H19" s="1364" t="s">
        <v>1188</v>
      </c>
      <c r="J19" s="1364" t="s">
        <v>867</v>
      </c>
      <c r="L19" s="1364" t="s">
        <v>1762</v>
      </c>
      <c r="N19" s="1364" t="s">
        <v>1009</v>
      </c>
      <c r="P19" s="1369" t="s">
        <v>1041</v>
      </c>
    </row>
    <row r="20" spans="1:16" s="903" customFormat="1">
      <c r="A20" s="1385">
        <v>20</v>
      </c>
      <c r="B20" s="1386" t="s">
        <v>1343</v>
      </c>
      <c r="D20" s="1390" t="s">
        <v>690</v>
      </c>
      <c r="F20" s="1364" t="s">
        <v>2229</v>
      </c>
      <c r="H20" s="1364" t="s">
        <v>1187</v>
      </c>
      <c r="J20" s="1364" t="s">
        <v>2355</v>
      </c>
      <c r="L20" s="1364" t="s">
        <v>1765</v>
      </c>
      <c r="N20" s="1364" t="s">
        <v>1018</v>
      </c>
    </row>
    <row r="21" spans="1:16" s="903" customFormat="1">
      <c r="A21" s="1385">
        <v>21</v>
      </c>
      <c r="B21" s="1386" t="s">
        <v>1344</v>
      </c>
      <c r="D21" s="1390" t="s">
        <v>689</v>
      </c>
      <c r="F21" s="1364" t="s">
        <v>933</v>
      </c>
      <c r="H21" s="1364" t="s">
        <v>1186</v>
      </c>
      <c r="J21" s="1364" t="s">
        <v>2357</v>
      </c>
      <c r="L21" s="1364" t="s">
        <v>1764</v>
      </c>
      <c r="N21" s="1364" t="s">
        <v>1008</v>
      </c>
    </row>
    <row r="22" spans="1:16" s="903" customFormat="1">
      <c r="A22" s="1385">
        <v>22</v>
      </c>
      <c r="B22" s="1386" t="s">
        <v>1345</v>
      </c>
      <c r="D22" s="1390" t="s">
        <v>687</v>
      </c>
      <c r="F22" s="1364" t="s">
        <v>930</v>
      </c>
      <c r="H22" s="1364" t="s">
        <v>1185</v>
      </c>
      <c r="L22" s="1364" t="s">
        <v>759</v>
      </c>
      <c r="N22" s="1364" t="s">
        <v>1017</v>
      </c>
    </row>
    <row r="23" spans="1:16" s="903" customFormat="1">
      <c r="A23" s="1385">
        <v>23</v>
      </c>
      <c r="B23" s="1386" t="s">
        <v>1346</v>
      </c>
      <c r="D23" s="1390" t="s">
        <v>685</v>
      </c>
      <c r="F23" s="1364" t="s">
        <v>926</v>
      </c>
      <c r="H23" s="1364" t="s">
        <v>1184</v>
      </c>
      <c r="L23" s="1364" t="s">
        <v>755</v>
      </c>
      <c r="N23" s="1364" t="s">
        <v>1007</v>
      </c>
    </row>
    <row r="24" spans="1:16" s="903" customFormat="1">
      <c r="A24" s="1385">
        <v>24</v>
      </c>
      <c r="B24" s="1386" t="s">
        <v>1347</v>
      </c>
      <c r="D24" s="1390" t="s">
        <v>683</v>
      </c>
      <c r="F24" s="1364" t="s">
        <v>989</v>
      </c>
      <c r="H24" s="1364" t="s">
        <v>1183</v>
      </c>
      <c r="L24" s="1364" t="s">
        <v>751</v>
      </c>
      <c r="N24" s="1364" t="s">
        <v>1016</v>
      </c>
    </row>
    <row r="25" spans="1:16" s="903" customFormat="1">
      <c r="A25" s="1385">
        <v>25</v>
      </c>
      <c r="B25" s="1386" t="s">
        <v>1348</v>
      </c>
      <c r="D25" s="1390" t="s">
        <v>681</v>
      </c>
      <c r="H25" s="1364" t="s">
        <v>1182</v>
      </c>
      <c r="L25" s="1364" t="s">
        <v>747</v>
      </c>
      <c r="N25" s="1364" t="s">
        <v>1006</v>
      </c>
    </row>
    <row r="26" spans="1:16" s="903" customFormat="1">
      <c r="A26" s="1385">
        <v>26</v>
      </c>
      <c r="B26" s="1386" t="s">
        <v>2969</v>
      </c>
      <c r="D26" s="1390" t="s">
        <v>679</v>
      </c>
      <c r="H26" s="1364" t="s">
        <v>1181</v>
      </c>
      <c r="L26" s="1364" t="s">
        <v>743</v>
      </c>
      <c r="N26" s="1364" t="s">
        <v>1015</v>
      </c>
    </row>
    <row r="27" spans="1:16" s="903" customFormat="1">
      <c r="A27" s="1385">
        <v>27</v>
      </c>
      <c r="B27" s="1386" t="s">
        <v>2970</v>
      </c>
      <c r="D27" s="1390" t="s">
        <v>677</v>
      </c>
      <c r="H27" s="1364" t="s">
        <v>1180</v>
      </c>
      <c r="L27" s="1364" t="s">
        <v>739</v>
      </c>
      <c r="N27" s="1364" t="s">
        <v>1003</v>
      </c>
    </row>
    <row r="28" spans="1:16" s="903" customFormat="1">
      <c r="A28" s="1385">
        <v>28</v>
      </c>
      <c r="B28" s="1386" t="s">
        <v>2971</v>
      </c>
      <c r="D28" s="1390" t="s">
        <v>1733</v>
      </c>
      <c r="H28" s="1364" t="s">
        <v>1179</v>
      </c>
      <c r="L28" s="1364" t="s">
        <v>736</v>
      </c>
      <c r="N28" s="1364" t="s">
        <v>1014</v>
      </c>
    </row>
    <row r="29" spans="1:16" s="903" customFormat="1">
      <c r="A29" s="1385">
        <v>29</v>
      </c>
      <c r="B29" s="1386" t="s">
        <v>2972</v>
      </c>
      <c r="D29" s="1390" t="s">
        <v>1734</v>
      </c>
      <c r="H29" s="1364" t="s">
        <v>1178</v>
      </c>
      <c r="L29" s="1364" t="s">
        <v>732</v>
      </c>
      <c r="N29" s="1364" t="s">
        <v>924</v>
      </c>
    </row>
    <row r="30" spans="1:16" s="903" customFormat="1">
      <c r="A30" s="1385">
        <v>30</v>
      </c>
      <c r="B30" s="1386" t="s">
        <v>2973</v>
      </c>
      <c r="D30" s="1390" t="s">
        <v>1732</v>
      </c>
      <c r="H30" s="1364" t="s">
        <v>1177</v>
      </c>
      <c r="L30" s="1364" t="s">
        <v>728</v>
      </c>
      <c r="N30" s="1364" t="s">
        <v>76</v>
      </c>
    </row>
    <row r="31" spans="1:16" s="903" customFormat="1">
      <c r="A31" s="1385">
        <v>31</v>
      </c>
      <c r="B31" s="1386" t="s">
        <v>2974</v>
      </c>
      <c r="D31" s="1390" t="s">
        <v>1731</v>
      </c>
      <c r="H31" s="1364" t="s">
        <v>1176</v>
      </c>
      <c r="L31" s="1364" t="s">
        <v>724</v>
      </c>
      <c r="N31" s="1364" t="s">
        <v>922</v>
      </c>
    </row>
    <row r="32" spans="1:16" s="903" customFormat="1">
      <c r="A32" s="1385">
        <v>32</v>
      </c>
      <c r="B32" s="1386" t="s">
        <v>2975</v>
      </c>
      <c r="D32" s="1390" t="s">
        <v>674</v>
      </c>
      <c r="H32" s="1364" t="s">
        <v>1175</v>
      </c>
      <c r="N32" s="1364" t="s">
        <v>75</v>
      </c>
    </row>
    <row r="33" spans="1:14" s="903" customFormat="1">
      <c r="A33" s="1385">
        <v>33</v>
      </c>
      <c r="B33" s="1386" t="s">
        <v>2976</v>
      </c>
      <c r="D33" s="1390" t="s">
        <v>672</v>
      </c>
      <c r="H33" s="1364" t="s">
        <v>1174</v>
      </c>
      <c r="N33" s="1364" t="s">
        <v>920</v>
      </c>
    </row>
    <row r="34" spans="1:14" s="903" customFormat="1">
      <c r="A34" s="1385">
        <v>34</v>
      </c>
      <c r="B34" s="1386" t="s">
        <v>2977</v>
      </c>
      <c r="D34" s="1390" t="s">
        <v>1742</v>
      </c>
      <c r="H34" s="1364" t="s">
        <v>1173</v>
      </c>
      <c r="N34" s="1364" t="s">
        <v>74</v>
      </c>
    </row>
    <row r="35" spans="1:14" s="903" customFormat="1">
      <c r="A35" s="1385">
        <v>35</v>
      </c>
      <c r="B35" s="1386" t="s">
        <v>2978</v>
      </c>
      <c r="D35" s="1390" t="s">
        <v>670</v>
      </c>
      <c r="H35" s="1364" t="s">
        <v>1172</v>
      </c>
      <c r="N35" s="1364" t="s">
        <v>918</v>
      </c>
    </row>
    <row r="36" spans="1:14" s="903" customFormat="1">
      <c r="A36" s="1385">
        <v>36</v>
      </c>
      <c r="B36" s="1386" t="s">
        <v>2979</v>
      </c>
      <c r="D36" s="1390" t="s">
        <v>1741</v>
      </c>
      <c r="H36" s="1364" t="s">
        <v>1171</v>
      </c>
      <c r="N36" s="1364" t="s">
        <v>73</v>
      </c>
    </row>
    <row r="37" spans="1:14" s="903" customFormat="1">
      <c r="A37" s="1385">
        <v>37</v>
      </c>
      <c r="B37" s="1386" t="s">
        <v>2980</v>
      </c>
      <c r="D37" s="1390" t="s">
        <v>668</v>
      </c>
      <c r="H37" s="1364" t="s">
        <v>1170</v>
      </c>
      <c r="N37" s="1364" t="s">
        <v>916</v>
      </c>
    </row>
    <row r="38" spans="1:14" s="903" customFormat="1">
      <c r="A38" s="1385">
        <v>38</v>
      </c>
      <c r="B38" s="1386" t="s">
        <v>2981</v>
      </c>
      <c r="D38" s="1390" t="s">
        <v>666</v>
      </c>
      <c r="H38" s="1364" t="s">
        <v>1169</v>
      </c>
      <c r="N38" s="1364" t="s">
        <v>72</v>
      </c>
    </row>
    <row r="39" spans="1:14" s="903" customFormat="1">
      <c r="A39" s="1385">
        <v>39</v>
      </c>
      <c r="B39" s="1386" t="s">
        <v>2982</v>
      </c>
      <c r="D39" s="1390" t="s">
        <v>664</v>
      </c>
      <c r="H39" s="1364" t="s">
        <v>1168</v>
      </c>
      <c r="N39" s="1364" t="s">
        <v>914</v>
      </c>
    </row>
    <row r="40" spans="1:14" s="903" customFormat="1">
      <c r="A40" s="1385">
        <v>40</v>
      </c>
      <c r="B40" s="1386" t="s">
        <v>1363</v>
      </c>
      <c r="D40" s="1390" t="s">
        <v>662</v>
      </c>
      <c r="H40" s="1364" t="s">
        <v>1167</v>
      </c>
      <c r="N40" s="1364" t="s">
        <v>71</v>
      </c>
    </row>
    <row r="41" spans="1:14" s="903" customFormat="1">
      <c r="A41" s="1385">
        <v>41</v>
      </c>
      <c r="B41" s="1386" t="s">
        <v>1364</v>
      </c>
      <c r="D41" s="1390" t="s">
        <v>659</v>
      </c>
      <c r="H41" s="1364" t="s">
        <v>1166</v>
      </c>
      <c r="N41" s="1364" t="s">
        <v>912</v>
      </c>
    </row>
    <row r="42" spans="1:14" s="903" customFormat="1">
      <c r="A42" s="1385">
        <v>42</v>
      </c>
      <c r="B42" s="1386" t="s">
        <v>1365</v>
      </c>
      <c r="D42" s="1390" t="s">
        <v>657</v>
      </c>
      <c r="H42" s="1364" t="s">
        <v>1165</v>
      </c>
      <c r="N42" s="1364" t="s">
        <v>83</v>
      </c>
    </row>
    <row r="43" spans="1:14" s="903" customFormat="1">
      <c r="A43" s="1385">
        <v>43</v>
      </c>
      <c r="B43" s="1386" t="s">
        <v>1366</v>
      </c>
      <c r="D43" s="1390" t="s">
        <v>655</v>
      </c>
      <c r="H43" s="1364" t="s">
        <v>1164</v>
      </c>
      <c r="N43" s="1364" t="s">
        <v>910</v>
      </c>
    </row>
    <row r="44" spans="1:14" s="903" customFormat="1">
      <c r="A44" s="1385">
        <v>44</v>
      </c>
      <c r="B44" s="1386" t="s">
        <v>1367</v>
      </c>
      <c r="D44" s="1390" t="s">
        <v>653</v>
      </c>
      <c r="H44" s="1364" t="s">
        <v>1163</v>
      </c>
      <c r="N44" s="1364" t="s">
        <v>82</v>
      </c>
    </row>
    <row r="45" spans="1:14" s="903" customFormat="1">
      <c r="A45" s="1385">
        <v>45</v>
      </c>
      <c r="B45" s="1386" t="s">
        <v>1368</v>
      </c>
      <c r="D45" s="1346" t="s">
        <v>155</v>
      </c>
      <c r="H45" s="1364" t="s">
        <v>1162</v>
      </c>
      <c r="N45" s="1371" t="s">
        <v>906</v>
      </c>
    </row>
    <row r="46" spans="1:14" s="903" customFormat="1">
      <c r="A46" s="1385">
        <v>46</v>
      </c>
      <c r="B46" s="1386" t="s">
        <v>1369</v>
      </c>
      <c r="D46" s="1390" t="s">
        <v>651</v>
      </c>
      <c r="H46" s="1364" t="s">
        <v>1161</v>
      </c>
      <c r="N46" s="1364" t="s">
        <v>295</v>
      </c>
    </row>
    <row r="47" spans="1:14" s="903" customFormat="1">
      <c r="A47" s="1385">
        <v>47</v>
      </c>
      <c r="B47" s="1386" t="s">
        <v>2983</v>
      </c>
      <c r="D47" s="1390" t="s">
        <v>649</v>
      </c>
      <c r="H47" s="1364" t="s">
        <v>1160</v>
      </c>
      <c r="N47" s="1364" t="s">
        <v>1001</v>
      </c>
    </row>
    <row r="48" spans="1:14" s="903" customFormat="1">
      <c r="A48" s="1385">
        <v>48</v>
      </c>
      <c r="B48" s="1386" t="s">
        <v>2984</v>
      </c>
      <c r="D48" s="1390" t="s">
        <v>647</v>
      </c>
      <c r="H48" s="1364" t="s">
        <v>1159</v>
      </c>
      <c r="N48" s="1364" t="s">
        <v>997</v>
      </c>
    </row>
    <row r="49" spans="1:8" s="903" customFormat="1">
      <c r="A49" s="1385">
        <v>49</v>
      </c>
      <c r="B49" s="1386" t="s">
        <v>2985</v>
      </c>
      <c r="D49" s="1346" t="s">
        <v>156</v>
      </c>
      <c r="H49" s="1364" t="s">
        <v>1158</v>
      </c>
    </row>
    <row r="50" spans="1:8" s="903" customFormat="1">
      <c r="A50" s="1385">
        <v>50</v>
      </c>
      <c r="B50" s="1386" t="s">
        <v>2986</v>
      </c>
      <c r="D50" s="1390" t="s">
        <v>645</v>
      </c>
      <c r="H50" s="1364" t="s">
        <v>1157</v>
      </c>
    </row>
    <row r="51" spans="1:8" s="903" customFormat="1">
      <c r="A51" s="1385">
        <v>51</v>
      </c>
      <c r="B51" s="1386" t="s">
        <v>2987</v>
      </c>
      <c r="D51" s="1390" t="s">
        <v>643</v>
      </c>
      <c r="H51" s="1364" t="s">
        <v>1156</v>
      </c>
    </row>
    <row r="52" spans="1:8" s="903" customFormat="1">
      <c r="A52" s="1385">
        <v>52</v>
      </c>
      <c r="B52" s="1386" t="s">
        <v>2988</v>
      </c>
      <c r="D52" s="1390" t="s">
        <v>641</v>
      </c>
      <c r="H52" s="1364" t="s">
        <v>1155</v>
      </c>
    </row>
    <row r="53" spans="1:8" s="903" customFormat="1">
      <c r="A53" s="1385">
        <v>53</v>
      </c>
      <c r="B53" s="1386" t="s">
        <v>2989</v>
      </c>
      <c r="D53" s="1390" t="s">
        <v>639</v>
      </c>
      <c r="H53" s="1364" t="s">
        <v>1154</v>
      </c>
    </row>
    <row r="54" spans="1:8" s="903" customFormat="1">
      <c r="A54" s="1385">
        <v>54</v>
      </c>
      <c r="B54" s="1386" t="s">
        <v>1370</v>
      </c>
      <c r="D54" s="1390" t="s">
        <v>636</v>
      </c>
      <c r="H54" s="1364" t="s">
        <v>1153</v>
      </c>
    </row>
    <row r="55" spans="1:8" s="903" customFormat="1">
      <c r="A55" s="1385">
        <v>55</v>
      </c>
      <c r="B55" s="1386" t="s">
        <v>1371</v>
      </c>
      <c r="D55" s="1390" t="s">
        <v>2912</v>
      </c>
      <c r="H55" s="1364" t="s">
        <v>1152</v>
      </c>
    </row>
    <row r="56" spans="1:8" s="903" customFormat="1">
      <c r="A56" s="1385">
        <v>56</v>
      </c>
      <c r="B56" s="1386" t="s">
        <v>1372</v>
      </c>
      <c r="D56" s="1390" t="s">
        <v>634</v>
      </c>
      <c r="H56" s="1364" t="s">
        <v>1151</v>
      </c>
    </row>
    <row r="57" spans="1:8" s="903" customFormat="1">
      <c r="A57" s="1385">
        <v>57</v>
      </c>
      <c r="B57" s="1386" t="s">
        <v>1373</v>
      </c>
      <c r="D57" s="1390" t="s">
        <v>631</v>
      </c>
      <c r="H57" s="1364" t="s">
        <v>1150</v>
      </c>
    </row>
    <row r="58" spans="1:8" s="903" customFormat="1">
      <c r="A58" s="1385">
        <v>58</v>
      </c>
      <c r="B58" s="1386" t="s">
        <v>1374</v>
      </c>
      <c r="D58" s="1390" t="s">
        <v>629</v>
      </c>
      <c r="H58" s="1364" t="s">
        <v>1149</v>
      </c>
    </row>
    <row r="59" spans="1:8" s="903" customFormat="1">
      <c r="A59" s="1385">
        <v>59</v>
      </c>
      <c r="B59" s="1386" t="s">
        <v>1375</v>
      </c>
      <c r="D59" s="1390" t="s">
        <v>624</v>
      </c>
      <c r="H59" s="1364" t="s">
        <v>1148</v>
      </c>
    </row>
    <row r="60" spans="1:8" s="903" customFormat="1">
      <c r="A60" s="1385">
        <v>60</v>
      </c>
      <c r="B60" s="1386" t="s">
        <v>1376</v>
      </c>
      <c r="D60" s="1390" t="s">
        <v>622</v>
      </c>
      <c r="H60" s="1364" t="s">
        <v>1147</v>
      </c>
    </row>
    <row r="61" spans="1:8" s="903" customFormat="1">
      <c r="A61" s="1385">
        <v>61</v>
      </c>
      <c r="B61" s="1386" t="s">
        <v>1377</v>
      </c>
      <c r="D61" s="1390" t="s">
        <v>620</v>
      </c>
      <c r="H61" s="1364" t="s">
        <v>1146</v>
      </c>
    </row>
    <row r="62" spans="1:8" s="903" customFormat="1">
      <c r="A62" s="1385">
        <v>62</v>
      </c>
      <c r="B62" s="1386" t="s">
        <v>1378</v>
      </c>
      <c r="D62" s="1390" t="s">
        <v>618</v>
      </c>
      <c r="H62" s="1364" t="s">
        <v>1145</v>
      </c>
    </row>
    <row r="63" spans="1:8" s="903" customFormat="1">
      <c r="A63" s="1385">
        <v>63</v>
      </c>
      <c r="B63" s="1386" t="s">
        <v>1379</v>
      </c>
      <c r="D63" s="1390" t="s">
        <v>3153</v>
      </c>
      <c r="H63" s="1364" t="s">
        <v>1144</v>
      </c>
    </row>
    <row r="64" spans="1:8" s="903" customFormat="1">
      <c r="A64" s="1385">
        <v>64</v>
      </c>
      <c r="B64" s="1386" t="s">
        <v>1380</v>
      </c>
      <c r="D64" s="1390" t="s">
        <v>616</v>
      </c>
      <c r="H64" s="1364" t="s">
        <v>1143</v>
      </c>
    </row>
    <row r="65" spans="1:8" s="903" customFormat="1">
      <c r="A65" s="1385">
        <v>65</v>
      </c>
      <c r="B65" s="1386" t="s">
        <v>1381</v>
      </c>
      <c r="D65" s="1390" t="s">
        <v>614</v>
      </c>
      <c r="H65" s="1364" t="s">
        <v>1142</v>
      </c>
    </row>
    <row r="66" spans="1:8" s="903" customFormat="1">
      <c r="A66" s="1385">
        <v>66</v>
      </c>
      <c r="B66" s="1386" t="s">
        <v>1382</v>
      </c>
      <c r="D66" s="1390" t="s">
        <v>612</v>
      </c>
      <c r="H66" s="1364" t="s">
        <v>1142</v>
      </c>
    </row>
    <row r="67" spans="1:8" s="903" customFormat="1">
      <c r="A67" s="1385">
        <v>67</v>
      </c>
      <c r="B67" s="1386" t="s">
        <v>1383</v>
      </c>
      <c r="D67" s="1390" t="s">
        <v>609</v>
      </c>
      <c r="H67" s="1364" t="s">
        <v>1141</v>
      </c>
    </row>
    <row r="68" spans="1:8" s="903" customFormat="1">
      <c r="A68" s="1385">
        <v>68</v>
      </c>
      <c r="B68" s="1386" t="s">
        <v>1384</v>
      </c>
      <c r="D68" s="1364" t="s">
        <v>602</v>
      </c>
      <c r="H68" s="1364" t="s">
        <v>1140</v>
      </c>
    </row>
    <row r="69" spans="1:8" s="903" customFormat="1">
      <c r="A69" s="1385">
        <v>69</v>
      </c>
      <c r="B69" s="1386" t="s">
        <v>1385</v>
      </c>
      <c r="D69" s="1364" t="s">
        <v>598</v>
      </c>
      <c r="H69" s="1364" t="s">
        <v>1139</v>
      </c>
    </row>
    <row r="70" spans="1:8" s="903" customFormat="1">
      <c r="A70" s="1385">
        <v>70</v>
      </c>
      <c r="B70" s="1386" t="s">
        <v>1386</v>
      </c>
      <c r="D70" s="1364" t="s">
        <v>597</v>
      </c>
      <c r="H70" s="1364" t="s">
        <v>1138</v>
      </c>
    </row>
    <row r="71" spans="1:8" s="903" customFormat="1">
      <c r="A71" s="1385">
        <v>71</v>
      </c>
      <c r="B71" s="1386" t="s">
        <v>1387</v>
      </c>
      <c r="D71" s="1364" t="s">
        <v>595</v>
      </c>
      <c r="H71" s="1364" t="s">
        <v>1137</v>
      </c>
    </row>
    <row r="72" spans="1:8" s="903" customFormat="1">
      <c r="A72" s="1385">
        <v>72</v>
      </c>
      <c r="B72" s="1386" t="s">
        <v>1388</v>
      </c>
      <c r="D72" s="1364" t="s">
        <v>863</v>
      </c>
      <c r="H72" s="1364" t="s">
        <v>1136</v>
      </c>
    </row>
    <row r="73" spans="1:8" s="903" customFormat="1">
      <c r="A73" s="1385">
        <v>73</v>
      </c>
      <c r="B73" s="1386" t="s">
        <v>1389</v>
      </c>
      <c r="D73" s="1364" t="s">
        <v>591</v>
      </c>
      <c r="H73" s="1364" t="s">
        <v>1135</v>
      </c>
    </row>
    <row r="74" spans="1:8" s="903" customFormat="1">
      <c r="A74" s="1385">
        <v>74</v>
      </c>
      <c r="B74" s="1386" t="s">
        <v>1390</v>
      </c>
      <c r="D74" s="1364" t="s">
        <v>607</v>
      </c>
      <c r="H74" s="1364" t="s">
        <v>1134</v>
      </c>
    </row>
    <row r="75" spans="1:8" s="903" customFormat="1">
      <c r="A75" s="1385">
        <v>75</v>
      </c>
      <c r="B75" s="1386" t="s">
        <v>1391</v>
      </c>
      <c r="D75" s="1364" t="s">
        <v>605</v>
      </c>
      <c r="H75" s="1364" t="s">
        <v>1133</v>
      </c>
    </row>
    <row r="76" spans="1:8" s="903" customFormat="1">
      <c r="A76" s="1385">
        <v>76</v>
      </c>
      <c r="B76" s="1386" t="s">
        <v>1392</v>
      </c>
      <c r="D76" s="1390" t="s">
        <v>589</v>
      </c>
      <c r="H76" s="1364" t="s">
        <v>1132</v>
      </c>
    </row>
    <row r="77" spans="1:8" s="903" customFormat="1">
      <c r="A77" s="1385">
        <v>77</v>
      </c>
      <c r="B77" s="1386" t="s">
        <v>1393</v>
      </c>
      <c r="H77" s="1364" t="s">
        <v>1131</v>
      </c>
    </row>
    <row r="78" spans="1:8" s="903" customFormat="1">
      <c r="A78" s="1385">
        <v>78</v>
      </c>
      <c r="B78" s="1386" t="s">
        <v>1394</v>
      </c>
      <c r="H78" s="1364" t="s">
        <v>1130</v>
      </c>
    </row>
    <row r="79" spans="1:8" s="903" customFormat="1">
      <c r="A79" s="1385">
        <v>79</v>
      </c>
      <c r="B79" s="1386" t="s">
        <v>1395</v>
      </c>
      <c r="H79" s="1364" t="s">
        <v>1129</v>
      </c>
    </row>
    <row r="80" spans="1:8" s="903" customFormat="1">
      <c r="A80" s="1385">
        <v>80</v>
      </c>
      <c r="B80" s="1386" t="s">
        <v>1396</v>
      </c>
      <c r="H80" s="1364" t="s">
        <v>1128</v>
      </c>
    </row>
    <row r="81" spans="1:8" s="903" customFormat="1">
      <c r="A81" s="1385">
        <v>81</v>
      </c>
      <c r="B81" s="1386" t="s">
        <v>1397</v>
      </c>
      <c r="H81" s="1364" t="s">
        <v>1127</v>
      </c>
    </row>
    <row r="82" spans="1:8" s="903" customFormat="1">
      <c r="A82" s="1385">
        <v>82</v>
      </c>
      <c r="B82" s="1386" t="s">
        <v>1398</v>
      </c>
      <c r="H82" s="1364" t="s">
        <v>1126</v>
      </c>
    </row>
    <row r="83" spans="1:8" s="903" customFormat="1">
      <c r="A83" s="1385">
        <v>83</v>
      </c>
      <c r="B83" s="1386" t="s">
        <v>1399</v>
      </c>
      <c r="H83" s="1364" t="s">
        <v>1125</v>
      </c>
    </row>
    <row r="84" spans="1:8" s="903" customFormat="1">
      <c r="A84" s="1385">
        <v>84</v>
      </c>
      <c r="B84" s="1386" t="s">
        <v>1400</v>
      </c>
      <c r="H84" s="1364" t="s">
        <v>1124</v>
      </c>
    </row>
    <row r="85" spans="1:8" s="903" customFormat="1">
      <c r="A85" s="1385">
        <v>85</v>
      </c>
      <c r="B85" s="1386" t="s">
        <v>1401</v>
      </c>
      <c r="H85" s="1364" t="s">
        <v>1123</v>
      </c>
    </row>
    <row r="86" spans="1:8" s="903" customFormat="1">
      <c r="A86" s="1385">
        <v>86</v>
      </c>
      <c r="B86" s="1386" t="s">
        <v>1402</v>
      </c>
      <c r="H86" s="1364" t="s">
        <v>1122</v>
      </c>
    </row>
    <row r="87" spans="1:8" s="903" customFormat="1">
      <c r="A87" s="1385">
        <v>87</v>
      </c>
      <c r="B87" s="1386" t="s">
        <v>1403</v>
      </c>
      <c r="H87" s="1364" t="s">
        <v>1121</v>
      </c>
    </row>
    <row r="88" spans="1:8" s="903" customFormat="1">
      <c r="A88" s="1385">
        <v>88</v>
      </c>
      <c r="B88" s="1386" t="s">
        <v>1404</v>
      </c>
      <c r="H88" s="1364" t="s">
        <v>1120</v>
      </c>
    </row>
    <row r="89" spans="1:8" s="903" customFormat="1">
      <c r="A89" s="1385">
        <v>89</v>
      </c>
      <c r="B89" s="1386" t="s">
        <v>1405</v>
      </c>
      <c r="H89" s="1364" t="s">
        <v>1119</v>
      </c>
    </row>
    <row r="90" spans="1:8" s="903" customFormat="1">
      <c r="A90" s="1385">
        <v>90</v>
      </c>
      <c r="B90" s="1386" t="s">
        <v>1406</v>
      </c>
      <c r="H90" s="1364" t="s">
        <v>1118</v>
      </c>
    </row>
    <row r="91" spans="1:8" s="903" customFormat="1">
      <c r="A91" s="1385">
        <v>91</v>
      </c>
      <c r="B91" s="1386" t="s">
        <v>1407</v>
      </c>
      <c r="H91" s="1364" t="s">
        <v>1117</v>
      </c>
    </row>
    <row r="92" spans="1:8" s="903" customFormat="1">
      <c r="A92" s="1385">
        <v>92</v>
      </c>
      <c r="B92" s="1386" t="s">
        <v>1408</v>
      </c>
      <c r="H92" s="1364" t="s">
        <v>1116</v>
      </c>
    </row>
    <row r="93" spans="1:8" s="903" customFormat="1">
      <c r="A93" s="1385">
        <v>93</v>
      </c>
      <c r="B93" s="1386" t="s">
        <v>1409</v>
      </c>
      <c r="H93" s="1364" t="s">
        <v>1210</v>
      </c>
    </row>
    <row r="94" spans="1:8" s="903" customFormat="1">
      <c r="A94" s="1385">
        <v>94</v>
      </c>
      <c r="B94" s="1386" t="s">
        <v>1410</v>
      </c>
      <c r="H94" s="1364" t="s">
        <v>1209</v>
      </c>
    </row>
    <row r="95" spans="1:8" s="903" customFormat="1">
      <c r="A95" s="1385">
        <v>97</v>
      </c>
      <c r="B95" s="1386" t="s">
        <v>1411</v>
      </c>
      <c r="H95" s="1364" t="s">
        <v>1208</v>
      </c>
    </row>
    <row r="96" spans="1:8" s="903" customFormat="1">
      <c r="A96" s="1385">
        <v>98</v>
      </c>
      <c r="B96" s="1386" t="s">
        <v>1412</v>
      </c>
      <c r="H96" s="1364" t="s">
        <v>1207</v>
      </c>
    </row>
    <row r="97" spans="1:8" s="903" customFormat="1">
      <c r="A97" s="1385">
        <v>99</v>
      </c>
      <c r="B97" s="1386" t="s">
        <v>1413</v>
      </c>
      <c r="H97" s="1364" t="s">
        <v>2516</v>
      </c>
    </row>
    <row r="98" spans="1:8" s="903" customFormat="1">
      <c r="A98" s="1385">
        <v>100</v>
      </c>
      <c r="B98" s="1386" t="s">
        <v>1414</v>
      </c>
      <c r="H98" s="1364" t="s">
        <v>2517</v>
      </c>
    </row>
    <row r="99" spans="1:8" s="903" customFormat="1">
      <c r="A99" s="1385">
        <v>101</v>
      </c>
      <c r="B99" s="1386" t="s">
        <v>1415</v>
      </c>
      <c r="H99" s="1364" t="s">
        <v>3155</v>
      </c>
    </row>
    <row r="100" spans="1:8" s="903" customFormat="1">
      <c r="A100" s="1385">
        <v>102</v>
      </c>
      <c r="B100" s="1386" t="s">
        <v>1416</v>
      </c>
      <c r="H100" s="1364" t="s">
        <v>3156</v>
      </c>
    </row>
    <row r="101" spans="1:8" s="903" customFormat="1">
      <c r="A101" s="1385">
        <v>103</v>
      </c>
      <c r="B101" s="1386" t="s">
        <v>1417</v>
      </c>
    </row>
    <row r="102" spans="1:8" s="903" customFormat="1">
      <c r="A102" s="1385">
        <v>104</v>
      </c>
      <c r="B102" s="1386" t="s">
        <v>1418</v>
      </c>
    </row>
    <row r="103" spans="1:8" s="903" customFormat="1">
      <c r="A103" s="1385">
        <v>105</v>
      </c>
      <c r="B103" s="1386" t="s">
        <v>1419</v>
      </c>
    </row>
    <row r="104" spans="1:8" s="903" customFormat="1">
      <c r="A104" s="1385">
        <v>95</v>
      </c>
      <c r="B104" s="1386" t="s">
        <v>1420</v>
      </c>
    </row>
    <row r="105" spans="1:8" s="903" customFormat="1">
      <c r="A105" s="1385">
        <v>96</v>
      </c>
      <c r="B105" s="1386" t="s">
        <v>1421</v>
      </c>
    </row>
    <row r="106" spans="1:8" s="903" customFormat="1">
      <c r="A106" s="1385">
        <v>106</v>
      </c>
      <c r="B106" s="1386" t="s">
        <v>1422</v>
      </c>
    </row>
    <row r="107" spans="1:8" s="903" customFormat="1">
      <c r="A107" s="1385">
        <v>107</v>
      </c>
      <c r="B107" s="1386" t="s">
        <v>1423</v>
      </c>
    </row>
    <row r="108" spans="1:8" s="903" customFormat="1">
      <c r="A108" s="1385">
        <v>108</v>
      </c>
      <c r="B108" s="1386" t="s">
        <v>1424</v>
      </c>
    </row>
    <row r="109" spans="1:8" s="903" customFormat="1">
      <c r="A109" s="1385">
        <v>109</v>
      </c>
      <c r="B109" s="1386" t="s">
        <v>1425</v>
      </c>
    </row>
    <row r="110" spans="1:8">
      <c r="A110" s="1385">
        <v>110</v>
      </c>
      <c r="B110" s="1388" t="s">
        <v>1426</v>
      </c>
    </row>
    <row r="111" spans="1:8">
      <c r="A111" s="1385">
        <v>111</v>
      </c>
      <c r="B111" s="1388" t="s">
        <v>1427</v>
      </c>
    </row>
    <row r="112" spans="1:8">
      <c r="A112" s="1385">
        <v>112</v>
      </c>
      <c r="B112" s="1388" t="s">
        <v>1428</v>
      </c>
    </row>
    <row r="113" spans="1:2">
      <c r="A113" s="1385">
        <v>113</v>
      </c>
      <c r="B113" s="1388" t="s">
        <v>1429</v>
      </c>
    </row>
    <row r="114" spans="1:2" s="903" customFormat="1">
      <c r="A114" s="1385">
        <v>114</v>
      </c>
      <c r="B114" s="1386" t="s">
        <v>1430</v>
      </c>
    </row>
    <row r="115" spans="1:2" s="903" customFormat="1">
      <c r="A115" s="1385">
        <v>115</v>
      </c>
      <c r="B115" s="1386" t="s">
        <v>1431</v>
      </c>
    </row>
    <row r="116" spans="1:2" s="903" customFormat="1">
      <c r="A116" s="1385">
        <v>116</v>
      </c>
      <c r="B116" s="1386" t="s">
        <v>1432</v>
      </c>
    </row>
    <row r="117" spans="1:2" s="903" customFormat="1">
      <c r="A117" s="1385">
        <v>117</v>
      </c>
      <c r="B117" s="1386" t="s">
        <v>1433</v>
      </c>
    </row>
    <row r="118" spans="1:2" s="903" customFormat="1">
      <c r="A118" s="1385">
        <v>118</v>
      </c>
      <c r="B118" s="1386" t="s">
        <v>1434</v>
      </c>
    </row>
    <row r="119" spans="1:2" s="903" customFormat="1">
      <c r="A119" s="1385">
        <v>119</v>
      </c>
      <c r="B119" s="1386" t="s">
        <v>1435</v>
      </c>
    </row>
    <row r="120" spans="1:2" s="903" customFormat="1">
      <c r="A120" s="1385">
        <v>120</v>
      </c>
      <c r="B120" s="1386" t="s">
        <v>1436</v>
      </c>
    </row>
    <row r="121" spans="1:2" s="903" customFormat="1">
      <c r="A121" s="1385">
        <v>121</v>
      </c>
      <c r="B121" s="1386" t="s">
        <v>1437</v>
      </c>
    </row>
    <row r="122" spans="1:2" s="903" customFormat="1">
      <c r="A122" s="1385">
        <v>122</v>
      </c>
      <c r="B122" s="1386" t="s">
        <v>1438</v>
      </c>
    </row>
    <row r="123" spans="1:2" s="903" customFormat="1">
      <c r="A123" s="1385">
        <v>123</v>
      </c>
      <c r="B123" s="1386" t="s">
        <v>1439</v>
      </c>
    </row>
    <row r="124" spans="1:2" s="903" customFormat="1" ht="16.899999999999999" customHeight="1">
      <c r="A124" s="1385">
        <v>124</v>
      </c>
      <c r="B124" s="1386" t="s">
        <v>1440</v>
      </c>
    </row>
    <row r="125" spans="1:2" s="903" customFormat="1" ht="16.899999999999999" customHeight="1">
      <c r="A125" s="1385">
        <v>125</v>
      </c>
      <c r="B125" s="1386" t="s">
        <v>1441</v>
      </c>
    </row>
    <row r="126" spans="1:2" s="903" customFormat="1" ht="16.899999999999999" customHeight="1">
      <c r="A126" s="1385">
        <v>126</v>
      </c>
      <c r="B126" s="1386" t="s">
        <v>1442</v>
      </c>
    </row>
    <row r="127" spans="1:2" s="903" customFormat="1" ht="16.899999999999999" customHeight="1">
      <c r="A127" s="1385">
        <v>127</v>
      </c>
      <c r="B127" s="1386" t="s">
        <v>1443</v>
      </c>
    </row>
    <row r="128" spans="1:2" s="903" customFormat="1" ht="16.899999999999999" customHeight="1">
      <c r="A128" s="1385">
        <v>128</v>
      </c>
      <c r="B128" s="1386" t="s">
        <v>1444</v>
      </c>
    </row>
    <row r="129" spans="1:2" s="903" customFormat="1">
      <c r="A129" s="1385">
        <v>129</v>
      </c>
      <c r="B129" s="1386" t="s">
        <v>1445</v>
      </c>
    </row>
    <row r="130" spans="1:2" s="903" customFormat="1">
      <c r="A130" s="1385">
        <v>130</v>
      </c>
      <c r="B130" s="1386" t="s">
        <v>1446</v>
      </c>
    </row>
    <row r="131" spans="1:2" s="903" customFormat="1">
      <c r="A131" s="1385">
        <v>131</v>
      </c>
      <c r="B131" s="1386" t="s">
        <v>1447</v>
      </c>
    </row>
    <row r="132" spans="1:2" s="903" customFormat="1">
      <c r="A132" s="1385">
        <v>132</v>
      </c>
      <c r="B132" s="1386" t="s">
        <v>1448</v>
      </c>
    </row>
    <row r="133" spans="1:2" s="903" customFormat="1">
      <c r="A133" s="1385">
        <v>133</v>
      </c>
      <c r="B133" s="1386" t="s">
        <v>1449</v>
      </c>
    </row>
    <row r="134" spans="1:2" s="903" customFormat="1">
      <c r="A134" s="1385">
        <v>134</v>
      </c>
      <c r="B134" s="1386" t="s">
        <v>1450</v>
      </c>
    </row>
    <row r="135" spans="1:2" s="903" customFormat="1">
      <c r="A135" s="1385">
        <v>135</v>
      </c>
      <c r="B135" s="1386" t="s">
        <v>1451</v>
      </c>
    </row>
    <row r="136" spans="1:2" s="903" customFormat="1">
      <c r="A136" s="1385">
        <v>136</v>
      </c>
      <c r="B136" s="1386" t="s">
        <v>1452</v>
      </c>
    </row>
    <row r="137" spans="1:2" s="903" customFormat="1">
      <c r="A137" s="1385">
        <v>137</v>
      </c>
      <c r="B137" s="1386" t="s">
        <v>1453</v>
      </c>
    </row>
    <row r="138" spans="1:2" s="903" customFormat="1">
      <c r="A138" s="1385">
        <v>138</v>
      </c>
      <c r="B138" s="1386" t="s">
        <v>1454</v>
      </c>
    </row>
    <row r="139" spans="1:2" s="903" customFormat="1">
      <c r="A139" s="1385">
        <v>139</v>
      </c>
      <c r="B139" s="1386" t="s">
        <v>1455</v>
      </c>
    </row>
    <row r="140" spans="1:2" s="903" customFormat="1">
      <c r="A140" s="1385">
        <v>140</v>
      </c>
      <c r="B140" s="1386" t="s">
        <v>1456</v>
      </c>
    </row>
    <row r="141" spans="1:2" s="903" customFormat="1">
      <c r="A141" s="1385">
        <v>141</v>
      </c>
      <c r="B141" s="1386" t="s">
        <v>1457</v>
      </c>
    </row>
    <row r="142" spans="1:2" s="903" customFormat="1">
      <c r="A142" s="1385">
        <v>142</v>
      </c>
      <c r="B142" s="1386" t="s">
        <v>1458</v>
      </c>
    </row>
    <row r="143" spans="1:2" s="903" customFormat="1">
      <c r="A143" s="1385">
        <v>143</v>
      </c>
      <c r="B143" s="1386" t="s">
        <v>1459</v>
      </c>
    </row>
    <row r="144" spans="1:2" s="903" customFormat="1">
      <c r="A144" s="1385">
        <v>144</v>
      </c>
      <c r="B144" s="1386" t="s">
        <v>1460</v>
      </c>
    </row>
    <row r="145" spans="1:2" s="903" customFormat="1">
      <c r="A145" s="1385">
        <v>145</v>
      </c>
      <c r="B145" s="1386" t="s">
        <v>1461</v>
      </c>
    </row>
    <row r="146" spans="1:2" s="903" customFormat="1">
      <c r="A146" s="1385">
        <v>146</v>
      </c>
      <c r="B146" s="1386" t="s">
        <v>1462</v>
      </c>
    </row>
    <row r="147" spans="1:2" s="903" customFormat="1">
      <c r="A147" s="1385">
        <v>147</v>
      </c>
      <c r="B147" s="1386" t="s">
        <v>1463</v>
      </c>
    </row>
    <row r="148" spans="1:2" s="903" customFormat="1">
      <c r="A148" s="1385">
        <v>148</v>
      </c>
      <c r="B148" s="1386" t="s">
        <v>1464</v>
      </c>
    </row>
    <row r="149" spans="1:2" s="903" customFormat="1">
      <c r="A149" s="1385">
        <v>149</v>
      </c>
      <c r="B149" s="1386" t="s">
        <v>1465</v>
      </c>
    </row>
    <row r="150" spans="1:2" s="903" customFormat="1">
      <c r="A150" s="1385">
        <v>150</v>
      </c>
      <c r="B150" s="1386" t="s">
        <v>1466</v>
      </c>
    </row>
    <row r="151" spans="1:2" s="903" customFormat="1">
      <c r="A151" s="1385">
        <v>151</v>
      </c>
      <c r="B151" s="1386" t="s">
        <v>1467</v>
      </c>
    </row>
    <row r="152" spans="1:2" s="903" customFormat="1">
      <c r="A152" s="1385">
        <v>152</v>
      </c>
      <c r="B152" s="1386" t="s">
        <v>1468</v>
      </c>
    </row>
    <row r="153" spans="1:2" s="903" customFormat="1">
      <c r="A153" s="1385">
        <v>153</v>
      </c>
      <c r="B153" s="1386" t="s">
        <v>1469</v>
      </c>
    </row>
    <row r="154" spans="1:2" s="903" customFormat="1">
      <c r="A154" s="1385">
        <v>154</v>
      </c>
      <c r="B154" s="1386" t="s">
        <v>1470</v>
      </c>
    </row>
    <row r="155" spans="1:2" s="903" customFormat="1">
      <c r="A155" s="1385">
        <v>155</v>
      </c>
      <c r="B155" s="1386" t="s">
        <v>1471</v>
      </c>
    </row>
    <row r="156" spans="1:2" s="903" customFormat="1">
      <c r="A156" s="1385">
        <v>156</v>
      </c>
      <c r="B156" s="1386" t="s">
        <v>1472</v>
      </c>
    </row>
    <row r="157" spans="1:2" s="903" customFormat="1">
      <c r="A157" s="1385">
        <v>157</v>
      </c>
      <c r="B157" s="1386" t="s">
        <v>1473</v>
      </c>
    </row>
    <row r="158" spans="1:2" s="903" customFormat="1">
      <c r="A158" s="1385">
        <v>158</v>
      </c>
      <c r="B158" s="1386" t="s">
        <v>1474</v>
      </c>
    </row>
    <row r="159" spans="1:2" s="903" customFormat="1" ht="13.15" customHeight="1">
      <c r="A159" s="1385">
        <v>159</v>
      </c>
      <c r="B159" s="1386" t="s">
        <v>1475</v>
      </c>
    </row>
    <row r="160" spans="1:2" s="903" customFormat="1">
      <c r="A160" s="1385">
        <v>160</v>
      </c>
      <c r="B160" s="1386" t="s">
        <v>1476</v>
      </c>
    </row>
    <row r="161" spans="1:2" s="903" customFormat="1">
      <c r="A161" s="1385">
        <v>161</v>
      </c>
      <c r="B161" s="1386" t="s">
        <v>1477</v>
      </c>
    </row>
    <row r="162" spans="1:2" s="903" customFormat="1">
      <c r="A162" s="1387">
        <v>162</v>
      </c>
      <c r="B162" s="1386" t="s">
        <v>1478</v>
      </c>
    </row>
    <row r="163" spans="1:2" s="903" customFormat="1">
      <c r="A163" s="1387">
        <v>163</v>
      </c>
      <c r="B163" s="1386" t="s">
        <v>1479</v>
      </c>
    </row>
    <row r="164" spans="1:2" s="903" customFormat="1">
      <c r="A164" s="1387">
        <v>164</v>
      </c>
      <c r="B164" s="1386" t="s">
        <v>1480</v>
      </c>
    </row>
    <row r="165" spans="1:2" s="903" customFormat="1">
      <c r="A165" s="1387">
        <v>165</v>
      </c>
      <c r="B165" s="1386" t="s">
        <v>1481</v>
      </c>
    </row>
    <row r="166" spans="1:2" s="903" customFormat="1">
      <c r="A166" s="1387">
        <v>166</v>
      </c>
      <c r="B166" s="1386" t="s">
        <v>1482</v>
      </c>
    </row>
    <row r="167" spans="1:2" s="903" customFormat="1">
      <c r="A167" s="1387">
        <v>167</v>
      </c>
      <c r="B167" s="1386" t="s">
        <v>1483</v>
      </c>
    </row>
    <row r="168" spans="1:2" s="903" customFormat="1">
      <c r="A168" s="1387">
        <v>168</v>
      </c>
      <c r="B168" s="1386" t="s">
        <v>2990</v>
      </c>
    </row>
    <row r="169" spans="1:2" s="903" customFormat="1">
      <c r="A169" s="1387">
        <v>168</v>
      </c>
      <c r="B169" s="1386" t="s">
        <v>2900</v>
      </c>
    </row>
    <row r="170" spans="1:2" s="903" customFormat="1">
      <c r="A170" s="1387">
        <v>169</v>
      </c>
      <c r="B170" s="1386" t="s">
        <v>1484</v>
      </c>
    </row>
    <row r="171" spans="1:2" s="903" customFormat="1">
      <c r="A171" s="1387">
        <v>170</v>
      </c>
      <c r="B171" s="1386" t="s">
        <v>1485</v>
      </c>
    </row>
    <row r="172" spans="1:2" s="903" customFormat="1">
      <c r="A172" s="1387">
        <v>171</v>
      </c>
      <c r="B172" s="1386" t="s">
        <v>1486</v>
      </c>
    </row>
    <row r="173" spans="1:2" s="903" customFormat="1">
      <c r="A173" s="1387">
        <v>172</v>
      </c>
      <c r="B173" s="1386" t="s">
        <v>1487</v>
      </c>
    </row>
    <row r="174" spans="1:2" s="903" customFormat="1">
      <c r="A174" s="1387">
        <v>173</v>
      </c>
      <c r="B174" s="1386" t="s">
        <v>2991</v>
      </c>
    </row>
    <row r="175" spans="1:2" s="903" customFormat="1">
      <c r="A175" s="1387">
        <v>174</v>
      </c>
      <c r="B175" s="1386" t="s">
        <v>1488</v>
      </c>
    </row>
    <row r="176" spans="1:2" s="903" customFormat="1">
      <c r="A176" s="1387">
        <v>175</v>
      </c>
      <c r="B176" s="1386" t="s">
        <v>1489</v>
      </c>
    </row>
    <row r="177" spans="1:2" s="903" customFormat="1">
      <c r="A177" s="1387">
        <v>176</v>
      </c>
      <c r="B177" s="1386" t="s">
        <v>1490</v>
      </c>
    </row>
    <row r="178" spans="1:2" s="903" customFormat="1">
      <c r="A178" s="1387">
        <v>180</v>
      </c>
      <c r="B178" s="1386" t="s">
        <v>1491</v>
      </c>
    </row>
    <row r="179" spans="1:2" s="903" customFormat="1">
      <c r="A179" s="1387">
        <v>181</v>
      </c>
      <c r="B179" s="1386" t="s">
        <v>1492</v>
      </c>
    </row>
    <row r="180" spans="1:2" s="903" customFormat="1">
      <c r="A180" s="1387">
        <v>182</v>
      </c>
      <c r="B180" s="1386" t="s">
        <v>1324</v>
      </c>
    </row>
    <row r="181" spans="1:2" s="903" customFormat="1">
      <c r="A181" s="1387">
        <v>183</v>
      </c>
      <c r="B181" s="1386" t="s">
        <v>1493</v>
      </c>
    </row>
    <row r="182" spans="1:2">
      <c r="A182" s="1387">
        <v>184</v>
      </c>
      <c r="B182" s="1388" t="s">
        <v>1494</v>
      </c>
    </row>
    <row r="183" spans="1:2">
      <c r="A183" s="1387">
        <v>185</v>
      </c>
      <c r="B183" s="1388" t="s">
        <v>2992</v>
      </c>
    </row>
    <row r="184" spans="1:2">
      <c r="A184" s="1387">
        <v>186</v>
      </c>
      <c r="B184" s="1388" t="s">
        <v>2993</v>
      </c>
    </row>
    <row r="185" spans="1:2">
      <c r="A185" s="1387">
        <v>187</v>
      </c>
      <c r="B185" s="1388" t="s">
        <v>2994</v>
      </c>
    </row>
    <row r="186" spans="1:2">
      <c r="A186" s="1387">
        <v>188</v>
      </c>
      <c r="B186" s="1388" t="s">
        <v>2995</v>
      </c>
    </row>
    <row r="187" spans="1:2">
      <c r="A187" s="1387">
        <v>189</v>
      </c>
      <c r="B187" s="1388" t="s">
        <v>2996</v>
      </c>
    </row>
    <row r="188" spans="1:2" s="889" customFormat="1">
      <c r="A188" s="1387">
        <v>190</v>
      </c>
      <c r="B188" s="1389" t="s">
        <v>2997</v>
      </c>
    </row>
    <row r="189" spans="1:2">
      <c r="A189" s="1387">
        <v>191</v>
      </c>
      <c r="B189" s="1388" t="s">
        <v>2998</v>
      </c>
    </row>
    <row r="190" spans="1:2">
      <c r="A190" s="1387">
        <v>192</v>
      </c>
      <c r="B190" s="1388" t="s">
        <v>2999</v>
      </c>
    </row>
    <row r="191" spans="1:2">
      <c r="A191" s="1387">
        <v>193</v>
      </c>
      <c r="B191" s="1388" t="s">
        <v>3000</v>
      </c>
    </row>
    <row r="192" spans="1:2">
      <c r="A192" s="1387">
        <v>194</v>
      </c>
      <c r="B192" s="1388" t="s">
        <v>3001</v>
      </c>
    </row>
    <row r="193" spans="1:2">
      <c r="A193" s="1387">
        <v>195</v>
      </c>
      <c r="B193" s="1388" t="s">
        <v>3002</v>
      </c>
    </row>
    <row r="194" spans="1:2">
      <c r="A194" s="1387">
        <v>196</v>
      </c>
      <c r="B194" s="1388" t="s">
        <v>3003</v>
      </c>
    </row>
    <row r="195" spans="1:2">
      <c r="A195" s="1387">
        <v>197</v>
      </c>
      <c r="B195" s="1388" t="s">
        <v>3004</v>
      </c>
    </row>
    <row r="196" spans="1:2">
      <c r="A196" s="1387">
        <v>198</v>
      </c>
      <c r="B196" s="1388" t="s">
        <v>3005</v>
      </c>
    </row>
    <row r="197" spans="1:2">
      <c r="A197" s="1387">
        <v>199</v>
      </c>
      <c r="B197" s="1388" t="s">
        <v>3006</v>
      </c>
    </row>
    <row r="198" spans="1:2">
      <c r="A198" s="1387">
        <v>200</v>
      </c>
      <c r="B198" s="1388" t="s">
        <v>3007</v>
      </c>
    </row>
    <row r="199" spans="1:2">
      <c r="A199" s="1387">
        <v>201</v>
      </c>
      <c r="B199" s="1388" t="s">
        <v>3008</v>
      </c>
    </row>
    <row r="200" spans="1:2">
      <c r="A200" s="1387">
        <v>202</v>
      </c>
      <c r="B200" s="1388" t="s">
        <v>3009</v>
      </c>
    </row>
    <row r="201" spans="1:2">
      <c r="A201" s="1387">
        <v>203</v>
      </c>
      <c r="B201" s="1388" t="s">
        <v>3010</v>
      </c>
    </row>
    <row r="202" spans="1:2">
      <c r="A202" s="1387">
        <v>204</v>
      </c>
      <c r="B202" s="1388" t="s">
        <v>3011</v>
      </c>
    </row>
    <row r="203" spans="1:2">
      <c r="A203" s="1387">
        <v>205</v>
      </c>
      <c r="B203" s="1388" t="s">
        <v>3012</v>
      </c>
    </row>
    <row r="204" spans="1:2">
      <c r="A204" s="1387">
        <v>206</v>
      </c>
      <c r="B204" s="1388" t="s">
        <v>3013</v>
      </c>
    </row>
    <row r="205" spans="1:2">
      <c r="A205" s="1387">
        <v>207</v>
      </c>
      <c r="B205" s="1388" t="s">
        <v>3014</v>
      </c>
    </row>
    <row r="206" spans="1:2">
      <c r="A206" s="1387">
        <v>208</v>
      </c>
      <c r="B206" s="1388" t="s">
        <v>3015</v>
      </c>
    </row>
    <row r="207" spans="1:2">
      <c r="A207" s="1387">
        <v>209</v>
      </c>
      <c r="B207" s="1388" t="s">
        <v>3016</v>
      </c>
    </row>
    <row r="208" spans="1:2">
      <c r="A208" s="1387">
        <v>210</v>
      </c>
      <c r="B208" s="1388" t="s">
        <v>3017</v>
      </c>
    </row>
    <row r="209" spans="1:2">
      <c r="A209" s="1387">
        <v>211</v>
      </c>
      <c r="B209" s="1388" t="s">
        <v>3018</v>
      </c>
    </row>
    <row r="210" spans="1:2">
      <c r="A210" s="1387">
        <v>212</v>
      </c>
      <c r="B210" s="1388" t="s">
        <v>3019</v>
      </c>
    </row>
    <row r="211" spans="1:2">
      <c r="A211" s="1387">
        <v>213</v>
      </c>
      <c r="B211" s="1388" t="s">
        <v>3020</v>
      </c>
    </row>
    <row r="212" spans="1:2">
      <c r="A212" s="1387">
        <v>214</v>
      </c>
      <c r="B212" s="1388" t="s">
        <v>3021</v>
      </c>
    </row>
    <row r="213" spans="1:2">
      <c r="A213" s="1387">
        <v>215</v>
      </c>
      <c r="B213" s="1388" t="s">
        <v>3022</v>
      </c>
    </row>
    <row r="214" spans="1:2">
      <c r="A214" s="1387">
        <v>216</v>
      </c>
      <c r="B214" s="1388" t="s">
        <v>3023</v>
      </c>
    </row>
    <row r="215" spans="1:2">
      <c r="A215" s="1387">
        <v>217</v>
      </c>
      <c r="B215" s="1388" t="s">
        <v>3024</v>
      </c>
    </row>
    <row r="216" spans="1:2">
      <c r="A216" s="1387">
        <v>218</v>
      </c>
      <c r="B216" s="1388" t="s">
        <v>3025</v>
      </c>
    </row>
    <row r="217" spans="1:2">
      <c r="A217" s="1387">
        <v>219</v>
      </c>
      <c r="B217" s="1388" t="s">
        <v>3026</v>
      </c>
    </row>
    <row r="218" spans="1:2">
      <c r="A218" s="1387">
        <v>220</v>
      </c>
      <c r="B218" s="1388" t="s">
        <v>3027</v>
      </c>
    </row>
    <row r="219" spans="1:2">
      <c r="A219" s="1387">
        <v>221</v>
      </c>
      <c r="B219" s="1388" t="s">
        <v>3028</v>
      </c>
    </row>
    <row r="220" spans="1:2">
      <c r="A220" s="1387">
        <v>222</v>
      </c>
      <c r="B220" s="1388" t="s">
        <v>3029</v>
      </c>
    </row>
    <row r="221" spans="1:2">
      <c r="A221" s="1387">
        <v>223</v>
      </c>
      <c r="B221" s="1388" t="s">
        <v>3030</v>
      </c>
    </row>
    <row r="222" spans="1:2">
      <c r="A222" s="1387">
        <v>224</v>
      </c>
      <c r="B222" s="1388" t="s">
        <v>3031</v>
      </c>
    </row>
    <row r="223" spans="1:2">
      <c r="A223" s="1387">
        <v>225</v>
      </c>
      <c r="B223" s="1388" t="s">
        <v>3032</v>
      </c>
    </row>
    <row r="224" spans="1:2">
      <c r="A224" s="1387">
        <v>226</v>
      </c>
      <c r="B224" s="1388" t="s">
        <v>3033</v>
      </c>
    </row>
    <row r="225" spans="1:2">
      <c r="A225" s="1387">
        <v>227</v>
      </c>
      <c r="B225" s="1388" t="s">
        <v>3034</v>
      </c>
    </row>
    <row r="226" spans="1:2">
      <c r="A226" s="1387">
        <v>228</v>
      </c>
      <c r="B226" s="1388" t="s">
        <v>3035</v>
      </c>
    </row>
    <row r="227" spans="1:2">
      <c r="A227" s="1387">
        <v>229</v>
      </c>
      <c r="B227" s="1388" t="s">
        <v>3036</v>
      </c>
    </row>
    <row r="228" spans="1:2">
      <c r="A228" s="1387">
        <v>230</v>
      </c>
      <c r="B228" s="1388" t="s">
        <v>3037</v>
      </c>
    </row>
    <row r="229" spans="1:2">
      <c r="A229" s="1387">
        <v>231</v>
      </c>
      <c r="B229" s="1388" t="s">
        <v>3038</v>
      </c>
    </row>
    <row r="230" spans="1:2">
      <c r="A230" s="1387">
        <v>232</v>
      </c>
      <c r="B230" s="1388" t="s">
        <v>3039</v>
      </c>
    </row>
    <row r="231" spans="1:2">
      <c r="A231" s="1387">
        <v>233</v>
      </c>
      <c r="B231" s="1388" t="s">
        <v>3040</v>
      </c>
    </row>
    <row r="232" spans="1:2">
      <c r="A232" s="1387">
        <v>234</v>
      </c>
      <c r="B232" s="1388" t="s">
        <v>3041</v>
      </c>
    </row>
    <row r="233" spans="1:2">
      <c r="A233" s="1387">
        <v>235</v>
      </c>
      <c r="B233" s="1388" t="s">
        <v>3042</v>
      </c>
    </row>
    <row r="234" spans="1:2">
      <c r="A234" s="1387">
        <v>236</v>
      </c>
      <c r="B234" s="1388" t="s">
        <v>3043</v>
      </c>
    </row>
    <row r="235" spans="1:2">
      <c r="A235" s="1387">
        <v>237</v>
      </c>
      <c r="B235" s="1388" t="s">
        <v>3044</v>
      </c>
    </row>
    <row r="236" spans="1:2">
      <c r="A236" s="1387">
        <v>238</v>
      </c>
      <c r="B236" s="1388" t="s">
        <v>3045</v>
      </c>
    </row>
    <row r="237" spans="1:2">
      <c r="A237" s="1387">
        <v>239</v>
      </c>
      <c r="B237" s="1388" t="s">
        <v>3046</v>
      </c>
    </row>
    <row r="238" spans="1:2">
      <c r="A238" s="1387">
        <v>240</v>
      </c>
      <c r="B238" s="1388" t="s">
        <v>3047</v>
      </c>
    </row>
    <row r="239" spans="1:2">
      <c r="A239" s="1387">
        <v>241</v>
      </c>
      <c r="B239" s="1388" t="s">
        <v>3048</v>
      </c>
    </row>
    <row r="240" spans="1:2">
      <c r="A240" s="1387">
        <v>242</v>
      </c>
      <c r="B240" s="1388" t="s">
        <v>3049</v>
      </c>
    </row>
    <row r="241" spans="1:2">
      <c r="A241" s="1387">
        <v>243</v>
      </c>
      <c r="B241" s="1388" t="s">
        <v>3050</v>
      </c>
    </row>
    <row r="242" spans="1:2">
      <c r="A242" s="1387">
        <v>244</v>
      </c>
      <c r="B242" s="1388" t="s">
        <v>3051</v>
      </c>
    </row>
    <row r="243" spans="1:2">
      <c r="A243" s="1387">
        <v>245</v>
      </c>
      <c r="B243" s="1388" t="s">
        <v>3052</v>
      </c>
    </row>
    <row r="244" spans="1:2">
      <c r="A244" s="1387">
        <v>246</v>
      </c>
      <c r="B244" s="1388" t="s">
        <v>3053</v>
      </c>
    </row>
    <row r="245" spans="1:2">
      <c r="A245" s="1387">
        <v>247</v>
      </c>
      <c r="B245" s="1388" t="s">
        <v>3054</v>
      </c>
    </row>
    <row r="246" spans="1:2">
      <c r="A246" s="1387">
        <v>248</v>
      </c>
      <c r="B246" s="1388" t="s">
        <v>3055</v>
      </c>
    </row>
    <row r="247" spans="1:2">
      <c r="A247" s="1387">
        <v>249</v>
      </c>
      <c r="B247" s="1388" t="s">
        <v>3056</v>
      </c>
    </row>
    <row r="248" spans="1:2">
      <c r="A248" s="1387">
        <v>250</v>
      </c>
      <c r="B248" s="1388" t="s">
        <v>3057</v>
      </c>
    </row>
    <row r="249" spans="1:2">
      <c r="A249" s="1387">
        <v>251</v>
      </c>
      <c r="B249" s="1388" t="s">
        <v>3058</v>
      </c>
    </row>
    <row r="250" spans="1:2">
      <c r="A250" s="1387">
        <v>252</v>
      </c>
      <c r="B250" s="1388" t="s">
        <v>3059</v>
      </c>
    </row>
    <row r="251" spans="1:2">
      <c r="A251" s="1387">
        <v>253</v>
      </c>
      <c r="B251" s="1388" t="s">
        <v>3060</v>
      </c>
    </row>
    <row r="252" spans="1:2">
      <c r="A252" s="1387">
        <v>254</v>
      </c>
      <c r="B252" s="1388" t="s">
        <v>3061</v>
      </c>
    </row>
    <row r="253" spans="1:2">
      <c r="A253" s="1387">
        <v>255</v>
      </c>
      <c r="B253" s="1388" t="s">
        <v>3062</v>
      </c>
    </row>
    <row r="254" spans="1:2">
      <c r="A254" s="1387">
        <v>256</v>
      </c>
      <c r="B254" s="1388" t="s">
        <v>3063</v>
      </c>
    </row>
    <row r="255" spans="1:2">
      <c r="A255" s="1387">
        <v>257</v>
      </c>
      <c r="B255" s="1388" t="s">
        <v>3064</v>
      </c>
    </row>
    <row r="256" spans="1:2">
      <c r="A256" s="1387">
        <v>258</v>
      </c>
      <c r="B256" s="1388" t="s">
        <v>3065</v>
      </c>
    </row>
    <row r="257" spans="1:2">
      <c r="A257" s="1387">
        <v>259</v>
      </c>
      <c r="B257" s="1388" t="s">
        <v>3066</v>
      </c>
    </row>
    <row r="258" spans="1:2">
      <c r="A258" s="1387">
        <v>260</v>
      </c>
      <c r="B258" s="1388" t="s">
        <v>3067</v>
      </c>
    </row>
    <row r="259" spans="1:2">
      <c r="A259" s="1387">
        <v>261</v>
      </c>
      <c r="B259" s="1388" t="s">
        <v>3068</v>
      </c>
    </row>
    <row r="260" spans="1:2">
      <c r="A260" s="1387">
        <v>262</v>
      </c>
      <c r="B260" s="1388" t="s">
        <v>3069</v>
      </c>
    </row>
    <row r="261" spans="1:2">
      <c r="A261" s="1387">
        <v>263</v>
      </c>
      <c r="B261" s="1388" t="s">
        <v>3070</v>
      </c>
    </row>
    <row r="262" spans="1:2">
      <c r="A262" s="1387">
        <v>264</v>
      </c>
      <c r="B262" s="1388" t="s">
        <v>3071</v>
      </c>
    </row>
    <row r="263" spans="1:2">
      <c r="A263" s="1387">
        <v>265</v>
      </c>
      <c r="B263" s="1388" t="s">
        <v>3072</v>
      </c>
    </row>
    <row r="264" spans="1:2">
      <c r="A264" s="1387">
        <v>266</v>
      </c>
      <c r="B264" s="1388" t="s">
        <v>3073</v>
      </c>
    </row>
    <row r="265" spans="1:2">
      <c r="A265" s="1387">
        <v>267</v>
      </c>
      <c r="B265" s="1388" t="s">
        <v>3074</v>
      </c>
    </row>
    <row r="266" spans="1:2">
      <c r="A266" s="1387">
        <v>268</v>
      </c>
      <c r="B266" s="1388" t="s">
        <v>3075</v>
      </c>
    </row>
    <row r="267" spans="1:2">
      <c r="A267" s="1387">
        <v>269</v>
      </c>
      <c r="B267" s="1388" t="s">
        <v>3076</v>
      </c>
    </row>
    <row r="268" spans="1:2">
      <c r="A268" s="1387">
        <v>270</v>
      </c>
      <c r="B268" s="1388" t="s">
        <v>3077</v>
      </c>
    </row>
    <row r="269" spans="1:2">
      <c r="A269" s="1387">
        <v>271</v>
      </c>
      <c r="B269" s="1388" t="s">
        <v>3078</v>
      </c>
    </row>
    <row r="270" spans="1:2">
      <c r="A270" s="1387">
        <v>272</v>
      </c>
      <c r="B270" s="1388" t="s">
        <v>3079</v>
      </c>
    </row>
    <row r="271" spans="1:2">
      <c r="A271" s="1387">
        <v>273</v>
      </c>
      <c r="B271" s="1388" t="s">
        <v>3080</v>
      </c>
    </row>
    <row r="272" spans="1:2">
      <c r="A272" s="1387">
        <v>274</v>
      </c>
      <c r="B272" s="1388" t="s">
        <v>3081</v>
      </c>
    </row>
    <row r="273" spans="1:2">
      <c r="A273" s="1387">
        <v>275</v>
      </c>
      <c r="B273" s="1388" t="s">
        <v>3082</v>
      </c>
    </row>
    <row r="274" spans="1:2">
      <c r="A274" s="1387">
        <v>276</v>
      </c>
      <c r="B274" s="1388" t="s">
        <v>3083</v>
      </c>
    </row>
    <row r="275" spans="1:2">
      <c r="A275" s="1387">
        <v>277</v>
      </c>
      <c r="B275" s="1388" t="s">
        <v>3084</v>
      </c>
    </row>
    <row r="276" spans="1:2">
      <c r="A276" s="1387">
        <v>278</v>
      </c>
      <c r="B276" s="1388" t="s">
        <v>3085</v>
      </c>
    </row>
    <row r="277" spans="1:2">
      <c r="A277" s="1387">
        <v>279</v>
      </c>
      <c r="B277" s="1388" t="s">
        <v>3086</v>
      </c>
    </row>
    <row r="278" spans="1:2">
      <c r="A278" s="1387">
        <v>280</v>
      </c>
      <c r="B278" s="1388" t="s">
        <v>3087</v>
      </c>
    </row>
    <row r="279" spans="1:2">
      <c r="A279" s="1387">
        <v>281</v>
      </c>
      <c r="B279" s="1388" t="s">
        <v>3088</v>
      </c>
    </row>
    <row r="280" spans="1:2">
      <c r="A280" s="1387">
        <v>282</v>
      </c>
      <c r="B280" s="1388" t="s">
        <v>3089</v>
      </c>
    </row>
    <row r="281" spans="1:2">
      <c r="A281" s="1387">
        <v>283</v>
      </c>
      <c r="B281" s="1388" t="s">
        <v>3090</v>
      </c>
    </row>
    <row r="282" spans="1:2">
      <c r="A282" s="1387">
        <v>284</v>
      </c>
      <c r="B282" s="1388" t="s">
        <v>3091</v>
      </c>
    </row>
    <row r="283" spans="1:2">
      <c r="A283" s="1387">
        <v>285</v>
      </c>
      <c r="B283" s="1388" t="s">
        <v>3092</v>
      </c>
    </row>
    <row r="284" spans="1:2">
      <c r="A284" s="1387">
        <v>286</v>
      </c>
      <c r="B284" s="1388" t="s">
        <v>3093</v>
      </c>
    </row>
    <row r="285" spans="1:2">
      <c r="A285" s="1387">
        <v>287</v>
      </c>
      <c r="B285" s="1388" t="s">
        <v>3094</v>
      </c>
    </row>
    <row r="286" spans="1:2">
      <c r="A286" s="1387">
        <v>288</v>
      </c>
      <c r="B286" s="1388" t="s">
        <v>3095</v>
      </c>
    </row>
    <row r="287" spans="1:2">
      <c r="A287" s="1387">
        <v>289</v>
      </c>
      <c r="B287" s="1388" t="s">
        <v>3096</v>
      </c>
    </row>
    <row r="288" spans="1:2">
      <c r="A288" s="1387">
        <v>290</v>
      </c>
      <c r="B288" s="1388" t="s">
        <v>3097</v>
      </c>
    </row>
    <row r="289" spans="1:2">
      <c r="A289" s="1387">
        <v>291</v>
      </c>
      <c r="B289" s="1388" t="s">
        <v>3098</v>
      </c>
    </row>
    <row r="290" spans="1:2">
      <c r="A290" s="1387">
        <v>292</v>
      </c>
      <c r="B290" s="1388" t="s">
        <v>3099</v>
      </c>
    </row>
    <row r="291" spans="1:2">
      <c r="A291" s="1387">
        <v>293</v>
      </c>
      <c r="B291" s="1388" t="s">
        <v>3100</v>
      </c>
    </row>
    <row r="292" spans="1:2">
      <c r="A292" s="1387">
        <v>294</v>
      </c>
      <c r="B292" s="1388" t="s">
        <v>3101</v>
      </c>
    </row>
    <row r="293" spans="1:2">
      <c r="A293" s="1387">
        <v>295</v>
      </c>
      <c r="B293" s="1388" t="s">
        <v>3102</v>
      </c>
    </row>
    <row r="294" spans="1:2">
      <c r="A294" s="1387">
        <v>296</v>
      </c>
      <c r="B294" s="1388" t="s">
        <v>3103</v>
      </c>
    </row>
    <row r="295" spans="1:2">
      <c r="A295" s="1387">
        <v>297</v>
      </c>
      <c r="B295" s="1388" t="s">
        <v>3104</v>
      </c>
    </row>
    <row r="296" spans="1:2">
      <c r="A296" s="1387">
        <v>298</v>
      </c>
      <c r="B296" s="1388" t="s">
        <v>3105</v>
      </c>
    </row>
    <row r="297" spans="1:2">
      <c r="A297" s="1387">
        <v>299</v>
      </c>
      <c r="B297" s="1388" t="s">
        <v>3106</v>
      </c>
    </row>
    <row r="298" spans="1:2">
      <c r="A298" s="1387">
        <v>300</v>
      </c>
      <c r="B298" s="1388" t="s">
        <v>3107</v>
      </c>
    </row>
    <row r="299" spans="1:2">
      <c r="A299" s="1387">
        <v>301</v>
      </c>
      <c r="B299" s="1388" t="s">
        <v>3108</v>
      </c>
    </row>
    <row r="300" spans="1:2">
      <c r="A300" s="1387">
        <v>302</v>
      </c>
      <c r="B300" s="1388" t="s">
        <v>3109</v>
      </c>
    </row>
    <row r="301" spans="1:2">
      <c r="A301" s="1387">
        <v>303</v>
      </c>
      <c r="B301" s="1388" t="s">
        <v>3110</v>
      </c>
    </row>
    <row r="302" spans="1:2">
      <c r="A302" s="1387">
        <v>304</v>
      </c>
      <c r="B302" s="1388" t="s">
        <v>3111</v>
      </c>
    </row>
    <row r="303" spans="1:2">
      <c r="A303" s="1387">
        <v>305</v>
      </c>
      <c r="B303" s="1388" t="s">
        <v>3112</v>
      </c>
    </row>
    <row r="304" spans="1:2">
      <c r="A304" s="1387">
        <v>306</v>
      </c>
      <c r="B304" s="1388" t="s">
        <v>3113</v>
      </c>
    </row>
    <row r="305" spans="1:2">
      <c r="A305" s="1387">
        <v>307</v>
      </c>
      <c r="B305" s="1388" t="s">
        <v>3114</v>
      </c>
    </row>
    <row r="306" spans="1:2">
      <c r="A306" s="1387">
        <v>308</v>
      </c>
      <c r="B306" s="1388" t="s">
        <v>3115</v>
      </c>
    </row>
    <row r="307" spans="1:2">
      <c r="A307" s="1387">
        <v>309</v>
      </c>
      <c r="B307" s="1388" t="s">
        <v>3116</v>
      </c>
    </row>
    <row r="308" spans="1:2">
      <c r="A308" s="1387">
        <v>310</v>
      </c>
      <c r="B308" s="1388" t="s">
        <v>3117</v>
      </c>
    </row>
    <row r="309" spans="1:2">
      <c r="A309" s="1387">
        <v>311</v>
      </c>
      <c r="B309" s="1388" t="s">
        <v>3118</v>
      </c>
    </row>
    <row r="310" spans="1:2">
      <c r="A310" s="1387">
        <v>312</v>
      </c>
      <c r="B310" s="1388" t="s">
        <v>3119</v>
      </c>
    </row>
    <row r="311" spans="1:2">
      <c r="A311" s="1387">
        <v>313</v>
      </c>
      <c r="B311" s="1388" t="s">
        <v>3120</v>
      </c>
    </row>
    <row r="312" spans="1:2">
      <c r="A312" s="1387">
        <v>314</v>
      </c>
      <c r="B312" s="1388" t="s">
        <v>3121</v>
      </c>
    </row>
    <row r="313" spans="1:2">
      <c r="A313" s="1387">
        <v>315</v>
      </c>
      <c r="B313" s="1388" t="s">
        <v>3122</v>
      </c>
    </row>
    <row r="314" spans="1:2">
      <c r="A314" s="1387">
        <v>316</v>
      </c>
      <c r="B314" s="1388" t="s">
        <v>3123</v>
      </c>
    </row>
    <row r="315" spans="1:2">
      <c r="A315" s="1387">
        <v>317</v>
      </c>
      <c r="B315" s="1388" t="s">
        <v>3124</v>
      </c>
    </row>
    <row r="316" spans="1:2">
      <c r="A316" s="1387">
        <v>318</v>
      </c>
      <c r="B316" s="1388" t="s">
        <v>3125</v>
      </c>
    </row>
    <row r="317" spans="1:2">
      <c r="A317" s="1387">
        <v>319</v>
      </c>
      <c r="B317" s="1388" t="s">
        <v>3126</v>
      </c>
    </row>
    <row r="318" spans="1:2">
      <c r="A318" s="1387">
        <v>320</v>
      </c>
      <c r="B318" s="1388" t="s">
        <v>3127</v>
      </c>
    </row>
    <row r="319" spans="1:2">
      <c r="A319" s="1387">
        <v>321</v>
      </c>
      <c r="B319" s="1388" t="s">
        <v>3128</v>
      </c>
    </row>
    <row r="320" spans="1:2">
      <c r="A320" s="1387">
        <v>322</v>
      </c>
      <c r="B320" s="1388" t="s">
        <v>3129</v>
      </c>
    </row>
    <row r="321" spans="1:2">
      <c r="A321" s="1387">
        <v>323</v>
      </c>
      <c r="B321" s="1388" t="s">
        <v>3130</v>
      </c>
    </row>
    <row r="322" spans="1:2">
      <c r="A322" s="1387">
        <v>324</v>
      </c>
      <c r="B322" s="1388" t="s">
        <v>3131</v>
      </c>
    </row>
    <row r="323" spans="1:2">
      <c r="A323" s="1387">
        <v>325</v>
      </c>
      <c r="B323" s="1388" t="s">
        <v>3132</v>
      </c>
    </row>
    <row r="324" spans="1:2">
      <c r="A324" s="1387">
        <v>326</v>
      </c>
      <c r="B324" s="1388" t="s">
        <v>3133</v>
      </c>
    </row>
    <row r="325" spans="1:2">
      <c r="A325" s="1387">
        <v>327</v>
      </c>
      <c r="B325" s="1388" t="s">
        <v>3134</v>
      </c>
    </row>
    <row r="326" spans="1:2">
      <c r="A326" s="1387">
        <v>328</v>
      </c>
      <c r="B326" s="1388" t="s">
        <v>3135</v>
      </c>
    </row>
    <row r="327" spans="1:2">
      <c r="A327" s="1387">
        <v>329</v>
      </c>
      <c r="B327" s="1388" t="s">
        <v>3136</v>
      </c>
    </row>
    <row r="328" spans="1:2">
      <c r="A328" s="1387">
        <v>330</v>
      </c>
      <c r="B328" s="1388" t="s">
        <v>3137</v>
      </c>
    </row>
    <row r="329" spans="1:2">
      <c r="A329" s="1387">
        <v>331</v>
      </c>
      <c r="B329" s="1388" t="s">
        <v>3138</v>
      </c>
    </row>
    <row r="330" spans="1:2">
      <c r="A330" s="1387">
        <v>332</v>
      </c>
      <c r="B330" s="1388" t="s">
        <v>3139</v>
      </c>
    </row>
    <row r="331" spans="1:2">
      <c r="A331" s="1387">
        <v>333</v>
      </c>
      <c r="B331" s="1388" t="s">
        <v>3140</v>
      </c>
    </row>
    <row r="332" spans="1:2">
      <c r="A332" s="1387">
        <v>334</v>
      </c>
      <c r="B332" s="1388" t="s">
        <v>3141</v>
      </c>
    </row>
    <row r="333" spans="1:2">
      <c r="A333" s="1387">
        <v>335</v>
      </c>
      <c r="B333" s="1388" t="s">
        <v>3142</v>
      </c>
    </row>
    <row r="334" spans="1:2">
      <c r="A334" s="1387">
        <v>336</v>
      </c>
      <c r="B334" s="1388" t="s">
        <v>3143</v>
      </c>
    </row>
    <row r="335" spans="1:2">
      <c r="A335" s="1387">
        <v>337</v>
      </c>
      <c r="B335" s="1388" t="s">
        <v>3144</v>
      </c>
    </row>
    <row r="336" spans="1:2">
      <c r="A336" s="1387">
        <v>338</v>
      </c>
      <c r="B336" s="1388" t="s">
        <v>3145</v>
      </c>
    </row>
    <row r="337" spans="1:2">
      <c r="A337" s="1387">
        <v>339</v>
      </c>
      <c r="B337" s="1388" t="s">
        <v>3146</v>
      </c>
    </row>
    <row r="338" spans="1:2">
      <c r="A338" s="1387">
        <v>340</v>
      </c>
      <c r="B338" s="1388" t="s">
        <v>3147</v>
      </c>
    </row>
    <row r="339" spans="1:2">
      <c r="A339" s="1387">
        <v>341</v>
      </c>
      <c r="B339" s="1388" t="s">
        <v>3148</v>
      </c>
    </row>
    <row r="340" spans="1:2">
      <c r="A340" s="1387">
        <v>342</v>
      </c>
      <c r="B340" s="1388" t="s">
        <v>3149</v>
      </c>
    </row>
    <row r="341" spans="1:2">
      <c r="A341" s="1387">
        <v>343</v>
      </c>
      <c r="B341" s="1388" t="s">
        <v>3150</v>
      </c>
    </row>
    <row r="342" spans="1:2">
      <c r="A342" s="1387">
        <v>344</v>
      </c>
      <c r="B342" s="1388" t="s">
        <v>3151</v>
      </c>
    </row>
    <row r="343" spans="1:2">
      <c r="A343" s="1387">
        <v>345</v>
      </c>
      <c r="B343" s="1388" t="s">
        <v>3152</v>
      </c>
    </row>
  </sheetData>
  <phoneticPr fontId="15" type="noConversion"/>
  <pageMargins left="0.7" right="0.7" top="0.75" bottom="0.75" header="0.3" footer="0.3"/>
  <pageSetup paperSize="9" fitToHeight="0" orientation="landscape" horizont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A758A-14B9-472E-8DBD-C878480A75C1}">
  <sheetPr codeName="Sheet27">
    <pageSetUpPr fitToPage="1"/>
  </sheetPr>
  <dimension ref="A1:AF346"/>
  <sheetViews>
    <sheetView topLeftCell="A13" zoomScaleNormal="100" workbookViewId="0">
      <selection activeCell="M73" sqref="M73"/>
    </sheetView>
  </sheetViews>
  <sheetFormatPr defaultColWidth="8.75" defaultRowHeight="14.25"/>
  <cols>
    <col min="1" max="1" width="4.375" style="887" bestFit="1" customWidth="1"/>
    <col min="2" max="2" width="10.625" style="888" bestFit="1" customWidth="1"/>
    <col min="3" max="3" width="12.375" style="888" bestFit="1" customWidth="1"/>
    <col min="4" max="4" width="18.375" style="888" bestFit="1" customWidth="1"/>
    <col min="5" max="5" width="5.75" style="889" bestFit="1" customWidth="1"/>
    <col min="6" max="6" width="27.375" style="890" customWidth="1"/>
    <col min="7" max="7" width="10.625" style="889" customWidth="1"/>
    <col min="8" max="8" width="8.625" style="888" customWidth="1"/>
    <col min="9" max="9" width="3.75" style="888" bestFit="1" customWidth="1"/>
    <col min="10" max="10" width="4.375" style="888" bestFit="1" customWidth="1"/>
    <col min="11" max="11" width="49.875" style="888" bestFit="1" customWidth="1"/>
    <col min="12" max="12" width="5.375" style="889" bestFit="1" customWidth="1"/>
    <col min="13" max="15" width="8.75" style="888"/>
    <col min="16" max="16" width="9.25" style="888" customWidth="1"/>
    <col min="17" max="20" width="8.75" style="888"/>
    <col min="21" max="21" width="10.25" style="888" customWidth="1"/>
    <col min="22" max="22" width="10.375" style="888" bestFit="1" customWidth="1"/>
    <col min="23" max="16384" width="8.75" style="888"/>
  </cols>
  <sheetData>
    <row r="1" spans="1:32">
      <c r="C1" s="888" t="s">
        <v>1581</v>
      </c>
    </row>
    <row r="2" spans="1:32" ht="20.65" customHeight="1">
      <c r="A2" s="1701" t="s">
        <v>1582</v>
      </c>
      <c r="B2" s="1702" t="s">
        <v>1583</v>
      </c>
      <c r="C2" s="1703"/>
      <c r="D2" s="1701" t="s">
        <v>1584</v>
      </c>
      <c r="E2" s="1701"/>
      <c r="F2" s="1704" t="s">
        <v>1585</v>
      </c>
      <c r="G2" s="1706" t="s">
        <v>1586</v>
      </c>
      <c r="H2" s="1381" t="s">
        <v>1587</v>
      </c>
      <c r="I2" s="1708" t="s">
        <v>1588</v>
      </c>
      <c r="J2" s="1708"/>
      <c r="K2" s="1701" t="s">
        <v>1589</v>
      </c>
      <c r="L2" s="1704" t="s">
        <v>1590</v>
      </c>
      <c r="M2" s="1709" t="s">
        <v>1591</v>
      </c>
      <c r="N2" s="1710"/>
      <c r="O2" s="1711" t="s">
        <v>1592</v>
      </c>
      <c r="P2" s="1711"/>
      <c r="Q2" s="1712" t="s">
        <v>1593</v>
      </c>
      <c r="R2" s="1699" t="s">
        <v>1594</v>
      </c>
      <c r="S2" s="1715" t="s">
        <v>1595</v>
      </c>
      <c r="T2" s="1716"/>
      <c r="U2" s="1712" t="s">
        <v>1596</v>
      </c>
      <c r="V2" s="1715" t="s">
        <v>1597</v>
      </c>
      <c r="W2" s="1717"/>
      <c r="X2" s="1712" t="s">
        <v>1598</v>
      </c>
      <c r="Y2" s="1718" t="s">
        <v>1599</v>
      </c>
      <c r="Z2" s="1719"/>
      <c r="AA2" s="1719"/>
      <c r="AB2" s="1720"/>
      <c r="AC2" s="1716" t="s">
        <v>1600</v>
      </c>
      <c r="AD2" s="1716"/>
      <c r="AE2" s="1713" t="s">
        <v>1601</v>
      </c>
      <c r="AF2" s="1714"/>
    </row>
    <row r="3" spans="1:32">
      <c r="A3" s="1701"/>
      <c r="B3" s="1382" t="s">
        <v>1602</v>
      </c>
      <c r="C3" s="1382" t="s">
        <v>1603</v>
      </c>
      <c r="D3" s="1381" t="s">
        <v>1604</v>
      </c>
      <c r="E3" s="1381" t="s">
        <v>1605</v>
      </c>
      <c r="F3" s="1705"/>
      <c r="G3" s="1707"/>
      <c r="H3" s="1381" t="s">
        <v>1606</v>
      </c>
      <c r="I3" s="1382" t="s">
        <v>1607</v>
      </c>
      <c r="J3" s="1382" t="s">
        <v>1608</v>
      </c>
      <c r="K3" s="1701"/>
      <c r="L3" s="1705"/>
      <c r="M3" s="1380" t="s">
        <v>1609</v>
      </c>
      <c r="N3" s="891" t="s">
        <v>1610</v>
      </c>
      <c r="O3" s="1384" t="s">
        <v>1611</v>
      </c>
      <c r="P3" s="892" t="s">
        <v>1612</v>
      </c>
      <c r="Q3" s="1712"/>
      <c r="R3" s="1700"/>
      <c r="S3" s="1383" t="s">
        <v>1613</v>
      </c>
      <c r="T3" s="1383" t="s">
        <v>1614</v>
      </c>
      <c r="U3" s="1712"/>
      <c r="V3" s="893" t="s">
        <v>1615</v>
      </c>
      <c r="W3" s="894" t="s">
        <v>1616</v>
      </c>
      <c r="X3" s="1712"/>
      <c r="Y3" s="895" t="s">
        <v>1613</v>
      </c>
      <c r="Z3" s="895" t="s">
        <v>1614</v>
      </c>
      <c r="AA3" s="895" t="s">
        <v>1617</v>
      </c>
      <c r="AB3" s="896" t="s">
        <v>1618</v>
      </c>
      <c r="AC3" s="1384" t="s">
        <v>1619</v>
      </c>
      <c r="AD3" s="1384" t="s">
        <v>1620</v>
      </c>
      <c r="AE3" s="897" t="s">
        <v>1621</v>
      </c>
      <c r="AF3" s="897" t="s">
        <v>1622</v>
      </c>
    </row>
    <row r="4" spans="1:32" s="903" customFormat="1">
      <c r="A4" s="898">
        <v>1</v>
      </c>
      <c r="B4" s="899" t="str">
        <f t="shared" ref="B4:B67" si="0">E4&amp;G4&amp;H4&amp;J4</f>
        <v>MF00M</v>
      </c>
      <c r="C4" s="1382" t="s">
        <v>1602</v>
      </c>
      <c r="D4" s="900" t="s">
        <v>1495</v>
      </c>
      <c r="E4" s="898" t="s">
        <v>1623</v>
      </c>
      <c r="F4" s="900" t="s">
        <v>1624</v>
      </c>
      <c r="G4" s="901" t="s">
        <v>1625</v>
      </c>
      <c r="H4" s="902" t="s">
        <v>1626</v>
      </c>
      <c r="I4" s="902" t="s">
        <v>1627</v>
      </c>
      <c r="J4" s="902"/>
      <c r="K4" s="902"/>
      <c r="L4" s="902"/>
    </row>
    <row r="5" spans="1:32" s="903" customFormat="1">
      <c r="A5" s="904">
        <v>2</v>
      </c>
      <c r="B5" s="905" t="str">
        <f t="shared" si="0"/>
        <v>RF00M</v>
      </c>
      <c r="C5" s="1382" t="s">
        <v>1602</v>
      </c>
      <c r="D5" s="906" t="s">
        <v>1496</v>
      </c>
      <c r="E5" s="904" t="s">
        <v>1628</v>
      </c>
      <c r="F5" s="907" t="s">
        <v>1629</v>
      </c>
      <c r="G5" s="908" t="s">
        <v>1625</v>
      </c>
      <c r="H5" s="909" t="s">
        <v>1626</v>
      </c>
      <c r="I5" s="909" t="s">
        <v>1627</v>
      </c>
      <c r="J5" s="909"/>
      <c r="K5" s="909"/>
      <c r="L5" s="909">
        <v>1</v>
      </c>
    </row>
    <row r="6" spans="1:32" s="903" customFormat="1">
      <c r="A6" s="904">
        <v>3</v>
      </c>
      <c r="B6" s="905" t="str">
        <f t="shared" si="0"/>
        <v>RH00M</v>
      </c>
      <c r="C6" s="1382" t="s">
        <v>1602</v>
      </c>
      <c r="D6" s="906" t="s">
        <v>1497</v>
      </c>
      <c r="E6" s="904" t="s">
        <v>1630</v>
      </c>
      <c r="F6" s="907" t="s">
        <v>1629</v>
      </c>
      <c r="G6" s="908" t="s">
        <v>1625</v>
      </c>
      <c r="H6" s="909" t="s">
        <v>1626</v>
      </c>
      <c r="I6" s="909" t="s">
        <v>1627</v>
      </c>
      <c r="J6" s="909"/>
      <c r="K6" s="905" t="s">
        <v>1631</v>
      </c>
      <c r="L6" s="909">
        <v>2</v>
      </c>
    </row>
    <row r="7" spans="1:32" s="903" customFormat="1">
      <c r="A7" s="904">
        <v>4</v>
      </c>
      <c r="B7" s="905" t="str">
        <f t="shared" si="0"/>
        <v>RQ00M</v>
      </c>
      <c r="C7" s="1382" t="s">
        <v>1602</v>
      </c>
      <c r="D7" s="906" t="s">
        <v>1498</v>
      </c>
      <c r="E7" s="904" t="s">
        <v>1632</v>
      </c>
      <c r="F7" s="907" t="s">
        <v>1629</v>
      </c>
      <c r="G7" s="908" t="s">
        <v>1625</v>
      </c>
      <c r="H7" s="909" t="s">
        <v>1626</v>
      </c>
      <c r="I7" s="909" t="s">
        <v>1627</v>
      </c>
      <c r="J7" s="909"/>
      <c r="K7" s="905" t="s">
        <v>1631</v>
      </c>
      <c r="L7" s="909">
        <v>3</v>
      </c>
    </row>
    <row r="8" spans="1:32" s="903" customFormat="1">
      <c r="A8" s="904">
        <v>5</v>
      </c>
      <c r="B8" s="905" t="str">
        <f t="shared" si="0"/>
        <v>BF10M</v>
      </c>
      <c r="C8" s="1382" t="s">
        <v>1602</v>
      </c>
      <c r="D8" s="906" t="s">
        <v>1499</v>
      </c>
      <c r="E8" s="904" t="s">
        <v>1633</v>
      </c>
      <c r="F8" s="907" t="s">
        <v>1634</v>
      </c>
      <c r="G8" s="909">
        <v>10</v>
      </c>
      <c r="H8" s="909" t="s">
        <v>1626</v>
      </c>
      <c r="I8" s="909" t="s">
        <v>1627</v>
      </c>
      <c r="J8" s="909"/>
      <c r="K8" s="905" t="s">
        <v>1635</v>
      </c>
      <c r="L8" s="909">
        <v>4</v>
      </c>
    </row>
    <row r="9" spans="1:32" s="903" customFormat="1">
      <c r="A9" s="904">
        <v>6</v>
      </c>
      <c r="B9" s="905" t="str">
        <f t="shared" si="0"/>
        <v>BF15M</v>
      </c>
      <c r="C9" s="1382" t="s">
        <v>1602</v>
      </c>
      <c r="D9" s="906" t="s">
        <v>1499</v>
      </c>
      <c r="E9" s="904" t="s">
        <v>1633</v>
      </c>
      <c r="F9" s="907" t="s">
        <v>1634</v>
      </c>
      <c r="G9" s="909">
        <v>15</v>
      </c>
      <c r="H9" s="909" t="s">
        <v>1626</v>
      </c>
      <c r="I9" s="909" t="s">
        <v>1627</v>
      </c>
      <c r="J9" s="909"/>
      <c r="K9" s="905" t="s">
        <v>1635</v>
      </c>
      <c r="L9" s="909">
        <v>4</v>
      </c>
    </row>
    <row r="10" spans="1:32" s="903" customFormat="1">
      <c r="A10" s="904">
        <v>7</v>
      </c>
      <c r="B10" s="905" t="str">
        <f t="shared" si="0"/>
        <v>BF20M</v>
      </c>
      <c r="C10" s="1382" t="s">
        <v>1602</v>
      </c>
      <c r="D10" s="906" t="s">
        <v>1499</v>
      </c>
      <c r="E10" s="904" t="s">
        <v>1633</v>
      </c>
      <c r="F10" s="907" t="s">
        <v>1634</v>
      </c>
      <c r="G10" s="909">
        <v>20</v>
      </c>
      <c r="H10" s="909" t="s">
        <v>1626</v>
      </c>
      <c r="I10" s="909" t="s">
        <v>1627</v>
      </c>
      <c r="J10" s="909"/>
      <c r="K10" s="905" t="s">
        <v>1635</v>
      </c>
      <c r="L10" s="909">
        <v>4</v>
      </c>
    </row>
    <row r="11" spans="1:32" s="903" customFormat="1">
      <c r="A11" s="904">
        <v>8</v>
      </c>
      <c r="B11" s="905" t="str">
        <f t="shared" si="0"/>
        <v>BF25M</v>
      </c>
      <c r="C11" s="1382" t="s">
        <v>1602</v>
      </c>
      <c r="D11" s="906" t="s">
        <v>1499</v>
      </c>
      <c r="E11" s="904" t="s">
        <v>1633</v>
      </c>
      <c r="F11" s="907" t="s">
        <v>1634</v>
      </c>
      <c r="G11" s="909">
        <v>25</v>
      </c>
      <c r="H11" s="909" t="s">
        <v>1626</v>
      </c>
      <c r="I11" s="909" t="s">
        <v>1627</v>
      </c>
      <c r="J11" s="909"/>
      <c r="K11" s="905" t="s">
        <v>1635</v>
      </c>
      <c r="L11" s="909">
        <v>4</v>
      </c>
    </row>
    <row r="12" spans="1:32" s="903" customFormat="1">
      <c r="A12" s="904">
        <v>9</v>
      </c>
      <c r="B12" s="905" t="str">
        <f t="shared" si="0"/>
        <v>BF30M</v>
      </c>
      <c r="C12" s="1382" t="s">
        <v>1602</v>
      </c>
      <c r="D12" s="906" t="s">
        <v>1499</v>
      </c>
      <c r="E12" s="904" t="s">
        <v>1633</v>
      </c>
      <c r="F12" s="907" t="s">
        <v>1634</v>
      </c>
      <c r="G12" s="909">
        <v>30</v>
      </c>
      <c r="H12" s="909" t="s">
        <v>1626</v>
      </c>
      <c r="I12" s="909" t="s">
        <v>1627</v>
      </c>
      <c r="J12" s="909"/>
      <c r="K12" s="905" t="s">
        <v>1635</v>
      </c>
      <c r="L12" s="909">
        <v>4</v>
      </c>
    </row>
    <row r="13" spans="1:32" s="903" customFormat="1">
      <c r="A13" s="904">
        <v>10</v>
      </c>
      <c r="B13" s="905" t="str">
        <f t="shared" si="0"/>
        <v>BF35M</v>
      </c>
      <c r="C13" s="1382" t="s">
        <v>1602</v>
      </c>
      <c r="D13" s="906" t="s">
        <v>1499</v>
      </c>
      <c r="E13" s="904" t="s">
        <v>1633</v>
      </c>
      <c r="F13" s="907" t="s">
        <v>1634</v>
      </c>
      <c r="G13" s="909">
        <v>35</v>
      </c>
      <c r="H13" s="909" t="s">
        <v>1626</v>
      </c>
      <c r="I13" s="909" t="s">
        <v>1627</v>
      </c>
      <c r="J13" s="909"/>
      <c r="K13" s="905" t="s">
        <v>1635</v>
      </c>
      <c r="L13" s="909">
        <v>4</v>
      </c>
    </row>
    <row r="14" spans="1:32" s="903" customFormat="1">
      <c r="A14" s="898">
        <v>11</v>
      </c>
      <c r="B14" s="899" t="str">
        <f t="shared" si="0"/>
        <v>BF40M</v>
      </c>
      <c r="C14" s="1382" t="s">
        <v>1602</v>
      </c>
      <c r="D14" s="910" t="s">
        <v>1499</v>
      </c>
      <c r="E14" s="898" t="s">
        <v>1633</v>
      </c>
      <c r="F14" s="900" t="s">
        <v>1634</v>
      </c>
      <c r="G14" s="902">
        <v>40</v>
      </c>
      <c r="H14" s="902" t="s">
        <v>1626</v>
      </c>
      <c r="I14" s="902" t="s">
        <v>1627</v>
      </c>
      <c r="J14" s="902"/>
      <c r="K14" s="899" t="s">
        <v>1636</v>
      </c>
      <c r="L14" s="902">
        <v>4</v>
      </c>
    </row>
    <row r="15" spans="1:32" s="903" customFormat="1">
      <c r="A15" s="898">
        <v>12</v>
      </c>
      <c r="B15" s="899" t="str">
        <f t="shared" si="0"/>
        <v>BF10P</v>
      </c>
      <c r="C15" s="1382" t="s">
        <v>1602</v>
      </c>
      <c r="D15" s="910" t="s">
        <v>1499</v>
      </c>
      <c r="E15" s="898" t="s">
        <v>1633</v>
      </c>
      <c r="F15" s="900" t="s">
        <v>1637</v>
      </c>
      <c r="G15" s="902">
        <v>10</v>
      </c>
      <c r="H15" s="902" t="s">
        <v>1638</v>
      </c>
      <c r="I15" s="902" t="s">
        <v>1627</v>
      </c>
      <c r="J15" s="902"/>
      <c r="K15" s="899" t="s">
        <v>1636</v>
      </c>
      <c r="L15" s="902">
        <v>7</v>
      </c>
    </row>
    <row r="16" spans="1:32" s="903" customFormat="1">
      <c r="A16" s="898">
        <v>13</v>
      </c>
      <c r="B16" s="899" t="str">
        <f t="shared" si="0"/>
        <v>BF15P</v>
      </c>
      <c r="C16" s="1382" t="s">
        <v>1602</v>
      </c>
      <c r="D16" s="910" t="s">
        <v>1499</v>
      </c>
      <c r="E16" s="898" t="s">
        <v>1633</v>
      </c>
      <c r="F16" s="900" t="s">
        <v>1637</v>
      </c>
      <c r="G16" s="902">
        <v>15</v>
      </c>
      <c r="H16" s="902" t="s">
        <v>1638</v>
      </c>
      <c r="I16" s="902" t="s">
        <v>1627</v>
      </c>
      <c r="J16" s="902"/>
      <c r="K16" s="899" t="s">
        <v>1636</v>
      </c>
      <c r="L16" s="902">
        <v>7</v>
      </c>
    </row>
    <row r="17" spans="1:12" s="903" customFormat="1">
      <c r="A17" s="898">
        <v>14</v>
      </c>
      <c r="B17" s="899" t="str">
        <f t="shared" si="0"/>
        <v>BF20P</v>
      </c>
      <c r="C17" s="1382" t="s">
        <v>1602</v>
      </c>
      <c r="D17" s="910" t="s">
        <v>1499</v>
      </c>
      <c r="E17" s="898" t="s">
        <v>1633</v>
      </c>
      <c r="F17" s="900" t="s">
        <v>1637</v>
      </c>
      <c r="G17" s="902">
        <v>20</v>
      </c>
      <c r="H17" s="902" t="s">
        <v>1638</v>
      </c>
      <c r="I17" s="902" t="s">
        <v>1627</v>
      </c>
      <c r="J17" s="902"/>
      <c r="K17" s="899" t="s">
        <v>1636</v>
      </c>
      <c r="L17" s="902">
        <v>7</v>
      </c>
    </row>
    <row r="18" spans="1:12" s="903" customFormat="1">
      <c r="A18" s="898">
        <v>15</v>
      </c>
      <c r="B18" s="899" t="str">
        <f t="shared" si="0"/>
        <v>BF25P</v>
      </c>
      <c r="C18" s="1382" t="s">
        <v>1602</v>
      </c>
      <c r="D18" s="910" t="s">
        <v>1499</v>
      </c>
      <c r="E18" s="898" t="s">
        <v>1633</v>
      </c>
      <c r="F18" s="900" t="s">
        <v>1637</v>
      </c>
      <c r="G18" s="902">
        <v>25</v>
      </c>
      <c r="H18" s="902" t="s">
        <v>1638</v>
      </c>
      <c r="I18" s="902" t="s">
        <v>1627</v>
      </c>
      <c r="J18" s="902"/>
      <c r="K18" s="899" t="s">
        <v>1636</v>
      </c>
      <c r="L18" s="902">
        <v>7</v>
      </c>
    </row>
    <row r="19" spans="1:12" s="903" customFormat="1">
      <c r="A19" s="898">
        <v>16</v>
      </c>
      <c r="B19" s="899" t="str">
        <f t="shared" si="0"/>
        <v>BF30P</v>
      </c>
      <c r="C19" s="1382" t="s">
        <v>1602</v>
      </c>
      <c r="D19" s="910" t="s">
        <v>1499</v>
      </c>
      <c r="E19" s="898" t="s">
        <v>1633</v>
      </c>
      <c r="F19" s="900" t="s">
        <v>1637</v>
      </c>
      <c r="G19" s="902">
        <v>30</v>
      </c>
      <c r="H19" s="902" t="s">
        <v>1638</v>
      </c>
      <c r="I19" s="902" t="s">
        <v>1627</v>
      </c>
      <c r="J19" s="902"/>
      <c r="K19" s="899" t="s">
        <v>1636</v>
      </c>
      <c r="L19" s="902">
        <v>7</v>
      </c>
    </row>
    <row r="20" spans="1:12" s="903" customFormat="1">
      <c r="A20" s="898">
        <v>17</v>
      </c>
      <c r="B20" s="899" t="str">
        <f t="shared" si="0"/>
        <v>BF35P</v>
      </c>
      <c r="C20" s="1382" t="s">
        <v>1602</v>
      </c>
      <c r="D20" s="910" t="s">
        <v>1499</v>
      </c>
      <c r="E20" s="898" t="s">
        <v>1633</v>
      </c>
      <c r="F20" s="900" t="s">
        <v>1637</v>
      </c>
      <c r="G20" s="902">
        <v>35</v>
      </c>
      <c r="H20" s="902" t="s">
        <v>1638</v>
      </c>
      <c r="I20" s="902" t="s">
        <v>1627</v>
      </c>
      <c r="J20" s="902"/>
      <c r="K20" s="899" t="s">
        <v>1636</v>
      </c>
      <c r="L20" s="902">
        <v>7</v>
      </c>
    </row>
    <row r="21" spans="1:12" s="903" customFormat="1" ht="14.65" customHeight="1">
      <c r="A21" s="898">
        <v>18</v>
      </c>
      <c r="B21" s="899" t="str">
        <f t="shared" si="0"/>
        <v>BF40P</v>
      </c>
      <c r="C21" s="1382" t="s">
        <v>1602</v>
      </c>
      <c r="D21" s="910" t="s">
        <v>1499</v>
      </c>
      <c r="E21" s="898" t="s">
        <v>1633</v>
      </c>
      <c r="F21" s="900" t="s">
        <v>1637</v>
      </c>
      <c r="G21" s="902">
        <v>40</v>
      </c>
      <c r="H21" s="902" t="s">
        <v>1638</v>
      </c>
      <c r="I21" s="902" t="s">
        <v>1627</v>
      </c>
      <c r="J21" s="902"/>
      <c r="K21" s="899" t="s">
        <v>1636</v>
      </c>
      <c r="L21" s="902">
        <v>7</v>
      </c>
    </row>
    <row r="22" spans="1:12" s="903" customFormat="1">
      <c r="A22" s="898">
        <v>19</v>
      </c>
      <c r="B22" s="899" t="str">
        <f t="shared" si="0"/>
        <v>BH10M</v>
      </c>
      <c r="C22" s="1382" t="s">
        <v>1602</v>
      </c>
      <c r="D22" s="910" t="s">
        <v>1500</v>
      </c>
      <c r="E22" s="898" t="s">
        <v>1639</v>
      </c>
      <c r="F22" s="900" t="s">
        <v>1634</v>
      </c>
      <c r="G22" s="902">
        <v>10</v>
      </c>
      <c r="H22" s="902" t="s">
        <v>1626</v>
      </c>
      <c r="I22" s="902" t="s">
        <v>1627</v>
      </c>
      <c r="J22" s="902"/>
      <c r="K22" s="899" t="s">
        <v>1635</v>
      </c>
      <c r="L22" s="902">
        <v>5</v>
      </c>
    </row>
    <row r="23" spans="1:12" s="903" customFormat="1">
      <c r="A23" s="898">
        <v>20</v>
      </c>
      <c r="B23" s="899" t="str">
        <f t="shared" si="0"/>
        <v>BH15M</v>
      </c>
      <c r="C23" s="1382" t="s">
        <v>1602</v>
      </c>
      <c r="D23" s="910" t="s">
        <v>1500</v>
      </c>
      <c r="E23" s="898" t="s">
        <v>1639</v>
      </c>
      <c r="F23" s="900" t="s">
        <v>1634</v>
      </c>
      <c r="G23" s="902">
        <v>15</v>
      </c>
      <c r="H23" s="902" t="s">
        <v>1626</v>
      </c>
      <c r="I23" s="902" t="s">
        <v>1627</v>
      </c>
      <c r="J23" s="902"/>
      <c r="K23" s="899" t="s">
        <v>1635</v>
      </c>
      <c r="L23" s="902">
        <v>5</v>
      </c>
    </row>
    <row r="24" spans="1:12" s="903" customFormat="1">
      <c r="A24" s="898">
        <v>21</v>
      </c>
      <c r="B24" s="899" t="str">
        <f t="shared" si="0"/>
        <v>BH20M</v>
      </c>
      <c r="C24" s="1382" t="s">
        <v>1602</v>
      </c>
      <c r="D24" s="910" t="s">
        <v>1500</v>
      </c>
      <c r="E24" s="898" t="s">
        <v>1639</v>
      </c>
      <c r="F24" s="900" t="s">
        <v>1634</v>
      </c>
      <c r="G24" s="902">
        <v>20</v>
      </c>
      <c r="H24" s="902" t="s">
        <v>1626</v>
      </c>
      <c r="I24" s="902" t="s">
        <v>1627</v>
      </c>
      <c r="J24" s="902"/>
      <c r="K24" s="899" t="s">
        <v>1635</v>
      </c>
      <c r="L24" s="902">
        <v>5</v>
      </c>
    </row>
    <row r="25" spans="1:12" s="903" customFormat="1">
      <c r="A25" s="898">
        <v>22</v>
      </c>
      <c r="B25" s="899" t="str">
        <f t="shared" si="0"/>
        <v>BH25M</v>
      </c>
      <c r="C25" s="1382" t="s">
        <v>1602</v>
      </c>
      <c r="D25" s="910" t="s">
        <v>1500</v>
      </c>
      <c r="E25" s="898" t="s">
        <v>1639</v>
      </c>
      <c r="F25" s="900" t="s">
        <v>1634</v>
      </c>
      <c r="G25" s="902">
        <v>25</v>
      </c>
      <c r="H25" s="902" t="s">
        <v>1626</v>
      </c>
      <c r="I25" s="902" t="s">
        <v>1627</v>
      </c>
      <c r="J25" s="902"/>
      <c r="K25" s="899" t="s">
        <v>1635</v>
      </c>
      <c r="L25" s="902">
        <v>5</v>
      </c>
    </row>
    <row r="26" spans="1:12" s="903" customFormat="1">
      <c r="A26" s="898">
        <v>23</v>
      </c>
      <c r="B26" s="899" t="str">
        <f t="shared" si="0"/>
        <v>BH30M</v>
      </c>
      <c r="C26" s="1382" t="s">
        <v>1602</v>
      </c>
      <c r="D26" s="910" t="s">
        <v>1500</v>
      </c>
      <c r="E26" s="898" t="s">
        <v>1639</v>
      </c>
      <c r="F26" s="900" t="s">
        <v>1634</v>
      </c>
      <c r="G26" s="902">
        <v>30</v>
      </c>
      <c r="H26" s="902" t="s">
        <v>1626</v>
      </c>
      <c r="I26" s="902" t="s">
        <v>1627</v>
      </c>
      <c r="J26" s="902"/>
      <c r="K26" s="899" t="s">
        <v>1635</v>
      </c>
      <c r="L26" s="902">
        <v>5</v>
      </c>
    </row>
    <row r="27" spans="1:12" s="903" customFormat="1">
      <c r="A27" s="898">
        <v>24</v>
      </c>
      <c r="B27" s="899" t="str">
        <f t="shared" si="0"/>
        <v>BH35M</v>
      </c>
      <c r="C27" s="1382" t="s">
        <v>1602</v>
      </c>
      <c r="D27" s="910" t="s">
        <v>1500</v>
      </c>
      <c r="E27" s="898" t="s">
        <v>1639</v>
      </c>
      <c r="F27" s="900" t="s">
        <v>1634</v>
      </c>
      <c r="G27" s="902">
        <v>35</v>
      </c>
      <c r="H27" s="902" t="s">
        <v>1626</v>
      </c>
      <c r="I27" s="902" t="s">
        <v>1627</v>
      </c>
      <c r="J27" s="902"/>
      <c r="K27" s="899" t="s">
        <v>1635</v>
      </c>
      <c r="L27" s="902">
        <v>5</v>
      </c>
    </row>
    <row r="28" spans="1:12" s="903" customFormat="1">
      <c r="A28" s="898">
        <v>25</v>
      </c>
      <c r="B28" s="899" t="str">
        <f t="shared" si="0"/>
        <v>BH40M</v>
      </c>
      <c r="C28" s="1382" t="s">
        <v>1602</v>
      </c>
      <c r="D28" s="910" t="s">
        <v>1500</v>
      </c>
      <c r="E28" s="898" t="s">
        <v>1639</v>
      </c>
      <c r="F28" s="900" t="s">
        <v>1634</v>
      </c>
      <c r="G28" s="902">
        <v>40</v>
      </c>
      <c r="H28" s="902" t="s">
        <v>1626</v>
      </c>
      <c r="I28" s="902" t="s">
        <v>1627</v>
      </c>
      <c r="J28" s="902"/>
      <c r="K28" s="899" t="s">
        <v>1635</v>
      </c>
      <c r="L28" s="902">
        <v>5</v>
      </c>
    </row>
    <row r="29" spans="1:12" s="903" customFormat="1">
      <c r="A29" s="898">
        <v>26</v>
      </c>
      <c r="B29" s="899" t="str">
        <f t="shared" si="0"/>
        <v>BH10PV</v>
      </c>
      <c r="C29" s="1382" t="s">
        <v>1602</v>
      </c>
      <c r="D29" s="910" t="s">
        <v>1500</v>
      </c>
      <c r="E29" s="898" t="s">
        <v>1639</v>
      </c>
      <c r="F29" s="900" t="s">
        <v>1640</v>
      </c>
      <c r="G29" s="902">
        <v>10</v>
      </c>
      <c r="H29" s="902" t="s">
        <v>1641</v>
      </c>
      <c r="I29" s="902" t="s">
        <v>1627</v>
      </c>
      <c r="J29" s="902"/>
      <c r="K29" s="899" t="s">
        <v>1635</v>
      </c>
      <c r="L29" s="902">
        <v>8</v>
      </c>
    </row>
    <row r="30" spans="1:12" s="903" customFormat="1">
      <c r="A30" s="898">
        <v>27</v>
      </c>
      <c r="B30" s="899" t="str">
        <f t="shared" si="0"/>
        <v>BH15PV</v>
      </c>
      <c r="C30" s="1382" t="s">
        <v>1602</v>
      </c>
      <c r="D30" s="910" t="s">
        <v>1500</v>
      </c>
      <c r="E30" s="898" t="s">
        <v>1639</v>
      </c>
      <c r="F30" s="900" t="s">
        <v>1640</v>
      </c>
      <c r="G30" s="902">
        <v>15</v>
      </c>
      <c r="H30" s="902" t="s">
        <v>1641</v>
      </c>
      <c r="I30" s="902" t="s">
        <v>1627</v>
      </c>
      <c r="J30" s="902"/>
      <c r="K30" s="899" t="s">
        <v>1635</v>
      </c>
      <c r="L30" s="902">
        <v>8</v>
      </c>
    </row>
    <row r="31" spans="1:12" s="903" customFormat="1">
      <c r="A31" s="898">
        <v>28</v>
      </c>
      <c r="B31" s="899" t="str">
        <f t="shared" si="0"/>
        <v>BH20PV</v>
      </c>
      <c r="C31" s="1382" t="s">
        <v>1602</v>
      </c>
      <c r="D31" s="910" t="s">
        <v>1500</v>
      </c>
      <c r="E31" s="898" t="s">
        <v>1639</v>
      </c>
      <c r="F31" s="900" t="s">
        <v>1640</v>
      </c>
      <c r="G31" s="902">
        <v>20</v>
      </c>
      <c r="H31" s="902" t="s">
        <v>1641</v>
      </c>
      <c r="I31" s="902" t="s">
        <v>1627</v>
      </c>
      <c r="J31" s="902"/>
      <c r="K31" s="899" t="s">
        <v>1635</v>
      </c>
      <c r="L31" s="902">
        <v>8</v>
      </c>
    </row>
    <row r="32" spans="1:12" s="903" customFormat="1">
      <c r="A32" s="898">
        <v>29</v>
      </c>
      <c r="B32" s="899" t="str">
        <f t="shared" si="0"/>
        <v>BH25PV</v>
      </c>
      <c r="C32" s="1382" t="s">
        <v>1602</v>
      </c>
      <c r="D32" s="910" t="s">
        <v>1500</v>
      </c>
      <c r="E32" s="898" t="s">
        <v>1639</v>
      </c>
      <c r="F32" s="900" t="s">
        <v>1640</v>
      </c>
      <c r="G32" s="902">
        <v>25</v>
      </c>
      <c r="H32" s="902" t="s">
        <v>1641</v>
      </c>
      <c r="I32" s="902" t="s">
        <v>1627</v>
      </c>
      <c r="J32" s="902"/>
      <c r="K32" s="899" t="s">
        <v>1635</v>
      </c>
      <c r="L32" s="902">
        <v>8</v>
      </c>
    </row>
    <row r="33" spans="1:12" s="903" customFormat="1">
      <c r="A33" s="898">
        <v>30</v>
      </c>
      <c r="B33" s="899" t="str">
        <f t="shared" si="0"/>
        <v>BH30PV</v>
      </c>
      <c r="C33" s="1382" t="s">
        <v>1602</v>
      </c>
      <c r="D33" s="910" t="s">
        <v>1500</v>
      </c>
      <c r="E33" s="898" t="s">
        <v>1639</v>
      </c>
      <c r="F33" s="900" t="s">
        <v>1640</v>
      </c>
      <c r="G33" s="902">
        <v>30</v>
      </c>
      <c r="H33" s="902" t="s">
        <v>1641</v>
      </c>
      <c r="I33" s="902" t="s">
        <v>1627</v>
      </c>
      <c r="J33" s="902"/>
      <c r="K33" s="899" t="s">
        <v>1635</v>
      </c>
      <c r="L33" s="902">
        <v>8</v>
      </c>
    </row>
    <row r="34" spans="1:12" s="903" customFormat="1">
      <c r="A34" s="898">
        <v>31</v>
      </c>
      <c r="B34" s="899" t="str">
        <f t="shared" si="0"/>
        <v>BH35PV</v>
      </c>
      <c r="C34" s="1382" t="s">
        <v>1602</v>
      </c>
      <c r="D34" s="910" t="s">
        <v>1500</v>
      </c>
      <c r="E34" s="898" t="s">
        <v>1639</v>
      </c>
      <c r="F34" s="900" t="s">
        <v>1640</v>
      </c>
      <c r="G34" s="902">
        <v>35</v>
      </c>
      <c r="H34" s="902" t="s">
        <v>1641</v>
      </c>
      <c r="I34" s="902" t="s">
        <v>1627</v>
      </c>
      <c r="J34" s="902"/>
      <c r="K34" s="899" t="s">
        <v>1635</v>
      </c>
      <c r="L34" s="902">
        <v>8</v>
      </c>
    </row>
    <row r="35" spans="1:12" s="903" customFormat="1">
      <c r="A35" s="898">
        <v>32</v>
      </c>
      <c r="B35" s="899" t="str">
        <f t="shared" si="0"/>
        <v>BH40PV</v>
      </c>
      <c r="C35" s="1382" t="s">
        <v>1602</v>
      </c>
      <c r="D35" s="910" t="s">
        <v>1500</v>
      </c>
      <c r="E35" s="898" t="s">
        <v>1639</v>
      </c>
      <c r="F35" s="900" t="s">
        <v>1640</v>
      </c>
      <c r="G35" s="902">
        <v>40</v>
      </c>
      <c r="H35" s="902" t="s">
        <v>1641</v>
      </c>
      <c r="I35" s="902" t="s">
        <v>1627</v>
      </c>
      <c r="J35" s="902"/>
      <c r="K35" s="899" t="s">
        <v>1635</v>
      </c>
      <c r="L35" s="902">
        <v>8</v>
      </c>
    </row>
    <row r="36" spans="1:12" s="903" customFormat="1">
      <c r="A36" s="898">
        <v>33</v>
      </c>
      <c r="B36" s="899" t="str">
        <f t="shared" si="0"/>
        <v>BH10PH</v>
      </c>
      <c r="C36" s="1382" t="s">
        <v>1602</v>
      </c>
      <c r="D36" s="910" t="s">
        <v>1500</v>
      </c>
      <c r="E36" s="898" t="s">
        <v>1639</v>
      </c>
      <c r="F36" s="900" t="s">
        <v>1642</v>
      </c>
      <c r="G36" s="902">
        <v>10</v>
      </c>
      <c r="H36" s="902" t="s">
        <v>1643</v>
      </c>
      <c r="I36" s="902" t="s">
        <v>1627</v>
      </c>
      <c r="J36" s="902"/>
      <c r="K36" s="899" t="s">
        <v>1635</v>
      </c>
      <c r="L36" s="902">
        <v>9</v>
      </c>
    </row>
    <row r="37" spans="1:12" s="903" customFormat="1">
      <c r="A37" s="898">
        <v>34</v>
      </c>
      <c r="B37" s="899" t="str">
        <f t="shared" si="0"/>
        <v>BH15PH</v>
      </c>
      <c r="C37" s="1382" t="s">
        <v>1602</v>
      </c>
      <c r="D37" s="910" t="s">
        <v>1500</v>
      </c>
      <c r="E37" s="898" t="s">
        <v>1639</v>
      </c>
      <c r="F37" s="900" t="s">
        <v>1642</v>
      </c>
      <c r="G37" s="902">
        <v>15</v>
      </c>
      <c r="H37" s="902" t="s">
        <v>1643</v>
      </c>
      <c r="I37" s="902" t="s">
        <v>1627</v>
      </c>
      <c r="J37" s="902"/>
      <c r="K37" s="899" t="s">
        <v>1635</v>
      </c>
      <c r="L37" s="902">
        <v>9</v>
      </c>
    </row>
    <row r="38" spans="1:12" s="903" customFormat="1">
      <c r="A38" s="898">
        <v>35</v>
      </c>
      <c r="B38" s="899" t="str">
        <f t="shared" si="0"/>
        <v>BH20PH</v>
      </c>
      <c r="C38" s="1382" t="s">
        <v>1602</v>
      </c>
      <c r="D38" s="910" t="s">
        <v>1500</v>
      </c>
      <c r="E38" s="898" t="s">
        <v>1639</v>
      </c>
      <c r="F38" s="900" t="s">
        <v>1642</v>
      </c>
      <c r="G38" s="902">
        <v>20</v>
      </c>
      <c r="H38" s="902" t="s">
        <v>1643</v>
      </c>
      <c r="I38" s="902" t="s">
        <v>1627</v>
      </c>
      <c r="J38" s="902"/>
      <c r="K38" s="899" t="s">
        <v>1635</v>
      </c>
      <c r="L38" s="902">
        <v>9</v>
      </c>
    </row>
    <row r="39" spans="1:12" s="903" customFormat="1">
      <c r="A39" s="898">
        <v>36</v>
      </c>
      <c r="B39" s="899" t="str">
        <f t="shared" si="0"/>
        <v>BH25PH</v>
      </c>
      <c r="C39" s="1382" t="s">
        <v>1602</v>
      </c>
      <c r="D39" s="910" t="s">
        <v>1500</v>
      </c>
      <c r="E39" s="898" t="s">
        <v>1639</v>
      </c>
      <c r="F39" s="900" t="s">
        <v>1642</v>
      </c>
      <c r="G39" s="902">
        <v>25</v>
      </c>
      <c r="H39" s="902" t="s">
        <v>1643</v>
      </c>
      <c r="I39" s="902" t="s">
        <v>1627</v>
      </c>
      <c r="J39" s="902"/>
      <c r="K39" s="899" t="s">
        <v>1635</v>
      </c>
      <c r="L39" s="902">
        <v>9</v>
      </c>
    </row>
    <row r="40" spans="1:12" s="903" customFormat="1">
      <c r="A40" s="898">
        <v>37</v>
      </c>
      <c r="B40" s="899" t="str">
        <f t="shared" si="0"/>
        <v>BH30PH</v>
      </c>
      <c r="C40" s="1382" t="s">
        <v>1602</v>
      </c>
      <c r="D40" s="910" t="s">
        <v>1500</v>
      </c>
      <c r="E40" s="898" t="s">
        <v>1639</v>
      </c>
      <c r="F40" s="900" t="s">
        <v>1642</v>
      </c>
      <c r="G40" s="902">
        <v>30</v>
      </c>
      <c r="H40" s="902" t="s">
        <v>1643</v>
      </c>
      <c r="I40" s="902" t="s">
        <v>1627</v>
      </c>
      <c r="J40" s="902"/>
      <c r="K40" s="899" t="s">
        <v>1635</v>
      </c>
      <c r="L40" s="902">
        <v>9</v>
      </c>
    </row>
    <row r="41" spans="1:12" s="903" customFormat="1">
      <c r="A41" s="898">
        <v>38</v>
      </c>
      <c r="B41" s="899" t="str">
        <f t="shared" si="0"/>
        <v>BH35PH</v>
      </c>
      <c r="C41" s="1382" t="s">
        <v>1602</v>
      </c>
      <c r="D41" s="910" t="s">
        <v>1500</v>
      </c>
      <c r="E41" s="898" t="s">
        <v>1639</v>
      </c>
      <c r="F41" s="900" t="s">
        <v>1642</v>
      </c>
      <c r="G41" s="902">
        <v>35</v>
      </c>
      <c r="H41" s="902" t="s">
        <v>1643</v>
      </c>
      <c r="I41" s="902" t="s">
        <v>1627</v>
      </c>
      <c r="J41" s="902"/>
      <c r="K41" s="899" t="s">
        <v>1635</v>
      </c>
      <c r="L41" s="902">
        <v>9</v>
      </c>
    </row>
    <row r="42" spans="1:12" s="903" customFormat="1">
      <c r="A42" s="898">
        <v>39</v>
      </c>
      <c r="B42" s="899" t="str">
        <f t="shared" si="0"/>
        <v>BH40PH</v>
      </c>
      <c r="C42" s="1382" t="s">
        <v>1602</v>
      </c>
      <c r="D42" s="910" t="s">
        <v>1500</v>
      </c>
      <c r="E42" s="898" t="s">
        <v>1639</v>
      </c>
      <c r="F42" s="900" t="s">
        <v>1642</v>
      </c>
      <c r="G42" s="902">
        <v>40</v>
      </c>
      <c r="H42" s="902" t="s">
        <v>1643</v>
      </c>
      <c r="I42" s="902" t="s">
        <v>1627</v>
      </c>
      <c r="J42" s="902"/>
      <c r="K42" s="899" t="s">
        <v>1635</v>
      </c>
      <c r="L42" s="902">
        <v>9</v>
      </c>
    </row>
    <row r="43" spans="1:12" s="903" customFormat="1">
      <c r="A43" s="898">
        <v>40</v>
      </c>
      <c r="B43" s="899" t="str">
        <f t="shared" si="0"/>
        <v>BQ10M</v>
      </c>
      <c r="C43" s="1382" t="s">
        <v>1602</v>
      </c>
      <c r="D43" s="910" t="s">
        <v>1501</v>
      </c>
      <c r="E43" s="898" t="s">
        <v>1644</v>
      </c>
      <c r="F43" s="900" t="s">
        <v>1634</v>
      </c>
      <c r="G43" s="902">
        <v>10</v>
      </c>
      <c r="H43" s="902" t="s">
        <v>1626</v>
      </c>
      <c r="I43" s="902" t="s">
        <v>1627</v>
      </c>
      <c r="J43" s="902"/>
      <c r="K43" s="899" t="s">
        <v>1635</v>
      </c>
      <c r="L43" s="902">
        <v>6</v>
      </c>
    </row>
    <row r="44" spans="1:12" s="903" customFormat="1">
      <c r="A44" s="898">
        <v>41</v>
      </c>
      <c r="B44" s="899" t="str">
        <f t="shared" si="0"/>
        <v>BQ15M</v>
      </c>
      <c r="C44" s="1382" t="s">
        <v>1602</v>
      </c>
      <c r="D44" s="910" t="s">
        <v>1501</v>
      </c>
      <c r="E44" s="898" t="s">
        <v>1644</v>
      </c>
      <c r="F44" s="900" t="s">
        <v>1634</v>
      </c>
      <c r="G44" s="902">
        <v>15</v>
      </c>
      <c r="H44" s="902" t="s">
        <v>1626</v>
      </c>
      <c r="I44" s="902" t="s">
        <v>1627</v>
      </c>
      <c r="J44" s="902"/>
      <c r="K44" s="899" t="s">
        <v>1635</v>
      </c>
      <c r="L44" s="902">
        <v>6</v>
      </c>
    </row>
    <row r="45" spans="1:12" s="903" customFormat="1">
      <c r="A45" s="898">
        <v>42</v>
      </c>
      <c r="B45" s="899" t="str">
        <f t="shared" si="0"/>
        <v>BQ20M</v>
      </c>
      <c r="C45" s="1382" t="s">
        <v>1602</v>
      </c>
      <c r="D45" s="910" t="s">
        <v>1501</v>
      </c>
      <c r="E45" s="898" t="s">
        <v>1644</v>
      </c>
      <c r="F45" s="900" t="s">
        <v>1634</v>
      </c>
      <c r="G45" s="902">
        <v>20</v>
      </c>
      <c r="H45" s="902" t="s">
        <v>1626</v>
      </c>
      <c r="I45" s="902" t="s">
        <v>1627</v>
      </c>
      <c r="J45" s="902"/>
      <c r="K45" s="899" t="s">
        <v>1635</v>
      </c>
      <c r="L45" s="902">
        <v>6</v>
      </c>
    </row>
    <row r="46" spans="1:12" s="903" customFormat="1">
      <c r="A46" s="898">
        <v>43</v>
      </c>
      <c r="B46" s="899" t="str">
        <f t="shared" si="0"/>
        <v>BQ25M</v>
      </c>
      <c r="C46" s="1382" t="s">
        <v>1602</v>
      </c>
      <c r="D46" s="910" t="s">
        <v>1501</v>
      </c>
      <c r="E46" s="898" t="s">
        <v>1644</v>
      </c>
      <c r="F46" s="900" t="s">
        <v>1634</v>
      </c>
      <c r="G46" s="902">
        <v>25</v>
      </c>
      <c r="H46" s="902" t="s">
        <v>1626</v>
      </c>
      <c r="I46" s="902" t="s">
        <v>1627</v>
      </c>
      <c r="J46" s="902"/>
      <c r="K46" s="899" t="s">
        <v>1635</v>
      </c>
      <c r="L46" s="902">
        <v>6</v>
      </c>
    </row>
    <row r="47" spans="1:12" s="903" customFormat="1">
      <c r="A47" s="898">
        <v>44</v>
      </c>
      <c r="B47" s="899" t="str">
        <f t="shared" si="0"/>
        <v>BQ30M</v>
      </c>
      <c r="C47" s="1382" t="s">
        <v>1602</v>
      </c>
      <c r="D47" s="910" t="s">
        <v>1501</v>
      </c>
      <c r="E47" s="898" t="s">
        <v>1644</v>
      </c>
      <c r="F47" s="900" t="s">
        <v>1634</v>
      </c>
      <c r="G47" s="902">
        <v>30</v>
      </c>
      <c r="H47" s="902" t="s">
        <v>1626</v>
      </c>
      <c r="I47" s="902" t="s">
        <v>1627</v>
      </c>
      <c r="J47" s="902"/>
      <c r="K47" s="899" t="s">
        <v>1635</v>
      </c>
      <c r="L47" s="902">
        <v>6</v>
      </c>
    </row>
    <row r="48" spans="1:12" s="903" customFormat="1">
      <c r="A48" s="898">
        <v>45</v>
      </c>
      <c r="B48" s="899" t="str">
        <f t="shared" si="0"/>
        <v>BQ35M</v>
      </c>
      <c r="C48" s="1382" t="s">
        <v>1602</v>
      </c>
      <c r="D48" s="910" t="s">
        <v>1501</v>
      </c>
      <c r="E48" s="898" t="s">
        <v>1644</v>
      </c>
      <c r="F48" s="900" t="s">
        <v>1634</v>
      </c>
      <c r="G48" s="902">
        <v>35</v>
      </c>
      <c r="H48" s="902" t="s">
        <v>1626</v>
      </c>
      <c r="I48" s="902" t="s">
        <v>1627</v>
      </c>
      <c r="J48" s="902"/>
      <c r="K48" s="899" t="s">
        <v>1635</v>
      </c>
      <c r="L48" s="902">
        <v>6</v>
      </c>
    </row>
    <row r="49" spans="1:12" s="903" customFormat="1">
      <c r="A49" s="898">
        <v>46</v>
      </c>
      <c r="B49" s="899" t="str">
        <f t="shared" si="0"/>
        <v>BQ40M</v>
      </c>
      <c r="C49" s="1382" t="s">
        <v>1602</v>
      </c>
      <c r="D49" s="910" t="s">
        <v>1501</v>
      </c>
      <c r="E49" s="898" t="s">
        <v>1644</v>
      </c>
      <c r="F49" s="900" t="s">
        <v>1634</v>
      </c>
      <c r="G49" s="902">
        <v>40</v>
      </c>
      <c r="H49" s="902" t="s">
        <v>1626</v>
      </c>
      <c r="I49" s="902" t="s">
        <v>1627</v>
      </c>
      <c r="J49" s="902"/>
      <c r="K49" s="899" t="s">
        <v>1635</v>
      </c>
      <c r="L49" s="902">
        <v>6</v>
      </c>
    </row>
    <row r="50" spans="1:12" s="903" customFormat="1">
      <c r="A50" s="898">
        <v>47</v>
      </c>
      <c r="B50" s="899" t="str">
        <f t="shared" si="0"/>
        <v>DN10S</v>
      </c>
      <c r="C50" s="1382" t="s">
        <v>1602</v>
      </c>
      <c r="D50" s="911" t="s">
        <v>1502</v>
      </c>
      <c r="E50" s="898" t="s">
        <v>1645</v>
      </c>
      <c r="F50" s="900" t="s">
        <v>1646</v>
      </c>
      <c r="G50" s="902">
        <v>10</v>
      </c>
      <c r="H50" s="902" t="s">
        <v>1647</v>
      </c>
      <c r="I50" s="902" t="s">
        <v>1627</v>
      </c>
      <c r="J50" s="902"/>
      <c r="K50" s="899" t="s">
        <v>1635</v>
      </c>
      <c r="L50" s="902">
        <v>10</v>
      </c>
    </row>
    <row r="51" spans="1:12" s="903" customFormat="1">
      <c r="A51" s="898">
        <v>48</v>
      </c>
      <c r="B51" s="899" t="str">
        <f t="shared" si="0"/>
        <v>DN15S</v>
      </c>
      <c r="C51" s="1382" t="s">
        <v>1602</v>
      </c>
      <c r="D51" s="911" t="s">
        <v>1502</v>
      </c>
      <c r="E51" s="898" t="s">
        <v>1645</v>
      </c>
      <c r="F51" s="900" t="s">
        <v>1646</v>
      </c>
      <c r="G51" s="902">
        <v>15</v>
      </c>
      <c r="H51" s="902" t="s">
        <v>1647</v>
      </c>
      <c r="I51" s="902" t="s">
        <v>1627</v>
      </c>
      <c r="J51" s="902"/>
      <c r="K51" s="899" t="s">
        <v>1635</v>
      </c>
      <c r="L51" s="902">
        <v>10</v>
      </c>
    </row>
    <row r="52" spans="1:12" s="903" customFormat="1">
      <c r="A52" s="898">
        <v>49</v>
      </c>
      <c r="B52" s="899" t="str">
        <f t="shared" si="0"/>
        <v>DN20S</v>
      </c>
      <c r="C52" s="1382" t="s">
        <v>1602</v>
      </c>
      <c r="D52" s="911" t="s">
        <v>1502</v>
      </c>
      <c r="E52" s="898" t="s">
        <v>1645</v>
      </c>
      <c r="F52" s="900" t="s">
        <v>1646</v>
      </c>
      <c r="G52" s="902">
        <v>20</v>
      </c>
      <c r="H52" s="902" t="s">
        <v>1647</v>
      </c>
      <c r="I52" s="902" t="s">
        <v>1627</v>
      </c>
      <c r="J52" s="902"/>
      <c r="K52" s="899" t="s">
        <v>1635</v>
      </c>
      <c r="L52" s="902">
        <v>10</v>
      </c>
    </row>
    <row r="53" spans="1:12" s="903" customFormat="1">
      <c r="A53" s="898">
        <v>50</v>
      </c>
      <c r="B53" s="899" t="str">
        <f t="shared" si="0"/>
        <v>DN25S</v>
      </c>
      <c r="C53" s="1382" t="s">
        <v>1602</v>
      </c>
      <c r="D53" s="911" t="s">
        <v>1502</v>
      </c>
      <c r="E53" s="898" t="s">
        <v>1645</v>
      </c>
      <c r="F53" s="900" t="s">
        <v>1646</v>
      </c>
      <c r="G53" s="902">
        <v>25</v>
      </c>
      <c r="H53" s="902" t="s">
        <v>1647</v>
      </c>
      <c r="I53" s="902" t="s">
        <v>1627</v>
      </c>
      <c r="J53" s="902"/>
      <c r="K53" s="899" t="s">
        <v>1635</v>
      </c>
      <c r="L53" s="902">
        <v>10</v>
      </c>
    </row>
    <row r="54" spans="1:12" s="903" customFormat="1">
      <c r="A54" s="898">
        <v>51</v>
      </c>
      <c r="B54" s="899" t="str">
        <f t="shared" si="0"/>
        <v>DN30S</v>
      </c>
      <c r="C54" s="1382" t="s">
        <v>1602</v>
      </c>
      <c r="D54" s="911" t="s">
        <v>1502</v>
      </c>
      <c r="E54" s="898" t="s">
        <v>1645</v>
      </c>
      <c r="F54" s="900" t="s">
        <v>1646</v>
      </c>
      <c r="G54" s="902">
        <v>30</v>
      </c>
      <c r="H54" s="902" t="s">
        <v>1647</v>
      </c>
      <c r="I54" s="902" t="s">
        <v>1627</v>
      </c>
      <c r="J54" s="902"/>
      <c r="K54" s="899" t="s">
        <v>1635</v>
      </c>
      <c r="L54" s="902">
        <v>10</v>
      </c>
    </row>
    <row r="55" spans="1:12" s="903" customFormat="1">
      <c r="A55" s="898">
        <v>52</v>
      </c>
      <c r="B55" s="899" t="str">
        <f t="shared" si="0"/>
        <v>DN35S</v>
      </c>
      <c r="C55" s="1382" t="s">
        <v>1602</v>
      </c>
      <c r="D55" s="911" t="s">
        <v>1502</v>
      </c>
      <c r="E55" s="898" t="s">
        <v>1645</v>
      </c>
      <c r="F55" s="900" t="s">
        <v>1646</v>
      </c>
      <c r="G55" s="902">
        <v>35</v>
      </c>
      <c r="H55" s="902" t="s">
        <v>1647</v>
      </c>
      <c r="I55" s="902" t="s">
        <v>1627</v>
      </c>
      <c r="J55" s="902"/>
      <c r="K55" s="899" t="s">
        <v>1635</v>
      </c>
      <c r="L55" s="902">
        <v>10</v>
      </c>
    </row>
    <row r="56" spans="1:12" s="903" customFormat="1">
      <c r="A56" s="898">
        <v>53</v>
      </c>
      <c r="B56" s="899" t="str">
        <f t="shared" si="0"/>
        <v>DN40S</v>
      </c>
      <c r="C56" s="1382" t="s">
        <v>1602</v>
      </c>
      <c r="D56" s="911" t="s">
        <v>1502</v>
      </c>
      <c r="E56" s="898" t="s">
        <v>1645</v>
      </c>
      <c r="F56" s="900" t="s">
        <v>1646</v>
      </c>
      <c r="G56" s="902">
        <v>40</v>
      </c>
      <c r="H56" s="902" t="s">
        <v>1647</v>
      </c>
      <c r="I56" s="902" t="s">
        <v>1627</v>
      </c>
      <c r="J56" s="902"/>
      <c r="K56" s="899" t="s">
        <v>1635</v>
      </c>
      <c r="L56" s="902">
        <v>10</v>
      </c>
    </row>
    <row r="57" spans="1:12" s="903" customFormat="1">
      <c r="A57" s="898">
        <v>54</v>
      </c>
      <c r="B57" s="899" t="str">
        <f t="shared" si="0"/>
        <v>SF10S</v>
      </c>
      <c r="C57" s="1382" t="s">
        <v>1602</v>
      </c>
      <c r="D57" s="911" t="s">
        <v>1503</v>
      </c>
      <c r="E57" s="898" t="s">
        <v>1648</v>
      </c>
      <c r="F57" s="900" t="s">
        <v>1649</v>
      </c>
      <c r="G57" s="902">
        <v>10</v>
      </c>
      <c r="H57" s="902" t="s">
        <v>1647</v>
      </c>
      <c r="I57" s="902" t="s">
        <v>1627</v>
      </c>
      <c r="J57" s="902"/>
      <c r="K57" s="899" t="s">
        <v>1650</v>
      </c>
      <c r="L57" s="902">
        <v>11</v>
      </c>
    </row>
    <row r="58" spans="1:12" s="903" customFormat="1">
      <c r="A58" s="898">
        <v>55</v>
      </c>
      <c r="B58" s="899" t="str">
        <f t="shared" si="0"/>
        <v>SF25M</v>
      </c>
      <c r="C58" s="1382" t="s">
        <v>1602</v>
      </c>
      <c r="D58" s="911" t="s">
        <v>1503</v>
      </c>
      <c r="E58" s="898" t="s">
        <v>1648</v>
      </c>
      <c r="F58" s="900" t="s">
        <v>1651</v>
      </c>
      <c r="G58" s="902">
        <v>25</v>
      </c>
      <c r="H58" s="902" t="s">
        <v>1626</v>
      </c>
      <c r="I58" s="902" t="s">
        <v>1627</v>
      </c>
      <c r="J58" s="902"/>
      <c r="K58" s="899" t="s">
        <v>1650</v>
      </c>
      <c r="L58" s="902">
        <v>12</v>
      </c>
    </row>
    <row r="59" spans="1:12" s="903" customFormat="1">
      <c r="A59" s="898">
        <v>56</v>
      </c>
      <c r="B59" s="899" t="str">
        <f t="shared" si="0"/>
        <v>SF30M</v>
      </c>
      <c r="C59" s="1382" t="s">
        <v>1602</v>
      </c>
      <c r="D59" s="911" t="s">
        <v>1503</v>
      </c>
      <c r="E59" s="898" t="s">
        <v>1648</v>
      </c>
      <c r="F59" s="900" t="s">
        <v>1651</v>
      </c>
      <c r="G59" s="902">
        <v>30</v>
      </c>
      <c r="H59" s="902" t="s">
        <v>1626</v>
      </c>
      <c r="I59" s="902" t="s">
        <v>1627</v>
      </c>
      <c r="J59" s="902"/>
      <c r="K59" s="899" t="s">
        <v>1650</v>
      </c>
      <c r="L59" s="902">
        <v>12</v>
      </c>
    </row>
    <row r="60" spans="1:12" s="903" customFormat="1">
      <c r="A60" s="898">
        <v>57</v>
      </c>
      <c r="B60" s="899" t="str">
        <f t="shared" si="0"/>
        <v>SF35M</v>
      </c>
      <c r="C60" s="1382" t="s">
        <v>1602</v>
      </c>
      <c r="D60" s="911" t="s">
        <v>1503</v>
      </c>
      <c r="E60" s="898" t="s">
        <v>1648</v>
      </c>
      <c r="F60" s="900" t="s">
        <v>1651</v>
      </c>
      <c r="G60" s="902">
        <v>35</v>
      </c>
      <c r="H60" s="902" t="s">
        <v>1626</v>
      </c>
      <c r="I60" s="902" t="s">
        <v>1627</v>
      </c>
      <c r="J60" s="902"/>
      <c r="K60" s="899" t="s">
        <v>1650</v>
      </c>
      <c r="L60" s="902">
        <v>12</v>
      </c>
    </row>
    <row r="61" spans="1:12" s="903" customFormat="1">
      <c r="A61" s="898">
        <v>58</v>
      </c>
      <c r="B61" s="899" t="str">
        <f t="shared" si="0"/>
        <v>SF40M</v>
      </c>
      <c r="C61" s="1382" t="s">
        <v>1602</v>
      </c>
      <c r="D61" s="911" t="s">
        <v>1503</v>
      </c>
      <c r="E61" s="898" t="s">
        <v>1648</v>
      </c>
      <c r="F61" s="900" t="s">
        <v>1651</v>
      </c>
      <c r="G61" s="902">
        <v>40</v>
      </c>
      <c r="H61" s="902" t="s">
        <v>1626</v>
      </c>
      <c r="I61" s="902" t="s">
        <v>1627</v>
      </c>
      <c r="J61" s="902"/>
      <c r="K61" s="899" t="s">
        <v>1650</v>
      </c>
      <c r="L61" s="902">
        <v>12</v>
      </c>
    </row>
    <row r="62" spans="1:12" s="903" customFormat="1">
      <c r="A62" s="898">
        <v>59</v>
      </c>
      <c r="B62" s="899" t="str">
        <f t="shared" si="0"/>
        <v>SF25L</v>
      </c>
      <c r="C62" s="1382" t="s">
        <v>1602</v>
      </c>
      <c r="D62" s="911" t="s">
        <v>1503</v>
      </c>
      <c r="E62" s="898" t="s">
        <v>1648</v>
      </c>
      <c r="F62" s="900" t="s">
        <v>1652</v>
      </c>
      <c r="G62" s="902">
        <v>25</v>
      </c>
      <c r="H62" s="902" t="s">
        <v>1653</v>
      </c>
      <c r="I62" s="902" t="s">
        <v>1627</v>
      </c>
      <c r="J62" s="902"/>
      <c r="K62" s="899" t="s">
        <v>1650</v>
      </c>
      <c r="L62" s="902">
        <v>13</v>
      </c>
    </row>
    <row r="63" spans="1:12" s="903" customFormat="1">
      <c r="A63" s="898">
        <v>60</v>
      </c>
      <c r="B63" s="899" t="str">
        <f t="shared" si="0"/>
        <v>SF30L</v>
      </c>
      <c r="C63" s="1382" t="s">
        <v>1602</v>
      </c>
      <c r="D63" s="911" t="s">
        <v>1503</v>
      </c>
      <c r="E63" s="898" t="s">
        <v>1648</v>
      </c>
      <c r="F63" s="900" t="s">
        <v>1652</v>
      </c>
      <c r="G63" s="902">
        <v>30</v>
      </c>
      <c r="H63" s="902" t="s">
        <v>1653</v>
      </c>
      <c r="I63" s="902" t="s">
        <v>1627</v>
      </c>
      <c r="J63" s="902"/>
      <c r="K63" s="899" t="s">
        <v>1650</v>
      </c>
      <c r="L63" s="902">
        <v>13</v>
      </c>
    </row>
    <row r="64" spans="1:12" s="903" customFormat="1">
      <c r="A64" s="898">
        <v>61</v>
      </c>
      <c r="B64" s="899" t="str">
        <f t="shared" si="0"/>
        <v>SF35L</v>
      </c>
      <c r="C64" s="1382" t="s">
        <v>1602</v>
      </c>
      <c r="D64" s="911" t="s">
        <v>1503</v>
      </c>
      <c r="E64" s="898" t="s">
        <v>1648</v>
      </c>
      <c r="F64" s="900" t="s">
        <v>1652</v>
      </c>
      <c r="G64" s="902">
        <v>35</v>
      </c>
      <c r="H64" s="902" t="s">
        <v>1653</v>
      </c>
      <c r="I64" s="902" t="s">
        <v>1627</v>
      </c>
      <c r="J64" s="902"/>
      <c r="K64" s="899" t="s">
        <v>1650</v>
      </c>
      <c r="L64" s="902">
        <v>13</v>
      </c>
    </row>
    <row r="65" spans="1:12" s="903" customFormat="1">
      <c r="A65" s="898">
        <v>62</v>
      </c>
      <c r="B65" s="899" t="str">
        <f t="shared" si="0"/>
        <v>SF40L</v>
      </c>
      <c r="C65" s="1382" t="s">
        <v>1602</v>
      </c>
      <c r="D65" s="911" t="s">
        <v>1503</v>
      </c>
      <c r="E65" s="898" t="s">
        <v>1648</v>
      </c>
      <c r="F65" s="900" t="s">
        <v>1652</v>
      </c>
      <c r="G65" s="902">
        <v>40</v>
      </c>
      <c r="H65" s="902" t="s">
        <v>1653</v>
      </c>
      <c r="I65" s="902" t="s">
        <v>1627</v>
      </c>
      <c r="J65" s="902"/>
      <c r="K65" s="899" t="s">
        <v>1650</v>
      </c>
      <c r="L65" s="902">
        <v>13</v>
      </c>
    </row>
    <row r="66" spans="1:12" s="903" customFormat="1">
      <c r="A66" s="898">
        <v>63</v>
      </c>
      <c r="B66" s="899" t="str">
        <f t="shared" si="0"/>
        <v>SF45L</v>
      </c>
      <c r="C66" s="1382" t="s">
        <v>1602</v>
      </c>
      <c r="D66" s="911" t="s">
        <v>1503</v>
      </c>
      <c r="E66" s="898" t="s">
        <v>1648</v>
      </c>
      <c r="F66" s="900" t="s">
        <v>1652</v>
      </c>
      <c r="G66" s="902">
        <v>45</v>
      </c>
      <c r="H66" s="902" t="s">
        <v>1653</v>
      </c>
      <c r="I66" s="902" t="s">
        <v>1627</v>
      </c>
      <c r="J66" s="902"/>
      <c r="K66" s="899" t="s">
        <v>1650</v>
      </c>
      <c r="L66" s="902">
        <v>13</v>
      </c>
    </row>
    <row r="67" spans="1:12" s="903" customFormat="1">
      <c r="A67" s="898">
        <v>64</v>
      </c>
      <c r="B67" s="899" t="str">
        <f t="shared" si="0"/>
        <v>SF50L</v>
      </c>
      <c r="C67" s="1382" t="s">
        <v>1602</v>
      </c>
      <c r="D67" s="911" t="s">
        <v>1503</v>
      </c>
      <c r="E67" s="898" t="s">
        <v>1648</v>
      </c>
      <c r="F67" s="900" t="s">
        <v>1652</v>
      </c>
      <c r="G67" s="902">
        <v>50</v>
      </c>
      <c r="H67" s="902" t="s">
        <v>1653</v>
      </c>
      <c r="I67" s="902" t="s">
        <v>1627</v>
      </c>
      <c r="J67" s="902"/>
      <c r="K67" s="899" t="s">
        <v>1650</v>
      </c>
      <c r="L67" s="902">
        <v>14</v>
      </c>
    </row>
    <row r="68" spans="1:12" s="903" customFormat="1">
      <c r="A68" s="898">
        <v>65</v>
      </c>
      <c r="B68" s="899" t="str">
        <f t="shared" ref="B68:B128" si="1">E68&amp;G68&amp;H68&amp;J68</f>
        <v>SF10T</v>
      </c>
      <c r="C68" s="1382" t="s">
        <v>1602</v>
      </c>
      <c r="D68" s="911" t="s">
        <v>1503</v>
      </c>
      <c r="E68" s="898" t="s">
        <v>1648</v>
      </c>
      <c r="F68" s="900" t="s">
        <v>1654</v>
      </c>
      <c r="G68" s="902">
        <v>10</v>
      </c>
      <c r="H68" s="902" t="s">
        <v>1655</v>
      </c>
      <c r="I68" s="902" t="s">
        <v>1627</v>
      </c>
      <c r="J68" s="902"/>
      <c r="K68" s="899" t="s">
        <v>1650</v>
      </c>
      <c r="L68" s="902">
        <v>14</v>
      </c>
    </row>
    <row r="69" spans="1:12" s="903" customFormat="1">
      <c r="A69" s="898">
        <v>66</v>
      </c>
      <c r="B69" s="899" t="str">
        <f t="shared" si="1"/>
        <v>SF10SL</v>
      </c>
      <c r="C69" s="1382" t="s">
        <v>1602</v>
      </c>
      <c r="D69" s="911" t="s">
        <v>1503</v>
      </c>
      <c r="E69" s="898" t="s">
        <v>1648</v>
      </c>
      <c r="F69" s="900" t="s">
        <v>1656</v>
      </c>
      <c r="G69" s="902">
        <v>10</v>
      </c>
      <c r="H69" s="902" t="s">
        <v>1657</v>
      </c>
      <c r="I69" s="902" t="s">
        <v>1627</v>
      </c>
      <c r="J69" s="902"/>
      <c r="K69" s="899" t="s">
        <v>1650</v>
      </c>
      <c r="L69" s="902">
        <v>15</v>
      </c>
    </row>
    <row r="70" spans="1:12" s="903" customFormat="1">
      <c r="A70" s="898">
        <v>67</v>
      </c>
      <c r="B70" s="899" t="str">
        <f t="shared" si="1"/>
        <v>SF10SR</v>
      </c>
      <c r="C70" s="1382" t="s">
        <v>1602</v>
      </c>
      <c r="D70" s="911" t="s">
        <v>1503</v>
      </c>
      <c r="E70" s="898" t="s">
        <v>1648</v>
      </c>
      <c r="F70" s="900" t="s">
        <v>1658</v>
      </c>
      <c r="G70" s="902">
        <v>10</v>
      </c>
      <c r="H70" s="902" t="s">
        <v>1659</v>
      </c>
      <c r="I70" s="902" t="s">
        <v>1627</v>
      </c>
      <c r="J70" s="902"/>
      <c r="K70" s="899" t="s">
        <v>1650</v>
      </c>
      <c r="L70" s="902">
        <v>16</v>
      </c>
    </row>
    <row r="71" spans="1:12" s="903" customFormat="1">
      <c r="A71" s="898">
        <v>68</v>
      </c>
      <c r="B71" s="899" t="str">
        <f t="shared" si="1"/>
        <v>SF25MP</v>
      </c>
      <c r="C71" s="1382" t="s">
        <v>1602</v>
      </c>
      <c r="D71" s="911" t="s">
        <v>1503</v>
      </c>
      <c r="E71" s="898" t="s">
        <v>1648</v>
      </c>
      <c r="F71" s="900" t="s">
        <v>1660</v>
      </c>
      <c r="G71" s="902">
        <v>25</v>
      </c>
      <c r="H71" s="902" t="s">
        <v>1661</v>
      </c>
      <c r="I71" s="902" t="s">
        <v>1627</v>
      </c>
      <c r="J71" s="902"/>
      <c r="K71" s="899" t="s">
        <v>1650</v>
      </c>
      <c r="L71" s="902">
        <v>17</v>
      </c>
    </row>
    <row r="72" spans="1:12" s="903" customFormat="1">
      <c r="A72" s="898">
        <v>69</v>
      </c>
      <c r="B72" s="899" t="str">
        <f t="shared" si="1"/>
        <v>SF30MP</v>
      </c>
      <c r="C72" s="1382" t="s">
        <v>1602</v>
      </c>
      <c r="D72" s="911" t="s">
        <v>1503</v>
      </c>
      <c r="E72" s="898" t="s">
        <v>1648</v>
      </c>
      <c r="F72" s="900" t="s">
        <v>1660</v>
      </c>
      <c r="G72" s="902">
        <v>30</v>
      </c>
      <c r="H72" s="902" t="s">
        <v>1661</v>
      </c>
      <c r="I72" s="902" t="s">
        <v>1627</v>
      </c>
      <c r="J72" s="902"/>
      <c r="K72" s="899" t="s">
        <v>1650</v>
      </c>
      <c r="L72" s="902">
        <v>17</v>
      </c>
    </row>
    <row r="73" spans="1:12" s="903" customFormat="1">
      <c r="A73" s="898">
        <v>70</v>
      </c>
      <c r="B73" s="899" t="str">
        <f t="shared" si="1"/>
        <v>SF35MP</v>
      </c>
      <c r="C73" s="1382" t="s">
        <v>1602</v>
      </c>
      <c r="D73" s="911" t="s">
        <v>1503</v>
      </c>
      <c r="E73" s="898" t="s">
        <v>1648</v>
      </c>
      <c r="F73" s="900" t="s">
        <v>1660</v>
      </c>
      <c r="G73" s="902">
        <v>35</v>
      </c>
      <c r="H73" s="902" t="s">
        <v>1661</v>
      </c>
      <c r="I73" s="902" t="s">
        <v>1627</v>
      </c>
      <c r="J73" s="902"/>
      <c r="K73" s="899" t="s">
        <v>1650</v>
      </c>
      <c r="L73" s="902">
        <v>17</v>
      </c>
    </row>
    <row r="74" spans="1:12" s="903" customFormat="1">
      <c r="A74" s="898">
        <v>71</v>
      </c>
      <c r="B74" s="899" t="str">
        <f t="shared" si="1"/>
        <v>SF40MP</v>
      </c>
      <c r="C74" s="1382" t="s">
        <v>1602</v>
      </c>
      <c r="D74" s="911" t="s">
        <v>1503</v>
      </c>
      <c r="E74" s="898" t="s">
        <v>1648</v>
      </c>
      <c r="F74" s="900" t="s">
        <v>1660</v>
      </c>
      <c r="G74" s="902">
        <v>40</v>
      </c>
      <c r="H74" s="902" t="s">
        <v>1661</v>
      </c>
      <c r="I74" s="902" t="s">
        <v>1627</v>
      </c>
      <c r="J74" s="902"/>
      <c r="K74" s="899" t="s">
        <v>1650</v>
      </c>
      <c r="L74" s="902">
        <v>17</v>
      </c>
    </row>
    <row r="75" spans="1:12" s="903" customFormat="1">
      <c r="A75" s="898">
        <v>72</v>
      </c>
      <c r="B75" s="899" t="str">
        <f t="shared" si="1"/>
        <v>SF25LL</v>
      </c>
      <c r="C75" s="1382" t="s">
        <v>1602</v>
      </c>
      <c r="D75" s="911" t="s">
        <v>1503</v>
      </c>
      <c r="E75" s="898" t="s">
        <v>1648</v>
      </c>
      <c r="F75" s="900" t="s">
        <v>1662</v>
      </c>
      <c r="G75" s="902">
        <v>25</v>
      </c>
      <c r="H75" s="902" t="s">
        <v>1663</v>
      </c>
      <c r="I75" s="902" t="s">
        <v>1627</v>
      </c>
      <c r="J75" s="902"/>
      <c r="K75" s="899" t="s">
        <v>1650</v>
      </c>
      <c r="L75" s="902">
        <v>18</v>
      </c>
    </row>
    <row r="76" spans="1:12" s="903" customFormat="1">
      <c r="A76" s="898">
        <v>73</v>
      </c>
      <c r="B76" s="899" t="str">
        <f>E76&amp;G76&amp;H76&amp;J76</f>
        <v>SF30LL</v>
      </c>
      <c r="C76" s="1382" t="s">
        <v>1602</v>
      </c>
      <c r="D76" s="911" t="s">
        <v>1503</v>
      </c>
      <c r="E76" s="898" t="s">
        <v>1648</v>
      </c>
      <c r="F76" s="900" t="s">
        <v>1662</v>
      </c>
      <c r="G76" s="902">
        <v>30</v>
      </c>
      <c r="H76" s="902" t="s">
        <v>1663</v>
      </c>
      <c r="I76" s="902" t="s">
        <v>1627</v>
      </c>
      <c r="J76" s="902"/>
      <c r="K76" s="899" t="s">
        <v>1650</v>
      </c>
      <c r="L76" s="902">
        <v>18</v>
      </c>
    </row>
    <row r="77" spans="1:12" s="903" customFormat="1">
      <c r="A77" s="898">
        <v>74</v>
      </c>
      <c r="B77" s="899" t="str">
        <f>E77&amp;G77&amp;H77&amp;J77</f>
        <v>SF35LL</v>
      </c>
      <c r="C77" s="1382" t="s">
        <v>1602</v>
      </c>
      <c r="D77" s="911" t="s">
        <v>1503</v>
      </c>
      <c r="E77" s="898" t="s">
        <v>1648</v>
      </c>
      <c r="F77" s="900" t="s">
        <v>1662</v>
      </c>
      <c r="G77" s="902">
        <v>35</v>
      </c>
      <c r="H77" s="902" t="s">
        <v>1663</v>
      </c>
      <c r="I77" s="902" t="s">
        <v>1627</v>
      </c>
      <c r="J77" s="902"/>
      <c r="K77" s="899" t="s">
        <v>1650</v>
      </c>
      <c r="L77" s="902">
        <v>18</v>
      </c>
    </row>
    <row r="78" spans="1:12" s="903" customFormat="1">
      <c r="A78" s="898">
        <v>75</v>
      </c>
      <c r="B78" s="899" t="str">
        <f>E78&amp;G78&amp;H78&amp;J78</f>
        <v>SF40LL</v>
      </c>
      <c r="C78" s="1382" t="s">
        <v>1602</v>
      </c>
      <c r="D78" s="911" t="s">
        <v>1503</v>
      </c>
      <c r="E78" s="898" t="s">
        <v>1648</v>
      </c>
      <c r="F78" s="900" t="s">
        <v>1662</v>
      </c>
      <c r="G78" s="902">
        <v>40</v>
      </c>
      <c r="H78" s="902" t="s">
        <v>1663</v>
      </c>
      <c r="I78" s="902" t="s">
        <v>1627</v>
      </c>
      <c r="J78" s="902"/>
      <c r="K78" s="899" t="s">
        <v>1650</v>
      </c>
      <c r="L78" s="902">
        <v>18</v>
      </c>
    </row>
    <row r="79" spans="1:12" s="903" customFormat="1">
      <c r="A79" s="898">
        <v>76</v>
      </c>
      <c r="B79" s="899" t="str">
        <f t="shared" si="1"/>
        <v>SF25LR</v>
      </c>
      <c r="C79" s="1382" t="s">
        <v>1602</v>
      </c>
      <c r="D79" s="911" t="s">
        <v>1503</v>
      </c>
      <c r="E79" s="898" t="s">
        <v>1648</v>
      </c>
      <c r="F79" s="900" t="s">
        <v>1664</v>
      </c>
      <c r="G79" s="902">
        <v>25</v>
      </c>
      <c r="H79" s="902" t="s">
        <v>1665</v>
      </c>
      <c r="I79" s="902" t="s">
        <v>1627</v>
      </c>
      <c r="J79" s="902"/>
      <c r="K79" s="899" t="s">
        <v>1650</v>
      </c>
      <c r="L79" s="902">
        <v>19</v>
      </c>
    </row>
    <row r="80" spans="1:12" s="903" customFormat="1">
      <c r="A80" s="898">
        <v>77</v>
      </c>
      <c r="B80" s="899" t="str">
        <f t="shared" si="1"/>
        <v>SF30LR</v>
      </c>
      <c r="C80" s="1382" t="s">
        <v>1602</v>
      </c>
      <c r="D80" s="911" t="s">
        <v>1503</v>
      </c>
      <c r="E80" s="898" t="s">
        <v>1648</v>
      </c>
      <c r="F80" s="900" t="s">
        <v>1664</v>
      </c>
      <c r="G80" s="902">
        <v>30</v>
      </c>
      <c r="H80" s="902" t="s">
        <v>1665</v>
      </c>
      <c r="I80" s="902" t="s">
        <v>1627</v>
      </c>
      <c r="J80" s="902"/>
      <c r="K80" s="899" t="s">
        <v>1650</v>
      </c>
      <c r="L80" s="902">
        <v>19</v>
      </c>
    </row>
    <row r="81" spans="1:12" s="903" customFormat="1">
      <c r="A81" s="898">
        <v>78</v>
      </c>
      <c r="B81" s="899" t="str">
        <f t="shared" si="1"/>
        <v>SF35LR</v>
      </c>
      <c r="C81" s="1382" t="s">
        <v>1602</v>
      </c>
      <c r="D81" s="911" t="s">
        <v>1503</v>
      </c>
      <c r="E81" s="898" t="s">
        <v>1648</v>
      </c>
      <c r="F81" s="900" t="s">
        <v>1664</v>
      </c>
      <c r="G81" s="902">
        <v>35</v>
      </c>
      <c r="H81" s="902" t="s">
        <v>1665</v>
      </c>
      <c r="I81" s="902" t="s">
        <v>1627</v>
      </c>
      <c r="J81" s="902"/>
      <c r="K81" s="899" t="s">
        <v>1650</v>
      </c>
      <c r="L81" s="902">
        <v>19</v>
      </c>
    </row>
    <row r="82" spans="1:12" s="903" customFormat="1">
      <c r="A82" s="898">
        <v>79</v>
      </c>
      <c r="B82" s="899" t="str">
        <f t="shared" si="1"/>
        <v>SF40LR</v>
      </c>
      <c r="C82" s="1382" t="s">
        <v>1602</v>
      </c>
      <c r="D82" s="911" t="s">
        <v>1503</v>
      </c>
      <c r="E82" s="898" t="s">
        <v>1648</v>
      </c>
      <c r="F82" s="900" t="s">
        <v>1664</v>
      </c>
      <c r="G82" s="902">
        <v>40</v>
      </c>
      <c r="H82" s="902" t="s">
        <v>1665</v>
      </c>
      <c r="I82" s="902" t="s">
        <v>1627</v>
      </c>
      <c r="J82" s="902"/>
      <c r="K82" s="899" t="s">
        <v>1650</v>
      </c>
      <c r="L82" s="902">
        <v>19</v>
      </c>
    </row>
    <row r="83" spans="1:12" s="903" customFormat="1">
      <c r="A83" s="898">
        <v>80</v>
      </c>
      <c r="B83" s="899" t="str">
        <f t="shared" si="1"/>
        <v>SF10TL</v>
      </c>
      <c r="C83" s="1382" t="s">
        <v>1602</v>
      </c>
      <c r="D83" s="911" t="s">
        <v>1503</v>
      </c>
      <c r="E83" s="898" t="s">
        <v>1648</v>
      </c>
      <c r="F83" s="900" t="s">
        <v>1666</v>
      </c>
      <c r="G83" s="902">
        <v>10</v>
      </c>
      <c r="H83" s="902" t="s">
        <v>1667</v>
      </c>
      <c r="I83" s="902" t="s">
        <v>1627</v>
      </c>
      <c r="J83" s="902"/>
      <c r="K83" s="899" t="s">
        <v>1650</v>
      </c>
      <c r="L83" s="902">
        <v>20</v>
      </c>
    </row>
    <row r="84" spans="1:12" s="903" customFormat="1">
      <c r="A84" s="898">
        <v>81</v>
      </c>
      <c r="B84" s="899" t="str">
        <f t="shared" si="1"/>
        <v>SF10TR</v>
      </c>
      <c r="C84" s="1382" t="s">
        <v>1602</v>
      </c>
      <c r="D84" s="911" t="s">
        <v>1503</v>
      </c>
      <c r="E84" s="898" t="s">
        <v>1648</v>
      </c>
      <c r="F84" s="900" t="s">
        <v>1668</v>
      </c>
      <c r="G84" s="902">
        <v>10</v>
      </c>
      <c r="H84" s="902" t="s">
        <v>1669</v>
      </c>
      <c r="I84" s="902" t="s">
        <v>1627</v>
      </c>
      <c r="J84" s="902"/>
      <c r="K84" s="899" t="s">
        <v>1650</v>
      </c>
      <c r="L84" s="902">
        <v>21</v>
      </c>
    </row>
    <row r="85" spans="1:12" s="903" customFormat="1">
      <c r="A85" s="898">
        <v>82</v>
      </c>
      <c r="B85" s="899" t="str">
        <f t="shared" si="1"/>
        <v>SL20S</v>
      </c>
      <c r="C85" s="1382" t="s">
        <v>1602</v>
      </c>
      <c r="D85" s="910" t="s">
        <v>1504</v>
      </c>
      <c r="E85" s="898" t="s">
        <v>1657</v>
      </c>
      <c r="F85" s="900" t="s">
        <v>1670</v>
      </c>
      <c r="G85" s="912">
        <v>20</v>
      </c>
      <c r="H85" s="902" t="s">
        <v>1647</v>
      </c>
      <c r="I85" s="902" t="s">
        <v>1627</v>
      </c>
      <c r="J85" s="902"/>
      <c r="K85" s="899" t="s">
        <v>1650</v>
      </c>
      <c r="L85" s="902">
        <v>22</v>
      </c>
    </row>
    <row r="86" spans="1:12" s="903" customFormat="1">
      <c r="A86" s="898">
        <v>83</v>
      </c>
      <c r="B86" s="899" t="str">
        <f t="shared" si="1"/>
        <v>SL20SL</v>
      </c>
      <c r="C86" s="1382" t="s">
        <v>1602</v>
      </c>
      <c r="D86" s="910" t="s">
        <v>1504</v>
      </c>
      <c r="E86" s="898" t="s">
        <v>1657</v>
      </c>
      <c r="F86" s="900" t="s">
        <v>1656</v>
      </c>
      <c r="G86" s="912">
        <v>20</v>
      </c>
      <c r="H86" s="902" t="s">
        <v>1657</v>
      </c>
      <c r="I86" s="902" t="s">
        <v>1627</v>
      </c>
      <c r="J86" s="902"/>
      <c r="K86" s="899" t="s">
        <v>1650</v>
      </c>
      <c r="L86" s="902">
        <v>24</v>
      </c>
    </row>
    <row r="87" spans="1:12" s="903" customFormat="1">
      <c r="A87" s="898">
        <v>84</v>
      </c>
      <c r="B87" s="899" t="str">
        <f t="shared" si="1"/>
        <v>SL20SR</v>
      </c>
      <c r="C87" s="1382" t="s">
        <v>1602</v>
      </c>
      <c r="D87" s="910" t="s">
        <v>1504</v>
      </c>
      <c r="E87" s="898" t="s">
        <v>1657</v>
      </c>
      <c r="F87" s="900" t="s">
        <v>1658</v>
      </c>
      <c r="G87" s="912">
        <v>20</v>
      </c>
      <c r="H87" s="902" t="s">
        <v>1659</v>
      </c>
      <c r="I87" s="902" t="s">
        <v>1627</v>
      </c>
      <c r="J87" s="902"/>
      <c r="K87" s="899" t="s">
        <v>1650</v>
      </c>
      <c r="L87" s="902">
        <v>25</v>
      </c>
    </row>
    <row r="88" spans="1:12" s="903" customFormat="1">
      <c r="A88" s="898">
        <v>85</v>
      </c>
      <c r="B88" s="899" t="str">
        <f t="shared" si="1"/>
        <v>SL20T</v>
      </c>
      <c r="C88" s="1382" t="s">
        <v>1602</v>
      </c>
      <c r="D88" s="910" t="s">
        <v>1504</v>
      </c>
      <c r="E88" s="898" t="s">
        <v>1657</v>
      </c>
      <c r="F88" s="900" t="s">
        <v>1654</v>
      </c>
      <c r="G88" s="912">
        <v>20</v>
      </c>
      <c r="H88" s="902" t="s">
        <v>1655</v>
      </c>
      <c r="I88" s="902" t="s">
        <v>1627</v>
      </c>
      <c r="J88" s="902"/>
      <c r="K88" s="899" t="s">
        <v>1650</v>
      </c>
      <c r="L88" s="902">
        <v>23</v>
      </c>
    </row>
    <row r="89" spans="1:12" s="903" customFormat="1">
      <c r="A89" s="898">
        <v>86</v>
      </c>
      <c r="B89" s="899" t="str">
        <f t="shared" si="1"/>
        <v>SL20TL</v>
      </c>
      <c r="C89" s="1382" t="s">
        <v>1602</v>
      </c>
      <c r="D89" s="910" t="s">
        <v>1504</v>
      </c>
      <c r="E89" s="898" t="s">
        <v>1657</v>
      </c>
      <c r="F89" s="900" t="s">
        <v>1666</v>
      </c>
      <c r="G89" s="912">
        <v>20</v>
      </c>
      <c r="H89" s="902" t="s">
        <v>1667</v>
      </c>
      <c r="I89" s="902" t="s">
        <v>1627</v>
      </c>
      <c r="J89" s="902"/>
      <c r="K89" s="899" t="s">
        <v>1650</v>
      </c>
      <c r="L89" s="902">
        <v>26</v>
      </c>
    </row>
    <row r="90" spans="1:12" s="903" customFormat="1">
      <c r="A90" s="898">
        <v>87</v>
      </c>
      <c r="B90" s="899" t="str">
        <f t="shared" si="1"/>
        <v>SL20TR</v>
      </c>
      <c r="C90" s="1382" t="s">
        <v>1602</v>
      </c>
      <c r="D90" s="910" t="s">
        <v>1504</v>
      </c>
      <c r="E90" s="898" t="s">
        <v>1657</v>
      </c>
      <c r="F90" s="900" t="s">
        <v>1671</v>
      </c>
      <c r="G90" s="912">
        <v>20</v>
      </c>
      <c r="H90" s="902" t="s">
        <v>1669</v>
      </c>
      <c r="I90" s="902" t="s">
        <v>1627</v>
      </c>
      <c r="J90" s="902"/>
      <c r="K90" s="899" t="s">
        <v>1650</v>
      </c>
      <c r="L90" s="902">
        <v>27</v>
      </c>
    </row>
    <row r="91" spans="1:12" s="903" customFormat="1">
      <c r="A91" s="898">
        <v>88</v>
      </c>
      <c r="B91" s="899" t="str">
        <f t="shared" si="1"/>
        <v>SL15S</v>
      </c>
      <c r="C91" s="1382" t="s">
        <v>1602</v>
      </c>
      <c r="D91" s="910" t="s">
        <v>1505</v>
      </c>
      <c r="E91" s="898" t="s">
        <v>1657</v>
      </c>
      <c r="F91" s="900" t="s">
        <v>1670</v>
      </c>
      <c r="G91" s="912">
        <v>15</v>
      </c>
      <c r="H91" s="902" t="s">
        <v>1647</v>
      </c>
      <c r="I91" s="902" t="s">
        <v>1627</v>
      </c>
      <c r="J91" s="902"/>
      <c r="K91" s="899" t="s">
        <v>1650</v>
      </c>
      <c r="L91" s="902">
        <v>28</v>
      </c>
    </row>
    <row r="92" spans="1:12" s="903" customFormat="1">
      <c r="A92" s="898">
        <v>89</v>
      </c>
      <c r="B92" s="899" t="str">
        <f t="shared" si="1"/>
        <v>SL15SL</v>
      </c>
      <c r="C92" s="1382" t="s">
        <v>1602</v>
      </c>
      <c r="D92" s="910" t="s">
        <v>1505</v>
      </c>
      <c r="E92" s="898" t="s">
        <v>1657</v>
      </c>
      <c r="F92" s="900" t="s">
        <v>1656</v>
      </c>
      <c r="G92" s="912">
        <v>15</v>
      </c>
      <c r="H92" s="902" t="s">
        <v>1657</v>
      </c>
      <c r="I92" s="902" t="s">
        <v>1627</v>
      </c>
      <c r="J92" s="902"/>
      <c r="K92" s="899" t="s">
        <v>1650</v>
      </c>
      <c r="L92" s="902">
        <v>30</v>
      </c>
    </row>
    <row r="93" spans="1:12" s="903" customFormat="1">
      <c r="A93" s="898">
        <v>90</v>
      </c>
      <c r="B93" s="899" t="str">
        <f t="shared" si="1"/>
        <v>SL15SR</v>
      </c>
      <c r="C93" s="1382" t="s">
        <v>1602</v>
      </c>
      <c r="D93" s="910" t="s">
        <v>1505</v>
      </c>
      <c r="E93" s="898" t="s">
        <v>1657</v>
      </c>
      <c r="F93" s="900" t="s">
        <v>1658</v>
      </c>
      <c r="G93" s="912">
        <v>15</v>
      </c>
      <c r="H93" s="902" t="s">
        <v>1659</v>
      </c>
      <c r="I93" s="902" t="s">
        <v>1627</v>
      </c>
      <c r="J93" s="902"/>
      <c r="K93" s="902"/>
      <c r="L93" s="902">
        <v>31</v>
      </c>
    </row>
    <row r="94" spans="1:12" s="903" customFormat="1">
      <c r="A94" s="898">
        <v>91</v>
      </c>
      <c r="B94" s="899" t="str">
        <f t="shared" si="1"/>
        <v>SL15T</v>
      </c>
      <c r="C94" s="1382" t="s">
        <v>1602</v>
      </c>
      <c r="D94" s="910" t="s">
        <v>1505</v>
      </c>
      <c r="E94" s="898" t="s">
        <v>1657</v>
      </c>
      <c r="F94" s="900" t="s">
        <v>1654</v>
      </c>
      <c r="G94" s="912">
        <v>15</v>
      </c>
      <c r="H94" s="902" t="s">
        <v>1655</v>
      </c>
      <c r="I94" s="902" t="s">
        <v>1627</v>
      </c>
      <c r="J94" s="902"/>
      <c r="K94" s="902"/>
      <c r="L94" s="902">
        <v>29</v>
      </c>
    </row>
    <row r="95" spans="1:12" s="903" customFormat="1">
      <c r="A95" s="898">
        <v>92</v>
      </c>
      <c r="B95" s="899" t="str">
        <f t="shared" si="1"/>
        <v>SL15TL</v>
      </c>
      <c r="C95" s="1382" t="s">
        <v>1602</v>
      </c>
      <c r="D95" s="910" t="s">
        <v>1505</v>
      </c>
      <c r="E95" s="898" t="s">
        <v>1657</v>
      </c>
      <c r="F95" s="900" t="s">
        <v>1666</v>
      </c>
      <c r="G95" s="912">
        <v>15</v>
      </c>
      <c r="H95" s="902" t="s">
        <v>1667</v>
      </c>
      <c r="I95" s="902" t="s">
        <v>1627</v>
      </c>
      <c r="J95" s="902"/>
      <c r="K95" s="902"/>
      <c r="L95" s="902">
        <v>32</v>
      </c>
    </row>
    <row r="96" spans="1:12" s="903" customFormat="1">
      <c r="A96" s="898">
        <v>93</v>
      </c>
      <c r="B96" s="899" t="str">
        <f t="shared" si="1"/>
        <v>SL15TR</v>
      </c>
      <c r="C96" s="1382" t="s">
        <v>1602</v>
      </c>
      <c r="D96" s="910" t="s">
        <v>1505</v>
      </c>
      <c r="E96" s="898" t="s">
        <v>1657</v>
      </c>
      <c r="F96" s="900" t="s">
        <v>1668</v>
      </c>
      <c r="G96" s="912">
        <v>15</v>
      </c>
      <c r="H96" s="902" t="s">
        <v>1669</v>
      </c>
      <c r="I96" s="902" t="s">
        <v>1627</v>
      </c>
      <c r="J96" s="902"/>
      <c r="K96" s="902"/>
      <c r="L96" s="902">
        <v>33</v>
      </c>
    </row>
    <row r="97" spans="1:12" s="903" customFormat="1">
      <c r="A97" s="898">
        <v>94</v>
      </c>
      <c r="B97" s="899" t="str">
        <f t="shared" si="1"/>
        <v>SH10S</v>
      </c>
      <c r="C97" s="1382" t="s">
        <v>1602</v>
      </c>
      <c r="D97" s="911" t="s">
        <v>1506</v>
      </c>
      <c r="E97" s="898" t="s">
        <v>1672</v>
      </c>
      <c r="F97" s="900" t="s">
        <v>1670</v>
      </c>
      <c r="G97" s="902">
        <v>10</v>
      </c>
      <c r="H97" s="902" t="s">
        <v>1647</v>
      </c>
      <c r="I97" s="902" t="s">
        <v>1627</v>
      </c>
      <c r="J97" s="902"/>
      <c r="K97" s="899" t="s">
        <v>1673</v>
      </c>
      <c r="L97" s="902">
        <v>34</v>
      </c>
    </row>
    <row r="98" spans="1:12" s="903" customFormat="1">
      <c r="A98" s="898">
        <v>97</v>
      </c>
      <c r="B98" s="899" t="str">
        <f t="shared" si="1"/>
        <v>SH25M</v>
      </c>
      <c r="C98" s="1382" t="s">
        <v>1602</v>
      </c>
      <c r="D98" s="911" t="s">
        <v>1506</v>
      </c>
      <c r="E98" s="898" t="s">
        <v>1672</v>
      </c>
      <c r="F98" s="900" t="s">
        <v>1651</v>
      </c>
      <c r="G98" s="902">
        <v>25</v>
      </c>
      <c r="H98" s="902" t="s">
        <v>1626</v>
      </c>
      <c r="I98" s="902" t="s">
        <v>1627</v>
      </c>
      <c r="J98" s="902"/>
      <c r="K98" s="899"/>
      <c r="L98" s="902">
        <v>35</v>
      </c>
    </row>
    <row r="99" spans="1:12" s="903" customFormat="1">
      <c r="A99" s="898">
        <v>98</v>
      </c>
      <c r="B99" s="899" t="str">
        <f>E99&amp;G99&amp;H99&amp;J99</f>
        <v>SH30M</v>
      </c>
      <c r="C99" s="1382" t="s">
        <v>1602</v>
      </c>
      <c r="D99" s="911" t="s">
        <v>1506</v>
      </c>
      <c r="E99" s="898" t="s">
        <v>1672</v>
      </c>
      <c r="F99" s="900" t="s">
        <v>1651</v>
      </c>
      <c r="G99" s="902">
        <v>30</v>
      </c>
      <c r="H99" s="902" t="s">
        <v>1626</v>
      </c>
      <c r="I99" s="902" t="s">
        <v>1627</v>
      </c>
      <c r="J99" s="902"/>
      <c r="K99" s="899"/>
      <c r="L99" s="902">
        <v>35</v>
      </c>
    </row>
    <row r="100" spans="1:12" s="903" customFormat="1">
      <c r="A100" s="898">
        <v>99</v>
      </c>
      <c r="B100" s="899" t="str">
        <f>E100&amp;G100&amp;H100&amp;J100</f>
        <v>SH35M</v>
      </c>
      <c r="C100" s="1382" t="s">
        <v>1602</v>
      </c>
      <c r="D100" s="911" t="s">
        <v>1506</v>
      </c>
      <c r="E100" s="898" t="s">
        <v>1672</v>
      </c>
      <c r="F100" s="900" t="s">
        <v>1651</v>
      </c>
      <c r="G100" s="902">
        <v>35</v>
      </c>
      <c r="H100" s="902" t="s">
        <v>1626</v>
      </c>
      <c r="I100" s="902" t="s">
        <v>1627</v>
      </c>
      <c r="J100" s="902"/>
      <c r="K100" s="899"/>
      <c r="L100" s="902">
        <v>35</v>
      </c>
    </row>
    <row r="101" spans="1:12" s="903" customFormat="1">
      <c r="A101" s="898">
        <v>100</v>
      </c>
      <c r="B101" s="899" t="str">
        <f>E101&amp;G101&amp;H101&amp;J101</f>
        <v>SH40M</v>
      </c>
      <c r="C101" s="1382" t="s">
        <v>1602</v>
      </c>
      <c r="D101" s="911" t="s">
        <v>1506</v>
      </c>
      <c r="E101" s="898" t="s">
        <v>1672</v>
      </c>
      <c r="F101" s="900" t="s">
        <v>1651</v>
      </c>
      <c r="G101" s="902">
        <v>40</v>
      </c>
      <c r="H101" s="902" t="s">
        <v>1626</v>
      </c>
      <c r="I101" s="902" t="s">
        <v>1627</v>
      </c>
      <c r="J101" s="902"/>
      <c r="K101" s="899"/>
      <c r="L101" s="902">
        <v>35</v>
      </c>
    </row>
    <row r="102" spans="1:12" s="903" customFormat="1">
      <c r="A102" s="898">
        <v>101</v>
      </c>
      <c r="B102" s="899" t="str">
        <f>E102&amp;G102&amp;H102&amp;J102</f>
        <v>SH25L</v>
      </c>
      <c r="C102" s="1382" t="s">
        <v>1602</v>
      </c>
      <c r="D102" s="911" t="s">
        <v>1506</v>
      </c>
      <c r="E102" s="898" t="s">
        <v>1672</v>
      </c>
      <c r="F102" s="900" t="s">
        <v>1652</v>
      </c>
      <c r="G102" s="902">
        <v>25</v>
      </c>
      <c r="H102" s="902" t="s">
        <v>1653</v>
      </c>
      <c r="I102" s="902" t="s">
        <v>1627</v>
      </c>
      <c r="J102" s="902"/>
      <c r="K102" s="899"/>
      <c r="L102" s="902">
        <v>36</v>
      </c>
    </row>
    <row r="103" spans="1:12" s="903" customFormat="1">
      <c r="A103" s="898">
        <v>102</v>
      </c>
      <c r="B103" s="899" t="str">
        <f t="shared" ref="B103" si="2">E103&amp;G103&amp;H103&amp;J103</f>
        <v>SH30L</v>
      </c>
      <c r="C103" s="1382" t="s">
        <v>1602</v>
      </c>
      <c r="D103" s="911" t="s">
        <v>1506</v>
      </c>
      <c r="E103" s="898" t="s">
        <v>1672</v>
      </c>
      <c r="F103" s="900" t="s">
        <v>1652</v>
      </c>
      <c r="G103" s="902">
        <v>30</v>
      </c>
      <c r="H103" s="902" t="s">
        <v>1653</v>
      </c>
      <c r="I103" s="902" t="s">
        <v>1627</v>
      </c>
      <c r="J103" s="902"/>
      <c r="K103" s="899"/>
      <c r="L103" s="902">
        <v>36</v>
      </c>
    </row>
    <row r="104" spans="1:12" s="903" customFormat="1">
      <c r="A104" s="898">
        <v>103</v>
      </c>
      <c r="B104" s="899" t="str">
        <f>E104&amp;G104&amp;H104&amp;J104</f>
        <v>SH35L</v>
      </c>
      <c r="C104" s="1382" t="s">
        <v>1602</v>
      </c>
      <c r="D104" s="911" t="s">
        <v>1506</v>
      </c>
      <c r="E104" s="898" t="s">
        <v>1672</v>
      </c>
      <c r="F104" s="900" t="s">
        <v>1652</v>
      </c>
      <c r="G104" s="902">
        <v>35</v>
      </c>
      <c r="H104" s="902" t="s">
        <v>1653</v>
      </c>
      <c r="I104" s="902" t="s">
        <v>1627</v>
      </c>
      <c r="J104" s="902"/>
      <c r="K104" s="899"/>
      <c r="L104" s="902">
        <v>36</v>
      </c>
    </row>
    <row r="105" spans="1:12" s="903" customFormat="1">
      <c r="A105" s="898">
        <v>104</v>
      </c>
      <c r="B105" s="899" t="str">
        <f>E105&amp;G105&amp;H105&amp;J105</f>
        <v>SH40L</v>
      </c>
      <c r="C105" s="1382" t="s">
        <v>1602</v>
      </c>
      <c r="D105" s="911" t="s">
        <v>1506</v>
      </c>
      <c r="E105" s="898" t="s">
        <v>1672</v>
      </c>
      <c r="F105" s="900" t="s">
        <v>1674</v>
      </c>
      <c r="G105" s="902">
        <v>40</v>
      </c>
      <c r="H105" s="902" t="s">
        <v>1653</v>
      </c>
      <c r="I105" s="902" t="s">
        <v>1627</v>
      </c>
      <c r="J105" s="902"/>
      <c r="K105" s="899"/>
      <c r="L105" s="902">
        <v>36</v>
      </c>
    </row>
    <row r="106" spans="1:12" s="903" customFormat="1">
      <c r="A106" s="898">
        <v>105</v>
      </c>
      <c r="B106" s="899" t="str">
        <f>E106&amp;G106&amp;H106&amp;J106</f>
        <v>SH10T</v>
      </c>
      <c r="C106" s="1382" t="s">
        <v>1602</v>
      </c>
      <c r="D106" s="911" t="s">
        <v>1506</v>
      </c>
      <c r="E106" s="898" t="s">
        <v>1672</v>
      </c>
      <c r="F106" s="900" t="s">
        <v>1654</v>
      </c>
      <c r="G106" s="902">
        <v>10</v>
      </c>
      <c r="H106" s="902" t="s">
        <v>1655</v>
      </c>
      <c r="I106" s="902" t="s">
        <v>1627</v>
      </c>
      <c r="J106" s="902"/>
      <c r="K106" s="899"/>
      <c r="L106" s="902">
        <v>37</v>
      </c>
    </row>
    <row r="107" spans="1:12" s="903" customFormat="1">
      <c r="A107" s="898">
        <v>95</v>
      </c>
      <c r="B107" s="899" t="str">
        <f>E107&amp;G107&amp;H107&amp;J107</f>
        <v>SH10SL</v>
      </c>
      <c r="C107" s="1382" t="s">
        <v>1602</v>
      </c>
      <c r="D107" s="911" t="s">
        <v>1506</v>
      </c>
      <c r="E107" s="898" t="s">
        <v>1672</v>
      </c>
      <c r="F107" s="900" t="s">
        <v>1656</v>
      </c>
      <c r="G107" s="902">
        <v>10</v>
      </c>
      <c r="H107" s="902" t="s">
        <v>1657</v>
      </c>
      <c r="I107" s="902" t="s">
        <v>1627</v>
      </c>
      <c r="J107" s="902"/>
      <c r="K107" s="899" t="s">
        <v>1673</v>
      </c>
      <c r="L107" s="902"/>
    </row>
    <row r="108" spans="1:12" s="903" customFormat="1">
      <c r="A108" s="898">
        <v>96</v>
      </c>
      <c r="B108" s="899" t="str">
        <f>E108&amp;G108&amp;H108&amp;J108</f>
        <v>SH10SR</v>
      </c>
      <c r="C108" s="1382" t="s">
        <v>1602</v>
      </c>
      <c r="D108" s="911" t="s">
        <v>1506</v>
      </c>
      <c r="E108" s="898" t="s">
        <v>1672</v>
      </c>
      <c r="F108" s="900" t="s">
        <v>1658</v>
      </c>
      <c r="G108" s="902">
        <v>10</v>
      </c>
      <c r="H108" s="902" t="s">
        <v>1659</v>
      </c>
      <c r="I108" s="902" t="s">
        <v>1627</v>
      </c>
      <c r="J108" s="902"/>
      <c r="K108" s="899" t="s">
        <v>1673</v>
      </c>
      <c r="L108" s="902"/>
    </row>
    <row r="109" spans="1:12" s="903" customFormat="1">
      <c r="A109" s="898">
        <v>106</v>
      </c>
      <c r="B109" s="899" t="str">
        <f t="shared" si="1"/>
        <v>SH25ML</v>
      </c>
      <c r="C109" s="1382" t="s">
        <v>1602</v>
      </c>
      <c r="D109" s="911" t="s">
        <v>1506</v>
      </c>
      <c r="E109" s="898" t="s">
        <v>1672</v>
      </c>
      <c r="F109" s="900" t="s">
        <v>1660</v>
      </c>
      <c r="G109" s="902">
        <v>25</v>
      </c>
      <c r="H109" s="902" t="s">
        <v>1675</v>
      </c>
      <c r="I109" s="902" t="s">
        <v>1627</v>
      </c>
      <c r="J109" s="902"/>
      <c r="K109" s="899"/>
      <c r="L109" s="902"/>
    </row>
    <row r="110" spans="1:12" s="903" customFormat="1">
      <c r="A110" s="898">
        <v>107</v>
      </c>
      <c r="B110" s="899" t="str">
        <f t="shared" si="1"/>
        <v>SH30ML</v>
      </c>
      <c r="C110" s="1382" t="s">
        <v>1602</v>
      </c>
      <c r="D110" s="911" t="s">
        <v>1506</v>
      </c>
      <c r="E110" s="898" t="s">
        <v>1672</v>
      </c>
      <c r="F110" s="900" t="s">
        <v>1660</v>
      </c>
      <c r="G110" s="902">
        <v>30</v>
      </c>
      <c r="H110" s="902" t="s">
        <v>1675</v>
      </c>
      <c r="I110" s="902" t="s">
        <v>1627</v>
      </c>
      <c r="J110" s="902"/>
      <c r="K110" s="899"/>
      <c r="L110" s="902"/>
    </row>
    <row r="111" spans="1:12" s="903" customFormat="1">
      <c r="A111" s="898">
        <v>108</v>
      </c>
      <c r="B111" s="899" t="str">
        <f t="shared" si="1"/>
        <v>SH35ML</v>
      </c>
      <c r="C111" s="1382" t="s">
        <v>1602</v>
      </c>
      <c r="D111" s="911" t="s">
        <v>1506</v>
      </c>
      <c r="E111" s="898" t="s">
        <v>1672</v>
      </c>
      <c r="F111" s="900" t="s">
        <v>1660</v>
      </c>
      <c r="G111" s="902">
        <v>35</v>
      </c>
      <c r="H111" s="902" t="s">
        <v>1675</v>
      </c>
      <c r="I111" s="902" t="s">
        <v>1627</v>
      </c>
      <c r="J111" s="902"/>
      <c r="K111" s="899"/>
      <c r="L111" s="902"/>
    </row>
    <row r="112" spans="1:12" s="903" customFormat="1">
      <c r="A112" s="898">
        <v>109</v>
      </c>
      <c r="B112" s="899" t="str">
        <f t="shared" si="1"/>
        <v>SH40ML</v>
      </c>
      <c r="C112" s="1382" t="s">
        <v>1602</v>
      </c>
      <c r="D112" s="911" t="s">
        <v>1506</v>
      </c>
      <c r="E112" s="898" t="s">
        <v>1672</v>
      </c>
      <c r="F112" s="900" t="s">
        <v>1660</v>
      </c>
      <c r="G112" s="902">
        <v>40</v>
      </c>
      <c r="H112" s="902" t="s">
        <v>1675</v>
      </c>
      <c r="I112" s="902" t="s">
        <v>1627</v>
      </c>
      <c r="J112" s="902"/>
      <c r="K112" s="899"/>
      <c r="L112" s="902"/>
    </row>
    <row r="113" spans="1:12">
      <c r="A113" s="898">
        <v>110</v>
      </c>
      <c r="B113" s="899" t="str">
        <f t="shared" si="1"/>
        <v>SH25MR</v>
      </c>
      <c r="C113" s="1382" t="s">
        <v>1602</v>
      </c>
      <c r="D113" s="911" t="s">
        <v>1506</v>
      </c>
      <c r="E113" s="898" t="s">
        <v>1672</v>
      </c>
      <c r="F113" s="900" t="s">
        <v>1676</v>
      </c>
      <c r="G113" s="902">
        <v>25</v>
      </c>
      <c r="H113" s="902" t="s">
        <v>1677</v>
      </c>
      <c r="I113" s="902" t="s">
        <v>1627</v>
      </c>
      <c r="J113" s="902"/>
      <c r="K113" s="899"/>
      <c r="L113" s="902"/>
    </row>
    <row r="114" spans="1:12">
      <c r="A114" s="898">
        <v>111</v>
      </c>
      <c r="B114" s="899" t="str">
        <f>E114&amp;G114&amp;H114&amp;J114</f>
        <v>SH30MR</v>
      </c>
      <c r="C114" s="1382" t="s">
        <v>1602</v>
      </c>
      <c r="D114" s="911" t="s">
        <v>1506</v>
      </c>
      <c r="E114" s="898" t="s">
        <v>1672</v>
      </c>
      <c r="F114" s="900" t="s">
        <v>1676</v>
      </c>
      <c r="G114" s="902">
        <v>30</v>
      </c>
      <c r="H114" s="902" t="s">
        <v>1677</v>
      </c>
      <c r="I114" s="902" t="s">
        <v>1627</v>
      </c>
      <c r="J114" s="902"/>
      <c r="K114" s="899"/>
      <c r="L114" s="902"/>
    </row>
    <row r="115" spans="1:12">
      <c r="A115" s="898">
        <v>112</v>
      </c>
      <c r="B115" s="899" t="str">
        <f>E115&amp;G115&amp;H115&amp;J115</f>
        <v>SH35MR</v>
      </c>
      <c r="C115" s="1382" t="s">
        <v>1602</v>
      </c>
      <c r="D115" s="911" t="s">
        <v>1506</v>
      </c>
      <c r="E115" s="898" t="s">
        <v>1672</v>
      </c>
      <c r="F115" s="900" t="s">
        <v>1676</v>
      </c>
      <c r="G115" s="902">
        <v>35</v>
      </c>
      <c r="H115" s="902" t="s">
        <v>1677</v>
      </c>
      <c r="I115" s="902" t="s">
        <v>1627</v>
      </c>
      <c r="J115" s="902"/>
      <c r="K115" s="899"/>
      <c r="L115" s="902"/>
    </row>
    <row r="116" spans="1:12">
      <c r="A116" s="898">
        <v>113</v>
      </c>
      <c r="B116" s="899" t="str">
        <f t="shared" ref="B116" si="3">E116&amp;G116&amp;H116&amp;J116</f>
        <v>SH40MR</v>
      </c>
      <c r="C116" s="1382" t="s">
        <v>1602</v>
      </c>
      <c r="D116" s="911" t="s">
        <v>1506</v>
      </c>
      <c r="E116" s="898" t="s">
        <v>1672</v>
      </c>
      <c r="F116" s="900" t="s">
        <v>1676</v>
      </c>
      <c r="G116" s="902">
        <v>40</v>
      </c>
      <c r="H116" s="902" t="s">
        <v>1677</v>
      </c>
      <c r="I116" s="902" t="s">
        <v>1627</v>
      </c>
      <c r="J116" s="902"/>
      <c r="K116" s="899"/>
      <c r="L116" s="902"/>
    </row>
    <row r="117" spans="1:12" s="903" customFormat="1">
      <c r="A117" s="898">
        <v>114</v>
      </c>
      <c r="B117" s="899" t="str">
        <f t="shared" si="1"/>
        <v>SH25LL</v>
      </c>
      <c r="C117" s="1382" t="s">
        <v>1602</v>
      </c>
      <c r="D117" s="911" t="s">
        <v>1506</v>
      </c>
      <c r="E117" s="898" t="s">
        <v>1672</v>
      </c>
      <c r="F117" s="900" t="s">
        <v>1662</v>
      </c>
      <c r="G117" s="902">
        <v>25</v>
      </c>
      <c r="H117" s="902" t="s">
        <v>1663</v>
      </c>
      <c r="I117" s="902" t="s">
        <v>1627</v>
      </c>
      <c r="J117" s="902"/>
      <c r="K117" s="899"/>
      <c r="L117" s="902"/>
    </row>
    <row r="118" spans="1:12" s="903" customFormat="1">
      <c r="A118" s="898">
        <v>115</v>
      </c>
      <c r="B118" s="899" t="str">
        <f>E118&amp;G118&amp;H118&amp;J118</f>
        <v>SH30LL</v>
      </c>
      <c r="C118" s="1382" t="s">
        <v>1602</v>
      </c>
      <c r="D118" s="911" t="s">
        <v>1506</v>
      </c>
      <c r="E118" s="898" t="s">
        <v>1672</v>
      </c>
      <c r="F118" s="900" t="s">
        <v>1662</v>
      </c>
      <c r="G118" s="902">
        <v>30</v>
      </c>
      <c r="H118" s="902" t="s">
        <v>1663</v>
      </c>
      <c r="I118" s="902" t="s">
        <v>1627</v>
      </c>
      <c r="J118" s="902"/>
      <c r="K118" s="899"/>
      <c r="L118" s="902"/>
    </row>
    <row r="119" spans="1:12" s="903" customFormat="1">
      <c r="A119" s="898">
        <v>116</v>
      </c>
      <c r="B119" s="899" t="str">
        <f>E119&amp;G119&amp;H119&amp;J119</f>
        <v>SH35LL</v>
      </c>
      <c r="C119" s="1382" t="s">
        <v>1602</v>
      </c>
      <c r="D119" s="911" t="s">
        <v>1506</v>
      </c>
      <c r="E119" s="898" t="s">
        <v>1672</v>
      </c>
      <c r="F119" s="900" t="s">
        <v>1662</v>
      </c>
      <c r="G119" s="902">
        <v>35</v>
      </c>
      <c r="H119" s="902" t="s">
        <v>1663</v>
      </c>
      <c r="I119" s="902" t="s">
        <v>1627</v>
      </c>
      <c r="J119" s="902"/>
      <c r="K119" s="899"/>
      <c r="L119" s="902"/>
    </row>
    <row r="120" spans="1:12" s="903" customFormat="1">
      <c r="A120" s="898">
        <v>117</v>
      </c>
      <c r="B120" s="899" t="str">
        <f>E120&amp;G120&amp;H120&amp;J120</f>
        <v>SH40LL</v>
      </c>
      <c r="C120" s="1382" t="s">
        <v>1602</v>
      </c>
      <c r="D120" s="911" t="s">
        <v>1506</v>
      </c>
      <c r="E120" s="898" t="s">
        <v>1672</v>
      </c>
      <c r="F120" s="900" t="s">
        <v>1662</v>
      </c>
      <c r="G120" s="902">
        <v>40</v>
      </c>
      <c r="H120" s="902" t="s">
        <v>1663</v>
      </c>
      <c r="I120" s="902" t="s">
        <v>1627</v>
      </c>
      <c r="J120" s="902"/>
      <c r="K120" s="899"/>
      <c r="L120" s="902"/>
    </row>
    <row r="121" spans="1:12" s="903" customFormat="1">
      <c r="A121" s="898">
        <v>118</v>
      </c>
      <c r="B121" s="899" t="str">
        <f>E121&amp;G121&amp;H121&amp;J121</f>
        <v>SH25LR</v>
      </c>
      <c r="C121" s="1382" t="s">
        <v>1602</v>
      </c>
      <c r="D121" s="911" t="s">
        <v>1506</v>
      </c>
      <c r="E121" s="898" t="s">
        <v>1672</v>
      </c>
      <c r="F121" s="900" t="s">
        <v>1664</v>
      </c>
      <c r="G121" s="902">
        <v>25</v>
      </c>
      <c r="H121" s="902" t="s">
        <v>1665</v>
      </c>
      <c r="I121" s="902" t="s">
        <v>1627</v>
      </c>
      <c r="J121" s="902"/>
      <c r="K121" s="899"/>
      <c r="L121" s="902"/>
    </row>
    <row r="122" spans="1:12" s="903" customFormat="1">
      <c r="A122" s="898">
        <v>119</v>
      </c>
      <c r="B122" s="899" t="str">
        <f>E122&amp;G122&amp;H122&amp;J122</f>
        <v>SH30LR</v>
      </c>
      <c r="C122" s="1382" t="s">
        <v>1602</v>
      </c>
      <c r="D122" s="911" t="s">
        <v>1506</v>
      </c>
      <c r="E122" s="898" t="s">
        <v>1672</v>
      </c>
      <c r="F122" s="900" t="s">
        <v>1664</v>
      </c>
      <c r="G122" s="902">
        <v>30</v>
      </c>
      <c r="H122" s="902" t="s">
        <v>1665</v>
      </c>
      <c r="I122" s="902" t="s">
        <v>1627</v>
      </c>
      <c r="J122" s="902"/>
      <c r="K122" s="899"/>
      <c r="L122" s="902"/>
    </row>
    <row r="123" spans="1:12" s="903" customFormat="1">
      <c r="A123" s="898">
        <v>120</v>
      </c>
      <c r="B123" s="899" t="str">
        <f t="shared" si="1"/>
        <v>SH35LR</v>
      </c>
      <c r="C123" s="1382" t="s">
        <v>1602</v>
      </c>
      <c r="D123" s="911" t="s">
        <v>1506</v>
      </c>
      <c r="E123" s="898" t="s">
        <v>1672</v>
      </c>
      <c r="F123" s="900" t="s">
        <v>1664</v>
      </c>
      <c r="G123" s="902">
        <v>35</v>
      </c>
      <c r="H123" s="902" t="s">
        <v>1665</v>
      </c>
      <c r="I123" s="902" t="s">
        <v>1627</v>
      </c>
      <c r="J123" s="902"/>
      <c r="K123" s="899"/>
      <c r="L123" s="902"/>
    </row>
    <row r="124" spans="1:12" s="903" customFormat="1">
      <c r="A124" s="898">
        <v>121</v>
      </c>
      <c r="B124" s="899" t="str">
        <f t="shared" si="1"/>
        <v>SH40LR</v>
      </c>
      <c r="C124" s="1382" t="s">
        <v>1602</v>
      </c>
      <c r="D124" s="911" t="s">
        <v>1506</v>
      </c>
      <c r="E124" s="898" t="s">
        <v>1672</v>
      </c>
      <c r="F124" s="900" t="s">
        <v>1664</v>
      </c>
      <c r="G124" s="902">
        <v>40</v>
      </c>
      <c r="H124" s="902" t="s">
        <v>1665</v>
      </c>
      <c r="I124" s="902" t="s">
        <v>1627</v>
      </c>
      <c r="J124" s="902"/>
      <c r="K124" s="899"/>
      <c r="L124" s="902"/>
    </row>
    <row r="125" spans="1:12" s="903" customFormat="1">
      <c r="A125" s="898">
        <v>122</v>
      </c>
      <c r="B125" s="899" t="str">
        <f t="shared" si="1"/>
        <v>SH10TL</v>
      </c>
      <c r="C125" s="1382" t="s">
        <v>1602</v>
      </c>
      <c r="D125" s="911" t="s">
        <v>1506</v>
      </c>
      <c r="E125" s="898" t="s">
        <v>1672</v>
      </c>
      <c r="F125" s="900" t="s">
        <v>1666</v>
      </c>
      <c r="G125" s="902">
        <v>10</v>
      </c>
      <c r="H125" s="902" t="s">
        <v>1667</v>
      </c>
      <c r="I125" s="902" t="s">
        <v>1627</v>
      </c>
      <c r="J125" s="902"/>
      <c r="K125" s="899"/>
      <c r="L125" s="902"/>
    </row>
    <row r="126" spans="1:12" s="903" customFormat="1">
      <c r="A126" s="898">
        <v>123</v>
      </c>
      <c r="B126" s="899" t="str">
        <f t="shared" si="1"/>
        <v>SH10TR</v>
      </c>
      <c r="C126" s="1382" t="s">
        <v>1602</v>
      </c>
      <c r="D126" s="911" t="s">
        <v>1506</v>
      </c>
      <c r="E126" s="898" t="s">
        <v>1672</v>
      </c>
      <c r="F126" s="900" t="s">
        <v>1668</v>
      </c>
      <c r="G126" s="902">
        <v>10</v>
      </c>
      <c r="H126" s="902" t="s">
        <v>1669</v>
      </c>
      <c r="I126" s="902" t="s">
        <v>1627</v>
      </c>
      <c r="J126" s="902"/>
      <c r="K126" s="902"/>
      <c r="L126" s="902"/>
    </row>
    <row r="127" spans="1:12" s="903" customFormat="1" ht="16.899999999999999" customHeight="1">
      <c r="A127" s="898">
        <v>124</v>
      </c>
      <c r="B127" s="899" t="str">
        <f>E127&amp;G127&amp;H127&amp;J127</f>
        <v>SN10S</v>
      </c>
      <c r="C127" s="1382" t="s">
        <v>1602</v>
      </c>
      <c r="D127" s="911" t="s">
        <v>1507</v>
      </c>
      <c r="E127" s="898" t="s">
        <v>1678</v>
      </c>
      <c r="F127" s="900" t="s">
        <v>1670</v>
      </c>
      <c r="G127" s="902">
        <v>10</v>
      </c>
      <c r="H127" s="902" t="s">
        <v>1647</v>
      </c>
      <c r="I127" s="902" t="s">
        <v>1627</v>
      </c>
      <c r="J127" s="902"/>
      <c r="K127" s="902"/>
      <c r="L127" s="902">
        <v>38</v>
      </c>
    </row>
    <row r="128" spans="1:12" s="903" customFormat="1" ht="16.899999999999999" customHeight="1">
      <c r="A128" s="898">
        <v>125</v>
      </c>
      <c r="B128" s="899" t="str">
        <f t="shared" si="1"/>
        <v>SN25M</v>
      </c>
      <c r="C128" s="1382" t="s">
        <v>1602</v>
      </c>
      <c r="D128" s="911" t="s">
        <v>1507</v>
      </c>
      <c r="E128" s="898" t="s">
        <v>1678</v>
      </c>
      <c r="F128" s="900" t="s">
        <v>1651</v>
      </c>
      <c r="G128" s="902">
        <v>25</v>
      </c>
      <c r="H128" s="902" t="s">
        <v>1626</v>
      </c>
      <c r="I128" s="902" t="s">
        <v>1627</v>
      </c>
      <c r="J128" s="902"/>
      <c r="K128" s="902"/>
      <c r="L128" s="902">
        <v>39</v>
      </c>
    </row>
    <row r="129" spans="1:12" s="903" customFormat="1" ht="16.899999999999999" customHeight="1">
      <c r="A129" s="898">
        <v>126</v>
      </c>
      <c r="B129" s="899" t="str">
        <f>E129&amp;G129&amp;H129&amp;J129</f>
        <v>SN30M</v>
      </c>
      <c r="C129" s="1382" t="s">
        <v>1602</v>
      </c>
      <c r="D129" s="911" t="s">
        <v>1507</v>
      </c>
      <c r="E129" s="898" t="s">
        <v>1678</v>
      </c>
      <c r="F129" s="900" t="s">
        <v>1651</v>
      </c>
      <c r="G129" s="902">
        <v>30</v>
      </c>
      <c r="H129" s="902" t="s">
        <v>1626</v>
      </c>
      <c r="I129" s="902" t="s">
        <v>1627</v>
      </c>
      <c r="J129" s="902"/>
      <c r="K129" s="902"/>
      <c r="L129" s="902">
        <v>39</v>
      </c>
    </row>
    <row r="130" spans="1:12" s="903" customFormat="1" ht="16.899999999999999" customHeight="1">
      <c r="A130" s="898">
        <v>127</v>
      </c>
      <c r="B130" s="899" t="str">
        <f>E130&amp;G130&amp;H130&amp;J130</f>
        <v>SN35M</v>
      </c>
      <c r="C130" s="1382" t="s">
        <v>1602</v>
      </c>
      <c r="D130" s="911" t="s">
        <v>1507</v>
      </c>
      <c r="E130" s="898" t="s">
        <v>1678</v>
      </c>
      <c r="F130" s="900" t="s">
        <v>1651</v>
      </c>
      <c r="G130" s="902">
        <v>35</v>
      </c>
      <c r="H130" s="902" t="s">
        <v>1626</v>
      </c>
      <c r="I130" s="902" t="s">
        <v>1627</v>
      </c>
      <c r="J130" s="902"/>
      <c r="K130" s="902"/>
      <c r="L130" s="902">
        <v>39</v>
      </c>
    </row>
    <row r="131" spans="1:12" s="903" customFormat="1" ht="16.899999999999999" customHeight="1">
      <c r="A131" s="898">
        <v>128</v>
      </c>
      <c r="B131" s="899" t="str">
        <f>E131&amp;G131&amp;H131&amp;J131</f>
        <v>SN40M</v>
      </c>
      <c r="C131" s="1382" t="s">
        <v>1602</v>
      </c>
      <c r="D131" s="911" t="s">
        <v>1507</v>
      </c>
      <c r="E131" s="898" t="s">
        <v>1678</v>
      </c>
      <c r="F131" s="900" t="s">
        <v>1651</v>
      </c>
      <c r="G131" s="902">
        <v>40</v>
      </c>
      <c r="H131" s="902" t="s">
        <v>1626</v>
      </c>
      <c r="I131" s="902" t="s">
        <v>1627</v>
      </c>
      <c r="J131" s="902"/>
      <c r="K131" s="902"/>
      <c r="L131" s="902">
        <v>39</v>
      </c>
    </row>
    <row r="132" spans="1:12" s="903" customFormat="1">
      <c r="A132" s="898">
        <v>129</v>
      </c>
      <c r="B132" s="899" t="str">
        <f t="shared" ref="B132:B185" si="4">E132&amp;G132&amp;H132&amp;J132</f>
        <v>SN25L</v>
      </c>
      <c r="C132" s="1382" t="s">
        <v>1602</v>
      </c>
      <c r="D132" s="911" t="s">
        <v>1507</v>
      </c>
      <c r="E132" s="898" t="s">
        <v>1678</v>
      </c>
      <c r="F132" s="900" t="s">
        <v>1652</v>
      </c>
      <c r="G132" s="902">
        <v>25</v>
      </c>
      <c r="H132" s="902" t="s">
        <v>1653</v>
      </c>
      <c r="I132" s="902" t="s">
        <v>1627</v>
      </c>
      <c r="J132" s="902"/>
      <c r="K132" s="902"/>
      <c r="L132" s="902">
        <v>40</v>
      </c>
    </row>
    <row r="133" spans="1:12" s="903" customFormat="1">
      <c r="A133" s="898">
        <v>130</v>
      </c>
      <c r="B133" s="899" t="str">
        <f t="shared" si="4"/>
        <v>SN30L</v>
      </c>
      <c r="C133" s="1382" t="s">
        <v>1602</v>
      </c>
      <c r="D133" s="911" t="s">
        <v>1507</v>
      </c>
      <c r="E133" s="898" t="s">
        <v>1678</v>
      </c>
      <c r="F133" s="900" t="s">
        <v>1652</v>
      </c>
      <c r="G133" s="902">
        <v>30</v>
      </c>
      <c r="H133" s="902" t="s">
        <v>1653</v>
      </c>
      <c r="I133" s="902" t="s">
        <v>1627</v>
      </c>
      <c r="J133" s="902"/>
      <c r="K133" s="902"/>
      <c r="L133" s="902">
        <v>40</v>
      </c>
    </row>
    <row r="134" spans="1:12" s="903" customFormat="1">
      <c r="A134" s="898">
        <v>131</v>
      </c>
      <c r="B134" s="899" t="str">
        <f t="shared" si="4"/>
        <v>SN35L</v>
      </c>
      <c r="C134" s="1382" t="s">
        <v>1602</v>
      </c>
      <c r="D134" s="911" t="s">
        <v>1507</v>
      </c>
      <c r="E134" s="898" t="s">
        <v>1678</v>
      </c>
      <c r="F134" s="900" t="s">
        <v>1652</v>
      </c>
      <c r="G134" s="902">
        <v>35</v>
      </c>
      <c r="H134" s="902" t="s">
        <v>1653</v>
      </c>
      <c r="I134" s="902" t="s">
        <v>1627</v>
      </c>
      <c r="J134" s="902"/>
      <c r="K134" s="902"/>
      <c r="L134" s="902">
        <v>40</v>
      </c>
    </row>
    <row r="135" spans="1:12" s="903" customFormat="1">
      <c r="A135" s="898">
        <v>132</v>
      </c>
      <c r="B135" s="899" t="str">
        <f t="shared" si="4"/>
        <v>SN40L</v>
      </c>
      <c r="C135" s="1382" t="s">
        <v>1602</v>
      </c>
      <c r="D135" s="911" t="s">
        <v>1507</v>
      </c>
      <c r="E135" s="898" t="s">
        <v>1678</v>
      </c>
      <c r="F135" s="900" t="s">
        <v>1652</v>
      </c>
      <c r="G135" s="902">
        <v>40</v>
      </c>
      <c r="H135" s="902" t="s">
        <v>1653</v>
      </c>
      <c r="I135" s="902" t="s">
        <v>1627</v>
      </c>
      <c r="J135" s="902"/>
      <c r="K135" s="902"/>
      <c r="L135" s="902">
        <v>40</v>
      </c>
    </row>
    <row r="136" spans="1:12" s="903" customFormat="1">
      <c r="A136" s="898">
        <v>133</v>
      </c>
      <c r="B136" s="899" t="str">
        <f t="shared" si="4"/>
        <v>SN10T</v>
      </c>
      <c r="C136" s="1382" t="s">
        <v>1602</v>
      </c>
      <c r="D136" s="911" t="s">
        <v>1507</v>
      </c>
      <c r="E136" s="898" t="s">
        <v>1678</v>
      </c>
      <c r="F136" s="900" t="s">
        <v>1654</v>
      </c>
      <c r="G136" s="902">
        <v>10</v>
      </c>
      <c r="H136" s="902" t="s">
        <v>1655</v>
      </c>
      <c r="I136" s="902" t="s">
        <v>1627</v>
      </c>
      <c r="J136" s="902"/>
      <c r="K136" s="902"/>
      <c r="L136" s="902">
        <v>41</v>
      </c>
    </row>
    <row r="137" spans="1:12" s="903" customFormat="1">
      <c r="A137" s="898">
        <v>134</v>
      </c>
      <c r="B137" s="899" t="str">
        <f>E137&amp;G137&amp;H137&amp;J137</f>
        <v>SN10SL</v>
      </c>
      <c r="C137" s="1382" t="s">
        <v>1602</v>
      </c>
      <c r="D137" s="911" t="s">
        <v>1507</v>
      </c>
      <c r="E137" s="898" t="s">
        <v>1678</v>
      </c>
      <c r="F137" s="900" t="s">
        <v>1679</v>
      </c>
      <c r="G137" s="902">
        <v>10</v>
      </c>
      <c r="H137" s="902" t="s">
        <v>1657</v>
      </c>
      <c r="I137" s="902" t="s">
        <v>1627</v>
      </c>
      <c r="J137" s="902"/>
      <c r="K137" s="902"/>
      <c r="L137" s="902"/>
    </row>
    <row r="138" spans="1:12" s="903" customFormat="1">
      <c r="A138" s="898">
        <v>135</v>
      </c>
      <c r="B138" s="899" t="str">
        <f>E138&amp;G138&amp;H138&amp;J138</f>
        <v>SN10SR</v>
      </c>
      <c r="C138" s="1382" t="s">
        <v>1602</v>
      </c>
      <c r="D138" s="911" t="s">
        <v>1507</v>
      </c>
      <c r="E138" s="898" t="s">
        <v>1678</v>
      </c>
      <c r="F138" s="900" t="s">
        <v>1680</v>
      </c>
      <c r="G138" s="902">
        <v>10</v>
      </c>
      <c r="H138" s="902" t="s">
        <v>1659</v>
      </c>
      <c r="I138" s="902" t="s">
        <v>1627</v>
      </c>
      <c r="J138" s="902"/>
      <c r="K138" s="902"/>
      <c r="L138" s="902"/>
    </row>
    <row r="139" spans="1:12" s="903" customFormat="1">
      <c r="A139" s="898">
        <v>136</v>
      </c>
      <c r="B139" s="899" t="str">
        <f t="shared" ref="B139:B146" si="5">E139&amp;G139&amp;H139&amp;J139</f>
        <v>SN25ML</v>
      </c>
      <c r="C139" s="1382" t="s">
        <v>1602</v>
      </c>
      <c r="D139" s="911" t="s">
        <v>1507</v>
      </c>
      <c r="E139" s="898" t="s">
        <v>1678</v>
      </c>
      <c r="F139" s="900" t="s">
        <v>1681</v>
      </c>
      <c r="G139" s="902">
        <v>25</v>
      </c>
      <c r="H139" s="902" t="s">
        <v>1675</v>
      </c>
      <c r="I139" s="902" t="s">
        <v>1627</v>
      </c>
      <c r="J139" s="902"/>
      <c r="K139" s="902"/>
      <c r="L139" s="902">
        <v>44</v>
      </c>
    </row>
    <row r="140" spans="1:12" s="903" customFormat="1">
      <c r="A140" s="898">
        <v>137</v>
      </c>
      <c r="B140" s="899" t="str">
        <f t="shared" si="5"/>
        <v>SN30ML</v>
      </c>
      <c r="C140" s="1382" t="s">
        <v>1602</v>
      </c>
      <c r="D140" s="911" t="s">
        <v>1507</v>
      </c>
      <c r="E140" s="898" t="s">
        <v>1678</v>
      </c>
      <c r="F140" s="900" t="s">
        <v>1681</v>
      </c>
      <c r="G140" s="902">
        <v>30</v>
      </c>
      <c r="H140" s="902" t="s">
        <v>1675</v>
      </c>
      <c r="I140" s="902" t="s">
        <v>1627</v>
      </c>
      <c r="J140" s="902"/>
      <c r="K140" s="902"/>
      <c r="L140" s="902">
        <v>44</v>
      </c>
    </row>
    <row r="141" spans="1:12" s="903" customFormat="1">
      <c r="A141" s="898">
        <v>138</v>
      </c>
      <c r="B141" s="899" t="str">
        <f t="shared" si="5"/>
        <v>SN35ML</v>
      </c>
      <c r="C141" s="1382" t="s">
        <v>1602</v>
      </c>
      <c r="D141" s="911" t="s">
        <v>1507</v>
      </c>
      <c r="E141" s="898" t="s">
        <v>1678</v>
      </c>
      <c r="F141" s="900" t="s">
        <v>1681</v>
      </c>
      <c r="G141" s="902">
        <v>35</v>
      </c>
      <c r="H141" s="902" t="s">
        <v>1675</v>
      </c>
      <c r="I141" s="902" t="s">
        <v>1627</v>
      </c>
      <c r="J141" s="902"/>
      <c r="K141" s="902"/>
      <c r="L141" s="902">
        <v>44</v>
      </c>
    </row>
    <row r="142" spans="1:12" s="903" customFormat="1">
      <c r="A142" s="898">
        <v>139</v>
      </c>
      <c r="B142" s="899" t="str">
        <f t="shared" si="5"/>
        <v>SN40ML</v>
      </c>
      <c r="C142" s="1382" t="s">
        <v>1602</v>
      </c>
      <c r="D142" s="911" t="s">
        <v>1507</v>
      </c>
      <c r="E142" s="898" t="s">
        <v>1678</v>
      </c>
      <c r="F142" s="900" t="s">
        <v>1681</v>
      </c>
      <c r="G142" s="902">
        <v>40</v>
      </c>
      <c r="H142" s="902" t="s">
        <v>1675</v>
      </c>
      <c r="I142" s="902" t="s">
        <v>1627</v>
      </c>
      <c r="J142" s="902"/>
      <c r="K142" s="902"/>
      <c r="L142" s="902">
        <v>44</v>
      </c>
    </row>
    <row r="143" spans="1:12" s="903" customFormat="1">
      <c r="A143" s="898">
        <v>140</v>
      </c>
      <c r="B143" s="899" t="str">
        <f t="shared" si="5"/>
        <v>SN25MR</v>
      </c>
      <c r="C143" s="1382" t="s">
        <v>1602</v>
      </c>
      <c r="D143" s="911" t="s">
        <v>1507</v>
      </c>
      <c r="E143" s="898" t="s">
        <v>1678</v>
      </c>
      <c r="F143" s="900" t="s">
        <v>1682</v>
      </c>
      <c r="G143" s="902">
        <v>25</v>
      </c>
      <c r="H143" s="902" t="s">
        <v>1677</v>
      </c>
      <c r="I143" s="902" t="s">
        <v>1627</v>
      </c>
      <c r="J143" s="902"/>
      <c r="K143" s="902"/>
      <c r="L143" s="902">
        <v>45</v>
      </c>
    </row>
    <row r="144" spans="1:12" s="903" customFormat="1">
      <c r="A144" s="898">
        <v>141</v>
      </c>
      <c r="B144" s="899" t="str">
        <f t="shared" si="5"/>
        <v>SN30MR</v>
      </c>
      <c r="C144" s="1382" t="s">
        <v>1602</v>
      </c>
      <c r="D144" s="911" t="s">
        <v>1507</v>
      </c>
      <c r="E144" s="898" t="s">
        <v>1678</v>
      </c>
      <c r="F144" s="900" t="s">
        <v>1682</v>
      </c>
      <c r="G144" s="902">
        <v>30</v>
      </c>
      <c r="H144" s="902" t="s">
        <v>1677</v>
      </c>
      <c r="I144" s="902" t="s">
        <v>1627</v>
      </c>
      <c r="J144" s="902"/>
      <c r="K144" s="902"/>
      <c r="L144" s="902">
        <v>45</v>
      </c>
    </row>
    <row r="145" spans="1:12" s="903" customFormat="1">
      <c r="A145" s="898">
        <v>142</v>
      </c>
      <c r="B145" s="899" t="str">
        <f t="shared" si="5"/>
        <v>SN35MR</v>
      </c>
      <c r="C145" s="1382" t="s">
        <v>1602</v>
      </c>
      <c r="D145" s="911" t="s">
        <v>1507</v>
      </c>
      <c r="E145" s="898" t="s">
        <v>1678</v>
      </c>
      <c r="F145" s="900" t="s">
        <v>1682</v>
      </c>
      <c r="G145" s="902">
        <v>35</v>
      </c>
      <c r="H145" s="902" t="s">
        <v>1677</v>
      </c>
      <c r="I145" s="902" t="s">
        <v>1627</v>
      </c>
      <c r="J145" s="902"/>
      <c r="K145" s="902"/>
      <c r="L145" s="902">
        <v>45</v>
      </c>
    </row>
    <row r="146" spans="1:12" s="903" customFormat="1">
      <c r="A146" s="898">
        <v>143</v>
      </c>
      <c r="B146" s="899" t="str">
        <f t="shared" si="5"/>
        <v>SN40MR</v>
      </c>
      <c r="C146" s="1382" t="s">
        <v>1602</v>
      </c>
      <c r="D146" s="911" t="s">
        <v>1507</v>
      </c>
      <c r="E146" s="898" t="s">
        <v>1678</v>
      </c>
      <c r="F146" s="900" t="s">
        <v>1682</v>
      </c>
      <c r="G146" s="902">
        <v>40</v>
      </c>
      <c r="H146" s="902" t="s">
        <v>1677</v>
      </c>
      <c r="I146" s="902" t="s">
        <v>1627</v>
      </c>
      <c r="J146" s="902"/>
      <c r="K146" s="902"/>
      <c r="L146" s="902">
        <v>45</v>
      </c>
    </row>
    <row r="147" spans="1:12" s="903" customFormat="1">
      <c r="A147" s="898">
        <v>144</v>
      </c>
      <c r="B147" s="899" t="str">
        <f t="shared" si="4"/>
        <v>SN25LL</v>
      </c>
      <c r="C147" s="1382" t="s">
        <v>1602</v>
      </c>
      <c r="D147" s="911" t="s">
        <v>1507</v>
      </c>
      <c r="E147" s="898" t="s">
        <v>1678</v>
      </c>
      <c r="F147" s="900" t="s">
        <v>1662</v>
      </c>
      <c r="G147" s="902">
        <v>25</v>
      </c>
      <c r="H147" s="902" t="s">
        <v>1663</v>
      </c>
      <c r="I147" s="902" t="s">
        <v>1627</v>
      </c>
      <c r="J147" s="902"/>
      <c r="K147" s="902"/>
      <c r="L147" s="902">
        <v>46</v>
      </c>
    </row>
    <row r="148" spans="1:12" s="903" customFormat="1">
      <c r="A148" s="898">
        <v>145</v>
      </c>
      <c r="B148" s="899" t="str">
        <f t="shared" si="4"/>
        <v>SN30LL</v>
      </c>
      <c r="C148" s="1382" t="s">
        <v>1602</v>
      </c>
      <c r="D148" s="911" t="s">
        <v>1507</v>
      </c>
      <c r="E148" s="898" t="s">
        <v>1678</v>
      </c>
      <c r="F148" s="900" t="s">
        <v>1662</v>
      </c>
      <c r="G148" s="902">
        <v>30</v>
      </c>
      <c r="H148" s="902" t="s">
        <v>1663</v>
      </c>
      <c r="I148" s="902" t="s">
        <v>1627</v>
      </c>
      <c r="J148" s="902"/>
      <c r="K148" s="902"/>
      <c r="L148" s="902">
        <v>46</v>
      </c>
    </row>
    <row r="149" spans="1:12" s="903" customFormat="1">
      <c r="A149" s="898">
        <v>146</v>
      </c>
      <c r="B149" s="899" t="str">
        <f t="shared" si="4"/>
        <v>SN35LL</v>
      </c>
      <c r="C149" s="1382" t="s">
        <v>1602</v>
      </c>
      <c r="D149" s="911" t="s">
        <v>1507</v>
      </c>
      <c r="E149" s="898" t="s">
        <v>1678</v>
      </c>
      <c r="F149" s="900" t="s">
        <v>1662</v>
      </c>
      <c r="G149" s="902">
        <v>35</v>
      </c>
      <c r="H149" s="902" t="s">
        <v>1663</v>
      </c>
      <c r="I149" s="902" t="s">
        <v>1627</v>
      </c>
      <c r="J149" s="902"/>
      <c r="K149" s="902"/>
      <c r="L149" s="902">
        <v>46</v>
      </c>
    </row>
    <row r="150" spans="1:12" s="903" customFormat="1">
      <c r="A150" s="898">
        <v>147</v>
      </c>
      <c r="B150" s="899" t="str">
        <f t="shared" si="4"/>
        <v>SN40LL</v>
      </c>
      <c r="C150" s="1382" t="s">
        <v>1602</v>
      </c>
      <c r="D150" s="911" t="s">
        <v>1507</v>
      </c>
      <c r="E150" s="898" t="s">
        <v>1678</v>
      </c>
      <c r="F150" s="900" t="s">
        <v>1662</v>
      </c>
      <c r="G150" s="902">
        <v>40</v>
      </c>
      <c r="H150" s="902" t="s">
        <v>1663</v>
      </c>
      <c r="I150" s="902" t="s">
        <v>1627</v>
      </c>
      <c r="J150" s="902"/>
      <c r="K150" s="902"/>
      <c r="L150" s="902">
        <v>46</v>
      </c>
    </row>
    <row r="151" spans="1:12" s="903" customFormat="1">
      <c r="A151" s="898">
        <v>148</v>
      </c>
      <c r="B151" s="899" t="str">
        <f t="shared" si="4"/>
        <v>SN25LR</v>
      </c>
      <c r="C151" s="1382" t="s">
        <v>1602</v>
      </c>
      <c r="D151" s="911" t="s">
        <v>1507</v>
      </c>
      <c r="E151" s="898" t="s">
        <v>1678</v>
      </c>
      <c r="F151" s="900" t="s">
        <v>1664</v>
      </c>
      <c r="G151" s="902">
        <v>25</v>
      </c>
      <c r="H151" s="902" t="s">
        <v>1665</v>
      </c>
      <c r="I151" s="902" t="s">
        <v>1627</v>
      </c>
      <c r="J151" s="902"/>
      <c r="K151" s="902"/>
      <c r="L151" s="902">
        <v>47</v>
      </c>
    </row>
    <row r="152" spans="1:12" s="903" customFormat="1">
      <c r="A152" s="898">
        <v>149</v>
      </c>
      <c r="B152" s="899" t="str">
        <f t="shared" si="4"/>
        <v>SN30LR</v>
      </c>
      <c r="C152" s="1382" t="s">
        <v>1602</v>
      </c>
      <c r="D152" s="911" t="s">
        <v>1507</v>
      </c>
      <c r="E152" s="898" t="s">
        <v>1678</v>
      </c>
      <c r="F152" s="900" t="s">
        <v>1664</v>
      </c>
      <c r="G152" s="902">
        <v>30</v>
      </c>
      <c r="H152" s="902" t="s">
        <v>1665</v>
      </c>
      <c r="I152" s="902" t="s">
        <v>1627</v>
      </c>
      <c r="J152" s="902"/>
      <c r="K152" s="902"/>
      <c r="L152" s="902">
        <v>47</v>
      </c>
    </row>
    <row r="153" spans="1:12" s="903" customFormat="1">
      <c r="A153" s="898">
        <v>150</v>
      </c>
      <c r="B153" s="899" t="str">
        <f t="shared" si="4"/>
        <v>SN35LR</v>
      </c>
      <c r="C153" s="1382" t="s">
        <v>1602</v>
      </c>
      <c r="D153" s="911" t="s">
        <v>1507</v>
      </c>
      <c r="E153" s="898" t="s">
        <v>1678</v>
      </c>
      <c r="F153" s="900" t="s">
        <v>1664</v>
      </c>
      <c r="G153" s="902">
        <v>35</v>
      </c>
      <c r="H153" s="902" t="s">
        <v>1665</v>
      </c>
      <c r="I153" s="902" t="s">
        <v>1627</v>
      </c>
      <c r="J153" s="902"/>
      <c r="K153" s="902"/>
      <c r="L153" s="902">
        <v>47</v>
      </c>
    </row>
    <row r="154" spans="1:12" s="903" customFormat="1">
      <c r="A154" s="898">
        <v>151</v>
      </c>
      <c r="B154" s="899" t="str">
        <f t="shared" si="4"/>
        <v>SN40LR</v>
      </c>
      <c r="C154" s="1382" t="s">
        <v>1602</v>
      </c>
      <c r="D154" s="911" t="s">
        <v>1507</v>
      </c>
      <c r="E154" s="898" t="s">
        <v>1678</v>
      </c>
      <c r="F154" s="900" t="s">
        <v>1664</v>
      </c>
      <c r="G154" s="902">
        <v>40</v>
      </c>
      <c r="H154" s="902" t="s">
        <v>1665</v>
      </c>
      <c r="I154" s="902" t="s">
        <v>1627</v>
      </c>
      <c r="J154" s="902"/>
      <c r="K154" s="902"/>
      <c r="L154" s="902">
        <v>47</v>
      </c>
    </row>
    <row r="155" spans="1:12" s="903" customFormat="1">
      <c r="A155" s="898">
        <v>152</v>
      </c>
      <c r="B155" s="899" t="str">
        <f t="shared" si="4"/>
        <v>SN10TL</v>
      </c>
      <c r="C155" s="1382" t="s">
        <v>1602</v>
      </c>
      <c r="D155" s="911" t="s">
        <v>1507</v>
      </c>
      <c r="E155" s="898" t="s">
        <v>1678</v>
      </c>
      <c r="F155" s="900" t="s">
        <v>1666</v>
      </c>
      <c r="G155" s="902">
        <v>10</v>
      </c>
      <c r="H155" s="902" t="s">
        <v>1667</v>
      </c>
      <c r="I155" s="902" t="s">
        <v>1627</v>
      </c>
      <c r="J155" s="902"/>
      <c r="K155" s="902"/>
      <c r="L155" s="902">
        <v>49</v>
      </c>
    </row>
    <row r="156" spans="1:12" s="903" customFormat="1">
      <c r="A156" s="898">
        <v>153</v>
      </c>
      <c r="B156" s="899" t="str">
        <f t="shared" si="4"/>
        <v>SN10TR</v>
      </c>
      <c r="C156" s="1382" t="s">
        <v>1602</v>
      </c>
      <c r="D156" s="911" t="s">
        <v>1507</v>
      </c>
      <c r="E156" s="898" t="s">
        <v>1678</v>
      </c>
      <c r="F156" s="900" t="s">
        <v>1668</v>
      </c>
      <c r="G156" s="902">
        <v>10</v>
      </c>
      <c r="H156" s="902" t="s">
        <v>1669</v>
      </c>
      <c r="I156" s="902" t="s">
        <v>1627</v>
      </c>
      <c r="J156" s="902"/>
      <c r="K156" s="902"/>
      <c r="L156" s="902">
        <v>48</v>
      </c>
    </row>
    <row r="157" spans="1:12" s="903" customFormat="1">
      <c r="A157" s="898">
        <v>154</v>
      </c>
      <c r="B157" s="899" t="str">
        <f t="shared" si="4"/>
        <v>SQ10M</v>
      </c>
      <c r="C157" s="1382" t="s">
        <v>1602</v>
      </c>
      <c r="D157" s="911" t="s">
        <v>1508</v>
      </c>
      <c r="E157" s="898" t="s">
        <v>1683</v>
      </c>
      <c r="F157" s="900" t="s">
        <v>1651</v>
      </c>
      <c r="G157" s="902">
        <v>10</v>
      </c>
      <c r="H157" s="902" t="s">
        <v>1626</v>
      </c>
      <c r="I157" s="902" t="s">
        <v>1627</v>
      </c>
      <c r="J157" s="902"/>
      <c r="K157" s="899"/>
      <c r="L157" s="902">
        <v>50</v>
      </c>
    </row>
    <row r="158" spans="1:12" s="903" customFormat="1">
      <c r="A158" s="898">
        <v>155</v>
      </c>
      <c r="B158" s="899" t="str">
        <f t="shared" si="4"/>
        <v>SQ15M</v>
      </c>
      <c r="C158" s="1382" t="s">
        <v>1602</v>
      </c>
      <c r="D158" s="911" t="s">
        <v>1508</v>
      </c>
      <c r="E158" s="898" t="s">
        <v>1683</v>
      </c>
      <c r="F158" s="900" t="s">
        <v>1651</v>
      </c>
      <c r="G158" s="902">
        <v>15</v>
      </c>
      <c r="H158" s="902" t="s">
        <v>1626</v>
      </c>
      <c r="I158" s="902" t="s">
        <v>1627</v>
      </c>
      <c r="J158" s="902"/>
      <c r="K158" s="899"/>
      <c r="L158" s="902">
        <v>50</v>
      </c>
    </row>
    <row r="159" spans="1:12" s="903" customFormat="1">
      <c r="A159" s="898">
        <v>156</v>
      </c>
      <c r="B159" s="899" t="str">
        <f t="shared" si="4"/>
        <v>SQ20M</v>
      </c>
      <c r="C159" s="1382" t="s">
        <v>1602</v>
      </c>
      <c r="D159" s="911" t="s">
        <v>1508</v>
      </c>
      <c r="E159" s="898" t="s">
        <v>1683</v>
      </c>
      <c r="F159" s="900" t="s">
        <v>1651</v>
      </c>
      <c r="G159" s="902">
        <v>20</v>
      </c>
      <c r="H159" s="902" t="s">
        <v>1626</v>
      </c>
      <c r="I159" s="902" t="s">
        <v>1627</v>
      </c>
      <c r="J159" s="902"/>
      <c r="K159" s="899"/>
      <c r="L159" s="902">
        <v>50</v>
      </c>
    </row>
    <row r="160" spans="1:12" s="903" customFormat="1">
      <c r="A160" s="898">
        <v>157</v>
      </c>
      <c r="B160" s="899" t="str">
        <f t="shared" si="4"/>
        <v>SQ25M</v>
      </c>
      <c r="C160" s="1382" t="s">
        <v>1602</v>
      </c>
      <c r="D160" s="911" t="s">
        <v>1508</v>
      </c>
      <c r="E160" s="898" t="s">
        <v>1683</v>
      </c>
      <c r="F160" s="900" t="s">
        <v>1651</v>
      </c>
      <c r="G160" s="902">
        <v>25</v>
      </c>
      <c r="H160" s="902" t="s">
        <v>1626</v>
      </c>
      <c r="I160" s="902" t="s">
        <v>1627</v>
      </c>
      <c r="J160" s="902"/>
      <c r="K160" s="899"/>
      <c r="L160" s="902">
        <v>50</v>
      </c>
    </row>
    <row r="161" spans="1:12" s="903" customFormat="1">
      <c r="A161" s="898">
        <v>158</v>
      </c>
      <c r="B161" s="899" t="str">
        <f t="shared" si="4"/>
        <v>SQ30M</v>
      </c>
      <c r="C161" s="1382" t="s">
        <v>1602</v>
      </c>
      <c r="D161" s="911" t="s">
        <v>1508</v>
      </c>
      <c r="E161" s="898" t="s">
        <v>1683</v>
      </c>
      <c r="F161" s="900" t="s">
        <v>1651</v>
      </c>
      <c r="G161" s="902">
        <v>30</v>
      </c>
      <c r="H161" s="902" t="s">
        <v>1626</v>
      </c>
      <c r="I161" s="902" t="s">
        <v>1627</v>
      </c>
      <c r="J161" s="902"/>
      <c r="K161" s="899"/>
      <c r="L161" s="902">
        <v>50</v>
      </c>
    </row>
    <row r="162" spans="1:12" s="903" customFormat="1" ht="13.15" customHeight="1">
      <c r="A162" s="898">
        <v>159</v>
      </c>
      <c r="B162" s="899" t="str">
        <f t="shared" si="4"/>
        <v>SQ35M</v>
      </c>
      <c r="C162" s="1382" t="s">
        <v>1602</v>
      </c>
      <c r="D162" s="911" t="s">
        <v>1508</v>
      </c>
      <c r="E162" s="898" t="s">
        <v>1683</v>
      </c>
      <c r="F162" s="900" t="s">
        <v>1651</v>
      </c>
      <c r="G162" s="902">
        <v>35</v>
      </c>
      <c r="H162" s="902" t="s">
        <v>1626</v>
      </c>
      <c r="I162" s="902" t="s">
        <v>1627</v>
      </c>
      <c r="J162" s="902"/>
      <c r="K162" s="899"/>
      <c r="L162" s="902">
        <v>50</v>
      </c>
    </row>
    <row r="163" spans="1:12" s="903" customFormat="1">
      <c r="A163" s="898">
        <v>160</v>
      </c>
      <c r="B163" s="899" t="str">
        <f t="shared" si="4"/>
        <v>SQ40M</v>
      </c>
      <c r="C163" s="1382" t="s">
        <v>1602</v>
      </c>
      <c r="D163" s="911" t="s">
        <v>1508</v>
      </c>
      <c r="E163" s="898" t="s">
        <v>1683</v>
      </c>
      <c r="F163" s="900" t="s">
        <v>1651</v>
      </c>
      <c r="G163" s="902">
        <v>40</v>
      </c>
      <c r="H163" s="902" t="s">
        <v>1626</v>
      </c>
      <c r="I163" s="902" t="s">
        <v>1627</v>
      </c>
      <c r="J163" s="902"/>
      <c r="K163" s="899"/>
      <c r="L163" s="902">
        <v>50</v>
      </c>
    </row>
    <row r="164" spans="1:12" s="903" customFormat="1">
      <c r="A164" s="898">
        <v>161</v>
      </c>
      <c r="B164" s="899" t="str">
        <f>E164&amp;G164&amp;H164&amp;J164</f>
        <v>SQ10T</v>
      </c>
      <c r="C164" s="1382" t="s">
        <v>1602</v>
      </c>
      <c r="D164" s="911" t="s">
        <v>1508</v>
      </c>
      <c r="E164" s="898" t="s">
        <v>1683</v>
      </c>
      <c r="F164" s="900" t="s">
        <v>1654</v>
      </c>
      <c r="G164" s="902">
        <v>10</v>
      </c>
      <c r="H164" s="902" t="s">
        <v>1655</v>
      </c>
      <c r="I164" s="902" t="s">
        <v>1627</v>
      </c>
      <c r="J164" s="902"/>
      <c r="K164" s="899"/>
      <c r="L164" s="902">
        <v>51</v>
      </c>
    </row>
    <row r="165" spans="1:12" s="903" customFormat="1">
      <c r="A165" s="904">
        <v>162</v>
      </c>
      <c r="B165" s="905" t="str">
        <f t="shared" ref="B165" si="6">E165&amp;G165&amp;H165&amp;J165</f>
        <v>PF10</v>
      </c>
      <c r="C165" s="1382" t="s">
        <v>1602</v>
      </c>
      <c r="D165" s="906" t="s">
        <v>1509</v>
      </c>
      <c r="E165" s="904" t="s">
        <v>1684</v>
      </c>
      <c r="F165" s="907" t="s">
        <v>1685</v>
      </c>
      <c r="G165" s="913">
        <v>10</v>
      </c>
      <c r="H165" s="909"/>
      <c r="I165" s="909"/>
      <c r="J165" s="909"/>
      <c r="K165" s="909"/>
      <c r="L165" s="909"/>
    </row>
    <row r="166" spans="1:12" s="903" customFormat="1">
      <c r="A166" s="904">
        <v>163</v>
      </c>
      <c r="B166" s="905" t="str">
        <f t="shared" si="4"/>
        <v>PF10T</v>
      </c>
      <c r="C166" s="1382" t="s">
        <v>1602</v>
      </c>
      <c r="D166" s="906" t="s">
        <v>1509</v>
      </c>
      <c r="E166" s="904" t="s">
        <v>1684</v>
      </c>
      <c r="F166" s="907" t="s">
        <v>1685</v>
      </c>
      <c r="G166" s="909">
        <v>10</v>
      </c>
      <c r="H166" s="909" t="s">
        <v>1655</v>
      </c>
      <c r="I166" s="909"/>
      <c r="J166" s="909"/>
      <c r="K166" s="909"/>
      <c r="L166" s="909"/>
    </row>
    <row r="167" spans="1:12" s="903" customFormat="1">
      <c r="A167" s="904">
        <v>164</v>
      </c>
      <c r="B167" s="905" t="str">
        <f t="shared" si="4"/>
        <v>PF25M</v>
      </c>
      <c r="C167" s="1382" t="s">
        <v>1602</v>
      </c>
      <c r="D167" s="906" t="s">
        <v>1509</v>
      </c>
      <c r="E167" s="904" t="s">
        <v>1684</v>
      </c>
      <c r="F167" s="907" t="s">
        <v>1686</v>
      </c>
      <c r="G167" s="909">
        <v>25</v>
      </c>
      <c r="H167" s="909" t="s">
        <v>1626</v>
      </c>
      <c r="I167" s="909"/>
      <c r="J167" s="909"/>
      <c r="K167" s="909"/>
      <c r="L167" s="909"/>
    </row>
    <row r="168" spans="1:12" s="903" customFormat="1">
      <c r="A168" s="904">
        <v>165</v>
      </c>
      <c r="B168" s="905" t="str">
        <f t="shared" si="4"/>
        <v>PF30M</v>
      </c>
      <c r="C168" s="1382" t="s">
        <v>1602</v>
      </c>
      <c r="D168" s="906" t="s">
        <v>1509</v>
      </c>
      <c r="E168" s="904" t="s">
        <v>1684</v>
      </c>
      <c r="F168" s="907" t="s">
        <v>1686</v>
      </c>
      <c r="G168" s="909">
        <v>30</v>
      </c>
      <c r="H168" s="909" t="s">
        <v>1626</v>
      </c>
      <c r="I168" s="909"/>
      <c r="J168" s="909"/>
      <c r="K168" s="909"/>
      <c r="L168" s="909"/>
    </row>
    <row r="169" spans="1:12" s="903" customFormat="1">
      <c r="A169" s="904">
        <v>166</v>
      </c>
      <c r="B169" s="905" t="str">
        <f t="shared" si="4"/>
        <v>PF35M</v>
      </c>
      <c r="C169" s="1382" t="s">
        <v>1602</v>
      </c>
      <c r="D169" s="906" t="s">
        <v>1509</v>
      </c>
      <c r="E169" s="904" t="s">
        <v>1684</v>
      </c>
      <c r="F169" s="907" t="s">
        <v>1686</v>
      </c>
      <c r="G169" s="909">
        <v>35</v>
      </c>
      <c r="H169" s="909" t="s">
        <v>1626</v>
      </c>
      <c r="I169" s="909"/>
      <c r="J169" s="909"/>
      <c r="K169" s="909"/>
      <c r="L169" s="909"/>
    </row>
    <row r="170" spans="1:12" s="903" customFormat="1">
      <c r="A170" s="904">
        <v>167</v>
      </c>
      <c r="B170" s="905" t="str">
        <f t="shared" si="4"/>
        <v>PF40M</v>
      </c>
      <c r="C170" s="1382" t="s">
        <v>1602</v>
      </c>
      <c r="D170" s="906" t="s">
        <v>1509</v>
      </c>
      <c r="E170" s="904" t="s">
        <v>1684</v>
      </c>
      <c r="F170" s="907" t="s">
        <v>1686</v>
      </c>
      <c r="G170" s="909">
        <v>40</v>
      </c>
      <c r="H170" s="909" t="s">
        <v>1626</v>
      </c>
      <c r="I170" s="909"/>
      <c r="J170" s="909"/>
      <c r="K170" s="909"/>
      <c r="L170" s="909"/>
    </row>
    <row r="171" spans="1:12" s="903" customFormat="1">
      <c r="A171" s="904">
        <v>168</v>
      </c>
      <c r="B171" s="905" t="str">
        <f t="shared" si="4"/>
        <v>PH10TCA</v>
      </c>
      <c r="C171" s="1382" t="s">
        <v>1602</v>
      </c>
      <c r="D171" s="906" t="s">
        <v>1510</v>
      </c>
      <c r="E171" s="904" t="s">
        <v>1643</v>
      </c>
      <c r="F171" s="907" t="s">
        <v>1686</v>
      </c>
      <c r="G171" s="913">
        <v>10</v>
      </c>
      <c r="H171" s="909" t="s">
        <v>1687</v>
      </c>
      <c r="I171" s="909"/>
      <c r="J171" s="909"/>
      <c r="K171" s="909"/>
      <c r="L171" s="909"/>
    </row>
    <row r="172" spans="1:12" s="903" customFormat="1">
      <c r="A172" s="904">
        <v>168</v>
      </c>
      <c r="B172" s="905" t="str">
        <f t="shared" si="4"/>
        <v>PH10TCB</v>
      </c>
      <c r="C172" s="1382" t="s">
        <v>1602</v>
      </c>
      <c r="D172" s="906" t="s">
        <v>1511</v>
      </c>
      <c r="E172" s="904" t="s">
        <v>1643</v>
      </c>
      <c r="F172" s="907" t="s">
        <v>1686</v>
      </c>
      <c r="G172" s="913">
        <v>10</v>
      </c>
      <c r="H172" s="909" t="s">
        <v>1688</v>
      </c>
      <c r="I172" s="909"/>
      <c r="J172" s="909"/>
      <c r="K172" s="909"/>
      <c r="L172" s="909"/>
    </row>
    <row r="173" spans="1:12" s="903" customFormat="1">
      <c r="A173" s="904">
        <v>169</v>
      </c>
      <c r="B173" s="905" t="str">
        <f t="shared" si="4"/>
        <v>PH25M</v>
      </c>
      <c r="C173" s="1382" t="s">
        <v>1602</v>
      </c>
      <c r="D173" s="906" t="s">
        <v>1512</v>
      </c>
      <c r="E173" s="904" t="s">
        <v>1643</v>
      </c>
      <c r="F173" s="907" t="s">
        <v>1686</v>
      </c>
      <c r="G173" s="913">
        <v>25</v>
      </c>
      <c r="H173" s="909" t="s">
        <v>1626</v>
      </c>
      <c r="I173" s="909"/>
      <c r="J173" s="909"/>
      <c r="K173" s="909"/>
      <c r="L173" s="909"/>
    </row>
    <row r="174" spans="1:12" s="903" customFormat="1">
      <c r="A174" s="904">
        <v>170</v>
      </c>
      <c r="B174" s="905" t="str">
        <f t="shared" si="4"/>
        <v>PH30M</v>
      </c>
      <c r="C174" s="1382" t="s">
        <v>1602</v>
      </c>
      <c r="D174" s="906" t="s">
        <v>1512</v>
      </c>
      <c r="E174" s="904" t="s">
        <v>1643</v>
      </c>
      <c r="F174" s="907" t="s">
        <v>1686</v>
      </c>
      <c r="G174" s="913" t="s">
        <v>1689</v>
      </c>
      <c r="H174" s="909" t="s">
        <v>1626</v>
      </c>
      <c r="I174" s="909"/>
      <c r="J174" s="909"/>
      <c r="K174" s="909"/>
      <c r="L174" s="909"/>
    </row>
    <row r="175" spans="1:12" s="903" customFormat="1">
      <c r="A175" s="904">
        <v>171</v>
      </c>
      <c r="B175" s="905" t="str">
        <f t="shared" si="4"/>
        <v>PH35M</v>
      </c>
      <c r="C175" s="1382" t="s">
        <v>1602</v>
      </c>
      <c r="D175" s="906" t="s">
        <v>1512</v>
      </c>
      <c r="E175" s="904" t="s">
        <v>1643</v>
      </c>
      <c r="F175" s="907" t="s">
        <v>1686</v>
      </c>
      <c r="G175" s="913">
        <v>35</v>
      </c>
      <c r="H175" s="909" t="s">
        <v>1626</v>
      </c>
      <c r="I175" s="909"/>
      <c r="J175" s="909"/>
      <c r="K175" s="909"/>
      <c r="L175" s="909"/>
    </row>
    <row r="176" spans="1:12" s="903" customFormat="1">
      <c r="A176" s="904">
        <v>172</v>
      </c>
      <c r="B176" s="905" t="str">
        <f t="shared" si="4"/>
        <v>PH40M</v>
      </c>
      <c r="C176" s="1382" t="s">
        <v>1602</v>
      </c>
      <c r="D176" s="906" t="s">
        <v>1512</v>
      </c>
      <c r="E176" s="904" t="s">
        <v>1643</v>
      </c>
      <c r="F176" s="907" t="s">
        <v>1686</v>
      </c>
      <c r="G176" s="913">
        <v>40</v>
      </c>
      <c r="H176" s="909" t="s">
        <v>1626</v>
      </c>
      <c r="I176" s="909"/>
      <c r="J176" s="909"/>
      <c r="K176" s="909"/>
      <c r="L176" s="909"/>
    </row>
    <row r="177" spans="1:32" s="903" customFormat="1">
      <c r="A177" s="904">
        <v>173</v>
      </c>
      <c r="B177" s="905" t="str">
        <f t="shared" si="4"/>
        <v>PH10TCB(25)</v>
      </c>
      <c r="C177" s="1382" t="s">
        <v>1602</v>
      </c>
      <c r="D177" s="906" t="s">
        <v>1512</v>
      </c>
      <c r="E177" s="904" t="s">
        <v>1643</v>
      </c>
      <c r="F177" s="907" t="s">
        <v>1686</v>
      </c>
      <c r="G177" s="913">
        <v>10</v>
      </c>
      <c r="H177" s="909" t="s">
        <v>1690</v>
      </c>
      <c r="I177" s="909"/>
      <c r="J177" s="909"/>
      <c r="K177" s="909"/>
      <c r="L177" s="909"/>
    </row>
    <row r="178" spans="1:32" s="903" customFormat="1">
      <c r="A178" s="904">
        <v>174</v>
      </c>
      <c r="B178" s="905" t="str">
        <f t="shared" si="4"/>
        <v>PH10TCB(30)</v>
      </c>
      <c r="C178" s="1382" t="s">
        <v>1602</v>
      </c>
      <c r="D178" s="906" t="s">
        <v>1512</v>
      </c>
      <c r="E178" s="904" t="s">
        <v>1643</v>
      </c>
      <c r="F178" s="907" t="s">
        <v>1686</v>
      </c>
      <c r="G178" s="913">
        <v>10</v>
      </c>
      <c r="H178" s="909" t="s">
        <v>1691</v>
      </c>
      <c r="I178" s="909"/>
      <c r="J178" s="909"/>
      <c r="K178" s="909"/>
      <c r="L178" s="909"/>
    </row>
    <row r="179" spans="1:32" s="903" customFormat="1">
      <c r="A179" s="904">
        <v>175</v>
      </c>
      <c r="B179" s="905" t="str">
        <f t="shared" si="4"/>
        <v>PH10TCB(35)</v>
      </c>
      <c r="C179" s="1382" t="s">
        <v>1602</v>
      </c>
      <c r="D179" s="906" t="s">
        <v>1512</v>
      </c>
      <c r="E179" s="904" t="s">
        <v>1643</v>
      </c>
      <c r="F179" s="907" t="s">
        <v>1686</v>
      </c>
      <c r="G179" s="913">
        <v>10</v>
      </c>
      <c r="H179" s="909" t="s">
        <v>1692</v>
      </c>
      <c r="I179" s="909"/>
      <c r="J179" s="909"/>
      <c r="K179" s="909"/>
      <c r="L179" s="909"/>
    </row>
    <row r="180" spans="1:32" s="903" customFormat="1">
      <c r="A180" s="904">
        <v>176</v>
      </c>
      <c r="B180" s="905" t="str">
        <f t="shared" si="4"/>
        <v>PH10TCB(40)</v>
      </c>
      <c r="C180" s="1382" t="s">
        <v>1602</v>
      </c>
      <c r="D180" s="906" t="s">
        <v>1512</v>
      </c>
      <c r="E180" s="904" t="s">
        <v>1643</v>
      </c>
      <c r="F180" s="907" t="s">
        <v>1686</v>
      </c>
      <c r="G180" s="913">
        <v>10</v>
      </c>
      <c r="H180" s="909" t="s">
        <v>1693</v>
      </c>
      <c r="I180" s="909"/>
      <c r="J180" s="909"/>
      <c r="K180" s="909"/>
      <c r="L180" s="909"/>
    </row>
    <row r="181" spans="1:32" s="903" customFormat="1">
      <c r="A181" s="904">
        <v>180</v>
      </c>
      <c r="B181" s="905" t="str">
        <f t="shared" si="4"/>
        <v>PF10TCA</v>
      </c>
      <c r="C181" s="1382" t="s">
        <v>1602</v>
      </c>
      <c r="D181" s="906" t="s">
        <v>1513</v>
      </c>
      <c r="E181" s="904" t="s">
        <v>1684</v>
      </c>
      <c r="F181" s="907" t="s">
        <v>1694</v>
      </c>
      <c r="G181" s="909">
        <v>10</v>
      </c>
      <c r="H181" s="909" t="s">
        <v>1687</v>
      </c>
      <c r="I181" s="909"/>
      <c r="J181" s="909"/>
      <c r="K181" s="909"/>
      <c r="L181" s="909"/>
    </row>
    <row r="182" spans="1:32" s="903" customFormat="1">
      <c r="A182" s="904">
        <v>181</v>
      </c>
      <c r="B182" s="905" t="str">
        <f t="shared" si="4"/>
        <v>PL15TCB</v>
      </c>
      <c r="C182" s="1382" t="s">
        <v>1602</v>
      </c>
      <c r="D182" s="906" t="s">
        <v>1514</v>
      </c>
      <c r="E182" s="904" t="s">
        <v>1695</v>
      </c>
      <c r="F182" s="907" t="s">
        <v>1696</v>
      </c>
      <c r="G182" s="909">
        <v>15</v>
      </c>
      <c r="H182" s="909" t="s">
        <v>1688</v>
      </c>
      <c r="I182" s="909"/>
      <c r="J182" s="909"/>
      <c r="K182" s="909"/>
      <c r="L182" s="909"/>
    </row>
    <row r="183" spans="1:32" s="903" customFormat="1">
      <c r="A183" s="904">
        <v>182</v>
      </c>
      <c r="B183" s="905" t="str">
        <f t="shared" si="4"/>
        <v>PL15TCA</v>
      </c>
      <c r="C183" s="1382" t="s">
        <v>1602</v>
      </c>
      <c r="D183" s="906" t="s">
        <v>1515</v>
      </c>
      <c r="E183" s="904" t="s">
        <v>1695</v>
      </c>
      <c r="F183" s="907" t="s">
        <v>1697</v>
      </c>
      <c r="G183" s="909">
        <v>15</v>
      </c>
      <c r="H183" s="909" t="s">
        <v>1687</v>
      </c>
      <c r="I183" s="909"/>
      <c r="J183" s="909"/>
      <c r="K183" s="909"/>
      <c r="L183" s="909"/>
    </row>
    <row r="184" spans="1:32" s="903" customFormat="1">
      <c r="A184" s="904">
        <v>183</v>
      </c>
      <c r="B184" s="905" t="str">
        <f t="shared" si="4"/>
        <v>PL20TCB</v>
      </c>
      <c r="C184" s="1382" t="s">
        <v>1602</v>
      </c>
      <c r="D184" s="906" t="s">
        <v>1516</v>
      </c>
      <c r="E184" s="904" t="s">
        <v>1695</v>
      </c>
      <c r="F184" s="907" t="s">
        <v>1698</v>
      </c>
      <c r="G184" s="909">
        <v>20</v>
      </c>
      <c r="H184" s="909" t="s">
        <v>1688</v>
      </c>
      <c r="I184" s="909"/>
      <c r="J184" s="909"/>
      <c r="K184" s="909"/>
      <c r="L184" s="909"/>
    </row>
    <row r="185" spans="1:32">
      <c r="A185" s="904">
        <v>184</v>
      </c>
      <c r="B185" s="905" t="str">
        <f t="shared" si="4"/>
        <v>PL20TCA</v>
      </c>
      <c r="C185" s="1382" t="s">
        <v>1602</v>
      </c>
      <c r="D185" s="906" t="s">
        <v>1517</v>
      </c>
      <c r="E185" s="904" t="s">
        <v>1695</v>
      </c>
      <c r="F185" s="907" t="s">
        <v>1699</v>
      </c>
      <c r="G185" s="909">
        <v>20</v>
      </c>
      <c r="H185" s="909" t="s">
        <v>1687</v>
      </c>
      <c r="I185" s="909"/>
      <c r="J185" s="909"/>
      <c r="K185" s="909"/>
      <c r="L185" s="909"/>
    </row>
    <row r="186" spans="1:32">
      <c r="A186" s="904">
        <v>185</v>
      </c>
      <c r="B186" s="899" t="str">
        <f t="shared" ref="B186:B249" si="7">E4&amp;G4&amp;H4&amp;I4</f>
        <v>MF00MI</v>
      </c>
      <c r="C186" s="1382" t="s">
        <v>1603</v>
      </c>
      <c r="D186" s="900" t="s">
        <v>1495</v>
      </c>
      <c r="E186" s="898" t="s">
        <v>1623</v>
      </c>
      <c r="F186" s="900" t="s">
        <v>1624</v>
      </c>
      <c r="G186" s="901" t="s">
        <v>1625</v>
      </c>
      <c r="H186" s="902" t="s">
        <v>1626</v>
      </c>
      <c r="I186" s="902" t="s">
        <v>1627</v>
      </c>
      <c r="J186" s="902"/>
      <c r="K186" s="902"/>
      <c r="L186" s="902"/>
    </row>
    <row r="187" spans="1:32">
      <c r="A187" s="904">
        <v>186</v>
      </c>
      <c r="B187" s="905" t="str">
        <f t="shared" si="7"/>
        <v>RF00MI</v>
      </c>
      <c r="C187" s="1382" t="s">
        <v>1603</v>
      </c>
      <c r="D187" s="906" t="s">
        <v>1496</v>
      </c>
      <c r="E187" s="904" t="s">
        <v>1628</v>
      </c>
      <c r="F187" s="907" t="s">
        <v>1629</v>
      </c>
      <c r="G187" s="908" t="s">
        <v>1625</v>
      </c>
      <c r="H187" s="909" t="s">
        <v>1626</v>
      </c>
      <c r="I187" s="909" t="s">
        <v>1627</v>
      </c>
      <c r="J187" s="909"/>
      <c r="K187" s="909"/>
      <c r="L187" s="909">
        <v>1</v>
      </c>
    </row>
    <row r="188" spans="1:32">
      <c r="A188" s="904">
        <v>187</v>
      </c>
      <c r="B188" s="905" t="str">
        <f t="shared" si="7"/>
        <v>RH00MI</v>
      </c>
      <c r="C188" s="1382" t="s">
        <v>1603</v>
      </c>
      <c r="D188" s="906" t="s">
        <v>1497</v>
      </c>
      <c r="E188" s="904" t="s">
        <v>1630</v>
      </c>
      <c r="F188" s="907" t="s">
        <v>1629</v>
      </c>
      <c r="G188" s="908" t="s">
        <v>1625</v>
      </c>
      <c r="H188" s="909" t="s">
        <v>1626</v>
      </c>
      <c r="I188" s="909" t="s">
        <v>1627</v>
      </c>
      <c r="J188" s="909"/>
      <c r="K188" s="905" t="s">
        <v>1631</v>
      </c>
      <c r="L188" s="909">
        <v>2</v>
      </c>
    </row>
    <row r="189" spans="1:32">
      <c r="A189" s="904">
        <v>188</v>
      </c>
      <c r="B189" s="905" t="str">
        <f t="shared" si="7"/>
        <v>RQ00MI</v>
      </c>
      <c r="C189" s="1382" t="s">
        <v>1603</v>
      </c>
      <c r="D189" s="906" t="s">
        <v>1498</v>
      </c>
      <c r="E189" s="904" t="s">
        <v>1632</v>
      </c>
      <c r="F189" s="907" t="s">
        <v>1629</v>
      </c>
      <c r="G189" s="908" t="s">
        <v>1625</v>
      </c>
      <c r="H189" s="909" t="s">
        <v>1626</v>
      </c>
      <c r="I189" s="909" t="s">
        <v>1627</v>
      </c>
      <c r="J189" s="909"/>
      <c r="K189" s="905" t="s">
        <v>1631</v>
      </c>
      <c r="L189" s="909">
        <v>3</v>
      </c>
    </row>
    <row r="190" spans="1:32">
      <c r="A190" s="904">
        <v>189</v>
      </c>
      <c r="B190" s="905" t="str">
        <f t="shared" si="7"/>
        <v>BF10MI</v>
      </c>
      <c r="C190" s="1382" t="s">
        <v>1603</v>
      </c>
      <c r="D190" s="906" t="s">
        <v>1499</v>
      </c>
      <c r="E190" s="904" t="s">
        <v>1633</v>
      </c>
      <c r="F190" s="907" t="s">
        <v>1634</v>
      </c>
      <c r="G190" s="909">
        <v>10</v>
      </c>
      <c r="H190" s="909" t="s">
        <v>1626</v>
      </c>
      <c r="I190" s="909" t="s">
        <v>1627</v>
      </c>
      <c r="J190" s="909"/>
      <c r="K190" s="905" t="s">
        <v>1635</v>
      </c>
      <c r="L190" s="909">
        <v>4</v>
      </c>
    </row>
    <row r="191" spans="1:32" s="889" customFormat="1">
      <c r="A191" s="904">
        <v>190</v>
      </c>
      <c r="B191" s="905" t="str">
        <f t="shared" si="7"/>
        <v>BF15MI</v>
      </c>
      <c r="C191" s="1382" t="s">
        <v>1603</v>
      </c>
      <c r="D191" s="906" t="s">
        <v>1499</v>
      </c>
      <c r="E191" s="904" t="s">
        <v>1633</v>
      </c>
      <c r="F191" s="907" t="s">
        <v>1634</v>
      </c>
      <c r="G191" s="909">
        <v>15</v>
      </c>
      <c r="H191" s="909" t="s">
        <v>1626</v>
      </c>
      <c r="I191" s="909" t="s">
        <v>1627</v>
      </c>
      <c r="J191" s="909"/>
      <c r="K191" s="905" t="s">
        <v>1635</v>
      </c>
      <c r="L191" s="909">
        <v>4</v>
      </c>
      <c r="M191" s="888"/>
      <c r="N191" s="888"/>
      <c r="O191" s="888"/>
      <c r="P191" s="888"/>
      <c r="Q191" s="888"/>
      <c r="R191" s="888"/>
      <c r="S191" s="888"/>
      <c r="T191" s="888"/>
      <c r="U191" s="888"/>
      <c r="V191" s="888"/>
      <c r="W191" s="888"/>
      <c r="X191" s="888"/>
      <c r="Y191" s="888"/>
      <c r="Z191" s="888"/>
      <c r="AA191" s="888"/>
      <c r="AB191" s="888"/>
      <c r="AC191" s="888"/>
      <c r="AD191" s="888"/>
      <c r="AE191" s="888"/>
      <c r="AF191" s="888"/>
    </row>
    <row r="192" spans="1:32">
      <c r="A192" s="904">
        <v>191</v>
      </c>
      <c r="B192" s="905" t="str">
        <f t="shared" si="7"/>
        <v>BF20MI</v>
      </c>
      <c r="C192" s="1382" t="s">
        <v>1603</v>
      </c>
      <c r="D192" s="906" t="s">
        <v>1499</v>
      </c>
      <c r="E192" s="904" t="s">
        <v>1633</v>
      </c>
      <c r="F192" s="907" t="s">
        <v>1634</v>
      </c>
      <c r="G192" s="909">
        <v>20</v>
      </c>
      <c r="H192" s="909" t="s">
        <v>1626</v>
      </c>
      <c r="I192" s="909" t="s">
        <v>1627</v>
      </c>
      <c r="J192" s="909"/>
      <c r="K192" s="905" t="s">
        <v>1635</v>
      </c>
      <c r="L192" s="909">
        <v>4</v>
      </c>
    </row>
    <row r="193" spans="1:12">
      <c r="A193" s="904">
        <v>192</v>
      </c>
      <c r="B193" s="905" t="str">
        <f t="shared" si="7"/>
        <v>BF25MI</v>
      </c>
      <c r="C193" s="1382" t="s">
        <v>1603</v>
      </c>
      <c r="D193" s="906" t="s">
        <v>1499</v>
      </c>
      <c r="E193" s="904" t="s">
        <v>1633</v>
      </c>
      <c r="F193" s="907" t="s">
        <v>1634</v>
      </c>
      <c r="G193" s="909">
        <v>25</v>
      </c>
      <c r="H193" s="909" t="s">
        <v>1626</v>
      </c>
      <c r="I193" s="909" t="s">
        <v>1627</v>
      </c>
      <c r="J193" s="909"/>
      <c r="K193" s="905" t="s">
        <v>1635</v>
      </c>
      <c r="L193" s="909">
        <v>4</v>
      </c>
    </row>
    <row r="194" spans="1:12">
      <c r="A194" s="904">
        <v>193</v>
      </c>
      <c r="B194" s="905" t="str">
        <f t="shared" si="7"/>
        <v>BF30MI</v>
      </c>
      <c r="C194" s="1382" t="s">
        <v>1603</v>
      </c>
      <c r="D194" s="906" t="s">
        <v>1499</v>
      </c>
      <c r="E194" s="904" t="s">
        <v>1633</v>
      </c>
      <c r="F194" s="907" t="s">
        <v>1634</v>
      </c>
      <c r="G194" s="909">
        <v>30</v>
      </c>
      <c r="H194" s="909" t="s">
        <v>1626</v>
      </c>
      <c r="I194" s="909" t="s">
        <v>1627</v>
      </c>
      <c r="J194" s="909"/>
      <c r="K194" s="905" t="s">
        <v>1635</v>
      </c>
      <c r="L194" s="909">
        <v>4</v>
      </c>
    </row>
    <row r="195" spans="1:12">
      <c r="A195" s="904">
        <v>194</v>
      </c>
      <c r="B195" s="905" t="str">
        <f t="shared" si="7"/>
        <v>BF35MI</v>
      </c>
      <c r="C195" s="1382" t="s">
        <v>1603</v>
      </c>
      <c r="D195" s="906" t="s">
        <v>1499</v>
      </c>
      <c r="E195" s="904" t="s">
        <v>1633</v>
      </c>
      <c r="F195" s="907" t="s">
        <v>1634</v>
      </c>
      <c r="G195" s="909">
        <v>35</v>
      </c>
      <c r="H195" s="909" t="s">
        <v>1626</v>
      </c>
      <c r="I195" s="909" t="s">
        <v>1627</v>
      </c>
      <c r="J195" s="909"/>
      <c r="K195" s="905" t="s">
        <v>1635</v>
      </c>
      <c r="L195" s="909">
        <v>4</v>
      </c>
    </row>
    <row r="196" spans="1:12">
      <c r="A196" s="904">
        <v>195</v>
      </c>
      <c r="B196" s="899" t="str">
        <f t="shared" si="7"/>
        <v>BF40MI</v>
      </c>
      <c r="C196" s="1382" t="s">
        <v>1603</v>
      </c>
      <c r="D196" s="910" t="s">
        <v>1499</v>
      </c>
      <c r="E196" s="898" t="s">
        <v>1633</v>
      </c>
      <c r="F196" s="900" t="s">
        <v>1634</v>
      </c>
      <c r="G196" s="902">
        <v>40</v>
      </c>
      <c r="H196" s="902" t="s">
        <v>1626</v>
      </c>
      <c r="I196" s="902" t="s">
        <v>1627</v>
      </c>
      <c r="J196" s="902"/>
      <c r="K196" s="899" t="s">
        <v>1636</v>
      </c>
      <c r="L196" s="902">
        <v>4</v>
      </c>
    </row>
    <row r="197" spans="1:12">
      <c r="A197" s="904">
        <v>196</v>
      </c>
      <c r="B197" s="899" t="str">
        <f t="shared" si="7"/>
        <v>BF10PI</v>
      </c>
      <c r="C197" s="1382" t="s">
        <v>1603</v>
      </c>
      <c r="D197" s="910" t="s">
        <v>1499</v>
      </c>
      <c r="E197" s="898" t="s">
        <v>1633</v>
      </c>
      <c r="F197" s="900" t="s">
        <v>1637</v>
      </c>
      <c r="G197" s="902">
        <v>10</v>
      </c>
      <c r="H197" s="902" t="s">
        <v>1638</v>
      </c>
      <c r="I197" s="902" t="s">
        <v>1627</v>
      </c>
      <c r="J197" s="902"/>
      <c r="K197" s="899" t="s">
        <v>1636</v>
      </c>
      <c r="L197" s="902">
        <v>7</v>
      </c>
    </row>
    <row r="198" spans="1:12">
      <c r="A198" s="904">
        <v>197</v>
      </c>
      <c r="B198" s="899" t="str">
        <f t="shared" si="7"/>
        <v>BF15PI</v>
      </c>
      <c r="C198" s="1382" t="s">
        <v>1603</v>
      </c>
      <c r="D198" s="910" t="s">
        <v>1499</v>
      </c>
      <c r="E198" s="898" t="s">
        <v>1633</v>
      </c>
      <c r="F198" s="900" t="s">
        <v>1637</v>
      </c>
      <c r="G198" s="902">
        <v>15</v>
      </c>
      <c r="H198" s="902" t="s">
        <v>1638</v>
      </c>
      <c r="I198" s="902" t="s">
        <v>1627</v>
      </c>
      <c r="J198" s="902"/>
      <c r="K198" s="899" t="s">
        <v>1636</v>
      </c>
      <c r="L198" s="902">
        <v>7</v>
      </c>
    </row>
    <row r="199" spans="1:12">
      <c r="A199" s="904">
        <v>198</v>
      </c>
      <c r="B199" s="899" t="str">
        <f t="shared" si="7"/>
        <v>BF20PI</v>
      </c>
      <c r="C199" s="1382" t="s">
        <v>1603</v>
      </c>
      <c r="D199" s="910" t="s">
        <v>1499</v>
      </c>
      <c r="E199" s="898" t="s">
        <v>1633</v>
      </c>
      <c r="F199" s="900" t="s">
        <v>1637</v>
      </c>
      <c r="G199" s="902">
        <v>20</v>
      </c>
      <c r="H199" s="902" t="s">
        <v>1638</v>
      </c>
      <c r="I199" s="902" t="s">
        <v>1627</v>
      </c>
      <c r="J199" s="902"/>
      <c r="K199" s="899" t="s">
        <v>1636</v>
      </c>
      <c r="L199" s="902">
        <v>7</v>
      </c>
    </row>
    <row r="200" spans="1:12">
      <c r="A200" s="904">
        <v>199</v>
      </c>
      <c r="B200" s="899" t="str">
        <f t="shared" si="7"/>
        <v>BF25PI</v>
      </c>
      <c r="C200" s="1382" t="s">
        <v>1603</v>
      </c>
      <c r="D200" s="910" t="s">
        <v>1499</v>
      </c>
      <c r="E200" s="898" t="s">
        <v>1633</v>
      </c>
      <c r="F200" s="900" t="s">
        <v>1637</v>
      </c>
      <c r="G200" s="902">
        <v>25</v>
      </c>
      <c r="H200" s="902" t="s">
        <v>1638</v>
      </c>
      <c r="I200" s="902" t="s">
        <v>1627</v>
      </c>
      <c r="J200" s="902"/>
      <c r="K200" s="899" t="s">
        <v>1636</v>
      </c>
      <c r="L200" s="902">
        <v>7</v>
      </c>
    </row>
    <row r="201" spans="1:12">
      <c r="A201" s="904">
        <v>200</v>
      </c>
      <c r="B201" s="899" t="str">
        <f t="shared" si="7"/>
        <v>BF30PI</v>
      </c>
      <c r="C201" s="1382" t="s">
        <v>1603</v>
      </c>
      <c r="D201" s="910" t="s">
        <v>1499</v>
      </c>
      <c r="E201" s="898" t="s">
        <v>1633</v>
      </c>
      <c r="F201" s="900" t="s">
        <v>1637</v>
      </c>
      <c r="G201" s="902">
        <v>30</v>
      </c>
      <c r="H201" s="902" t="s">
        <v>1638</v>
      </c>
      <c r="I201" s="902" t="s">
        <v>1627</v>
      </c>
      <c r="J201" s="902"/>
      <c r="K201" s="899" t="s">
        <v>1636</v>
      </c>
      <c r="L201" s="902">
        <v>7</v>
      </c>
    </row>
    <row r="202" spans="1:12">
      <c r="A202" s="904">
        <v>201</v>
      </c>
      <c r="B202" s="899" t="str">
        <f t="shared" si="7"/>
        <v>BF35PI</v>
      </c>
      <c r="C202" s="1382" t="s">
        <v>1603</v>
      </c>
      <c r="D202" s="910" t="s">
        <v>1499</v>
      </c>
      <c r="E202" s="898" t="s">
        <v>1633</v>
      </c>
      <c r="F202" s="900" t="s">
        <v>1637</v>
      </c>
      <c r="G202" s="902">
        <v>35</v>
      </c>
      <c r="H202" s="902" t="s">
        <v>1638</v>
      </c>
      <c r="I202" s="902" t="s">
        <v>1627</v>
      </c>
      <c r="J202" s="902"/>
      <c r="K202" s="899" t="s">
        <v>1636</v>
      </c>
      <c r="L202" s="902">
        <v>7</v>
      </c>
    </row>
    <row r="203" spans="1:12">
      <c r="A203" s="904">
        <v>202</v>
      </c>
      <c r="B203" s="899" t="str">
        <f t="shared" si="7"/>
        <v>BF40PI</v>
      </c>
      <c r="C203" s="1382" t="s">
        <v>1603</v>
      </c>
      <c r="D203" s="910" t="s">
        <v>1499</v>
      </c>
      <c r="E203" s="898" t="s">
        <v>1633</v>
      </c>
      <c r="F203" s="900" t="s">
        <v>1637</v>
      </c>
      <c r="G203" s="902">
        <v>40</v>
      </c>
      <c r="H203" s="902" t="s">
        <v>1638</v>
      </c>
      <c r="I203" s="902" t="s">
        <v>1627</v>
      </c>
      <c r="J203" s="902"/>
      <c r="K203" s="899" t="s">
        <v>1636</v>
      </c>
      <c r="L203" s="902">
        <v>7</v>
      </c>
    </row>
    <row r="204" spans="1:12">
      <c r="A204" s="904">
        <v>203</v>
      </c>
      <c r="B204" s="899" t="str">
        <f t="shared" si="7"/>
        <v>BH10MI</v>
      </c>
      <c r="C204" s="1382" t="s">
        <v>1603</v>
      </c>
      <c r="D204" s="910" t="s">
        <v>1500</v>
      </c>
      <c r="E204" s="898" t="s">
        <v>1639</v>
      </c>
      <c r="F204" s="900" t="s">
        <v>1634</v>
      </c>
      <c r="G204" s="902">
        <v>10</v>
      </c>
      <c r="H204" s="902" t="s">
        <v>1626</v>
      </c>
      <c r="I204" s="902" t="s">
        <v>1627</v>
      </c>
      <c r="J204" s="902"/>
      <c r="K204" s="899" t="s">
        <v>1635</v>
      </c>
      <c r="L204" s="902">
        <v>5</v>
      </c>
    </row>
    <row r="205" spans="1:12">
      <c r="A205" s="904">
        <v>204</v>
      </c>
      <c r="B205" s="899" t="str">
        <f t="shared" si="7"/>
        <v>BH15MI</v>
      </c>
      <c r="C205" s="1382" t="s">
        <v>1603</v>
      </c>
      <c r="D205" s="910" t="s">
        <v>1500</v>
      </c>
      <c r="E205" s="898" t="s">
        <v>1639</v>
      </c>
      <c r="F205" s="900" t="s">
        <v>1634</v>
      </c>
      <c r="G205" s="902">
        <v>15</v>
      </c>
      <c r="H205" s="902" t="s">
        <v>1626</v>
      </c>
      <c r="I205" s="902" t="s">
        <v>1627</v>
      </c>
      <c r="J205" s="902"/>
      <c r="K205" s="899" t="s">
        <v>1635</v>
      </c>
      <c r="L205" s="902">
        <v>5</v>
      </c>
    </row>
    <row r="206" spans="1:12">
      <c r="A206" s="904">
        <v>205</v>
      </c>
      <c r="B206" s="899" t="str">
        <f t="shared" si="7"/>
        <v>BH20MI</v>
      </c>
      <c r="C206" s="1382" t="s">
        <v>1603</v>
      </c>
      <c r="D206" s="910" t="s">
        <v>1500</v>
      </c>
      <c r="E206" s="898" t="s">
        <v>1639</v>
      </c>
      <c r="F206" s="900" t="s">
        <v>1634</v>
      </c>
      <c r="G206" s="902">
        <v>20</v>
      </c>
      <c r="H206" s="902" t="s">
        <v>1626</v>
      </c>
      <c r="I206" s="902" t="s">
        <v>1627</v>
      </c>
      <c r="J206" s="902"/>
      <c r="K206" s="899" t="s">
        <v>1635</v>
      </c>
      <c r="L206" s="902">
        <v>5</v>
      </c>
    </row>
    <row r="207" spans="1:12">
      <c r="A207" s="904">
        <v>206</v>
      </c>
      <c r="B207" s="899" t="str">
        <f t="shared" si="7"/>
        <v>BH25MI</v>
      </c>
      <c r="C207" s="1382" t="s">
        <v>1603</v>
      </c>
      <c r="D207" s="910" t="s">
        <v>1500</v>
      </c>
      <c r="E207" s="898" t="s">
        <v>1639</v>
      </c>
      <c r="F207" s="900" t="s">
        <v>1634</v>
      </c>
      <c r="G207" s="902">
        <v>25</v>
      </c>
      <c r="H207" s="902" t="s">
        <v>1626</v>
      </c>
      <c r="I207" s="902" t="s">
        <v>1627</v>
      </c>
      <c r="J207" s="902"/>
      <c r="K207" s="899" t="s">
        <v>1635</v>
      </c>
      <c r="L207" s="902">
        <v>5</v>
      </c>
    </row>
    <row r="208" spans="1:12">
      <c r="A208" s="904">
        <v>207</v>
      </c>
      <c r="B208" s="899" t="str">
        <f t="shared" si="7"/>
        <v>BH30MI</v>
      </c>
      <c r="C208" s="1382" t="s">
        <v>1603</v>
      </c>
      <c r="D208" s="910" t="s">
        <v>1500</v>
      </c>
      <c r="E208" s="898" t="s">
        <v>1639</v>
      </c>
      <c r="F208" s="900" t="s">
        <v>1634</v>
      </c>
      <c r="G208" s="902">
        <v>30</v>
      </c>
      <c r="H208" s="902" t="s">
        <v>1626</v>
      </c>
      <c r="I208" s="902" t="s">
        <v>1627</v>
      </c>
      <c r="J208" s="902"/>
      <c r="K208" s="899" t="s">
        <v>1635</v>
      </c>
      <c r="L208" s="902">
        <v>5</v>
      </c>
    </row>
    <row r="209" spans="1:12">
      <c r="A209" s="904">
        <v>208</v>
      </c>
      <c r="B209" s="899" t="str">
        <f t="shared" si="7"/>
        <v>BH35MI</v>
      </c>
      <c r="C209" s="1382" t="s">
        <v>1603</v>
      </c>
      <c r="D209" s="910" t="s">
        <v>1500</v>
      </c>
      <c r="E209" s="898" t="s">
        <v>1639</v>
      </c>
      <c r="F209" s="900" t="s">
        <v>1634</v>
      </c>
      <c r="G209" s="902">
        <v>35</v>
      </c>
      <c r="H209" s="902" t="s">
        <v>1626</v>
      </c>
      <c r="I209" s="902" t="s">
        <v>1627</v>
      </c>
      <c r="J209" s="902"/>
      <c r="K209" s="899" t="s">
        <v>1635</v>
      </c>
      <c r="L209" s="902">
        <v>5</v>
      </c>
    </row>
    <row r="210" spans="1:12">
      <c r="A210" s="904">
        <v>209</v>
      </c>
      <c r="B210" s="899" t="str">
        <f t="shared" si="7"/>
        <v>BH40MI</v>
      </c>
      <c r="C210" s="1382" t="s">
        <v>1603</v>
      </c>
      <c r="D210" s="910" t="s">
        <v>1500</v>
      </c>
      <c r="E210" s="898" t="s">
        <v>1639</v>
      </c>
      <c r="F210" s="900" t="s">
        <v>1634</v>
      </c>
      <c r="G210" s="902">
        <v>40</v>
      </c>
      <c r="H210" s="902" t="s">
        <v>1626</v>
      </c>
      <c r="I210" s="902" t="s">
        <v>1627</v>
      </c>
      <c r="J210" s="902"/>
      <c r="K210" s="899" t="s">
        <v>1635</v>
      </c>
      <c r="L210" s="902">
        <v>5</v>
      </c>
    </row>
    <row r="211" spans="1:12">
      <c r="A211" s="904">
        <v>210</v>
      </c>
      <c r="B211" s="899" t="str">
        <f t="shared" si="7"/>
        <v>BH10PVI</v>
      </c>
      <c r="C211" s="1382" t="s">
        <v>1603</v>
      </c>
      <c r="D211" s="910" t="s">
        <v>1500</v>
      </c>
      <c r="E211" s="898" t="s">
        <v>1639</v>
      </c>
      <c r="F211" s="900" t="s">
        <v>1640</v>
      </c>
      <c r="G211" s="902">
        <v>10</v>
      </c>
      <c r="H211" s="902" t="s">
        <v>1641</v>
      </c>
      <c r="I211" s="902" t="s">
        <v>1627</v>
      </c>
      <c r="J211" s="902"/>
      <c r="K211" s="899" t="s">
        <v>1635</v>
      </c>
      <c r="L211" s="902">
        <v>8</v>
      </c>
    </row>
    <row r="212" spans="1:12">
      <c r="A212" s="904">
        <v>211</v>
      </c>
      <c r="B212" s="899" t="str">
        <f t="shared" si="7"/>
        <v>BH15PVI</v>
      </c>
      <c r="C212" s="1382" t="s">
        <v>1603</v>
      </c>
      <c r="D212" s="910" t="s">
        <v>1500</v>
      </c>
      <c r="E212" s="898" t="s">
        <v>1639</v>
      </c>
      <c r="F212" s="900" t="s">
        <v>1640</v>
      </c>
      <c r="G212" s="902">
        <v>15</v>
      </c>
      <c r="H212" s="902" t="s">
        <v>1641</v>
      </c>
      <c r="I212" s="902" t="s">
        <v>1627</v>
      </c>
      <c r="J212" s="902"/>
      <c r="K212" s="899" t="s">
        <v>1635</v>
      </c>
      <c r="L212" s="902">
        <v>8</v>
      </c>
    </row>
    <row r="213" spans="1:12">
      <c r="A213" s="904">
        <v>212</v>
      </c>
      <c r="B213" s="899" t="str">
        <f t="shared" si="7"/>
        <v>BH20PVI</v>
      </c>
      <c r="C213" s="1382" t="s">
        <v>1603</v>
      </c>
      <c r="D213" s="910" t="s">
        <v>1500</v>
      </c>
      <c r="E213" s="898" t="s">
        <v>1639</v>
      </c>
      <c r="F213" s="900" t="s">
        <v>1640</v>
      </c>
      <c r="G213" s="902">
        <v>20</v>
      </c>
      <c r="H213" s="902" t="s">
        <v>1641</v>
      </c>
      <c r="I213" s="902" t="s">
        <v>1627</v>
      </c>
      <c r="J213" s="902"/>
      <c r="K213" s="899" t="s">
        <v>1635</v>
      </c>
      <c r="L213" s="902">
        <v>8</v>
      </c>
    </row>
    <row r="214" spans="1:12">
      <c r="A214" s="904">
        <v>213</v>
      </c>
      <c r="B214" s="899" t="str">
        <f t="shared" si="7"/>
        <v>BH25PVI</v>
      </c>
      <c r="C214" s="1382" t="s">
        <v>1603</v>
      </c>
      <c r="D214" s="910" t="s">
        <v>1500</v>
      </c>
      <c r="E214" s="898" t="s">
        <v>1639</v>
      </c>
      <c r="F214" s="900" t="s">
        <v>1640</v>
      </c>
      <c r="G214" s="902">
        <v>25</v>
      </c>
      <c r="H214" s="902" t="s">
        <v>1641</v>
      </c>
      <c r="I214" s="902" t="s">
        <v>1627</v>
      </c>
      <c r="J214" s="902"/>
      <c r="K214" s="899" t="s">
        <v>1635</v>
      </c>
      <c r="L214" s="902">
        <v>8</v>
      </c>
    </row>
    <row r="215" spans="1:12">
      <c r="A215" s="904">
        <v>214</v>
      </c>
      <c r="B215" s="899" t="str">
        <f t="shared" si="7"/>
        <v>BH30PVI</v>
      </c>
      <c r="C215" s="1382" t="s">
        <v>1603</v>
      </c>
      <c r="D215" s="910" t="s">
        <v>1500</v>
      </c>
      <c r="E215" s="898" t="s">
        <v>1639</v>
      </c>
      <c r="F215" s="900" t="s">
        <v>1640</v>
      </c>
      <c r="G215" s="902">
        <v>30</v>
      </c>
      <c r="H215" s="902" t="s">
        <v>1641</v>
      </c>
      <c r="I215" s="902" t="s">
        <v>1627</v>
      </c>
      <c r="J215" s="902"/>
      <c r="K215" s="899" t="s">
        <v>1635</v>
      </c>
      <c r="L215" s="902">
        <v>8</v>
      </c>
    </row>
    <row r="216" spans="1:12">
      <c r="A216" s="904">
        <v>215</v>
      </c>
      <c r="B216" s="899" t="str">
        <f t="shared" si="7"/>
        <v>BH35PVI</v>
      </c>
      <c r="C216" s="1382" t="s">
        <v>1603</v>
      </c>
      <c r="D216" s="910" t="s">
        <v>1500</v>
      </c>
      <c r="E216" s="898" t="s">
        <v>1639</v>
      </c>
      <c r="F216" s="900" t="s">
        <v>1640</v>
      </c>
      <c r="G216" s="902">
        <v>35</v>
      </c>
      <c r="H216" s="902" t="s">
        <v>1641</v>
      </c>
      <c r="I216" s="902" t="s">
        <v>1627</v>
      </c>
      <c r="J216" s="902"/>
      <c r="K216" s="899" t="s">
        <v>1635</v>
      </c>
      <c r="L216" s="902">
        <v>8</v>
      </c>
    </row>
    <row r="217" spans="1:12">
      <c r="A217" s="904">
        <v>216</v>
      </c>
      <c r="B217" s="899" t="str">
        <f t="shared" si="7"/>
        <v>BH40PVI</v>
      </c>
      <c r="C217" s="1382" t="s">
        <v>1603</v>
      </c>
      <c r="D217" s="910" t="s">
        <v>1500</v>
      </c>
      <c r="E217" s="898" t="s">
        <v>1639</v>
      </c>
      <c r="F217" s="900" t="s">
        <v>1640</v>
      </c>
      <c r="G217" s="902">
        <v>40</v>
      </c>
      <c r="H217" s="902" t="s">
        <v>1641</v>
      </c>
      <c r="I217" s="902" t="s">
        <v>1627</v>
      </c>
      <c r="J217" s="902"/>
      <c r="K217" s="899" t="s">
        <v>1635</v>
      </c>
      <c r="L217" s="902">
        <v>8</v>
      </c>
    </row>
    <row r="218" spans="1:12">
      <c r="A218" s="904">
        <v>217</v>
      </c>
      <c r="B218" s="899" t="str">
        <f t="shared" si="7"/>
        <v>BH10PHI</v>
      </c>
      <c r="C218" s="1382" t="s">
        <v>1603</v>
      </c>
      <c r="D218" s="910" t="s">
        <v>1500</v>
      </c>
      <c r="E218" s="898" t="s">
        <v>1639</v>
      </c>
      <c r="F218" s="900" t="s">
        <v>1642</v>
      </c>
      <c r="G218" s="902">
        <v>10</v>
      </c>
      <c r="H218" s="902" t="s">
        <v>1643</v>
      </c>
      <c r="I218" s="902" t="s">
        <v>1627</v>
      </c>
      <c r="J218" s="902"/>
      <c r="K218" s="899" t="s">
        <v>1635</v>
      </c>
      <c r="L218" s="902">
        <v>9</v>
      </c>
    </row>
    <row r="219" spans="1:12">
      <c r="A219" s="904">
        <v>218</v>
      </c>
      <c r="B219" s="899" t="str">
        <f t="shared" si="7"/>
        <v>BH15PHI</v>
      </c>
      <c r="C219" s="1382" t="s">
        <v>1603</v>
      </c>
      <c r="D219" s="910" t="s">
        <v>1500</v>
      </c>
      <c r="E219" s="898" t="s">
        <v>1639</v>
      </c>
      <c r="F219" s="900" t="s">
        <v>1642</v>
      </c>
      <c r="G219" s="902">
        <v>15</v>
      </c>
      <c r="H219" s="902" t="s">
        <v>1643</v>
      </c>
      <c r="I219" s="902" t="s">
        <v>1627</v>
      </c>
      <c r="J219" s="902"/>
      <c r="K219" s="899" t="s">
        <v>1635</v>
      </c>
      <c r="L219" s="902">
        <v>9</v>
      </c>
    </row>
    <row r="220" spans="1:12">
      <c r="A220" s="904">
        <v>219</v>
      </c>
      <c r="B220" s="899" t="str">
        <f t="shared" si="7"/>
        <v>BH20PHI</v>
      </c>
      <c r="C220" s="1382" t="s">
        <v>1603</v>
      </c>
      <c r="D220" s="910" t="s">
        <v>1500</v>
      </c>
      <c r="E220" s="898" t="s">
        <v>1639</v>
      </c>
      <c r="F220" s="900" t="s">
        <v>1642</v>
      </c>
      <c r="G220" s="902">
        <v>20</v>
      </c>
      <c r="H220" s="902" t="s">
        <v>1643</v>
      </c>
      <c r="I220" s="902" t="s">
        <v>1627</v>
      </c>
      <c r="J220" s="902"/>
      <c r="K220" s="899" t="s">
        <v>1635</v>
      </c>
      <c r="L220" s="902">
        <v>9</v>
      </c>
    </row>
    <row r="221" spans="1:12">
      <c r="A221" s="904">
        <v>220</v>
      </c>
      <c r="B221" s="899" t="str">
        <f t="shared" si="7"/>
        <v>BH25PHI</v>
      </c>
      <c r="C221" s="1382" t="s">
        <v>1603</v>
      </c>
      <c r="D221" s="910" t="s">
        <v>1500</v>
      </c>
      <c r="E221" s="898" t="s">
        <v>1639</v>
      </c>
      <c r="F221" s="900" t="s">
        <v>1642</v>
      </c>
      <c r="G221" s="902">
        <v>25</v>
      </c>
      <c r="H221" s="902" t="s">
        <v>1643</v>
      </c>
      <c r="I221" s="902" t="s">
        <v>1627</v>
      </c>
      <c r="J221" s="902"/>
      <c r="K221" s="899" t="s">
        <v>1635</v>
      </c>
      <c r="L221" s="902">
        <v>9</v>
      </c>
    </row>
    <row r="222" spans="1:12">
      <c r="A222" s="904">
        <v>221</v>
      </c>
      <c r="B222" s="899" t="str">
        <f t="shared" si="7"/>
        <v>BH30PHI</v>
      </c>
      <c r="C222" s="1382" t="s">
        <v>1603</v>
      </c>
      <c r="D222" s="910" t="s">
        <v>1500</v>
      </c>
      <c r="E222" s="898" t="s">
        <v>1639</v>
      </c>
      <c r="F222" s="900" t="s">
        <v>1642</v>
      </c>
      <c r="G222" s="902">
        <v>30</v>
      </c>
      <c r="H222" s="902" t="s">
        <v>1643</v>
      </c>
      <c r="I222" s="902" t="s">
        <v>1627</v>
      </c>
      <c r="J222" s="902"/>
      <c r="K222" s="899" t="s">
        <v>1635</v>
      </c>
      <c r="L222" s="902">
        <v>9</v>
      </c>
    </row>
    <row r="223" spans="1:12">
      <c r="A223" s="904">
        <v>222</v>
      </c>
      <c r="B223" s="899" t="str">
        <f t="shared" si="7"/>
        <v>BH35PHI</v>
      </c>
      <c r="C223" s="1382" t="s">
        <v>1603</v>
      </c>
      <c r="D223" s="910" t="s">
        <v>1500</v>
      </c>
      <c r="E223" s="898" t="s">
        <v>1639</v>
      </c>
      <c r="F223" s="900" t="s">
        <v>1642</v>
      </c>
      <c r="G223" s="902">
        <v>35</v>
      </c>
      <c r="H223" s="902" t="s">
        <v>1643</v>
      </c>
      <c r="I223" s="902" t="s">
        <v>1627</v>
      </c>
      <c r="J223" s="902"/>
      <c r="K223" s="899" t="s">
        <v>1635</v>
      </c>
      <c r="L223" s="902">
        <v>9</v>
      </c>
    </row>
    <row r="224" spans="1:12">
      <c r="A224" s="904">
        <v>223</v>
      </c>
      <c r="B224" s="899" t="str">
        <f t="shared" si="7"/>
        <v>BH40PHI</v>
      </c>
      <c r="C224" s="1382" t="s">
        <v>1603</v>
      </c>
      <c r="D224" s="910" t="s">
        <v>1500</v>
      </c>
      <c r="E224" s="898" t="s">
        <v>1639</v>
      </c>
      <c r="F224" s="900" t="s">
        <v>1642</v>
      </c>
      <c r="G224" s="902">
        <v>40</v>
      </c>
      <c r="H224" s="902" t="s">
        <v>1643</v>
      </c>
      <c r="I224" s="902" t="s">
        <v>1627</v>
      </c>
      <c r="J224" s="902"/>
      <c r="K224" s="899" t="s">
        <v>1635</v>
      </c>
      <c r="L224" s="902">
        <v>9</v>
      </c>
    </row>
    <row r="225" spans="1:12">
      <c r="A225" s="904">
        <v>224</v>
      </c>
      <c r="B225" s="899" t="str">
        <f t="shared" si="7"/>
        <v>BQ10MI</v>
      </c>
      <c r="C225" s="1382" t="s">
        <v>1603</v>
      </c>
      <c r="D225" s="910" t="s">
        <v>1501</v>
      </c>
      <c r="E225" s="898" t="s">
        <v>1644</v>
      </c>
      <c r="F225" s="900" t="s">
        <v>1634</v>
      </c>
      <c r="G225" s="902">
        <v>10</v>
      </c>
      <c r="H225" s="902" t="s">
        <v>1626</v>
      </c>
      <c r="I225" s="902" t="s">
        <v>1627</v>
      </c>
      <c r="J225" s="902"/>
      <c r="K225" s="899" t="s">
        <v>1635</v>
      </c>
      <c r="L225" s="902">
        <v>6</v>
      </c>
    </row>
    <row r="226" spans="1:12">
      <c r="A226" s="904">
        <v>225</v>
      </c>
      <c r="B226" s="899" t="str">
        <f t="shared" si="7"/>
        <v>BQ15MI</v>
      </c>
      <c r="C226" s="1382" t="s">
        <v>1603</v>
      </c>
      <c r="D226" s="910" t="s">
        <v>1501</v>
      </c>
      <c r="E226" s="898" t="s">
        <v>1644</v>
      </c>
      <c r="F226" s="900" t="s">
        <v>1634</v>
      </c>
      <c r="G226" s="902">
        <v>15</v>
      </c>
      <c r="H226" s="902" t="s">
        <v>1626</v>
      </c>
      <c r="I226" s="902" t="s">
        <v>1627</v>
      </c>
      <c r="J226" s="902"/>
      <c r="K226" s="899" t="s">
        <v>1635</v>
      </c>
      <c r="L226" s="902">
        <v>6</v>
      </c>
    </row>
    <row r="227" spans="1:12">
      <c r="A227" s="904">
        <v>226</v>
      </c>
      <c r="B227" s="899" t="str">
        <f t="shared" si="7"/>
        <v>BQ20MI</v>
      </c>
      <c r="C227" s="1382" t="s">
        <v>1603</v>
      </c>
      <c r="D227" s="910" t="s">
        <v>1501</v>
      </c>
      <c r="E227" s="898" t="s">
        <v>1644</v>
      </c>
      <c r="F227" s="900" t="s">
        <v>1634</v>
      </c>
      <c r="G227" s="902">
        <v>20</v>
      </c>
      <c r="H227" s="902" t="s">
        <v>1626</v>
      </c>
      <c r="I227" s="902" t="s">
        <v>1627</v>
      </c>
      <c r="J227" s="902"/>
      <c r="K227" s="899" t="s">
        <v>1635</v>
      </c>
      <c r="L227" s="902">
        <v>6</v>
      </c>
    </row>
    <row r="228" spans="1:12">
      <c r="A228" s="904">
        <v>227</v>
      </c>
      <c r="B228" s="899" t="str">
        <f t="shared" si="7"/>
        <v>BQ25MI</v>
      </c>
      <c r="C228" s="1382" t="s">
        <v>1603</v>
      </c>
      <c r="D228" s="910" t="s">
        <v>1501</v>
      </c>
      <c r="E228" s="898" t="s">
        <v>1644</v>
      </c>
      <c r="F228" s="900" t="s">
        <v>1634</v>
      </c>
      <c r="G228" s="902">
        <v>25</v>
      </c>
      <c r="H228" s="902" t="s">
        <v>1626</v>
      </c>
      <c r="I228" s="902" t="s">
        <v>1627</v>
      </c>
      <c r="J228" s="902"/>
      <c r="K228" s="899" t="s">
        <v>1635</v>
      </c>
      <c r="L228" s="902">
        <v>6</v>
      </c>
    </row>
    <row r="229" spans="1:12">
      <c r="A229" s="904">
        <v>228</v>
      </c>
      <c r="B229" s="899" t="str">
        <f t="shared" si="7"/>
        <v>BQ30MI</v>
      </c>
      <c r="C229" s="1382" t="s">
        <v>1603</v>
      </c>
      <c r="D229" s="910" t="s">
        <v>1501</v>
      </c>
      <c r="E229" s="898" t="s">
        <v>1644</v>
      </c>
      <c r="F229" s="900" t="s">
        <v>1634</v>
      </c>
      <c r="G229" s="902">
        <v>30</v>
      </c>
      <c r="H229" s="902" t="s">
        <v>1626</v>
      </c>
      <c r="I229" s="902" t="s">
        <v>1627</v>
      </c>
      <c r="J229" s="902"/>
      <c r="K229" s="899" t="s">
        <v>1635</v>
      </c>
      <c r="L229" s="902">
        <v>6</v>
      </c>
    </row>
    <row r="230" spans="1:12">
      <c r="A230" s="904">
        <v>229</v>
      </c>
      <c r="B230" s="899" t="str">
        <f t="shared" si="7"/>
        <v>BQ35MI</v>
      </c>
      <c r="C230" s="1382" t="s">
        <v>1603</v>
      </c>
      <c r="D230" s="910" t="s">
        <v>1501</v>
      </c>
      <c r="E230" s="898" t="s">
        <v>1644</v>
      </c>
      <c r="F230" s="900" t="s">
        <v>1634</v>
      </c>
      <c r="G230" s="902">
        <v>35</v>
      </c>
      <c r="H230" s="902" t="s">
        <v>1626</v>
      </c>
      <c r="I230" s="902" t="s">
        <v>1627</v>
      </c>
      <c r="J230" s="902"/>
      <c r="K230" s="899" t="s">
        <v>1635</v>
      </c>
      <c r="L230" s="902">
        <v>6</v>
      </c>
    </row>
    <row r="231" spans="1:12">
      <c r="A231" s="904">
        <v>230</v>
      </c>
      <c r="B231" s="899" t="str">
        <f t="shared" si="7"/>
        <v>BQ40MI</v>
      </c>
      <c r="C231" s="1382" t="s">
        <v>1603</v>
      </c>
      <c r="D231" s="910" t="s">
        <v>1501</v>
      </c>
      <c r="E231" s="898" t="s">
        <v>1644</v>
      </c>
      <c r="F231" s="900" t="s">
        <v>1634</v>
      </c>
      <c r="G231" s="902">
        <v>40</v>
      </c>
      <c r="H231" s="902" t="s">
        <v>1626</v>
      </c>
      <c r="I231" s="902" t="s">
        <v>1627</v>
      </c>
      <c r="J231" s="902"/>
      <c r="K231" s="899" t="s">
        <v>1635</v>
      </c>
      <c r="L231" s="902">
        <v>6</v>
      </c>
    </row>
    <row r="232" spans="1:12">
      <c r="A232" s="904">
        <v>231</v>
      </c>
      <c r="B232" s="899" t="str">
        <f t="shared" si="7"/>
        <v>DN10SI</v>
      </c>
      <c r="C232" s="1382" t="s">
        <v>1603</v>
      </c>
      <c r="D232" s="911" t="s">
        <v>1502</v>
      </c>
      <c r="E232" s="898" t="s">
        <v>1645</v>
      </c>
      <c r="F232" s="900" t="s">
        <v>1646</v>
      </c>
      <c r="G232" s="902">
        <v>10</v>
      </c>
      <c r="H232" s="902" t="s">
        <v>1647</v>
      </c>
      <c r="I232" s="902" t="s">
        <v>1627</v>
      </c>
      <c r="J232" s="902"/>
      <c r="K232" s="899" t="s">
        <v>1635</v>
      </c>
      <c r="L232" s="902">
        <v>10</v>
      </c>
    </row>
    <row r="233" spans="1:12">
      <c r="A233" s="904">
        <v>232</v>
      </c>
      <c r="B233" s="899" t="str">
        <f t="shared" si="7"/>
        <v>DN15SI</v>
      </c>
      <c r="C233" s="1382" t="s">
        <v>1603</v>
      </c>
      <c r="D233" s="911" t="s">
        <v>1502</v>
      </c>
      <c r="E233" s="898" t="s">
        <v>1645</v>
      </c>
      <c r="F233" s="900" t="s">
        <v>1646</v>
      </c>
      <c r="G233" s="902">
        <v>15</v>
      </c>
      <c r="H233" s="902" t="s">
        <v>1647</v>
      </c>
      <c r="I233" s="902" t="s">
        <v>1627</v>
      </c>
      <c r="J233" s="902"/>
      <c r="K233" s="899" t="s">
        <v>1635</v>
      </c>
      <c r="L233" s="902">
        <v>10</v>
      </c>
    </row>
    <row r="234" spans="1:12">
      <c r="A234" s="904">
        <v>233</v>
      </c>
      <c r="B234" s="899" t="str">
        <f t="shared" si="7"/>
        <v>DN20SI</v>
      </c>
      <c r="C234" s="1382" t="s">
        <v>1603</v>
      </c>
      <c r="D234" s="911" t="s">
        <v>1502</v>
      </c>
      <c r="E234" s="898" t="s">
        <v>1645</v>
      </c>
      <c r="F234" s="900" t="s">
        <v>1646</v>
      </c>
      <c r="G234" s="902">
        <v>20</v>
      </c>
      <c r="H234" s="902" t="s">
        <v>1647</v>
      </c>
      <c r="I234" s="902" t="s">
        <v>1627</v>
      </c>
      <c r="J234" s="902"/>
      <c r="K234" s="899" t="s">
        <v>1635</v>
      </c>
      <c r="L234" s="902">
        <v>10</v>
      </c>
    </row>
    <row r="235" spans="1:12">
      <c r="A235" s="904">
        <v>234</v>
      </c>
      <c r="B235" s="899" t="str">
        <f t="shared" si="7"/>
        <v>DN25SI</v>
      </c>
      <c r="C235" s="1382" t="s">
        <v>1603</v>
      </c>
      <c r="D235" s="911" t="s">
        <v>1502</v>
      </c>
      <c r="E235" s="898" t="s">
        <v>1645</v>
      </c>
      <c r="F235" s="900" t="s">
        <v>1646</v>
      </c>
      <c r="G235" s="902">
        <v>25</v>
      </c>
      <c r="H235" s="902" t="s">
        <v>1647</v>
      </c>
      <c r="I235" s="902" t="s">
        <v>1627</v>
      </c>
      <c r="J235" s="902"/>
      <c r="K235" s="899" t="s">
        <v>1635</v>
      </c>
      <c r="L235" s="902">
        <v>10</v>
      </c>
    </row>
    <row r="236" spans="1:12">
      <c r="A236" s="904">
        <v>235</v>
      </c>
      <c r="B236" s="899" t="str">
        <f t="shared" si="7"/>
        <v>DN30SI</v>
      </c>
      <c r="C236" s="1382" t="s">
        <v>1603</v>
      </c>
      <c r="D236" s="911" t="s">
        <v>1502</v>
      </c>
      <c r="E236" s="898" t="s">
        <v>1645</v>
      </c>
      <c r="F236" s="900" t="s">
        <v>1646</v>
      </c>
      <c r="G236" s="902">
        <v>30</v>
      </c>
      <c r="H236" s="902" t="s">
        <v>1647</v>
      </c>
      <c r="I236" s="902" t="s">
        <v>1627</v>
      </c>
      <c r="J236" s="902"/>
      <c r="K236" s="899" t="s">
        <v>1635</v>
      </c>
      <c r="L236" s="902">
        <v>10</v>
      </c>
    </row>
    <row r="237" spans="1:12">
      <c r="A237" s="904">
        <v>236</v>
      </c>
      <c r="B237" s="899" t="str">
        <f t="shared" si="7"/>
        <v>DN35SI</v>
      </c>
      <c r="C237" s="1382" t="s">
        <v>1603</v>
      </c>
      <c r="D237" s="911" t="s">
        <v>1502</v>
      </c>
      <c r="E237" s="898" t="s">
        <v>1645</v>
      </c>
      <c r="F237" s="900" t="s">
        <v>1646</v>
      </c>
      <c r="G237" s="902">
        <v>35</v>
      </c>
      <c r="H237" s="902" t="s">
        <v>1647</v>
      </c>
      <c r="I237" s="902" t="s">
        <v>1627</v>
      </c>
      <c r="J237" s="902"/>
      <c r="K237" s="899" t="s">
        <v>1635</v>
      </c>
      <c r="L237" s="902">
        <v>10</v>
      </c>
    </row>
    <row r="238" spans="1:12">
      <c r="A238" s="904">
        <v>237</v>
      </c>
      <c r="B238" s="899" t="str">
        <f t="shared" si="7"/>
        <v>DN40SI</v>
      </c>
      <c r="C238" s="1382" t="s">
        <v>1603</v>
      </c>
      <c r="D238" s="911" t="s">
        <v>1502</v>
      </c>
      <c r="E238" s="898" t="s">
        <v>1645</v>
      </c>
      <c r="F238" s="900" t="s">
        <v>1646</v>
      </c>
      <c r="G238" s="902">
        <v>40</v>
      </c>
      <c r="H238" s="902" t="s">
        <v>1647</v>
      </c>
      <c r="I238" s="902" t="s">
        <v>1627</v>
      </c>
      <c r="J238" s="902"/>
      <c r="K238" s="899" t="s">
        <v>1635</v>
      </c>
      <c r="L238" s="902">
        <v>10</v>
      </c>
    </row>
    <row r="239" spans="1:12">
      <c r="A239" s="904">
        <v>238</v>
      </c>
      <c r="B239" s="899" t="str">
        <f t="shared" si="7"/>
        <v>SF10SI</v>
      </c>
      <c r="C239" s="1382" t="s">
        <v>1603</v>
      </c>
      <c r="D239" s="911" t="s">
        <v>1503</v>
      </c>
      <c r="E239" s="898" t="s">
        <v>1648</v>
      </c>
      <c r="F239" s="900" t="s">
        <v>1649</v>
      </c>
      <c r="G239" s="902">
        <v>10</v>
      </c>
      <c r="H239" s="902" t="s">
        <v>1647</v>
      </c>
      <c r="I239" s="902" t="s">
        <v>1627</v>
      </c>
      <c r="J239" s="902"/>
      <c r="K239" s="899" t="s">
        <v>1650</v>
      </c>
      <c r="L239" s="902">
        <v>11</v>
      </c>
    </row>
    <row r="240" spans="1:12">
      <c r="A240" s="904">
        <v>239</v>
      </c>
      <c r="B240" s="899" t="str">
        <f t="shared" si="7"/>
        <v>SF25MI</v>
      </c>
      <c r="C240" s="1382" t="s">
        <v>1603</v>
      </c>
      <c r="D240" s="911" t="s">
        <v>1503</v>
      </c>
      <c r="E240" s="898" t="s">
        <v>1648</v>
      </c>
      <c r="F240" s="900" t="s">
        <v>1651</v>
      </c>
      <c r="G240" s="902">
        <v>25</v>
      </c>
      <c r="H240" s="902" t="s">
        <v>1626</v>
      </c>
      <c r="I240" s="902" t="s">
        <v>1627</v>
      </c>
      <c r="J240" s="902"/>
      <c r="K240" s="899" t="s">
        <v>1650</v>
      </c>
      <c r="L240" s="902">
        <v>12</v>
      </c>
    </row>
    <row r="241" spans="1:12">
      <c r="A241" s="904">
        <v>240</v>
      </c>
      <c r="B241" s="899" t="str">
        <f t="shared" si="7"/>
        <v>SF30MI</v>
      </c>
      <c r="C241" s="1382" t="s">
        <v>1603</v>
      </c>
      <c r="D241" s="911" t="s">
        <v>1503</v>
      </c>
      <c r="E241" s="898" t="s">
        <v>1648</v>
      </c>
      <c r="F241" s="900" t="s">
        <v>1651</v>
      </c>
      <c r="G241" s="902">
        <v>30</v>
      </c>
      <c r="H241" s="902" t="s">
        <v>1626</v>
      </c>
      <c r="I241" s="902" t="s">
        <v>1627</v>
      </c>
      <c r="J241" s="902"/>
      <c r="K241" s="899" t="s">
        <v>1650</v>
      </c>
      <c r="L241" s="902">
        <v>12</v>
      </c>
    </row>
    <row r="242" spans="1:12">
      <c r="A242" s="904">
        <v>241</v>
      </c>
      <c r="B242" s="899" t="str">
        <f t="shared" si="7"/>
        <v>SF35MI</v>
      </c>
      <c r="C242" s="1382" t="s">
        <v>1603</v>
      </c>
      <c r="D242" s="911" t="s">
        <v>1503</v>
      </c>
      <c r="E242" s="898" t="s">
        <v>1648</v>
      </c>
      <c r="F242" s="900" t="s">
        <v>1651</v>
      </c>
      <c r="G242" s="902">
        <v>35</v>
      </c>
      <c r="H242" s="902" t="s">
        <v>1626</v>
      </c>
      <c r="I242" s="902" t="s">
        <v>1627</v>
      </c>
      <c r="J242" s="902"/>
      <c r="K242" s="899" t="s">
        <v>1650</v>
      </c>
      <c r="L242" s="902">
        <v>12</v>
      </c>
    </row>
    <row r="243" spans="1:12">
      <c r="A243" s="904">
        <v>242</v>
      </c>
      <c r="B243" s="899" t="str">
        <f t="shared" si="7"/>
        <v>SF40MI</v>
      </c>
      <c r="C243" s="1382" t="s">
        <v>1603</v>
      </c>
      <c r="D243" s="911" t="s">
        <v>1503</v>
      </c>
      <c r="E243" s="898" t="s">
        <v>1648</v>
      </c>
      <c r="F243" s="900" t="s">
        <v>1651</v>
      </c>
      <c r="G243" s="902">
        <v>40</v>
      </c>
      <c r="H243" s="902" t="s">
        <v>1626</v>
      </c>
      <c r="I243" s="902" t="s">
        <v>1627</v>
      </c>
      <c r="J243" s="902"/>
      <c r="K243" s="899" t="s">
        <v>1650</v>
      </c>
      <c r="L243" s="902">
        <v>12</v>
      </c>
    </row>
    <row r="244" spans="1:12">
      <c r="A244" s="904">
        <v>243</v>
      </c>
      <c r="B244" s="899" t="str">
        <f t="shared" si="7"/>
        <v>SF25LI</v>
      </c>
      <c r="C244" s="1382" t="s">
        <v>1603</v>
      </c>
      <c r="D244" s="911" t="s">
        <v>1503</v>
      </c>
      <c r="E244" s="898" t="s">
        <v>1648</v>
      </c>
      <c r="F244" s="900" t="s">
        <v>1652</v>
      </c>
      <c r="G244" s="902">
        <v>25</v>
      </c>
      <c r="H244" s="902" t="s">
        <v>1653</v>
      </c>
      <c r="I244" s="902" t="s">
        <v>1627</v>
      </c>
      <c r="J244" s="902"/>
      <c r="K244" s="899" t="s">
        <v>1650</v>
      </c>
      <c r="L244" s="902">
        <v>13</v>
      </c>
    </row>
    <row r="245" spans="1:12">
      <c r="A245" s="904">
        <v>244</v>
      </c>
      <c r="B245" s="899" t="str">
        <f t="shared" si="7"/>
        <v>SF30LI</v>
      </c>
      <c r="C245" s="1382" t="s">
        <v>1603</v>
      </c>
      <c r="D245" s="911" t="s">
        <v>1503</v>
      </c>
      <c r="E245" s="898" t="s">
        <v>1648</v>
      </c>
      <c r="F245" s="900" t="s">
        <v>1652</v>
      </c>
      <c r="G245" s="902">
        <v>30</v>
      </c>
      <c r="H245" s="902" t="s">
        <v>1653</v>
      </c>
      <c r="I245" s="902" t="s">
        <v>1627</v>
      </c>
      <c r="J245" s="902"/>
      <c r="K245" s="899" t="s">
        <v>1650</v>
      </c>
      <c r="L245" s="902">
        <v>13</v>
      </c>
    </row>
    <row r="246" spans="1:12">
      <c r="A246" s="904">
        <v>245</v>
      </c>
      <c r="B246" s="899" t="str">
        <f t="shared" si="7"/>
        <v>SF35LI</v>
      </c>
      <c r="C246" s="1382" t="s">
        <v>1603</v>
      </c>
      <c r="D246" s="911" t="s">
        <v>1503</v>
      </c>
      <c r="E246" s="898" t="s">
        <v>1648</v>
      </c>
      <c r="F246" s="900" t="s">
        <v>1652</v>
      </c>
      <c r="G246" s="902">
        <v>35</v>
      </c>
      <c r="H246" s="902" t="s">
        <v>1653</v>
      </c>
      <c r="I246" s="902" t="s">
        <v>1627</v>
      </c>
      <c r="J246" s="902"/>
      <c r="K246" s="899" t="s">
        <v>1650</v>
      </c>
      <c r="L246" s="902">
        <v>13</v>
      </c>
    </row>
    <row r="247" spans="1:12">
      <c r="A247" s="904">
        <v>246</v>
      </c>
      <c r="B247" s="899" t="str">
        <f t="shared" si="7"/>
        <v>SF40LI</v>
      </c>
      <c r="C247" s="1382" t="s">
        <v>1603</v>
      </c>
      <c r="D247" s="911" t="s">
        <v>1503</v>
      </c>
      <c r="E247" s="898" t="s">
        <v>1648</v>
      </c>
      <c r="F247" s="900" t="s">
        <v>1652</v>
      </c>
      <c r="G247" s="902">
        <v>40</v>
      </c>
      <c r="H247" s="902" t="s">
        <v>1653</v>
      </c>
      <c r="I247" s="902" t="s">
        <v>1627</v>
      </c>
      <c r="J247" s="902"/>
      <c r="K247" s="899" t="s">
        <v>1650</v>
      </c>
      <c r="L247" s="902">
        <v>13</v>
      </c>
    </row>
    <row r="248" spans="1:12">
      <c r="A248" s="904">
        <v>247</v>
      </c>
      <c r="B248" s="899" t="str">
        <f t="shared" si="7"/>
        <v>SF45LI</v>
      </c>
      <c r="C248" s="1382" t="s">
        <v>1603</v>
      </c>
      <c r="D248" s="911" t="s">
        <v>1503</v>
      </c>
      <c r="E248" s="898" t="s">
        <v>1648</v>
      </c>
      <c r="F248" s="900" t="s">
        <v>1652</v>
      </c>
      <c r="G248" s="902">
        <v>45</v>
      </c>
      <c r="H248" s="902" t="s">
        <v>1653</v>
      </c>
      <c r="I248" s="902" t="s">
        <v>1627</v>
      </c>
      <c r="J248" s="902"/>
      <c r="K248" s="899" t="s">
        <v>1650</v>
      </c>
      <c r="L248" s="902">
        <v>13</v>
      </c>
    </row>
    <row r="249" spans="1:12">
      <c r="A249" s="904">
        <v>248</v>
      </c>
      <c r="B249" s="899" t="str">
        <f t="shared" si="7"/>
        <v>SF50LI</v>
      </c>
      <c r="C249" s="1382" t="s">
        <v>1603</v>
      </c>
      <c r="D249" s="911" t="s">
        <v>1503</v>
      </c>
      <c r="E249" s="898" t="s">
        <v>1648</v>
      </c>
      <c r="F249" s="900" t="s">
        <v>1652</v>
      </c>
      <c r="G249" s="902">
        <v>50</v>
      </c>
      <c r="H249" s="902" t="s">
        <v>1653</v>
      </c>
      <c r="I249" s="902" t="s">
        <v>1627</v>
      </c>
      <c r="J249" s="902"/>
      <c r="K249" s="899" t="s">
        <v>1650</v>
      </c>
      <c r="L249" s="902">
        <v>14</v>
      </c>
    </row>
    <row r="250" spans="1:12">
      <c r="A250" s="904">
        <v>249</v>
      </c>
      <c r="B250" s="899" t="str">
        <f t="shared" ref="B250:B313" si="8">E68&amp;G68&amp;H68&amp;I68</f>
        <v>SF10TI</v>
      </c>
      <c r="C250" s="1382" t="s">
        <v>1603</v>
      </c>
      <c r="D250" s="911" t="s">
        <v>1503</v>
      </c>
      <c r="E250" s="898" t="s">
        <v>1648</v>
      </c>
      <c r="F250" s="900" t="s">
        <v>1654</v>
      </c>
      <c r="G250" s="902">
        <v>10</v>
      </c>
      <c r="H250" s="902" t="s">
        <v>1655</v>
      </c>
      <c r="I250" s="902" t="s">
        <v>1627</v>
      </c>
      <c r="J250" s="902"/>
      <c r="K250" s="899" t="s">
        <v>1650</v>
      </c>
      <c r="L250" s="902">
        <v>14</v>
      </c>
    </row>
    <row r="251" spans="1:12">
      <c r="A251" s="904">
        <v>250</v>
      </c>
      <c r="B251" s="899" t="str">
        <f t="shared" si="8"/>
        <v>SF10SLI</v>
      </c>
      <c r="C251" s="1382" t="s">
        <v>1603</v>
      </c>
      <c r="D251" s="911" t="s">
        <v>1503</v>
      </c>
      <c r="E251" s="898" t="s">
        <v>1648</v>
      </c>
      <c r="F251" s="900" t="s">
        <v>1656</v>
      </c>
      <c r="G251" s="902">
        <v>10</v>
      </c>
      <c r="H251" s="902" t="s">
        <v>1657</v>
      </c>
      <c r="I251" s="902" t="s">
        <v>1627</v>
      </c>
      <c r="J251" s="902"/>
      <c r="K251" s="899" t="s">
        <v>1650</v>
      </c>
      <c r="L251" s="902">
        <v>15</v>
      </c>
    </row>
    <row r="252" spans="1:12">
      <c r="A252" s="904">
        <v>251</v>
      </c>
      <c r="B252" s="899" t="str">
        <f t="shared" si="8"/>
        <v>SF10SRI</v>
      </c>
      <c r="C252" s="1382" t="s">
        <v>1603</v>
      </c>
      <c r="D252" s="911" t="s">
        <v>1503</v>
      </c>
      <c r="E252" s="898" t="s">
        <v>1648</v>
      </c>
      <c r="F252" s="900" t="s">
        <v>1658</v>
      </c>
      <c r="G252" s="902">
        <v>10</v>
      </c>
      <c r="H252" s="902" t="s">
        <v>1659</v>
      </c>
      <c r="I252" s="902" t="s">
        <v>1627</v>
      </c>
      <c r="J252" s="902"/>
      <c r="K252" s="899" t="s">
        <v>1650</v>
      </c>
      <c r="L252" s="902">
        <v>16</v>
      </c>
    </row>
    <row r="253" spans="1:12">
      <c r="A253" s="904">
        <v>252</v>
      </c>
      <c r="B253" s="899" t="str">
        <f t="shared" si="8"/>
        <v>SF25MPI</v>
      </c>
      <c r="C253" s="1382" t="s">
        <v>1603</v>
      </c>
      <c r="D253" s="911" t="s">
        <v>1503</v>
      </c>
      <c r="E253" s="898" t="s">
        <v>1648</v>
      </c>
      <c r="F253" s="900" t="s">
        <v>1660</v>
      </c>
      <c r="G253" s="902">
        <v>25</v>
      </c>
      <c r="H253" s="902" t="s">
        <v>1661</v>
      </c>
      <c r="I253" s="902" t="s">
        <v>1627</v>
      </c>
      <c r="J253" s="902"/>
      <c r="K253" s="899" t="s">
        <v>1650</v>
      </c>
      <c r="L253" s="902">
        <v>17</v>
      </c>
    </row>
    <row r="254" spans="1:12">
      <c r="A254" s="904">
        <v>253</v>
      </c>
      <c r="B254" s="899" t="str">
        <f t="shared" si="8"/>
        <v>SF30MPI</v>
      </c>
      <c r="C254" s="1382" t="s">
        <v>1603</v>
      </c>
      <c r="D254" s="911" t="s">
        <v>1503</v>
      </c>
      <c r="E254" s="898" t="s">
        <v>1648</v>
      </c>
      <c r="F254" s="900" t="s">
        <v>1660</v>
      </c>
      <c r="G254" s="902">
        <v>30</v>
      </c>
      <c r="H254" s="902" t="s">
        <v>1661</v>
      </c>
      <c r="I254" s="902" t="s">
        <v>1627</v>
      </c>
      <c r="J254" s="902"/>
      <c r="K254" s="899" t="s">
        <v>1650</v>
      </c>
      <c r="L254" s="902">
        <v>17</v>
      </c>
    </row>
    <row r="255" spans="1:12">
      <c r="A255" s="904">
        <v>254</v>
      </c>
      <c r="B255" s="899" t="str">
        <f t="shared" si="8"/>
        <v>SF35MPI</v>
      </c>
      <c r="C255" s="1382" t="s">
        <v>1603</v>
      </c>
      <c r="D255" s="911" t="s">
        <v>1503</v>
      </c>
      <c r="E255" s="898" t="s">
        <v>1648</v>
      </c>
      <c r="F255" s="900" t="s">
        <v>1660</v>
      </c>
      <c r="G255" s="902">
        <v>35</v>
      </c>
      <c r="H255" s="902" t="s">
        <v>1661</v>
      </c>
      <c r="I255" s="902" t="s">
        <v>1627</v>
      </c>
      <c r="J255" s="902"/>
      <c r="K255" s="899" t="s">
        <v>1650</v>
      </c>
      <c r="L255" s="902">
        <v>17</v>
      </c>
    </row>
    <row r="256" spans="1:12">
      <c r="A256" s="904">
        <v>255</v>
      </c>
      <c r="B256" s="899" t="str">
        <f t="shared" si="8"/>
        <v>SF40MPI</v>
      </c>
      <c r="C256" s="1382" t="s">
        <v>1603</v>
      </c>
      <c r="D256" s="911" t="s">
        <v>1503</v>
      </c>
      <c r="E256" s="898" t="s">
        <v>1648</v>
      </c>
      <c r="F256" s="900" t="s">
        <v>1660</v>
      </c>
      <c r="G256" s="902">
        <v>40</v>
      </c>
      <c r="H256" s="902" t="s">
        <v>1661</v>
      </c>
      <c r="I256" s="902" t="s">
        <v>1627</v>
      </c>
      <c r="J256" s="902"/>
      <c r="K256" s="899" t="s">
        <v>1650</v>
      </c>
      <c r="L256" s="902">
        <v>17</v>
      </c>
    </row>
    <row r="257" spans="1:12">
      <c r="A257" s="904">
        <v>256</v>
      </c>
      <c r="B257" s="899" t="str">
        <f t="shared" si="8"/>
        <v>SF25LLI</v>
      </c>
      <c r="C257" s="1382" t="s">
        <v>1603</v>
      </c>
      <c r="D257" s="911" t="s">
        <v>1503</v>
      </c>
      <c r="E257" s="898" t="s">
        <v>1648</v>
      </c>
      <c r="F257" s="900" t="s">
        <v>1662</v>
      </c>
      <c r="G257" s="902">
        <v>25</v>
      </c>
      <c r="H257" s="902" t="s">
        <v>1663</v>
      </c>
      <c r="I257" s="902" t="s">
        <v>1627</v>
      </c>
      <c r="J257" s="902"/>
      <c r="K257" s="899" t="s">
        <v>1650</v>
      </c>
      <c r="L257" s="902">
        <v>18</v>
      </c>
    </row>
    <row r="258" spans="1:12">
      <c r="A258" s="904">
        <v>257</v>
      </c>
      <c r="B258" s="899" t="str">
        <f t="shared" si="8"/>
        <v>SF30LLI</v>
      </c>
      <c r="C258" s="1382" t="s">
        <v>1603</v>
      </c>
      <c r="D258" s="911" t="s">
        <v>1503</v>
      </c>
      <c r="E258" s="898" t="s">
        <v>1648</v>
      </c>
      <c r="F258" s="900" t="s">
        <v>1662</v>
      </c>
      <c r="G258" s="902">
        <v>30</v>
      </c>
      <c r="H258" s="902" t="s">
        <v>1663</v>
      </c>
      <c r="I258" s="902" t="s">
        <v>1627</v>
      </c>
      <c r="J258" s="902"/>
      <c r="K258" s="899" t="s">
        <v>1650</v>
      </c>
      <c r="L258" s="902">
        <v>18</v>
      </c>
    </row>
    <row r="259" spans="1:12">
      <c r="A259" s="904">
        <v>258</v>
      </c>
      <c r="B259" s="899" t="str">
        <f t="shared" si="8"/>
        <v>SF35LLI</v>
      </c>
      <c r="C259" s="1382" t="s">
        <v>1603</v>
      </c>
      <c r="D259" s="911" t="s">
        <v>1503</v>
      </c>
      <c r="E259" s="898" t="s">
        <v>1648</v>
      </c>
      <c r="F259" s="900" t="s">
        <v>1662</v>
      </c>
      <c r="G259" s="902">
        <v>35</v>
      </c>
      <c r="H259" s="902" t="s">
        <v>1663</v>
      </c>
      <c r="I259" s="902" t="s">
        <v>1627</v>
      </c>
      <c r="J259" s="902"/>
      <c r="K259" s="899" t="s">
        <v>1650</v>
      </c>
      <c r="L259" s="902">
        <v>18</v>
      </c>
    </row>
    <row r="260" spans="1:12">
      <c r="A260" s="904">
        <v>259</v>
      </c>
      <c r="B260" s="899" t="str">
        <f t="shared" si="8"/>
        <v>SF40LLI</v>
      </c>
      <c r="C260" s="1382" t="s">
        <v>1603</v>
      </c>
      <c r="D260" s="911" t="s">
        <v>1503</v>
      </c>
      <c r="E260" s="898" t="s">
        <v>1648</v>
      </c>
      <c r="F260" s="900" t="s">
        <v>1662</v>
      </c>
      <c r="G260" s="902">
        <v>40</v>
      </c>
      <c r="H260" s="902" t="s">
        <v>1663</v>
      </c>
      <c r="I260" s="902" t="s">
        <v>1627</v>
      </c>
      <c r="J260" s="902"/>
      <c r="K260" s="899" t="s">
        <v>1650</v>
      </c>
      <c r="L260" s="902">
        <v>18</v>
      </c>
    </row>
    <row r="261" spans="1:12">
      <c r="A261" s="904">
        <v>260</v>
      </c>
      <c r="B261" s="899" t="str">
        <f t="shared" si="8"/>
        <v>SF25LRI</v>
      </c>
      <c r="C261" s="1382" t="s">
        <v>1603</v>
      </c>
      <c r="D261" s="911" t="s">
        <v>1503</v>
      </c>
      <c r="E261" s="898" t="s">
        <v>1648</v>
      </c>
      <c r="F261" s="900" t="s">
        <v>1664</v>
      </c>
      <c r="G261" s="902">
        <v>25</v>
      </c>
      <c r="H261" s="902" t="s">
        <v>1665</v>
      </c>
      <c r="I261" s="902" t="s">
        <v>1627</v>
      </c>
      <c r="J261" s="902"/>
      <c r="K261" s="899" t="s">
        <v>1650</v>
      </c>
      <c r="L261" s="902">
        <v>19</v>
      </c>
    </row>
    <row r="262" spans="1:12">
      <c r="A262" s="904">
        <v>261</v>
      </c>
      <c r="B262" s="899" t="str">
        <f t="shared" si="8"/>
        <v>SF30LRI</v>
      </c>
      <c r="C262" s="1382" t="s">
        <v>1603</v>
      </c>
      <c r="D262" s="911" t="s">
        <v>1503</v>
      </c>
      <c r="E262" s="898" t="s">
        <v>1648</v>
      </c>
      <c r="F262" s="900" t="s">
        <v>1664</v>
      </c>
      <c r="G262" s="902">
        <v>30</v>
      </c>
      <c r="H262" s="902" t="s">
        <v>1665</v>
      </c>
      <c r="I262" s="902" t="s">
        <v>1627</v>
      </c>
      <c r="J262" s="902"/>
      <c r="K262" s="899" t="s">
        <v>1650</v>
      </c>
      <c r="L262" s="902">
        <v>19</v>
      </c>
    </row>
    <row r="263" spans="1:12">
      <c r="A263" s="904">
        <v>262</v>
      </c>
      <c r="B263" s="899" t="str">
        <f t="shared" si="8"/>
        <v>SF35LRI</v>
      </c>
      <c r="C263" s="1382" t="s">
        <v>1603</v>
      </c>
      <c r="D263" s="911" t="s">
        <v>1503</v>
      </c>
      <c r="E263" s="898" t="s">
        <v>1648</v>
      </c>
      <c r="F263" s="900" t="s">
        <v>1664</v>
      </c>
      <c r="G263" s="902">
        <v>35</v>
      </c>
      <c r="H263" s="902" t="s">
        <v>1665</v>
      </c>
      <c r="I263" s="902" t="s">
        <v>1627</v>
      </c>
      <c r="J263" s="902"/>
      <c r="K263" s="899" t="s">
        <v>1650</v>
      </c>
      <c r="L263" s="902">
        <v>19</v>
      </c>
    </row>
    <row r="264" spans="1:12">
      <c r="A264" s="904">
        <v>263</v>
      </c>
      <c r="B264" s="899" t="str">
        <f t="shared" si="8"/>
        <v>SF40LRI</v>
      </c>
      <c r="C264" s="1382" t="s">
        <v>1603</v>
      </c>
      <c r="D264" s="911" t="s">
        <v>1503</v>
      </c>
      <c r="E264" s="898" t="s">
        <v>1648</v>
      </c>
      <c r="F264" s="900" t="s">
        <v>1664</v>
      </c>
      <c r="G264" s="902">
        <v>40</v>
      </c>
      <c r="H264" s="902" t="s">
        <v>1665</v>
      </c>
      <c r="I264" s="902" t="s">
        <v>1627</v>
      </c>
      <c r="J264" s="902"/>
      <c r="K264" s="899" t="s">
        <v>1650</v>
      </c>
      <c r="L264" s="902">
        <v>19</v>
      </c>
    </row>
    <row r="265" spans="1:12">
      <c r="A265" s="904">
        <v>264</v>
      </c>
      <c r="B265" s="899" t="str">
        <f t="shared" si="8"/>
        <v>SF10TLI</v>
      </c>
      <c r="C265" s="1382" t="s">
        <v>1603</v>
      </c>
      <c r="D265" s="911" t="s">
        <v>1503</v>
      </c>
      <c r="E265" s="898" t="s">
        <v>1648</v>
      </c>
      <c r="F265" s="900" t="s">
        <v>1666</v>
      </c>
      <c r="G265" s="902">
        <v>10</v>
      </c>
      <c r="H265" s="902" t="s">
        <v>1667</v>
      </c>
      <c r="I265" s="902" t="s">
        <v>1627</v>
      </c>
      <c r="J265" s="902"/>
      <c r="K265" s="899" t="s">
        <v>1650</v>
      </c>
      <c r="L265" s="902">
        <v>20</v>
      </c>
    </row>
    <row r="266" spans="1:12">
      <c r="A266" s="904">
        <v>265</v>
      </c>
      <c r="B266" s="899" t="str">
        <f t="shared" si="8"/>
        <v>SF10TRI</v>
      </c>
      <c r="C266" s="1382" t="s">
        <v>1603</v>
      </c>
      <c r="D266" s="911" t="s">
        <v>1503</v>
      </c>
      <c r="E266" s="898" t="s">
        <v>1648</v>
      </c>
      <c r="F266" s="900" t="s">
        <v>1668</v>
      </c>
      <c r="G266" s="902">
        <v>10</v>
      </c>
      <c r="H266" s="902" t="s">
        <v>1669</v>
      </c>
      <c r="I266" s="902" t="s">
        <v>1627</v>
      </c>
      <c r="J266" s="902"/>
      <c r="K266" s="899" t="s">
        <v>1650</v>
      </c>
      <c r="L266" s="902">
        <v>21</v>
      </c>
    </row>
    <row r="267" spans="1:12">
      <c r="A267" s="904">
        <v>266</v>
      </c>
      <c r="B267" s="899" t="str">
        <f t="shared" si="8"/>
        <v>SL20SI</v>
      </c>
      <c r="C267" s="1382" t="s">
        <v>1603</v>
      </c>
      <c r="D267" s="910" t="s">
        <v>1504</v>
      </c>
      <c r="E267" s="898" t="s">
        <v>1657</v>
      </c>
      <c r="F267" s="900" t="s">
        <v>1670</v>
      </c>
      <c r="G267" s="912">
        <v>20</v>
      </c>
      <c r="H267" s="902" t="s">
        <v>1647</v>
      </c>
      <c r="I267" s="902" t="s">
        <v>1627</v>
      </c>
      <c r="J267" s="902"/>
      <c r="K267" s="899" t="s">
        <v>1650</v>
      </c>
      <c r="L267" s="902">
        <v>22</v>
      </c>
    </row>
    <row r="268" spans="1:12">
      <c r="A268" s="904">
        <v>267</v>
      </c>
      <c r="B268" s="899" t="str">
        <f t="shared" si="8"/>
        <v>SL20SLI</v>
      </c>
      <c r="C268" s="1382" t="s">
        <v>1603</v>
      </c>
      <c r="D268" s="910" t="s">
        <v>1504</v>
      </c>
      <c r="E268" s="898" t="s">
        <v>1657</v>
      </c>
      <c r="F268" s="900" t="s">
        <v>1656</v>
      </c>
      <c r="G268" s="912">
        <v>20</v>
      </c>
      <c r="H268" s="902" t="s">
        <v>1657</v>
      </c>
      <c r="I268" s="902" t="s">
        <v>1627</v>
      </c>
      <c r="J268" s="902"/>
      <c r="K268" s="899" t="s">
        <v>1650</v>
      </c>
      <c r="L268" s="902">
        <v>24</v>
      </c>
    </row>
    <row r="269" spans="1:12">
      <c r="A269" s="904">
        <v>268</v>
      </c>
      <c r="B269" s="899" t="str">
        <f t="shared" si="8"/>
        <v>SL20SRI</v>
      </c>
      <c r="C269" s="1382" t="s">
        <v>1603</v>
      </c>
      <c r="D269" s="910" t="s">
        <v>1504</v>
      </c>
      <c r="E269" s="898" t="s">
        <v>1657</v>
      </c>
      <c r="F269" s="900" t="s">
        <v>1658</v>
      </c>
      <c r="G269" s="912">
        <v>20</v>
      </c>
      <c r="H269" s="902" t="s">
        <v>1659</v>
      </c>
      <c r="I269" s="902" t="s">
        <v>1627</v>
      </c>
      <c r="J269" s="902"/>
      <c r="K269" s="899" t="s">
        <v>1650</v>
      </c>
      <c r="L269" s="902">
        <v>25</v>
      </c>
    </row>
    <row r="270" spans="1:12">
      <c r="A270" s="904">
        <v>269</v>
      </c>
      <c r="B270" s="899" t="str">
        <f t="shared" si="8"/>
        <v>SL20TI</v>
      </c>
      <c r="C270" s="1382" t="s">
        <v>1603</v>
      </c>
      <c r="D270" s="910" t="s">
        <v>1504</v>
      </c>
      <c r="E270" s="898" t="s">
        <v>1657</v>
      </c>
      <c r="F270" s="900" t="s">
        <v>1654</v>
      </c>
      <c r="G270" s="912">
        <v>20</v>
      </c>
      <c r="H270" s="902" t="s">
        <v>1655</v>
      </c>
      <c r="I270" s="902" t="s">
        <v>1627</v>
      </c>
      <c r="J270" s="902"/>
      <c r="K270" s="899" t="s">
        <v>1650</v>
      </c>
      <c r="L270" s="902">
        <v>23</v>
      </c>
    </row>
    <row r="271" spans="1:12">
      <c r="A271" s="904">
        <v>270</v>
      </c>
      <c r="B271" s="899" t="str">
        <f t="shared" si="8"/>
        <v>SL20TLI</v>
      </c>
      <c r="C271" s="1382" t="s">
        <v>1603</v>
      </c>
      <c r="D271" s="910" t="s">
        <v>1504</v>
      </c>
      <c r="E271" s="898" t="s">
        <v>1657</v>
      </c>
      <c r="F271" s="900" t="s">
        <v>1666</v>
      </c>
      <c r="G271" s="912">
        <v>20</v>
      </c>
      <c r="H271" s="902" t="s">
        <v>1667</v>
      </c>
      <c r="I271" s="902" t="s">
        <v>1627</v>
      </c>
      <c r="J271" s="902"/>
      <c r="K271" s="899" t="s">
        <v>1650</v>
      </c>
      <c r="L271" s="902">
        <v>26</v>
      </c>
    </row>
    <row r="272" spans="1:12">
      <c r="A272" s="904">
        <v>271</v>
      </c>
      <c r="B272" s="899" t="str">
        <f t="shared" si="8"/>
        <v>SL20TRI</v>
      </c>
      <c r="C272" s="1382" t="s">
        <v>1603</v>
      </c>
      <c r="D272" s="910" t="s">
        <v>1504</v>
      </c>
      <c r="E272" s="898" t="s">
        <v>1657</v>
      </c>
      <c r="F272" s="900" t="s">
        <v>1671</v>
      </c>
      <c r="G272" s="912">
        <v>20</v>
      </c>
      <c r="H272" s="902" t="s">
        <v>1669</v>
      </c>
      <c r="I272" s="902" t="s">
        <v>1627</v>
      </c>
      <c r="J272" s="902"/>
      <c r="K272" s="899" t="s">
        <v>1650</v>
      </c>
      <c r="L272" s="902">
        <v>27</v>
      </c>
    </row>
    <row r="273" spans="1:12">
      <c r="A273" s="904">
        <v>272</v>
      </c>
      <c r="B273" s="899" t="str">
        <f t="shared" si="8"/>
        <v>SL15SI</v>
      </c>
      <c r="C273" s="1382" t="s">
        <v>1603</v>
      </c>
      <c r="D273" s="910" t="s">
        <v>1505</v>
      </c>
      <c r="E273" s="898" t="s">
        <v>1657</v>
      </c>
      <c r="F273" s="900" t="s">
        <v>1670</v>
      </c>
      <c r="G273" s="912">
        <v>15</v>
      </c>
      <c r="H273" s="902" t="s">
        <v>1647</v>
      </c>
      <c r="I273" s="902" t="s">
        <v>1627</v>
      </c>
      <c r="J273" s="902"/>
      <c r="K273" s="899" t="s">
        <v>1650</v>
      </c>
      <c r="L273" s="902">
        <v>28</v>
      </c>
    </row>
    <row r="274" spans="1:12">
      <c r="A274" s="904">
        <v>273</v>
      </c>
      <c r="B274" s="899" t="str">
        <f t="shared" si="8"/>
        <v>SL15SLI</v>
      </c>
      <c r="C274" s="1382" t="s">
        <v>1603</v>
      </c>
      <c r="D274" s="910" t="s">
        <v>1505</v>
      </c>
      <c r="E274" s="898" t="s">
        <v>1657</v>
      </c>
      <c r="F274" s="900" t="s">
        <v>1656</v>
      </c>
      <c r="G274" s="912">
        <v>15</v>
      </c>
      <c r="H274" s="902" t="s">
        <v>1657</v>
      </c>
      <c r="I274" s="902" t="s">
        <v>1627</v>
      </c>
      <c r="J274" s="902"/>
      <c r="K274" s="899" t="s">
        <v>1650</v>
      </c>
      <c r="L274" s="902">
        <v>30</v>
      </c>
    </row>
    <row r="275" spans="1:12">
      <c r="A275" s="904">
        <v>274</v>
      </c>
      <c r="B275" s="899" t="str">
        <f t="shared" si="8"/>
        <v>SL15SRI</v>
      </c>
      <c r="C275" s="1382" t="s">
        <v>1603</v>
      </c>
      <c r="D275" s="910" t="s">
        <v>1505</v>
      </c>
      <c r="E275" s="898" t="s">
        <v>1657</v>
      </c>
      <c r="F275" s="900" t="s">
        <v>1658</v>
      </c>
      <c r="G275" s="912">
        <v>15</v>
      </c>
      <c r="H275" s="902" t="s">
        <v>1659</v>
      </c>
      <c r="I275" s="902" t="s">
        <v>1627</v>
      </c>
      <c r="J275" s="902"/>
      <c r="K275" s="902"/>
      <c r="L275" s="902">
        <v>31</v>
      </c>
    </row>
    <row r="276" spans="1:12">
      <c r="A276" s="904">
        <v>275</v>
      </c>
      <c r="B276" s="899" t="str">
        <f t="shared" si="8"/>
        <v>SL15TI</v>
      </c>
      <c r="C276" s="1382" t="s">
        <v>1603</v>
      </c>
      <c r="D276" s="910" t="s">
        <v>1505</v>
      </c>
      <c r="E276" s="898" t="s">
        <v>1657</v>
      </c>
      <c r="F276" s="900" t="s">
        <v>1654</v>
      </c>
      <c r="G276" s="912">
        <v>15</v>
      </c>
      <c r="H276" s="902" t="s">
        <v>1655</v>
      </c>
      <c r="I276" s="902" t="s">
        <v>1627</v>
      </c>
      <c r="J276" s="902"/>
      <c r="K276" s="902"/>
      <c r="L276" s="902">
        <v>29</v>
      </c>
    </row>
    <row r="277" spans="1:12">
      <c r="A277" s="904">
        <v>276</v>
      </c>
      <c r="B277" s="899" t="str">
        <f t="shared" si="8"/>
        <v>SL15TLI</v>
      </c>
      <c r="C277" s="1382" t="s">
        <v>1603</v>
      </c>
      <c r="D277" s="910" t="s">
        <v>1505</v>
      </c>
      <c r="E277" s="898" t="s">
        <v>1657</v>
      </c>
      <c r="F277" s="900" t="s">
        <v>1666</v>
      </c>
      <c r="G277" s="912">
        <v>15</v>
      </c>
      <c r="H277" s="902" t="s">
        <v>1667</v>
      </c>
      <c r="I277" s="902" t="s">
        <v>1627</v>
      </c>
      <c r="J277" s="902"/>
      <c r="K277" s="902"/>
      <c r="L277" s="902">
        <v>32</v>
      </c>
    </row>
    <row r="278" spans="1:12">
      <c r="A278" s="904">
        <v>277</v>
      </c>
      <c r="B278" s="899" t="str">
        <f t="shared" si="8"/>
        <v>SL15TRI</v>
      </c>
      <c r="C278" s="1382" t="s">
        <v>1603</v>
      </c>
      <c r="D278" s="910" t="s">
        <v>1505</v>
      </c>
      <c r="E278" s="898" t="s">
        <v>1657</v>
      </c>
      <c r="F278" s="900" t="s">
        <v>1668</v>
      </c>
      <c r="G278" s="912">
        <v>15</v>
      </c>
      <c r="H278" s="902" t="s">
        <v>1669</v>
      </c>
      <c r="I278" s="902" t="s">
        <v>1627</v>
      </c>
      <c r="J278" s="902"/>
      <c r="K278" s="902"/>
      <c r="L278" s="902">
        <v>33</v>
      </c>
    </row>
    <row r="279" spans="1:12">
      <c r="A279" s="904">
        <v>278</v>
      </c>
      <c r="B279" s="899" t="str">
        <f t="shared" si="8"/>
        <v>SH10SI</v>
      </c>
      <c r="C279" s="1382" t="s">
        <v>1603</v>
      </c>
      <c r="D279" s="911" t="s">
        <v>1506</v>
      </c>
      <c r="E279" s="898" t="s">
        <v>1672</v>
      </c>
      <c r="F279" s="900" t="s">
        <v>1670</v>
      </c>
      <c r="G279" s="902">
        <v>10</v>
      </c>
      <c r="H279" s="902" t="s">
        <v>1647</v>
      </c>
      <c r="I279" s="902" t="s">
        <v>1627</v>
      </c>
      <c r="J279" s="902"/>
      <c r="K279" s="899" t="s">
        <v>1673</v>
      </c>
      <c r="L279" s="902">
        <v>34</v>
      </c>
    </row>
    <row r="280" spans="1:12">
      <c r="A280" s="904">
        <v>279</v>
      </c>
      <c r="B280" s="899" t="str">
        <f t="shared" si="8"/>
        <v>SH25MI</v>
      </c>
      <c r="C280" s="1382" t="s">
        <v>1603</v>
      </c>
      <c r="D280" s="911" t="s">
        <v>1506</v>
      </c>
      <c r="E280" s="898" t="s">
        <v>1672</v>
      </c>
      <c r="F280" s="900" t="s">
        <v>1651</v>
      </c>
      <c r="G280" s="902">
        <v>25</v>
      </c>
      <c r="H280" s="902" t="s">
        <v>1626</v>
      </c>
      <c r="I280" s="902" t="s">
        <v>1627</v>
      </c>
      <c r="J280" s="902"/>
      <c r="K280" s="899"/>
      <c r="L280" s="902">
        <v>35</v>
      </c>
    </row>
    <row r="281" spans="1:12">
      <c r="A281" s="904">
        <v>280</v>
      </c>
      <c r="B281" s="899" t="str">
        <f t="shared" si="8"/>
        <v>SH30MI</v>
      </c>
      <c r="C281" s="1382" t="s">
        <v>1603</v>
      </c>
      <c r="D281" s="911" t="s">
        <v>1506</v>
      </c>
      <c r="E281" s="898" t="s">
        <v>1672</v>
      </c>
      <c r="F281" s="900" t="s">
        <v>1651</v>
      </c>
      <c r="G281" s="902">
        <v>30</v>
      </c>
      <c r="H281" s="902" t="s">
        <v>1626</v>
      </c>
      <c r="I281" s="902" t="s">
        <v>1627</v>
      </c>
      <c r="J281" s="902"/>
      <c r="K281" s="899"/>
      <c r="L281" s="902">
        <v>35</v>
      </c>
    </row>
    <row r="282" spans="1:12">
      <c r="A282" s="904">
        <v>281</v>
      </c>
      <c r="B282" s="899" t="str">
        <f t="shared" si="8"/>
        <v>SH35MI</v>
      </c>
      <c r="C282" s="1382" t="s">
        <v>1603</v>
      </c>
      <c r="D282" s="911" t="s">
        <v>1506</v>
      </c>
      <c r="E282" s="898" t="s">
        <v>1672</v>
      </c>
      <c r="F282" s="900" t="s">
        <v>1651</v>
      </c>
      <c r="G282" s="902">
        <v>35</v>
      </c>
      <c r="H282" s="902" t="s">
        <v>1626</v>
      </c>
      <c r="I282" s="902" t="s">
        <v>1627</v>
      </c>
      <c r="J282" s="902"/>
      <c r="K282" s="899"/>
      <c r="L282" s="902">
        <v>35</v>
      </c>
    </row>
    <row r="283" spans="1:12">
      <c r="A283" s="904">
        <v>282</v>
      </c>
      <c r="B283" s="899" t="str">
        <f t="shared" si="8"/>
        <v>SH40MI</v>
      </c>
      <c r="C283" s="1382" t="s">
        <v>1603</v>
      </c>
      <c r="D283" s="911" t="s">
        <v>1506</v>
      </c>
      <c r="E283" s="898" t="s">
        <v>1672</v>
      </c>
      <c r="F283" s="900" t="s">
        <v>1651</v>
      </c>
      <c r="G283" s="902">
        <v>40</v>
      </c>
      <c r="H283" s="902" t="s">
        <v>1626</v>
      </c>
      <c r="I283" s="902" t="s">
        <v>1627</v>
      </c>
      <c r="J283" s="902"/>
      <c r="K283" s="899"/>
      <c r="L283" s="902">
        <v>35</v>
      </c>
    </row>
    <row r="284" spans="1:12">
      <c r="A284" s="904">
        <v>283</v>
      </c>
      <c r="B284" s="899" t="str">
        <f t="shared" si="8"/>
        <v>SH25LI</v>
      </c>
      <c r="C284" s="1382" t="s">
        <v>1603</v>
      </c>
      <c r="D284" s="911" t="s">
        <v>1506</v>
      </c>
      <c r="E284" s="898" t="s">
        <v>1672</v>
      </c>
      <c r="F284" s="900" t="s">
        <v>1652</v>
      </c>
      <c r="G284" s="902">
        <v>25</v>
      </c>
      <c r="H284" s="902" t="s">
        <v>1653</v>
      </c>
      <c r="I284" s="902" t="s">
        <v>1627</v>
      </c>
      <c r="J284" s="902"/>
      <c r="K284" s="899"/>
      <c r="L284" s="902">
        <v>36</v>
      </c>
    </row>
    <row r="285" spans="1:12">
      <c r="A285" s="904">
        <v>284</v>
      </c>
      <c r="B285" s="899" t="str">
        <f t="shared" si="8"/>
        <v>SH30LI</v>
      </c>
      <c r="C285" s="1382" t="s">
        <v>1603</v>
      </c>
      <c r="D285" s="911" t="s">
        <v>1506</v>
      </c>
      <c r="E285" s="898" t="s">
        <v>1672</v>
      </c>
      <c r="F285" s="900" t="s">
        <v>1652</v>
      </c>
      <c r="G285" s="902">
        <v>30</v>
      </c>
      <c r="H285" s="902" t="s">
        <v>1653</v>
      </c>
      <c r="I285" s="902" t="s">
        <v>1627</v>
      </c>
      <c r="J285" s="902"/>
      <c r="K285" s="899"/>
      <c r="L285" s="902">
        <v>36</v>
      </c>
    </row>
    <row r="286" spans="1:12">
      <c r="A286" s="904">
        <v>285</v>
      </c>
      <c r="B286" s="899" t="str">
        <f t="shared" si="8"/>
        <v>SH35LI</v>
      </c>
      <c r="C286" s="1382" t="s">
        <v>1603</v>
      </c>
      <c r="D286" s="911" t="s">
        <v>1506</v>
      </c>
      <c r="E286" s="898" t="s">
        <v>1672</v>
      </c>
      <c r="F286" s="900" t="s">
        <v>1652</v>
      </c>
      <c r="G286" s="902">
        <v>35</v>
      </c>
      <c r="H286" s="902" t="s">
        <v>1653</v>
      </c>
      <c r="I286" s="902" t="s">
        <v>1627</v>
      </c>
      <c r="J286" s="902"/>
      <c r="K286" s="899"/>
      <c r="L286" s="902">
        <v>36</v>
      </c>
    </row>
    <row r="287" spans="1:12">
      <c r="A287" s="904">
        <v>286</v>
      </c>
      <c r="B287" s="899" t="str">
        <f t="shared" si="8"/>
        <v>SH40LI</v>
      </c>
      <c r="C287" s="1382" t="s">
        <v>1603</v>
      </c>
      <c r="D287" s="911" t="s">
        <v>1506</v>
      </c>
      <c r="E287" s="898" t="s">
        <v>1672</v>
      </c>
      <c r="F287" s="900" t="s">
        <v>1674</v>
      </c>
      <c r="G287" s="902">
        <v>40</v>
      </c>
      <c r="H287" s="902" t="s">
        <v>1653</v>
      </c>
      <c r="I287" s="902" t="s">
        <v>1627</v>
      </c>
      <c r="J287" s="902"/>
      <c r="K287" s="899"/>
      <c r="L287" s="902">
        <v>36</v>
      </c>
    </row>
    <row r="288" spans="1:12">
      <c r="A288" s="904">
        <v>287</v>
      </c>
      <c r="B288" s="899" t="str">
        <f t="shared" si="8"/>
        <v>SH10TI</v>
      </c>
      <c r="C288" s="1382" t="s">
        <v>1603</v>
      </c>
      <c r="D288" s="911" t="s">
        <v>1506</v>
      </c>
      <c r="E288" s="898" t="s">
        <v>1672</v>
      </c>
      <c r="F288" s="900" t="s">
        <v>1654</v>
      </c>
      <c r="G288" s="902">
        <v>10</v>
      </c>
      <c r="H288" s="902" t="s">
        <v>1655</v>
      </c>
      <c r="I288" s="902" t="s">
        <v>1627</v>
      </c>
      <c r="J288" s="902"/>
      <c r="K288" s="899"/>
      <c r="L288" s="902">
        <v>37</v>
      </c>
    </row>
    <row r="289" spans="1:12">
      <c r="A289" s="904">
        <v>288</v>
      </c>
      <c r="B289" s="899" t="str">
        <f t="shared" si="8"/>
        <v>SH10SLI</v>
      </c>
      <c r="C289" s="1382" t="s">
        <v>1603</v>
      </c>
      <c r="D289" s="911" t="s">
        <v>1506</v>
      </c>
      <c r="E289" s="898" t="s">
        <v>1672</v>
      </c>
      <c r="F289" s="900" t="s">
        <v>1656</v>
      </c>
      <c r="G289" s="902">
        <v>10</v>
      </c>
      <c r="H289" s="902" t="s">
        <v>1657</v>
      </c>
      <c r="I289" s="902" t="s">
        <v>1627</v>
      </c>
      <c r="J289" s="902"/>
      <c r="K289" s="899" t="s">
        <v>1673</v>
      </c>
      <c r="L289" s="902"/>
    </row>
    <row r="290" spans="1:12">
      <c r="A290" s="904">
        <v>289</v>
      </c>
      <c r="B290" s="899" t="str">
        <f t="shared" si="8"/>
        <v>SH10SRI</v>
      </c>
      <c r="C290" s="1382" t="s">
        <v>1603</v>
      </c>
      <c r="D290" s="911" t="s">
        <v>1506</v>
      </c>
      <c r="E290" s="898" t="s">
        <v>1672</v>
      </c>
      <c r="F290" s="900" t="s">
        <v>1658</v>
      </c>
      <c r="G290" s="902">
        <v>10</v>
      </c>
      <c r="H290" s="902" t="s">
        <v>1659</v>
      </c>
      <c r="I290" s="902" t="s">
        <v>1627</v>
      </c>
      <c r="J290" s="902"/>
      <c r="K290" s="899" t="s">
        <v>1673</v>
      </c>
      <c r="L290" s="902"/>
    </row>
    <row r="291" spans="1:12">
      <c r="A291" s="904">
        <v>290</v>
      </c>
      <c r="B291" s="899" t="str">
        <f t="shared" si="8"/>
        <v>SH25MLI</v>
      </c>
      <c r="C291" s="1382" t="s">
        <v>1603</v>
      </c>
      <c r="D291" s="911" t="s">
        <v>1506</v>
      </c>
      <c r="E291" s="898" t="s">
        <v>1672</v>
      </c>
      <c r="F291" s="900" t="s">
        <v>1660</v>
      </c>
      <c r="G291" s="902">
        <v>25</v>
      </c>
      <c r="H291" s="902" t="s">
        <v>1675</v>
      </c>
      <c r="I291" s="902" t="s">
        <v>1627</v>
      </c>
      <c r="J291" s="902"/>
      <c r="K291" s="899"/>
      <c r="L291" s="902"/>
    </row>
    <row r="292" spans="1:12">
      <c r="A292" s="904">
        <v>291</v>
      </c>
      <c r="B292" s="899" t="str">
        <f t="shared" si="8"/>
        <v>SH30MLI</v>
      </c>
      <c r="C292" s="1382" t="s">
        <v>1603</v>
      </c>
      <c r="D292" s="911" t="s">
        <v>1506</v>
      </c>
      <c r="E292" s="898" t="s">
        <v>1672</v>
      </c>
      <c r="F292" s="900" t="s">
        <v>1660</v>
      </c>
      <c r="G292" s="902">
        <v>30</v>
      </c>
      <c r="H292" s="902" t="s">
        <v>1675</v>
      </c>
      <c r="I292" s="902" t="s">
        <v>1627</v>
      </c>
      <c r="J292" s="902"/>
      <c r="K292" s="899"/>
      <c r="L292" s="902"/>
    </row>
    <row r="293" spans="1:12">
      <c r="A293" s="904">
        <v>292</v>
      </c>
      <c r="B293" s="899" t="str">
        <f t="shared" si="8"/>
        <v>SH35MLI</v>
      </c>
      <c r="C293" s="1382" t="s">
        <v>1603</v>
      </c>
      <c r="D293" s="911" t="s">
        <v>1506</v>
      </c>
      <c r="E293" s="898" t="s">
        <v>1672</v>
      </c>
      <c r="F293" s="900" t="s">
        <v>1660</v>
      </c>
      <c r="G293" s="902">
        <v>35</v>
      </c>
      <c r="H293" s="902" t="s">
        <v>1675</v>
      </c>
      <c r="I293" s="902" t="s">
        <v>1627</v>
      </c>
      <c r="J293" s="902"/>
      <c r="K293" s="899"/>
      <c r="L293" s="902"/>
    </row>
    <row r="294" spans="1:12">
      <c r="A294" s="904">
        <v>293</v>
      </c>
      <c r="B294" s="899" t="str">
        <f t="shared" si="8"/>
        <v>SH40MLI</v>
      </c>
      <c r="C294" s="1382" t="s">
        <v>1603</v>
      </c>
      <c r="D294" s="911" t="s">
        <v>1506</v>
      </c>
      <c r="E294" s="898" t="s">
        <v>1672</v>
      </c>
      <c r="F294" s="900" t="s">
        <v>1660</v>
      </c>
      <c r="G294" s="902">
        <v>40</v>
      </c>
      <c r="H294" s="902" t="s">
        <v>1675</v>
      </c>
      <c r="I294" s="902" t="s">
        <v>1627</v>
      </c>
      <c r="J294" s="902"/>
      <c r="K294" s="899"/>
      <c r="L294" s="902"/>
    </row>
    <row r="295" spans="1:12">
      <c r="A295" s="904">
        <v>294</v>
      </c>
      <c r="B295" s="899" t="str">
        <f t="shared" si="8"/>
        <v>SH25MRI</v>
      </c>
      <c r="C295" s="1382" t="s">
        <v>1603</v>
      </c>
      <c r="D295" s="911" t="s">
        <v>1506</v>
      </c>
      <c r="E295" s="898" t="s">
        <v>1672</v>
      </c>
      <c r="F295" s="900" t="s">
        <v>1676</v>
      </c>
      <c r="G295" s="902">
        <v>25</v>
      </c>
      <c r="H295" s="902" t="s">
        <v>1677</v>
      </c>
      <c r="I295" s="902" t="s">
        <v>1627</v>
      </c>
      <c r="J295" s="902"/>
      <c r="K295" s="899"/>
      <c r="L295" s="902"/>
    </row>
    <row r="296" spans="1:12">
      <c r="A296" s="904">
        <v>295</v>
      </c>
      <c r="B296" s="899" t="str">
        <f t="shared" si="8"/>
        <v>SH30MRI</v>
      </c>
      <c r="C296" s="1382" t="s">
        <v>1603</v>
      </c>
      <c r="D296" s="911" t="s">
        <v>1506</v>
      </c>
      <c r="E296" s="898" t="s">
        <v>1672</v>
      </c>
      <c r="F296" s="900" t="s">
        <v>1676</v>
      </c>
      <c r="G296" s="902">
        <v>30</v>
      </c>
      <c r="H296" s="902" t="s">
        <v>1677</v>
      </c>
      <c r="I296" s="902" t="s">
        <v>1627</v>
      </c>
      <c r="J296" s="902"/>
      <c r="K296" s="899"/>
      <c r="L296" s="902"/>
    </row>
    <row r="297" spans="1:12">
      <c r="A297" s="904">
        <v>296</v>
      </c>
      <c r="B297" s="899" t="str">
        <f t="shared" si="8"/>
        <v>SH35MRI</v>
      </c>
      <c r="C297" s="1382" t="s">
        <v>1603</v>
      </c>
      <c r="D297" s="911" t="s">
        <v>1506</v>
      </c>
      <c r="E297" s="898" t="s">
        <v>1672</v>
      </c>
      <c r="F297" s="900" t="s">
        <v>1676</v>
      </c>
      <c r="G297" s="902">
        <v>35</v>
      </c>
      <c r="H297" s="902" t="s">
        <v>1677</v>
      </c>
      <c r="I297" s="902" t="s">
        <v>1627</v>
      </c>
      <c r="J297" s="902"/>
      <c r="K297" s="899"/>
      <c r="L297" s="902"/>
    </row>
    <row r="298" spans="1:12">
      <c r="A298" s="904">
        <v>297</v>
      </c>
      <c r="B298" s="899" t="str">
        <f t="shared" si="8"/>
        <v>SH40MRI</v>
      </c>
      <c r="C298" s="1382" t="s">
        <v>1603</v>
      </c>
      <c r="D298" s="911" t="s">
        <v>1506</v>
      </c>
      <c r="E298" s="898" t="s">
        <v>1672</v>
      </c>
      <c r="F298" s="900" t="s">
        <v>1676</v>
      </c>
      <c r="G298" s="902">
        <v>40</v>
      </c>
      <c r="H298" s="902" t="s">
        <v>1677</v>
      </c>
      <c r="I298" s="902" t="s">
        <v>1627</v>
      </c>
      <c r="J298" s="902"/>
      <c r="K298" s="899"/>
      <c r="L298" s="902"/>
    </row>
    <row r="299" spans="1:12">
      <c r="A299" s="904">
        <v>298</v>
      </c>
      <c r="B299" s="899" t="str">
        <f t="shared" si="8"/>
        <v>SH25LLI</v>
      </c>
      <c r="C299" s="1382" t="s">
        <v>1603</v>
      </c>
      <c r="D299" s="911" t="s">
        <v>1506</v>
      </c>
      <c r="E299" s="898" t="s">
        <v>1672</v>
      </c>
      <c r="F299" s="900" t="s">
        <v>1662</v>
      </c>
      <c r="G299" s="902">
        <v>25</v>
      </c>
      <c r="H299" s="902" t="s">
        <v>1663</v>
      </c>
      <c r="I299" s="902" t="s">
        <v>1627</v>
      </c>
      <c r="J299" s="902"/>
      <c r="K299" s="899"/>
      <c r="L299" s="902"/>
    </row>
    <row r="300" spans="1:12">
      <c r="A300" s="904">
        <v>299</v>
      </c>
      <c r="B300" s="899" t="str">
        <f t="shared" si="8"/>
        <v>SH30LLI</v>
      </c>
      <c r="C300" s="1382" t="s">
        <v>1603</v>
      </c>
      <c r="D300" s="911" t="s">
        <v>1506</v>
      </c>
      <c r="E300" s="898" t="s">
        <v>1672</v>
      </c>
      <c r="F300" s="900" t="s">
        <v>1662</v>
      </c>
      <c r="G300" s="902">
        <v>30</v>
      </c>
      <c r="H300" s="902" t="s">
        <v>1663</v>
      </c>
      <c r="I300" s="902" t="s">
        <v>1627</v>
      </c>
      <c r="J300" s="902"/>
      <c r="K300" s="899"/>
      <c r="L300" s="902"/>
    </row>
    <row r="301" spans="1:12">
      <c r="A301" s="904">
        <v>300</v>
      </c>
      <c r="B301" s="899" t="str">
        <f t="shared" si="8"/>
        <v>SH35LLI</v>
      </c>
      <c r="C301" s="1382" t="s">
        <v>1603</v>
      </c>
      <c r="D301" s="911" t="s">
        <v>1506</v>
      </c>
      <c r="E301" s="898" t="s">
        <v>1672</v>
      </c>
      <c r="F301" s="900" t="s">
        <v>1662</v>
      </c>
      <c r="G301" s="902">
        <v>35</v>
      </c>
      <c r="H301" s="902" t="s">
        <v>1663</v>
      </c>
      <c r="I301" s="902" t="s">
        <v>1627</v>
      </c>
      <c r="J301" s="902"/>
      <c r="K301" s="899"/>
      <c r="L301" s="902"/>
    </row>
    <row r="302" spans="1:12">
      <c r="A302" s="904">
        <v>301</v>
      </c>
      <c r="B302" s="899" t="str">
        <f t="shared" si="8"/>
        <v>SH40LLI</v>
      </c>
      <c r="C302" s="1382" t="s">
        <v>1603</v>
      </c>
      <c r="D302" s="911" t="s">
        <v>1506</v>
      </c>
      <c r="E302" s="898" t="s">
        <v>1672</v>
      </c>
      <c r="F302" s="900" t="s">
        <v>1662</v>
      </c>
      <c r="G302" s="902">
        <v>40</v>
      </c>
      <c r="H302" s="902" t="s">
        <v>1663</v>
      </c>
      <c r="I302" s="902" t="s">
        <v>1627</v>
      </c>
      <c r="J302" s="902"/>
      <c r="K302" s="899"/>
      <c r="L302" s="902"/>
    </row>
    <row r="303" spans="1:12">
      <c r="A303" s="904">
        <v>302</v>
      </c>
      <c r="B303" s="899" t="str">
        <f t="shared" si="8"/>
        <v>SH25LRI</v>
      </c>
      <c r="C303" s="1382" t="s">
        <v>1603</v>
      </c>
      <c r="D303" s="911" t="s">
        <v>1506</v>
      </c>
      <c r="E303" s="898" t="s">
        <v>1672</v>
      </c>
      <c r="F303" s="900" t="s">
        <v>1664</v>
      </c>
      <c r="G303" s="902">
        <v>25</v>
      </c>
      <c r="H303" s="902" t="s">
        <v>1665</v>
      </c>
      <c r="I303" s="902" t="s">
        <v>1627</v>
      </c>
      <c r="J303" s="902"/>
      <c r="K303" s="899"/>
      <c r="L303" s="902"/>
    </row>
    <row r="304" spans="1:12">
      <c r="A304" s="904">
        <v>303</v>
      </c>
      <c r="B304" s="899" t="str">
        <f t="shared" si="8"/>
        <v>SH30LRI</v>
      </c>
      <c r="C304" s="1382" t="s">
        <v>1603</v>
      </c>
      <c r="D304" s="911" t="s">
        <v>1506</v>
      </c>
      <c r="E304" s="898" t="s">
        <v>1672</v>
      </c>
      <c r="F304" s="900" t="s">
        <v>1664</v>
      </c>
      <c r="G304" s="902">
        <v>30</v>
      </c>
      <c r="H304" s="902" t="s">
        <v>1665</v>
      </c>
      <c r="I304" s="902" t="s">
        <v>1627</v>
      </c>
      <c r="J304" s="902"/>
      <c r="K304" s="899"/>
      <c r="L304" s="902"/>
    </row>
    <row r="305" spans="1:12">
      <c r="A305" s="904">
        <v>304</v>
      </c>
      <c r="B305" s="899" t="str">
        <f t="shared" si="8"/>
        <v>SH35LRI</v>
      </c>
      <c r="C305" s="1382" t="s">
        <v>1603</v>
      </c>
      <c r="D305" s="911" t="s">
        <v>1506</v>
      </c>
      <c r="E305" s="898" t="s">
        <v>1672</v>
      </c>
      <c r="F305" s="900" t="s">
        <v>1664</v>
      </c>
      <c r="G305" s="902">
        <v>35</v>
      </c>
      <c r="H305" s="902" t="s">
        <v>1665</v>
      </c>
      <c r="I305" s="902" t="s">
        <v>1627</v>
      </c>
      <c r="J305" s="902"/>
      <c r="K305" s="899"/>
      <c r="L305" s="902"/>
    </row>
    <row r="306" spans="1:12">
      <c r="A306" s="904">
        <v>305</v>
      </c>
      <c r="B306" s="899" t="str">
        <f t="shared" si="8"/>
        <v>SH40LRI</v>
      </c>
      <c r="C306" s="1382" t="s">
        <v>1603</v>
      </c>
      <c r="D306" s="911" t="s">
        <v>1506</v>
      </c>
      <c r="E306" s="898" t="s">
        <v>1672</v>
      </c>
      <c r="F306" s="900" t="s">
        <v>1664</v>
      </c>
      <c r="G306" s="902">
        <v>40</v>
      </c>
      <c r="H306" s="902" t="s">
        <v>1665</v>
      </c>
      <c r="I306" s="902" t="s">
        <v>1627</v>
      </c>
      <c r="J306" s="902"/>
      <c r="K306" s="899"/>
      <c r="L306" s="902"/>
    </row>
    <row r="307" spans="1:12">
      <c r="A307" s="904">
        <v>306</v>
      </c>
      <c r="B307" s="899" t="str">
        <f t="shared" si="8"/>
        <v>SH10TLI</v>
      </c>
      <c r="C307" s="1382" t="s">
        <v>1603</v>
      </c>
      <c r="D307" s="911" t="s">
        <v>1506</v>
      </c>
      <c r="E307" s="898" t="s">
        <v>1672</v>
      </c>
      <c r="F307" s="900" t="s">
        <v>1666</v>
      </c>
      <c r="G307" s="902">
        <v>10</v>
      </c>
      <c r="H307" s="902" t="s">
        <v>1667</v>
      </c>
      <c r="I307" s="902" t="s">
        <v>1627</v>
      </c>
      <c r="J307" s="902"/>
      <c r="K307" s="899"/>
      <c r="L307" s="902"/>
    </row>
    <row r="308" spans="1:12">
      <c r="A308" s="904">
        <v>307</v>
      </c>
      <c r="B308" s="899" t="str">
        <f t="shared" si="8"/>
        <v>SH10TRI</v>
      </c>
      <c r="C308" s="1382" t="s">
        <v>1603</v>
      </c>
      <c r="D308" s="911" t="s">
        <v>1506</v>
      </c>
      <c r="E308" s="898" t="s">
        <v>1672</v>
      </c>
      <c r="F308" s="900" t="s">
        <v>1668</v>
      </c>
      <c r="G308" s="902">
        <v>10</v>
      </c>
      <c r="H308" s="902" t="s">
        <v>1669</v>
      </c>
      <c r="I308" s="902" t="s">
        <v>1627</v>
      </c>
      <c r="J308" s="902"/>
      <c r="K308" s="902"/>
      <c r="L308" s="902"/>
    </row>
    <row r="309" spans="1:12">
      <c r="A309" s="904">
        <v>308</v>
      </c>
      <c r="B309" s="899" t="str">
        <f t="shared" si="8"/>
        <v>SN10SI</v>
      </c>
      <c r="C309" s="1382" t="s">
        <v>1603</v>
      </c>
      <c r="D309" s="911" t="s">
        <v>1507</v>
      </c>
      <c r="E309" s="898" t="s">
        <v>1678</v>
      </c>
      <c r="F309" s="900" t="s">
        <v>1670</v>
      </c>
      <c r="G309" s="902">
        <v>10</v>
      </c>
      <c r="H309" s="902" t="s">
        <v>1647</v>
      </c>
      <c r="I309" s="902" t="s">
        <v>1627</v>
      </c>
      <c r="J309" s="902"/>
      <c r="K309" s="902"/>
      <c r="L309" s="902">
        <v>38</v>
      </c>
    </row>
    <row r="310" spans="1:12">
      <c r="A310" s="904">
        <v>309</v>
      </c>
      <c r="B310" s="899" t="str">
        <f t="shared" si="8"/>
        <v>SN25MI</v>
      </c>
      <c r="C310" s="1382" t="s">
        <v>1603</v>
      </c>
      <c r="D310" s="911" t="s">
        <v>1507</v>
      </c>
      <c r="E310" s="898" t="s">
        <v>1678</v>
      </c>
      <c r="F310" s="900" t="s">
        <v>1651</v>
      </c>
      <c r="G310" s="902">
        <v>25</v>
      </c>
      <c r="H310" s="902" t="s">
        <v>1626</v>
      </c>
      <c r="I310" s="902" t="s">
        <v>1627</v>
      </c>
      <c r="J310" s="902"/>
      <c r="K310" s="902"/>
      <c r="L310" s="902">
        <v>39</v>
      </c>
    </row>
    <row r="311" spans="1:12">
      <c r="A311" s="904">
        <v>310</v>
      </c>
      <c r="B311" s="899" t="str">
        <f t="shared" si="8"/>
        <v>SN30MI</v>
      </c>
      <c r="C311" s="1382" t="s">
        <v>1603</v>
      </c>
      <c r="D311" s="911" t="s">
        <v>1507</v>
      </c>
      <c r="E311" s="898" t="s">
        <v>1678</v>
      </c>
      <c r="F311" s="900" t="s">
        <v>1651</v>
      </c>
      <c r="G311" s="902">
        <v>30</v>
      </c>
      <c r="H311" s="902" t="s">
        <v>1626</v>
      </c>
      <c r="I311" s="902" t="s">
        <v>1627</v>
      </c>
      <c r="J311" s="902"/>
      <c r="K311" s="902"/>
      <c r="L311" s="902">
        <v>39</v>
      </c>
    </row>
    <row r="312" spans="1:12">
      <c r="A312" s="904">
        <v>311</v>
      </c>
      <c r="B312" s="899" t="str">
        <f t="shared" si="8"/>
        <v>SN35MI</v>
      </c>
      <c r="C312" s="1382" t="s">
        <v>1603</v>
      </c>
      <c r="D312" s="911" t="s">
        <v>1507</v>
      </c>
      <c r="E312" s="898" t="s">
        <v>1678</v>
      </c>
      <c r="F312" s="900" t="s">
        <v>1651</v>
      </c>
      <c r="G312" s="902">
        <v>35</v>
      </c>
      <c r="H312" s="902" t="s">
        <v>1626</v>
      </c>
      <c r="I312" s="902" t="s">
        <v>1627</v>
      </c>
      <c r="J312" s="902"/>
      <c r="K312" s="902"/>
      <c r="L312" s="902">
        <v>39</v>
      </c>
    </row>
    <row r="313" spans="1:12">
      <c r="A313" s="904">
        <v>312</v>
      </c>
      <c r="B313" s="899" t="str">
        <f t="shared" si="8"/>
        <v>SN40MI</v>
      </c>
      <c r="C313" s="1382" t="s">
        <v>1603</v>
      </c>
      <c r="D313" s="911" t="s">
        <v>1507</v>
      </c>
      <c r="E313" s="898" t="s">
        <v>1678</v>
      </c>
      <c r="F313" s="900" t="s">
        <v>1651</v>
      </c>
      <c r="G313" s="902">
        <v>40</v>
      </c>
      <c r="H313" s="902" t="s">
        <v>1626</v>
      </c>
      <c r="I313" s="902" t="s">
        <v>1627</v>
      </c>
      <c r="J313" s="902"/>
      <c r="K313" s="902"/>
      <c r="L313" s="902">
        <v>39</v>
      </c>
    </row>
    <row r="314" spans="1:12">
      <c r="A314" s="904">
        <v>313</v>
      </c>
      <c r="B314" s="899" t="str">
        <f t="shared" ref="B314:B346" si="9">E132&amp;G132&amp;H132&amp;I132</f>
        <v>SN25LI</v>
      </c>
      <c r="C314" s="1382" t="s">
        <v>1603</v>
      </c>
      <c r="D314" s="911" t="s">
        <v>1507</v>
      </c>
      <c r="E314" s="898" t="s">
        <v>1678</v>
      </c>
      <c r="F314" s="900" t="s">
        <v>1652</v>
      </c>
      <c r="G314" s="902">
        <v>25</v>
      </c>
      <c r="H314" s="902" t="s">
        <v>1653</v>
      </c>
      <c r="I314" s="902" t="s">
        <v>1627</v>
      </c>
      <c r="J314" s="902"/>
      <c r="K314" s="902"/>
      <c r="L314" s="902">
        <v>40</v>
      </c>
    </row>
    <row r="315" spans="1:12">
      <c r="A315" s="904">
        <v>314</v>
      </c>
      <c r="B315" s="899" t="str">
        <f t="shared" si="9"/>
        <v>SN30LI</v>
      </c>
      <c r="C315" s="1382" t="s">
        <v>1603</v>
      </c>
      <c r="D315" s="911" t="s">
        <v>1507</v>
      </c>
      <c r="E315" s="898" t="s">
        <v>1678</v>
      </c>
      <c r="F315" s="900" t="s">
        <v>1652</v>
      </c>
      <c r="G315" s="902">
        <v>30</v>
      </c>
      <c r="H315" s="902" t="s">
        <v>1653</v>
      </c>
      <c r="I315" s="902" t="s">
        <v>1627</v>
      </c>
      <c r="J315" s="902"/>
      <c r="K315" s="902"/>
      <c r="L315" s="902">
        <v>40</v>
      </c>
    </row>
    <row r="316" spans="1:12">
      <c r="A316" s="904">
        <v>315</v>
      </c>
      <c r="B316" s="899" t="str">
        <f t="shared" si="9"/>
        <v>SN35LI</v>
      </c>
      <c r="C316" s="1382" t="s">
        <v>1603</v>
      </c>
      <c r="D316" s="911" t="s">
        <v>1507</v>
      </c>
      <c r="E316" s="898" t="s">
        <v>1678</v>
      </c>
      <c r="F316" s="900" t="s">
        <v>1652</v>
      </c>
      <c r="G316" s="902">
        <v>35</v>
      </c>
      <c r="H316" s="902" t="s">
        <v>1653</v>
      </c>
      <c r="I316" s="902" t="s">
        <v>1627</v>
      </c>
      <c r="J316" s="902"/>
      <c r="K316" s="902"/>
      <c r="L316" s="902">
        <v>40</v>
      </c>
    </row>
    <row r="317" spans="1:12">
      <c r="A317" s="904">
        <v>316</v>
      </c>
      <c r="B317" s="899" t="str">
        <f t="shared" si="9"/>
        <v>SN40LI</v>
      </c>
      <c r="C317" s="1382" t="s">
        <v>1603</v>
      </c>
      <c r="D317" s="911" t="s">
        <v>1507</v>
      </c>
      <c r="E317" s="898" t="s">
        <v>1678</v>
      </c>
      <c r="F317" s="900" t="s">
        <v>1652</v>
      </c>
      <c r="G317" s="902">
        <v>40</v>
      </c>
      <c r="H317" s="902" t="s">
        <v>1653</v>
      </c>
      <c r="I317" s="902" t="s">
        <v>1627</v>
      </c>
      <c r="J317" s="902"/>
      <c r="K317" s="902"/>
      <c r="L317" s="902">
        <v>40</v>
      </c>
    </row>
    <row r="318" spans="1:12">
      <c r="A318" s="904">
        <v>317</v>
      </c>
      <c r="B318" s="899" t="str">
        <f t="shared" si="9"/>
        <v>SN10TI</v>
      </c>
      <c r="C318" s="1382" t="s">
        <v>1603</v>
      </c>
      <c r="D318" s="911" t="s">
        <v>1507</v>
      </c>
      <c r="E318" s="898" t="s">
        <v>1678</v>
      </c>
      <c r="F318" s="900" t="s">
        <v>1654</v>
      </c>
      <c r="G318" s="902">
        <v>10</v>
      </c>
      <c r="H318" s="902" t="s">
        <v>1655</v>
      </c>
      <c r="I318" s="902" t="s">
        <v>1627</v>
      </c>
      <c r="J318" s="902"/>
      <c r="K318" s="902"/>
      <c r="L318" s="902">
        <v>41</v>
      </c>
    </row>
    <row r="319" spans="1:12">
      <c r="A319" s="904">
        <v>318</v>
      </c>
      <c r="B319" s="899" t="str">
        <f t="shared" si="9"/>
        <v>SN10SLI</v>
      </c>
      <c r="C319" s="1382" t="s">
        <v>1603</v>
      </c>
      <c r="D319" s="911" t="s">
        <v>1507</v>
      </c>
      <c r="E319" s="898" t="s">
        <v>1678</v>
      </c>
      <c r="F319" s="900" t="s">
        <v>1679</v>
      </c>
      <c r="G319" s="902">
        <v>10</v>
      </c>
      <c r="H319" s="902" t="s">
        <v>1657</v>
      </c>
      <c r="I319" s="902" t="s">
        <v>1627</v>
      </c>
      <c r="J319" s="902"/>
      <c r="K319" s="902"/>
      <c r="L319" s="902"/>
    </row>
    <row r="320" spans="1:12">
      <c r="A320" s="904">
        <v>319</v>
      </c>
      <c r="B320" s="899" t="str">
        <f t="shared" si="9"/>
        <v>SN10SRI</v>
      </c>
      <c r="C320" s="1382" t="s">
        <v>1603</v>
      </c>
      <c r="D320" s="911" t="s">
        <v>1507</v>
      </c>
      <c r="E320" s="898" t="s">
        <v>1678</v>
      </c>
      <c r="F320" s="900" t="s">
        <v>1680</v>
      </c>
      <c r="G320" s="902">
        <v>10</v>
      </c>
      <c r="H320" s="902" t="s">
        <v>1659</v>
      </c>
      <c r="I320" s="902" t="s">
        <v>1627</v>
      </c>
      <c r="J320" s="902"/>
      <c r="K320" s="902"/>
      <c r="L320" s="902"/>
    </row>
    <row r="321" spans="1:12">
      <c r="A321" s="904">
        <v>320</v>
      </c>
      <c r="B321" s="899" t="str">
        <f t="shared" si="9"/>
        <v>SN25MLI</v>
      </c>
      <c r="C321" s="1382" t="s">
        <v>1603</v>
      </c>
      <c r="D321" s="911" t="s">
        <v>1507</v>
      </c>
      <c r="E321" s="898" t="s">
        <v>1678</v>
      </c>
      <c r="F321" s="900" t="s">
        <v>1681</v>
      </c>
      <c r="G321" s="902">
        <v>25</v>
      </c>
      <c r="H321" s="902" t="s">
        <v>1675</v>
      </c>
      <c r="I321" s="902" t="s">
        <v>1627</v>
      </c>
      <c r="J321" s="902"/>
      <c r="K321" s="902"/>
      <c r="L321" s="902">
        <v>44</v>
      </c>
    </row>
    <row r="322" spans="1:12">
      <c r="A322" s="904">
        <v>321</v>
      </c>
      <c r="B322" s="899" t="str">
        <f t="shared" si="9"/>
        <v>SN30MLI</v>
      </c>
      <c r="C322" s="1382" t="s">
        <v>1603</v>
      </c>
      <c r="D322" s="911" t="s">
        <v>1507</v>
      </c>
      <c r="E322" s="898" t="s">
        <v>1678</v>
      </c>
      <c r="F322" s="900" t="s">
        <v>1681</v>
      </c>
      <c r="G322" s="902">
        <v>30</v>
      </c>
      <c r="H322" s="902" t="s">
        <v>1675</v>
      </c>
      <c r="I322" s="902" t="s">
        <v>1627</v>
      </c>
      <c r="J322" s="902"/>
      <c r="K322" s="902"/>
      <c r="L322" s="902">
        <v>44</v>
      </c>
    </row>
    <row r="323" spans="1:12">
      <c r="A323" s="904">
        <v>322</v>
      </c>
      <c r="B323" s="899" t="str">
        <f t="shared" si="9"/>
        <v>SN35MLI</v>
      </c>
      <c r="C323" s="1382" t="s">
        <v>1603</v>
      </c>
      <c r="D323" s="911" t="s">
        <v>1507</v>
      </c>
      <c r="E323" s="898" t="s">
        <v>1678</v>
      </c>
      <c r="F323" s="900" t="s">
        <v>1681</v>
      </c>
      <c r="G323" s="902">
        <v>35</v>
      </c>
      <c r="H323" s="902" t="s">
        <v>1675</v>
      </c>
      <c r="I323" s="902" t="s">
        <v>1627</v>
      </c>
      <c r="J323" s="902"/>
      <c r="K323" s="902"/>
      <c r="L323" s="902">
        <v>44</v>
      </c>
    </row>
    <row r="324" spans="1:12">
      <c r="A324" s="904">
        <v>323</v>
      </c>
      <c r="B324" s="899" t="str">
        <f t="shared" si="9"/>
        <v>SN40MLI</v>
      </c>
      <c r="C324" s="1382" t="s">
        <v>1603</v>
      </c>
      <c r="D324" s="911" t="s">
        <v>1507</v>
      </c>
      <c r="E324" s="898" t="s">
        <v>1678</v>
      </c>
      <c r="F324" s="900" t="s">
        <v>1681</v>
      </c>
      <c r="G324" s="902">
        <v>40</v>
      </c>
      <c r="H324" s="902" t="s">
        <v>1675</v>
      </c>
      <c r="I324" s="902" t="s">
        <v>1627</v>
      </c>
      <c r="J324" s="902"/>
      <c r="K324" s="902"/>
      <c r="L324" s="902">
        <v>44</v>
      </c>
    </row>
    <row r="325" spans="1:12">
      <c r="A325" s="904">
        <v>324</v>
      </c>
      <c r="B325" s="899" t="str">
        <f t="shared" si="9"/>
        <v>SN25MRI</v>
      </c>
      <c r="C325" s="1382" t="s">
        <v>1603</v>
      </c>
      <c r="D325" s="911" t="s">
        <v>1507</v>
      </c>
      <c r="E325" s="898" t="s">
        <v>1678</v>
      </c>
      <c r="F325" s="900" t="s">
        <v>1682</v>
      </c>
      <c r="G325" s="902">
        <v>25</v>
      </c>
      <c r="H325" s="902" t="s">
        <v>1677</v>
      </c>
      <c r="I325" s="902" t="s">
        <v>1627</v>
      </c>
      <c r="J325" s="902"/>
      <c r="K325" s="902"/>
      <c r="L325" s="902">
        <v>45</v>
      </c>
    </row>
    <row r="326" spans="1:12">
      <c r="A326" s="904">
        <v>325</v>
      </c>
      <c r="B326" s="899" t="str">
        <f t="shared" si="9"/>
        <v>SN30MRI</v>
      </c>
      <c r="C326" s="1382" t="s">
        <v>1603</v>
      </c>
      <c r="D326" s="911" t="s">
        <v>1507</v>
      </c>
      <c r="E326" s="898" t="s">
        <v>1678</v>
      </c>
      <c r="F326" s="900" t="s">
        <v>1682</v>
      </c>
      <c r="G326" s="902">
        <v>30</v>
      </c>
      <c r="H326" s="902" t="s">
        <v>1677</v>
      </c>
      <c r="I326" s="902" t="s">
        <v>1627</v>
      </c>
      <c r="J326" s="902"/>
      <c r="K326" s="902"/>
      <c r="L326" s="902">
        <v>45</v>
      </c>
    </row>
    <row r="327" spans="1:12">
      <c r="A327" s="904">
        <v>326</v>
      </c>
      <c r="B327" s="899" t="str">
        <f t="shared" si="9"/>
        <v>SN35MRI</v>
      </c>
      <c r="C327" s="1382" t="s">
        <v>1603</v>
      </c>
      <c r="D327" s="911" t="s">
        <v>1507</v>
      </c>
      <c r="E327" s="898" t="s">
        <v>1678</v>
      </c>
      <c r="F327" s="900" t="s">
        <v>1682</v>
      </c>
      <c r="G327" s="902">
        <v>35</v>
      </c>
      <c r="H327" s="902" t="s">
        <v>1677</v>
      </c>
      <c r="I327" s="902" t="s">
        <v>1627</v>
      </c>
      <c r="J327" s="902"/>
      <c r="K327" s="902"/>
      <c r="L327" s="902">
        <v>45</v>
      </c>
    </row>
    <row r="328" spans="1:12">
      <c r="A328" s="904">
        <v>327</v>
      </c>
      <c r="B328" s="899" t="str">
        <f t="shared" si="9"/>
        <v>SN40MRI</v>
      </c>
      <c r="C328" s="1382" t="s">
        <v>1603</v>
      </c>
      <c r="D328" s="911" t="s">
        <v>1507</v>
      </c>
      <c r="E328" s="898" t="s">
        <v>1678</v>
      </c>
      <c r="F328" s="900" t="s">
        <v>1682</v>
      </c>
      <c r="G328" s="902">
        <v>40</v>
      </c>
      <c r="H328" s="902" t="s">
        <v>1677</v>
      </c>
      <c r="I328" s="902" t="s">
        <v>1627</v>
      </c>
      <c r="J328" s="902"/>
      <c r="K328" s="902"/>
      <c r="L328" s="902">
        <v>45</v>
      </c>
    </row>
    <row r="329" spans="1:12">
      <c r="A329" s="904">
        <v>328</v>
      </c>
      <c r="B329" s="899" t="str">
        <f t="shared" si="9"/>
        <v>SN25LLI</v>
      </c>
      <c r="C329" s="1382" t="s">
        <v>1603</v>
      </c>
      <c r="D329" s="911" t="s">
        <v>1507</v>
      </c>
      <c r="E329" s="898" t="s">
        <v>1678</v>
      </c>
      <c r="F329" s="900" t="s">
        <v>1662</v>
      </c>
      <c r="G329" s="902">
        <v>25</v>
      </c>
      <c r="H329" s="902" t="s">
        <v>1663</v>
      </c>
      <c r="I329" s="902" t="s">
        <v>1627</v>
      </c>
      <c r="J329" s="902"/>
      <c r="K329" s="902"/>
      <c r="L329" s="902">
        <v>46</v>
      </c>
    </row>
    <row r="330" spans="1:12">
      <c r="A330" s="904">
        <v>329</v>
      </c>
      <c r="B330" s="899" t="str">
        <f t="shared" si="9"/>
        <v>SN30LLI</v>
      </c>
      <c r="C330" s="1382" t="s">
        <v>1603</v>
      </c>
      <c r="D330" s="911" t="s">
        <v>1507</v>
      </c>
      <c r="E330" s="898" t="s">
        <v>1678</v>
      </c>
      <c r="F330" s="900" t="s">
        <v>1662</v>
      </c>
      <c r="G330" s="902">
        <v>30</v>
      </c>
      <c r="H330" s="902" t="s">
        <v>1663</v>
      </c>
      <c r="I330" s="902" t="s">
        <v>1627</v>
      </c>
      <c r="J330" s="902"/>
      <c r="K330" s="902"/>
      <c r="L330" s="902">
        <v>46</v>
      </c>
    </row>
    <row r="331" spans="1:12">
      <c r="A331" s="904">
        <v>330</v>
      </c>
      <c r="B331" s="899" t="str">
        <f t="shared" si="9"/>
        <v>SN35LLI</v>
      </c>
      <c r="C331" s="1382" t="s">
        <v>1603</v>
      </c>
      <c r="D331" s="911" t="s">
        <v>1507</v>
      </c>
      <c r="E331" s="898" t="s">
        <v>1678</v>
      </c>
      <c r="F331" s="900" t="s">
        <v>1662</v>
      </c>
      <c r="G331" s="902">
        <v>35</v>
      </c>
      <c r="H331" s="902" t="s">
        <v>1663</v>
      </c>
      <c r="I331" s="902" t="s">
        <v>1627</v>
      </c>
      <c r="J331" s="902"/>
      <c r="K331" s="902"/>
      <c r="L331" s="902">
        <v>46</v>
      </c>
    </row>
    <row r="332" spans="1:12">
      <c r="A332" s="904">
        <v>331</v>
      </c>
      <c r="B332" s="899" t="str">
        <f t="shared" si="9"/>
        <v>SN40LLI</v>
      </c>
      <c r="C332" s="1382" t="s">
        <v>1603</v>
      </c>
      <c r="D332" s="911" t="s">
        <v>1507</v>
      </c>
      <c r="E332" s="898" t="s">
        <v>1678</v>
      </c>
      <c r="F332" s="900" t="s">
        <v>1662</v>
      </c>
      <c r="G332" s="902">
        <v>40</v>
      </c>
      <c r="H332" s="902" t="s">
        <v>1663</v>
      </c>
      <c r="I332" s="902" t="s">
        <v>1627</v>
      </c>
      <c r="J332" s="902"/>
      <c r="K332" s="902"/>
      <c r="L332" s="902">
        <v>46</v>
      </c>
    </row>
    <row r="333" spans="1:12">
      <c r="A333" s="904">
        <v>332</v>
      </c>
      <c r="B333" s="899" t="str">
        <f t="shared" si="9"/>
        <v>SN25LRI</v>
      </c>
      <c r="C333" s="1382" t="s">
        <v>1603</v>
      </c>
      <c r="D333" s="911" t="s">
        <v>1507</v>
      </c>
      <c r="E333" s="898" t="s">
        <v>1678</v>
      </c>
      <c r="F333" s="900" t="s">
        <v>1664</v>
      </c>
      <c r="G333" s="902">
        <v>25</v>
      </c>
      <c r="H333" s="902" t="s">
        <v>1665</v>
      </c>
      <c r="I333" s="902" t="s">
        <v>1627</v>
      </c>
      <c r="J333" s="902"/>
      <c r="K333" s="902"/>
      <c r="L333" s="902">
        <v>47</v>
      </c>
    </row>
    <row r="334" spans="1:12">
      <c r="A334" s="904">
        <v>333</v>
      </c>
      <c r="B334" s="899" t="str">
        <f t="shared" si="9"/>
        <v>SN30LRI</v>
      </c>
      <c r="C334" s="1382" t="s">
        <v>1603</v>
      </c>
      <c r="D334" s="911" t="s">
        <v>1507</v>
      </c>
      <c r="E334" s="898" t="s">
        <v>1678</v>
      </c>
      <c r="F334" s="900" t="s">
        <v>1664</v>
      </c>
      <c r="G334" s="902">
        <v>30</v>
      </c>
      <c r="H334" s="902" t="s">
        <v>1665</v>
      </c>
      <c r="I334" s="902" t="s">
        <v>1627</v>
      </c>
      <c r="J334" s="902"/>
      <c r="K334" s="902"/>
      <c r="L334" s="902">
        <v>47</v>
      </c>
    </row>
    <row r="335" spans="1:12">
      <c r="A335" s="904">
        <v>334</v>
      </c>
      <c r="B335" s="899" t="str">
        <f t="shared" si="9"/>
        <v>SN35LRI</v>
      </c>
      <c r="C335" s="1382" t="s">
        <v>1603</v>
      </c>
      <c r="D335" s="911" t="s">
        <v>1507</v>
      </c>
      <c r="E335" s="898" t="s">
        <v>1678</v>
      </c>
      <c r="F335" s="900" t="s">
        <v>1664</v>
      </c>
      <c r="G335" s="902">
        <v>35</v>
      </c>
      <c r="H335" s="902" t="s">
        <v>1665</v>
      </c>
      <c r="I335" s="902" t="s">
        <v>1627</v>
      </c>
      <c r="J335" s="902"/>
      <c r="K335" s="902"/>
      <c r="L335" s="902">
        <v>47</v>
      </c>
    </row>
    <row r="336" spans="1:12">
      <c r="A336" s="904">
        <v>335</v>
      </c>
      <c r="B336" s="899" t="str">
        <f t="shared" si="9"/>
        <v>SN40LRI</v>
      </c>
      <c r="C336" s="1382" t="s">
        <v>1603</v>
      </c>
      <c r="D336" s="911" t="s">
        <v>1507</v>
      </c>
      <c r="E336" s="898" t="s">
        <v>1678</v>
      </c>
      <c r="F336" s="900" t="s">
        <v>1664</v>
      </c>
      <c r="G336" s="902">
        <v>40</v>
      </c>
      <c r="H336" s="902" t="s">
        <v>1665</v>
      </c>
      <c r="I336" s="902" t="s">
        <v>1627</v>
      </c>
      <c r="J336" s="902"/>
      <c r="K336" s="902"/>
      <c r="L336" s="902">
        <v>47</v>
      </c>
    </row>
    <row r="337" spans="1:12">
      <c r="A337" s="904">
        <v>336</v>
      </c>
      <c r="B337" s="899" t="str">
        <f t="shared" si="9"/>
        <v>SN10TLI</v>
      </c>
      <c r="C337" s="1382" t="s">
        <v>1603</v>
      </c>
      <c r="D337" s="911" t="s">
        <v>1507</v>
      </c>
      <c r="E337" s="898" t="s">
        <v>1678</v>
      </c>
      <c r="F337" s="900" t="s">
        <v>1666</v>
      </c>
      <c r="G337" s="902">
        <v>10</v>
      </c>
      <c r="H337" s="902" t="s">
        <v>1667</v>
      </c>
      <c r="I337" s="902" t="s">
        <v>1627</v>
      </c>
      <c r="J337" s="902"/>
      <c r="K337" s="902"/>
      <c r="L337" s="902">
        <v>49</v>
      </c>
    </row>
    <row r="338" spans="1:12">
      <c r="A338" s="904">
        <v>337</v>
      </c>
      <c r="B338" s="899" t="str">
        <f t="shared" si="9"/>
        <v>SN10TRI</v>
      </c>
      <c r="C338" s="1382" t="s">
        <v>1603</v>
      </c>
      <c r="D338" s="911" t="s">
        <v>1507</v>
      </c>
      <c r="E338" s="898" t="s">
        <v>1678</v>
      </c>
      <c r="F338" s="900" t="s">
        <v>1668</v>
      </c>
      <c r="G338" s="902">
        <v>10</v>
      </c>
      <c r="H338" s="902" t="s">
        <v>1669</v>
      </c>
      <c r="I338" s="902" t="s">
        <v>1627</v>
      </c>
      <c r="J338" s="902"/>
      <c r="K338" s="902"/>
      <c r="L338" s="902">
        <v>48</v>
      </c>
    </row>
    <row r="339" spans="1:12">
      <c r="A339" s="904">
        <v>338</v>
      </c>
      <c r="B339" s="899" t="str">
        <f t="shared" si="9"/>
        <v>SQ10MI</v>
      </c>
      <c r="C339" s="1382" t="s">
        <v>1603</v>
      </c>
      <c r="D339" s="911" t="s">
        <v>1508</v>
      </c>
      <c r="E339" s="898" t="s">
        <v>1683</v>
      </c>
      <c r="F339" s="900" t="s">
        <v>1651</v>
      </c>
      <c r="G339" s="902">
        <v>10</v>
      </c>
      <c r="H339" s="902" t="s">
        <v>1626</v>
      </c>
      <c r="I339" s="902" t="s">
        <v>1627</v>
      </c>
      <c r="J339" s="902"/>
      <c r="K339" s="899"/>
      <c r="L339" s="902">
        <v>50</v>
      </c>
    </row>
    <row r="340" spans="1:12">
      <c r="A340" s="904">
        <v>339</v>
      </c>
      <c r="B340" s="899" t="str">
        <f t="shared" si="9"/>
        <v>SQ15MI</v>
      </c>
      <c r="C340" s="1382" t="s">
        <v>1603</v>
      </c>
      <c r="D340" s="911" t="s">
        <v>1508</v>
      </c>
      <c r="E340" s="898" t="s">
        <v>1683</v>
      </c>
      <c r="F340" s="900" t="s">
        <v>1651</v>
      </c>
      <c r="G340" s="902">
        <v>15</v>
      </c>
      <c r="H340" s="902" t="s">
        <v>1626</v>
      </c>
      <c r="I340" s="902" t="s">
        <v>1627</v>
      </c>
      <c r="J340" s="902"/>
      <c r="K340" s="899"/>
      <c r="L340" s="902">
        <v>50</v>
      </c>
    </row>
    <row r="341" spans="1:12">
      <c r="A341" s="904">
        <v>340</v>
      </c>
      <c r="B341" s="899" t="str">
        <f t="shared" si="9"/>
        <v>SQ20MI</v>
      </c>
      <c r="C341" s="1382" t="s">
        <v>1603</v>
      </c>
      <c r="D341" s="911" t="s">
        <v>1508</v>
      </c>
      <c r="E341" s="898" t="s">
        <v>1683</v>
      </c>
      <c r="F341" s="900" t="s">
        <v>1651</v>
      </c>
      <c r="G341" s="902">
        <v>20</v>
      </c>
      <c r="H341" s="902" t="s">
        <v>1626</v>
      </c>
      <c r="I341" s="902" t="s">
        <v>1627</v>
      </c>
      <c r="J341" s="902"/>
      <c r="K341" s="899"/>
      <c r="L341" s="902">
        <v>50</v>
      </c>
    </row>
    <row r="342" spans="1:12">
      <c r="A342" s="904">
        <v>341</v>
      </c>
      <c r="B342" s="899" t="str">
        <f t="shared" si="9"/>
        <v>SQ25MI</v>
      </c>
      <c r="C342" s="1382" t="s">
        <v>1603</v>
      </c>
      <c r="D342" s="911" t="s">
        <v>1508</v>
      </c>
      <c r="E342" s="898" t="s">
        <v>1683</v>
      </c>
      <c r="F342" s="900" t="s">
        <v>1651</v>
      </c>
      <c r="G342" s="902">
        <v>25</v>
      </c>
      <c r="H342" s="902" t="s">
        <v>1626</v>
      </c>
      <c r="I342" s="902" t="s">
        <v>1627</v>
      </c>
      <c r="J342" s="902"/>
      <c r="K342" s="899"/>
      <c r="L342" s="902">
        <v>50</v>
      </c>
    </row>
    <row r="343" spans="1:12">
      <c r="A343" s="904">
        <v>342</v>
      </c>
      <c r="B343" s="899" t="str">
        <f t="shared" si="9"/>
        <v>SQ30MI</v>
      </c>
      <c r="C343" s="1382" t="s">
        <v>1603</v>
      </c>
      <c r="D343" s="911" t="s">
        <v>1508</v>
      </c>
      <c r="E343" s="898" t="s">
        <v>1683</v>
      </c>
      <c r="F343" s="900" t="s">
        <v>1651</v>
      </c>
      <c r="G343" s="902">
        <v>30</v>
      </c>
      <c r="H343" s="902" t="s">
        <v>1626</v>
      </c>
      <c r="I343" s="902" t="s">
        <v>1627</v>
      </c>
      <c r="J343" s="902"/>
      <c r="K343" s="899"/>
      <c r="L343" s="902">
        <v>50</v>
      </c>
    </row>
    <row r="344" spans="1:12">
      <c r="A344" s="904">
        <v>343</v>
      </c>
      <c r="B344" s="899" t="str">
        <f t="shared" si="9"/>
        <v>SQ35MI</v>
      </c>
      <c r="C344" s="1382" t="s">
        <v>1603</v>
      </c>
      <c r="D344" s="911" t="s">
        <v>1508</v>
      </c>
      <c r="E344" s="898" t="s">
        <v>1683</v>
      </c>
      <c r="F344" s="900" t="s">
        <v>1651</v>
      </c>
      <c r="G344" s="902">
        <v>35</v>
      </c>
      <c r="H344" s="902" t="s">
        <v>1626</v>
      </c>
      <c r="I344" s="902" t="s">
        <v>1627</v>
      </c>
      <c r="J344" s="902"/>
      <c r="K344" s="899"/>
      <c r="L344" s="902">
        <v>50</v>
      </c>
    </row>
    <row r="345" spans="1:12">
      <c r="A345" s="904">
        <v>344</v>
      </c>
      <c r="B345" s="899" t="str">
        <f t="shared" si="9"/>
        <v>SQ40MI</v>
      </c>
      <c r="C345" s="1382" t="s">
        <v>1603</v>
      </c>
      <c r="D345" s="911" t="s">
        <v>1508</v>
      </c>
      <c r="E345" s="898" t="s">
        <v>1683</v>
      </c>
      <c r="F345" s="900" t="s">
        <v>1651</v>
      </c>
      <c r="G345" s="902">
        <v>40</v>
      </c>
      <c r="H345" s="902" t="s">
        <v>1626</v>
      </c>
      <c r="I345" s="902" t="s">
        <v>1627</v>
      </c>
      <c r="J345" s="902"/>
      <c r="K345" s="899"/>
      <c r="L345" s="902">
        <v>50</v>
      </c>
    </row>
    <row r="346" spans="1:12">
      <c r="A346" s="904">
        <v>345</v>
      </c>
      <c r="B346" s="899" t="str">
        <f t="shared" si="9"/>
        <v>SQ10TI</v>
      </c>
      <c r="C346" s="1382" t="s">
        <v>1603</v>
      </c>
      <c r="D346" s="911" t="s">
        <v>1508</v>
      </c>
      <c r="E346" s="898" t="s">
        <v>1683</v>
      </c>
      <c r="F346" s="900" t="s">
        <v>1654</v>
      </c>
      <c r="G346" s="902">
        <v>10</v>
      </c>
      <c r="H346" s="902" t="s">
        <v>1655</v>
      </c>
      <c r="I346" s="902" t="s">
        <v>1627</v>
      </c>
      <c r="J346" s="902"/>
      <c r="K346" s="899"/>
      <c r="L346" s="902">
        <v>51</v>
      </c>
    </row>
  </sheetData>
  <mergeCells count="19">
    <mergeCell ref="AE2:AF2"/>
    <mergeCell ref="S2:T2"/>
    <mergeCell ref="U2:U3"/>
    <mergeCell ref="V2:W2"/>
    <mergeCell ref="X2:X3"/>
    <mergeCell ref="Y2:AB2"/>
    <mergeCell ref="AC2:AD2"/>
    <mergeCell ref="R2:R3"/>
    <mergeCell ref="A2:A3"/>
    <mergeCell ref="B2:C2"/>
    <mergeCell ref="D2:E2"/>
    <mergeCell ref="F2:F3"/>
    <mergeCell ref="G2:G3"/>
    <mergeCell ref="I2:J2"/>
    <mergeCell ref="K2:K3"/>
    <mergeCell ref="L2:L3"/>
    <mergeCell ref="M2:N2"/>
    <mergeCell ref="O2:P2"/>
    <mergeCell ref="Q2:Q3"/>
  </mergeCells>
  <phoneticPr fontId="13" type="noConversion"/>
  <pageMargins left="0.7" right="0.7" top="0.75" bottom="0.75" header="0.3" footer="0.3"/>
  <pageSetup paperSize="9" scale="73" fitToHeight="0" orientation="landscape" horizont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449C-AA4B-4743-8626-AB627ACDA4EB}">
  <sheetPr codeName="Sheet14"/>
  <dimension ref="A1"/>
  <sheetViews>
    <sheetView workbookViewId="0"/>
  </sheetViews>
  <sheetFormatPr defaultRowHeight="16.5"/>
  <sheetData/>
  <phoneticPr fontId="1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37</vt:i4>
      </vt:variant>
    </vt:vector>
  </HeadingPairs>
  <TitlesOfParts>
    <vt:vector size="68" baseType="lpstr">
      <vt:lpstr>BASIC_TOOL</vt:lpstr>
      <vt:lpstr>PRINTOUT(BOM)</vt:lpstr>
      <vt:lpstr>PANEL_JOB_ORDER</vt:lpstr>
      <vt:lpstr>PANEL_PACKING</vt:lpstr>
      <vt:lpstr>PANEL_PACKING(PRINT)</vt:lpstr>
      <vt:lpstr>PRINTOUT(COST)</vt:lpstr>
      <vt:lpstr>PRINTOUT(WT)</vt:lpstr>
      <vt:lpstr>TANK PFI</vt:lpstr>
      <vt:lpstr>Panel2</vt:lpstr>
      <vt:lpstr>Panel</vt:lpstr>
      <vt:lpstr>WO_PANEL</vt:lpstr>
      <vt:lpstr>Steel_Skid</vt:lpstr>
      <vt:lpstr>BoltnNuts</vt:lpstr>
      <vt:lpstr>External_Reinforcing</vt:lpstr>
      <vt:lpstr>Internal_Reinforcing</vt:lpstr>
      <vt:lpstr>Exteral_Reinforcing System</vt:lpstr>
      <vt:lpstr>Internal_Tie_rod1</vt:lpstr>
      <vt:lpstr>Fittings</vt:lpstr>
      <vt:lpstr>ETC</vt:lpstr>
      <vt:lpstr>Weight_Table</vt:lpstr>
      <vt:lpstr>Panel_Config</vt:lpstr>
      <vt:lpstr>Steel_Accessories_Config</vt:lpstr>
      <vt:lpstr>PACKING</vt:lpstr>
      <vt:lpstr>0.39</vt:lpstr>
      <vt:lpstr>PACKING(PRINT)</vt:lpstr>
      <vt:lpstr>Sheet3</vt:lpstr>
      <vt:lpstr>Sheet4</vt:lpstr>
      <vt:lpstr>Sheet1</vt:lpstr>
      <vt:lpstr>Reference</vt:lpstr>
      <vt:lpstr>Panel_Cost</vt:lpstr>
      <vt:lpstr>Sheet2</vt:lpstr>
      <vt:lpstr>CS</vt:lpstr>
      <vt:lpstr>H_C</vt:lpstr>
      <vt:lpstr>H_F</vt:lpstr>
      <vt:lpstr>H_O</vt:lpstr>
      <vt:lpstr>L_O</vt:lpstr>
      <vt:lpstr>L_O_C</vt:lpstr>
      <vt:lpstr>L_O_F</vt:lpstr>
      <vt:lpstr>L1_C</vt:lpstr>
      <vt:lpstr>L1_F</vt:lpstr>
      <vt:lpstr>L1_O</vt:lpstr>
      <vt:lpstr>L2_C</vt:lpstr>
      <vt:lpstr>L2_F</vt:lpstr>
      <vt:lpstr>L2_O</vt:lpstr>
      <vt:lpstr>L3_C</vt:lpstr>
      <vt:lpstr>L3_F</vt:lpstr>
      <vt:lpstr>L3_O</vt:lpstr>
      <vt:lpstr>L4_C</vt:lpstr>
      <vt:lpstr>L4_F</vt:lpstr>
      <vt:lpstr>L4_O</vt:lpstr>
      <vt:lpstr>N_PA</vt:lpstr>
      <vt:lpstr>'0.39'!Print_Area</vt:lpstr>
      <vt:lpstr>'Exteral_Reinforcing System'!Print_Area</vt:lpstr>
      <vt:lpstr>External_Reinforcing!Print_Area</vt:lpstr>
      <vt:lpstr>'PACKING(PRINT)'!Print_Area</vt:lpstr>
      <vt:lpstr>Panel_Config!Print_Area</vt:lpstr>
      <vt:lpstr>Panel_Cost!Print_Area</vt:lpstr>
      <vt:lpstr>PANEL_JOB_ORDER!Print_Area</vt:lpstr>
      <vt:lpstr>PANEL_PACKING!Print_Area</vt:lpstr>
      <vt:lpstr>'PANEL_PACKING(PRINT)'!Print_Area</vt:lpstr>
      <vt:lpstr>'PRINTOUT(BOM)'!Print_Area</vt:lpstr>
      <vt:lpstr>Reference!Print_Area</vt:lpstr>
      <vt:lpstr>Steel_Accessories_Config!Print_Area</vt:lpstr>
      <vt:lpstr>'TANK PFI'!Print_Area</vt:lpstr>
      <vt:lpstr>W_C</vt:lpstr>
      <vt:lpstr>W_F</vt:lpstr>
      <vt:lpstr>W_O</vt:lpstr>
      <vt:lpstr>보강방식</vt:lpstr>
    </vt:vector>
  </TitlesOfParts>
  <Company>라파엘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Alaa Alabdulkareem</cp:lastModifiedBy>
  <cp:lastPrinted>2021-11-23T10:48:12Z</cp:lastPrinted>
  <dcterms:created xsi:type="dcterms:W3CDTF">2002-08-30T23:07:19Z</dcterms:created>
  <dcterms:modified xsi:type="dcterms:W3CDTF">2023-10-29T13:16:09Z</dcterms:modified>
</cp:coreProperties>
</file>